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queryTables/queryTable7.xml" ContentType="application/vnd.openxmlformats-officedocument.spreadsheetml.queryTable+xml"/>
  <Override PartName="/xl/tables/table13.xml" ContentType="application/vnd.openxmlformats-officedocument.spreadsheetml.table+xml"/>
  <Override PartName="/xl/queryTables/queryTable8.xml" ContentType="application/vnd.openxmlformats-officedocument.spreadsheetml.queryTable+xml"/>
  <Override PartName="/xl/tables/table14.xml" ContentType="application/vnd.openxmlformats-officedocument.spreadsheetml.table+xml"/>
  <Override PartName="/xl/queryTables/queryTable9.xml" ContentType="application/vnd.openxmlformats-officedocument.spreadsheetml.queryTable+xml"/>
  <Override PartName="/xl/tables/table15.xml" ContentType="application/vnd.openxmlformats-officedocument.spreadsheetml.table+xml"/>
  <Override PartName="/xl/queryTables/queryTable10.xml" ContentType="application/vnd.openxmlformats-officedocument.spreadsheetml.queryTable+xml"/>
  <Override PartName="/xl/tables/table16.xml" ContentType="application/vnd.openxmlformats-officedocument.spreadsheetml.table+xml"/>
  <Override PartName="/xl/queryTables/queryTable11.xml" ContentType="application/vnd.openxmlformats-officedocument.spreadsheetml.queryTable+xml"/>
  <Override PartName="/xl/tables/table17.xml" ContentType="application/vnd.openxmlformats-officedocument.spreadsheetml.table+xml"/>
  <Override PartName="/xl/queryTables/queryTable12.xml" ContentType="application/vnd.openxmlformats-officedocument.spreadsheetml.queryTable+xml"/>
  <Override PartName="/xl/tables/table18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45" activeTab="3"/>
  </bookViews>
  <sheets>
    <sheet name="Путь" sheetId="8" r:id="rId1"/>
    <sheet name="report" sheetId="34" r:id="rId2"/>
    <sheet name="reward" sheetId="16" r:id="rId3"/>
    <sheet name="group" sheetId="18" r:id="rId4"/>
    <sheet name="reward_link" sheetId="19" r:id="rId5"/>
    <sheet name="employee" sheetId="20" r:id="rId6"/>
    <sheet name="org_unit" sheetId="27" r:id="rId7"/>
    <sheet name="ORG_UNIT_20" sheetId="43" r:id="rId8"/>
    <sheet name="SHEDULE" sheetId="38" r:id="rId9"/>
    <sheet name="DATA" sheetId="40" r:id="rId10"/>
    <sheet name="INDICATOR" sheetId="39" r:id="rId11"/>
    <sheet name="USER_ROLE" sheetId="42" r:id="rId12"/>
    <sheet name="USER_ROLE (тест)" sheetId="45" r:id="rId13"/>
    <sheet name="КОНКУРСНОЕ ПРОСТРАНСТВО" sheetId="41" r:id="rId14"/>
  </sheets>
  <definedNames>
    <definedName name="_sp_date">Путь!$M$2:$M$25</definedName>
    <definedName name="_sp_emploee">Путь!$J$2:$J$12</definedName>
    <definedName name="_sp_group">Путь!$N$2:$N$8</definedName>
    <definedName name="_sp_indicator">Путь!$L$2:$L$16</definedName>
    <definedName name="_sp_report">Путь!$O$2:$O$8</definedName>
    <definedName name="_sp_reward">Путь!$P$2:$P$8</definedName>
    <definedName name="_sp_rewlink">Путь!$I$2:$I$4</definedName>
    <definedName name="_sp_shedule">Путь!$K$2:$K$13</definedName>
    <definedName name="ExternalData_1" localSheetId="9" hidden="1">DATA!$A$3:$AR$182</definedName>
    <definedName name="ExternalData_1" localSheetId="5" hidden="1">employee!$A$2:$V$3</definedName>
    <definedName name="ExternalData_1" localSheetId="3" hidden="1">group!$A$5:$M$253</definedName>
    <definedName name="ExternalData_1" localSheetId="10" hidden="1">INDICATOR!$A$2:$P$171</definedName>
    <definedName name="ExternalData_1" localSheetId="6" hidden="1">org_unit!$A$1:$M$122</definedName>
    <definedName name="ExternalData_1" localSheetId="7" hidden="1">ORG_UNIT_20!$A$1:$L$121</definedName>
    <definedName name="ExternalData_1" localSheetId="1" hidden="1">report!$A$5:$S$6</definedName>
    <definedName name="ExternalData_1" localSheetId="2" hidden="1">reward!$A$5:$AX$404</definedName>
    <definedName name="ExternalData_1" localSheetId="4" hidden="1">reward_link!$A$7:$H$336</definedName>
    <definedName name="ExternalData_1" localSheetId="8" hidden="1">SHEDULE!$A$3:$P$355</definedName>
    <definedName name="ExternalData_1" localSheetId="11" hidden="1">USER_ROLE!$A$1:$M$2</definedName>
    <definedName name="ExternalData_1" localSheetId="12" hidden="1">'USER_ROLE (тест)'!$A$1:$M$2</definedName>
    <definedName name="ExternalData_1" localSheetId="13" hidden="1">'КОНКУРСНОЕ ПРОСТРАНСТВО'!$A$3:$O$831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37" i="38" l="1"/>
  <c r="S337" i="38"/>
  <c r="T337" i="38"/>
  <c r="U337" i="38"/>
  <c r="V337" i="38"/>
  <c r="W337" i="38"/>
  <c r="X337" i="38"/>
  <c r="Y337" i="38"/>
  <c r="Z337" i="38"/>
  <c r="AA337" i="38"/>
  <c r="R338" i="38"/>
  <c r="S338" i="38"/>
  <c r="T338" i="38"/>
  <c r="U338" i="38"/>
  <c r="V338" i="38"/>
  <c r="W338" i="38"/>
  <c r="X338" i="38"/>
  <c r="Y338" i="38"/>
  <c r="Z338" i="38"/>
  <c r="AA338" i="38"/>
  <c r="R339" i="38"/>
  <c r="S339" i="38"/>
  <c r="T339" i="38"/>
  <c r="U339" i="38"/>
  <c r="V339" i="38"/>
  <c r="W339" i="38"/>
  <c r="X339" i="38"/>
  <c r="Y339" i="38"/>
  <c r="Z339" i="38"/>
  <c r="AA339" i="38"/>
  <c r="R340" i="38"/>
  <c r="S340" i="38"/>
  <c r="T340" i="38"/>
  <c r="U340" i="38"/>
  <c r="V340" i="38"/>
  <c r="W340" i="38"/>
  <c r="X340" i="38"/>
  <c r="Y340" i="38"/>
  <c r="Z340" i="38"/>
  <c r="AA340" i="38"/>
  <c r="R341" i="38"/>
  <c r="S341" i="38"/>
  <c r="T341" i="38"/>
  <c r="U341" i="38"/>
  <c r="V341" i="38"/>
  <c r="W341" i="38"/>
  <c r="X341" i="38"/>
  <c r="Y341" i="38"/>
  <c r="Z341" i="38"/>
  <c r="AA341" i="38"/>
  <c r="R342" i="38"/>
  <c r="S342" i="38"/>
  <c r="T342" i="38"/>
  <c r="U342" i="38"/>
  <c r="V342" i="38"/>
  <c r="W342" i="38"/>
  <c r="X342" i="38"/>
  <c r="Y342" i="38"/>
  <c r="Z342" i="38"/>
  <c r="AA342" i="38"/>
  <c r="R343" i="38"/>
  <c r="S343" i="38"/>
  <c r="T343" i="38"/>
  <c r="U343" i="38"/>
  <c r="V343" i="38"/>
  <c r="W343" i="38"/>
  <c r="X343" i="38"/>
  <c r="Y343" i="38"/>
  <c r="Z343" i="38"/>
  <c r="AA343" i="38"/>
  <c r="AD4" i="41" l="1"/>
  <c r="AD5" i="41"/>
  <c r="AD6" i="41"/>
  <c r="AD7" i="41"/>
  <c r="AD8" i="41"/>
  <c r="AD9" i="41"/>
  <c r="AD10" i="41"/>
  <c r="AD11" i="41"/>
  <c r="AD12" i="41"/>
  <c r="AD13" i="41"/>
  <c r="AD14" i="41"/>
  <c r="AD15" i="41"/>
  <c r="AD16" i="41"/>
  <c r="AD17" i="41"/>
  <c r="AD18" i="41"/>
  <c r="AD19" i="41"/>
  <c r="AD20" i="41"/>
  <c r="AD21" i="41"/>
  <c r="AD22" i="41"/>
  <c r="AD23" i="41"/>
  <c r="AD24" i="41"/>
  <c r="AD25" i="41"/>
  <c r="AD26" i="41"/>
  <c r="AD27" i="41"/>
  <c r="AD28" i="41"/>
  <c r="AD29" i="41"/>
  <c r="AD30" i="41"/>
  <c r="AD31" i="41"/>
  <c r="AD32" i="41"/>
  <c r="AD33" i="41"/>
  <c r="AD34" i="41"/>
  <c r="AD35" i="41"/>
  <c r="AD36" i="41"/>
  <c r="AD37" i="41"/>
  <c r="AD38" i="41"/>
  <c r="AD39" i="41"/>
  <c r="AD40" i="41"/>
  <c r="AD41" i="41"/>
  <c r="AD42" i="41"/>
  <c r="AD43" i="41"/>
  <c r="AD44" i="41"/>
  <c r="AD45" i="41"/>
  <c r="AD46" i="41"/>
  <c r="AD47" i="41"/>
  <c r="AD48" i="41"/>
  <c r="AD49" i="41"/>
  <c r="AD50" i="41"/>
  <c r="AD51" i="41"/>
  <c r="AD52" i="41"/>
  <c r="AD53" i="41"/>
  <c r="AD54" i="41"/>
  <c r="AD55" i="41"/>
  <c r="AD56" i="41"/>
  <c r="AD57" i="41"/>
  <c r="AD58" i="41"/>
  <c r="AD59" i="41"/>
  <c r="AD60" i="41"/>
  <c r="AD61" i="41"/>
  <c r="AD62" i="41"/>
  <c r="AD63" i="41"/>
  <c r="AD64" i="41"/>
  <c r="AD65" i="41"/>
  <c r="AD66" i="41"/>
  <c r="AD67" i="41"/>
  <c r="AD68" i="41"/>
  <c r="AD69" i="41"/>
  <c r="AD70" i="41"/>
  <c r="AD71" i="41"/>
  <c r="AD72" i="41"/>
  <c r="AD73" i="41"/>
  <c r="AD74" i="41"/>
  <c r="AD75" i="41"/>
  <c r="AD76" i="41"/>
  <c r="AD77" i="41"/>
  <c r="AD78" i="41"/>
  <c r="AD79" i="41"/>
  <c r="AD80" i="41"/>
  <c r="AD81" i="41"/>
  <c r="AD82" i="41"/>
  <c r="AD83" i="41"/>
  <c r="AD84" i="41"/>
  <c r="AD85" i="41"/>
  <c r="AD86" i="41"/>
  <c r="AD87" i="41"/>
  <c r="AD88" i="41"/>
  <c r="AD89" i="41"/>
  <c r="AD90" i="41"/>
  <c r="AD91" i="41"/>
  <c r="AD92" i="41"/>
  <c r="AD93" i="41"/>
  <c r="AD94" i="41"/>
  <c r="AD95" i="41"/>
  <c r="AD96" i="41"/>
  <c r="AD97" i="41"/>
  <c r="AD98" i="41"/>
  <c r="AD99" i="41"/>
  <c r="AD100" i="41"/>
  <c r="AD101" i="41"/>
  <c r="AD102" i="41"/>
  <c r="AD103" i="41"/>
  <c r="AD104" i="41"/>
  <c r="AD105" i="41"/>
  <c r="AD106" i="41"/>
  <c r="AD107" i="41"/>
  <c r="AD108" i="41"/>
  <c r="AD109" i="41"/>
  <c r="AD110" i="41"/>
  <c r="AD111" i="41"/>
  <c r="AD112" i="41"/>
  <c r="AD113" i="41"/>
  <c r="AD114" i="41"/>
  <c r="AD115" i="41"/>
  <c r="AD116" i="41"/>
  <c r="AD117" i="41"/>
  <c r="AD118" i="41"/>
  <c r="AD119" i="41"/>
  <c r="AD120" i="41"/>
  <c r="AD121" i="41"/>
  <c r="AD122" i="41"/>
  <c r="AD123" i="41"/>
  <c r="AD124" i="41"/>
  <c r="AD125" i="41"/>
  <c r="AD126" i="41"/>
  <c r="AD127" i="41"/>
  <c r="AD128" i="41"/>
  <c r="AD129" i="41"/>
  <c r="AD130" i="41"/>
  <c r="AD131" i="41"/>
  <c r="AD132" i="41"/>
  <c r="AD133" i="41"/>
  <c r="AD134" i="41"/>
  <c r="AD135" i="41"/>
  <c r="AD136" i="41"/>
  <c r="AD137" i="41"/>
  <c r="AD138" i="41"/>
  <c r="AD139" i="41"/>
  <c r="AD140" i="41"/>
  <c r="AD141" i="41"/>
  <c r="AD142" i="41"/>
  <c r="AD143" i="41"/>
  <c r="AD144" i="41"/>
  <c r="AD145" i="41"/>
  <c r="AD146" i="41"/>
  <c r="AD147" i="41"/>
  <c r="AD148" i="41"/>
  <c r="AD149" i="41"/>
  <c r="AD150" i="41"/>
  <c r="AD151" i="41"/>
  <c r="AD152" i="41"/>
  <c r="AD153" i="41"/>
  <c r="AD154" i="41"/>
  <c r="AD155" i="41"/>
  <c r="AD156" i="41"/>
  <c r="AD157" i="41"/>
  <c r="AD158" i="41"/>
  <c r="AD159" i="41"/>
  <c r="AD160" i="41"/>
  <c r="AD161" i="41"/>
  <c r="AD162" i="41"/>
  <c r="AD163" i="41"/>
  <c r="AD164" i="41"/>
  <c r="AD165" i="41"/>
  <c r="AD166" i="41"/>
  <c r="AD167" i="41"/>
  <c r="AD168" i="41"/>
  <c r="AD169" i="41"/>
  <c r="AD170" i="41"/>
  <c r="AD171" i="41"/>
  <c r="AD172" i="41"/>
  <c r="AD173" i="41"/>
  <c r="AD174" i="41"/>
  <c r="AD175" i="41"/>
  <c r="AD176" i="41"/>
  <c r="AD177" i="41"/>
  <c r="AD178" i="41"/>
  <c r="AD179" i="41"/>
  <c r="AD180" i="41"/>
  <c r="AD181" i="41"/>
  <c r="AD182" i="41"/>
  <c r="AD183" i="41"/>
  <c r="AD184" i="41"/>
  <c r="AD185" i="41"/>
  <c r="AD186" i="41"/>
  <c r="AD187" i="41"/>
  <c r="AD188" i="41"/>
  <c r="AD189" i="41"/>
  <c r="AD190" i="41"/>
  <c r="AD191" i="41"/>
  <c r="AD192" i="41"/>
  <c r="AD193" i="41"/>
  <c r="AD194" i="41"/>
  <c r="AD195" i="41"/>
  <c r="AD196" i="41"/>
  <c r="AD197" i="41"/>
  <c r="AD198" i="41"/>
  <c r="AD199" i="41"/>
  <c r="AD200" i="41"/>
  <c r="AD201" i="41"/>
  <c r="AD202" i="41"/>
  <c r="AD203" i="41"/>
  <c r="AD204" i="41"/>
  <c r="AD205" i="41"/>
  <c r="AD206" i="41"/>
  <c r="AD207" i="41"/>
  <c r="AD208" i="41"/>
  <c r="AD209" i="41"/>
  <c r="AD210" i="41"/>
  <c r="AD211" i="41"/>
  <c r="AD212" i="41"/>
  <c r="AD213" i="41"/>
  <c r="AD214" i="41"/>
  <c r="AD215" i="41"/>
  <c r="AD216" i="41"/>
  <c r="AD217" i="41"/>
  <c r="AD218" i="41"/>
  <c r="AD219" i="41"/>
  <c r="AD220" i="41"/>
  <c r="AD221" i="41"/>
  <c r="AD222" i="41"/>
  <c r="AD223" i="41"/>
  <c r="AD224" i="41"/>
  <c r="AD225" i="41"/>
  <c r="AD226" i="41"/>
  <c r="AD227" i="41"/>
  <c r="AD228" i="41"/>
  <c r="AD229" i="41"/>
  <c r="AD230" i="41"/>
  <c r="AD231" i="41"/>
  <c r="AD232" i="41"/>
  <c r="AD233" i="41"/>
  <c r="AD234" i="41"/>
  <c r="AD235" i="41"/>
  <c r="AD236" i="41"/>
  <c r="AD237" i="41"/>
  <c r="AD238" i="41"/>
  <c r="AD239" i="41"/>
  <c r="AD240" i="41"/>
  <c r="AD241" i="41"/>
  <c r="AD242" i="41"/>
  <c r="AD243" i="41"/>
  <c r="AD244" i="41"/>
  <c r="AD245" i="41"/>
  <c r="AD246" i="41"/>
  <c r="AD247" i="41"/>
  <c r="AD248" i="41"/>
  <c r="AD249" i="41"/>
  <c r="AD250" i="41"/>
  <c r="AD251" i="41"/>
  <c r="AD252" i="41"/>
  <c r="AD253" i="41"/>
  <c r="AD254" i="41"/>
  <c r="AD255" i="41"/>
  <c r="AD256" i="41"/>
  <c r="AD257" i="41"/>
  <c r="AD258" i="41"/>
  <c r="AD259" i="41"/>
  <c r="AD260" i="41"/>
  <c r="AD261" i="41"/>
  <c r="AD262" i="41"/>
  <c r="AD263" i="41"/>
  <c r="AD264" i="41"/>
  <c r="AD265" i="41"/>
  <c r="AD266" i="41"/>
  <c r="AD267" i="41"/>
  <c r="AD268" i="41"/>
  <c r="AD269" i="41"/>
  <c r="AD270" i="41"/>
  <c r="AD271" i="41"/>
  <c r="AD272" i="41"/>
  <c r="AD273" i="41"/>
  <c r="AD274" i="41"/>
  <c r="AD275" i="41"/>
  <c r="AD276" i="41"/>
  <c r="AD277" i="41"/>
  <c r="AD278" i="41"/>
  <c r="AD279" i="41"/>
  <c r="AD280" i="41"/>
  <c r="AD281" i="41"/>
  <c r="AD282" i="41"/>
  <c r="AD283" i="41"/>
  <c r="AD284" i="41"/>
  <c r="AD285" i="41"/>
  <c r="AD286" i="41"/>
  <c r="AD287" i="41"/>
  <c r="AD288" i="41"/>
  <c r="AD289" i="41"/>
  <c r="AD290" i="41"/>
  <c r="AD291" i="41"/>
  <c r="AD292" i="41"/>
  <c r="AD293" i="41"/>
  <c r="AD294" i="41"/>
  <c r="AD295" i="41"/>
  <c r="AD296" i="41"/>
  <c r="AD297" i="41"/>
  <c r="AD298" i="41"/>
  <c r="AD299" i="41"/>
  <c r="AD300" i="41"/>
  <c r="AD301" i="41"/>
  <c r="AD302" i="41"/>
  <c r="AD303" i="41"/>
  <c r="AD304" i="41"/>
  <c r="AD305" i="41"/>
  <c r="AD306" i="41"/>
  <c r="AD307" i="41"/>
  <c r="AD308" i="41"/>
  <c r="AD309" i="41"/>
  <c r="AD310" i="41"/>
  <c r="AD311" i="41"/>
  <c r="AD312" i="41"/>
  <c r="AD313" i="41"/>
  <c r="AD314" i="41"/>
  <c r="AD315" i="41"/>
  <c r="AD316" i="41"/>
  <c r="AD317" i="41"/>
  <c r="AD318" i="41"/>
  <c r="AD319" i="41"/>
  <c r="AD320" i="41"/>
  <c r="AD321" i="41"/>
  <c r="AD322" i="41"/>
  <c r="AD323" i="41"/>
  <c r="AD324" i="41"/>
  <c r="AD325" i="41"/>
  <c r="AD326" i="41"/>
  <c r="AD327" i="41"/>
  <c r="AD328" i="41"/>
  <c r="AD329" i="41"/>
  <c r="AD330" i="41"/>
  <c r="AD331" i="41"/>
  <c r="AD332" i="41"/>
  <c r="AD333" i="41"/>
  <c r="AD334" i="41"/>
  <c r="AD335" i="41"/>
  <c r="AD336" i="41"/>
  <c r="AD337" i="41"/>
  <c r="AD338" i="41"/>
  <c r="AD339" i="41"/>
  <c r="AD340" i="41"/>
  <c r="AD341" i="41"/>
  <c r="AD342" i="41"/>
  <c r="AD343" i="41"/>
  <c r="AD344" i="41"/>
  <c r="AD345" i="41"/>
  <c r="AD346" i="41"/>
  <c r="AD347" i="41"/>
  <c r="AD348" i="41"/>
  <c r="AD349" i="41"/>
  <c r="AD350" i="41"/>
  <c r="AD351" i="41"/>
  <c r="AD352" i="41"/>
  <c r="AD353" i="41"/>
  <c r="AD354" i="41"/>
  <c r="AD355" i="41"/>
  <c r="AD356" i="41"/>
  <c r="AD357" i="41"/>
  <c r="AD358" i="41"/>
  <c r="AD359" i="41"/>
  <c r="AD360" i="41"/>
  <c r="AD361" i="41"/>
  <c r="AD362" i="41"/>
  <c r="AD363" i="41"/>
  <c r="AD364" i="41"/>
  <c r="AD365" i="41"/>
  <c r="AD366" i="41"/>
  <c r="AD367" i="41"/>
  <c r="AD368" i="41"/>
  <c r="AD369" i="41"/>
  <c r="AD370" i="41"/>
  <c r="AD371" i="41"/>
  <c r="AD372" i="41"/>
  <c r="AD373" i="41"/>
  <c r="AD374" i="41"/>
  <c r="AD375" i="41"/>
  <c r="AD376" i="41"/>
  <c r="AD377" i="41"/>
  <c r="AD378" i="41"/>
  <c r="AD379" i="41"/>
  <c r="AD380" i="41"/>
  <c r="AD381" i="41"/>
  <c r="AD382" i="41"/>
  <c r="AD383" i="41"/>
  <c r="AD384" i="41"/>
  <c r="AD385" i="41"/>
  <c r="AD386" i="41"/>
  <c r="AD387" i="41"/>
  <c r="AD388" i="41"/>
  <c r="AD389" i="41"/>
  <c r="AD390" i="41"/>
  <c r="AD391" i="41"/>
  <c r="AD392" i="41"/>
  <c r="AD393" i="41"/>
  <c r="AD394" i="41"/>
  <c r="AD395" i="41"/>
  <c r="AD396" i="41"/>
  <c r="AD397" i="41"/>
  <c r="AD398" i="41"/>
  <c r="AD399" i="41"/>
  <c r="AD400" i="41"/>
  <c r="AD401" i="41"/>
  <c r="AD402" i="41"/>
  <c r="AD403" i="41"/>
  <c r="AD404" i="41"/>
  <c r="AD405" i="41"/>
  <c r="AD406" i="41"/>
  <c r="AD407" i="41"/>
  <c r="AD408" i="41"/>
  <c r="AD409" i="41"/>
  <c r="AD410" i="41"/>
  <c r="AD411" i="41"/>
  <c r="AD412" i="41"/>
  <c r="AD413" i="41"/>
  <c r="AD414" i="41"/>
  <c r="AD415" i="41"/>
  <c r="AD416" i="41"/>
  <c r="AD417" i="41"/>
  <c r="AD418" i="41"/>
  <c r="AD419" i="41"/>
  <c r="AD420" i="41"/>
  <c r="AD421" i="41"/>
  <c r="AD422" i="41"/>
  <c r="AD423" i="41"/>
  <c r="AD424" i="41"/>
  <c r="AD425" i="41"/>
  <c r="AD426" i="41"/>
  <c r="AD427" i="41"/>
  <c r="AD428" i="41"/>
  <c r="AD429" i="41"/>
  <c r="AD430" i="41"/>
  <c r="AD431" i="41"/>
  <c r="AD432" i="41"/>
  <c r="AD433" i="41"/>
  <c r="AD434" i="41"/>
  <c r="AD435" i="41"/>
  <c r="AD436" i="41"/>
  <c r="AD437" i="41"/>
  <c r="AD438" i="41"/>
  <c r="AD439" i="41"/>
  <c r="AD440" i="41"/>
  <c r="AD441" i="41"/>
  <c r="AD442" i="41"/>
  <c r="AD443" i="41"/>
  <c r="AD444" i="41"/>
  <c r="AD445" i="41"/>
  <c r="AD446" i="41"/>
  <c r="AD447" i="41"/>
  <c r="AD448" i="41"/>
  <c r="AD449" i="41"/>
  <c r="AD450" i="41"/>
  <c r="AD451" i="41"/>
  <c r="AD452" i="41"/>
  <c r="AD453" i="41"/>
  <c r="AD454" i="41"/>
  <c r="AD455" i="41"/>
  <c r="AD456" i="41"/>
  <c r="AD457" i="41"/>
  <c r="AD458" i="41"/>
  <c r="AD459" i="41"/>
  <c r="AD460" i="41"/>
  <c r="AD461" i="41"/>
  <c r="AD462" i="41"/>
  <c r="AD463" i="41"/>
  <c r="AD464" i="41"/>
  <c r="AD465" i="41"/>
  <c r="AD466" i="41"/>
  <c r="AD467" i="41"/>
  <c r="AD468" i="41"/>
  <c r="AD469" i="41"/>
  <c r="AD470" i="41"/>
  <c r="AD471" i="41"/>
  <c r="AD472" i="41"/>
  <c r="AD473" i="41"/>
  <c r="AD474" i="41"/>
  <c r="AD475" i="41"/>
  <c r="AD476" i="41"/>
  <c r="AD477" i="41"/>
  <c r="AD478" i="41"/>
  <c r="AD479" i="41"/>
  <c r="AD480" i="41"/>
  <c r="AD481" i="41"/>
  <c r="AD482" i="41"/>
  <c r="AD483" i="41"/>
  <c r="AD484" i="41"/>
  <c r="AD485" i="41"/>
  <c r="AD486" i="41"/>
  <c r="AD487" i="41"/>
  <c r="AD488" i="41"/>
  <c r="AD489" i="41"/>
  <c r="AD490" i="41"/>
  <c r="AD491" i="41"/>
  <c r="AD492" i="41"/>
  <c r="AD493" i="41"/>
  <c r="AD494" i="41"/>
  <c r="AD495" i="41"/>
  <c r="AD496" i="41"/>
  <c r="AD497" i="41"/>
  <c r="AD498" i="41"/>
  <c r="AD499" i="41"/>
  <c r="AD500" i="41"/>
  <c r="AD501" i="41"/>
  <c r="AD502" i="41"/>
  <c r="AD503" i="41"/>
  <c r="AD504" i="41"/>
  <c r="AD505" i="41"/>
  <c r="AD506" i="41"/>
  <c r="AD507" i="41"/>
  <c r="AD508" i="41"/>
  <c r="AD509" i="41"/>
  <c r="AD510" i="41"/>
  <c r="AD511" i="41"/>
  <c r="AD512" i="41"/>
  <c r="AD513" i="41"/>
  <c r="AD514" i="41"/>
  <c r="AD515" i="41"/>
  <c r="AD516" i="41"/>
  <c r="AD517" i="41"/>
  <c r="AD518" i="41"/>
  <c r="AD519" i="41"/>
  <c r="AD520" i="41"/>
  <c r="AD521" i="41"/>
  <c r="AD522" i="41"/>
  <c r="AD523" i="41"/>
  <c r="AD524" i="41"/>
  <c r="AD525" i="41"/>
  <c r="AD526" i="41"/>
  <c r="AD527" i="41"/>
  <c r="AD528" i="41"/>
  <c r="AD529" i="41"/>
  <c r="AD530" i="41"/>
  <c r="AD531" i="41"/>
  <c r="AD532" i="41"/>
  <c r="AD533" i="41"/>
  <c r="AD534" i="41"/>
  <c r="AD535" i="41"/>
  <c r="AD536" i="41"/>
  <c r="AD537" i="41"/>
  <c r="AD538" i="41"/>
  <c r="AD539" i="41"/>
  <c r="AD540" i="41"/>
  <c r="AD541" i="41"/>
  <c r="AD542" i="41"/>
  <c r="AD543" i="41"/>
  <c r="AD544" i="41"/>
  <c r="AD545" i="41"/>
  <c r="AD546" i="41"/>
  <c r="AD547" i="41"/>
  <c r="AD548" i="41"/>
  <c r="AD549" i="41"/>
  <c r="AD550" i="41"/>
  <c r="AD551" i="41"/>
  <c r="AD552" i="41"/>
  <c r="AD553" i="41"/>
  <c r="AD554" i="41"/>
  <c r="AD555" i="41"/>
  <c r="AD556" i="41"/>
  <c r="AD557" i="41"/>
  <c r="AD558" i="41"/>
  <c r="AD559" i="41"/>
  <c r="AD560" i="41"/>
  <c r="AD561" i="41"/>
  <c r="AD562" i="41"/>
  <c r="AD563" i="41"/>
  <c r="AD564" i="41"/>
  <c r="AD565" i="41"/>
  <c r="AD566" i="41"/>
  <c r="AD567" i="41"/>
  <c r="AD568" i="41"/>
  <c r="AD569" i="41"/>
  <c r="AD570" i="41"/>
  <c r="AD571" i="41"/>
  <c r="AD572" i="41"/>
  <c r="AD573" i="41"/>
  <c r="AD574" i="41"/>
  <c r="AD575" i="41"/>
  <c r="AD576" i="41"/>
  <c r="AD577" i="41"/>
  <c r="AD578" i="41"/>
  <c r="AD579" i="41"/>
  <c r="AD580" i="41"/>
  <c r="AD581" i="41"/>
  <c r="AD582" i="41"/>
  <c r="AD583" i="41"/>
  <c r="AD584" i="41"/>
  <c r="AD585" i="41"/>
  <c r="AD586" i="41"/>
  <c r="AD587" i="41"/>
  <c r="AD588" i="41"/>
  <c r="AD589" i="41"/>
  <c r="AD590" i="41"/>
  <c r="AD591" i="41"/>
  <c r="AD592" i="41"/>
  <c r="AD593" i="41"/>
  <c r="AD594" i="41"/>
  <c r="AD595" i="41"/>
  <c r="AD596" i="41"/>
  <c r="AD597" i="41"/>
  <c r="AD598" i="41"/>
  <c r="AD599" i="41"/>
  <c r="AD600" i="41"/>
  <c r="AD601" i="41"/>
  <c r="AD602" i="41"/>
  <c r="AD603" i="41"/>
  <c r="AD604" i="41"/>
  <c r="AD605" i="41"/>
  <c r="AD606" i="41"/>
  <c r="AD607" i="41"/>
  <c r="AD608" i="41"/>
  <c r="AD609" i="41"/>
  <c r="AD610" i="41"/>
  <c r="AD611" i="41"/>
  <c r="AD612" i="41"/>
  <c r="AD613" i="41"/>
  <c r="AD614" i="41"/>
  <c r="AD615" i="41"/>
  <c r="AD616" i="41"/>
  <c r="AD617" i="41"/>
  <c r="AD618" i="41"/>
  <c r="AD619" i="41"/>
  <c r="AD620" i="41"/>
  <c r="AD621" i="41"/>
  <c r="AD622" i="41"/>
  <c r="AD623" i="41"/>
  <c r="AD624" i="41"/>
  <c r="AD625" i="41"/>
  <c r="AD626" i="41"/>
  <c r="AD627" i="41"/>
  <c r="AD628" i="41"/>
  <c r="AD629" i="41"/>
  <c r="AD630" i="41"/>
  <c r="AD631" i="41"/>
  <c r="AD632" i="41"/>
  <c r="AD633" i="41"/>
  <c r="AD634" i="41"/>
  <c r="AD635" i="41"/>
  <c r="AD636" i="41"/>
  <c r="AD637" i="41"/>
  <c r="AD638" i="41"/>
  <c r="AD639" i="41"/>
  <c r="AD640" i="41"/>
  <c r="AD641" i="41"/>
  <c r="AD642" i="41"/>
  <c r="AD643" i="41"/>
  <c r="AD644" i="41"/>
  <c r="AD645" i="41"/>
  <c r="AD646" i="41"/>
  <c r="AD647" i="41"/>
  <c r="AD648" i="41"/>
  <c r="AD649" i="41"/>
  <c r="AD650" i="41"/>
  <c r="AD651" i="41"/>
  <c r="AD652" i="41"/>
  <c r="AD653" i="41"/>
  <c r="AD654" i="41"/>
  <c r="AD655" i="41"/>
  <c r="AD656" i="41"/>
  <c r="AD657" i="41"/>
  <c r="AD658" i="41"/>
  <c r="AD659" i="41"/>
  <c r="AD660" i="41"/>
  <c r="AD661" i="41"/>
  <c r="AD662" i="41"/>
  <c r="AD663" i="41"/>
  <c r="AD664" i="41"/>
  <c r="AD665" i="41"/>
  <c r="AD666" i="41"/>
  <c r="AD667" i="41"/>
  <c r="AD668" i="41"/>
  <c r="AD669" i="41"/>
  <c r="AD670" i="41"/>
  <c r="AD671" i="41"/>
  <c r="AD672" i="41"/>
  <c r="AD673" i="41"/>
  <c r="AD674" i="41"/>
  <c r="AD675" i="41"/>
  <c r="AD676" i="41"/>
  <c r="AD677" i="41"/>
  <c r="AD678" i="41"/>
  <c r="AD679" i="41"/>
  <c r="AD680" i="41"/>
  <c r="AD681" i="41"/>
  <c r="AD682" i="41"/>
  <c r="AD683" i="41"/>
  <c r="AD684" i="41"/>
  <c r="AD685" i="41"/>
  <c r="AD686" i="41"/>
  <c r="AD687" i="41"/>
  <c r="AD688" i="41"/>
  <c r="AD689" i="41"/>
  <c r="AD690" i="41"/>
  <c r="AD691" i="41"/>
  <c r="AD692" i="41"/>
  <c r="AD693" i="41"/>
  <c r="AD694" i="41"/>
  <c r="AD695" i="41"/>
  <c r="AD696" i="41"/>
  <c r="AD697" i="41"/>
  <c r="AD698" i="41"/>
  <c r="AD699" i="41"/>
  <c r="AD700" i="41"/>
  <c r="AD701" i="41"/>
  <c r="AD702" i="41"/>
  <c r="AD703" i="41"/>
  <c r="AD704" i="41"/>
  <c r="AD705" i="41"/>
  <c r="AD706" i="41"/>
  <c r="AD707" i="41"/>
  <c r="AD708" i="41"/>
  <c r="AD709" i="41"/>
  <c r="AD710" i="41"/>
  <c r="AD711" i="41"/>
  <c r="AD712" i="41"/>
  <c r="AD713" i="41"/>
  <c r="AD714" i="41"/>
  <c r="AD715" i="41"/>
  <c r="AD716" i="41"/>
  <c r="AD717" i="41"/>
  <c r="AD718" i="41"/>
  <c r="AD719" i="41"/>
  <c r="AD720" i="41"/>
  <c r="AD721" i="41"/>
  <c r="AD722" i="41"/>
  <c r="AD723" i="41"/>
  <c r="AD724" i="41"/>
  <c r="AD725" i="41"/>
  <c r="AD726" i="41"/>
  <c r="AD727" i="41"/>
  <c r="AD728" i="41"/>
  <c r="AD729" i="41"/>
  <c r="AD730" i="41"/>
  <c r="AD731" i="41"/>
  <c r="AD732" i="41"/>
  <c r="AD733" i="41"/>
  <c r="AD734" i="41"/>
  <c r="AD735" i="41"/>
  <c r="AD736" i="41"/>
  <c r="AD737" i="41"/>
  <c r="AD738" i="41"/>
  <c r="AD739" i="41"/>
  <c r="AD740" i="41"/>
  <c r="AD741" i="41"/>
  <c r="AD742" i="41"/>
  <c r="AD743" i="41"/>
  <c r="AD744" i="41"/>
  <c r="AD745" i="41"/>
  <c r="AD746" i="41"/>
  <c r="AD747" i="41"/>
  <c r="AD748" i="41"/>
  <c r="AD749" i="41"/>
  <c r="AD750" i="41"/>
  <c r="AD751" i="41"/>
  <c r="AD752" i="41"/>
  <c r="AD753" i="41"/>
  <c r="AD754" i="41"/>
  <c r="AD755" i="41"/>
  <c r="AD756" i="41"/>
  <c r="AD757" i="41"/>
  <c r="AD758" i="41"/>
  <c r="AD759" i="41"/>
  <c r="AD760" i="41"/>
  <c r="AD761" i="41"/>
  <c r="AD762" i="41"/>
  <c r="AD763" i="41"/>
  <c r="AD764" i="41"/>
  <c r="AD765" i="41"/>
  <c r="AD766" i="41"/>
  <c r="AD767" i="41"/>
  <c r="AD768" i="41"/>
  <c r="AD831" i="41"/>
  <c r="AC4" i="41"/>
  <c r="AC5" i="41"/>
  <c r="AC6" i="41"/>
  <c r="AC7" i="41"/>
  <c r="AC8" i="41"/>
  <c r="AC9" i="41"/>
  <c r="AC10" i="41"/>
  <c r="AC11" i="41"/>
  <c r="AC12" i="41"/>
  <c r="AC13" i="41"/>
  <c r="AC14" i="41"/>
  <c r="AC15" i="41"/>
  <c r="AC16" i="41"/>
  <c r="AC17" i="41"/>
  <c r="AC18" i="41"/>
  <c r="AC19" i="41"/>
  <c r="AC20" i="41"/>
  <c r="AC21" i="41"/>
  <c r="AC22" i="41"/>
  <c r="AC23" i="41"/>
  <c r="AC24" i="41"/>
  <c r="AC25" i="41"/>
  <c r="AC26" i="41"/>
  <c r="AC27" i="41"/>
  <c r="AC28" i="41"/>
  <c r="AC29" i="41"/>
  <c r="AC30" i="41"/>
  <c r="AC31" i="41"/>
  <c r="AC32" i="41"/>
  <c r="AC33" i="41"/>
  <c r="AC34" i="41"/>
  <c r="AC35" i="41"/>
  <c r="AC36" i="41"/>
  <c r="AC37" i="41"/>
  <c r="AC38" i="41"/>
  <c r="AC39" i="41"/>
  <c r="AC40" i="41"/>
  <c r="AC41" i="41"/>
  <c r="AC42" i="41"/>
  <c r="AC43" i="41"/>
  <c r="AC44" i="41"/>
  <c r="AC45" i="41"/>
  <c r="AC46" i="41"/>
  <c r="AC47" i="41"/>
  <c r="AC48" i="41"/>
  <c r="AC49" i="41"/>
  <c r="AC50" i="41"/>
  <c r="AC51" i="41"/>
  <c r="AC52" i="41"/>
  <c r="AC53" i="41"/>
  <c r="AC54" i="41"/>
  <c r="AC55" i="41"/>
  <c r="AC56" i="41"/>
  <c r="AC57" i="41"/>
  <c r="AC58" i="41"/>
  <c r="AC59" i="41"/>
  <c r="AC60" i="41"/>
  <c r="AC61" i="41"/>
  <c r="AC62" i="41"/>
  <c r="AC63" i="41"/>
  <c r="AC64" i="41"/>
  <c r="AC65" i="41"/>
  <c r="AC66" i="41"/>
  <c r="AC67" i="41"/>
  <c r="AC68" i="41"/>
  <c r="AC69" i="41"/>
  <c r="AC70" i="41"/>
  <c r="AC71" i="41"/>
  <c r="AC72" i="41"/>
  <c r="AC73" i="41"/>
  <c r="AC74" i="41"/>
  <c r="AC75" i="41"/>
  <c r="AC76" i="41"/>
  <c r="AC77" i="41"/>
  <c r="AC78" i="41"/>
  <c r="AC79" i="41"/>
  <c r="AC80" i="41"/>
  <c r="AC81" i="41"/>
  <c r="AC82" i="41"/>
  <c r="AC83" i="41"/>
  <c r="AC84" i="41"/>
  <c r="AC85" i="41"/>
  <c r="AC86" i="41"/>
  <c r="AC87" i="41"/>
  <c r="AC88" i="41"/>
  <c r="AC89" i="41"/>
  <c r="AC90" i="41"/>
  <c r="AC91" i="41"/>
  <c r="AC92" i="41"/>
  <c r="AC93" i="41"/>
  <c r="AC94" i="41"/>
  <c r="AC95" i="41"/>
  <c r="AC96" i="41"/>
  <c r="AC97" i="41"/>
  <c r="AC98" i="41"/>
  <c r="AC99" i="41"/>
  <c r="AC100" i="41"/>
  <c r="AC101" i="41"/>
  <c r="AC102" i="41"/>
  <c r="AC103" i="41"/>
  <c r="AC104" i="41"/>
  <c r="AC105" i="41"/>
  <c r="AC106" i="41"/>
  <c r="AC107" i="41"/>
  <c r="AC108" i="41"/>
  <c r="AC109" i="41"/>
  <c r="AC110" i="41"/>
  <c r="AC111" i="41"/>
  <c r="AC112" i="41"/>
  <c r="AC113" i="41"/>
  <c r="AC114" i="41"/>
  <c r="AC115" i="41"/>
  <c r="AC116" i="41"/>
  <c r="AC117" i="41"/>
  <c r="AC118" i="41"/>
  <c r="AC119" i="41"/>
  <c r="AC120" i="41"/>
  <c r="AC121" i="41"/>
  <c r="AC122" i="41"/>
  <c r="AC123" i="41"/>
  <c r="AC124" i="41"/>
  <c r="AC125" i="41"/>
  <c r="AC126" i="41"/>
  <c r="AC127" i="41"/>
  <c r="AC128" i="41"/>
  <c r="AC129" i="41"/>
  <c r="AC130" i="41"/>
  <c r="AC131" i="41"/>
  <c r="AC132" i="41"/>
  <c r="AC133" i="41"/>
  <c r="AC134" i="41"/>
  <c r="AC135" i="41"/>
  <c r="AC136" i="41"/>
  <c r="AC137" i="41"/>
  <c r="AC138" i="41"/>
  <c r="AC139" i="41"/>
  <c r="AC140" i="41"/>
  <c r="AC141" i="41"/>
  <c r="AC142" i="41"/>
  <c r="AC143" i="41"/>
  <c r="AC144" i="41"/>
  <c r="AC145" i="41"/>
  <c r="AC146" i="41"/>
  <c r="AC147" i="41"/>
  <c r="AC148" i="41"/>
  <c r="AC149" i="41"/>
  <c r="AC150" i="41"/>
  <c r="AC151" i="41"/>
  <c r="AC152" i="41"/>
  <c r="AC153" i="41"/>
  <c r="AC154" i="41"/>
  <c r="AC155" i="41"/>
  <c r="AC156" i="41"/>
  <c r="AC157" i="41"/>
  <c r="AC158" i="41"/>
  <c r="AC159" i="41"/>
  <c r="AC160" i="41"/>
  <c r="AC161" i="41"/>
  <c r="AC162" i="41"/>
  <c r="AC163" i="41"/>
  <c r="AC164" i="41"/>
  <c r="AC165" i="41"/>
  <c r="AC166" i="41"/>
  <c r="AC167" i="41"/>
  <c r="AC168" i="41"/>
  <c r="AC169" i="41"/>
  <c r="AC170" i="41"/>
  <c r="AC171" i="41"/>
  <c r="AC172" i="41"/>
  <c r="AC173" i="41"/>
  <c r="AC174" i="41"/>
  <c r="AC175" i="41"/>
  <c r="AC176" i="41"/>
  <c r="AC177" i="41"/>
  <c r="AC178" i="41"/>
  <c r="AC179" i="41"/>
  <c r="AC180" i="41"/>
  <c r="AC181" i="41"/>
  <c r="AC182" i="41"/>
  <c r="AC183" i="41"/>
  <c r="AC184" i="41"/>
  <c r="AC185" i="41"/>
  <c r="AC186" i="41"/>
  <c r="AC187" i="41"/>
  <c r="AC188" i="41"/>
  <c r="AC189" i="41"/>
  <c r="AC190" i="41"/>
  <c r="AC191" i="41"/>
  <c r="AC192" i="41"/>
  <c r="AC193" i="41"/>
  <c r="AC194" i="41"/>
  <c r="AC195" i="41"/>
  <c r="AC196" i="41"/>
  <c r="AC197" i="41"/>
  <c r="AC198" i="41"/>
  <c r="AC199" i="41"/>
  <c r="AC200" i="41"/>
  <c r="AC201" i="41"/>
  <c r="AC202" i="41"/>
  <c r="AC203" i="41"/>
  <c r="AC204" i="41"/>
  <c r="AC205" i="41"/>
  <c r="AC206" i="41"/>
  <c r="AC207" i="41"/>
  <c r="AC208" i="41"/>
  <c r="AC209" i="41"/>
  <c r="AC210" i="41"/>
  <c r="AC211" i="41"/>
  <c r="AC212" i="41"/>
  <c r="AC213" i="41"/>
  <c r="AC214" i="41"/>
  <c r="AC215" i="41"/>
  <c r="AC216" i="41"/>
  <c r="AC217" i="41"/>
  <c r="AC218" i="41"/>
  <c r="AC219" i="41"/>
  <c r="AC220" i="41"/>
  <c r="AC221" i="41"/>
  <c r="AC222" i="41"/>
  <c r="AC223" i="41"/>
  <c r="AC224" i="41"/>
  <c r="AC225" i="41"/>
  <c r="AC226" i="41"/>
  <c r="AC227" i="41"/>
  <c r="AC228" i="41"/>
  <c r="AC229" i="41"/>
  <c r="AC230" i="41"/>
  <c r="AC231" i="41"/>
  <c r="AC232" i="41"/>
  <c r="AC233" i="41"/>
  <c r="AC234" i="41"/>
  <c r="AC235" i="41"/>
  <c r="AC236" i="41"/>
  <c r="AC237" i="41"/>
  <c r="AC238" i="41"/>
  <c r="AC239" i="41"/>
  <c r="AC240" i="41"/>
  <c r="AC241" i="41"/>
  <c r="AC242" i="41"/>
  <c r="AC243" i="41"/>
  <c r="AC244" i="41"/>
  <c r="AC245" i="41"/>
  <c r="AC246" i="41"/>
  <c r="AC247" i="41"/>
  <c r="AC248" i="41"/>
  <c r="AC249" i="41"/>
  <c r="AC250" i="41"/>
  <c r="AC251" i="41"/>
  <c r="AC252" i="41"/>
  <c r="AC253" i="41"/>
  <c r="AC254" i="41"/>
  <c r="AC255" i="41"/>
  <c r="AC256" i="41"/>
  <c r="AC257" i="41"/>
  <c r="AC258" i="41"/>
  <c r="AC259" i="41"/>
  <c r="AC260" i="41"/>
  <c r="AC261" i="41"/>
  <c r="AC262" i="41"/>
  <c r="AC263" i="41"/>
  <c r="AC264" i="41"/>
  <c r="AC265" i="41"/>
  <c r="AC266" i="41"/>
  <c r="AC267" i="41"/>
  <c r="AC268" i="41"/>
  <c r="AC269" i="41"/>
  <c r="AC270" i="41"/>
  <c r="AC271" i="41"/>
  <c r="AC272" i="41"/>
  <c r="AC273" i="41"/>
  <c r="AC274" i="41"/>
  <c r="AC275" i="41"/>
  <c r="AC276" i="41"/>
  <c r="AC277" i="41"/>
  <c r="AC278" i="41"/>
  <c r="AC279" i="41"/>
  <c r="AC280" i="41"/>
  <c r="AC281" i="41"/>
  <c r="AC282" i="41"/>
  <c r="AC283" i="41"/>
  <c r="AC284" i="41"/>
  <c r="AC285" i="41"/>
  <c r="AC286" i="41"/>
  <c r="AC287" i="41"/>
  <c r="AC288" i="41"/>
  <c r="AC289" i="41"/>
  <c r="AC290" i="41"/>
  <c r="AC291" i="41"/>
  <c r="AC292" i="41"/>
  <c r="AC293" i="41"/>
  <c r="AC294" i="41"/>
  <c r="AC295" i="41"/>
  <c r="AC296" i="41"/>
  <c r="AC297" i="41"/>
  <c r="AC298" i="41"/>
  <c r="AC299" i="41"/>
  <c r="AC300" i="41"/>
  <c r="AC301" i="41"/>
  <c r="AC302" i="41"/>
  <c r="AC303" i="41"/>
  <c r="AC304" i="41"/>
  <c r="AC305" i="41"/>
  <c r="AC306" i="41"/>
  <c r="AC307" i="41"/>
  <c r="AC308" i="41"/>
  <c r="AC309" i="41"/>
  <c r="AC310" i="41"/>
  <c r="AC311" i="41"/>
  <c r="AC312" i="41"/>
  <c r="AC313" i="41"/>
  <c r="AC314" i="41"/>
  <c r="AC315" i="41"/>
  <c r="AC316" i="41"/>
  <c r="AC317" i="41"/>
  <c r="AC318" i="41"/>
  <c r="AC319" i="41"/>
  <c r="AC320" i="41"/>
  <c r="AC321" i="41"/>
  <c r="AC322" i="41"/>
  <c r="AC323" i="41"/>
  <c r="AC324" i="41"/>
  <c r="AC325" i="41"/>
  <c r="AC326" i="41"/>
  <c r="AC327" i="41"/>
  <c r="AC328" i="41"/>
  <c r="AC329" i="41"/>
  <c r="AC330" i="41"/>
  <c r="AC331" i="41"/>
  <c r="AC332" i="41"/>
  <c r="AC333" i="41"/>
  <c r="AC334" i="41"/>
  <c r="AC335" i="41"/>
  <c r="AC336" i="41"/>
  <c r="AC337" i="41"/>
  <c r="AC338" i="41"/>
  <c r="AC339" i="41"/>
  <c r="AC340" i="41"/>
  <c r="AC341" i="41"/>
  <c r="AC342" i="41"/>
  <c r="AC343" i="41"/>
  <c r="AC344" i="41"/>
  <c r="AC345" i="41"/>
  <c r="AC346" i="41"/>
  <c r="AC347" i="41"/>
  <c r="AC348" i="41"/>
  <c r="AC349" i="41"/>
  <c r="AC350" i="41"/>
  <c r="AC351" i="41"/>
  <c r="AC352" i="41"/>
  <c r="AC353" i="41"/>
  <c r="AC354" i="41"/>
  <c r="AC355" i="41"/>
  <c r="AC356" i="41"/>
  <c r="AC357" i="41"/>
  <c r="AC358" i="41"/>
  <c r="AC359" i="41"/>
  <c r="AC360" i="41"/>
  <c r="AC361" i="41"/>
  <c r="AC362" i="41"/>
  <c r="AC363" i="41"/>
  <c r="AC364" i="41"/>
  <c r="AC365" i="41"/>
  <c r="AC366" i="41"/>
  <c r="AC367" i="41"/>
  <c r="AC368" i="41"/>
  <c r="AC369" i="41"/>
  <c r="AC370" i="41"/>
  <c r="AC371" i="41"/>
  <c r="AC372" i="41"/>
  <c r="AC373" i="41"/>
  <c r="AC374" i="41"/>
  <c r="AC375" i="41"/>
  <c r="AC376" i="41"/>
  <c r="AC377" i="41"/>
  <c r="AC378" i="41"/>
  <c r="AC379" i="41"/>
  <c r="AC380" i="41"/>
  <c r="AC381" i="41"/>
  <c r="AC382" i="41"/>
  <c r="AC383" i="41"/>
  <c r="AC384" i="41"/>
  <c r="AC385" i="41"/>
  <c r="AC386" i="41"/>
  <c r="AC387" i="41"/>
  <c r="AC388" i="41"/>
  <c r="AC389" i="41"/>
  <c r="AC390" i="41"/>
  <c r="AC391" i="41"/>
  <c r="AC392" i="41"/>
  <c r="AC393" i="41"/>
  <c r="AC394" i="41"/>
  <c r="AC395" i="41"/>
  <c r="AC396" i="41"/>
  <c r="AC397" i="41"/>
  <c r="AC398" i="41"/>
  <c r="AC399" i="41"/>
  <c r="AC400" i="41"/>
  <c r="AC401" i="41"/>
  <c r="AC402" i="41"/>
  <c r="AC403" i="41"/>
  <c r="AC404" i="41"/>
  <c r="AC405" i="41"/>
  <c r="AC406" i="41"/>
  <c r="AC407" i="41"/>
  <c r="AC408" i="41"/>
  <c r="AC409" i="41"/>
  <c r="AC410" i="41"/>
  <c r="AC411" i="41"/>
  <c r="AC412" i="41"/>
  <c r="AC413" i="41"/>
  <c r="AC414" i="41"/>
  <c r="AC415" i="41"/>
  <c r="AC416" i="41"/>
  <c r="AC417" i="41"/>
  <c r="AC418" i="41"/>
  <c r="AC419" i="41"/>
  <c r="AC420" i="41"/>
  <c r="AC421" i="41"/>
  <c r="AC422" i="41"/>
  <c r="AC423" i="41"/>
  <c r="AC424" i="41"/>
  <c r="AC425" i="41"/>
  <c r="AC426" i="41"/>
  <c r="AC427" i="41"/>
  <c r="AC428" i="41"/>
  <c r="AC429" i="41"/>
  <c r="AC430" i="41"/>
  <c r="AC431" i="41"/>
  <c r="AC432" i="41"/>
  <c r="AC433" i="41"/>
  <c r="AC434" i="41"/>
  <c r="AC435" i="41"/>
  <c r="AC436" i="41"/>
  <c r="AC437" i="41"/>
  <c r="AC438" i="41"/>
  <c r="AC439" i="41"/>
  <c r="AC440" i="41"/>
  <c r="AC441" i="41"/>
  <c r="AC442" i="41"/>
  <c r="AC443" i="41"/>
  <c r="AC444" i="41"/>
  <c r="AC445" i="41"/>
  <c r="AC446" i="41"/>
  <c r="AC447" i="41"/>
  <c r="AC448" i="41"/>
  <c r="AC449" i="41"/>
  <c r="AC450" i="41"/>
  <c r="AC451" i="41"/>
  <c r="AC452" i="41"/>
  <c r="AC453" i="41"/>
  <c r="AC454" i="41"/>
  <c r="AC455" i="41"/>
  <c r="AC456" i="41"/>
  <c r="AC457" i="41"/>
  <c r="AC458" i="41"/>
  <c r="AC459" i="41"/>
  <c r="AC460" i="41"/>
  <c r="AC461" i="41"/>
  <c r="AC462" i="41"/>
  <c r="AC463" i="41"/>
  <c r="AC464" i="41"/>
  <c r="AC465" i="41"/>
  <c r="AC466" i="41"/>
  <c r="AC467" i="41"/>
  <c r="AC468" i="41"/>
  <c r="AC469" i="41"/>
  <c r="AC470" i="41"/>
  <c r="AC471" i="41"/>
  <c r="AC472" i="41"/>
  <c r="AC473" i="41"/>
  <c r="AC474" i="41"/>
  <c r="AC475" i="41"/>
  <c r="AC476" i="41"/>
  <c r="AC477" i="41"/>
  <c r="AC478" i="41"/>
  <c r="AC479" i="41"/>
  <c r="AC480" i="41"/>
  <c r="AC481" i="41"/>
  <c r="AC482" i="41"/>
  <c r="AC483" i="41"/>
  <c r="AC484" i="41"/>
  <c r="AC485" i="41"/>
  <c r="AC486" i="41"/>
  <c r="AC487" i="41"/>
  <c r="AC488" i="41"/>
  <c r="AC489" i="41"/>
  <c r="AC490" i="41"/>
  <c r="AC491" i="41"/>
  <c r="AC492" i="41"/>
  <c r="AC493" i="41"/>
  <c r="AC494" i="41"/>
  <c r="AC495" i="41"/>
  <c r="AC496" i="41"/>
  <c r="AC497" i="41"/>
  <c r="AC498" i="41"/>
  <c r="AC499" i="41"/>
  <c r="AC500" i="41"/>
  <c r="AC501" i="41"/>
  <c r="AC502" i="41"/>
  <c r="AC503" i="41"/>
  <c r="AC504" i="41"/>
  <c r="AC505" i="41"/>
  <c r="AC506" i="41"/>
  <c r="AC507" i="41"/>
  <c r="AC508" i="41"/>
  <c r="AC509" i="41"/>
  <c r="AC510" i="41"/>
  <c r="AC511" i="41"/>
  <c r="AC512" i="41"/>
  <c r="AC513" i="41"/>
  <c r="AC514" i="41"/>
  <c r="AC515" i="41"/>
  <c r="AC516" i="41"/>
  <c r="AC517" i="41"/>
  <c r="AC518" i="41"/>
  <c r="AC519" i="41"/>
  <c r="AC520" i="41"/>
  <c r="AC521" i="41"/>
  <c r="AC522" i="41"/>
  <c r="AC523" i="41"/>
  <c r="AC524" i="41"/>
  <c r="AC525" i="41"/>
  <c r="AC526" i="41"/>
  <c r="AC527" i="41"/>
  <c r="AC528" i="41"/>
  <c r="AC529" i="41"/>
  <c r="AC530" i="41"/>
  <c r="AC531" i="41"/>
  <c r="AC532" i="41"/>
  <c r="AC533" i="41"/>
  <c r="AC534" i="41"/>
  <c r="AC535" i="41"/>
  <c r="AC536" i="41"/>
  <c r="AC537" i="41"/>
  <c r="AC538" i="41"/>
  <c r="AC539" i="41"/>
  <c r="AC540" i="41"/>
  <c r="AC541" i="41"/>
  <c r="AC542" i="41"/>
  <c r="AC543" i="41"/>
  <c r="AC544" i="41"/>
  <c r="AC545" i="41"/>
  <c r="AC546" i="41"/>
  <c r="AC547" i="41"/>
  <c r="AC548" i="41"/>
  <c r="AC549" i="41"/>
  <c r="AC550" i="41"/>
  <c r="AC551" i="41"/>
  <c r="AC552" i="41"/>
  <c r="AC553" i="41"/>
  <c r="AC554" i="41"/>
  <c r="AC555" i="41"/>
  <c r="AC556" i="41"/>
  <c r="AC557" i="41"/>
  <c r="AC558" i="41"/>
  <c r="AC559" i="41"/>
  <c r="AC560" i="41"/>
  <c r="AC561" i="41"/>
  <c r="AC562" i="41"/>
  <c r="AC563" i="41"/>
  <c r="AC564" i="41"/>
  <c r="AC565" i="41"/>
  <c r="AC566" i="41"/>
  <c r="AC567" i="41"/>
  <c r="AC568" i="41"/>
  <c r="AC569" i="41"/>
  <c r="AC570" i="41"/>
  <c r="AC571" i="41"/>
  <c r="AC572" i="41"/>
  <c r="AC573" i="41"/>
  <c r="AC574" i="41"/>
  <c r="AC575" i="41"/>
  <c r="AC576" i="41"/>
  <c r="AC577" i="41"/>
  <c r="AC578" i="41"/>
  <c r="AC579" i="41"/>
  <c r="AC580" i="41"/>
  <c r="AC581" i="41"/>
  <c r="AC582" i="41"/>
  <c r="AC583" i="41"/>
  <c r="AC584" i="41"/>
  <c r="AC585" i="41"/>
  <c r="AC586" i="41"/>
  <c r="AC587" i="41"/>
  <c r="AC588" i="41"/>
  <c r="AC589" i="41"/>
  <c r="AC590" i="41"/>
  <c r="AC591" i="41"/>
  <c r="AC592" i="41"/>
  <c r="AC593" i="41"/>
  <c r="AC594" i="41"/>
  <c r="AC595" i="41"/>
  <c r="AC596" i="41"/>
  <c r="AC597" i="41"/>
  <c r="AC598" i="41"/>
  <c r="AC599" i="41"/>
  <c r="AC600" i="41"/>
  <c r="AC601" i="41"/>
  <c r="AC602" i="41"/>
  <c r="AC603" i="41"/>
  <c r="AC604" i="41"/>
  <c r="AC605" i="41"/>
  <c r="AC606" i="41"/>
  <c r="AC607" i="41"/>
  <c r="AC608" i="41"/>
  <c r="AC609" i="41"/>
  <c r="AC610" i="41"/>
  <c r="AC611" i="41"/>
  <c r="AC612" i="41"/>
  <c r="AC613" i="41"/>
  <c r="AC614" i="41"/>
  <c r="AC615" i="41"/>
  <c r="AC616" i="41"/>
  <c r="AC617" i="41"/>
  <c r="AC618" i="41"/>
  <c r="AC619" i="41"/>
  <c r="AC620" i="41"/>
  <c r="AC621" i="41"/>
  <c r="AC622" i="41"/>
  <c r="AC623" i="41"/>
  <c r="AC624" i="41"/>
  <c r="AC625" i="41"/>
  <c r="AC626" i="41"/>
  <c r="AC627" i="41"/>
  <c r="AC628" i="41"/>
  <c r="AC629" i="41"/>
  <c r="AC630" i="41"/>
  <c r="AC631" i="41"/>
  <c r="AC632" i="41"/>
  <c r="AC633" i="41"/>
  <c r="AC634" i="41"/>
  <c r="AC635" i="41"/>
  <c r="AC636" i="41"/>
  <c r="AC637" i="41"/>
  <c r="AC638" i="41"/>
  <c r="AC639" i="41"/>
  <c r="AC640" i="41"/>
  <c r="AC641" i="41"/>
  <c r="AC642" i="41"/>
  <c r="AC643" i="41"/>
  <c r="AC644" i="41"/>
  <c r="AC645" i="41"/>
  <c r="AC646" i="41"/>
  <c r="AC647" i="41"/>
  <c r="AC648" i="41"/>
  <c r="AC649" i="41"/>
  <c r="AC650" i="41"/>
  <c r="AC651" i="41"/>
  <c r="AC652" i="41"/>
  <c r="AC653" i="41"/>
  <c r="AC654" i="41"/>
  <c r="AC655" i="41"/>
  <c r="AC656" i="41"/>
  <c r="AC657" i="41"/>
  <c r="AC658" i="41"/>
  <c r="AC659" i="41"/>
  <c r="AC660" i="41"/>
  <c r="AC661" i="41"/>
  <c r="AC662" i="41"/>
  <c r="AC663" i="41"/>
  <c r="AC664" i="41"/>
  <c r="AC665" i="41"/>
  <c r="AC666" i="41"/>
  <c r="AC667" i="41"/>
  <c r="AC668" i="41"/>
  <c r="AC669" i="41"/>
  <c r="AC670" i="41"/>
  <c r="AC671" i="41"/>
  <c r="AC672" i="41"/>
  <c r="AC673" i="41"/>
  <c r="AC674" i="41"/>
  <c r="AC675" i="41"/>
  <c r="AC676" i="41"/>
  <c r="AC677" i="41"/>
  <c r="AC678" i="41"/>
  <c r="AC679" i="41"/>
  <c r="AC680" i="41"/>
  <c r="AC681" i="41"/>
  <c r="AC682" i="41"/>
  <c r="AC683" i="41"/>
  <c r="AC684" i="41"/>
  <c r="AC685" i="41"/>
  <c r="AC686" i="41"/>
  <c r="AC687" i="41"/>
  <c r="AC688" i="41"/>
  <c r="AC689" i="41"/>
  <c r="AC690" i="41"/>
  <c r="AC691" i="41"/>
  <c r="AC692" i="41"/>
  <c r="AC693" i="41"/>
  <c r="AC694" i="41"/>
  <c r="AC695" i="41"/>
  <c r="AC696" i="41"/>
  <c r="AC697" i="41"/>
  <c r="AC698" i="41"/>
  <c r="AC699" i="41"/>
  <c r="AC700" i="41"/>
  <c r="AC701" i="41"/>
  <c r="AC702" i="41"/>
  <c r="AC703" i="41"/>
  <c r="AC704" i="41"/>
  <c r="AC705" i="41"/>
  <c r="AC706" i="41"/>
  <c r="AC707" i="41"/>
  <c r="AC708" i="41"/>
  <c r="AC709" i="41"/>
  <c r="AC710" i="41"/>
  <c r="AC711" i="41"/>
  <c r="AC712" i="41"/>
  <c r="AC713" i="41"/>
  <c r="AC714" i="41"/>
  <c r="AC715" i="41"/>
  <c r="AC716" i="41"/>
  <c r="AC717" i="41"/>
  <c r="AC718" i="41"/>
  <c r="AC719" i="41"/>
  <c r="AC720" i="41"/>
  <c r="AC721" i="41"/>
  <c r="AC722" i="41"/>
  <c r="AC723" i="41"/>
  <c r="AC724" i="41"/>
  <c r="AC725" i="41"/>
  <c r="AC726" i="41"/>
  <c r="AC727" i="41"/>
  <c r="AC728" i="41"/>
  <c r="AC729" i="41"/>
  <c r="AC730" i="41"/>
  <c r="AC731" i="41"/>
  <c r="AC732" i="41"/>
  <c r="AC733" i="41"/>
  <c r="AC734" i="41"/>
  <c r="AC735" i="41"/>
  <c r="AC736" i="41"/>
  <c r="AC737" i="41"/>
  <c r="AC738" i="41"/>
  <c r="AC739" i="41"/>
  <c r="AC740" i="41"/>
  <c r="AC741" i="41"/>
  <c r="AC742" i="41"/>
  <c r="AC743" i="41"/>
  <c r="AC744" i="41"/>
  <c r="AC745" i="41"/>
  <c r="AC746" i="41"/>
  <c r="AC747" i="41"/>
  <c r="AC748" i="41"/>
  <c r="AC749" i="41"/>
  <c r="AC750" i="41"/>
  <c r="AC751" i="41"/>
  <c r="AC752" i="41"/>
  <c r="AC753" i="41"/>
  <c r="AC754" i="41"/>
  <c r="AC755" i="41"/>
  <c r="AC756" i="41"/>
  <c r="AC757" i="41"/>
  <c r="AC758" i="41"/>
  <c r="AC759" i="41"/>
  <c r="AC760" i="41"/>
  <c r="AC761" i="41"/>
  <c r="AC762" i="41"/>
  <c r="AC763" i="41"/>
  <c r="AC764" i="41"/>
  <c r="AC765" i="41"/>
  <c r="AC766" i="41"/>
  <c r="AC767" i="41"/>
  <c r="AC768" i="41"/>
  <c r="AC831" i="41"/>
  <c r="N2" i="43" l="1"/>
  <c r="N3" i="43"/>
  <c r="N4" i="43"/>
  <c r="N5" i="43"/>
  <c r="N6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N37" i="43"/>
  <c r="N38" i="43"/>
  <c r="N39" i="43"/>
  <c r="N40" i="43"/>
  <c r="N41" i="43"/>
  <c r="N42" i="43"/>
  <c r="N43" i="43"/>
  <c r="N44" i="43"/>
  <c r="N45" i="43"/>
  <c r="N46" i="43"/>
  <c r="N47" i="43"/>
  <c r="N48" i="43"/>
  <c r="N49" i="43"/>
  <c r="N50" i="43"/>
  <c r="N51" i="43"/>
  <c r="N52" i="43"/>
  <c r="N53" i="43"/>
  <c r="N54" i="43"/>
  <c r="N55" i="43"/>
  <c r="N56" i="43"/>
  <c r="N57" i="43"/>
  <c r="N58" i="43"/>
  <c r="N59" i="43"/>
  <c r="N60" i="43"/>
  <c r="N61" i="43"/>
  <c r="N62" i="43"/>
  <c r="N63" i="43"/>
  <c r="N64" i="43"/>
  <c r="N65" i="43"/>
  <c r="N66" i="43"/>
  <c r="N67" i="43"/>
  <c r="N68" i="43"/>
  <c r="N69" i="43"/>
  <c r="N70" i="43"/>
  <c r="N71" i="43"/>
  <c r="N72" i="43"/>
  <c r="N73" i="43"/>
  <c r="N74" i="43"/>
  <c r="N75" i="43"/>
  <c r="N76" i="43"/>
  <c r="N77" i="43"/>
  <c r="N78" i="43"/>
  <c r="N79" i="43"/>
  <c r="N80" i="43"/>
  <c r="N81" i="43"/>
  <c r="N82" i="43"/>
  <c r="N83" i="43"/>
  <c r="N84" i="43"/>
  <c r="N85" i="43"/>
  <c r="N86" i="43"/>
  <c r="N87" i="43"/>
  <c r="N88" i="43"/>
  <c r="N89" i="43"/>
  <c r="N90" i="43"/>
  <c r="N91" i="43"/>
  <c r="N92" i="43"/>
  <c r="N93" i="43"/>
  <c r="N94" i="43"/>
  <c r="N95" i="43"/>
  <c r="N96" i="43"/>
  <c r="N97" i="43"/>
  <c r="N98" i="43"/>
  <c r="N99" i="43"/>
  <c r="N100" i="43"/>
  <c r="N101" i="43"/>
  <c r="N102" i="43"/>
  <c r="N103" i="43"/>
  <c r="N104" i="43"/>
  <c r="N105" i="43"/>
  <c r="N106" i="43"/>
  <c r="N107" i="43"/>
  <c r="N108" i="43"/>
  <c r="N109" i="43"/>
  <c r="N110" i="43"/>
  <c r="N111" i="43"/>
  <c r="N112" i="43"/>
  <c r="N113" i="43"/>
  <c r="N114" i="43"/>
  <c r="N115" i="43"/>
  <c r="N116" i="43"/>
  <c r="N117" i="43"/>
  <c r="N118" i="43"/>
  <c r="N119" i="43"/>
  <c r="N120" i="43"/>
  <c r="N121" i="43"/>
  <c r="S333" i="38" l="1"/>
  <c r="T333" i="38"/>
  <c r="U333" i="38"/>
  <c r="V333" i="38"/>
  <c r="W333" i="38"/>
  <c r="X333" i="38"/>
  <c r="Y333" i="38"/>
  <c r="Z333" i="38"/>
  <c r="AA333" i="38"/>
  <c r="S334" i="38"/>
  <c r="T334" i="38"/>
  <c r="U334" i="38"/>
  <c r="V334" i="38"/>
  <c r="W334" i="38"/>
  <c r="X334" i="38"/>
  <c r="Y334" i="38"/>
  <c r="Z334" i="38"/>
  <c r="AA334" i="38"/>
  <c r="S335" i="38"/>
  <c r="T335" i="38"/>
  <c r="U335" i="38"/>
  <c r="V335" i="38"/>
  <c r="W335" i="38"/>
  <c r="X335" i="38"/>
  <c r="Y335" i="38"/>
  <c r="Z335" i="38"/>
  <c r="AA335" i="38"/>
  <c r="S336" i="38"/>
  <c r="T336" i="38"/>
  <c r="U336" i="38"/>
  <c r="V336" i="38"/>
  <c r="W336" i="38"/>
  <c r="X336" i="38"/>
  <c r="Y336" i="38"/>
  <c r="Z336" i="38"/>
  <c r="AA336" i="38"/>
  <c r="R5" i="38"/>
  <c r="R6" i="38"/>
  <c r="R7" i="38"/>
  <c r="R8" i="38"/>
  <c r="R9" i="38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8" i="38"/>
  <c r="R39" i="38"/>
  <c r="R40" i="38"/>
  <c r="R41" i="38"/>
  <c r="R42" i="38"/>
  <c r="R43" i="38"/>
  <c r="R44" i="38"/>
  <c r="R45" i="38"/>
  <c r="R46" i="38"/>
  <c r="R47" i="38"/>
  <c r="R48" i="38"/>
  <c r="R49" i="38"/>
  <c r="R50" i="38"/>
  <c r="R51" i="38"/>
  <c r="R52" i="38"/>
  <c r="R53" i="38"/>
  <c r="R54" i="38"/>
  <c r="R55" i="38"/>
  <c r="R56" i="38"/>
  <c r="R57" i="38"/>
  <c r="R58" i="38"/>
  <c r="R59" i="38"/>
  <c r="R60" i="38"/>
  <c r="R61" i="38"/>
  <c r="R62" i="38"/>
  <c r="R63" i="38"/>
  <c r="R64" i="38"/>
  <c r="R65" i="38"/>
  <c r="R66" i="38"/>
  <c r="R67" i="38"/>
  <c r="R68" i="38"/>
  <c r="R69" i="38"/>
  <c r="R70" i="38"/>
  <c r="R71" i="38"/>
  <c r="R72" i="38"/>
  <c r="R73" i="38"/>
  <c r="R74" i="38"/>
  <c r="R75" i="38"/>
  <c r="R76" i="38"/>
  <c r="R77" i="38"/>
  <c r="R78" i="38"/>
  <c r="R79" i="38"/>
  <c r="R80" i="38"/>
  <c r="R81" i="38"/>
  <c r="R82" i="38"/>
  <c r="R83" i="38"/>
  <c r="R84" i="38"/>
  <c r="R85" i="38"/>
  <c r="R86" i="38"/>
  <c r="R87" i="38"/>
  <c r="R88" i="38"/>
  <c r="R89" i="38"/>
  <c r="R90" i="38"/>
  <c r="R91" i="38"/>
  <c r="R92" i="38"/>
  <c r="R93" i="38"/>
  <c r="R94" i="38"/>
  <c r="R95" i="38"/>
  <c r="R96" i="38"/>
  <c r="R97" i="38"/>
  <c r="R98" i="38"/>
  <c r="R99" i="38"/>
  <c r="R100" i="38"/>
  <c r="R101" i="38"/>
  <c r="R102" i="38"/>
  <c r="R103" i="38"/>
  <c r="R104" i="38"/>
  <c r="R105" i="38"/>
  <c r="R106" i="38"/>
  <c r="R107" i="38"/>
  <c r="R108" i="38"/>
  <c r="R109" i="38"/>
  <c r="R110" i="38"/>
  <c r="R111" i="38"/>
  <c r="R112" i="38"/>
  <c r="R113" i="38"/>
  <c r="R114" i="38"/>
  <c r="R115" i="38"/>
  <c r="R116" i="38"/>
  <c r="R117" i="38"/>
  <c r="R118" i="38"/>
  <c r="R119" i="38"/>
  <c r="R120" i="38"/>
  <c r="R121" i="38"/>
  <c r="R122" i="38"/>
  <c r="R123" i="38"/>
  <c r="R124" i="38"/>
  <c r="R125" i="38"/>
  <c r="R126" i="38"/>
  <c r="R127" i="38"/>
  <c r="R128" i="38"/>
  <c r="R129" i="38"/>
  <c r="R130" i="38"/>
  <c r="R131" i="38"/>
  <c r="R132" i="38"/>
  <c r="R133" i="38"/>
  <c r="R134" i="38"/>
  <c r="R135" i="38"/>
  <c r="R136" i="38"/>
  <c r="R137" i="38"/>
  <c r="R138" i="38"/>
  <c r="R139" i="38"/>
  <c r="R140" i="38"/>
  <c r="R141" i="38"/>
  <c r="R142" i="38"/>
  <c r="R143" i="38"/>
  <c r="R144" i="38"/>
  <c r="R145" i="38"/>
  <c r="R146" i="38"/>
  <c r="R147" i="38"/>
  <c r="R148" i="38"/>
  <c r="R149" i="38"/>
  <c r="R150" i="38"/>
  <c r="R151" i="38"/>
  <c r="R152" i="38"/>
  <c r="R153" i="38"/>
  <c r="R154" i="38"/>
  <c r="R155" i="38"/>
  <c r="R156" i="38"/>
  <c r="R157" i="38"/>
  <c r="R158" i="38"/>
  <c r="R159" i="38"/>
  <c r="R160" i="38"/>
  <c r="R161" i="38"/>
  <c r="R162" i="38"/>
  <c r="R163" i="38"/>
  <c r="R164" i="38"/>
  <c r="R165" i="38"/>
  <c r="R166" i="38"/>
  <c r="R167" i="38"/>
  <c r="R168" i="38"/>
  <c r="R169" i="38"/>
  <c r="R170" i="38"/>
  <c r="R171" i="38"/>
  <c r="R172" i="38"/>
  <c r="R173" i="38"/>
  <c r="R174" i="38"/>
  <c r="R175" i="38"/>
  <c r="R176" i="38"/>
  <c r="R177" i="38"/>
  <c r="R178" i="38"/>
  <c r="R179" i="38"/>
  <c r="R180" i="38"/>
  <c r="R181" i="38"/>
  <c r="R182" i="38"/>
  <c r="R183" i="38"/>
  <c r="R184" i="38"/>
  <c r="R185" i="38"/>
  <c r="R186" i="38"/>
  <c r="R187" i="38"/>
  <c r="R188" i="38"/>
  <c r="R189" i="38"/>
  <c r="R190" i="38"/>
  <c r="R191" i="38"/>
  <c r="R192" i="38"/>
  <c r="R193" i="38"/>
  <c r="R194" i="38"/>
  <c r="R195" i="38"/>
  <c r="R196" i="38"/>
  <c r="R197" i="38"/>
  <c r="R198" i="38"/>
  <c r="R199" i="38"/>
  <c r="R200" i="38"/>
  <c r="R201" i="38"/>
  <c r="R202" i="38"/>
  <c r="R203" i="38"/>
  <c r="R204" i="38"/>
  <c r="R205" i="38"/>
  <c r="R206" i="38"/>
  <c r="R207" i="38"/>
  <c r="R208" i="38"/>
  <c r="R209" i="38"/>
  <c r="R210" i="38"/>
  <c r="R211" i="38"/>
  <c r="R212" i="38"/>
  <c r="R213" i="38"/>
  <c r="R214" i="38"/>
  <c r="R215" i="38"/>
  <c r="R216" i="38"/>
  <c r="R217" i="38"/>
  <c r="R218" i="38"/>
  <c r="R219" i="38"/>
  <c r="R220" i="38"/>
  <c r="R221" i="38"/>
  <c r="R222" i="38"/>
  <c r="R223" i="38"/>
  <c r="R224" i="38"/>
  <c r="R225" i="38"/>
  <c r="R226" i="38"/>
  <c r="R227" i="38"/>
  <c r="R228" i="38"/>
  <c r="R229" i="38"/>
  <c r="R230" i="38"/>
  <c r="R231" i="38"/>
  <c r="R232" i="38"/>
  <c r="R233" i="38"/>
  <c r="R234" i="38"/>
  <c r="R235" i="38"/>
  <c r="R236" i="38"/>
  <c r="R237" i="38"/>
  <c r="R238" i="38"/>
  <c r="R239" i="38"/>
  <c r="R240" i="38"/>
  <c r="R241" i="38"/>
  <c r="R242" i="38"/>
  <c r="R243" i="38"/>
  <c r="R244" i="38"/>
  <c r="R245" i="38"/>
  <c r="R246" i="38"/>
  <c r="R247" i="38"/>
  <c r="R248" i="38"/>
  <c r="R249" i="38"/>
  <c r="R250" i="38"/>
  <c r="R251" i="38"/>
  <c r="R252" i="38"/>
  <c r="R253" i="38"/>
  <c r="R254" i="38"/>
  <c r="R255" i="38"/>
  <c r="R256" i="38"/>
  <c r="R257" i="38"/>
  <c r="R258" i="38"/>
  <c r="R259" i="38"/>
  <c r="R260" i="38"/>
  <c r="R261" i="38"/>
  <c r="R262" i="38"/>
  <c r="R263" i="38"/>
  <c r="R264" i="38"/>
  <c r="R265" i="38"/>
  <c r="R266" i="38"/>
  <c r="R267" i="38"/>
  <c r="R268" i="38"/>
  <c r="R269" i="38"/>
  <c r="R270" i="38"/>
  <c r="R271" i="38"/>
  <c r="R272" i="38"/>
  <c r="R273" i="38"/>
  <c r="R274" i="38"/>
  <c r="R275" i="38"/>
  <c r="R276" i="38"/>
  <c r="R277" i="38"/>
  <c r="R278" i="38"/>
  <c r="R279" i="38"/>
  <c r="R280" i="38"/>
  <c r="R281" i="38"/>
  <c r="R282" i="38"/>
  <c r="R283" i="38"/>
  <c r="R284" i="38"/>
  <c r="R285" i="38"/>
  <c r="R286" i="38"/>
  <c r="R287" i="38"/>
  <c r="R288" i="38"/>
  <c r="R289" i="38"/>
  <c r="R290" i="38"/>
  <c r="R291" i="38"/>
  <c r="R292" i="38"/>
  <c r="R293" i="38"/>
  <c r="R294" i="38"/>
  <c r="R295" i="38"/>
  <c r="R296" i="38"/>
  <c r="R297" i="38"/>
  <c r="R298" i="38"/>
  <c r="R299" i="38"/>
  <c r="R300" i="38"/>
  <c r="R301" i="38"/>
  <c r="R302" i="38"/>
  <c r="R303" i="38"/>
  <c r="R304" i="38"/>
  <c r="R305" i="38"/>
  <c r="R306" i="38"/>
  <c r="R307" i="38"/>
  <c r="R308" i="38"/>
  <c r="R309" i="38"/>
  <c r="R310" i="38"/>
  <c r="R311" i="38"/>
  <c r="R312" i="38"/>
  <c r="R313" i="38"/>
  <c r="R314" i="38"/>
  <c r="R315" i="38"/>
  <c r="R316" i="38"/>
  <c r="R317" i="38"/>
  <c r="R318" i="38"/>
  <c r="R319" i="38"/>
  <c r="R320" i="38"/>
  <c r="R321" i="38"/>
  <c r="R322" i="38"/>
  <c r="R323" i="38"/>
  <c r="R324" i="38"/>
  <c r="R325" i="38"/>
  <c r="R326" i="38"/>
  <c r="R327" i="38"/>
  <c r="R328" i="38"/>
  <c r="R329" i="38"/>
  <c r="R330" i="38"/>
  <c r="R331" i="38"/>
  <c r="R332" i="38"/>
  <c r="R333" i="38"/>
  <c r="R334" i="38"/>
  <c r="R335" i="38"/>
  <c r="R336" i="38"/>
  <c r="R355" i="38"/>
  <c r="AB4" i="41" l="1"/>
  <c r="AB5" i="41"/>
  <c r="AB6" i="41"/>
  <c r="AB7" i="41"/>
  <c r="AB8" i="41"/>
  <c r="AB9" i="41"/>
  <c r="AB10" i="41"/>
  <c r="AB11" i="41"/>
  <c r="AB12" i="41"/>
  <c r="AB13" i="41"/>
  <c r="AB14" i="41"/>
  <c r="AB15" i="41"/>
  <c r="AB16" i="41"/>
  <c r="AB17" i="41"/>
  <c r="AB18" i="41"/>
  <c r="AB19" i="41"/>
  <c r="AB20" i="41"/>
  <c r="AB21" i="41"/>
  <c r="AB22" i="41"/>
  <c r="AB23" i="41"/>
  <c r="AB24" i="41"/>
  <c r="AB25" i="41"/>
  <c r="AB26" i="41"/>
  <c r="AB27" i="41"/>
  <c r="AB28" i="41"/>
  <c r="AB29" i="41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8" i="41"/>
  <c r="AB49" i="41"/>
  <c r="AB50" i="41"/>
  <c r="AB51" i="41"/>
  <c r="AB52" i="41"/>
  <c r="AB53" i="41"/>
  <c r="AB54" i="41"/>
  <c r="AB55" i="41"/>
  <c r="AB56" i="41"/>
  <c r="AB57" i="41"/>
  <c r="AB58" i="41"/>
  <c r="AB59" i="41"/>
  <c r="AB60" i="41"/>
  <c r="AB61" i="41"/>
  <c r="AB62" i="41"/>
  <c r="AB63" i="41"/>
  <c r="AB64" i="41"/>
  <c r="AB65" i="41"/>
  <c r="AB66" i="41"/>
  <c r="AB67" i="41"/>
  <c r="AB68" i="41"/>
  <c r="AB69" i="41"/>
  <c r="AB70" i="41"/>
  <c r="AB71" i="41"/>
  <c r="AB72" i="41"/>
  <c r="AB73" i="41"/>
  <c r="AB74" i="41"/>
  <c r="AB75" i="41"/>
  <c r="AB76" i="41"/>
  <c r="AB77" i="41"/>
  <c r="AB78" i="41"/>
  <c r="AB79" i="41"/>
  <c r="AB80" i="41"/>
  <c r="AB81" i="41"/>
  <c r="AB82" i="41"/>
  <c r="AB83" i="41"/>
  <c r="AB84" i="41"/>
  <c r="AB85" i="41"/>
  <c r="AB86" i="41"/>
  <c r="AB87" i="41"/>
  <c r="AB88" i="41"/>
  <c r="AB89" i="41"/>
  <c r="AB90" i="41"/>
  <c r="AB91" i="41"/>
  <c r="AB92" i="41"/>
  <c r="AB93" i="41"/>
  <c r="AB94" i="41"/>
  <c r="AB95" i="41"/>
  <c r="AB96" i="41"/>
  <c r="AB97" i="41"/>
  <c r="AB98" i="41"/>
  <c r="AB99" i="41"/>
  <c r="AB100" i="41"/>
  <c r="AB101" i="41"/>
  <c r="AB102" i="41"/>
  <c r="AB103" i="41"/>
  <c r="AB104" i="41"/>
  <c r="AB105" i="41"/>
  <c r="AB106" i="41"/>
  <c r="AB107" i="41"/>
  <c r="AB108" i="41"/>
  <c r="AB109" i="41"/>
  <c r="AB110" i="41"/>
  <c r="AB111" i="41"/>
  <c r="AB112" i="41"/>
  <c r="AB113" i="41"/>
  <c r="AB114" i="41"/>
  <c r="AB115" i="41"/>
  <c r="AB116" i="41"/>
  <c r="AB117" i="41"/>
  <c r="AB118" i="41"/>
  <c r="AB119" i="41"/>
  <c r="AB120" i="41"/>
  <c r="AB121" i="41"/>
  <c r="AB122" i="41"/>
  <c r="AB123" i="41"/>
  <c r="AB124" i="41"/>
  <c r="AB125" i="41"/>
  <c r="AB126" i="41"/>
  <c r="AB127" i="41"/>
  <c r="AB128" i="41"/>
  <c r="AB129" i="41"/>
  <c r="AB130" i="41"/>
  <c r="AB131" i="41"/>
  <c r="AB132" i="41"/>
  <c r="AB133" i="41"/>
  <c r="AB134" i="41"/>
  <c r="AB135" i="41"/>
  <c r="AB136" i="41"/>
  <c r="AB137" i="41"/>
  <c r="AB138" i="41"/>
  <c r="AB139" i="41"/>
  <c r="AB140" i="41"/>
  <c r="AB141" i="41"/>
  <c r="AB142" i="41"/>
  <c r="AB143" i="41"/>
  <c r="AB144" i="41"/>
  <c r="AB145" i="41"/>
  <c r="AB146" i="41"/>
  <c r="AB147" i="41"/>
  <c r="AB148" i="41"/>
  <c r="AB149" i="41"/>
  <c r="AB150" i="41"/>
  <c r="AB151" i="41"/>
  <c r="AB152" i="41"/>
  <c r="AB153" i="41"/>
  <c r="AB154" i="41"/>
  <c r="AB155" i="41"/>
  <c r="AB156" i="41"/>
  <c r="AB157" i="41"/>
  <c r="AB158" i="41"/>
  <c r="AB159" i="41"/>
  <c r="AB160" i="41"/>
  <c r="AB161" i="41"/>
  <c r="AB162" i="41"/>
  <c r="AB163" i="41"/>
  <c r="AB164" i="41"/>
  <c r="AB165" i="41"/>
  <c r="AB166" i="41"/>
  <c r="AB167" i="41"/>
  <c r="AB168" i="41"/>
  <c r="AB169" i="41"/>
  <c r="AB170" i="41"/>
  <c r="AB171" i="41"/>
  <c r="AB172" i="41"/>
  <c r="AB173" i="41"/>
  <c r="AB174" i="41"/>
  <c r="AB175" i="41"/>
  <c r="AB176" i="41"/>
  <c r="AB177" i="41"/>
  <c r="AB178" i="41"/>
  <c r="AB179" i="41"/>
  <c r="AB180" i="41"/>
  <c r="AB181" i="41"/>
  <c r="AB182" i="41"/>
  <c r="AB183" i="41"/>
  <c r="AB184" i="41"/>
  <c r="AB185" i="41"/>
  <c r="AB186" i="41"/>
  <c r="AB187" i="41"/>
  <c r="AB188" i="41"/>
  <c r="AB189" i="41"/>
  <c r="AB190" i="41"/>
  <c r="AB191" i="41"/>
  <c r="AB192" i="41"/>
  <c r="AB193" i="41"/>
  <c r="AB194" i="41"/>
  <c r="AB195" i="41"/>
  <c r="AB196" i="41"/>
  <c r="AB197" i="41"/>
  <c r="AB198" i="41"/>
  <c r="AB199" i="41"/>
  <c r="AB200" i="41"/>
  <c r="AB201" i="41"/>
  <c r="AB202" i="41"/>
  <c r="AB203" i="41"/>
  <c r="AB204" i="41"/>
  <c r="AB205" i="41"/>
  <c r="AB206" i="41"/>
  <c r="AB207" i="41"/>
  <c r="AB208" i="41"/>
  <c r="AB209" i="41"/>
  <c r="AB210" i="41"/>
  <c r="AB211" i="41"/>
  <c r="AB212" i="41"/>
  <c r="AB213" i="41"/>
  <c r="AB214" i="41"/>
  <c r="AB215" i="41"/>
  <c r="AB216" i="41"/>
  <c r="AB217" i="41"/>
  <c r="AB218" i="41"/>
  <c r="AB219" i="41"/>
  <c r="AB220" i="41"/>
  <c r="AB221" i="41"/>
  <c r="AB222" i="41"/>
  <c r="AB223" i="41"/>
  <c r="AB224" i="41"/>
  <c r="AB225" i="41"/>
  <c r="AB226" i="41"/>
  <c r="AB227" i="41"/>
  <c r="AB228" i="41"/>
  <c r="AB229" i="41"/>
  <c r="AB230" i="41"/>
  <c r="AB231" i="41"/>
  <c r="AB232" i="41"/>
  <c r="AB233" i="41"/>
  <c r="AB234" i="41"/>
  <c r="AB235" i="41"/>
  <c r="AB236" i="41"/>
  <c r="AB237" i="41"/>
  <c r="AB238" i="41"/>
  <c r="AB239" i="41"/>
  <c r="AB240" i="41"/>
  <c r="AB241" i="41"/>
  <c r="AB242" i="41"/>
  <c r="AB243" i="41"/>
  <c r="AB244" i="41"/>
  <c r="AB245" i="41"/>
  <c r="AB246" i="41"/>
  <c r="AB247" i="41"/>
  <c r="AB248" i="41"/>
  <c r="AB249" i="41"/>
  <c r="AB250" i="41"/>
  <c r="AB251" i="41"/>
  <c r="AB252" i="41"/>
  <c r="AB253" i="41"/>
  <c r="AB254" i="41"/>
  <c r="AB255" i="41"/>
  <c r="AB256" i="41"/>
  <c r="AB257" i="41"/>
  <c r="AB258" i="41"/>
  <c r="AB259" i="41"/>
  <c r="AB260" i="41"/>
  <c r="AB261" i="41"/>
  <c r="AB262" i="41"/>
  <c r="AB263" i="41"/>
  <c r="AB264" i="41"/>
  <c r="AB265" i="41"/>
  <c r="AB266" i="41"/>
  <c r="AB267" i="41"/>
  <c r="AB268" i="41"/>
  <c r="AB269" i="41"/>
  <c r="AB270" i="41"/>
  <c r="AB271" i="41"/>
  <c r="AB272" i="41"/>
  <c r="AB273" i="41"/>
  <c r="AB274" i="41"/>
  <c r="AB275" i="41"/>
  <c r="AB276" i="41"/>
  <c r="AB277" i="41"/>
  <c r="AB278" i="41"/>
  <c r="AB279" i="41"/>
  <c r="AB280" i="41"/>
  <c r="AB281" i="41"/>
  <c r="AB282" i="41"/>
  <c r="AB283" i="41"/>
  <c r="AB284" i="41"/>
  <c r="AB285" i="41"/>
  <c r="AB286" i="41"/>
  <c r="AB287" i="41"/>
  <c r="AB288" i="41"/>
  <c r="AB289" i="41"/>
  <c r="AB290" i="41"/>
  <c r="AB291" i="41"/>
  <c r="AB292" i="41"/>
  <c r="AB293" i="41"/>
  <c r="AB294" i="41"/>
  <c r="AB295" i="41"/>
  <c r="AB296" i="4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AB320" i="41"/>
  <c r="AB321" i="41"/>
  <c r="AB322" i="41"/>
  <c r="AB323" i="41"/>
  <c r="AB324" i="41"/>
  <c r="AB325" i="41"/>
  <c r="AB326" i="41"/>
  <c r="AB327" i="41"/>
  <c r="AB328" i="41"/>
  <c r="AB329" i="41"/>
  <c r="AB330" i="41"/>
  <c r="AB331" i="41"/>
  <c r="AB332" i="41"/>
  <c r="AB333" i="41"/>
  <c r="AB334" i="41"/>
  <c r="AB335" i="41"/>
  <c r="AB336" i="41"/>
  <c r="AB337" i="41"/>
  <c r="AB338" i="41"/>
  <c r="AB339" i="41"/>
  <c r="AB340" i="41"/>
  <c r="AB341" i="41"/>
  <c r="AB342" i="41"/>
  <c r="AB343" i="41"/>
  <c r="AB344" i="41"/>
  <c r="AB345" i="41"/>
  <c r="AB346" i="41"/>
  <c r="AB347" i="41"/>
  <c r="AB348" i="41"/>
  <c r="AB349" i="41"/>
  <c r="AB350" i="41"/>
  <c r="AB351" i="41"/>
  <c r="AB352" i="41"/>
  <c r="AB353" i="41"/>
  <c r="AB354" i="41"/>
  <c r="AB355" i="41"/>
  <c r="AB356" i="41"/>
  <c r="AB357" i="41"/>
  <c r="AB358" i="41"/>
  <c r="AB359" i="41"/>
  <c r="AB360" i="41"/>
  <c r="AB361" i="41"/>
  <c r="AB362" i="41"/>
  <c r="AB363" i="41"/>
  <c r="AB364" i="41"/>
  <c r="AB365" i="41"/>
  <c r="AB366" i="41"/>
  <c r="AB367" i="41"/>
  <c r="AB368" i="41"/>
  <c r="AB369" i="41"/>
  <c r="AB370" i="41"/>
  <c r="AB371" i="41"/>
  <c r="AB372" i="41"/>
  <c r="AB373" i="41"/>
  <c r="AB374" i="41"/>
  <c r="AB375" i="41"/>
  <c r="AB376" i="41"/>
  <c r="AB377" i="41"/>
  <c r="AB378" i="41"/>
  <c r="AB379" i="41"/>
  <c r="AB380" i="41"/>
  <c r="AB381" i="41"/>
  <c r="AB382" i="41"/>
  <c r="AB383" i="41"/>
  <c r="AB384" i="41"/>
  <c r="AB385" i="41"/>
  <c r="AB386" i="41"/>
  <c r="AB387" i="41"/>
  <c r="AB388" i="41"/>
  <c r="AB389" i="41"/>
  <c r="AB390" i="41"/>
  <c r="AB391" i="41"/>
  <c r="AB392" i="41"/>
  <c r="AB393" i="41"/>
  <c r="AB394" i="41"/>
  <c r="AB395" i="41"/>
  <c r="AB396" i="41"/>
  <c r="AB397" i="41"/>
  <c r="AB398" i="41"/>
  <c r="AB399" i="41"/>
  <c r="AB400" i="41"/>
  <c r="AB401" i="41"/>
  <c r="AB402" i="41"/>
  <c r="AB403" i="41"/>
  <c r="AB404" i="41"/>
  <c r="AB405" i="41"/>
  <c r="AB406" i="41"/>
  <c r="AB407" i="41"/>
  <c r="AB408" i="41"/>
  <c r="AB409" i="41"/>
  <c r="AB410" i="41"/>
  <c r="AB411" i="41"/>
  <c r="AB412" i="41"/>
  <c r="AB413" i="41"/>
  <c r="AB414" i="41"/>
  <c r="AB415" i="41"/>
  <c r="AB416" i="41"/>
  <c r="AB417" i="41"/>
  <c r="AB418" i="41"/>
  <c r="AB419" i="41"/>
  <c r="AB420" i="41"/>
  <c r="AB421" i="41"/>
  <c r="AB422" i="41"/>
  <c r="AB423" i="41"/>
  <c r="AB424" i="41"/>
  <c r="AB425" i="41"/>
  <c r="AB426" i="41"/>
  <c r="AB427" i="41"/>
  <c r="AB428" i="41"/>
  <c r="AB429" i="41"/>
  <c r="AB430" i="41"/>
  <c r="AB431" i="41"/>
  <c r="AB432" i="41"/>
  <c r="AB433" i="41"/>
  <c r="AB434" i="41"/>
  <c r="AB435" i="41"/>
  <c r="AB436" i="41"/>
  <c r="AB437" i="41"/>
  <c r="AB438" i="41"/>
  <c r="AB439" i="41"/>
  <c r="AB440" i="41"/>
  <c r="AB441" i="41"/>
  <c r="AB442" i="41"/>
  <c r="AB443" i="41"/>
  <c r="AB444" i="41"/>
  <c r="AB445" i="41"/>
  <c r="AB446" i="41"/>
  <c r="AB447" i="41"/>
  <c r="AB448" i="41"/>
  <c r="AB449" i="41"/>
  <c r="AB450" i="41"/>
  <c r="AB451" i="41"/>
  <c r="AB452" i="41"/>
  <c r="AB453" i="41"/>
  <c r="AB454" i="41"/>
  <c r="AB455" i="41"/>
  <c r="AB456" i="41"/>
  <c r="AB457" i="41"/>
  <c r="AB458" i="41"/>
  <c r="AB459" i="41"/>
  <c r="AB460" i="41"/>
  <c r="AB461" i="41"/>
  <c r="AB462" i="41"/>
  <c r="AB463" i="41"/>
  <c r="AB464" i="41"/>
  <c r="AB465" i="41"/>
  <c r="AB466" i="41"/>
  <c r="AB467" i="41"/>
  <c r="AB468" i="41"/>
  <c r="AB469" i="41"/>
  <c r="AB470" i="41"/>
  <c r="AB471" i="41"/>
  <c r="AB472" i="41"/>
  <c r="AB473" i="41"/>
  <c r="AB474" i="41"/>
  <c r="AB475" i="41"/>
  <c r="AB476" i="41"/>
  <c r="AB477" i="41"/>
  <c r="AB478" i="41"/>
  <c r="AB479" i="41"/>
  <c r="AB480" i="41"/>
  <c r="AB481" i="41"/>
  <c r="AB482" i="41"/>
  <c r="AB483" i="41"/>
  <c r="AB484" i="41"/>
  <c r="AB485" i="41"/>
  <c r="AB486" i="41"/>
  <c r="AB487" i="41"/>
  <c r="AB488" i="41"/>
  <c r="AB489" i="41"/>
  <c r="AB490" i="41"/>
  <c r="AB491" i="41"/>
  <c r="AB492" i="41"/>
  <c r="AB493" i="41"/>
  <c r="AB494" i="41"/>
  <c r="AB495" i="41"/>
  <c r="AB496" i="41"/>
  <c r="AB497" i="41"/>
  <c r="AB498" i="41"/>
  <c r="AB499" i="41"/>
  <c r="AB500" i="41"/>
  <c r="AB501" i="41"/>
  <c r="AB502" i="41"/>
  <c r="AB503" i="41"/>
  <c r="AB504" i="41"/>
  <c r="AB505" i="41"/>
  <c r="AB506" i="41"/>
  <c r="AB507" i="41"/>
  <c r="AB508" i="41"/>
  <c r="AB509" i="41"/>
  <c r="AB510" i="41"/>
  <c r="AB511" i="41"/>
  <c r="AB512" i="41"/>
  <c r="AB513" i="41"/>
  <c r="AB514" i="41"/>
  <c r="AB515" i="41"/>
  <c r="AB516" i="41"/>
  <c r="AB517" i="41"/>
  <c r="AB518" i="41"/>
  <c r="AB519" i="41"/>
  <c r="AB520" i="41"/>
  <c r="AB521" i="41"/>
  <c r="AB522" i="41"/>
  <c r="AB523" i="41"/>
  <c r="AB524" i="41"/>
  <c r="AB525" i="41"/>
  <c r="AB526" i="41"/>
  <c r="AB527" i="41"/>
  <c r="AB528" i="41"/>
  <c r="AB529" i="41"/>
  <c r="AB530" i="41"/>
  <c r="AB531" i="41"/>
  <c r="AB532" i="41"/>
  <c r="AB533" i="41"/>
  <c r="AB534" i="41"/>
  <c r="AB535" i="41"/>
  <c r="AB536" i="41"/>
  <c r="AB537" i="41"/>
  <c r="AB538" i="41"/>
  <c r="AB539" i="41"/>
  <c r="AB540" i="41"/>
  <c r="AB541" i="41"/>
  <c r="AB542" i="41"/>
  <c r="AB543" i="41"/>
  <c r="AB544" i="41"/>
  <c r="AB545" i="41"/>
  <c r="AB546" i="41"/>
  <c r="AB547" i="41"/>
  <c r="AB548" i="41"/>
  <c r="AB549" i="41"/>
  <c r="AB550" i="41"/>
  <c r="AB551" i="41"/>
  <c r="AB552" i="41"/>
  <c r="AB553" i="41"/>
  <c r="AB554" i="41"/>
  <c r="AB555" i="41"/>
  <c r="AB556" i="41"/>
  <c r="AB557" i="41"/>
  <c r="AB558" i="41"/>
  <c r="AB559" i="41"/>
  <c r="AB560" i="41"/>
  <c r="AB561" i="41"/>
  <c r="AB562" i="41"/>
  <c r="AB563" i="41"/>
  <c r="AB564" i="41"/>
  <c r="AB565" i="41"/>
  <c r="AB566" i="41"/>
  <c r="AB567" i="41"/>
  <c r="AB568" i="41"/>
  <c r="AB569" i="41"/>
  <c r="AB570" i="41"/>
  <c r="AB571" i="41"/>
  <c r="AB572" i="41"/>
  <c r="AB573" i="41"/>
  <c r="AB574" i="41"/>
  <c r="AB575" i="41"/>
  <c r="AB576" i="41"/>
  <c r="AB577" i="41"/>
  <c r="AB578" i="41"/>
  <c r="AB579" i="41"/>
  <c r="AB580" i="41"/>
  <c r="AB581" i="41"/>
  <c r="AB582" i="41"/>
  <c r="AB583" i="41"/>
  <c r="AB584" i="41"/>
  <c r="AB585" i="41"/>
  <c r="AB586" i="41"/>
  <c r="AB587" i="41"/>
  <c r="AB588" i="41"/>
  <c r="AB589" i="41"/>
  <c r="AB590" i="41"/>
  <c r="AB591" i="41"/>
  <c r="AB592" i="41"/>
  <c r="AB593" i="41"/>
  <c r="AB594" i="41"/>
  <c r="AB595" i="41"/>
  <c r="AB596" i="41"/>
  <c r="AB597" i="41"/>
  <c r="AB598" i="41"/>
  <c r="AB599" i="41"/>
  <c r="AB600" i="41"/>
  <c r="AB601" i="41"/>
  <c r="AB602" i="41"/>
  <c r="AB603" i="41"/>
  <c r="AB604" i="41"/>
  <c r="AB605" i="41"/>
  <c r="AB606" i="41"/>
  <c r="AB607" i="41"/>
  <c r="AB608" i="41"/>
  <c r="AB609" i="41"/>
  <c r="AB610" i="41"/>
  <c r="AB611" i="41"/>
  <c r="AB612" i="41"/>
  <c r="AB613" i="41"/>
  <c r="AB614" i="41"/>
  <c r="AB615" i="41"/>
  <c r="AB616" i="41"/>
  <c r="AB617" i="41"/>
  <c r="AB618" i="41"/>
  <c r="AB619" i="41"/>
  <c r="AB620" i="41"/>
  <c r="AB621" i="41"/>
  <c r="AB622" i="41"/>
  <c r="AB623" i="41"/>
  <c r="AB624" i="41"/>
  <c r="AB625" i="41"/>
  <c r="AB626" i="41"/>
  <c r="AB627" i="41"/>
  <c r="AB628" i="41"/>
  <c r="AB629" i="41"/>
  <c r="AB630" i="41"/>
  <c r="AB631" i="41"/>
  <c r="AB632" i="41"/>
  <c r="AB633" i="41"/>
  <c r="AB634" i="41"/>
  <c r="AB635" i="41"/>
  <c r="AB636" i="41"/>
  <c r="AB637" i="41"/>
  <c r="AB638" i="41"/>
  <c r="AB639" i="41"/>
  <c r="AB640" i="41"/>
  <c r="AB641" i="41"/>
  <c r="AB642" i="41"/>
  <c r="AB643" i="41"/>
  <c r="AB644" i="41"/>
  <c r="AB645" i="41"/>
  <c r="AB646" i="41"/>
  <c r="AB647" i="41"/>
  <c r="AB648" i="41"/>
  <c r="AB649" i="41"/>
  <c r="AB650" i="41"/>
  <c r="AB651" i="41"/>
  <c r="AB652" i="41"/>
  <c r="AB653" i="41"/>
  <c r="AB654" i="41"/>
  <c r="AB655" i="41"/>
  <c r="AB656" i="41"/>
  <c r="AB657" i="41"/>
  <c r="AB658" i="41"/>
  <c r="AB659" i="41"/>
  <c r="AB660" i="41"/>
  <c r="AB661" i="41"/>
  <c r="AB662" i="41"/>
  <c r="AB663" i="41"/>
  <c r="AB664" i="41"/>
  <c r="AB665" i="41"/>
  <c r="AB666" i="41"/>
  <c r="AB667" i="41"/>
  <c r="AB668" i="41"/>
  <c r="AB669" i="41"/>
  <c r="AB670" i="41"/>
  <c r="AB671" i="41"/>
  <c r="AB672" i="41"/>
  <c r="AB673" i="41"/>
  <c r="AB674" i="41"/>
  <c r="AB675" i="41"/>
  <c r="AB676" i="41"/>
  <c r="AB677" i="41"/>
  <c r="AB678" i="41"/>
  <c r="AB679" i="41"/>
  <c r="AB680" i="41"/>
  <c r="AB681" i="41"/>
  <c r="AB682" i="41"/>
  <c r="AB683" i="41"/>
  <c r="AB684" i="41"/>
  <c r="AB685" i="41"/>
  <c r="AB686" i="41"/>
  <c r="AB687" i="41"/>
  <c r="AB688" i="41"/>
  <c r="AB689" i="41"/>
  <c r="AB690" i="41"/>
  <c r="AB691" i="41"/>
  <c r="AB692" i="41"/>
  <c r="AB693" i="41"/>
  <c r="AB694" i="41"/>
  <c r="AB695" i="41"/>
  <c r="AB696" i="41"/>
  <c r="AB697" i="41"/>
  <c r="AB698" i="41"/>
  <c r="AB699" i="41"/>
  <c r="AB700" i="41"/>
  <c r="AB701" i="41"/>
  <c r="AB702" i="41"/>
  <c r="AB703" i="41"/>
  <c r="AB704" i="41"/>
  <c r="AB705" i="41"/>
  <c r="AB706" i="41"/>
  <c r="AB707" i="41"/>
  <c r="AB708" i="41"/>
  <c r="AB709" i="41"/>
  <c r="AB710" i="41"/>
  <c r="AB711" i="41"/>
  <c r="AB712" i="41"/>
  <c r="AB713" i="41"/>
  <c r="AB714" i="41"/>
  <c r="AB715" i="41"/>
  <c r="AB716" i="41"/>
  <c r="AB717" i="41"/>
  <c r="AB718" i="41"/>
  <c r="AB719" i="41"/>
  <c r="AB720" i="41"/>
  <c r="AB721" i="41"/>
  <c r="AB722" i="41"/>
  <c r="AB723" i="41"/>
  <c r="AB724" i="41"/>
  <c r="AB725" i="41"/>
  <c r="AB726" i="41"/>
  <c r="AB727" i="41"/>
  <c r="AB728" i="41"/>
  <c r="AB729" i="41"/>
  <c r="AB730" i="41"/>
  <c r="AB731" i="41"/>
  <c r="AB732" i="41"/>
  <c r="AB733" i="41"/>
  <c r="AB734" i="41"/>
  <c r="AB735" i="41"/>
  <c r="AB736" i="41"/>
  <c r="AB737" i="41"/>
  <c r="AB738" i="41"/>
  <c r="AB739" i="41"/>
  <c r="AB740" i="41"/>
  <c r="AB741" i="41"/>
  <c r="AB742" i="41"/>
  <c r="AB743" i="41"/>
  <c r="AB744" i="41"/>
  <c r="AB745" i="41"/>
  <c r="AB746" i="41"/>
  <c r="AB747" i="41"/>
  <c r="AB748" i="41"/>
  <c r="AB749" i="41"/>
  <c r="AB750" i="41"/>
  <c r="AB751" i="41"/>
  <c r="AB752" i="41"/>
  <c r="AB753" i="41"/>
  <c r="AB754" i="41"/>
  <c r="AB831" i="41"/>
  <c r="Q657" i="41" l="1"/>
  <c r="R657" i="41"/>
  <c r="Q658" i="41"/>
  <c r="R658" i="41"/>
  <c r="Q659" i="41"/>
  <c r="R659" i="41"/>
  <c r="Q660" i="41"/>
  <c r="R660" i="41"/>
  <c r="Q661" i="41"/>
  <c r="R661" i="41"/>
  <c r="Q662" i="41"/>
  <c r="R662" i="41"/>
  <c r="Q663" i="41"/>
  <c r="R663" i="41"/>
  <c r="Q664" i="41"/>
  <c r="R664" i="41"/>
  <c r="Q665" i="41"/>
  <c r="R665" i="41"/>
  <c r="Q666" i="41"/>
  <c r="R666" i="41"/>
  <c r="Q667" i="41"/>
  <c r="R667" i="41"/>
  <c r="Q668" i="41"/>
  <c r="R668" i="41"/>
  <c r="Q669" i="41"/>
  <c r="R669" i="41"/>
  <c r="Q670" i="41"/>
  <c r="R670" i="41"/>
  <c r="Q671" i="41"/>
  <c r="R671" i="41"/>
  <c r="Q672" i="41"/>
  <c r="R672" i="41"/>
  <c r="Q673" i="41"/>
  <c r="R673" i="41"/>
  <c r="Q674" i="41"/>
  <c r="R674" i="41"/>
  <c r="Q675" i="41"/>
  <c r="R675" i="41"/>
  <c r="Q676" i="41"/>
  <c r="R676" i="41"/>
  <c r="Q677" i="41"/>
  <c r="R677" i="41"/>
  <c r="Q678" i="41"/>
  <c r="R678" i="41"/>
  <c r="Q679" i="41"/>
  <c r="R679" i="41"/>
  <c r="Q680" i="41"/>
  <c r="R680" i="41"/>
  <c r="Q681" i="41"/>
  <c r="R681" i="41"/>
  <c r="Q682" i="41"/>
  <c r="R682" i="41"/>
  <c r="Q683" i="41"/>
  <c r="R683" i="41"/>
  <c r="Q684" i="41"/>
  <c r="R684" i="41"/>
  <c r="Q685" i="41"/>
  <c r="R685" i="41"/>
  <c r="Q686" i="41"/>
  <c r="R686" i="41"/>
  <c r="Q687" i="41"/>
  <c r="R687" i="41"/>
  <c r="Q688" i="41"/>
  <c r="R688" i="41"/>
  <c r="Q689" i="41"/>
  <c r="R689" i="41"/>
  <c r="Q690" i="41"/>
  <c r="R690" i="41"/>
  <c r="Q691" i="41"/>
  <c r="R691" i="41"/>
  <c r="Q692" i="41"/>
  <c r="R692" i="41"/>
  <c r="Q693" i="41"/>
  <c r="R693" i="41"/>
  <c r="Q694" i="41"/>
  <c r="R694" i="41"/>
  <c r="Q695" i="41"/>
  <c r="R695" i="41"/>
  <c r="Q696" i="41"/>
  <c r="R696" i="41"/>
  <c r="Q697" i="41"/>
  <c r="R697" i="41"/>
  <c r="Q698" i="41"/>
  <c r="R698" i="41"/>
  <c r="Q699" i="41"/>
  <c r="R699" i="41"/>
  <c r="Q700" i="41"/>
  <c r="R700" i="41"/>
  <c r="Q701" i="41"/>
  <c r="R701" i="41"/>
  <c r="Q702" i="41"/>
  <c r="R702" i="41"/>
  <c r="Q703" i="41"/>
  <c r="R703" i="41"/>
  <c r="Q704" i="41"/>
  <c r="R704" i="41"/>
  <c r="Q705" i="41"/>
  <c r="R705" i="41"/>
  <c r="Q706" i="41"/>
  <c r="R706" i="41"/>
  <c r="Q707" i="41"/>
  <c r="R707" i="41"/>
  <c r="Q708" i="41"/>
  <c r="R708" i="41"/>
  <c r="Q709" i="41"/>
  <c r="R709" i="41"/>
  <c r="Q710" i="41"/>
  <c r="R710" i="41"/>
  <c r="Q711" i="41"/>
  <c r="R711" i="41"/>
  <c r="Q712" i="41"/>
  <c r="R712" i="41"/>
  <c r="Q713" i="41"/>
  <c r="R713" i="41"/>
  <c r="Q714" i="41"/>
  <c r="R714" i="41"/>
  <c r="Q715" i="41"/>
  <c r="R715" i="41"/>
  <c r="Q716" i="41"/>
  <c r="R716" i="41"/>
  <c r="Q717" i="41"/>
  <c r="R717" i="41"/>
  <c r="Q718" i="41"/>
  <c r="R718" i="41"/>
  <c r="Q719" i="41"/>
  <c r="R719" i="41"/>
  <c r="Q720" i="41"/>
  <c r="R720" i="41"/>
  <c r="Q721" i="41"/>
  <c r="R721" i="41"/>
  <c r="Q722" i="41"/>
  <c r="R722" i="41"/>
  <c r="Q723" i="41"/>
  <c r="R723" i="41"/>
  <c r="Q724" i="41"/>
  <c r="R724" i="41"/>
  <c r="Q725" i="41"/>
  <c r="R725" i="41"/>
  <c r="Q726" i="41"/>
  <c r="R726" i="41"/>
  <c r="Q727" i="41"/>
  <c r="R727" i="41"/>
  <c r="Q728" i="41"/>
  <c r="R728" i="41"/>
  <c r="Q729" i="41"/>
  <c r="R729" i="41"/>
  <c r="Q730" i="41"/>
  <c r="R730" i="41"/>
  <c r="Q731" i="41"/>
  <c r="R731" i="41"/>
  <c r="Q732" i="41"/>
  <c r="R732" i="41"/>
  <c r="Q733" i="41"/>
  <c r="R733" i="41"/>
  <c r="Q734" i="41"/>
  <c r="R734" i="41"/>
  <c r="Q735" i="41"/>
  <c r="R735" i="41"/>
  <c r="Q736" i="41"/>
  <c r="R736" i="41"/>
  <c r="Q737" i="41"/>
  <c r="R737" i="41"/>
  <c r="Q738" i="41"/>
  <c r="R738" i="41"/>
  <c r="Q739" i="41"/>
  <c r="R739" i="41"/>
  <c r="Q740" i="41"/>
  <c r="R740" i="41"/>
  <c r="Q741" i="41"/>
  <c r="R741" i="41"/>
  <c r="Q742" i="41"/>
  <c r="R742" i="41"/>
  <c r="Q743" i="41"/>
  <c r="R743" i="41"/>
  <c r="Q744" i="41"/>
  <c r="R744" i="41"/>
  <c r="Q745" i="41"/>
  <c r="R745" i="41"/>
  <c r="Q746" i="41"/>
  <c r="R746" i="41"/>
  <c r="Q747" i="41"/>
  <c r="R747" i="41"/>
  <c r="Q748" i="41"/>
  <c r="R748" i="41"/>
  <c r="Q749" i="41"/>
  <c r="R749" i="41"/>
  <c r="Q750" i="41"/>
  <c r="R750" i="41"/>
  <c r="Q751" i="41"/>
  <c r="R751" i="41"/>
  <c r="Q752" i="41"/>
  <c r="R752" i="41"/>
  <c r="Q753" i="41"/>
  <c r="R753" i="41"/>
  <c r="Q754" i="41"/>
  <c r="R754" i="41"/>
  <c r="Q831" i="41"/>
  <c r="R831" i="41"/>
  <c r="R526" i="41"/>
  <c r="S526" i="41"/>
  <c r="T526" i="41"/>
  <c r="U526" i="41"/>
  <c r="V526" i="41"/>
  <c r="W526" i="41"/>
  <c r="X526" i="41"/>
  <c r="Y526" i="41"/>
  <c r="Z526" i="41"/>
  <c r="AA526" i="41"/>
  <c r="R527" i="41"/>
  <c r="S527" i="41"/>
  <c r="T527" i="41"/>
  <c r="U527" i="41"/>
  <c r="V527" i="41"/>
  <c r="W527" i="41"/>
  <c r="X527" i="41"/>
  <c r="Y527" i="41"/>
  <c r="Z527" i="41"/>
  <c r="AA527" i="41"/>
  <c r="R528" i="41"/>
  <c r="S528" i="41"/>
  <c r="T528" i="41"/>
  <c r="U528" i="41"/>
  <c r="V528" i="41"/>
  <c r="W528" i="41"/>
  <c r="X528" i="41"/>
  <c r="Y528" i="41"/>
  <c r="Z528" i="41"/>
  <c r="AA528" i="41"/>
  <c r="R529" i="41"/>
  <c r="S529" i="41"/>
  <c r="T529" i="41"/>
  <c r="U529" i="41"/>
  <c r="V529" i="41"/>
  <c r="W529" i="41"/>
  <c r="X529" i="41"/>
  <c r="Y529" i="41"/>
  <c r="Z529" i="41"/>
  <c r="AA529" i="41"/>
  <c r="R530" i="41"/>
  <c r="S530" i="41"/>
  <c r="T530" i="41"/>
  <c r="U530" i="41"/>
  <c r="V530" i="41"/>
  <c r="W530" i="41"/>
  <c r="X530" i="41"/>
  <c r="Y530" i="41"/>
  <c r="Z530" i="41"/>
  <c r="AA530" i="41"/>
  <c r="R531" i="41"/>
  <c r="S531" i="41"/>
  <c r="T531" i="41"/>
  <c r="U531" i="41"/>
  <c r="V531" i="41"/>
  <c r="W531" i="41"/>
  <c r="X531" i="41"/>
  <c r="Y531" i="41"/>
  <c r="Z531" i="41"/>
  <c r="AA531" i="41"/>
  <c r="R532" i="41"/>
  <c r="S532" i="41"/>
  <c r="T532" i="41"/>
  <c r="U532" i="41"/>
  <c r="V532" i="41"/>
  <c r="W532" i="41"/>
  <c r="X532" i="41"/>
  <c r="Y532" i="41"/>
  <c r="Z532" i="41"/>
  <c r="AA532" i="41"/>
  <c r="R533" i="41"/>
  <c r="S533" i="41"/>
  <c r="T533" i="41"/>
  <c r="U533" i="41"/>
  <c r="V533" i="41"/>
  <c r="W533" i="41"/>
  <c r="X533" i="41"/>
  <c r="Y533" i="41"/>
  <c r="Z533" i="41"/>
  <c r="AA533" i="41"/>
  <c r="R534" i="41"/>
  <c r="S534" i="41"/>
  <c r="T534" i="41"/>
  <c r="U534" i="41"/>
  <c r="V534" i="41"/>
  <c r="W534" i="41"/>
  <c r="X534" i="41"/>
  <c r="Y534" i="41"/>
  <c r="Z534" i="41"/>
  <c r="AA534" i="41"/>
  <c r="R535" i="41"/>
  <c r="S535" i="41"/>
  <c r="T535" i="41"/>
  <c r="U535" i="41"/>
  <c r="V535" i="41"/>
  <c r="W535" i="41"/>
  <c r="X535" i="41"/>
  <c r="Y535" i="41"/>
  <c r="Z535" i="41"/>
  <c r="AA535" i="41"/>
  <c r="R536" i="41"/>
  <c r="S536" i="41"/>
  <c r="T536" i="41"/>
  <c r="U536" i="41"/>
  <c r="V536" i="41"/>
  <c r="W536" i="41"/>
  <c r="X536" i="41"/>
  <c r="Y536" i="41"/>
  <c r="Z536" i="41"/>
  <c r="AA536" i="41"/>
  <c r="R537" i="41"/>
  <c r="S537" i="41"/>
  <c r="T537" i="41"/>
  <c r="U537" i="41"/>
  <c r="V537" i="41"/>
  <c r="W537" i="41"/>
  <c r="X537" i="41"/>
  <c r="Y537" i="41"/>
  <c r="Z537" i="41"/>
  <c r="AA537" i="41"/>
  <c r="R538" i="41"/>
  <c r="S538" i="41"/>
  <c r="T538" i="41"/>
  <c r="U538" i="41"/>
  <c r="V538" i="41"/>
  <c r="W538" i="41"/>
  <c r="X538" i="41"/>
  <c r="Y538" i="41"/>
  <c r="Z538" i="41"/>
  <c r="AA538" i="41"/>
  <c r="R539" i="41"/>
  <c r="S539" i="41"/>
  <c r="T539" i="41"/>
  <c r="U539" i="41"/>
  <c r="V539" i="41"/>
  <c r="W539" i="41"/>
  <c r="X539" i="41"/>
  <c r="Y539" i="41"/>
  <c r="Z539" i="41"/>
  <c r="AA539" i="41"/>
  <c r="R540" i="41"/>
  <c r="S540" i="41"/>
  <c r="T540" i="41"/>
  <c r="U540" i="41"/>
  <c r="V540" i="41"/>
  <c r="W540" i="41"/>
  <c r="X540" i="41"/>
  <c r="Y540" i="41"/>
  <c r="Z540" i="41"/>
  <c r="AA540" i="41"/>
  <c r="R541" i="41"/>
  <c r="S541" i="41"/>
  <c r="T541" i="41"/>
  <c r="U541" i="41"/>
  <c r="V541" i="41"/>
  <c r="W541" i="41"/>
  <c r="X541" i="41"/>
  <c r="Y541" i="41"/>
  <c r="Z541" i="41"/>
  <c r="AA541" i="41"/>
  <c r="R542" i="41"/>
  <c r="S542" i="41"/>
  <c r="T542" i="41"/>
  <c r="U542" i="41"/>
  <c r="V542" i="41"/>
  <c r="W542" i="41"/>
  <c r="X542" i="41"/>
  <c r="Y542" i="41"/>
  <c r="Z542" i="41"/>
  <c r="AA542" i="41"/>
  <c r="R543" i="41"/>
  <c r="S543" i="41"/>
  <c r="T543" i="41"/>
  <c r="U543" i="41"/>
  <c r="V543" i="41"/>
  <c r="W543" i="41"/>
  <c r="X543" i="41"/>
  <c r="Y543" i="41"/>
  <c r="Z543" i="41"/>
  <c r="AA543" i="41"/>
  <c r="R544" i="41"/>
  <c r="S544" i="41"/>
  <c r="T544" i="41"/>
  <c r="U544" i="41"/>
  <c r="V544" i="41"/>
  <c r="W544" i="41"/>
  <c r="X544" i="41"/>
  <c r="Y544" i="41"/>
  <c r="Z544" i="41"/>
  <c r="AA544" i="41"/>
  <c r="R545" i="41"/>
  <c r="S545" i="41"/>
  <c r="T545" i="41"/>
  <c r="U545" i="41"/>
  <c r="V545" i="41"/>
  <c r="W545" i="41"/>
  <c r="X545" i="41"/>
  <c r="Y545" i="41"/>
  <c r="Z545" i="41"/>
  <c r="AA545" i="41"/>
  <c r="R546" i="41"/>
  <c r="S546" i="41"/>
  <c r="T546" i="41"/>
  <c r="U546" i="41"/>
  <c r="V546" i="41"/>
  <c r="W546" i="41"/>
  <c r="X546" i="41"/>
  <c r="Y546" i="41"/>
  <c r="Z546" i="41"/>
  <c r="AA546" i="41"/>
  <c r="R547" i="41"/>
  <c r="S547" i="41"/>
  <c r="T547" i="41"/>
  <c r="U547" i="41"/>
  <c r="V547" i="41"/>
  <c r="W547" i="41"/>
  <c r="X547" i="41"/>
  <c r="Y547" i="41"/>
  <c r="Z547" i="41"/>
  <c r="AA547" i="41"/>
  <c r="R548" i="41"/>
  <c r="S548" i="41"/>
  <c r="T548" i="41"/>
  <c r="U548" i="41"/>
  <c r="V548" i="41"/>
  <c r="W548" i="41"/>
  <c r="X548" i="41"/>
  <c r="Y548" i="41"/>
  <c r="Z548" i="41"/>
  <c r="AA548" i="41"/>
  <c r="R549" i="41"/>
  <c r="S549" i="41"/>
  <c r="T549" i="41"/>
  <c r="U549" i="41"/>
  <c r="V549" i="41"/>
  <c r="W549" i="41"/>
  <c r="X549" i="41"/>
  <c r="Y549" i="41"/>
  <c r="Z549" i="41"/>
  <c r="AA549" i="41"/>
  <c r="R550" i="41"/>
  <c r="S550" i="41"/>
  <c r="T550" i="41"/>
  <c r="U550" i="41"/>
  <c r="V550" i="41"/>
  <c r="W550" i="41"/>
  <c r="X550" i="41"/>
  <c r="Y550" i="41"/>
  <c r="Z550" i="41"/>
  <c r="AA550" i="41"/>
  <c r="R551" i="41"/>
  <c r="S551" i="41"/>
  <c r="T551" i="41"/>
  <c r="U551" i="41"/>
  <c r="V551" i="41"/>
  <c r="W551" i="41"/>
  <c r="X551" i="41"/>
  <c r="Y551" i="41"/>
  <c r="Z551" i="41"/>
  <c r="AA551" i="41"/>
  <c r="R552" i="41"/>
  <c r="S552" i="41"/>
  <c r="T552" i="41"/>
  <c r="U552" i="41"/>
  <c r="V552" i="41"/>
  <c r="W552" i="41"/>
  <c r="X552" i="41"/>
  <c r="Y552" i="41"/>
  <c r="Z552" i="41"/>
  <c r="AA552" i="41"/>
  <c r="R553" i="41"/>
  <c r="S553" i="41"/>
  <c r="T553" i="41"/>
  <c r="U553" i="41"/>
  <c r="V553" i="41"/>
  <c r="W553" i="41"/>
  <c r="X553" i="41"/>
  <c r="Y553" i="41"/>
  <c r="Z553" i="41"/>
  <c r="AA553" i="41"/>
  <c r="R554" i="41"/>
  <c r="S554" i="41"/>
  <c r="T554" i="41"/>
  <c r="U554" i="41"/>
  <c r="V554" i="41"/>
  <c r="W554" i="41"/>
  <c r="X554" i="41"/>
  <c r="Y554" i="41"/>
  <c r="Z554" i="41"/>
  <c r="AA554" i="41"/>
  <c r="R555" i="41"/>
  <c r="S555" i="41"/>
  <c r="T555" i="41"/>
  <c r="U555" i="41"/>
  <c r="V555" i="41"/>
  <c r="W555" i="41"/>
  <c r="X555" i="41"/>
  <c r="Y555" i="41"/>
  <c r="Z555" i="41"/>
  <c r="AA555" i="41"/>
  <c r="R556" i="41"/>
  <c r="S556" i="41"/>
  <c r="T556" i="41"/>
  <c r="U556" i="41"/>
  <c r="V556" i="41"/>
  <c r="W556" i="41"/>
  <c r="X556" i="41"/>
  <c r="Y556" i="41"/>
  <c r="Z556" i="41"/>
  <c r="AA556" i="41"/>
  <c r="R557" i="41"/>
  <c r="S557" i="41"/>
  <c r="T557" i="41"/>
  <c r="U557" i="41"/>
  <c r="V557" i="41"/>
  <c r="W557" i="41"/>
  <c r="X557" i="41"/>
  <c r="Y557" i="41"/>
  <c r="Z557" i="41"/>
  <c r="AA557" i="41"/>
  <c r="R558" i="41"/>
  <c r="S558" i="41"/>
  <c r="T558" i="41"/>
  <c r="U558" i="41"/>
  <c r="V558" i="41"/>
  <c r="W558" i="41"/>
  <c r="X558" i="41"/>
  <c r="Y558" i="41"/>
  <c r="Z558" i="41"/>
  <c r="AA558" i="41"/>
  <c r="R559" i="41"/>
  <c r="S559" i="41"/>
  <c r="T559" i="41"/>
  <c r="U559" i="41"/>
  <c r="V559" i="41"/>
  <c r="W559" i="41"/>
  <c r="X559" i="41"/>
  <c r="Y559" i="41"/>
  <c r="Z559" i="41"/>
  <c r="AA559" i="41"/>
  <c r="R560" i="41"/>
  <c r="S560" i="41"/>
  <c r="T560" i="41"/>
  <c r="U560" i="41"/>
  <c r="V560" i="41"/>
  <c r="W560" i="41"/>
  <c r="X560" i="41"/>
  <c r="Y560" i="41"/>
  <c r="Z560" i="41"/>
  <c r="AA560" i="41"/>
  <c r="R561" i="41"/>
  <c r="S561" i="41"/>
  <c r="T561" i="41"/>
  <c r="U561" i="41"/>
  <c r="V561" i="41"/>
  <c r="W561" i="41"/>
  <c r="X561" i="41"/>
  <c r="Y561" i="41"/>
  <c r="Z561" i="41"/>
  <c r="AA561" i="41"/>
  <c r="R562" i="41"/>
  <c r="S562" i="41"/>
  <c r="T562" i="41"/>
  <c r="U562" i="41"/>
  <c r="V562" i="41"/>
  <c r="W562" i="41"/>
  <c r="X562" i="41"/>
  <c r="Y562" i="41"/>
  <c r="Z562" i="41"/>
  <c r="AA562" i="41"/>
  <c r="R563" i="41"/>
  <c r="S563" i="41"/>
  <c r="T563" i="41"/>
  <c r="U563" i="41"/>
  <c r="V563" i="41"/>
  <c r="W563" i="41"/>
  <c r="X563" i="41"/>
  <c r="Y563" i="41"/>
  <c r="Z563" i="41"/>
  <c r="AA563" i="41"/>
  <c r="R564" i="41"/>
  <c r="S564" i="41"/>
  <c r="T564" i="41"/>
  <c r="U564" i="41"/>
  <c r="V564" i="41"/>
  <c r="W564" i="41"/>
  <c r="X564" i="41"/>
  <c r="Y564" i="41"/>
  <c r="Z564" i="41"/>
  <c r="AA564" i="41"/>
  <c r="R565" i="41"/>
  <c r="S565" i="41"/>
  <c r="T565" i="41"/>
  <c r="U565" i="41"/>
  <c r="V565" i="41"/>
  <c r="W565" i="41"/>
  <c r="X565" i="41"/>
  <c r="Y565" i="41"/>
  <c r="Z565" i="41"/>
  <c r="AA565" i="41"/>
  <c r="R566" i="41"/>
  <c r="S566" i="41"/>
  <c r="T566" i="41"/>
  <c r="U566" i="41"/>
  <c r="V566" i="41"/>
  <c r="W566" i="41"/>
  <c r="X566" i="41"/>
  <c r="Y566" i="41"/>
  <c r="Z566" i="41"/>
  <c r="AA566" i="41"/>
  <c r="R567" i="41"/>
  <c r="S567" i="41"/>
  <c r="T567" i="41"/>
  <c r="U567" i="41"/>
  <c r="V567" i="41"/>
  <c r="W567" i="41"/>
  <c r="X567" i="41"/>
  <c r="Y567" i="41"/>
  <c r="Z567" i="41"/>
  <c r="AA567" i="41"/>
  <c r="R568" i="41"/>
  <c r="S568" i="41"/>
  <c r="T568" i="41"/>
  <c r="U568" i="41"/>
  <c r="V568" i="41"/>
  <c r="W568" i="41"/>
  <c r="X568" i="41"/>
  <c r="Y568" i="41"/>
  <c r="Z568" i="41"/>
  <c r="AA568" i="41"/>
  <c r="R569" i="41"/>
  <c r="S569" i="41"/>
  <c r="T569" i="41"/>
  <c r="U569" i="41"/>
  <c r="V569" i="41"/>
  <c r="W569" i="41"/>
  <c r="X569" i="41"/>
  <c r="Y569" i="41"/>
  <c r="Z569" i="41"/>
  <c r="AA569" i="41"/>
  <c r="R570" i="41"/>
  <c r="S570" i="41"/>
  <c r="T570" i="41"/>
  <c r="U570" i="41"/>
  <c r="V570" i="41"/>
  <c r="W570" i="41"/>
  <c r="X570" i="41"/>
  <c r="Y570" i="41"/>
  <c r="Z570" i="41"/>
  <c r="AA570" i="41"/>
  <c r="R571" i="41"/>
  <c r="S571" i="41"/>
  <c r="T571" i="41"/>
  <c r="U571" i="41"/>
  <c r="V571" i="41"/>
  <c r="W571" i="41"/>
  <c r="X571" i="41"/>
  <c r="Y571" i="41"/>
  <c r="Z571" i="41"/>
  <c r="AA571" i="41"/>
  <c r="R572" i="41"/>
  <c r="S572" i="41"/>
  <c r="T572" i="41"/>
  <c r="U572" i="41"/>
  <c r="V572" i="41"/>
  <c r="W572" i="41"/>
  <c r="X572" i="41"/>
  <c r="Y572" i="41"/>
  <c r="Z572" i="41"/>
  <c r="AA572" i="41"/>
  <c r="R573" i="41"/>
  <c r="S573" i="41"/>
  <c r="T573" i="41"/>
  <c r="U573" i="41"/>
  <c r="V573" i="41"/>
  <c r="W573" i="41"/>
  <c r="X573" i="41"/>
  <c r="Y573" i="41"/>
  <c r="Z573" i="41"/>
  <c r="AA573" i="41"/>
  <c r="R574" i="41"/>
  <c r="S574" i="41"/>
  <c r="T574" i="41"/>
  <c r="U574" i="41"/>
  <c r="V574" i="41"/>
  <c r="W574" i="41"/>
  <c r="X574" i="41"/>
  <c r="Y574" i="41"/>
  <c r="Z574" i="41"/>
  <c r="AA574" i="41"/>
  <c r="R575" i="41"/>
  <c r="S575" i="41"/>
  <c r="T575" i="41"/>
  <c r="U575" i="41"/>
  <c r="V575" i="41"/>
  <c r="W575" i="41"/>
  <c r="X575" i="41"/>
  <c r="Y575" i="41"/>
  <c r="Z575" i="41"/>
  <c r="AA575" i="41"/>
  <c r="R576" i="41"/>
  <c r="S576" i="41"/>
  <c r="T576" i="41"/>
  <c r="U576" i="41"/>
  <c r="V576" i="41"/>
  <c r="W576" i="41"/>
  <c r="X576" i="41"/>
  <c r="Y576" i="41"/>
  <c r="Z576" i="41"/>
  <c r="AA576" i="41"/>
  <c r="R577" i="41"/>
  <c r="S577" i="41"/>
  <c r="T577" i="41"/>
  <c r="U577" i="41"/>
  <c r="V577" i="41"/>
  <c r="W577" i="41"/>
  <c r="X577" i="41"/>
  <c r="Y577" i="41"/>
  <c r="Z577" i="41"/>
  <c r="AA577" i="41"/>
  <c r="R578" i="41"/>
  <c r="S578" i="41"/>
  <c r="T578" i="41"/>
  <c r="U578" i="41"/>
  <c r="V578" i="41"/>
  <c r="W578" i="41"/>
  <c r="X578" i="41"/>
  <c r="Y578" i="41"/>
  <c r="Z578" i="41"/>
  <c r="AA578" i="41"/>
  <c r="R579" i="41"/>
  <c r="S579" i="41"/>
  <c r="T579" i="41"/>
  <c r="U579" i="41"/>
  <c r="V579" i="41"/>
  <c r="W579" i="41"/>
  <c r="X579" i="41"/>
  <c r="Y579" i="41"/>
  <c r="Z579" i="41"/>
  <c r="AA579" i="41"/>
  <c r="R580" i="41"/>
  <c r="S580" i="41"/>
  <c r="T580" i="41"/>
  <c r="U580" i="41"/>
  <c r="V580" i="41"/>
  <c r="W580" i="41"/>
  <c r="X580" i="41"/>
  <c r="Y580" i="41"/>
  <c r="Z580" i="41"/>
  <c r="AA580" i="41"/>
  <c r="R581" i="41"/>
  <c r="S581" i="41"/>
  <c r="T581" i="41"/>
  <c r="U581" i="41"/>
  <c r="V581" i="41"/>
  <c r="W581" i="41"/>
  <c r="X581" i="41"/>
  <c r="Y581" i="41"/>
  <c r="Z581" i="41"/>
  <c r="AA581" i="41"/>
  <c r="R582" i="41"/>
  <c r="S582" i="41"/>
  <c r="T582" i="41"/>
  <c r="U582" i="41"/>
  <c r="V582" i="41"/>
  <c r="W582" i="41"/>
  <c r="X582" i="41"/>
  <c r="Y582" i="41"/>
  <c r="Z582" i="41"/>
  <c r="AA582" i="41"/>
  <c r="R583" i="41"/>
  <c r="S583" i="41"/>
  <c r="T583" i="41"/>
  <c r="U583" i="41"/>
  <c r="V583" i="41"/>
  <c r="W583" i="41"/>
  <c r="X583" i="41"/>
  <c r="Y583" i="41"/>
  <c r="Z583" i="41"/>
  <c r="AA583" i="41"/>
  <c r="R584" i="41"/>
  <c r="S584" i="41"/>
  <c r="T584" i="41"/>
  <c r="U584" i="41"/>
  <c r="V584" i="41"/>
  <c r="W584" i="41"/>
  <c r="X584" i="41"/>
  <c r="Y584" i="41"/>
  <c r="Z584" i="41"/>
  <c r="AA584" i="41"/>
  <c r="R585" i="41"/>
  <c r="S585" i="41"/>
  <c r="T585" i="41"/>
  <c r="U585" i="41"/>
  <c r="V585" i="41"/>
  <c r="W585" i="41"/>
  <c r="X585" i="41"/>
  <c r="Y585" i="41"/>
  <c r="Z585" i="41"/>
  <c r="AA585" i="41"/>
  <c r="R586" i="41"/>
  <c r="S586" i="41"/>
  <c r="T586" i="41"/>
  <c r="U586" i="41"/>
  <c r="V586" i="41"/>
  <c r="W586" i="41"/>
  <c r="X586" i="41"/>
  <c r="Y586" i="41"/>
  <c r="Z586" i="41"/>
  <c r="AA586" i="41"/>
  <c r="R587" i="41"/>
  <c r="S587" i="41"/>
  <c r="T587" i="41"/>
  <c r="U587" i="41"/>
  <c r="V587" i="41"/>
  <c r="W587" i="41"/>
  <c r="X587" i="41"/>
  <c r="Y587" i="41"/>
  <c r="Z587" i="41"/>
  <c r="AA587" i="41"/>
  <c r="R588" i="41"/>
  <c r="S588" i="41"/>
  <c r="T588" i="41"/>
  <c r="U588" i="41"/>
  <c r="V588" i="41"/>
  <c r="W588" i="41"/>
  <c r="X588" i="41"/>
  <c r="Y588" i="41"/>
  <c r="Z588" i="41"/>
  <c r="AA588" i="41"/>
  <c r="R589" i="41"/>
  <c r="S589" i="41"/>
  <c r="T589" i="41"/>
  <c r="U589" i="41"/>
  <c r="V589" i="41"/>
  <c r="W589" i="41"/>
  <c r="X589" i="41"/>
  <c r="Y589" i="41"/>
  <c r="Z589" i="41"/>
  <c r="AA589" i="41"/>
  <c r="R590" i="41"/>
  <c r="S590" i="41"/>
  <c r="T590" i="41"/>
  <c r="U590" i="41"/>
  <c r="V590" i="41"/>
  <c r="W590" i="41"/>
  <c r="X590" i="41"/>
  <c r="Y590" i="41"/>
  <c r="Z590" i="41"/>
  <c r="AA590" i="41"/>
  <c r="R591" i="41"/>
  <c r="S591" i="41"/>
  <c r="T591" i="41"/>
  <c r="U591" i="41"/>
  <c r="V591" i="41"/>
  <c r="W591" i="41"/>
  <c r="X591" i="41"/>
  <c r="Y591" i="41"/>
  <c r="Z591" i="41"/>
  <c r="AA591" i="41"/>
  <c r="R592" i="41"/>
  <c r="S592" i="41"/>
  <c r="T592" i="41"/>
  <c r="U592" i="41"/>
  <c r="V592" i="41"/>
  <c r="W592" i="41"/>
  <c r="X592" i="41"/>
  <c r="Y592" i="41"/>
  <c r="Z592" i="41"/>
  <c r="AA592" i="41"/>
  <c r="R593" i="41"/>
  <c r="S593" i="41"/>
  <c r="T593" i="41"/>
  <c r="U593" i="41"/>
  <c r="V593" i="41"/>
  <c r="W593" i="41"/>
  <c r="X593" i="41"/>
  <c r="Y593" i="41"/>
  <c r="Z593" i="41"/>
  <c r="AA593" i="41"/>
  <c r="R594" i="41"/>
  <c r="S594" i="41"/>
  <c r="T594" i="41"/>
  <c r="U594" i="41"/>
  <c r="V594" i="41"/>
  <c r="W594" i="41"/>
  <c r="X594" i="41"/>
  <c r="Y594" i="41"/>
  <c r="Z594" i="41"/>
  <c r="AA594" i="41"/>
  <c r="R595" i="41"/>
  <c r="S595" i="41"/>
  <c r="T595" i="41"/>
  <c r="U595" i="41"/>
  <c r="V595" i="41"/>
  <c r="W595" i="41"/>
  <c r="X595" i="41"/>
  <c r="Y595" i="41"/>
  <c r="Z595" i="41"/>
  <c r="AA595" i="41"/>
  <c r="R596" i="41"/>
  <c r="S596" i="41"/>
  <c r="T596" i="41"/>
  <c r="U596" i="41"/>
  <c r="V596" i="41"/>
  <c r="W596" i="41"/>
  <c r="X596" i="41"/>
  <c r="Y596" i="41"/>
  <c r="Z596" i="41"/>
  <c r="AA596" i="41"/>
  <c r="R597" i="41"/>
  <c r="S597" i="41"/>
  <c r="T597" i="41"/>
  <c r="U597" i="41"/>
  <c r="V597" i="41"/>
  <c r="W597" i="41"/>
  <c r="X597" i="41"/>
  <c r="Y597" i="41"/>
  <c r="Z597" i="41"/>
  <c r="AA597" i="41"/>
  <c r="R598" i="41"/>
  <c r="S598" i="41"/>
  <c r="T598" i="41"/>
  <c r="U598" i="41"/>
  <c r="V598" i="41"/>
  <c r="W598" i="41"/>
  <c r="X598" i="41"/>
  <c r="Y598" i="41"/>
  <c r="Z598" i="41"/>
  <c r="AA598" i="41"/>
  <c r="R599" i="41"/>
  <c r="S599" i="41"/>
  <c r="T599" i="41"/>
  <c r="U599" i="41"/>
  <c r="V599" i="41"/>
  <c r="W599" i="41"/>
  <c r="X599" i="41"/>
  <c r="Y599" i="41"/>
  <c r="Z599" i="41"/>
  <c r="AA599" i="41"/>
  <c r="R600" i="41"/>
  <c r="S600" i="41"/>
  <c r="T600" i="41"/>
  <c r="U600" i="41"/>
  <c r="V600" i="41"/>
  <c r="W600" i="41"/>
  <c r="X600" i="41"/>
  <c r="Y600" i="41"/>
  <c r="Z600" i="41"/>
  <c r="AA600" i="41"/>
  <c r="R601" i="41"/>
  <c r="S601" i="41"/>
  <c r="T601" i="41"/>
  <c r="U601" i="41"/>
  <c r="V601" i="41"/>
  <c r="W601" i="41"/>
  <c r="X601" i="41"/>
  <c r="Y601" i="41"/>
  <c r="Z601" i="41"/>
  <c r="AA601" i="41"/>
  <c r="R602" i="41"/>
  <c r="S602" i="41"/>
  <c r="T602" i="41"/>
  <c r="U602" i="41"/>
  <c r="V602" i="41"/>
  <c r="W602" i="41"/>
  <c r="X602" i="41"/>
  <c r="Y602" i="41"/>
  <c r="Z602" i="41"/>
  <c r="AA602" i="41"/>
  <c r="R603" i="41"/>
  <c r="S603" i="41"/>
  <c r="T603" i="41"/>
  <c r="U603" i="41"/>
  <c r="V603" i="41"/>
  <c r="W603" i="41"/>
  <c r="X603" i="41"/>
  <c r="Y603" i="41"/>
  <c r="Z603" i="41"/>
  <c r="AA603" i="41"/>
  <c r="R604" i="41"/>
  <c r="S604" i="41"/>
  <c r="T604" i="41"/>
  <c r="U604" i="41"/>
  <c r="V604" i="41"/>
  <c r="W604" i="41"/>
  <c r="X604" i="41"/>
  <c r="Y604" i="41"/>
  <c r="Z604" i="41"/>
  <c r="AA604" i="41"/>
  <c r="R605" i="41"/>
  <c r="S605" i="41"/>
  <c r="T605" i="41"/>
  <c r="U605" i="41"/>
  <c r="V605" i="41"/>
  <c r="W605" i="41"/>
  <c r="X605" i="41"/>
  <c r="Y605" i="41"/>
  <c r="Z605" i="41"/>
  <c r="AA605" i="41"/>
  <c r="R606" i="41"/>
  <c r="S606" i="41"/>
  <c r="T606" i="41"/>
  <c r="U606" i="41"/>
  <c r="V606" i="41"/>
  <c r="W606" i="41"/>
  <c r="X606" i="41"/>
  <c r="Y606" i="41"/>
  <c r="Z606" i="41"/>
  <c r="AA606" i="41"/>
  <c r="R607" i="41"/>
  <c r="S607" i="41"/>
  <c r="T607" i="41"/>
  <c r="U607" i="41"/>
  <c r="V607" i="41"/>
  <c r="W607" i="41"/>
  <c r="X607" i="41"/>
  <c r="Y607" i="41"/>
  <c r="Z607" i="41"/>
  <c r="AA607" i="41"/>
  <c r="R608" i="41"/>
  <c r="S608" i="41"/>
  <c r="T608" i="41"/>
  <c r="U608" i="41"/>
  <c r="V608" i="41"/>
  <c r="W608" i="41"/>
  <c r="X608" i="41"/>
  <c r="Y608" i="41"/>
  <c r="Z608" i="41"/>
  <c r="AA608" i="41"/>
  <c r="R609" i="41"/>
  <c r="S609" i="41"/>
  <c r="T609" i="41"/>
  <c r="U609" i="41"/>
  <c r="V609" i="41"/>
  <c r="W609" i="41"/>
  <c r="X609" i="41"/>
  <c r="Y609" i="41"/>
  <c r="Z609" i="41"/>
  <c r="AA609" i="41"/>
  <c r="R610" i="41"/>
  <c r="S610" i="41"/>
  <c r="T610" i="41"/>
  <c r="U610" i="41"/>
  <c r="V610" i="41"/>
  <c r="W610" i="41"/>
  <c r="X610" i="41"/>
  <c r="Y610" i="41"/>
  <c r="Z610" i="41"/>
  <c r="AA610" i="41"/>
  <c r="R611" i="41"/>
  <c r="S611" i="41"/>
  <c r="T611" i="41"/>
  <c r="U611" i="41"/>
  <c r="V611" i="41"/>
  <c r="W611" i="41"/>
  <c r="X611" i="41"/>
  <c r="Y611" i="41"/>
  <c r="Z611" i="41"/>
  <c r="AA611" i="41"/>
  <c r="R612" i="41"/>
  <c r="S612" i="41"/>
  <c r="T612" i="41"/>
  <c r="U612" i="41"/>
  <c r="V612" i="41"/>
  <c r="W612" i="41"/>
  <c r="X612" i="41"/>
  <c r="Y612" i="41"/>
  <c r="Z612" i="41"/>
  <c r="AA612" i="41"/>
  <c r="R613" i="41"/>
  <c r="S613" i="41"/>
  <c r="T613" i="41"/>
  <c r="U613" i="41"/>
  <c r="V613" i="41"/>
  <c r="W613" i="41"/>
  <c r="X613" i="41"/>
  <c r="Y613" i="41"/>
  <c r="Z613" i="41"/>
  <c r="AA613" i="41"/>
  <c r="R614" i="41"/>
  <c r="S614" i="41"/>
  <c r="T614" i="41"/>
  <c r="U614" i="41"/>
  <c r="V614" i="41"/>
  <c r="W614" i="41"/>
  <c r="X614" i="41"/>
  <c r="Y614" i="41"/>
  <c r="Z614" i="41"/>
  <c r="AA614" i="41"/>
  <c r="R615" i="41"/>
  <c r="S615" i="41"/>
  <c r="T615" i="41"/>
  <c r="U615" i="41"/>
  <c r="V615" i="41"/>
  <c r="W615" i="41"/>
  <c r="X615" i="41"/>
  <c r="Y615" i="41"/>
  <c r="Z615" i="41"/>
  <c r="AA615" i="41"/>
  <c r="R616" i="41"/>
  <c r="S616" i="41"/>
  <c r="T616" i="41"/>
  <c r="U616" i="41"/>
  <c r="V616" i="41"/>
  <c r="W616" i="41"/>
  <c r="X616" i="41"/>
  <c r="Y616" i="41"/>
  <c r="Z616" i="41"/>
  <c r="AA616" i="41"/>
  <c r="R617" i="41"/>
  <c r="S617" i="41"/>
  <c r="T617" i="41"/>
  <c r="U617" i="41"/>
  <c r="V617" i="41"/>
  <c r="W617" i="41"/>
  <c r="X617" i="41"/>
  <c r="Y617" i="41"/>
  <c r="Z617" i="41"/>
  <c r="AA617" i="41"/>
  <c r="R618" i="41"/>
  <c r="S618" i="41"/>
  <c r="T618" i="41"/>
  <c r="U618" i="41"/>
  <c r="V618" i="41"/>
  <c r="W618" i="41"/>
  <c r="X618" i="41"/>
  <c r="Y618" i="41"/>
  <c r="Z618" i="41"/>
  <c r="AA618" i="41"/>
  <c r="R619" i="41"/>
  <c r="S619" i="41"/>
  <c r="T619" i="41"/>
  <c r="U619" i="41"/>
  <c r="V619" i="41"/>
  <c r="W619" i="41"/>
  <c r="X619" i="41"/>
  <c r="Y619" i="41"/>
  <c r="Z619" i="41"/>
  <c r="AA619" i="41"/>
  <c r="R620" i="41"/>
  <c r="S620" i="41"/>
  <c r="T620" i="41"/>
  <c r="U620" i="41"/>
  <c r="V620" i="41"/>
  <c r="W620" i="41"/>
  <c r="X620" i="41"/>
  <c r="Y620" i="41"/>
  <c r="Z620" i="41"/>
  <c r="AA620" i="41"/>
  <c r="R621" i="41"/>
  <c r="S621" i="41"/>
  <c r="T621" i="41"/>
  <c r="U621" i="41"/>
  <c r="V621" i="41"/>
  <c r="W621" i="41"/>
  <c r="X621" i="41"/>
  <c r="Y621" i="41"/>
  <c r="Z621" i="41"/>
  <c r="AA621" i="41"/>
  <c r="R622" i="41"/>
  <c r="S622" i="41"/>
  <c r="T622" i="41"/>
  <c r="U622" i="41"/>
  <c r="V622" i="41"/>
  <c r="W622" i="41"/>
  <c r="X622" i="41"/>
  <c r="Y622" i="41"/>
  <c r="Z622" i="41"/>
  <c r="AA622" i="41"/>
  <c r="R623" i="41"/>
  <c r="S623" i="41"/>
  <c r="T623" i="41"/>
  <c r="U623" i="41"/>
  <c r="V623" i="41"/>
  <c r="W623" i="41"/>
  <c r="X623" i="41"/>
  <c r="Y623" i="41"/>
  <c r="Z623" i="41"/>
  <c r="AA623" i="41"/>
  <c r="R624" i="41"/>
  <c r="S624" i="41"/>
  <c r="T624" i="41"/>
  <c r="U624" i="41"/>
  <c r="V624" i="41"/>
  <c r="W624" i="41"/>
  <c r="X624" i="41"/>
  <c r="Y624" i="41"/>
  <c r="Z624" i="41"/>
  <c r="AA624" i="41"/>
  <c r="R625" i="41"/>
  <c r="S625" i="41"/>
  <c r="T625" i="41"/>
  <c r="U625" i="41"/>
  <c r="V625" i="41"/>
  <c r="W625" i="41"/>
  <c r="X625" i="41"/>
  <c r="Y625" i="41"/>
  <c r="Z625" i="41"/>
  <c r="AA625" i="41"/>
  <c r="R626" i="41"/>
  <c r="S626" i="41"/>
  <c r="T626" i="41"/>
  <c r="U626" i="41"/>
  <c r="V626" i="41"/>
  <c r="W626" i="41"/>
  <c r="X626" i="41"/>
  <c r="Y626" i="41"/>
  <c r="Z626" i="41"/>
  <c r="AA626" i="41"/>
  <c r="R627" i="41"/>
  <c r="S627" i="41"/>
  <c r="T627" i="41"/>
  <c r="U627" i="41"/>
  <c r="V627" i="41"/>
  <c r="W627" i="41"/>
  <c r="X627" i="41"/>
  <c r="Y627" i="41"/>
  <c r="Z627" i="41"/>
  <c r="AA627" i="41"/>
  <c r="R628" i="41"/>
  <c r="S628" i="41"/>
  <c r="T628" i="41"/>
  <c r="U628" i="41"/>
  <c r="V628" i="41"/>
  <c r="W628" i="41"/>
  <c r="X628" i="41"/>
  <c r="Y628" i="41"/>
  <c r="Z628" i="41"/>
  <c r="AA628" i="41"/>
  <c r="R629" i="41"/>
  <c r="S629" i="41"/>
  <c r="T629" i="41"/>
  <c r="U629" i="41"/>
  <c r="V629" i="41"/>
  <c r="W629" i="41"/>
  <c r="X629" i="41"/>
  <c r="Y629" i="41"/>
  <c r="Z629" i="41"/>
  <c r="AA629" i="41"/>
  <c r="R630" i="41"/>
  <c r="S630" i="41"/>
  <c r="T630" i="41"/>
  <c r="U630" i="41"/>
  <c r="V630" i="41"/>
  <c r="W630" i="41"/>
  <c r="X630" i="41"/>
  <c r="Y630" i="41"/>
  <c r="Z630" i="41"/>
  <c r="AA630" i="41"/>
  <c r="R631" i="41"/>
  <c r="S631" i="41"/>
  <c r="T631" i="41"/>
  <c r="U631" i="41"/>
  <c r="V631" i="41"/>
  <c r="W631" i="41"/>
  <c r="X631" i="41"/>
  <c r="Y631" i="41"/>
  <c r="Z631" i="41"/>
  <c r="AA631" i="41"/>
  <c r="R632" i="41"/>
  <c r="S632" i="41"/>
  <c r="T632" i="41"/>
  <c r="U632" i="41"/>
  <c r="V632" i="41"/>
  <c r="W632" i="41"/>
  <c r="X632" i="41"/>
  <c r="Y632" i="41"/>
  <c r="Z632" i="41"/>
  <c r="AA632" i="41"/>
  <c r="R633" i="41"/>
  <c r="S633" i="41"/>
  <c r="T633" i="41"/>
  <c r="U633" i="41"/>
  <c r="V633" i="41"/>
  <c r="W633" i="41"/>
  <c r="X633" i="41"/>
  <c r="Y633" i="41"/>
  <c r="Z633" i="41"/>
  <c r="AA633" i="41"/>
  <c r="R634" i="41"/>
  <c r="S634" i="41"/>
  <c r="T634" i="41"/>
  <c r="U634" i="41"/>
  <c r="V634" i="41"/>
  <c r="W634" i="41"/>
  <c r="X634" i="41"/>
  <c r="Y634" i="41"/>
  <c r="Z634" i="41"/>
  <c r="AA634" i="41"/>
  <c r="R635" i="41"/>
  <c r="S635" i="41"/>
  <c r="T635" i="41"/>
  <c r="U635" i="41"/>
  <c r="V635" i="41"/>
  <c r="W635" i="41"/>
  <c r="X635" i="41"/>
  <c r="Y635" i="41"/>
  <c r="Z635" i="41"/>
  <c r="AA635" i="41"/>
  <c r="R636" i="41"/>
  <c r="S636" i="41"/>
  <c r="T636" i="41"/>
  <c r="U636" i="41"/>
  <c r="V636" i="41"/>
  <c r="W636" i="41"/>
  <c r="X636" i="41"/>
  <c r="Y636" i="41"/>
  <c r="Z636" i="41"/>
  <c r="AA636" i="41"/>
  <c r="R637" i="41"/>
  <c r="S637" i="41"/>
  <c r="T637" i="41"/>
  <c r="U637" i="41"/>
  <c r="V637" i="41"/>
  <c r="W637" i="41"/>
  <c r="X637" i="41"/>
  <c r="Y637" i="41"/>
  <c r="Z637" i="41"/>
  <c r="AA637" i="41"/>
  <c r="R638" i="41"/>
  <c r="S638" i="41"/>
  <c r="T638" i="41"/>
  <c r="U638" i="41"/>
  <c r="V638" i="41"/>
  <c r="W638" i="41"/>
  <c r="X638" i="41"/>
  <c r="Y638" i="41"/>
  <c r="Z638" i="41"/>
  <c r="AA638" i="41"/>
  <c r="R639" i="41"/>
  <c r="S639" i="41"/>
  <c r="T639" i="41"/>
  <c r="U639" i="41"/>
  <c r="V639" i="41"/>
  <c r="W639" i="41"/>
  <c r="X639" i="41"/>
  <c r="Y639" i="41"/>
  <c r="Z639" i="41"/>
  <c r="AA639" i="41"/>
  <c r="R640" i="41"/>
  <c r="S640" i="41"/>
  <c r="T640" i="41"/>
  <c r="U640" i="41"/>
  <c r="V640" i="41"/>
  <c r="W640" i="41"/>
  <c r="X640" i="41"/>
  <c r="Y640" i="41"/>
  <c r="Z640" i="41"/>
  <c r="AA640" i="41"/>
  <c r="R641" i="41"/>
  <c r="S641" i="41"/>
  <c r="T641" i="41"/>
  <c r="U641" i="41"/>
  <c r="V641" i="41"/>
  <c r="W641" i="41"/>
  <c r="X641" i="41"/>
  <c r="Y641" i="41"/>
  <c r="Z641" i="41"/>
  <c r="AA641" i="41"/>
  <c r="R642" i="41"/>
  <c r="S642" i="41"/>
  <c r="T642" i="41"/>
  <c r="U642" i="41"/>
  <c r="V642" i="41"/>
  <c r="W642" i="41"/>
  <c r="X642" i="41"/>
  <c r="Y642" i="41"/>
  <c r="Z642" i="41"/>
  <c r="AA642" i="41"/>
  <c r="R643" i="41"/>
  <c r="S643" i="41"/>
  <c r="T643" i="41"/>
  <c r="U643" i="41"/>
  <c r="V643" i="41"/>
  <c r="W643" i="41"/>
  <c r="X643" i="41"/>
  <c r="Y643" i="41"/>
  <c r="Z643" i="41"/>
  <c r="AA643" i="41"/>
  <c r="R644" i="41"/>
  <c r="S644" i="41"/>
  <c r="T644" i="41"/>
  <c r="U644" i="41"/>
  <c r="V644" i="41"/>
  <c r="W644" i="41"/>
  <c r="X644" i="41"/>
  <c r="Y644" i="41"/>
  <c r="Z644" i="41"/>
  <c r="AA644" i="41"/>
  <c r="R645" i="41"/>
  <c r="S645" i="41"/>
  <c r="T645" i="41"/>
  <c r="U645" i="41"/>
  <c r="V645" i="41"/>
  <c r="W645" i="41"/>
  <c r="X645" i="41"/>
  <c r="Y645" i="41"/>
  <c r="Z645" i="41"/>
  <c r="AA645" i="41"/>
  <c r="R646" i="41"/>
  <c r="S646" i="41"/>
  <c r="T646" i="41"/>
  <c r="U646" i="41"/>
  <c r="V646" i="41"/>
  <c r="W646" i="41"/>
  <c r="X646" i="41"/>
  <c r="Y646" i="41"/>
  <c r="Z646" i="41"/>
  <c r="AA646" i="41"/>
  <c r="R647" i="41"/>
  <c r="S647" i="41"/>
  <c r="T647" i="41"/>
  <c r="U647" i="41"/>
  <c r="V647" i="41"/>
  <c r="W647" i="41"/>
  <c r="X647" i="41"/>
  <c r="Y647" i="41"/>
  <c r="Z647" i="41"/>
  <c r="AA647" i="41"/>
  <c r="R648" i="41"/>
  <c r="S648" i="41"/>
  <c r="T648" i="41"/>
  <c r="U648" i="41"/>
  <c r="V648" i="41"/>
  <c r="W648" i="41"/>
  <c r="X648" i="41"/>
  <c r="Y648" i="41"/>
  <c r="Z648" i="41"/>
  <c r="AA648" i="41"/>
  <c r="R649" i="41"/>
  <c r="S649" i="41"/>
  <c r="T649" i="41"/>
  <c r="U649" i="41"/>
  <c r="V649" i="41"/>
  <c r="W649" i="41"/>
  <c r="X649" i="41"/>
  <c r="Y649" i="41"/>
  <c r="Z649" i="41"/>
  <c r="AA649" i="41"/>
  <c r="R650" i="41"/>
  <c r="S650" i="41"/>
  <c r="T650" i="41"/>
  <c r="U650" i="41"/>
  <c r="V650" i="41"/>
  <c r="W650" i="41"/>
  <c r="X650" i="41"/>
  <c r="Y650" i="41"/>
  <c r="Z650" i="41"/>
  <c r="AA650" i="41"/>
  <c r="R651" i="41"/>
  <c r="S651" i="41"/>
  <c r="T651" i="41"/>
  <c r="U651" i="41"/>
  <c r="V651" i="41"/>
  <c r="W651" i="41"/>
  <c r="X651" i="41"/>
  <c r="Y651" i="41"/>
  <c r="Z651" i="41"/>
  <c r="AA651" i="41"/>
  <c r="R652" i="41"/>
  <c r="S652" i="41"/>
  <c r="T652" i="41"/>
  <c r="U652" i="41"/>
  <c r="V652" i="41"/>
  <c r="W652" i="41"/>
  <c r="X652" i="41"/>
  <c r="Y652" i="41"/>
  <c r="Z652" i="41"/>
  <c r="AA652" i="41"/>
  <c r="R653" i="41"/>
  <c r="S653" i="41"/>
  <c r="T653" i="41"/>
  <c r="U653" i="41"/>
  <c r="V653" i="41"/>
  <c r="W653" i="41"/>
  <c r="X653" i="41"/>
  <c r="Y653" i="41"/>
  <c r="Z653" i="41"/>
  <c r="AA653" i="41"/>
  <c r="R654" i="41"/>
  <c r="S654" i="41"/>
  <c r="T654" i="41"/>
  <c r="U654" i="41"/>
  <c r="V654" i="41"/>
  <c r="W654" i="41"/>
  <c r="X654" i="41"/>
  <c r="Y654" i="41"/>
  <c r="Z654" i="41"/>
  <c r="AA654" i="41"/>
  <c r="R655" i="41"/>
  <c r="S655" i="41"/>
  <c r="T655" i="41"/>
  <c r="U655" i="41"/>
  <c r="V655" i="41"/>
  <c r="W655" i="41"/>
  <c r="X655" i="41"/>
  <c r="Y655" i="41"/>
  <c r="Z655" i="41"/>
  <c r="AA655" i="41"/>
  <c r="R656" i="41"/>
  <c r="S656" i="41"/>
  <c r="T656" i="41"/>
  <c r="U656" i="41"/>
  <c r="V656" i="41"/>
  <c r="W656" i="41"/>
  <c r="X656" i="41"/>
  <c r="Y656" i="41"/>
  <c r="Z656" i="41"/>
  <c r="AA656" i="41"/>
  <c r="S657" i="41"/>
  <c r="T657" i="41"/>
  <c r="U657" i="41"/>
  <c r="V657" i="41"/>
  <c r="W657" i="41"/>
  <c r="X657" i="41"/>
  <c r="Y657" i="41"/>
  <c r="Z657" i="41"/>
  <c r="AA657" i="41"/>
  <c r="S658" i="41"/>
  <c r="T658" i="41"/>
  <c r="U658" i="41"/>
  <c r="V658" i="41"/>
  <c r="W658" i="41"/>
  <c r="X658" i="41"/>
  <c r="Y658" i="41"/>
  <c r="Z658" i="41"/>
  <c r="AA658" i="41"/>
  <c r="S659" i="41"/>
  <c r="T659" i="41"/>
  <c r="U659" i="41"/>
  <c r="V659" i="41"/>
  <c r="W659" i="41"/>
  <c r="X659" i="41"/>
  <c r="Y659" i="41"/>
  <c r="Z659" i="41"/>
  <c r="AA659" i="41"/>
  <c r="S660" i="41"/>
  <c r="T660" i="41"/>
  <c r="U660" i="41"/>
  <c r="V660" i="41"/>
  <c r="W660" i="41"/>
  <c r="X660" i="41"/>
  <c r="Y660" i="41"/>
  <c r="Z660" i="41"/>
  <c r="AA660" i="41"/>
  <c r="S661" i="41"/>
  <c r="T661" i="41"/>
  <c r="U661" i="41"/>
  <c r="V661" i="41"/>
  <c r="W661" i="41"/>
  <c r="X661" i="41"/>
  <c r="Y661" i="41"/>
  <c r="Z661" i="41"/>
  <c r="AA661" i="41"/>
  <c r="S662" i="41"/>
  <c r="T662" i="41"/>
  <c r="U662" i="41"/>
  <c r="V662" i="41"/>
  <c r="W662" i="41"/>
  <c r="X662" i="41"/>
  <c r="Y662" i="41"/>
  <c r="Z662" i="41"/>
  <c r="AA662" i="41"/>
  <c r="S663" i="41"/>
  <c r="T663" i="41"/>
  <c r="U663" i="41"/>
  <c r="V663" i="41"/>
  <c r="W663" i="41"/>
  <c r="X663" i="41"/>
  <c r="Y663" i="41"/>
  <c r="Z663" i="41"/>
  <c r="AA663" i="41"/>
  <c r="S664" i="41"/>
  <c r="T664" i="41"/>
  <c r="U664" i="41"/>
  <c r="V664" i="41"/>
  <c r="W664" i="41"/>
  <c r="X664" i="41"/>
  <c r="Y664" i="41"/>
  <c r="Z664" i="41"/>
  <c r="AA664" i="41"/>
  <c r="S665" i="41"/>
  <c r="T665" i="41"/>
  <c r="U665" i="41"/>
  <c r="V665" i="41"/>
  <c r="W665" i="41"/>
  <c r="X665" i="41"/>
  <c r="Y665" i="41"/>
  <c r="Z665" i="41"/>
  <c r="AA665" i="41"/>
  <c r="S666" i="41"/>
  <c r="T666" i="41"/>
  <c r="U666" i="41"/>
  <c r="V666" i="41"/>
  <c r="W666" i="41"/>
  <c r="X666" i="41"/>
  <c r="Y666" i="41"/>
  <c r="Z666" i="41"/>
  <c r="AA666" i="41"/>
  <c r="S667" i="41"/>
  <c r="T667" i="41"/>
  <c r="U667" i="41"/>
  <c r="V667" i="41"/>
  <c r="W667" i="41"/>
  <c r="X667" i="41"/>
  <c r="Y667" i="41"/>
  <c r="Z667" i="41"/>
  <c r="AA667" i="41"/>
  <c r="S668" i="41"/>
  <c r="T668" i="41"/>
  <c r="U668" i="41"/>
  <c r="V668" i="41"/>
  <c r="W668" i="41"/>
  <c r="X668" i="41"/>
  <c r="Y668" i="41"/>
  <c r="Z668" i="41"/>
  <c r="AA668" i="41"/>
  <c r="S669" i="41"/>
  <c r="T669" i="41"/>
  <c r="U669" i="41"/>
  <c r="V669" i="41"/>
  <c r="W669" i="41"/>
  <c r="X669" i="41"/>
  <c r="Y669" i="41"/>
  <c r="Z669" i="41"/>
  <c r="AA669" i="41"/>
  <c r="S670" i="41"/>
  <c r="T670" i="41"/>
  <c r="U670" i="41"/>
  <c r="V670" i="41"/>
  <c r="W670" i="41"/>
  <c r="X670" i="41"/>
  <c r="Y670" i="41"/>
  <c r="Z670" i="41"/>
  <c r="AA670" i="41"/>
  <c r="S671" i="41"/>
  <c r="T671" i="41"/>
  <c r="U671" i="41"/>
  <c r="V671" i="41"/>
  <c r="W671" i="41"/>
  <c r="X671" i="41"/>
  <c r="Y671" i="41"/>
  <c r="Z671" i="41"/>
  <c r="AA671" i="41"/>
  <c r="S672" i="41"/>
  <c r="T672" i="41"/>
  <c r="U672" i="41"/>
  <c r="V672" i="41"/>
  <c r="W672" i="41"/>
  <c r="X672" i="41"/>
  <c r="Y672" i="41"/>
  <c r="Z672" i="41"/>
  <c r="AA672" i="41"/>
  <c r="S673" i="41"/>
  <c r="T673" i="41"/>
  <c r="U673" i="41"/>
  <c r="V673" i="41"/>
  <c r="W673" i="41"/>
  <c r="X673" i="41"/>
  <c r="Y673" i="41"/>
  <c r="Z673" i="41"/>
  <c r="AA673" i="41"/>
  <c r="S674" i="41"/>
  <c r="T674" i="41"/>
  <c r="U674" i="41"/>
  <c r="V674" i="41"/>
  <c r="W674" i="41"/>
  <c r="X674" i="41"/>
  <c r="Y674" i="41"/>
  <c r="Z674" i="41"/>
  <c r="AA674" i="41"/>
  <c r="S675" i="41"/>
  <c r="T675" i="41"/>
  <c r="U675" i="41"/>
  <c r="V675" i="41"/>
  <c r="W675" i="41"/>
  <c r="X675" i="41"/>
  <c r="Y675" i="41"/>
  <c r="Z675" i="41"/>
  <c r="AA675" i="41"/>
  <c r="S676" i="41"/>
  <c r="T676" i="41"/>
  <c r="U676" i="41"/>
  <c r="V676" i="41"/>
  <c r="W676" i="41"/>
  <c r="X676" i="41"/>
  <c r="Y676" i="41"/>
  <c r="Z676" i="41"/>
  <c r="AA676" i="41"/>
  <c r="S677" i="41"/>
  <c r="T677" i="41"/>
  <c r="U677" i="41"/>
  <c r="V677" i="41"/>
  <c r="W677" i="41"/>
  <c r="X677" i="41"/>
  <c r="Y677" i="41"/>
  <c r="Z677" i="41"/>
  <c r="AA677" i="41"/>
  <c r="S678" i="41"/>
  <c r="T678" i="41"/>
  <c r="U678" i="41"/>
  <c r="V678" i="41"/>
  <c r="W678" i="41"/>
  <c r="X678" i="41"/>
  <c r="Y678" i="41"/>
  <c r="Z678" i="41"/>
  <c r="AA678" i="41"/>
  <c r="S679" i="41"/>
  <c r="T679" i="41"/>
  <c r="U679" i="41"/>
  <c r="V679" i="41"/>
  <c r="W679" i="41"/>
  <c r="X679" i="41"/>
  <c r="Y679" i="41"/>
  <c r="Z679" i="41"/>
  <c r="AA679" i="41"/>
  <c r="S680" i="41"/>
  <c r="T680" i="41"/>
  <c r="U680" i="41"/>
  <c r="V680" i="41"/>
  <c r="W680" i="41"/>
  <c r="X680" i="41"/>
  <c r="Y680" i="41"/>
  <c r="Z680" i="41"/>
  <c r="AA680" i="41"/>
  <c r="S681" i="41"/>
  <c r="T681" i="41"/>
  <c r="U681" i="41"/>
  <c r="V681" i="41"/>
  <c r="W681" i="41"/>
  <c r="X681" i="41"/>
  <c r="Y681" i="41"/>
  <c r="Z681" i="41"/>
  <c r="AA681" i="41"/>
  <c r="S682" i="41"/>
  <c r="T682" i="41"/>
  <c r="U682" i="41"/>
  <c r="V682" i="41"/>
  <c r="W682" i="41"/>
  <c r="X682" i="41"/>
  <c r="Y682" i="41"/>
  <c r="Z682" i="41"/>
  <c r="AA682" i="41"/>
  <c r="S683" i="41"/>
  <c r="T683" i="41"/>
  <c r="U683" i="41"/>
  <c r="V683" i="41"/>
  <c r="W683" i="41"/>
  <c r="X683" i="41"/>
  <c r="Y683" i="41"/>
  <c r="Z683" i="41"/>
  <c r="AA683" i="41"/>
  <c r="S684" i="41"/>
  <c r="T684" i="41"/>
  <c r="U684" i="41"/>
  <c r="V684" i="41"/>
  <c r="W684" i="41"/>
  <c r="X684" i="41"/>
  <c r="Y684" i="41"/>
  <c r="Z684" i="41"/>
  <c r="AA684" i="41"/>
  <c r="S685" i="41"/>
  <c r="T685" i="41"/>
  <c r="U685" i="41"/>
  <c r="V685" i="41"/>
  <c r="W685" i="41"/>
  <c r="X685" i="41"/>
  <c r="Y685" i="41"/>
  <c r="Z685" i="41"/>
  <c r="AA685" i="41"/>
  <c r="S686" i="41"/>
  <c r="T686" i="41"/>
  <c r="U686" i="41"/>
  <c r="V686" i="41"/>
  <c r="W686" i="41"/>
  <c r="X686" i="41"/>
  <c r="Y686" i="41"/>
  <c r="Z686" i="41"/>
  <c r="AA686" i="41"/>
  <c r="S687" i="41"/>
  <c r="T687" i="41"/>
  <c r="U687" i="41"/>
  <c r="V687" i="41"/>
  <c r="W687" i="41"/>
  <c r="X687" i="41"/>
  <c r="Y687" i="41"/>
  <c r="Z687" i="41"/>
  <c r="AA687" i="41"/>
  <c r="S688" i="41"/>
  <c r="T688" i="41"/>
  <c r="U688" i="41"/>
  <c r="V688" i="41"/>
  <c r="W688" i="41"/>
  <c r="X688" i="41"/>
  <c r="Y688" i="41"/>
  <c r="Z688" i="41"/>
  <c r="AA688" i="41"/>
  <c r="S689" i="41"/>
  <c r="T689" i="41"/>
  <c r="U689" i="41"/>
  <c r="V689" i="41"/>
  <c r="W689" i="41"/>
  <c r="X689" i="41"/>
  <c r="Y689" i="41"/>
  <c r="Z689" i="41"/>
  <c r="AA689" i="41"/>
  <c r="S690" i="41"/>
  <c r="T690" i="41"/>
  <c r="U690" i="41"/>
  <c r="V690" i="41"/>
  <c r="W690" i="41"/>
  <c r="X690" i="41"/>
  <c r="Y690" i="41"/>
  <c r="Z690" i="41"/>
  <c r="AA690" i="41"/>
  <c r="S691" i="41"/>
  <c r="T691" i="41"/>
  <c r="U691" i="41"/>
  <c r="V691" i="41"/>
  <c r="W691" i="41"/>
  <c r="X691" i="41"/>
  <c r="Y691" i="41"/>
  <c r="Z691" i="41"/>
  <c r="AA691" i="41"/>
  <c r="S692" i="41"/>
  <c r="T692" i="41"/>
  <c r="U692" i="41"/>
  <c r="V692" i="41"/>
  <c r="W692" i="41"/>
  <c r="X692" i="41"/>
  <c r="Y692" i="41"/>
  <c r="Z692" i="41"/>
  <c r="AA692" i="41"/>
  <c r="S693" i="41"/>
  <c r="T693" i="41"/>
  <c r="U693" i="41"/>
  <c r="V693" i="41"/>
  <c r="W693" i="41"/>
  <c r="X693" i="41"/>
  <c r="Y693" i="41"/>
  <c r="Z693" i="41"/>
  <c r="AA693" i="41"/>
  <c r="S694" i="41"/>
  <c r="T694" i="41"/>
  <c r="U694" i="41"/>
  <c r="V694" i="41"/>
  <c r="W694" i="41"/>
  <c r="X694" i="41"/>
  <c r="Y694" i="41"/>
  <c r="Z694" i="41"/>
  <c r="AA694" i="41"/>
  <c r="S695" i="41"/>
  <c r="T695" i="41"/>
  <c r="U695" i="41"/>
  <c r="V695" i="41"/>
  <c r="W695" i="41"/>
  <c r="X695" i="41"/>
  <c r="Y695" i="41"/>
  <c r="Z695" i="41"/>
  <c r="AA695" i="41"/>
  <c r="S696" i="41"/>
  <c r="T696" i="41"/>
  <c r="U696" i="41"/>
  <c r="V696" i="41"/>
  <c r="W696" i="41"/>
  <c r="X696" i="41"/>
  <c r="Y696" i="41"/>
  <c r="Z696" i="41"/>
  <c r="AA696" i="41"/>
  <c r="S697" i="41"/>
  <c r="T697" i="41"/>
  <c r="U697" i="41"/>
  <c r="V697" i="41"/>
  <c r="W697" i="41"/>
  <c r="X697" i="41"/>
  <c r="Y697" i="41"/>
  <c r="Z697" i="41"/>
  <c r="AA697" i="41"/>
  <c r="S698" i="41"/>
  <c r="T698" i="41"/>
  <c r="U698" i="41"/>
  <c r="V698" i="41"/>
  <c r="W698" i="41"/>
  <c r="X698" i="41"/>
  <c r="Y698" i="41"/>
  <c r="Z698" i="41"/>
  <c r="AA698" i="41"/>
  <c r="S699" i="41"/>
  <c r="T699" i="41"/>
  <c r="U699" i="41"/>
  <c r="V699" i="41"/>
  <c r="W699" i="41"/>
  <c r="X699" i="41"/>
  <c r="Y699" i="41"/>
  <c r="Z699" i="41"/>
  <c r="AA699" i="41"/>
  <c r="S700" i="41"/>
  <c r="T700" i="41"/>
  <c r="U700" i="41"/>
  <c r="V700" i="41"/>
  <c r="W700" i="41"/>
  <c r="X700" i="41"/>
  <c r="Y700" i="41"/>
  <c r="Z700" i="41"/>
  <c r="AA700" i="41"/>
  <c r="S701" i="41"/>
  <c r="T701" i="41"/>
  <c r="U701" i="41"/>
  <c r="V701" i="41"/>
  <c r="W701" i="41"/>
  <c r="X701" i="41"/>
  <c r="Y701" i="41"/>
  <c r="Z701" i="41"/>
  <c r="AA701" i="41"/>
  <c r="S702" i="41"/>
  <c r="T702" i="41"/>
  <c r="U702" i="41"/>
  <c r="V702" i="41"/>
  <c r="W702" i="41"/>
  <c r="X702" i="41"/>
  <c r="Y702" i="41"/>
  <c r="Z702" i="41"/>
  <c r="AA702" i="41"/>
  <c r="S703" i="41"/>
  <c r="T703" i="41"/>
  <c r="U703" i="41"/>
  <c r="V703" i="41"/>
  <c r="W703" i="41"/>
  <c r="X703" i="41"/>
  <c r="Y703" i="41"/>
  <c r="Z703" i="41"/>
  <c r="AA703" i="41"/>
  <c r="S704" i="41"/>
  <c r="T704" i="41"/>
  <c r="U704" i="41"/>
  <c r="V704" i="41"/>
  <c r="W704" i="41"/>
  <c r="X704" i="41"/>
  <c r="Y704" i="41"/>
  <c r="Z704" i="41"/>
  <c r="AA704" i="41"/>
  <c r="S705" i="41"/>
  <c r="T705" i="41"/>
  <c r="U705" i="41"/>
  <c r="V705" i="41"/>
  <c r="W705" i="41"/>
  <c r="X705" i="41"/>
  <c r="Y705" i="41"/>
  <c r="Z705" i="41"/>
  <c r="AA705" i="41"/>
  <c r="S706" i="41"/>
  <c r="T706" i="41"/>
  <c r="U706" i="41"/>
  <c r="V706" i="41"/>
  <c r="W706" i="41"/>
  <c r="X706" i="41"/>
  <c r="Y706" i="41"/>
  <c r="Z706" i="41"/>
  <c r="AA706" i="41"/>
  <c r="S707" i="41"/>
  <c r="T707" i="41"/>
  <c r="U707" i="41"/>
  <c r="V707" i="41"/>
  <c r="W707" i="41"/>
  <c r="X707" i="41"/>
  <c r="Y707" i="41"/>
  <c r="Z707" i="41"/>
  <c r="AA707" i="41"/>
  <c r="S708" i="41"/>
  <c r="T708" i="41"/>
  <c r="U708" i="41"/>
  <c r="V708" i="41"/>
  <c r="W708" i="41"/>
  <c r="X708" i="41"/>
  <c r="Y708" i="41"/>
  <c r="Z708" i="41"/>
  <c r="AA708" i="41"/>
  <c r="S709" i="41"/>
  <c r="T709" i="41"/>
  <c r="U709" i="41"/>
  <c r="V709" i="41"/>
  <c r="W709" i="41"/>
  <c r="X709" i="41"/>
  <c r="Y709" i="41"/>
  <c r="Z709" i="41"/>
  <c r="AA709" i="41"/>
  <c r="S710" i="41"/>
  <c r="T710" i="41"/>
  <c r="U710" i="41"/>
  <c r="V710" i="41"/>
  <c r="W710" i="41"/>
  <c r="X710" i="41"/>
  <c r="Y710" i="41"/>
  <c r="Z710" i="41"/>
  <c r="AA710" i="41"/>
  <c r="S711" i="41"/>
  <c r="T711" i="41"/>
  <c r="U711" i="41"/>
  <c r="V711" i="41"/>
  <c r="W711" i="41"/>
  <c r="X711" i="41"/>
  <c r="Y711" i="41"/>
  <c r="Z711" i="41"/>
  <c r="AA711" i="41"/>
  <c r="S712" i="41"/>
  <c r="T712" i="41"/>
  <c r="U712" i="41"/>
  <c r="V712" i="41"/>
  <c r="W712" i="41"/>
  <c r="X712" i="41"/>
  <c r="Y712" i="41"/>
  <c r="Z712" i="41"/>
  <c r="AA712" i="41"/>
  <c r="S713" i="41"/>
  <c r="T713" i="41"/>
  <c r="U713" i="41"/>
  <c r="V713" i="41"/>
  <c r="W713" i="41"/>
  <c r="X713" i="41"/>
  <c r="Y713" i="41"/>
  <c r="Z713" i="41"/>
  <c r="AA713" i="41"/>
  <c r="S714" i="41"/>
  <c r="T714" i="41"/>
  <c r="U714" i="41"/>
  <c r="V714" i="41"/>
  <c r="W714" i="41"/>
  <c r="X714" i="41"/>
  <c r="Y714" i="41"/>
  <c r="Z714" i="41"/>
  <c r="AA714" i="41"/>
  <c r="S715" i="41"/>
  <c r="T715" i="41"/>
  <c r="U715" i="41"/>
  <c r="V715" i="41"/>
  <c r="W715" i="41"/>
  <c r="X715" i="41"/>
  <c r="Y715" i="41"/>
  <c r="Z715" i="41"/>
  <c r="AA715" i="41"/>
  <c r="S716" i="41"/>
  <c r="T716" i="41"/>
  <c r="U716" i="41"/>
  <c r="V716" i="41"/>
  <c r="W716" i="41"/>
  <c r="X716" i="41"/>
  <c r="Y716" i="41"/>
  <c r="Z716" i="41"/>
  <c r="AA716" i="41"/>
  <c r="S717" i="41"/>
  <c r="T717" i="41"/>
  <c r="U717" i="41"/>
  <c r="V717" i="41"/>
  <c r="W717" i="41"/>
  <c r="X717" i="41"/>
  <c r="Y717" i="41"/>
  <c r="Z717" i="41"/>
  <c r="AA717" i="41"/>
  <c r="S718" i="41"/>
  <c r="T718" i="41"/>
  <c r="U718" i="41"/>
  <c r="V718" i="41"/>
  <c r="W718" i="41"/>
  <c r="X718" i="41"/>
  <c r="Y718" i="41"/>
  <c r="Z718" i="41"/>
  <c r="AA718" i="41"/>
  <c r="S719" i="41"/>
  <c r="T719" i="41"/>
  <c r="U719" i="41"/>
  <c r="V719" i="41"/>
  <c r="W719" i="41"/>
  <c r="X719" i="41"/>
  <c r="Y719" i="41"/>
  <c r="Z719" i="41"/>
  <c r="AA719" i="41"/>
  <c r="S720" i="41"/>
  <c r="T720" i="41"/>
  <c r="U720" i="41"/>
  <c r="V720" i="41"/>
  <c r="W720" i="41"/>
  <c r="X720" i="41"/>
  <c r="Y720" i="41"/>
  <c r="Z720" i="41"/>
  <c r="AA720" i="41"/>
  <c r="S721" i="41"/>
  <c r="T721" i="41"/>
  <c r="U721" i="41"/>
  <c r="V721" i="41"/>
  <c r="W721" i="41"/>
  <c r="X721" i="41"/>
  <c r="Y721" i="41"/>
  <c r="Z721" i="41"/>
  <c r="AA721" i="41"/>
  <c r="S722" i="41"/>
  <c r="T722" i="41"/>
  <c r="U722" i="41"/>
  <c r="V722" i="41"/>
  <c r="W722" i="41"/>
  <c r="X722" i="41"/>
  <c r="Y722" i="41"/>
  <c r="Z722" i="41"/>
  <c r="AA722" i="41"/>
  <c r="S723" i="41"/>
  <c r="T723" i="41"/>
  <c r="U723" i="41"/>
  <c r="V723" i="41"/>
  <c r="W723" i="41"/>
  <c r="X723" i="41"/>
  <c r="Y723" i="41"/>
  <c r="Z723" i="41"/>
  <c r="AA723" i="41"/>
  <c r="S724" i="41"/>
  <c r="T724" i="41"/>
  <c r="U724" i="41"/>
  <c r="V724" i="41"/>
  <c r="W724" i="41"/>
  <c r="X724" i="41"/>
  <c r="Y724" i="41"/>
  <c r="Z724" i="41"/>
  <c r="AA724" i="41"/>
  <c r="S725" i="41"/>
  <c r="T725" i="41"/>
  <c r="U725" i="41"/>
  <c r="V725" i="41"/>
  <c r="W725" i="41"/>
  <c r="X725" i="41"/>
  <c r="Y725" i="41"/>
  <c r="Z725" i="41"/>
  <c r="AA725" i="41"/>
  <c r="S726" i="41"/>
  <c r="T726" i="41"/>
  <c r="U726" i="41"/>
  <c r="V726" i="41"/>
  <c r="W726" i="41"/>
  <c r="X726" i="41"/>
  <c r="Y726" i="41"/>
  <c r="Z726" i="41"/>
  <c r="AA726" i="41"/>
  <c r="S727" i="41"/>
  <c r="T727" i="41"/>
  <c r="U727" i="41"/>
  <c r="V727" i="41"/>
  <c r="W727" i="41"/>
  <c r="X727" i="41"/>
  <c r="Y727" i="41"/>
  <c r="Z727" i="41"/>
  <c r="AA727" i="41"/>
  <c r="S728" i="41"/>
  <c r="T728" i="41"/>
  <c r="U728" i="41"/>
  <c r="V728" i="41"/>
  <c r="W728" i="41"/>
  <c r="X728" i="41"/>
  <c r="Y728" i="41"/>
  <c r="Z728" i="41"/>
  <c r="AA728" i="41"/>
  <c r="S729" i="41"/>
  <c r="T729" i="41"/>
  <c r="U729" i="41"/>
  <c r="V729" i="41"/>
  <c r="W729" i="41"/>
  <c r="X729" i="41"/>
  <c r="Y729" i="41"/>
  <c r="Z729" i="41"/>
  <c r="AA729" i="41"/>
  <c r="S730" i="41"/>
  <c r="T730" i="41"/>
  <c r="U730" i="41"/>
  <c r="V730" i="41"/>
  <c r="W730" i="41"/>
  <c r="X730" i="41"/>
  <c r="Y730" i="41"/>
  <c r="Z730" i="41"/>
  <c r="AA730" i="41"/>
  <c r="S731" i="41"/>
  <c r="T731" i="41"/>
  <c r="U731" i="41"/>
  <c r="V731" i="41"/>
  <c r="W731" i="41"/>
  <c r="X731" i="41"/>
  <c r="Y731" i="41"/>
  <c r="Z731" i="41"/>
  <c r="AA731" i="41"/>
  <c r="S732" i="41"/>
  <c r="T732" i="41"/>
  <c r="U732" i="41"/>
  <c r="V732" i="41"/>
  <c r="W732" i="41"/>
  <c r="X732" i="41"/>
  <c r="Y732" i="41"/>
  <c r="Z732" i="41"/>
  <c r="AA732" i="41"/>
  <c r="S733" i="41"/>
  <c r="T733" i="41"/>
  <c r="U733" i="41"/>
  <c r="V733" i="41"/>
  <c r="W733" i="41"/>
  <c r="X733" i="41"/>
  <c r="Y733" i="41"/>
  <c r="Z733" i="41"/>
  <c r="AA733" i="41"/>
  <c r="S734" i="41"/>
  <c r="T734" i="41"/>
  <c r="U734" i="41"/>
  <c r="V734" i="41"/>
  <c r="W734" i="41"/>
  <c r="X734" i="41"/>
  <c r="Y734" i="41"/>
  <c r="Z734" i="41"/>
  <c r="AA734" i="41"/>
  <c r="S735" i="41"/>
  <c r="T735" i="41"/>
  <c r="U735" i="41"/>
  <c r="V735" i="41"/>
  <c r="W735" i="41"/>
  <c r="X735" i="41"/>
  <c r="Y735" i="41"/>
  <c r="Z735" i="41"/>
  <c r="AA735" i="41"/>
  <c r="S736" i="41"/>
  <c r="T736" i="41"/>
  <c r="U736" i="41"/>
  <c r="V736" i="41"/>
  <c r="W736" i="41"/>
  <c r="X736" i="41"/>
  <c r="Y736" i="41"/>
  <c r="Z736" i="41"/>
  <c r="AA736" i="41"/>
  <c r="S737" i="41"/>
  <c r="T737" i="41"/>
  <c r="U737" i="41"/>
  <c r="V737" i="41"/>
  <c r="W737" i="41"/>
  <c r="X737" i="41"/>
  <c r="Y737" i="41"/>
  <c r="Z737" i="41"/>
  <c r="AA737" i="41"/>
  <c r="S738" i="41"/>
  <c r="T738" i="41"/>
  <c r="U738" i="41"/>
  <c r="V738" i="41"/>
  <c r="W738" i="41"/>
  <c r="X738" i="41"/>
  <c r="Y738" i="41"/>
  <c r="Z738" i="41"/>
  <c r="AA738" i="41"/>
  <c r="S739" i="41"/>
  <c r="T739" i="41"/>
  <c r="U739" i="41"/>
  <c r="V739" i="41"/>
  <c r="W739" i="41"/>
  <c r="X739" i="41"/>
  <c r="Y739" i="41"/>
  <c r="Z739" i="41"/>
  <c r="AA739" i="41"/>
  <c r="S740" i="41"/>
  <c r="T740" i="41"/>
  <c r="U740" i="41"/>
  <c r="V740" i="41"/>
  <c r="W740" i="41"/>
  <c r="X740" i="41"/>
  <c r="Y740" i="41"/>
  <c r="Z740" i="41"/>
  <c r="AA740" i="41"/>
  <c r="S741" i="41"/>
  <c r="T741" i="41"/>
  <c r="U741" i="41"/>
  <c r="V741" i="41"/>
  <c r="W741" i="41"/>
  <c r="X741" i="41"/>
  <c r="Y741" i="41"/>
  <c r="Z741" i="41"/>
  <c r="AA741" i="41"/>
  <c r="S742" i="41"/>
  <c r="T742" i="41"/>
  <c r="U742" i="41"/>
  <c r="V742" i="41"/>
  <c r="W742" i="41"/>
  <c r="X742" i="41"/>
  <c r="Y742" i="41"/>
  <c r="Z742" i="41"/>
  <c r="AA742" i="41"/>
  <c r="S743" i="41"/>
  <c r="T743" i="41"/>
  <c r="U743" i="41"/>
  <c r="V743" i="41"/>
  <c r="W743" i="41"/>
  <c r="X743" i="41"/>
  <c r="Y743" i="41"/>
  <c r="Z743" i="41"/>
  <c r="AA743" i="41"/>
  <c r="S744" i="41"/>
  <c r="T744" i="41"/>
  <c r="U744" i="41"/>
  <c r="V744" i="41"/>
  <c r="W744" i="41"/>
  <c r="X744" i="41"/>
  <c r="Y744" i="41"/>
  <c r="Z744" i="41"/>
  <c r="AA744" i="41"/>
  <c r="S745" i="41"/>
  <c r="T745" i="41"/>
  <c r="U745" i="41"/>
  <c r="V745" i="41"/>
  <c r="W745" i="41"/>
  <c r="X745" i="41"/>
  <c r="Y745" i="41"/>
  <c r="Z745" i="41"/>
  <c r="AA745" i="41"/>
  <c r="S746" i="41"/>
  <c r="T746" i="41"/>
  <c r="U746" i="41"/>
  <c r="V746" i="41"/>
  <c r="W746" i="41"/>
  <c r="X746" i="41"/>
  <c r="Y746" i="41"/>
  <c r="Z746" i="41"/>
  <c r="AA746" i="41"/>
  <c r="S747" i="41"/>
  <c r="T747" i="41"/>
  <c r="U747" i="41"/>
  <c r="V747" i="41"/>
  <c r="W747" i="41"/>
  <c r="X747" i="41"/>
  <c r="Y747" i="41"/>
  <c r="Z747" i="41"/>
  <c r="AA747" i="41"/>
  <c r="S748" i="41"/>
  <c r="T748" i="41"/>
  <c r="U748" i="41"/>
  <c r="V748" i="41"/>
  <c r="W748" i="41"/>
  <c r="X748" i="41"/>
  <c r="Y748" i="41"/>
  <c r="Z748" i="41"/>
  <c r="AA748" i="41"/>
  <c r="S749" i="41"/>
  <c r="T749" i="41"/>
  <c r="U749" i="41"/>
  <c r="V749" i="41"/>
  <c r="W749" i="41"/>
  <c r="X749" i="41"/>
  <c r="Y749" i="41"/>
  <c r="Z749" i="41"/>
  <c r="AA749" i="41"/>
  <c r="S750" i="41"/>
  <c r="T750" i="41"/>
  <c r="U750" i="41"/>
  <c r="V750" i="41"/>
  <c r="W750" i="41"/>
  <c r="X750" i="41"/>
  <c r="Y750" i="41"/>
  <c r="Z750" i="41"/>
  <c r="AA750" i="41"/>
  <c r="S751" i="41"/>
  <c r="T751" i="41"/>
  <c r="U751" i="41"/>
  <c r="V751" i="41"/>
  <c r="W751" i="41"/>
  <c r="X751" i="41"/>
  <c r="Y751" i="41"/>
  <c r="Z751" i="41"/>
  <c r="AA751" i="41"/>
  <c r="S752" i="41"/>
  <c r="T752" i="41"/>
  <c r="U752" i="41"/>
  <c r="V752" i="41"/>
  <c r="W752" i="41"/>
  <c r="X752" i="41"/>
  <c r="Y752" i="41"/>
  <c r="Z752" i="41"/>
  <c r="AA752" i="41"/>
  <c r="S753" i="41"/>
  <c r="T753" i="41"/>
  <c r="U753" i="41"/>
  <c r="V753" i="41"/>
  <c r="W753" i="41"/>
  <c r="X753" i="41"/>
  <c r="Y753" i="41"/>
  <c r="Z753" i="41"/>
  <c r="AA753" i="41"/>
  <c r="S754" i="41"/>
  <c r="T754" i="41"/>
  <c r="U754" i="41"/>
  <c r="V754" i="41"/>
  <c r="W754" i="41"/>
  <c r="X754" i="41"/>
  <c r="Y754" i="41"/>
  <c r="Z754" i="41"/>
  <c r="AA754" i="41"/>
  <c r="S831" i="41"/>
  <c r="T831" i="41"/>
  <c r="U831" i="41"/>
  <c r="V831" i="41"/>
  <c r="W831" i="41"/>
  <c r="X831" i="41"/>
  <c r="Y831" i="41"/>
  <c r="Z831" i="41"/>
  <c r="AA831" i="41"/>
  <c r="S332" i="38" l="1"/>
  <c r="T332" i="38"/>
  <c r="U332" i="38"/>
  <c r="V332" i="38"/>
  <c r="W332" i="38"/>
  <c r="X332" i="38"/>
  <c r="Y332" i="38"/>
  <c r="Z332" i="38"/>
  <c r="AA332" i="38"/>
  <c r="S136" i="39" l="1"/>
  <c r="T136" i="39"/>
  <c r="U136" i="39"/>
  <c r="V136" i="39"/>
  <c r="S137" i="39"/>
  <c r="T137" i="39"/>
  <c r="U137" i="39"/>
  <c r="V137" i="39"/>
  <c r="S138" i="39"/>
  <c r="T138" i="39"/>
  <c r="U138" i="39"/>
  <c r="V138" i="39"/>
  <c r="S139" i="39"/>
  <c r="T139" i="39"/>
  <c r="U139" i="39"/>
  <c r="V139" i="39"/>
  <c r="S140" i="39"/>
  <c r="T140" i="39"/>
  <c r="U140" i="39"/>
  <c r="V140" i="39"/>
  <c r="S141" i="39"/>
  <c r="T141" i="39"/>
  <c r="U141" i="39"/>
  <c r="V141" i="39"/>
  <c r="S142" i="39"/>
  <c r="T142" i="39"/>
  <c r="U142" i="39"/>
  <c r="V142" i="39"/>
  <c r="S143" i="39"/>
  <c r="T143" i="39"/>
  <c r="U143" i="39"/>
  <c r="V143" i="39"/>
  <c r="S144" i="39"/>
  <c r="T144" i="39"/>
  <c r="U144" i="39"/>
  <c r="V144" i="39"/>
  <c r="S145" i="39"/>
  <c r="T145" i="39"/>
  <c r="U145" i="39"/>
  <c r="V145" i="39"/>
  <c r="S146" i="39"/>
  <c r="T146" i="39"/>
  <c r="U146" i="39"/>
  <c r="V146" i="39"/>
  <c r="S147" i="39"/>
  <c r="T147" i="39"/>
  <c r="U147" i="39"/>
  <c r="V147" i="39"/>
  <c r="S148" i="39"/>
  <c r="T148" i="39"/>
  <c r="U148" i="39"/>
  <c r="V148" i="39"/>
  <c r="S149" i="39"/>
  <c r="T149" i="39"/>
  <c r="U149" i="39"/>
  <c r="V149" i="39"/>
  <c r="S150" i="39"/>
  <c r="T150" i="39"/>
  <c r="U150" i="39"/>
  <c r="V150" i="39"/>
  <c r="S151" i="39"/>
  <c r="T151" i="39"/>
  <c r="U151" i="39"/>
  <c r="V151" i="39"/>
  <c r="S152" i="39"/>
  <c r="T152" i="39"/>
  <c r="U152" i="39"/>
  <c r="V152" i="39"/>
  <c r="S153" i="39"/>
  <c r="T153" i="39"/>
  <c r="U153" i="39"/>
  <c r="V153" i="39"/>
  <c r="S154" i="39"/>
  <c r="T154" i="39"/>
  <c r="U154" i="39"/>
  <c r="V154" i="39"/>
  <c r="S155" i="39"/>
  <c r="T155" i="39"/>
  <c r="U155" i="39"/>
  <c r="V155" i="39"/>
  <c r="S156" i="39"/>
  <c r="T156" i="39"/>
  <c r="U156" i="39"/>
  <c r="V156" i="39"/>
  <c r="S157" i="39"/>
  <c r="T157" i="39"/>
  <c r="U157" i="39"/>
  <c r="V157" i="39"/>
  <c r="S158" i="39"/>
  <c r="T158" i="39"/>
  <c r="U158" i="39"/>
  <c r="V158" i="39"/>
  <c r="S159" i="39"/>
  <c r="T159" i="39"/>
  <c r="U159" i="39"/>
  <c r="V159" i="39"/>
  <c r="S160" i="39"/>
  <c r="T160" i="39"/>
  <c r="U160" i="39"/>
  <c r="V160" i="39"/>
  <c r="S161" i="39"/>
  <c r="T161" i="39"/>
  <c r="U161" i="39"/>
  <c r="V161" i="39"/>
  <c r="S162" i="39"/>
  <c r="T162" i="39"/>
  <c r="U162" i="39"/>
  <c r="V162" i="39"/>
  <c r="S163" i="39"/>
  <c r="T163" i="39"/>
  <c r="U163" i="39"/>
  <c r="V163" i="39"/>
  <c r="S164" i="39"/>
  <c r="T164" i="39"/>
  <c r="U164" i="39"/>
  <c r="V164" i="39"/>
  <c r="S165" i="39"/>
  <c r="T165" i="39"/>
  <c r="U165" i="39"/>
  <c r="V165" i="39"/>
  <c r="S166" i="39"/>
  <c r="T166" i="39"/>
  <c r="U166" i="39"/>
  <c r="V166" i="39"/>
  <c r="S167" i="39"/>
  <c r="T167" i="39"/>
  <c r="U167" i="39"/>
  <c r="V167" i="39"/>
  <c r="S168" i="39"/>
  <c r="T168" i="39"/>
  <c r="U168" i="39"/>
  <c r="V168" i="39"/>
  <c r="W5" i="38"/>
  <c r="X5" i="38"/>
  <c r="Y5" i="38"/>
  <c r="Z5" i="38"/>
  <c r="AA5" i="38"/>
  <c r="W6" i="38"/>
  <c r="X6" i="38"/>
  <c r="Y6" i="38"/>
  <c r="Z6" i="38"/>
  <c r="AA6" i="38"/>
  <c r="W7" i="38"/>
  <c r="X7" i="38"/>
  <c r="Y7" i="38"/>
  <c r="Z7" i="38"/>
  <c r="AA7" i="38"/>
  <c r="W8" i="38"/>
  <c r="X8" i="38"/>
  <c r="Y8" i="38"/>
  <c r="Z8" i="38"/>
  <c r="AA8" i="38"/>
  <c r="W9" i="38"/>
  <c r="X9" i="38"/>
  <c r="Y9" i="38"/>
  <c r="Z9" i="38"/>
  <c r="AA9" i="38"/>
  <c r="W10" i="38"/>
  <c r="X10" i="38"/>
  <c r="Y10" i="38"/>
  <c r="Z10" i="38"/>
  <c r="AA10" i="38"/>
  <c r="W11" i="38"/>
  <c r="X11" i="38"/>
  <c r="Y11" i="38"/>
  <c r="Z11" i="38"/>
  <c r="AA11" i="38"/>
  <c r="W12" i="38"/>
  <c r="X12" i="38"/>
  <c r="Y12" i="38"/>
  <c r="Z12" i="38"/>
  <c r="AA12" i="38"/>
  <c r="W13" i="38"/>
  <c r="X13" i="38"/>
  <c r="Y13" i="38"/>
  <c r="Z13" i="38"/>
  <c r="AA13" i="38"/>
  <c r="W14" i="38"/>
  <c r="X14" i="38"/>
  <c r="Y14" i="38"/>
  <c r="Z14" i="38"/>
  <c r="AA14" i="38"/>
  <c r="W15" i="38"/>
  <c r="X15" i="38"/>
  <c r="Y15" i="38"/>
  <c r="Z15" i="38"/>
  <c r="AA15" i="38"/>
  <c r="W16" i="38"/>
  <c r="X16" i="38"/>
  <c r="Y16" i="38"/>
  <c r="Z16" i="38"/>
  <c r="AA16" i="38"/>
  <c r="W17" i="38"/>
  <c r="X17" i="38"/>
  <c r="Y17" i="38"/>
  <c r="Z17" i="38"/>
  <c r="AA17" i="38"/>
  <c r="W18" i="38"/>
  <c r="X18" i="38"/>
  <c r="Y18" i="38"/>
  <c r="Z18" i="38"/>
  <c r="AA18" i="38"/>
  <c r="W19" i="38"/>
  <c r="X19" i="38"/>
  <c r="Y19" i="38"/>
  <c r="Z19" i="38"/>
  <c r="AA19" i="38"/>
  <c r="W20" i="38"/>
  <c r="X20" i="38"/>
  <c r="Y20" i="38"/>
  <c r="Z20" i="38"/>
  <c r="AA20" i="38"/>
  <c r="W21" i="38"/>
  <c r="X21" i="38"/>
  <c r="Y21" i="38"/>
  <c r="Z21" i="38"/>
  <c r="AA21" i="38"/>
  <c r="W22" i="38"/>
  <c r="X22" i="38"/>
  <c r="Y22" i="38"/>
  <c r="Z22" i="38"/>
  <c r="AA22" i="38"/>
  <c r="W23" i="38"/>
  <c r="X23" i="38"/>
  <c r="Y23" i="38"/>
  <c r="Z23" i="38"/>
  <c r="AA23" i="38"/>
  <c r="W24" i="38"/>
  <c r="X24" i="38"/>
  <c r="Y24" i="38"/>
  <c r="Z24" i="38"/>
  <c r="AA24" i="38"/>
  <c r="W25" i="38"/>
  <c r="X25" i="38"/>
  <c r="Y25" i="38"/>
  <c r="Z25" i="38"/>
  <c r="AA25" i="38"/>
  <c r="W26" i="38"/>
  <c r="X26" i="38"/>
  <c r="Y26" i="38"/>
  <c r="Z26" i="38"/>
  <c r="AA26" i="38"/>
  <c r="W27" i="38"/>
  <c r="X27" i="38"/>
  <c r="Y27" i="38"/>
  <c r="Z27" i="38"/>
  <c r="AA27" i="38"/>
  <c r="W28" i="38"/>
  <c r="X28" i="38"/>
  <c r="Y28" i="38"/>
  <c r="Z28" i="38"/>
  <c r="AA28" i="38"/>
  <c r="W29" i="38"/>
  <c r="X29" i="38"/>
  <c r="Y29" i="38"/>
  <c r="Z29" i="38"/>
  <c r="AA29" i="38"/>
  <c r="W30" i="38"/>
  <c r="X30" i="38"/>
  <c r="Y30" i="38"/>
  <c r="Z30" i="38"/>
  <c r="AA30" i="38"/>
  <c r="W31" i="38"/>
  <c r="X31" i="38"/>
  <c r="Y31" i="38"/>
  <c r="Z31" i="38"/>
  <c r="AA31" i="38"/>
  <c r="W32" i="38"/>
  <c r="X32" i="38"/>
  <c r="Y32" i="38"/>
  <c r="Z32" i="38"/>
  <c r="AA32" i="38"/>
  <c r="W33" i="38"/>
  <c r="X33" i="38"/>
  <c r="Y33" i="38"/>
  <c r="Z33" i="38"/>
  <c r="AA33" i="38"/>
  <c r="W34" i="38"/>
  <c r="X34" i="38"/>
  <c r="Y34" i="38"/>
  <c r="Z34" i="38"/>
  <c r="AA34" i="38"/>
  <c r="W35" i="38"/>
  <c r="X35" i="38"/>
  <c r="Y35" i="38"/>
  <c r="Z35" i="38"/>
  <c r="AA35" i="38"/>
  <c r="W36" i="38"/>
  <c r="X36" i="38"/>
  <c r="Y36" i="38"/>
  <c r="Z36" i="38"/>
  <c r="AA36" i="38"/>
  <c r="W37" i="38"/>
  <c r="X37" i="38"/>
  <c r="Y37" i="38"/>
  <c r="Z37" i="38"/>
  <c r="AA37" i="38"/>
  <c r="W38" i="38"/>
  <c r="X38" i="38"/>
  <c r="Y38" i="38"/>
  <c r="Z38" i="38"/>
  <c r="AA38" i="38"/>
  <c r="W39" i="38"/>
  <c r="X39" i="38"/>
  <c r="Y39" i="38"/>
  <c r="Z39" i="38"/>
  <c r="AA39" i="38"/>
  <c r="W40" i="38"/>
  <c r="X40" i="38"/>
  <c r="Y40" i="38"/>
  <c r="Z40" i="38"/>
  <c r="AA40" i="38"/>
  <c r="W41" i="38"/>
  <c r="X41" i="38"/>
  <c r="Y41" i="38"/>
  <c r="Z41" i="38"/>
  <c r="AA41" i="38"/>
  <c r="W42" i="38"/>
  <c r="X42" i="38"/>
  <c r="Y42" i="38"/>
  <c r="Z42" i="38"/>
  <c r="AA42" i="38"/>
  <c r="W43" i="38"/>
  <c r="X43" i="38"/>
  <c r="Y43" i="38"/>
  <c r="Z43" i="38"/>
  <c r="AA43" i="38"/>
  <c r="W44" i="38"/>
  <c r="X44" i="38"/>
  <c r="Y44" i="38"/>
  <c r="Z44" i="38"/>
  <c r="AA44" i="38"/>
  <c r="W45" i="38"/>
  <c r="X45" i="38"/>
  <c r="Y45" i="38"/>
  <c r="Z45" i="38"/>
  <c r="AA45" i="38"/>
  <c r="W46" i="38"/>
  <c r="X46" i="38"/>
  <c r="Y46" i="38"/>
  <c r="Z46" i="38"/>
  <c r="AA46" i="38"/>
  <c r="W47" i="38"/>
  <c r="X47" i="38"/>
  <c r="Y47" i="38"/>
  <c r="Z47" i="38"/>
  <c r="AA47" i="38"/>
  <c r="W48" i="38"/>
  <c r="X48" i="38"/>
  <c r="Y48" i="38"/>
  <c r="Z48" i="38"/>
  <c r="AA48" i="38"/>
  <c r="W49" i="38"/>
  <c r="X49" i="38"/>
  <c r="Y49" i="38"/>
  <c r="Z49" i="38"/>
  <c r="AA49" i="38"/>
  <c r="W50" i="38"/>
  <c r="X50" i="38"/>
  <c r="Y50" i="38"/>
  <c r="Z50" i="38"/>
  <c r="AA50" i="38"/>
  <c r="W51" i="38"/>
  <c r="X51" i="38"/>
  <c r="Y51" i="38"/>
  <c r="Z51" i="38"/>
  <c r="AA51" i="38"/>
  <c r="W52" i="38"/>
  <c r="X52" i="38"/>
  <c r="Y52" i="38"/>
  <c r="Z52" i="38"/>
  <c r="AA52" i="38"/>
  <c r="W53" i="38"/>
  <c r="X53" i="38"/>
  <c r="Y53" i="38"/>
  <c r="Z53" i="38"/>
  <c r="AA53" i="38"/>
  <c r="W54" i="38"/>
  <c r="X54" i="38"/>
  <c r="Y54" i="38"/>
  <c r="Z54" i="38"/>
  <c r="AA54" i="38"/>
  <c r="W55" i="38"/>
  <c r="X55" i="38"/>
  <c r="Y55" i="38"/>
  <c r="Z55" i="38"/>
  <c r="AA55" i="38"/>
  <c r="W56" i="38"/>
  <c r="X56" i="38"/>
  <c r="Y56" i="38"/>
  <c r="Z56" i="38"/>
  <c r="AA56" i="38"/>
  <c r="W57" i="38"/>
  <c r="X57" i="38"/>
  <c r="Y57" i="38"/>
  <c r="Z57" i="38"/>
  <c r="AA57" i="38"/>
  <c r="W58" i="38"/>
  <c r="X58" i="38"/>
  <c r="Y58" i="38"/>
  <c r="Z58" i="38"/>
  <c r="AA58" i="38"/>
  <c r="W59" i="38"/>
  <c r="X59" i="38"/>
  <c r="Y59" i="38"/>
  <c r="Z59" i="38"/>
  <c r="AA59" i="38"/>
  <c r="W60" i="38"/>
  <c r="X60" i="38"/>
  <c r="Y60" i="38"/>
  <c r="Z60" i="38"/>
  <c r="AA60" i="38"/>
  <c r="W61" i="38"/>
  <c r="X61" i="38"/>
  <c r="Y61" i="38"/>
  <c r="Z61" i="38"/>
  <c r="AA61" i="38"/>
  <c r="W62" i="38"/>
  <c r="X62" i="38"/>
  <c r="Y62" i="38"/>
  <c r="Z62" i="38"/>
  <c r="AA62" i="38"/>
  <c r="W63" i="38"/>
  <c r="X63" i="38"/>
  <c r="Y63" i="38"/>
  <c r="Z63" i="38"/>
  <c r="AA63" i="38"/>
  <c r="W64" i="38"/>
  <c r="X64" i="38"/>
  <c r="Y64" i="38"/>
  <c r="Z64" i="38"/>
  <c r="AA64" i="38"/>
  <c r="W65" i="38"/>
  <c r="X65" i="38"/>
  <c r="Y65" i="38"/>
  <c r="Z65" i="38"/>
  <c r="AA65" i="38"/>
  <c r="W66" i="38"/>
  <c r="X66" i="38"/>
  <c r="Y66" i="38"/>
  <c r="Z66" i="38"/>
  <c r="AA66" i="38"/>
  <c r="W67" i="38"/>
  <c r="X67" i="38"/>
  <c r="Y67" i="38"/>
  <c r="Z67" i="38"/>
  <c r="AA67" i="38"/>
  <c r="W68" i="38"/>
  <c r="X68" i="38"/>
  <c r="Y68" i="38"/>
  <c r="Z68" i="38"/>
  <c r="AA68" i="38"/>
  <c r="W69" i="38"/>
  <c r="X69" i="38"/>
  <c r="Y69" i="38"/>
  <c r="Z69" i="38"/>
  <c r="AA69" i="38"/>
  <c r="W70" i="38"/>
  <c r="X70" i="38"/>
  <c r="Y70" i="38"/>
  <c r="Z70" i="38"/>
  <c r="AA70" i="38"/>
  <c r="W71" i="38"/>
  <c r="X71" i="38"/>
  <c r="Y71" i="38"/>
  <c r="Z71" i="38"/>
  <c r="AA71" i="38"/>
  <c r="W72" i="38"/>
  <c r="X72" i="38"/>
  <c r="Y72" i="38"/>
  <c r="Z72" i="38"/>
  <c r="AA72" i="38"/>
  <c r="W73" i="38"/>
  <c r="X73" i="38"/>
  <c r="Y73" i="38"/>
  <c r="Z73" i="38"/>
  <c r="AA73" i="38"/>
  <c r="W74" i="38"/>
  <c r="X74" i="38"/>
  <c r="Y74" i="38"/>
  <c r="Z74" i="38"/>
  <c r="AA74" i="38"/>
  <c r="W75" i="38"/>
  <c r="X75" i="38"/>
  <c r="Y75" i="38"/>
  <c r="Z75" i="38"/>
  <c r="AA75" i="38"/>
  <c r="W76" i="38"/>
  <c r="X76" i="38"/>
  <c r="Y76" i="38"/>
  <c r="Z76" i="38"/>
  <c r="AA76" i="38"/>
  <c r="W77" i="38"/>
  <c r="X77" i="38"/>
  <c r="Y77" i="38"/>
  <c r="Z77" i="38"/>
  <c r="AA77" i="38"/>
  <c r="W78" i="38"/>
  <c r="X78" i="38"/>
  <c r="Y78" i="38"/>
  <c r="Z78" i="38"/>
  <c r="AA78" i="38"/>
  <c r="W79" i="38"/>
  <c r="X79" i="38"/>
  <c r="Y79" i="38"/>
  <c r="Z79" i="38"/>
  <c r="AA79" i="38"/>
  <c r="W80" i="38"/>
  <c r="X80" i="38"/>
  <c r="Y80" i="38"/>
  <c r="Z80" i="38"/>
  <c r="AA80" i="38"/>
  <c r="W81" i="38"/>
  <c r="X81" i="38"/>
  <c r="Y81" i="38"/>
  <c r="Z81" i="38"/>
  <c r="AA81" i="38"/>
  <c r="W82" i="38"/>
  <c r="X82" i="38"/>
  <c r="Y82" i="38"/>
  <c r="Z82" i="38"/>
  <c r="AA82" i="38"/>
  <c r="W83" i="38"/>
  <c r="X83" i="38"/>
  <c r="Y83" i="38"/>
  <c r="Z83" i="38"/>
  <c r="AA83" i="38"/>
  <c r="W84" i="38"/>
  <c r="X84" i="38"/>
  <c r="Y84" i="38"/>
  <c r="Z84" i="38"/>
  <c r="AA84" i="38"/>
  <c r="W85" i="38"/>
  <c r="X85" i="38"/>
  <c r="Y85" i="38"/>
  <c r="Z85" i="38"/>
  <c r="AA85" i="38"/>
  <c r="W86" i="38"/>
  <c r="X86" i="38"/>
  <c r="Y86" i="38"/>
  <c r="Z86" i="38"/>
  <c r="AA86" i="38"/>
  <c r="W87" i="38"/>
  <c r="X87" i="38"/>
  <c r="Y87" i="38"/>
  <c r="Z87" i="38"/>
  <c r="AA87" i="38"/>
  <c r="W88" i="38"/>
  <c r="X88" i="38"/>
  <c r="Y88" i="38"/>
  <c r="Z88" i="38"/>
  <c r="AA88" i="38"/>
  <c r="W89" i="38"/>
  <c r="X89" i="38"/>
  <c r="Y89" i="38"/>
  <c r="Z89" i="38"/>
  <c r="AA89" i="38"/>
  <c r="W90" i="38"/>
  <c r="X90" i="38"/>
  <c r="Y90" i="38"/>
  <c r="Z90" i="38"/>
  <c r="AA90" i="38"/>
  <c r="W91" i="38"/>
  <c r="X91" i="38"/>
  <c r="Y91" i="38"/>
  <c r="Z91" i="38"/>
  <c r="AA91" i="38"/>
  <c r="W92" i="38"/>
  <c r="X92" i="38"/>
  <c r="Y92" i="38"/>
  <c r="Z92" i="38"/>
  <c r="AA92" i="38"/>
  <c r="W93" i="38"/>
  <c r="X93" i="38"/>
  <c r="Y93" i="38"/>
  <c r="Z93" i="38"/>
  <c r="AA93" i="38"/>
  <c r="W94" i="38"/>
  <c r="X94" i="38"/>
  <c r="Y94" i="38"/>
  <c r="Z94" i="38"/>
  <c r="AA94" i="38"/>
  <c r="W95" i="38"/>
  <c r="X95" i="38"/>
  <c r="Y95" i="38"/>
  <c r="Z95" i="38"/>
  <c r="AA95" i="38"/>
  <c r="W96" i="38"/>
  <c r="X96" i="38"/>
  <c r="Y96" i="38"/>
  <c r="Z96" i="38"/>
  <c r="AA96" i="38"/>
  <c r="W97" i="38"/>
  <c r="X97" i="38"/>
  <c r="Y97" i="38"/>
  <c r="Z97" i="38"/>
  <c r="AA97" i="38"/>
  <c r="W98" i="38"/>
  <c r="X98" i="38"/>
  <c r="Y98" i="38"/>
  <c r="Z98" i="38"/>
  <c r="AA98" i="38"/>
  <c r="W99" i="38"/>
  <c r="X99" i="38"/>
  <c r="Y99" i="38"/>
  <c r="Z99" i="38"/>
  <c r="AA99" i="38"/>
  <c r="W100" i="38"/>
  <c r="X100" i="38"/>
  <c r="Y100" i="38"/>
  <c r="Z100" i="38"/>
  <c r="AA100" i="38"/>
  <c r="W101" i="38"/>
  <c r="X101" i="38"/>
  <c r="Y101" i="38"/>
  <c r="Z101" i="38"/>
  <c r="AA101" i="38"/>
  <c r="W102" i="38"/>
  <c r="X102" i="38"/>
  <c r="Y102" i="38"/>
  <c r="Z102" i="38"/>
  <c r="AA102" i="38"/>
  <c r="W103" i="38"/>
  <c r="X103" i="38"/>
  <c r="Y103" i="38"/>
  <c r="Z103" i="38"/>
  <c r="AA103" i="38"/>
  <c r="W104" i="38"/>
  <c r="X104" i="38"/>
  <c r="Y104" i="38"/>
  <c r="Z104" i="38"/>
  <c r="AA104" i="38"/>
  <c r="W105" i="38"/>
  <c r="X105" i="38"/>
  <c r="Y105" i="38"/>
  <c r="Z105" i="38"/>
  <c r="AA105" i="38"/>
  <c r="W106" i="38"/>
  <c r="X106" i="38"/>
  <c r="Y106" i="38"/>
  <c r="Z106" i="38"/>
  <c r="AA106" i="38"/>
  <c r="W107" i="38"/>
  <c r="X107" i="38"/>
  <c r="Y107" i="38"/>
  <c r="Z107" i="38"/>
  <c r="AA107" i="38"/>
  <c r="W108" i="38"/>
  <c r="X108" i="38"/>
  <c r="Y108" i="38"/>
  <c r="Z108" i="38"/>
  <c r="AA108" i="38"/>
  <c r="W109" i="38"/>
  <c r="X109" i="38"/>
  <c r="Y109" i="38"/>
  <c r="Z109" i="38"/>
  <c r="AA109" i="38"/>
  <c r="W110" i="38"/>
  <c r="X110" i="38"/>
  <c r="Y110" i="38"/>
  <c r="Z110" i="38"/>
  <c r="AA110" i="38"/>
  <c r="W111" i="38"/>
  <c r="X111" i="38"/>
  <c r="Y111" i="38"/>
  <c r="Z111" i="38"/>
  <c r="AA111" i="38"/>
  <c r="W112" i="38"/>
  <c r="X112" i="38"/>
  <c r="Y112" i="38"/>
  <c r="Z112" i="38"/>
  <c r="AA112" i="38"/>
  <c r="W113" i="38"/>
  <c r="X113" i="38"/>
  <c r="Y113" i="38"/>
  <c r="Z113" i="38"/>
  <c r="AA113" i="38"/>
  <c r="W114" i="38"/>
  <c r="X114" i="38"/>
  <c r="Y114" i="38"/>
  <c r="Z114" i="38"/>
  <c r="AA114" i="38"/>
  <c r="W115" i="38"/>
  <c r="X115" i="38"/>
  <c r="Y115" i="38"/>
  <c r="Z115" i="38"/>
  <c r="AA115" i="38"/>
  <c r="W116" i="38"/>
  <c r="X116" i="38"/>
  <c r="Y116" i="38"/>
  <c r="Z116" i="38"/>
  <c r="AA116" i="38"/>
  <c r="W117" i="38"/>
  <c r="X117" i="38"/>
  <c r="Y117" i="38"/>
  <c r="Z117" i="38"/>
  <c r="AA117" i="38"/>
  <c r="W118" i="38"/>
  <c r="X118" i="38"/>
  <c r="Y118" i="38"/>
  <c r="Z118" i="38"/>
  <c r="AA118" i="38"/>
  <c r="W119" i="38"/>
  <c r="X119" i="38"/>
  <c r="Y119" i="38"/>
  <c r="Z119" i="38"/>
  <c r="AA119" i="38"/>
  <c r="W120" i="38"/>
  <c r="X120" i="38"/>
  <c r="Y120" i="38"/>
  <c r="Z120" i="38"/>
  <c r="AA120" i="38"/>
  <c r="W121" i="38"/>
  <c r="X121" i="38"/>
  <c r="Y121" i="38"/>
  <c r="Z121" i="38"/>
  <c r="AA121" i="38"/>
  <c r="W122" i="38"/>
  <c r="X122" i="38"/>
  <c r="Y122" i="38"/>
  <c r="Z122" i="38"/>
  <c r="AA122" i="38"/>
  <c r="W123" i="38"/>
  <c r="X123" i="38"/>
  <c r="Y123" i="38"/>
  <c r="Z123" i="38"/>
  <c r="AA123" i="38"/>
  <c r="W124" i="38"/>
  <c r="X124" i="38"/>
  <c r="Y124" i="38"/>
  <c r="Z124" i="38"/>
  <c r="AA124" i="38"/>
  <c r="W125" i="38"/>
  <c r="X125" i="38"/>
  <c r="Y125" i="38"/>
  <c r="Z125" i="38"/>
  <c r="AA125" i="38"/>
  <c r="W126" i="38"/>
  <c r="X126" i="38"/>
  <c r="Y126" i="38"/>
  <c r="Z126" i="38"/>
  <c r="AA126" i="38"/>
  <c r="W127" i="38"/>
  <c r="X127" i="38"/>
  <c r="Y127" i="38"/>
  <c r="Z127" i="38"/>
  <c r="AA127" i="38"/>
  <c r="W128" i="38"/>
  <c r="X128" i="38"/>
  <c r="Y128" i="38"/>
  <c r="Z128" i="38"/>
  <c r="AA128" i="38"/>
  <c r="W129" i="38"/>
  <c r="X129" i="38"/>
  <c r="Y129" i="38"/>
  <c r="Z129" i="38"/>
  <c r="AA129" i="38"/>
  <c r="W130" i="38"/>
  <c r="X130" i="38"/>
  <c r="Y130" i="38"/>
  <c r="Z130" i="38"/>
  <c r="AA130" i="38"/>
  <c r="W131" i="38"/>
  <c r="X131" i="38"/>
  <c r="Y131" i="38"/>
  <c r="Z131" i="38"/>
  <c r="AA131" i="38"/>
  <c r="W132" i="38"/>
  <c r="X132" i="38"/>
  <c r="Y132" i="38"/>
  <c r="Z132" i="38"/>
  <c r="AA132" i="38"/>
  <c r="W133" i="38"/>
  <c r="X133" i="38"/>
  <c r="Y133" i="38"/>
  <c r="Z133" i="38"/>
  <c r="AA133" i="38"/>
  <c r="W134" i="38"/>
  <c r="X134" i="38"/>
  <c r="Y134" i="38"/>
  <c r="Z134" i="38"/>
  <c r="AA134" i="38"/>
  <c r="W135" i="38"/>
  <c r="X135" i="38"/>
  <c r="Y135" i="38"/>
  <c r="Z135" i="38"/>
  <c r="AA135" i="38"/>
  <c r="W136" i="38"/>
  <c r="X136" i="38"/>
  <c r="Y136" i="38"/>
  <c r="Z136" i="38"/>
  <c r="AA136" i="38"/>
  <c r="W137" i="38"/>
  <c r="X137" i="38"/>
  <c r="Y137" i="38"/>
  <c r="Z137" i="38"/>
  <c r="AA137" i="38"/>
  <c r="W138" i="38"/>
  <c r="X138" i="38"/>
  <c r="Y138" i="38"/>
  <c r="Z138" i="38"/>
  <c r="AA138" i="38"/>
  <c r="W139" i="38"/>
  <c r="X139" i="38"/>
  <c r="Y139" i="38"/>
  <c r="Z139" i="38"/>
  <c r="AA139" i="38"/>
  <c r="W140" i="38"/>
  <c r="X140" i="38"/>
  <c r="Y140" i="38"/>
  <c r="Z140" i="38"/>
  <c r="AA140" i="38"/>
  <c r="W141" i="38"/>
  <c r="X141" i="38"/>
  <c r="Y141" i="38"/>
  <c r="Z141" i="38"/>
  <c r="AA141" i="38"/>
  <c r="W142" i="38"/>
  <c r="X142" i="38"/>
  <c r="Y142" i="38"/>
  <c r="Z142" i="38"/>
  <c r="AA142" i="38"/>
  <c r="W143" i="38"/>
  <c r="X143" i="38"/>
  <c r="Y143" i="38"/>
  <c r="Z143" i="38"/>
  <c r="AA143" i="38"/>
  <c r="W144" i="38"/>
  <c r="X144" i="38"/>
  <c r="Y144" i="38"/>
  <c r="Z144" i="38"/>
  <c r="AA144" i="38"/>
  <c r="W145" i="38"/>
  <c r="X145" i="38"/>
  <c r="Y145" i="38"/>
  <c r="Z145" i="38"/>
  <c r="AA145" i="38"/>
  <c r="W146" i="38"/>
  <c r="X146" i="38"/>
  <c r="Y146" i="38"/>
  <c r="Z146" i="38"/>
  <c r="AA146" i="38"/>
  <c r="W147" i="38"/>
  <c r="X147" i="38"/>
  <c r="Y147" i="38"/>
  <c r="Z147" i="38"/>
  <c r="AA147" i="38"/>
  <c r="W148" i="38"/>
  <c r="X148" i="38"/>
  <c r="Y148" i="38"/>
  <c r="Z148" i="38"/>
  <c r="AA148" i="38"/>
  <c r="W149" i="38"/>
  <c r="X149" i="38"/>
  <c r="Y149" i="38"/>
  <c r="Z149" i="38"/>
  <c r="AA149" i="38"/>
  <c r="W150" i="38"/>
  <c r="X150" i="38"/>
  <c r="Y150" i="38"/>
  <c r="Z150" i="38"/>
  <c r="AA150" i="38"/>
  <c r="W151" i="38"/>
  <c r="X151" i="38"/>
  <c r="Y151" i="38"/>
  <c r="Z151" i="38"/>
  <c r="AA151" i="38"/>
  <c r="W152" i="38"/>
  <c r="X152" i="38"/>
  <c r="Y152" i="38"/>
  <c r="Z152" i="38"/>
  <c r="AA152" i="38"/>
  <c r="W153" i="38"/>
  <c r="X153" i="38"/>
  <c r="Y153" i="38"/>
  <c r="Z153" i="38"/>
  <c r="AA153" i="38"/>
  <c r="W154" i="38"/>
  <c r="X154" i="38"/>
  <c r="Y154" i="38"/>
  <c r="Z154" i="38"/>
  <c r="AA154" i="38"/>
  <c r="W155" i="38"/>
  <c r="X155" i="38"/>
  <c r="Y155" i="38"/>
  <c r="Z155" i="38"/>
  <c r="AA155" i="38"/>
  <c r="W156" i="38"/>
  <c r="X156" i="38"/>
  <c r="Y156" i="38"/>
  <c r="Z156" i="38"/>
  <c r="AA156" i="38"/>
  <c r="W157" i="38"/>
  <c r="X157" i="38"/>
  <c r="Y157" i="38"/>
  <c r="Z157" i="38"/>
  <c r="AA157" i="38"/>
  <c r="W158" i="38"/>
  <c r="X158" i="38"/>
  <c r="Y158" i="38"/>
  <c r="Z158" i="38"/>
  <c r="AA158" i="38"/>
  <c r="W159" i="38"/>
  <c r="X159" i="38"/>
  <c r="Y159" i="38"/>
  <c r="Z159" i="38"/>
  <c r="AA159" i="38"/>
  <c r="W160" i="38"/>
  <c r="X160" i="38"/>
  <c r="Y160" i="38"/>
  <c r="Z160" i="38"/>
  <c r="AA160" i="38"/>
  <c r="W161" i="38"/>
  <c r="X161" i="38"/>
  <c r="Y161" i="38"/>
  <c r="Z161" i="38"/>
  <c r="AA161" i="38"/>
  <c r="W162" i="38"/>
  <c r="X162" i="38"/>
  <c r="Y162" i="38"/>
  <c r="Z162" i="38"/>
  <c r="AA162" i="38"/>
  <c r="W163" i="38"/>
  <c r="X163" i="38"/>
  <c r="Y163" i="38"/>
  <c r="Z163" i="38"/>
  <c r="AA163" i="38"/>
  <c r="W164" i="38"/>
  <c r="X164" i="38"/>
  <c r="Y164" i="38"/>
  <c r="Z164" i="38"/>
  <c r="AA164" i="38"/>
  <c r="W165" i="38"/>
  <c r="X165" i="38"/>
  <c r="Y165" i="38"/>
  <c r="Z165" i="38"/>
  <c r="AA165" i="38"/>
  <c r="W166" i="38"/>
  <c r="X166" i="38"/>
  <c r="Y166" i="38"/>
  <c r="Z166" i="38"/>
  <c r="AA166" i="38"/>
  <c r="W167" i="38"/>
  <c r="X167" i="38"/>
  <c r="Y167" i="38"/>
  <c r="Z167" i="38"/>
  <c r="AA167" i="38"/>
  <c r="W168" i="38"/>
  <c r="X168" i="38"/>
  <c r="Y168" i="38"/>
  <c r="Z168" i="38"/>
  <c r="AA168" i="38"/>
  <c r="W169" i="38"/>
  <c r="X169" i="38"/>
  <c r="Y169" i="38"/>
  <c r="Z169" i="38"/>
  <c r="AA169" i="38"/>
  <c r="W170" i="38"/>
  <c r="X170" i="38"/>
  <c r="Y170" i="38"/>
  <c r="Z170" i="38"/>
  <c r="AA170" i="38"/>
  <c r="W171" i="38"/>
  <c r="X171" i="38"/>
  <c r="Y171" i="38"/>
  <c r="Z171" i="38"/>
  <c r="AA171" i="38"/>
  <c r="W172" i="38"/>
  <c r="X172" i="38"/>
  <c r="Y172" i="38"/>
  <c r="Z172" i="38"/>
  <c r="AA172" i="38"/>
  <c r="W173" i="38"/>
  <c r="X173" i="38"/>
  <c r="Y173" i="38"/>
  <c r="Z173" i="38"/>
  <c r="AA173" i="38"/>
  <c r="W174" i="38"/>
  <c r="X174" i="38"/>
  <c r="Y174" i="38"/>
  <c r="Z174" i="38"/>
  <c r="AA174" i="38"/>
  <c r="W175" i="38"/>
  <c r="X175" i="38"/>
  <c r="Y175" i="38"/>
  <c r="Z175" i="38"/>
  <c r="AA175" i="38"/>
  <c r="W176" i="38"/>
  <c r="X176" i="38"/>
  <c r="Y176" i="38"/>
  <c r="Z176" i="38"/>
  <c r="AA176" i="38"/>
  <c r="W177" i="38"/>
  <c r="X177" i="38"/>
  <c r="Y177" i="38"/>
  <c r="Z177" i="38"/>
  <c r="AA177" i="38"/>
  <c r="W178" i="38"/>
  <c r="X178" i="38"/>
  <c r="Y178" i="38"/>
  <c r="Z178" i="38"/>
  <c r="AA178" i="38"/>
  <c r="W179" i="38"/>
  <c r="X179" i="38"/>
  <c r="Y179" i="38"/>
  <c r="Z179" i="38"/>
  <c r="AA179" i="38"/>
  <c r="W180" i="38"/>
  <c r="X180" i="38"/>
  <c r="Y180" i="38"/>
  <c r="Z180" i="38"/>
  <c r="AA180" i="38"/>
  <c r="W181" i="38"/>
  <c r="X181" i="38"/>
  <c r="Y181" i="38"/>
  <c r="Z181" i="38"/>
  <c r="AA181" i="38"/>
  <c r="W182" i="38"/>
  <c r="X182" i="38"/>
  <c r="Y182" i="38"/>
  <c r="Z182" i="38"/>
  <c r="AA182" i="38"/>
  <c r="W183" i="38"/>
  <c r="X183" i="38"/>
  <c r="Y183" i="38"/>
  <c r="Z183" i="38"/>
  <c r="AA183" i="38"/>
  <c r="W184" i="38"/>
  <c r="X184" i="38"/>
  <c r="Y184" i="38"/>
  <c r="Z184" i="38"/>
  <c r="AA184" i="38"/>
  <c r="W185" i="38"/>
  <c r="X185" i="38"/>
  <c r="Y185" i="38"/>
  <c r="Z185" i="38"/>
  <c r="AA185" i="38"/>
  <c r="W186" i="38"/>
  <c r="X186" i="38"/>
  <c r="Y186" i="38"/>
  <c r="Z186" i="38"/>
  <c r="AA186" i="38"/>
  <c r="W187" i="38"/>
  <c r="X187" i="38"/>
  <c r="Y187" i="38"/>
  <c r="Z187" i="38"/>
  <c r="AA187" i="38"/>
  <c r="W188" i="38"/>
  <c r="X188" i="38"/>
  <c r="Y188" i="38"/>
  <c r="Z188" i="38"/>
  <c r="AA188" i="38"/>
  <c r="W189" i="38"/>
  <c r="X189" i="38"/>
  <c r="Y189" i="38"/>
  <c r="Z189" i="38"/>
  <c r="AA189" i="38"/>
  <c r="W190" i="38"/>
  <c r="X190" i="38"/>
  <c r="Y190" i="38"/>
  <c r="Z190" i="38"/>
  <c r="AA190" i="38"/>
  <c r="W191" i="38"/>
  <c r="X191" i="38"/>
  <c r="Y191" i="38"/>
  <c r="Z191" i="38"/>
  <c r="AA191" i="38"/>
  <c r="W192" i="38"/>
  <c r="X192" i="38"/>
  <c r="Y192" i="38"/>
  <c r="Z192" i="38"/>
  <c r="AA192" i="38"/>
  <c r="W193" i="38"/>
  <c r="X193" i="38"/>
  <c r="Y193" i="38"/>
  <c r="Z193" i="38"/>
  <c r="AA193" i="38"/>
  <c r="W194" i="38"/>
  <c r="X194" i="38"/>
  <c r="Y194" i="38"/>
  <c r="Z194" i="38"/>
  <c r="AA194" i="38"/>
  <c r="W195" i="38"/>
  <c r="X195" i="38"/>
  <c r="Y195" i="38"/>
  <c r="Z195" i="38"/>
  <c r="AA195" i="38"/>
  <c r="W196" i="38"/>
  <c r="X196" i="38"/>
  <c r="Y196" i="38"/>
  <c r="Z196" i="38"/>
  <c r="AA196" i="38"/>
  <c r="W197" i="38"/>
  <c r="X197" i="38"/>
  <c r="Y197" i="38"/>
  <c r="Z197" i="38"/>
  <c r="AA197" i="38"/>
  <c r="W198" i="38"/>
  <c r="X198" i="38"/>
  <c r="Y198" i="38"/>
  <c r="Z198" i="38"/>
  <c r="AA198" i="38"/>
  <c r="W199" i="38"/>
  <c r="X199" i="38"/>
  <c r="Y199" i="38"/>
  <c r="Z199" i="38"/>
  <c r="AA199" i="38"/>
  <c r="W200" i="38"/>
  <c r="X200" i="38"/>
  <c r="Y200" i="38"/>
  <c r="Z200" i="38"/>
  <c r="AA200" i="38"/>
  <c r="W201" i="38"/>
  <c r="X201" i="38"/>
  <c r="Y201" i="38"/>
  <c r="Z201" i="38"/>
  <c r="AA201" i="38"/>
  <c r="W202" i="38"/>
  <c r="X202" i="38"/>
  <c r="Y202" i="38"/>
  <c r="Z202" i="38"/>
  <c r="AA202" i="38"/>
  <c r="W203" i="38"/>
  <c r="X203" i="38"/>
  <c r="Y203" i="38"/>
  <c r="Z203" i="38"/>
  <c r="AA203" i="38"/>
  <c r="W204" i="38"/>
  <c r="X204" i="38"/>
  <c r="Y204" i="38"/>
  <c r="Z204" i="38"/>
  <c r="AA204" i="38"/>
  <c r="W205" i="38"/>
  <c r="X205" i="38"/>
  <c r="Y205" i="38"/>
  <c r="Z205" i="38"/>
  <c r="AA205" i="38"/>
  <c r="W206" i="38"/>
  <c r="X206" i="38"/>
  <c r="Y206" i="38"/>
  <c r="Z206" i="38"/>
  <c r="AA206" i="38"/>
  <c r="W207" i="38"/>
  <c r="X207" i="38"/>
  <c r="Y207" i="38"/>
  <c r="Z207" i="38"/>
  <c r="AA207" i="38"/>
  <c r="W208" i="38"/>
  <c r="X208" i="38"/>
  <c r="Y208" i="38"/>
  <c r="Z208" i="38"/>
  <c r="AA208" i="38"/>
  <c r="W209" i="38"/>
  <c r="X209" i="38"/>
  <c r="Y209" i="38"/>
  <c r="Z209" i="38"/>
  <c r="AA209" i="38"/>
  <c r="W210" i="38"/>
  <c r="X210" i="38"/>
  <c r="Y210" i="38"/>
  <c r="Z210" i="38"/>
  <c r="AA210" i="38"/>
  <c r="W211" i="38"/>
  <c r="X211" i="38"/>
  <c r="Y211" i="38"/>
  <c r="Z211" i="38"/>
  <c r="AA211" i="38"/>
  <c r="W212" i="38"/>
  <c r="X212" i="38"/>
  <c r="Y212" i="38"/>
  <c r="Z212" i="38"/>
  <c r="AA212" i="38"/>
  <c r="W213" i="38"/>
  <c r="X213" i="38"/>
  <c r="Y213" i="38"/>
  <c r="Z213" i="38"/>
  <c r="AA213" i="38"/>
  <c r="W214" i="38"/>
  <c r="X214" i="38"/>
  <c r="Y214" i="38"/>
  <c r="Z214" i="38"/>
  <c r="AA214" i="38"/>
  <c r="W215" i="38"/>
  <c r="X215" i="38"/>
  <c r="Y215" i="38"/>
  <c r="Z215" i="38"/>
  <c r="AA215" i="38"/>
  <c r="W216" i="38"/>
  <c r="X216" i="38"/>
  <c r="Y216" i="38"/>
  <c r="Z216" i="38"/>
  <c r="AA216" i="38"/>
  <c r="W217" i="38"/>
  <c r="X217" i="38"/>
  <c r="Y217" i="38"/>
  <c r="Z217" i="38"/>
  <c r="AA217" i="38"/>
  <c r="W218" i="38"/>
  <c r="X218" i="38"/>
  <c r="Y218" i="38"/>
  <c r="Z218" i="38"/>
  <c r="AA218" i="38"/>
  <c r="W219" i="38"/>
  <c r="X219" i="38"/>
  <c r="Y219" i="38"/>
  <c r="Z219" i="38"/>
  <c r="AA219" i="38"/>
  <c r="W220" i="38"/>
  <c r="X220" i="38"/>
  <c r="Y220" i="38"/>
  <c r="Z220" i="38"/>
  <c r="AA220" i="38"/>
  <c r="W221" i="38"/>
  <c r="X221" i="38"/>
  <c r="Y221" i="38"/>
  <c r="Z221" i="38"/>
  <c r="AA221" i="38"/>
  <c r="W222" i="38"/>
  <c r="X222" i="38"/>
  <c r="Y222" i="38"/>
  <c r="Z222" i="38"/>
  <c r="AA222" i="38"/>
  <c r="W223" i="38"/>
  <c r="X223" i="38"/>
  <c r="Y223" i="38"/>
  <c r="Z223" i="38"/>
  <c r="AA223" i="38"/>
  <c r="W224" i="38"/>
  <c r="X224" i="38"/>
  <c r="Y224" i="38"/>
  <c r="Z224" i="38"/>
  <c r="AA224" i="38"/>
  <c r="W225" i="38"/>
  <c r="X225" i="38"/>
  <c r="Y225" i="38"/>
  <c r="Z225" i="38"/>
  <c r="AA225" i="38"/>
  <c r="W226" i="38"/>
  <c r="X226" i="38"/>
  <c r="Y226" i="38"/>
  <c r="Z226" i="38"/>
  <c r="AA226" i="38"/>
  <c r="W227" i="38"/>
  <c r="X227" i="38"/>
  <c r="Y227" i="38"/>
  <c r="Z227" i="38"/>
  <c r="AA227" i="38"/>
  <c r="W228" i="38"/>
  <c r="X228" i="38"/>
  <c r="Y228" i="38"/>
  <c r="Z228" i="38"/>
  <c r="AA228" i="38"/>
  <c r="W229" i="38"/>
  <c r="X229" i="38"/>
  <c r="Y229" i="38"/>
  <c r="Z229" i="38"/>
  <c r="AA229" i="38"/>
  <c r="W230" i="38"/>
  <c r="X230" i="38"/>
  <c r="Y230" i="38"/>
  <c r="Z230" i="38"/>
  <c r="AA230" i="38"/>
  <c r="W231" i="38"/>
  <c r="X231" i="38"/>
  <c r="Y231" i="38"/>
  <c r="Z231" i="38"/>
  <c r="AA231" i="38"/>
  <c r="W232" i="38"/>
  <c r="X232" i="38"/>
  <c r="Y232" i="38"/>
  <c r="Z232" i="38"/>
  <c r="AA232" i="38"/>
  <c r="W233" i="38"/>
  <c r="X233" i="38"/>
  <c r="Y233" i="38"/>
  <c r="Z233" i="38"/>
  <c r="AA233" i="38"/>
  <c r="W234" i="38"/>
  <c r="X234" i="38"/>
  <c r="Y234" i="38"/>
  <c r="Z234" i="38"/>
  <c r="AA234" i="38"/>
  <c r="W235" i="38"/>
  <c r="X235" i="38"/>
  <c r="Y235" i="38"/>
  <c r="Z235" i="38"/>
  <c r="AA235" i="38"/>
  <c r="W236" i="38"/>
  <c r="X236" i="38"/>
  <c r="Y236" i="38"/>
  <c r="Z236" i="38"/>
  <c r="AA236" i="38"/>
  <c r="W237" i="38"/>
  <c r="X237" i="38"/>
  <c r="Y237" i="38"/>
  <c r="Z237" i="38"/>
  <c r="AA237" i="38"/>
  <c r="W238" i="38"/>
  <c r="X238" i="38"/>
  <c r="Y238" i="38"/>
  <c r="Z238" i="38"/>
  <c r="AA238" i="38"/>
  <c r="W239" i="38"/>
  <c r="X239" i="38"/>
  <c r="Y239" i="38"/>
  <c r="Z239" i="38"/>
  <c r="AA239" i="38"/>
  <c r="W240" i="38"/>
  <c r="X240" i="38"/>
  <c r="Y240" i="38"/>
  <c r="Z240" i="38"/>
  <c r="AA240" i="38"/>
  <c r="W241" i="38"/>
  <c r="X241" i="38"/>
  <c r="Y241" i="38"/>
  <c r="Z241" i="38"/>
  <c r="AA241" i="38"/>
  <c r="W242" i="38"/>
  <c r="X242" i="38"/>
  <c r="Y242" i="38"/>
  <c r="Z242" i="38"/>
  <c r="AA242" i="38"/>
  <c r="W243" i="38"/>
  <c r="X243" i="38"/>
  <c r="Y243" i="38"/>
  <c r="Z243" i="38"/>
  <c r="AA243" i="38"/>
  <c r="W244" i="38"/>
  <c r="X244" i="38"/>
  <c r="Y244" i="38"/>
  <c r="Z244" i="38"/>
  <c r="AA244" i="38"/>
  <c r="W245" i="38"/>
  <c r="X245" i="38"/>
  <c r="Y245" i="38"/>
  <c r="Z245" i="38"/>
  <c r="AA245" i="38"/>
  <c r="W246" i="38"/>
  <c r="X246" i="38"/>
  <c r="Y246" i="38"/>
  <c r="Z246" i="38"/>
  <c r="AA246" i="38"/>
  <c r="W247" i="38"/>
  <c r="X247" i="38"/>
  <c r="Y247" i="38"/>
  <c r="Z247" i="38"/>
  <c r="AA247" i="38"/>
  <c r="W248" i="38"/>
  <c r="X248" i="38"/>
  <c r="Y248" i="38"/>
  <c r="Z248" i="38"/>
  <c r="AA248" i="38"/>
  <c r="W249" i="38"/>
  <c r="X249" i="38"/>
  <c r="Y249" i="38"/>
  <c r="Z249" i="38"/>
  <c r="AA249" i="38"/>
  <c r="W250" i="38"/>
  <c r="X250" i="38"/>
  <c r="Y250" i="38"/>
  <c r="Z250" i="38"/>
  <c r="AA250" i="38"/>
  <c r="W251" i="38"/>
  <c r="X251" i="38"/>
  <c r="Y251" i="38"/>
  <c r="Z251" i="38"/>
  <c r="AA251" i="38"/>
  <c r="W252" i="38"/>
  <c r="X252" i="38"/>
  <c r="Y252" i="38"/>
  <c r="Z252" i="38"/>
  <c r="AA252" i="38"/>
  <c r="W253" i="38"/>
  <c r="X253" i="38"/>
  <c r="Y253" i="38"/>
  <c r="Z253" i="38"/>
  <c r="AA253" i="38"/>
  <c r="W254" i="38"/>
  <c r="X254" i="38"/>
  <c r="Y254" i="38"/>
  <c r="Z254" i="38"/>
  <c r="AA254" i="38"/>
  <c r="W255" i="38"/>
  <c r="X255" i="38"/>
  <c r="Y255" i="38"/>
  <c r="Z255" i="38"/>
  <c r="AA255" i="38"/>
  <c r="W256" i="38"/>
  <c r="X256" i="38"/>
  <c r="Y256" i="38"/>
  <c r="Z256" i="38"/>
  <c r="AA256" i="38"/>
  <c r="W257" i="38"/>
  <c r="X257" i="38"/>
  <c r="Y257" i="38"/>
  <c r="Z257" i="38"/>
  <c r="AA257" i="38"/>
  <c r="W258" i="38"/>
  <c r="X258" i="38"/>
  <c r="Y258" i="38"/>
  <c r="Z258" i="38"/>
  <c r="AA258" i="38"/>
  <c r="W259" i="38"/>
  <c r="X259" i="38"/>
  <c r="Y259" i="38"/>
  <c r="Z259" i="38"/>
  <c r="AA259" i="38"/>
  <c r="W260" i="38"/>
  <c r="X260" i="38"/>
  <c r="Y260" i="38"/>
  <c r="Z260" i="38"/>
  <c r="AA260" i="38"/>
  <c r="W261" i="38"/>
  <c r="X261" i="38"/>
  <c r="Y261" i="38"/>
  <c r="Z261" i="38"/>
  <c r="AA261" i="38"/>
  <c r="W262" i="38"/>
  <c r="X262" i="38"/>
  <c r="Y262" i="38"/>
  <c r="Z262" i="38"/>
  <c r="AA262" i="38"/>
  <c r="W263" i="38"/>
  <c r="X263" i="38"/>
  <c r="Y263" i="38"/>
  <c r="Z263" i="38"/>
  <c r="AA263" i="38"/>
  <c r="W264" i="38"/>
  <c r="X264" i="38"/>
  <c r="Y264" i="38"/>
  <c r="Z264" i="38"/>
  <c r="AA264" i="38"/>
  <c r="W265" i="38"/>
  <c r="X265" i="38"/>
  <c r="Y265" i="38"/>
  <c r="Z265" i="38"/>
  <c r="AA265" i="38"/>
  <c r="W266" i="38"/>
  <c r="X266" i="38"/>
  <c r="Y266" i="38"/>
  <c r="Z266" i="38"/>
  <c r="AA266" i="38"/>
  <c r="W267" i="38"/>
  <c r="X267" i="38"/>
  <c r="Y267" i="38"/>
  <c r="Z267" i="38"/>
  <c r="AA267" i="38"/>
  <c r="W268" i="38"/>
  <c r="X268" i="38"/>
  <c r="Y268" i="38"/>
  <c r="Z268" i="38"/>
  <c r="AA268" i="38"/>
  <c r="W269" i="38"/>
  <c r="X269" i="38"/>
  <c r="Y269" i="38"/>
  <c r="Z269" i="38"/>
  <c r="AA269" i="38"/>
  <c r="W270" i="38"/>
  <c r="X270" i="38"/>
  <c r="Y270" i="38"/>
  <c r="Z270" i="38"/>
  <c r="AA270" i="38"/>
  <c r="W271" i="38"/>
  <c r="X271" i="38"/>
  <c r="Y271" i="38"/>
  <c r="Z271" i="38"/>
  <c r="AA271" i="38"/>
  <c r="W272" i="38"/>
  <c r="X272" i="38"/>
  <c r="Y272" i="38"/>
  <c r="Z272" i="38"/>
  <c r="AA272" i="38"/>
  <c r="W273" i="38"/>
  <c r="X273" i="38"/>
  <c r="Y273" i="38"/>
  <c r="Z273" i="38"/>
  <c r="AA273" i="38"/>
  <c r="W274" i="38"/>
  <c r="X274" i="38"/>
  <c r="Y274" i="38"/>
  <c r="Z274" i="38"/>
  <c r="AA274" i="38"/>
  <c r="W275" i="38"/>
  <c r="X275" i="38"/>
  <c r="Y275" i="38"/>
  <c r="Z275" i="38"/>
  <c r="AA275" i="38"/>
  <c r="W276" i="38"/>
  <c r="X276" i="38"/>
  <c r="Y276" i="38"/>
  <c r="Z276" i="38"/>
  <c r="AA276" i="38"/>
  <c r="W277" i="38"/>
  <c r="X277" i="38"/>
  <c r="Y277" i="38"/>
  <c r="Z277" i="38"/>
  <c r="AA277" i="38"/>
  <c r="W278" i="38"/>
  <c r="X278" i="38"/>
  <c r="Y278" i="38"/>
  <c r="Z278" i="38"/>
  <c r="AA278" i="38"/>
  <c r="W279" i="38"/>
  <c r="X279" i="38"/>
  <c r="Y279" i="38"/>
  <c r="Z279" i="38"/>
  <c r="AA279" i="38"/>
  <c r="W280" i="38"/>
  <c r="X280" i="38"/>
  <c r="Y280" i="38"/>
  <c r="Z280" i="38"/>
  <c r="AA280" i="38"/>
  <c r="W281" i="38"/>
  <c r="X281" i="38"/>
  <c r="Y281" i="38"/>
  <c r="Z281" i="38"/>
  <c r="AA281" i="38"/>
  <c r="W282" i="38"/>
  <c r="X282" i="38"/>
  <c r="Y282" i="38"/>
  <c r="Z282" i="38"/>
  <c r="AA282" i="38"/>
  <c r="W283" i="38"/>
  <c r="X283" i="38"/>
  <c r="Y283" i="38"/>
  <c r="Z283" i="38"/>
  <c r="AA283" i="38"/>
  <c r="W284" i="38"/>
  <c r="X284" i="38"/>
  <c r="Y284" i="38"/>
  <c r="Z284" i="38"/>
  <c r="AA284" i="38"/>
  <c r="W285" i="38"/>
  <c r="X285" i="38"/>
  <c r="Y285" i="38"/>
  <c r="Z285" i="38"/>
  <c r="AA285" i="38"/>
  <c r="W286" i="38"/>
  <c r="X286" i="38"/>
  <c r="Y286" i="38"/>
  <c r="Z286" i="38"/>
  <c r="AA286" i="38"/>
  <c r="W287" i="38"/>
  <c r="X287" i="38"/>
  <c r="Y287" i="38"/>
  <c r="Z287" i="38"/>
  <c r="AA287" i="38"/>
  <c r="W288" i="38"/>
  <c r="X288" i="38"/>
  <c r="Y288" i="38"/>
  <c r="Z288" i="38"/>
  <c r="AA288" i="38"/>
  <c r="W289" i="38"/>
  <c r="X289" i="38"/>
  <c r="Y289" i="38"/>
  <c r="Z289" i="38"/>
  <c r="AA289" i="38"/>
  <c r="W290" i="38"/>
  <c r="X290" i="38"/>
  <c r="Y290" i="38"/>
  <c r="Z290" i="38"/>
  <c r="AA290" i="38"/>
  <c r="W291" i="38"/>
  <c r="X291" i="38"/>
  <c r="Y291" i="38"/>
  <c r="Z291" i="38"/>
  <c r="AA291" i="38"/>
  <c r="W292" i="38"/>
  <c r="X292" i="38"/>
  <c r="Y292" i="38"/>
  <c r="Z292" i="38"/>
  <c r="AA292" i="38"/>
  <c r="W293" i="38"/>
  <c r="X293" i="38"/>
  <c r="Y293" i="38"/>
  <c r="Z293" i="38"/>
  <c r="AA293" i="38"/>
  <c r="W294" i="38"/>
  <c r="X294" i="38"/>
  <c r="Y294" i="38"/>
  <c r="Z294" i="38"/>
  <c r="AA294" i="38"/>
  <c r="W295" i="38"/>
  <c r="X295" i="38"/>
  <c r="Y295" i="38"/>
  <c r="Z295" i="38"/>
  <c r="AA295" i="38"/>
  <c r="W296" i="38"/>
  <c r="X296" i="38"/>
  <c r="Y296" i="38"/>
  <c r="Z296" i="38"/>
  <c r="AA296" i="38"/>
  <c r="W297" i="38"/>
  <c r="X297" i="38"/>
  <c r="Y297" i="38"/>
  <c r="Z297" i="38"/>
  <c r="AA297" i="38"/>
  <c r="W298" i="38"/>
  <c r="X298" i="38"/>
  <c r="Y298" i="38"/>
  <c r="Z298" i="38"/>
  <c r="AA298" i="38"/>
  <c r="W299" i="38"/>
  <c r="X299" i="38"/>
  <c r="Y299" i="38"/>
  <c r="Z299" i="38"/>
  <c r="AA299" i="38"/>
  <c r="W300" i="38"/>
  <c r="X300" i="38"/>
  <c r="Y300" i="38"/>
  <c r="Z300" i="38"/>
  <c r="AA300" i="38"/>
  <c r="W301" i="38"/>
  <c r="X301" i="38"/>
  <c r="Y301" i="38"/>
  <c r="Z301" i="38"/>
  <c r="AA301" i="38"/>
  <c r="W302" i="38"/>
  <c r="X302" i="38"/>
  <c r="Y302" i="38"/>
  <c r="Z302" i="38"/>
  <c r="AA302" i="38"/>
  <c r="W303" i="38"/>
  <c r="X303" i="38"/>
  <c r="Y303" i="38"/>
  <c r="Z303" i="38"/>
  <c r="AA303" i="38"/>
  <c r="W304" i="38"/>
  <c r="X304" i="38"/>
  <c r="Y304" i="38"/>
  <c r="Z304" i="38"/>
  <c r="AA304" i="38"/>
  <c r="W305" i="38"/>
  <c r="X305" i="38"/>
  <c r="Y305" i="38"/>
  <c r="Z305" i="38"/>
  <c r="AA305" i="38"/>
  <c r="W306" i="38"/>
  <c r="X306" i="38"/>
  <c r="Y306" i="38"/>
  <c r="Z306" i="38"/>
  <c r="AA306" i="38"/>
  <c r="W307" i="38"/>
  <c r="X307" i="38"/>
  <c r="Y307" i="38"/>
  <c r="Z307" i="38"/>
  <c r="AA307" i="38"/>
  <c r="W308" i="38"/>
  <c r="X308" i="38"/>
  <c r="Y308" i="38"/>
  <c r="Z308" i="38"/>
  <c r="AA308" i="38"/>
  <c r="W309" i="38"/>
  <c r="X309" i="38"/>
  <c r="Y309" i="38"/>
  <c r="Z309" i="38"/>
  <c r="AA309" i="38"/>
  <c r="W310" i="38"/>
  <c r="X310" i="38"/>
  <c r="Y310" i="38"/>
  <c r="Z310" i="38"/>
  <c r="AA310" i="38"/>
  <c r="W311" i="38"/>
  <c r="X311" i="38"/>
  <c r="Y311" i="38"/>
  <c r="Z311" i="38"/>
  <c r="AA311" i="38"/>
  <c r="W312" i="38"/>
  <c r="X312" i="38"/>
  <c r="Y312" i="38"/>
  <c r="Z312" i="38"/>
  <c r="AA312" i="38"/>
  <c r="W313" i="38"/>
  <c r="X313" i="38"/>
  <c r="Y313" i="38"/>
  <c r="Z313" i="38"/>
  <c r="AA313" i="38"/>
  <c r="W314" i="38"/>
  <c r="X314" i="38"/>
  <c r="Y314" i="38"/>
  <c r="Z314" i="38"/>
  <c r="AA314" i="38"/>
  <c r="W315" i="38"/>
  <c r="X315" i="38"/>
  <c r="Y315" i="38"/>
  <c r="Z315" i="38"/>
  <c r="AA315" i="38"/>
  <c r="W316" i="38"/>
  <c r="X316" i="38"/>
  <c r="Y316" i="38"/>
  <c r="Z316" i="38"/>
  <c r="AA316" i="38"/>
  <c r="W317" i="38"/>
  <c r="X317" i="38"/>
  <c r="Y317" i="38"/>
  <c r="Z317" i="38"/>
  <c r="AA317" i="38"/>
  <c r="W318" i="38"/>
  <c r="X318" i="38"/>
  <c r="Y318" i="38"/>
  <c r="Z318" i="38"/>
  <c r="AA318" i="38"/>
  <c r="W319" i="38"/>
  <c r="X319" i="38"/>
  <c r="Y319" i="38"/>
  <c r="Z319" i="38"/>
  <c r="AA319" i="38"/>
  <c r="W320" i="38"/>
  <c r="X320" i="38"/>
  <c r="Y320" i="38"/>
  <c r="Z320" i="38"/>
  <c r="AA320" i="38"/>
  <c r="W321" i="38"/>
  <c r="X321" i="38"/>
  <c r="Y321" i="38"/>
  <c r="Z321" i="38"/>
  <c r="AA321" i="38"/>
  <c r="W322" i="38"/>
  <c r="X322" i="38"/>
  <c r="Y322" i="38"/>
  <c r="Z322" i="38"/>
  <c r="AA322" i="38"/>
  <c r="W323" i="38"/>
  <c r="X323" i="38"/>
  <c r="Y323" i="38"/>
  <c r="Z323" i="38"/>
  <c r="AA323" i="38"/>
  <c r="W324" i="38"/>
  <c r="X324" i="38"/>
  <c r="Y324" i="38"/>
  <c r="Z324" i="38"/>
  <c r="AA324" i="38"/>
  <c r="W325" i="38"/>
  <c r="X325" i="38"/>
  <c r="Y325" i="38"/>
  <c r="Z325" i="38"/>
  <c r="AA325" i="38"/>
  <c r="W326" i="38"/>
  <c r="X326" i="38"/>
  <c r="Y326" i="38"/>
  <c r="Z326" i="38"/>
  <c r="AA326" i="38"/>
  <c r="W327" i="38"/>
  <c r="X327" i="38"/>
  <c r="Y327" i="38"/>
  <c r="Z327" i="38"/>
  <c r="AA327" i="38"/>
  <c r="W328" i="38"/>
  <c r="X328" i="38"/>
  <c r="Y328" i="38"/>
  <c r="Z328" i="38"/>
  <c r="AA328" i="38"/>
  <c r="W329" i="38"/>
  <c r="X329" i="38"/>
  <c r="Y329" i="38"/>
  <c r="Z329" i="38"/>
  <c r="AA329" i="38"/>
  <c r="W330" i="38"/>
  <c r="X330" i="38"/>
  <c r="Y330" i="38"/>
  <c r="Z330" i="38"/>
  <c r="AA330" i="38"/>
  <c r="W331" i="38"/>
  <c r="X331" i="38"/>
  <c r="Y331" i="38"/>
  <c r="Z331" i="38"/>
  <c r="AA331" i="38"/>
  <c r="W355" i="38"/>
  <c r="X355" i="38"/>
  <c r="Y355" i="38"/>
  <c r="Z355" i="38"/>
  <c r="AA355" i="38"/>
  <c r="V4" i="38"/>
  <c r="V5" i="38"/>
  <c r="V6" i="38"/>
  <c r="V7" i="38"/>
  <c r="V8" i="38"/>
  <c r="V9" i="38"/>
  <c r="V10" i="38"/>
  <c r="V11" i="38"/>
  <c r="V12" i="38"/>
  <c r="V13" i="38"/>
  <c r="V14" i="38"/>
  <c r="V15" i="38"/>
  <c r="V16" i="38"/>
  <c r="V17" i="38"/>
  <c r="V18" i="38"/>
  <c r="V19" i="38"/>
  <c r="V20" i="38"/>
  <c r="V21" i="38"/>
  <c r="V22" i="38"/>
  <c r="V23" i="38"/>
  <c r="V24" i="38"/>
  <c r="V25" i="38"/>
  <c r="V26" i="38"/>
  <c r="V27" i="38"/>
  <c r="V28" i="38"/>
  <c r="V29" i="38"/>
  <c r="V30" i="38"/>
  <c r="V31" i="38"/>
  <c r="V32" i="38"/>
  <c r="V33" i="38"/>
  <c r="V34" i="38"/>
  <c r="V35" i="38"/>
  <c r="V36" i="38"/>
  <c r="V37" i="38"/>
  <c r="V38" i="38"/>
  <c r="V39" i="38"/>
  <c r="V40" i="38"/>
  <c r="V41" i="38"/>
  <c r="V42" i="38"/>
  <c r="V43" i="38"/>
  <c r="V44" i="38"/>
  <c r="V45" i="38"/>
  <c r="V46" i="38"/>
  <c r="V47" i="38"/>
  <c r="V48" i="38"/>
  <c r="V49" i="38"/>
  <c r="V50" i="38"/>
  <c r="V51" i="38"/>
  <c r="V52" i="38"/>
  <c r="V53" i="38"/>
  <c r="V54" i="38"/>
  <c r="V55" i="38"/>
  <c r="V56" i="38"/>
  <c r="V57" i="38"/>
  <c r="V58" i="38"/>
  <c r="V59" i="38"/>
  <c r="V60" i="38"/>
  <c r="V61" i="38"/>
  <c r="V62" i="38"/>
  <c r="V63" i="38"/>
  <c r="V64" i="38"/>
  <c r="V65" i="38"/>
  <c r="V66" i="38"/>
  <c r="V67" i="38"/>
  <c r="V68" i="38"/>
  <c r="V69" i="38"/>
  <c r="V70" i="38"/>
  <c r="V71" i="38"/>
  <c r="V72" i="38"/>
  <c r="V73" i="38"/>
  <c r="V74" i="38"/>
  <c r="V75" i="38"/>
  <c r="V76" i="38"/>
  <c r="V77" i="38"/>
  <c r="V78" i="38"/>
  <c r="V79" i="38"/>
  <c r="V80" i="38"/>
  <c r="V81" i="38"/>
  <c r="V82" i="38"/>
  <c r="V83" i="38"/>
  <c r="V84" i="38"/>
  <c r="V85" i="38"/>
  <c r="V86" i="38"/>
  <c r="V87" i="38"/>
  <c r="V88" i="38"/>
  <c r="V89" i="38"/>
  <c r="V90" i="38"/>
  <c r="V91" i="38"/>
  <c r="V92" i="38"/>
  <c r="V93" i="38"/>
  <c r="V94" i="38"/>
  <c r="V95" i="38"/>
  <c r="V96" i="38"/>
  <c r="V97" i="38"/>
  <c r="V98" i="38"/>
  <c r="V99" i="38"/>
  <c r="V100" i="38"/>
  <c r="V101" i="38"/>
  <c r="V102" i="38"/>
  <c r="V103" i="38"/>
  <c r="V104" i="38"/>
  <c r="V105" i="38"/>
  <c r="V106" i="38"/>
  <c r="V107" i="38"/>
  <c r="V108" i="38"/>
  <c r="V109" i="38"/>
  <c r="V110" i="38"/>
  <c r="V111" i="38"/>
  <c r="V112" i="38"/>
  <c r="V113" i="38"/>
  <c r="V114" i="38"/>
  <c r="V115" i="38"/>
  <c r="V116" i="38"/>
  <c r="V117" i="38"/>
  <c r="V118" i="38"/>
  <c r="V119" i="38"/>
  <c r="V120" i="38"/>
  <c r="V121" i="38"/>
  <c r="V122" i="38"/>
  <c r="V123" i="38"/>
  <c r="V124" i="38"/>
  <c r="V125" i="38"/>
  <c r="V126" i="38"/>
  <c r="V127" i="38"/>
  <c r="V128" i="38"/>
  <c r="V129" i="38"/>
  <c r="V130" i="38"/>
  <c r="V131" i="38"/>
  <c r="V132" i="38"/>
  <c r="V133" i="38"/>
  <c r="V134" i="38"/>
  <c r="V135" i="38"/>
  <c r="V136" i="38"/>
  <c r="V137" i="38"/>
  <c r="V138" i="38"/>
  <c r="V139" i="38"/>
  <c r="V140" i="38"/>
  <c r="V141" i="38"/>
  <c r="V142" i="38"/>
  <c r="V143" i="38"/>
  <c r="V144" i="38"/>
  <c r="V145" i="38"/>
  <c r="V146" i="38"/>
  <c r="V147" i="38"/>
  <c r="V148" i="38"/>
  <c r="V149" i="38"/>
  <c r="V150" i="38"/>
  <c r="V151" i="38"/>
  <c r="V152" i="38"/>
  <c r="V153" i="38"/>
  <c r="V154" i="38"/>
  <c r="V155" i="38"/>
  <c r="V156" i="38"/>
  <c r="V157" i="38"/>
  <c r="V158" i="38"/>
  <c r="V159" i="38"/>
  <c r="V160" i="38"/>
  <c r="V161" i="38"/>
  <c r="V162" i="38"/>
  <c r="V163" i="38"/>
  <c r="V164" i="38"/>
  <c r="V165" i="38"/>
  <c r="V166" i="38"/>
  <c r="V167" i="38"/>
  <c r="V168" i="38"/>
  <c r="V169" i="38"/>
  <c r="V170" i="38"/>
  <c r="V171" i="38"/>
  <c r="V172" i="38"/>
  <c r="V173" i="38"/>
  <c r="V174" i="38"/>
  <c r="V175" i="38"/>
  <c r="V176" i="38"/>
  <c r="V177" i="38"/>
  <c r="V178" i="38"/>
  <c r="V179" i="38"/>
  <c r="V180" i="38"/>
  <c r="V181" i="38"/>
  <c r="V182" i="38"/>
  <c r="V183" i="38"/>
  <c r="V184" i="38"/>
  <c r="V185" i="38"/>
  <c r="V186" i="38"/>
  <c r="V187" i="38"/>
  <c r="V188" i="38"/>
  <c r="V189" i="38"/>
  <c r="V190" i="38"/>
  <c r="V191" i="38"/>
  <c r="V192" i="38"/>
  <c r="V193" i="38"/>
  <c r="V194" i="38"/>
  <c r="V195" i="38"/>
  <c r="V196" i="38"/>
  <c r="V197" i="38"/>
  <c r="V198" i="38"/>
  <c r="V199" i="38"/>
  <c r="V200" i="38"/>
  <c r="V201" i="38"/>
  <c r="V202" i="38"/>
  <c r="V203" i="38"/>
  <c r="V204" i="38"/>
  <c r="V205" i="38"/>
  <c r="V206" i="38"/>
  <c r="V207" i="38"/>
  <c r="V208" i="38"/>
  <c r="V209" i="38"/>
  <c r="V210" i="38"/>
  <c r="V211" i="38"/>
  <c r="V212" i="38"/>
  <c r="V213" i="38"/>
  <c r="V214" i="38"/>
  <c r="V215" i="38"/>
  <c r="V216" i="38"/>
  <c r="V217" i="38"/>
  <c r="V218" i="38"/>
  <c r="V219" i="38"/>
  <c r="V220" i="38"/>
  <c r="V221" i="38"/>
  <c r="V222" i="38"/>
  <c r="V223" i="38"/>
  <c r="V224" i="38"/>
  <c r="V225" i="38"/>
  <c r="V226" i="38"/>
  <c r="V227" i="38"/>
  <c r="V228" i="38"/>
  <c r="V229" i="38"/>
  <c r="V230" i="38"/>
  <c r="V231" i="38"/>
  <c r="V232" i="38"/>
  <c r="V233" i="38"/>
  <c r="V234" i="38"/>
  <c r="V235" i="38"/>
  <c r="V236" i="38"/>
  <c r="V237" i="38"/>
  <c r="V238" i="38"/>
  <c r="V239" i="38"/>
  <c r="V240" i="38"/>
  <c r="V241" i="38"/>
  <c r="V242" i="38"/>
  <c r="V243" i="38"/>
  <c r="V244" i="38"/>
  <c r="V245" i="38"/>
  <c r="V246" i="38"/>
  <c r="V247" i="38"/>
  <c r="V248" i="38"/>
  <c r="V249" i="38"/>
  <c r="V250" i="38"/>
  <c r="V251" i="38"/>
  <c r="V252" i="38"/>
  <c r="V253" i="38"/>
  <c r="V254" i="38"/>
  <c r="V255" i="38"/>
  <c r="V256" i="38"/>
  <c r="V257" i="38"/>
  <c r="V258" i="38"/>
  <c r="V259" i="38"/>
  <c r="V260" i="38"/>
  <c r="V261" i="38"/>
  <c r="V262" i="38"/>
  <c r="V263" i="38"/>
  <c r="V264" i="38"/>
  <c r="V265" i="38"/>
  <c r="V266" i="38"/>
  <c r="V267" i="38"/>
  <c r="V268" i="38"/>
  <c r="V269" i="38"/>
  <c r="V270" i="38"/>
  <c r="V271" i="38"/>
  <c r="V272" i="38"/>
  <c r="V273" i="38"/>
  <c r="V274" i="38"/>
  <c r="V275" i="38"/>
  <c r="V276" i="38"/>
  <c r="V277" i="38"/>
  <c r="V278" i="38"/>
  <c r="V279" i="38"/>
  <c r="V280" i="38"/>
  <c r="V281" i="38"/>
  <c r="V282" i="38"/>
  <c r="V283" i="38"/>
  <c r="V284" i="38"/>
  <c r="V285" i="38"/>
  <c r="V286" i="38"/>
  <c r="V287" i="38"/>
  <c r="V288" i="38"/>
  <c r="V289" i="38"/>
  <c r="V290" i="38"/>
  <c r="V291" i="38"/>
  <c r="V292" i="38"/>
  <c r="V293" i="38"/>
  <c r="V294" i="38"/>
  <c r="V295" i="38"/>
  <c r="V296" i="38"/>
  <c r="V297" i="38"/>
  <c r="V298" i="38"/>
  <c r="V299" i="38"/>
  <c r="V300" i="38"/>
  <c r="V301" i="38"/>
  <c r="V302" i="38"/>
  <c r="V303" i="38"/>
  <c r="V304" i="38"/>
  <c r="V305" i="38"/>
  <c r="V306" i="38"/>
  <c r="V307" i="38"/>
  <c r="V308" i="38"/>
  <c r="V309" i="38"/>
  <c r="V310" i="38"/>
  <c r="V311" i="38"/>
  <c r="V312" i="38"/>
  <c r="V313" i="38"/>
  <c r="V314" i="38"/>
  <c r="V315" i="38"/>
  <c r="V316" i="38"/>
  <c r="V317" i="38"/>
  <c r="V318" i="38"/>
  <c r="V319" i="38"/>
  <c r="V320" i="38"/>
  <c r="V321" i="38"/>
  <c r="V322" i="38"/>
  <c r="V323" i="38"/>
  <c r="V324" i="38"/>
  <c r="V325" i="38"/>
  <c r="V326" i="38"/>
  <c r="V327" i="38"/>
  <c r="V328" i="38"/>
  <c r="V329" i="38"/>
  <c r="V330" i="38"/>
  <c r="V331" i="38"/>
  <c r="V355" i="38"/>
  <c r="U4" i="38"/>
  <c r="U5" i="38"/>
  <c r="U6" i="38"/>
  <c r="U7" i="38"/>
  <c r="U8" i="38"/>
  <c r="U9" i="38"/>
  <c r="U10" i="38"/>
  <c r="U11" i="38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38" i="38"/>
  <c r="U39" i="38"/>
  <c r="U40" i="38"/>
  <c r="U41" i="38"/>
  <c r="U42" i="38"/>
  <c r="U43" i="38"/>
  <c r="U44" i="38"/>
  <c r="U45" i="38"/>
  <c r="U46" i="38"/>
  <c r="U47" i="38"/>
  <c r="U48" i="38"/>
  <c r="U49" i="38"/>
  <c r="U50" i="38"/>
  <c r="U51" i="38"/>
  <c r="U52" i="38"/>
  <c r="U53" i="38"/>
  <c r="U54" i="38"/>
  <c r="U55" i="38"/>
  <c r="U56" i="38"/>
  <c r="U57" i="38"/>
  <c r="U58" i="38"/>
  <c r="U59" i="38"/>
  <c r="U60" i="38"/>
  <c r="U61" i="38"/>
  <c r="U62" i="38"/>
  <c r="U63" i="38"/>
  <c r="U64" i="38"/>
  <c r="U65" i="38"/>
  <c r="U66" i="38"/>
  <c r="U67" i="38"/>
  <c r="U68" i="38"/>
  <c r="U69" i="38"/>
  <c r="U70" i="38"/>
  <c r="U71" i="38"/>
  <c r="U72" i="38"/>
  <c r="U73" i="38"/>
  <c r="U74" i="38"/>
  <c r="U75" i="38"/>
  <c r="U76" i="38"/>
  <c r="U77" i="38"/>
  <c r="U78" i="38"/>
  <c r="U79" i="38"/>
  <c r="U80" i="38"/>
  <c r="U81" i="38"/>
  <c r="U82" i="38"/>
  <c r="U83" i="38"/>
  <c r="U84" i="38"/>
  <c r="U85" i="38"/>
  <c r="U86" i="38"/>
  <c r="U87" i="38"/>
  <c r="U88" i="38"/>
  <c r="U89" i="38"/>
  <c r="U90" i="38"/>
  <c r="U91" i="38"/>
  <c r="U92" i="38"/>
  <c r="U93" i="38"/>
  <c r="U94" i="38"/>
  <c r="U95" i="38"/>
  <c r="U96" i="38"/>
  <c r="U97" i="38"/>
  <c r="U98" i="38"/>
  <c r="U99" i="38"/>
  <c r="U100" i="38"/>
  <c r="U101" i="38"/>
  <c r="U102" i="38"/>
  <c r="U103" i="38"/>
  <c r="U104" i="38"/>
  <c r="U105" i="38"/>
  <c r="U106" i="38"/>
  <c r="U107" i="38"/>
  <c r="U108" i="38"/>
  <c r="U109" i="38"/>
  <c r="U110" i="38"/>
  <c r="U111" i="38"/>
  <c r="U112" i="38"/>
  <c r="U113" i="38"/>
  <c r="U114" i="38"/>
  <c r="U115" i="38"/>
  <c r="U116" i="38"/>
  <c r="U117" i="38"/>
  <c r="U118" i="38"/>
  <c r="U119" i="38"/>
  <c r="U120" i="38"/>
  <c r="U121" i="38"/>
  <c r="U122" i="38"/>
  <c r="U123" i="38"/>
  <c r="U124" i="38"/>
  <c r="U125" i="38"/>
  <c r="U126" i="38"/>
  <c r="U127" i="38"/>
  <c r="U128" i="38"/>
  <c r="U129" i="38"/>
  <c r="U130" i="38"/>
  <c r="U131" i="38"/>
  <c r="U132" i="38"/>
  <c r="U133" i="38"/>
  <c r="U134" i="38"/>
  <c r="U135" i="38"/>
  <c r="U136" i="38"/>
  <c r="U137" i="38"/>
  <c r="U138" i="38"/>
  <c r="U139" i="38"/>
  <c r="U140" i="38"/>
  <c r="U141" i="38"/>
  <c r="U142" i="38"/>
  <c r="U143" i="38"/>
  <c r="U144" i="38"/>
  <c r="U145" i="38"/>
  <c r="U146" i="38"/>
  <c r="U147" i="38"/>
  <c r="U148" i="38"/>
  <c r="U149" i="38"/>
  <c r="U150" i="38"/>
  <c r="U151" i="38"/>
  <c r="U152" i="38"/>
  <c r="U153" i="38"/>
  <c r="U154" i="38"/>
  <c r="U155" i="38"/>
  <c r="U156" i="38"/>
  <c r="U157" i="38"/>
  <c r="U158" i="38"/>
  <c r="U159" i="38"/>
  <c r="U160" i="38"/>
  <c r="U161" i="38"/>
  <c r="U162" i="38"/>
  <c r="U163" i="38"/>
  <c r="U164" i="38"/>
  <c r="U165" i="38"/>
  <c r="U166" i="38"/>
  <c r="U167" i="38"/>
  <c r="U168" i="38"/>
  <c r="U169" i="38"/>
  <c r="U170" i="38"/>
  <c r="U171" i="38"/>
  <c r="U172" i="38"/>
  <c r="U173" i="38"/>
  <c r="U174" i="38"/>
  <c r="U175" i="38"/>
  <c r="U176" i="38"/>
  <c r="U177" i="38"/>
  <c r="U178" i="38"/>
  <c r="U179" i="38"/>
  <c r="U180" i="38"/>
  <c r="U181" i="38"/>
  <c r="U182" i="38"/>
  <c r="U183" i="38"/>
  <c r="U184" i="38"/>
  <c r="U185" i="38"/>
  <c r="U186" i="38"/>
  <c r="U187" i="38"/>
  <c r="U188" i="38"/>
  <c r="U189" i="38"/>
  <c r="U190" i="38"/>
  <c r="U191" i="38"/>
  <c r="U192" i="38"/>
  <c r="U193" i="38"/>
  <c r="U194" i="38"/>
  <c r="U195" i="38"/>
  <c r="U196" i="38"/>
  <c r="U197" i="38"/>
  <c r="U198" i="38"/>
  <c r="U199" i="38"/>
  <c r="U200" i="38"/>
  <c r="U201" i="38"/>
  <c r="U202" i="38"/>
  <c r="U203" i="38"/>
  <c r="U204" i="38"/>
  <c r="U205" i="38"/>
  <c r="U206" i="38"/>
  <c r="U207" i="38"/>
  <c r="U208" i="38"/>
  <c r="U209" i="38"/>
  <c r="U210" i="38"/>
  <c r="U211" i="38"/>
  <c r="U212" i="38"/>
  <c r="U213" i="38"/>
  <c r="U214" i="38"/>
  <c r="U215" i="38"/>
  <c r="U216" i="38"/>
  <c r="U217" i="38"/>
  <c r="U218" i="38"/>
  <c r="U219" i="38"/>
  <c r="U220" i="38"/>
  <c r="U221" i="38"/>
  <c r="U222" i="38"/>
  <c r="U223" i="38"/>
  <c r="U224" i="38"/>
  <c r="U225" i="38"/>
  <c r="U226" i="38"/>
  <c r="U227" i="38"/>
  <c r="U228" i="38"/>
  <c r="U229" i="38"/>
  <c r="U230" i="38"/>
  <c r="U231" i="38"/>
  <c r="U232" i="38"/>
  <c r="U233" i="38"/>
  <c r="U234" i="38"/>
  <c r="U235" i="38"/>
  <c r="U236" i="38"/>
  <c r="U237" i="38"/>
  <c r="U238" i="38"/>
  <c r="U239" i="38"/>
  <c r="U240" i="38"/>
  <c r="U241" i="38"/>
  <c r="U242" i="38"/>
  <c r="U243" i="38"/>
  <c r="U244" i="38"/>
  <c r="U245" i="38"/>
  <c r="U246" i="38"/>
  <c r="U247" i="38"/>
  <c r="U248" i="38"/>
  <c r="U249" i="38"/>
  <c r="U250" i="38"/>
  <c r="U251" i="38"/>
  <c r="U252" i="38"/>
  <c r="U253" i="38"/>
  <c r="U254" i="38"/>
  <c r="U255" i="38"/>
  <c r="U256" i="38"/>
  <c r="U257" i="38"/>
  <c r="U258" i="38"/>
  <c r="U259" i="38"/>
  <c r="U260" i="38"/>
  <c r="U261" i="38"/>
  <c r="U262" i="38"/>
  <c r="U263" i="38"/>
  <c r="U264" i="38"/>
  <c r="U265" i="38"/>
  <c r="U266" i="38"/>
  <c r="U267" i="38"/>
  <c r="U268" i="38"/>
  <c r="U269" i="38"/>
  <c r="U270" i="38"/>
  <c r="U271" i="38"/>
  <c r="U272" i="38"/>
  <c r="U273" i="38"/>
  <c r="U274" i="38"/>
  <c r="U275" i="38"/>
  <c r="U276" i="38"/>
  <c r="U277" i="38"/>
  <c r="U278" i="38"/>
  <c r="U279" i="38"/>
  <c r="U280" i="38"/>
  <c r="U281" i="38"/>
  <c r="U282" i="38"/>
  <c r="U283" i="38"/>
  <c r="U284" i="38"/>
  <c r="U285" i="38"/>
  <c r="U286" i="38"/>
  <c r="U287" i="38"/>
  <c r="U288" i="38"/>
  <c r="U289" i="38"/>
  <c r="U290" i="38"/>
  <c r="U291" i="38"/>
  <c r="U292" i="38"/>
  <c r="U293" i="38"/>
  <c r="U294" i="38"/>
  <c r="U295" i="38"/>
  <c r="U296" i="38"/>
  <c r="U297" i="38"/>
  <c r="U298" i="38"/>
  <c r="U299" i="38"/>
  <c r="U300" i="38"/>
  <c r="U301" i="38"/>
  <c r="U302" i="38"/>
  <c r="U303" i="38"/>
  <c r="U304" i="38"/>
  <c r="U305" i="38"/>
  <c r="U306" i="38"/>
  <c r="U307" i="38"/>
  <c r="U308" i="38"/>
  <c r="U309" i="38"/>
  <c r="U310" i="38"/>
  <c r="U311" i="38"/>
  <c r="U312" i="38"/>
  <c r="U313" i="38"/>
  <c r="U314" i="38"/>
  <c r="U315" i="38"/>
  <c r="U316" i="38"/>
  <c r="U317" i="38"/>
  <c r="U318" i="38"/>
  <c r="U319" i="38"/>
  <c r="U320" i="38"/>
  <c r="U321" i="38"/>
  <c r="U322" i="38"/>
  <c r="U323" i="38"/>
  <c r="U324" i="38"/>
  <c r="U325" i="38"/>
  <c r="U326" i="38"/>
  <c r="U327" i="38"/>
  <c r="U328" i="38"/>
  <c r="U329" i="38"/>
  <c r="U330" i="38"/>
  <c r="U331" i="38"/>
  <c r="U355" i="38"/>
  <c r="T4" i="38"/>
  <c r="T5" i="38"/>
  <c r="T6" i="38"/>
  <c r="T7" i="38"/>
  <c r="T8" i="38"/>
  <c r="T9" i="38"/>
  <c r="T10" i="38"/>
  <c r="T11" i="38"/>
  <c r="T12" i="38"/>
  <c r="T13" i="38"/>
  <c r="T14" i="38"/>
  <c r="T15" i="38"/>
  <c r="T16" i="38"/>
  <c r="T17" i="38"/>
  <c r="T18" i="38"/>
  <c r="T19" i="38"/>
  <c r="T20" i="38"/>
  <c r="T21" i="38"/>
  <c r="T22" i="38"/>
  <c r="T23" i="38"/>
  <c r="T24" i="38"/>
  <c r="T25" i="38"/>
  <c r="T26" i="38"/>
  <c r="T27" i="38"/>
  <c r="T28" i="38"/>
  <c r="T29" i="38"/>
  <c r="T30" i="38"/>
  <c r="T31" i="38"/>
  <c r="T32" i="38"/>
  <c r="T33" i="38"/>
  <c r="T34" i="38"/>
  <c r="T35" i="38"/>
  <c r="T36" i="38"/>
  <c r="T37" i="38"/>
  <c r="T38" i="38"/>
  <c r="T39" i="38"/>
  <c r="T40" i="38"/>
  <c r="T41" i="38"/>
  <c r="T42" i="38"/>
  <c r="T43" i="38"/>
  <c r="T44" i="38"/>
  <c r="T45" i="38"/>
  <c r="T46" i="38"/>
  <c r="T47" i="38"/>
  <c r="T48" i="38"/>
  <c r="T49" i="38"/>
  <c r="T50" i="38"/>
  <c r="T51" i="38"/>
  <c r="T52" i="38"/>
  <c r="T53" i="38"/>
  <c r="T54" i="38"/>
  <c r="T55" i="38"/>
  <c r="T56" i="38"/>
  <c r="T57" i="38"/>
  <c r="T58" i="38"/>
  <c r="T59" i="38"/>
  <c r="T60" i="38"/>
  <c r="T61" i="38"/>
  <c r="T62" i="38"/>
  <c r="T63" i="38"/>
  <c r="T64" i="38"/>
  <c r="T65" i="38"/>
  <c r="T66" i="38"/>
  <c r="T67" i="38"/>
  <c r="T68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3" i="38"/>
  <c r="T84" i="38"/>
  <c r="T85" i="38"/>
  <c r="T86" i="38"/>
  <c r="T87" i="38"/>
  <c r="T88" i="38"/>
  <c r="T89" i="38"/>
  <c r="T90" i="38"/>
  <c r="T91" i="38"/>
  <c r="T92" i="38"/>
  <c r="T93" i="38"/>
  <c r="T94" i="38"/>
  <c r="T95" i="38"/>
  <c r="T96" i="38"/>
  <c r="T97" i="38"/>
  <c r="T98" i="38"/>
  <c r="T99" i="38"/>
  <c r="T100" i="38"/>
  <c r="T101" i="38"/>
  <c r="T102" i="38"/>
  <c r="T103" i="38"/>
  <c r="T104" i="38"/>
  <c r="T105" i="38"/>
  <c r="T106" i="38"/>
  <c r="T107" i="38"/>
  <c r="T108" i="38"/>
  <c r="T109" i="38"/>
  <c r="T110" i="38"/>
  <c r="T111" i="38"/>
  <c r="T112" i="38"/>
  <c r="T113" i="38"/>
  <c r="T114" i="38"/>
  <c r="T115" i="38"/>
  <c r="T116" i="38"/>
  <c r="T117" i="38"/>
  <c r="T118" i="38"/>
  <c r="T119" i="38"/>
  <c r="T120" i="38"/>
  <c r="T121" i="38"/>
  <c r="T122" i="38"/>
  <c r="T123" i="38"/>
  <c r="T124" i="38"/>
  <c r="T125" i="38"/>
  <c r="T126" i="38"/>
  <c r="T127" i="38"/>
  <c r="T128" i="38"/>
  <c r="T129" i="38"/>
  <c r="T130" i="38"/>
  <c r="T131" i="38"/>
  <c r="T132" i="38"/>
  <c r="T133" i="38"/>
  <c r="T134" i="38"/>
  <c r="T135" i="38"/>
  <c r="T136" i="38"/>
  <c r="T137" i="38"/>
  <c r="T138" i="38"/>
  <c r="T139" i="38"/>
  <c r="T140" i="38"/>
  <c r="T141" i="38"/>
  <c r="T142" i="38"/>
  <c r="T143" i="38"/>
  <c r="T144" i="38"/>
  <c r="T145" i="38"/>
  <c r="T146" i="38"/>
  <c r="T147" i="38"/>
  <c r="T148" i="38"/>
  <c r="T149" i="38"/>
  <c r="T150" i="38"/>
  <c r="T151" i="38"/>
  <c r="T152" i="38"/>
  <c r="T153" i="38"/>
  <c r="T154" i="38"/>
  <c r="T155" i="38"/>
  <c r="T156" i="38"/>
  <c r="T157" i="38"/>
  <c r="T158" i="38"/>
  <c r="T159" i="38"/>
  <c r="T160" i="38"/>
  <c r="T161" i="38"/>
  <c r="T162" i="38"/>
  <c r="T163" i="38"/>
  <c r="T164" i="38"/>
  <c r="T165" i="38"/>
  <c r="T166" i="38"/>
  <c r="T167" i="38"/>
  <c r="T168" i="38"/>
  <c r="T169" i="38"/>
  <c r="T170" i="38"/>
  <c r="T171" i="38"/>
  <c r="T172" i="38"/>
  <c r="T173" i="38"/>
  <c r="T174" i="38"/>
  <c r="T175" i="38"/>
  <c r="T176" i="38"/>
  <c r="T177" i="38"/>
  <c r="T178" i="38"/>
  <c r="T179" i="38"/>
  <c r="T180" i="38"/>
  <c r="T181" i="38"/>
  <c r="T182" i="38"/>
  <c r="T183" i="38"/>
  <c r="T184" i="38"/>
  <c r="T185" i="38"/>
  <c r="T186" i="38"/>
  <c r="T187" i="38"/>
  <c r="T188" i="38"/>
  <c r="T189" i="38"/>
  <c r="T190" i="38"/>
  <c r="T191" i="38"/>
  <c r="T192" i="38"/>
  <c r="T193" i="38"/>
  <c r="T194" i="38"/>
  <c r="T195" i="38"/>
  <c r="T196" i="38"/>
  <c r="T197" i="38"/>
  <c r="T198" i="38"/>
  <c r="T199" i="38"/>
  <c r="T200" i="38"/>
  <c r="T201" i="38"/>
  <c r="T202" i="38"/>
  <c r="T203" i="38"/>
  <c r="T204" i="38"/>
  <c r="T205" i="38"/>
  <c r="T206" i="38"/>
  <c r="T207" i="38"/>
  <c r="T208" i="38"/>
  <c r="T209" i="38"/>
  <c r="T210" i="38"/>
  <c r="T211" i="38"/>
  <c r="T212" i="38"/>
  <c r="T213" i="38"/>
  <c r="T214" i="38"/>
  <c r="T215" i="38"/>
  <c r="T216" i="38"/>
  <c r="T217" i="38"/>
  <c r="T218" i="38"/>
  <c r="T219" i="38"/>
  <c r="T220" i="38"/>
  <c r="T221" i="38"/>
  <c r="T222" i="38"/>
  <c r="T223" i="38"/>
  <c r="T224" i="38"/>
  <c r="T225" i="38"/>
  <c r="T226" i="38"/>
  <c r="T227" i="38"/>
  <c r="T228" i="38"/>
  <c r="T229" i="38"/>
  <c r="T230" i="38"/>
  <c r="T231" i="38"/>
  <c r="T232" i="38"/>
  <c r="T233" i="38"/>
  <c r="T234" i="38"/>
  <c r="T235" i="38"/>
  <c r="T236" i="38"/>
  <c r="T237" i="38"/>
  <c r="T238" i="38"/>
  <c r="T239" i="38"/>
  <c r="T240" i="38"/>
  <c r="T241" i="38"/>
  <c r="T242" i="38"/>
  <c r="T243" i="38"/>
  <c r="T244" i="38"/>
  <c r="T245" i="38"/>
  <c r="T246" i="38"/>
  <c r="T247" i="38"/>
  <c r="T248" i="38"/>
  <c r="T249" i="38"/>
  <c r="T250" i="38"/>
  <c r="T251" i="38"/>
  <c r="T252" i="38"/>
  <c r="T253" i="38"/>
  <c r="T254" i="38"/>
  <c r="T255" i="38"/>
  <c r="T256" i="38"/>
  <c r="T257" i="38"/>
  <c r="T258" i="38"/>
  <c r="T259" i="38"/>
  <c r="T260" i="38"/>
  <c r="T261" i="38"/>
  <c r="T262" i="38"/>
  <c r="T263" i="38"/>
  <c r="T264" i="38"/>
  <c r="T265" i="38"/>
  <c r="T266" i="38"/>
  <c r="T267" i="38"/>
  <c r="T268" i="38"/>
  <c r="T269" i="38"/>
  <c r="T270" i="38"/>
  <c r="T271" i="38"/>
  <c r="T272" i="38"/>
  <c r="T273" i="38"/>
  <c r="T274" i="38"/>
  <c r="T275" i="38"/>
  <c r="T276" i="38"/>
  <c r="T277" i="38"/>
  <c r="T278" i="38"/>
  <c r="T279" i="38"/>
  <c r="T280" i="38"/>
  <c r="T281" i="38"/>
  <c r="T282" i="38"/>
  <c r="T283" i="38"/>
  <c r="T284" i="38"/>
  <c r="T285" i="38"/>
  <c r="T286" i="38"/>
  <c r="T287" i="38"/>
  <c r="T288" i="38"/>
  <c r="T289" i="38"/>
  <c r="T290" i="38"/>
  <c r="T291" i="38"/>
  <c r="T292" i="38"/>
  <c r="T293" i="38"/>
  <c r="T294" i="38"/>
  <c r="T295" i="38"/>
  <c r="T296" i="38"/>
  <c r="T297" i="38"/>
  <c r="T298" i="38"/>
  <c r="T299" i="38"/>
  <c r="T300" i="38"/>
  <c r="T301" i="38"/>
  <c r="T302" i="38"/>
  <c r="T303" i="38"/>
  <c r="T304" i="38"/>
  <c r="T305" i="38"/>
  <c r="T306" i="38"/>
  <c r="T307" i="38"/>
  <c r="T308" i="38"/>
  <c r="T309" i="38"/>
  <c r="T310" i="38"/>
  <c r="T311" i="38"/>
  <c r="T312" i="38"/>
  <c r="T313" i="38"/>
  <c r="T314" i="38"/>
  <c r="T315" i="38"/>
  <c r="T316" i="38"/>
  <c r="T317" i="38"/>
  <c r="T318" i="38"/>
  <c r="T319" i="38"/>
  <c r="T320" i="38"/>
  <c r="T321" i="38"/>
  <c r="T322" i="38"/>
  <c r="T323" i="38"/>
  <c r="T324" i="38"/>
  <c r="T325" i="38"/>
  <c r="T326" i="38"/>
  <c r="T327" i="38"/>
  <c r="T328" i="38"/>
  <c r="T329" i="38"/>
  <c r="T330" i="38"/>
  <c r="T331" i="38"/>
  <c r="T355" i="38"/>
  <c r="S4" i="38"/>
  <c r="S5" i="38"/>
  <c r="S6" i="38"/>
  <c r="S7" i="38"/>
  <c r="S8" i="38"/>
  <c r="S9" i="38"/>
  <c r="S10" i="38"/>
  <c r="S11" i="38"/>
  <c r="S12" i="38"/>
  <c r="S13" i="38"/>
  <c r="S14" i="38"/>
  <c r="S15" i="38"/>
  <c r="S16" i="38"/>
  <c r="S17" i="38"/>
  <c r="S18" i="38"/>
  <c r="S19" i="38"/>
  <c r="S20" i="38"/>
  <c r="S21" i="38"/>
  <c r="S22" i="38"/>
  <c r="S23" i="38"/>
  <c r="S24" i="38"/>
  <c r="S25" i="38"/>
  <c r="S26" i="38"/>
  <c r="S27" i="38"/>
  <c r="S28" i="38"/>
  <c r="S29" i="38"/>
  <c r="S30" i="38"/>
  <c r="S31" i="38"/>
  <c r="S32" i="38"/>
  <c r="S33" i="38"/>
  <c r="S34" i="38"/>
  <c r="S35" i="38"/>
  <c r="S36" i="38"/>
  <c r="S37" i="38"/>
  <c r="S38" i="38"/>
  <c r="S39" i="38"/>
  <c r="S40" i="38"/>
  <c r="S41" i="38"/>
  <c r="S42" i="38"/>
  <c r="S43" i="38"/>
  <c r="S44" i="38"/>
  <c r="S45" i="38"/>
  <c r="S46" i="38"/>
  <c r="S47" i="38"/>
  <c r="S48" i="38"/>
  <c r="S49" i="38"/>
  <c r="S50" i="38"/>
  <c r="S51" i="38"/>
  <c r="S52" i="38"/>
  <c r="S53" i="38"/>
  <c r="S54" i="38"/>
  <c r="S55" i="38"/>
  <c r="S56" i="38"/>
  <c r="S57" i="38"/>
  <c r="S58" i="38"/>
  <c r="S59" i="38"/>
  <c r="S60" i="38"/>
  <c r="S61" i="38"/>
  <c r="S62" i="38"/>
  <c r="S63" i="38"/>
  <c r="S64" i="38"/>
  <c r="S65" i="38"/>
  <c r="S66" i="38"/>
  <c r="S67" i="38"/>
  <c r="S68" i="38"/>
  <c r="S69" i="38"/>
  <c r="S70" i="38"/>
  <c r="S71" i="38"/>
  <c r="S72" i="38"/>
  <c r="S73" i="38"/>
  <c r="S74" i="38"/>
  <c r="S75" i="38"/>
  <c r="S76" i="38"/>
  <c r="S77" i="38"/>
  <c r="S78" i="38"/>
  <c r="S79" i="38"/>
  <c r="S80" i="38"/>
  <c r="S81" i="38"/>
  <c r="S82" i="38"/>
  <c r="S83" i="38"/>
  <c r="S84" i="38"/>
  <c r="S85" i="38"/>
  <c r="S86" i="38"/>
  <c r="S87" i="38"/>
  <c r="S88" i="38"/>
  <c r="S89" i="38"/>
  <c r="S90" i="38"/>
  <c r="S91" i="38"/>
  <c r="S92" i="38"/>
  <c r="S93" i="38"/>
  <c r="S94" i="38"/>
  <c r="S95" i="38"/>
  <c r="S96" i="38"/>
  <c r="S97" i="38"/>
  <c r="S98" i="38"/>
  <c r="S99" i="38"/>
  <c r="S100" i="38"/>
  <c r="S101" i="38"/>
  <c r="S102" i="38"/>
  <c r="S103" i="38"/>
  <c r="S104" i="38"/>
  <c r="S105" i="38"/>
  <c r="S106" i="38"/>
  <c r="S107" i="38"/>
  <c r="S108" i="38"/>
  <c r="S109" i="38"/>
  <c r="S110" i="38"/>
  <c r="S111" i="38"/>
  <c r="S112" i="38"/>
  <c r="S113" i="38"/>
  <c r="S114" i="38"/>
  <c r="S115" i="38"/>
  <c r="S116" i="38"/>
  <c r="S117" i="38"/>
  <c r="S118" i="38"/>
  <c r="S119" i="38"/>
  <c r="S120" i="38"/>
  <c r="S121" i="38"/>
  <c r="S122" i="38"/>
  <c r="S123" i="38"/>
  <c r="S124" i="38"/>
  <c r="S125" i="38"/>
  <c r="S126" i="38"/>
  <c r="S127" i="38"/>
  <c r="S128" i="38"/>
  <c r="S129" i="38"/>
  <c r="S130" i="38"/>
  <c r="S131" i="38"/>
  <c r="S132" i="38"/>
  <c r="S133" i="38"/>
  <c r="S134" i="38"/>
  <c r="S135" i="38"/>
  <c r="S136" i="38"/>
  <c r="S137" i="38"/>
  <c r="S138" i="38"/>
  <c r="S139" i="38"/>
  <c r="S140" i="38"/>
  <c r="S141" i="38"/>
  <c r="S142" i="38"/>
  <c r="S143" i="38"/>
  <c r="S144" i="38"/>
  <c r="S145" i="38"/>
  <c r="S146" i="38"/>
  <c r="S147" i="38"/>
  <c r="S148" i="38"/>
  <c r="S149" i="38"/>
  <c r="S150" i="38"/>
  <c r="S151" i="38"/>
  <c r="S152" i="38"/>
  <c r="S153" i="38"/>
  <c r="S154" i="38"/>
  <c r="S155" i="38"/>
  <c r="S156" i="38"/>
  <c r="S157" i="38"/>
  <c r="S158" i="38"/>
  <c r="S159" i="38"/>
  <c r="S160" i="38"/>
  <c r="S161" i="38"/>
  <c r="S162" i="38"/>
  <c r="S163" i="38"/>
  <c r="S164" i="38"/>
  <c r="S165" i="38"/>
  <c r="S166" i="38"/>
  <c r="S167" i="38"/>
  <c r="S168" i="38"/>
  <c r="S169" i="38"/>
  <c r="S170" i="38"/>
  <c r="S171" i="38"/>
  <c r="S172" i="38"/>
  <c r="S173" i="38"/>
  <c r="S174" i="38"/>
  <c r="S175" i="38"/>
  <c r="S176" i="38"/>
  <c r="S177" i="38"/>
  <c r="S178" i="38"/>
  <c r="S179" i="38"/>
  <c r="S180" i="38"/>
  <c r="S181" i="38"/>
  <c r="S182" i="38"/>
  <c r="S183" i="38"/>
  <c r="S184" i="38"/>
  <c r="S185" i="38"/>
  <c r="S186" i="38"/>
  <c r="S187" i="38"/>
  <c r="S188" i="38"/>
  <c r="S189" i="38"/>
  <c r="S190" i="38"/>
  <c r="S191" i="38"/>
  <c r="S192" i="38"/>
  <c r="S193" i="38"/>
  <c r="S194" i="38"/>
  <c r="S195" i="38"/>
  <c r="S196" i="38"/>
  <c r="S197" i="38"/>
  <c r="S198" i="38"/>
  <c r="S199" i="38"/>
  <c r="S200" i="38"/>
  <c r="S201" i="38"/>
  <c r="S202" i="38"/>
  <c r="S203" i="38"/>
  <c r="S204" i="38"/>
  <c r="S205" i="38"/>
  <c r="S206" i="38"/>
  <c r="S207" i="38"/>
  <c r="S208" i="38"/>
  <c r="S209" i="38"/>
  <c r="S210" i="38"/>
  <c r="S211" i="38"/>
  <c r="S212" i="38"/>
  <c r="S213" i="38"/>
  <c r="S214" i="38"/>
  <c r="S215" i="38"/>
  <c r="S216" i="38"/>
  <c r="S217" i="38"/>
  <c r="S218" i="38"/>
  <c r="S219" i="38"/>
  <c r="S220" i="38"/>
  <c r="S221" i="38"/>
  <c r="S222" i="38"/>
  <c r="S223" i="38"/>
  <c r="S224" i="38"/>
  <c r="S225" i="38"/>
  <c r="S226" i="38"/>
  <c r="S227" i="38"/>
  <c r="S228" i="38"/>
  <c r="S229" i="38"/>
  <c r="S230" i="38"/>
  <c r="S231" i="38"/>
  <c r="S232" i="38"/>
  <c r="S233" i="38"/>
  <c r="S234" i="38"/>
  <c r="S235" i="38"/>
  <c r="S236" i="38"/>
  <c r="S237" i="38"/>
  <c r="S238" i="38"/>
  <c r="S239" i="38"/>
  <c r="S240" i="38"/>
  <c r="S241" i="38"/>
  <c r="S242" i="38"/>
  <c r="S243" i="38"/>
  <c r="S244" i="38"/>
  <c r="S245" i="38"/>
  <c r="S246" i="38"/>
  <c r="S247" i="38"/>
  <c r="S248" i="38"/>
  <c r="S249" i="38"/>
  <c r="S250" i="38"/>
  <c r="S251" i="38"/>
  <c r="S252" i="38"/>
  <c r="S253" i="38"/>
  <c r="S254" i="38"/>
  <c r="S255" i="38"/>
  <c r="S256" i="38"/>
  <c r="S257" i="38"/>
  <c r="S258" i="38"/>
  <c r="S259" i="38"/>
  <c r="S260" i="38"/>
  <c r="S261" i="38"/>
  <c r="S262" i="38"/>
  <c r="S263" i="38"/>
  <c r="S264" i="38"/>
  <c r="S265" i="38"/>
  <c r="S266" i="38"/>
  <c r="S267" i="38"/>
  <c r="S268" i="38"/>
  <c r="S269" i="38"/>
  <c r="S270" i="38"/>
  <c r="S271" i="38"/>
  <c r="S272" i="38"/>
  <c r="S273" i="38"/>
  <c r="S274" i="38"/>
  <c r="S275" i="38"/>
  <c r="S276" i="38"/>
  <c r="S277" i="38"/>
  <c r="S278" i="38"/>
  <c r="S279" i="38"/>
  <c r="S280" i="38"/>
  <c r="S281" i="38"/>
  <c r="S282" i="38"/>
  <c r="S283" i="38"/>
  <c r="S284" i="38"/>
  <c r="S285" i="38"/>
  <c r="S286" i="38"/>
  <c r="S287" i="38"/>
  <c r="S288" i="38"/>
  <c r="S289" i="38"/>
  <c r="S290" i="38"/>
  <c r="S291" i="38"/>
  <c r="S292" i="38"/>
  <c r="S293" i="38"/>
  <c r="S294" i="38"/>
  <c r="S295" i="38"/>
  <c r="S296" i="38"/>
  <c r="S297" i="38"/>
  <c r="S298" i="38"/>
  <c r="S299" i="38"/>
  <c r="S300" i="38"/>
  <c r="S301" i="38"/>
  <c r="S302" i="38"/>
  <c r="S303" i="38"/>
  <c r="S304" i="38"/>
  <c r="S305" i="38"/>
  <c r="S306" i="38"/>
  <c r="S307" i="38"/>
  <c r="S308" i="38"/>
  <c r="S309" i="38"/>
  <c r="S310" i="38"/>
  <c r="S311" i="38"/>
  <c r="S312" i="38"/>
  <c r="S313" i="38"/>
  <c r="S314" i="38"/>
  <c r="S315" i="38"/>
  <c r="S316" i="38"/>
  <c r="S317" i="38"/>
  <c r="S318" i="38"/>
  <c r="S319" i="38"/>
  <c r="S320" i="38"/>
  <c r="S321" i="38"/>
  <c r="S322" i="38"/>
  <c r="S323" i="38"/>
  <c r="S324" i="38"/>
  <c r="S325" i="38"/>
  <c r="S326" i="38"/>
  <c r="S327" i="38"/>
  <c r="S328" i="38"/>
  <c r="S329" i="38"/>
  <c r="S330" i="38"/>
  <c r="S331" i="38"/>
  <c r="S355" i="38"/>
  <c r="R4" i="38"/>
  <c r="W4" i="38"/>
  <c r="X4" i="38"/>
  <c r="Y4" i="38"/>
  <c r="Z4" i="38"/>
  <c r="AA4" i="38"/>
  <c r="N3" i="27" l="1"/>
  <c r="N4" i="27"/>
  <c r="N5" i="27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N63" i="27"/>
  <c r="N64" i="27"/>
  <c r="N65" i="27"/>
  <c r="N66" i="27"/>
  <c r="N67" i="27"/>
  <c r="N68" i="27"/>
  <c r="N69" i="27"/>
  <c r="N70" i="27"/>
  <c r="N71" i="27"/>
  <c r="N72" i="27"/>
  <c r="N73" i="27"/>
  <c r="N74" i="27"/>
  <c r="N75" i="27"/>
  <c r="N76" i="27"/>
  <c r="N77" i="27"/>
  <c r="N78" i="27"/>
  <c r="N79" i="27"/>
  <c r="N80" i="27"/>
  <c r="N81" i="27"/>
  <c r="N82" i="27"/>
  <c r="N83" i="27"/>
  <c r="N84" i="27"/>
  <c r="N85" i="27"/>
  <c r="N86" i="27"/>
  <c r="N87" i="27"/>
  <c r="N88" i="27"/>
  <c r="N89" i="27"/>
  <c r="N90" i="27"/>
  <c r="N91" i="27"/>
  <c r="N92" i="27"/>
  <c r="N93" i="27"/>
  <c r="N94" i="27"/>
  <c r="N95" i="27"/>
  <c r="N96" i="27"/>
  <c r="N97" i="27"/>
  <c r="N98" i="27"/>
  <c r="N99" i="27"/>
  <c r="N100" i="27"/>
  <c r="N101" i="27"/>
  <c r="N102" i="27"/>
  <c r="N103" i="27"/>
  <c r="N104" i="27"/>
  <c r="N105" i="27"/>
  <c r="N106" i="27"/>
  <c r="N107" i="27"/>
  <c r="N108" i="27"/>
  <c r="N109" i="27"/>
  <c r="N110" i="27"/>
  <c r="N111" i="27"/>
  <c r="N112" i="27"/>
  <c r="N113" i="27"/>
  <c r="N114" i="27"/>
  <c r="N115" i="27"/>
  <c r="N116" i="27"/>
  <c r="N117" i="27"/>
  <c r="N118" i="27"/>
  <c r="N119" i="27"/>
  <c r="N120" i="27"/>
  <c r="N121" i="27"/>
  <c r="N122" i="27"/>
  <c r="N2" i="27"/>
  <c r="M8" i="43" l="1"/>
  <c r="M3" i="43"/>
  <c r="M4" i="43"/>
  <c r="M5" i="43"/>
  <c r="M6" i="43"/>
  <c r="M7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2" i="43"/>
  <c r="S127" i="39" l="1"/>
  <c r="T127" i="39"/>
  <c r="U127" i="39"/>
  <c r="V127" i="39"/>
  <c r="S128" i="39"/>
  <c r="T128" i="39"/>
  <c r="U128" i="39"/>
  <c r="V128" i="39"/>
  <c r="S129" i="39"/>
  <c r="T129" i="39"/>
  <c r="U129" i="39"/>
  <c r="V129" i="39"/>
  <c r="S130" i="39"/>
  <c r="T130" i="39"/>
  <c r="U130" i="39"/>
  <c r="V130" i="39"/>
  <c r="S131" i="39"/>
  <c r="T131" i="39"/>
  <c r="U131" i="39"/>
  <c r="V131" i="39"/>
  <c r="S132" i="39"/>
  <c r="T132" i="39"/>
  <c r="U132" i="39"/>
  <c r="V132" i="39"/>
  <c r="S133" i="39"/>
  <c r="T133" i="39"/>
  <c r="U133" i="39"/>
  <c r="V133" i="39"/>
  <c r="S134" i="39"/>
  <c r="T134" i="39"/>
  <c r="U134" i="39"/>
  <c r="V134" i="39"/>
  <c r="S135" i="39"/>
  <c r="T135" i="39"/>
  <c r="U135" i="39"/>
  <c r="V135" i="39"/>
  <c r="Q4" i="41" l="1"/>
  <c r="Q5" i="41"/>
  <c r="Q6" i="41"/>
  <c r="Q7" i="41"/>
  <c r="Q8" i="41"/>
  <c r="Q9" i="41"/>
  <c r="Q10" i="41"/>
  <c r="Q11" i="41"/>
  <c r="Q12" i="41"/>
  <c r="Q13" i="41"/>
  <c r="Q14" i="41"/>
  <c r="Q15" i="41"/>
  <c r="Q16" i="41"/>
  <c r="Q17" i="41"/>
  <c r="Q18" i="41"/>
  <c r="Q19" i="41"/>
  <c r="Q20" i="41"/>
  <c r="Q21" i="41"/>
  <c r="Q22" i="41"/>
  <c r="Q23" i="41"/>
  <c r="Q24" i="41"/>
  <c r="Q25" i="41"/>
  <c r="Q26" i="41"/>
  <c r="Q27" i="41"/>
  <c r="Q28" i="41"/>
  <c r="Q29" i="41"/>
  <c r="Q30" i="41"/>
  <c r="Q31" i="41"/>
  <c r="Q32" i="41"/>
  <c r="Q33" i="41"/>
  <c r="Q34" i="41"/>
  <c r="Q35" i="41"/>
  <c r="Q36" i="41"/>
  <c r="Q37" i="41"/>
  <c r="Q38" i="41"/>
  <c r="Q39" i="41"/>
  <c r="Q40" i="41"/>
  <c r="Q41" i="41"/>
  <c r="Q42" i="41"/>
  <c r="Q43" i="41"/>
  <c r="Q44" i="41"/>
  <c r="Q45" i="41"/>
  <c r="Q46" i="41"/>
  <c r="Q47" i="41"/>
  <c r="Q48" i="41"/>
  <c r="Q49" i="41"/>
  <c r="Q50" i="41"/>
  <c r="Q51" i="41"/>
  <c r="Q52" i="41"/>
  <c r="Q53" i="41"/>
  <c r="Q54" i="41"/>
  <c r="Q55" i="41"/>
  <c r="Q56" i="41"/>
  <c r="Q57" i="41"/>
  <c r="Q58" i="41"/>
  <c r="Q59" i="41"/>
  <c r="Q60" i="41"/>
  <c r="Q61" i="41"/>
  <c r="Q62" i="41"/>
  <c r="Q63" i="41"/>
  <c r="Q64" i="41"/>
  <c r="Q65" i="41"/>
  <c r="Q66" i="41"/>
  <c r="Q67" i="41"/>
  <c r="Q68" i="41"/>
  <c r="Q69" i="41"/>
  <c r="Q70" i="41"/>
  <c r="Q71" i="41"/>
  <c r="Q72" i="41"/>
  <c r="Q73" i="41"/>
  <c r="Q74" i="41"/>
  <c r="Q75" i="41"/>
  <c r="Q76" i="41"/>
  <c r="Q77" i="41"/>
  <c r="Q78" i="41"/>
  <c r="Q79" i="41"/>
  <c r="Q80" i="41"/>
  <c r="Q81" i="41"/>
  <c r="Q82" i="41"/>
  <c r="Q83" i="41"/>
  <c r="Q84" i="41"/>
  <c r="Q85" i="41"/>
  <c r="Q86" i="41"/>
  <c r="Q87" i="41"/>
  <c r="Q88" i="41"/>
  <c r="Q89" i="41"/>
  <c r="Q90" i="41"/>
  <c r="Q91" i="41"/>
  <c r="Q92" i="41"/>
  <c r="Q93" i="41"/>
  <c r="Q94" i="41"/>
  <c r="Q95" i="41"/>
  <c r="Q96" i="41"/>
  <c r="Q97" i="41"/>
  <c r="Q98" i="41"/>
  <c r="Q99" i="41"/>
  <c r="Q100" i="41"/>
  <c r="Q101" i="41"/>
  <c r="Q102" i="41"/>
  <c r="Q103" i="41"/>
  <c r="Q104" i="41"/>
  <c r="Q105" i="41"/>
  <c r="Q106" i="41"/>
  <c r="Q107" i="41"/>
  <c r="Q108" i="41"/>
  <c r="Q109" i="41"/>
  <c r="Q110" i="41"/>
  <c r="Q111" i="41"/>
  <c r="Q112" i="41"/>
  <c r="Q113" i="41"/>
  <c r="Q114" i="41"/>
  <c r="Q115" i="41"/>
  <c r="Q116" i="41"/>
  <c r="Q117" i="41"/>
  <c r="Q118" i="41"/>
  <c r="Q119" i="41"/>
  <c r="Q120" i="41"/>
  <c r="Q121" i="41"/>
  <c r="Q122" i="41"/>
  <c r="Q123" i="41"/>
  <c r="Q124" i="41"/>
  <c r="Q125" i="41"/>
  <c r="Q126" i="41"/>
  <c r="Q127" i="41"/>
  <c r="Q128" i="41"/>
  <c r="Q129" i="41"/>
  <c r="Q130" i="41"/>
  <c r="Q131" i="41"/>
  <c r="Q132" i="41"/>
  <c r="Q133" i="41"/>
  <c r="Q134" i="41"/>
  <c r="Q135" i="41"/>
  <c r="Q136" i="41"/>
  <c r="Q137" i="41"/>
  <c r="Q138" i="41"/>
  <c r="Q139" i="41"/>
  <c r="Q140" i="41"/>
  <c r="Q141" i="41"/>
  <c r="Q142" i="41"/>
  <c r="Q143" i="41"/>
  <c r="Q144" i="41"/>
  <c r="Q145" i="41"/>
  <c r="Q146" i="41"/>
  <c r="Q147" i="41"/>
  <c r="Q148" i="41"/>
  <c r="Q149" i="41"/>
  <c r="Q150" i="41"/>
  <c r="Q151" i="41"/>
  <c r="Q152" i="41"/>
  <c r="Q153" i="41"/>
  <c r="Q154" i="41"/>
  <c r="Q155" i="41"/>
  <c r="Q156" i="41"/>
  <c r="Q157" i="41"/>
  <c r="Q158" i="41"/>
  <c r="Q159" i="41"/>
  <c r="Q160" i="41"/>
  <c r="Q161" i="41"/>
  <c r="Q162" i="41"/>
  <c r="Q163" i="41"/>
  <c r="Q164" i="41"/>
  <c r="Q165" i="41"/>
  <c r="Q166" i="41"/>
  <c r="Q167" i="41"/>
  <c r="Q168" i="41"/>
  <c r="Q169" i="41"/>
  <c r="Q170" i="41"/>
  <c r="Q171" i="41"/>
  <c r="Q172" i="41"/>
  <c r="Q173" i="41"/>
  <c r="Q174" i="41"/>
  <c r="Q175" i="41"/>
  <c r="Q176" i="41"/>
  <c r="Q177" i="41"/>
  <c r="Q178" i="41"/>
  <c r="Q179" i="41"/>
  <c r="Q180" i="41"/>
  <c r="Q181" i="41"/>
  <c r="Q182" i="41"/>
  <c r="Q183" i="41"/>
  <c r="Q184" i="41"/>
  <c r="Q185" i="41"/>
  <c r="Q186" i="41"/>
  <c r="Q187" i="41"/>
  <c r="Q188" i="41"/>
  <c r="Q189" i="41"/>
  <c r="Q190" i="41"/>
  <c r="Q191" i="41"/>
  <c r="Q192" i="41"/>
  <c r="Q193" i="41"/>
  <c r="Q194" i="41"/>
  <c r="Q195" i="41"/>
  <c r="Q196" i="41"/>
  <c r="Q197" i="41"/>
  <c r="Q198" i="41"/>
  <c r="Q199" i="41"/>
  <c r="Q200" i="41"/>
  <c r="Q201" i="41"/>
  <c r="Q202" i="41"/>
  <c r="Q203" i="41"/>
  <c r="Q204" i="41"/>
  <c r="Q205" i="41"/>
  <c r="Q206" i="41"/>
  <c r="Q207" i="41"/>
  <c r="Q208" i="41"/>
  <c r="Q209" i="41"/>
  <c r="Q210" i="41"/>
  <c r="Q211" i="41"/>
  <c r="Q212" i="41"/>
  <c r="Q213" i="41"/>
  <c r="Q214" i="41"/>
  <c r="Q215" i="41"/>
  <c r="Q216" i="41"/>
  <c r="Q217" i="41"/>
  <c r="Q218" i="41"/>
  <c r="Q219" i="41"/>
  <c r="Q220" i="41"/>
  <c r="Q221" i="41"/>
  <c r="Q222" i="41"/>
  <c r="Q223" i="41"/>
  <c r="Q224" i="41"/>
  <c r="Q225" i="41"/>
  <c r="Q226" i="41"/>
  <c r="Q227" i="41"/>
  <c r="Q228" i="41"/>
  <c r="Q229" i="41"/>
  <c r="Q230" i="41"/>
  <c r="Q231" i="41"/>
  <c r="Q232" i="41"/>
  <c r="Q233" i="41"/>
  <c r="Q234" i="41"/>
  <c r="Q235" i="41"/>
  <c r="Q236" i="41"/>
  <c r="Q237" i="41"/>
  <c r="Q238" i="41"/>
  <c r="Q239" i="41"/>
  <c r="Q240" i="41"/>
  <c r="Q241" i="41"/>
  <c r="Q242" i="41"/>
  <c r="Q243" i="41"/>
  <c r="Q244" i="41"/>
  <c r="Q245" i="41"/>
  <c r="Q246" i="41"/>
  <c r="Q247" i="41"/>
  <c r="Q248" i="41"/>
  <c r="Q249" i="41"/>
  <c r="Q250" i="41"/>
  <c r="Q251" i="41"/>
  <c r="Q252" i="41"/>
  <c r="Q253" i="41"/>
  <c r="Q254" i="41"/>
  <c r="Q255" i="41"/>
  <c r="Q256" i="41"/>
  <c r="Q257" i="41"/>
  <c r="Q258" i="41"/>
  <c r="Q259" i="41"/>
  <c r="Q260" i="41"/>
  <c r="Q261" i="41"/>
  <c r="Q262" i="41"/>
  <c r="Q263" i="41"/>
  <c r="Q264" i="41"/>
  <c r="Q265" i="41"/>
  <c r="Q266" i="41"/>
  <c r="Q267" i="41"/>
  <c r="Q268" i="41"/>
  <c r="Q269" i="41"/>
  <c r="Q270" i="41"/>
  <c r="Q271" i="41"/>
  <c r="Q272" i="41"/>
  <c r="Q273" i="41"/>
  <c r="Q274" i="41"/>
  <c r="Q275" i="41"/>
  <c r="Q276" i="41"/>
  <c r="Q277" i="41"/>
  <c r="Q278" i="41"/>
  <c r="Q279" i="41"/>
  <c r="Q280" i="41"/>
  <c r="Q281" i="41"/>
  <c r="Q282" i="41"/>
  <c r="Q283" i="41"/>
  <c r="Q284" i="41"/>
  <c r="Q285" i="41"/>
  <c r="Q286" i="41"/>
  <c r="Q287" i="41"/>
  <c r="Q288" i="41"/>
  <c r="Q289" i="41"/>
  <c r="Q290" i="41"/>
  <c r="Q291" i="41"/>
  <c r="Q292" i="41"/>
  <c r="Q293" i="41"/>
  <c r="Q294" i="41"/>
  <c r="Q295" i="41"/>
  <c r="Q296" i="41"/>
  <c r="Q297" i="41"/>
  <c r="Q298" i="41"/>
  <c r="Q299" i="41"/>
  <c r="Q300" i="41"/>
  <c r="Q301" i="41"/>
  <c r="Q302" i="41"/>
  <c r="Q303" i="41"/>
  <c r="Q304" i="41"/>
  <c r="Q305" i="41"/>
  <c r="Q306" i="41"/>
  <c r="Q307" i="41"/>
  <c r="Q308" i="41"/>
  <c r="Q309" i="41"/>
  <c r="Q310" i="41"/>
  <c r="Q311" i="41"/>
  <c r="Q312" i="41"/>
  <c r="Q313" i="41"/>
  <c r="Q314" i="41"/>
  <c r="Q315" i="41"/>
  <c r="Q316" i="41"/>
  <c r="Q317" i="41"/>
  <c r="Q318" i="41"/>
  <c r="Q319" i="41"/>
  <c r="Q320" i="41"/>
  <c r="Q321" i="41"/>
  <c r="Q322" i="41"/>
  <c r="Q323" i="41"/>
  <c r="Q324" i="41"/>
  <c r="Q325" i="41"/>
  <c r="Q326" i="41"/>
  <c r="Q327" i="41"/>
  <c r="Q328" i="41"/>
  <c r="Q329" i="41"/>
  <c r="Q330" i="41"/>
  <c r="Q331" i="41"/>
  <c r="Q332" i="41"/>
  <c r="Q333" i="41"/>
  <c r="Q334" i="41"/>
  <c r="Q335" i="41"/>
  <c r="Q336" i="41"/>
  <c r="Q337" i="41"/>
  <c r="Q338" i="41"/>
  <c r="Q339" i="41"/>
  <c r="Q340" i="41"/>
  <c r="Q341" i="41"/>
  <c r="Q342" i="41"/>
  <c r="Q343" i="41"/>
  <c r="Q344" i="41"/>
  <c r="Q345" i="41"/>
  <c r="Q346" i="41"/>
  <c r="Q347" i="41"/>
  <c r="Q348" i="41"/>
  <c r="Q349" i="41"/>
  <c r="Q350" i="41"/>
  <c r="Q351" i="41"/>
  <c r="Q352" i="41"/>
  <c r="Q353" i="41"/>
  <c r="Q354" i="41"/>
  <c r="Q355" i="41"/>
  <c r="Q356" i="41"/>
  <c r="Q357" i="41"/>
  <c r="Q358" i="41"/>
  <c r="Q359" i="41"/>
  <c r="Q360" i="41"/>
  <c r="Q361" i="41"/>
  <c r="Q362" i="41"/>
  <c r="Q363" i="41"/>
  <c r="Q364" i="41"/>
  <c r="Q365" i="41"/>
  <c r="Q366" i="41"/>
  <c r="Q367" i="41"/>
  <c r="Q368" i="41"/>
  <c r="Q369" i="41"/>
  <c r="Q370" i="41"/>
  <c r="Q371" i="41"/>
  <c r="Q372" i="41"/>
  <c r="Q373" i="41"/>
  <c r="Q374" i="41"/>
  <c r="Q375" i="41"/>
  <c r="Q376" i="41"/>
  <c r="Q377" i="41"/>
  <c r="Q378" i="41"/>
  <c r="Q379" i="41"/>
  <c r="Q380" i="41"/>
  <c r="Q381" i="41"/>
  <c r="Q382" i="41"/>
  <c r="Q383" i="41"/>
  <c r="Q384" i="41"/>
  <c r="Q385" i="41"/>
  <c r="Q386" i="41"/>
  <c r="Q387" i="41"/>
  <c r="Q388" i="41"/>
  <c r="Q389" i="41"/>
  <c r="Q390" i="41"/>
  <c r="Q391" i="41"/>
  <c r="Q392" i="41"/>
  <c r="Q393" i="41"/>
  <c r="Q394" i="41"/>
  <c r="Q395" i="41"/>
  <c r="Q396" i="41"/>
  <c r="Q397" i="41"/>
  <c r="Q398" i="41"/>
  <c r="Q399" i="41"/>
  <c r="Q400" i="41"/>
  <c r="Q401" i="41"/>
  <c r="Q402" i="41"/>
  <c r="Q403" i="41"/>
  <c r="Q404" i="41"/>
  <c r="Q405" i="41"/>
  <c r="Q406" i="41"/>
  <c r="Q407" i="41"/>
  <c r="Q408" i="41"/>
  <c r="Q409" i="41"/>
  <c r="Q410" i="41"/>
  <c r="Q411" i="41"/>
  <c r="Q412" i="41"/>
  <c r="Q413" i="41"/>
  <c r="Q414" i="41"/>
  <c r="Q415" i="41"/>
  <c r="Q416" i="41"/>
  <c r="Q417" i="41"/>
  <c r="Q418" i="41"/>
  <c r="Q419" i="41"/>
  <c r="Q420" i="41"/>
  <c r="Q421" i="41"/>
  <c r="Q422" i="41"/>
  <c r="Q423" i="41"/>
  <c r="Q424" i="41"/>
  <c r="Q425" i="41"/>
  <c r="Q426" i="41"/>
  <c r="Q427" i="41"/>
  <c r="Q428" i="41"/>
  <c r="Q429" i="41"/>
  <c r="Q430" i="41"/>
  <c r="Q431" i="41"/>
  <c r="Q432" i="41"/>
  <c r="Q433" i="41"/>
  <c r="Q434" i="41"/>
  <c r="Q435" i="41"/>
  <c r="Q436" i="41"/>
  <c r="Q437" i="41"/>
  <c r="Q438" i="41"/>
  <c r="Q439" i="41"/>
  <c r="Q440" i="41"/>
  <c r="Q441" i="41"/>
  <c r="Q442" i="41"/>
  <c r="Q443" i="41"/>
  <c r="Q444" i="41"/>
  <c r="Q445" i="41"/>
  <c r="Q446" i="41"/>
  <c r="Q447" i="41"/>
  <c r="Q448" i="41"/>
  <c r="Q449" i="41"/>
  <c r="Q450" i="41"/>
  <c r="Q451" i="41"/>
  <c r="Q452" i="41"/>
  <c r="Q453" i="41"/>
  <c r="Q454" i="41"/>
  <c r="Q455" i="41"/>
  <c r="Q456" i="41"/>
  <c r="Q457" i="41"/>
  <c r="Q458" i="41"/>
  <c r="Q459" i="41"/>
  <c r="Q460" i="41"/>
  <c r="Q461" i="41"/>
  <c r="Q462" i="41"/>
  <c r="Q463" i="41"/>
  <c r="Q464" i="41"/>
  <c r="Q465" i="41"/>
  <c r="Q466" i="41"/>
  <c r="Q467" i="41"/>
  <c r="Q468" i="41"/>
  <c r="Q469" i="41"/>
  <c r="Q470" i="41"/>
  <c r="Q471" i="41"/>
  <c r="Q472" i="41"/>
  <c r="Q473" i="41"/>
  <c r="Q474" i="41"/>
  <c r="Q475" i="41"/>
  <c r="Q476" i="41"/>
  <c r="Q477" i="41"/>
  <c r="Q478" i="41"/>
  <c r="Q479" i="41"/>
  <c r="Q480" i="41"/>
  <c r="Q481" i="41"/>
  <c r="Q482" i="41"/>
  <c r="Q483" i="41"/>
  <c r="Q484" i="41"/>
  <c r="Q485" i="41"/>
  <c r="Q486" i="41"/>
  <c r="Q487" i="41"/>
  <c r="Q488" i="41"/>
  <c r="Q489" i="41"/>
  <c r="Q490" i="41"/>
  <c r="Q491" i="41"/>
  <c r="Q492" i="41"/>
  <c r="Q493" i="41"/>
  <c r="Q494" i="41"/>
  <c r="Q495" i="41"/>
  <c r="Q496" i="41"/>
  <c r="Q497" i="41"/>
  <c r="Q498" i="41"/>
  <c r="Q499" i="41"/>
  <c r="Q500" i="41"/>
  <c r="Q501" i="41"/>
  <c r="Q502" i="41"/>
  <c r="Q503" i="41"/>
  <c r="Q504" i="41"/>
  <c r="Q505" i="41"/>
  <c r="Q506" i="41"/>
  <c r="Q507" i="41"/>
  <c r="Q508" i="41"/>
  <c r="Q509" i="41"/>
  <c r="Q510" i="41"/>
  <c r="Q511" i="41"/>
  <c r="Q512" i="41"/>
  <c r="Q513" i="41"/>
  <c r="Q514" i="41"/>
  <c r="Q515" i="41"/>
  <c r="Q516" i="41"/>
  <c r="Q517" i="41"/>
  <c r="Q518" i="41"/>
  <c r="Q519" i="41"/>
  <c r="Q520" i="41"/>
  <c r="Q521" i="41"/>
  <c r="Q522" i="41"/>
  <c r="Q523" i="41"/>
  <c r="Q524" i="41"/>
  <c r="Q525" i="41"/>
  <c r="Q526" i="41"/>
  <c r="Q527" i="41"/>
  <c r="Q528" i="41"/>
  <c r="Q529" i="41"/>
  <c r="Q530" i="41"/>
  <c r="Q531" i="41"/>
  <c r="Q532" i="41"/>
  <c r="Q533" i="41"/>
  <c r="Q534" i="41"/>
  <c r="Q535" i="41"/>
  <c r="Q536" i="41"/>
  <c r="Q537" i="41"/>
  <c r="Q538" i="41"/>
  <c r="Q539" i="41"/>
  <c r="Q540" i="41"/>
  <c r="Q541" i="41"/>
  <c r="Q542" i="41"/>
  <c r="Q543" i="41"/>
  <c r="Q544" i="41"/>
  <c r="Q545" i="41"/>
  <c r="Q546" i="41"/>
  <c r="Q547" i="41"/>
  <c r="Q548" i="41"/>
  <c r="Q549" i="41"/>
  <c r="Q550" i="41"/>
  <c r="Q551" i="41"/>
  <c r="Q552" i="41"/>
  <c r="Q553" i="41"/>
  <c r="Q554" i="41"/>
  <c r="Q555" i="41"/>
  <c r="Q556" i="41"/>
  <c r="Q557" i="41"/>
  <c r="Q558" i="41"/>
  <c r="Q559" i="41"/>
  <c r="Q560" i="41"/>
  <c r="Q561" i="41"/>
  <c r="Q562" i="41"/>
  <c r="Q563" i="41"/>
  <c r="Q564" i="41"/>
  <c r="Q565" i="41"/>
  <c r="Q566" i="41"/>
  <c r="Q567" i="41"/>
  <c r="Q568" i="41"/>
  <c r="Q569" i="41"/>
  <c r="Q570" i="41"/>
  <c r="Q571" i="41"/>
  <c r="Q572" i="41"/>
  <c r="Q573" i="41"/>
  <c r="Q574" i="41"/>
  <c r="Q575" i="41"/>
  <c r="Q576" i="41"/>
  <c r="Q577" i="41"/>
  <c r="Q578" i="41"/>
  <c r="Q579" i="41"/>
  <c r="Q580" i="41"/>
  <c r="Q581" i="41"/>
  <c r="Q582" i="41"/>
  <c r="Q583" i="41"/>
  <c r="Q584" i="41"/>
  <c r="Q585" i="41"/>
  <c r="Q586" i="41"/>
  <c r="Q587" i="41"/>
  <c r="Q588" i="41"/>
  <c r="Q589" i="41"/>
  <c r="Q590" i="41"/>
  <c r="Q591" i="41"/>
  <c r="Q592" i="41"/>
  <c r="Q593" i="41"/>
  <c r="Q594" i="41"/>
  <c r="Q595" i="41"/>
  <c r="Q596" i="41"/>
  <c r="Q597" i="41"/>
  <c r="Q598" i="41"/>
  <c r="Q599" i="41"/>
  <c r="Q600" i="41"/>
  <c r="Q601" i="41"/>
  <c r="Q602" i="41"/>
  <c r="Q603" i="41"/>
  <c r="Q604" i="41"/>
  <c r="Q605" i="41"/>
  <c r="Q606" i="41"/>
  <c r="Q607" i="41"/>
  <c r="Q608" i="41"/>
  <c r="Q609" i="41"/>
  <c r="Q610" i="41"/>
  <c r="Q611" i="41"/>
  <c r="Q612" i="41"/>
  <c r="Q613" i="41"/>
  <c r="Q614" i="41"/>
  <c r="Q615" i="41"/>
  <c r="Q616" i="41"/>
  <c r="Q617" i="41"/>
  <c r="Q618" i="41"/>
  <c r="Q619" i="41"/>
  <c r="Q620" i="41"/>
  <c r="Q621" i="41"/>
  <c r="Q622" i="41"/>
  <c r="Q623" i="41"/>
  <c r="Q624" i="41"/>
  <c r="Q625" i="41"/>
  <c r="Q626" i="41"/>
  <c r="Q627" i="41"/>
  <c r="Q628" i="41"/>
  <c r="Q629" i="41"/>
  <c r="Q630" i="41"/>
  <c r="Q631" i="41"/>
  <c r="Q632" i="41"/>
  <c r="Q633" i="41"/>
  <c r="Q634" i="41"/>
  <c r="Q635" i="41"/>
  <c r="Q636" i="41"/>
  <c r="Q637" i="41"/>
  <c r="Q638" i="41"/>
  <c r="Q639" i="41"/>
  <c r="Q640" i="41"/>
  <c r="Q641" i="41"/>
  <c r="Q642" i="41"/>
  <c r="Q643" i="41"/>
  <c r="Q644" i="41"/>
  <c r="Q645" i="41"/>
  <c r="Q646" i="41"/>
  <c r="Q647" i="41"/>
  <c r="Q648" i="41"/>
  <c r="Q649" i="41"/>
  <c r="Q650" i="41"/>
  <c r="Q651" i="41"/>
  <c r="Q652" i="41"/>
  <c r="Q653" i="41"/>
  <c r="Q654" i="41"/>
  <c r="Q655" i="41"/>
  <c r="Q656" i="41"/>
  <c r="AA4" i="41" l="1"/>
  <c r="AA5" i="41"/>
  <c r="AA6" i="41"/>
  <c r="AA7" i="41"/>
  <c r="AA8" i="41"/>
  <c r="AA9" i="41"/>
  <c r="AA10" i="41"/>
  <c r="AA11" i="41"/>
  <c r="AA12" i="41"/>
  <c r="AA13" i="41"/>
  <c r="AA14" i="41"/>
  <c r="AA15" i="41"/>
  <c r="AA16" i="41"/>
  <c r="AA17" i="41"/>
  <c r="AA18" i="41"/>
  <c r="AA19" i="41"/>
  <c r="AA20" i="41"/>
  <c r="AA21" i="41"/>
  <c r="AA22" i="41"/>
  <c r="AA23" i="41"/>
  <c r="AA24" i="41"/>
  <c r="AA25" i="41"/>
  <c r="AA26" i="41"/>
  <c r="AA27" i="41"/>
  <c r="AA28" i="41"/>
  <c r="AA29" i="41"/>
  <c r="AA30" i="41"/>
  <c r="AA31" i="41"/>
  <c r="AA32" i="41"/>
  <c r="AA33" i="41"/>
  <c r="AA34" i="41"/>
  <c r="AA35" i="41"/>
  <c r="AA36" i="41"/>
  <c r="AA37" i="41"/>
  <c r="AA38" i="41"/>
  <c r="AA39" i="41"/>
  <c r="AA40" i="41"/>
  <c r="AA41" i="41"/>
  <c r="AA42" i="41"/>
  <c r="AA43" i="41"/>
  <c r="AA44" i="41"/>
  <c r="AA45" i="41"/>
  <c r="AA46" i="41"/>
  <c r="AA47" i="41"/>
  <c r="AA48" i="41"/>
  <c r="AA49" i="41"/>
  <c r="AA50" i="41"/>
  <c r="AA51" i="41"/>
  <c r="AA52" i="41"/>
  <c r="AA53" i="41"/>
  <c r="AA54" i="41"/>
  <c r="AA55" i="41"/>
  <c r="AA56" i="41"/>
  <c r="AA57" i="41"/>
  <c r="AA58" i="41"/>
  <c r="AA59" i="41"/>
  <c r="AA60" i="41"/>
  <c r="AA61" i="41"/>
  <c r="AA62" i="41"/>
  <c r="AA63" i="41"/>
  <c r="AA64" i="41"/>
  <c r="AA65" i="41"/>
  <c r="AA66" i="41"/>
  <c r="AA67" i="41"/>
  <c r="AA68" i="41"/>
  <c r="AA69" i="41"/>
  <c r="AA70" i="41"/>
  <c r="AA71" i="41"/>
  <c r="AA72" i="41"/>
  <c r="AA73" i="41"/>
  <c r="AA74" i="41"/>
  <c r="AA75" i="41"/>
  <c r="AA76" i="41"/>
  <c r="AA77" i="41"/>
  <c r="AA78" i="41"/>
  <c r="AA79" i="41"/>
  <c r="AA80" i="41"/>
  <c r="AA81" i="41"/>
  <c r="AA82" i="41"/>
  <c r="AA83" i="41"/>
  <c r="AA84" i="41"/>
  <c r="AA85" i="41"/>
  <c r="AA86" i="41"/>
  <c r="AA87" i="41"/>
  <c r="AA88" i="41"/>
  <c r="AA89" i="41"/>
  <c r="AA90" i="41"/>
  <c r="AA91" i="41"/>
  <c r="AA92" i="41"/>
  <c r="AA93" i="41"/>
  <c r="AA94" i="41"/>
  <c r="AA95" i="41"/>
  <c r="AA96" i="41"/>
  <c r="AA97" i="41"/>
  <c r="AA98" i="41"/>
  <c r="AA99" i="41"/>
  <c r="AA100" i="41"/>
  <c r="AA101" i="41"/>
  <c r="AA102" i="41"/>
  <c r="AA103" i="41"/>
  <c r="AA104" i="41"/>
  <c r="AA105" i="41"/>
  <c r="AA106" i="41"/>
  <c r="AA107" i="41"/>
  <c r="AA108" i="41"/>
  <c r="AA109" i="41"/>
  <c r="AA110" i="41"/>
  <c r="AA111" i="41"/>
  <c r="AA112" i="41"/>
  <c r="AA113" i="41"/>
  <c r="AA114" i="41"/>
  <c r="AA115" i="41"/>
  <c r="AA116" i="41"/>
  <c r="AA117" i="41"/>
  <c r="AA118" i="41"/>
  <c r="AA119" i="41"/>
  <c r="AA120" i="41"/>
  <c r="AA121" i="41"/>
  <c r="AA122" i="41"/>
  <c r="AA123" i="41"/>
  <c r="AA124" i="41"/>
  <c r="AA125" i="41"/>
  <c r="AA126" i="41"/>
  <c r="AA127" i="41"/>
  <c r="AA128" i="41"/>
  <c r="AA129" i="41"/>
  <c r="AA130" i="41"/>
  <c r="AA131" i="41"/>
  <c r="AA132" i="41"/>
  <c r="AA133" i="41"/>
  <c r="AA134" i="41"/>
  <c r="AA135" i="41"/>
  <c r="AA136" i="41"/>
  <c r="AA137" i="41"/>
  <c r="AA138" i="41"/>
  <c r="AA139" i="41"/>
  <c r="AA140" i="41"/>
  <c r="AA141" i="41"/>
  <c r="AA142" i="41"/>
  <c r="AA143" i="41"/>
  <c r="AA144" i="41"/>
  <c r="AA145" i="41"/>
  <c r="AA146" i="41"/>
  <c r="AA147" i="41"/>
  <c r="AA148" i="41"/>
  <c r="AA149" i="41"/>
  <c r="AA150" i="41"/>
  <c r="AA151" i="41"/>
  <c r="AA152" i="41"/>
  <c r="AA153" i="41"/>
  <c r="AA154" i="41"/>
  <c r="AA155" i="41"/>
  <c r="AA156" i="41"/>
  <c r="AA157" i="41"/>
  <c r="AA158" i="41"/>
  <c r="AA159" i="41"/>
  <c r="AA160" i="41"/>
  <c r="AA161" i="41"/>
  <c r="AA162" i="41"/>
  <c r="AA163" i="41"/>
  <c r="AA164" i="41"/>
  <c r="AA165" i="41"/>
  <c r="AA166" i="41"/>
  <c r="AA167" i="41"/>
  <c r="AA168" i="41"/>
  <c r="AA169" i="41"/>
  <c r="AA170" i="41"/>
  <c r="AA171" i="41"/>
  <c r="AA172" i="41"/>
  <c r="AA173" i="41"/>
  <c r="AA174" i="41"/>
  <c r="AA175" i="41"/>
  <c r="AA176" i="41"/>
  <c r="AA177" i="41"/>
  <c r="AA178" i="41"/>
  <c r="AA179" i="41"/>
  <c r="AA180" i="41"/>
  <c r="AA181" i="41"/>
  <c r="AA182" i="41"/>
  <c r="AA183" i="41"/>
  <c r="AA184" i="41"/>
  <c r="AA185" i="41"/>
  <c r="AA186" i="41"/>
  <c r="AA187" i="41"/>
  <c r="AA188" i="41"/>
  <c r="AA189" i="41"/>
  <c r="AA190" i="41"/>
  <c r="AA191" i="41"/>
  <c r="AA192" i="41"/>
  <c r="AA193" i="41"/>
  <c r="AA194" i="41"/>
  <c r="AA195" i="41"/>
  <c r="AA196" i="41"/>
  <c r="AA197" i="41"/>
  <c r="AA198" i="41"/>
  <c r="AA199" i="41"/>
  <c r="AA200" i="41"/>
  <c r="AA201" i="41"/>
  <c r="AA202" i="41"/>
  <c r="AA203" i="41"/>
  <c r="AA204" i="41"/>
  <c r="AA205" i="41"/>
  <c r="AA206" i="41"/>
  <c r="AA207" i="41"/>
  <c r="AA208" i="41"/>
  <c r="AA209" i="41"/>
  <c r="AA210" i="41"/>
  <c r="AA211" i="41"/>
  <c r="AA212" i="41"/>
  <c r="AA213" i="41"/>
  <c r="AA214" i="41"/>
  <c r="AA215" i="41"/>
  <c r="AA216" i="41"/>
  <c r="AA217" i="41"/>
  <c r="AA218" i="41"/>
  <c r="AA219" i="41"/>
  <c r="AA220" i="41"/>
  <c r="AA221" i="41"/>
  <c r="AA222" i="41"/>
  <c r="AA223" i="41"/>
  <c r="AA224" i="41"/>
  <c r="AA225" i="41"/>
  <c r="AA226" i="41"/>
  <c r="AA227" i="41"/>
  <c r="AA228" i="41"/>
  <c r="AA229" i="41"/>
  <c r="AA230" i="41"/>
  <c r="AA231" i="41"/>
  <c r="AA232" i="41"/>
  <c r="AA233" i="41"/>
  <c r="AA234" i="41"/>
  <c r="AA235" i="41"/>
  <c r="AA236" i="41"/>
  <c r="AA237" i="41"/>
  <c r="AA238" i="41"/>
  <c r="AA239" i="41"/>
  <c r="AA240" i="41"/>
  <c r="AA241" i="41"/>
  <c r="AA242" i="41"/>
  <c r="AA243" i="41"/>
  <c r="AA244" i="41"/>
  <c r="AA245" i="41"/>
  <c r="AA246" i="41"/>
  <c r="AA247" i="41"/>
  <c r="AA248" i="41"/>
  <c r="AA249" i="41"/>
  <c r="AA250" i="41"/>
  <c r="AA251" i="41"/>
  <c r="AA252" i="41"/>
  <c r="AA253" i="41"/>
  <c r="AA254" i="41"/>
  <c r="AA255" i="41"/>
  <c r="AA256" i="41"/>
  <c r="AA257" i="41"/>
  <c r="AA258" i="41"/>
  <c r="AA259" i="41"/>
  <c r="AA260" i="41"/>
  <c r="AA261" i="41"/>
  <c r="AA262" i="41"/>
  <c r="AA263" i="41"/>
  <c r="AA264" i="41"/>
  <c r="AA265" i="41"/>
  <c r="AA266" i="41"/>
  <c r="AA267" i="41"/>
  <c r="AA268" i="41"/>
  <c r="AA269" i="41"/>
  <c r="AA270" i="41"/>
  <c r="AA271" i="41"/>
  <c r="AA272" i="41"/>
  <c r="AA273" i="41"/>
  <c r="AA274" i="41"/>
  <c r="AA275" i="41"/>
  <c r="AA276" i="41"/>
  <c r="AA277" i="41"/>
  <c r="AA278" i="41"/>
  <c r="AA279" i="41"/>
  <c r="AA280" i="41"/>
  <c r="AA281" i="41"/>
  <c r="AA282" i="41"/>
  <c r="AA283" i="41"/>
  <c r="AA284" i="41"/>
  <c r="AA285" i="41"/>
  <c r="AA286" i="41"/>
  <c r="AA287" i="41"/>
  <c r="AA288" i="41"/>
  <c r="AA289" i="41"/>
  <c r="AA290" i="41"/>
  <c r="AA291" i="41"/>
  <c r="AA292" i="41"/>
  <c r="AA293" i="41"/>
  <c r="AA294" i="41"/>
  <c r="AA295" i="41"/>
  <c r="AA296" i="41"/>
  <c r="AA297" i="41"/>
  <c r="AA298" i="41"/>
  <c r="AA299" i="41"/>
  <c r="AA300" i="41"/>
  <c r="AA301" i="41"/>
  <c r="AA302" i="41"/>
  <c r="AA303" i="41"/>
  <c r="AA304" i="41"/>
  <c r="AA305" i="41"/>
  <c r="AA306" i="41"/>
  <c r="AA307" i="41"/>
  <c r="AA308" i="41"/>
  <c r="AA309" i="41"/>
  <c r="AA310" i="41"/>
  <c r="AA311" i="41"/>
  <c r="AA312" i="41"/>
  <c r="AA313" i="41"/>
  <c r="AA314" i="41"/>
  <c r="AA315" i="41"/>
  <c r="AA316" i="41"/>
  <c r="AA317" i="41"/>
  <c r="AA318" i="41"/>
  <c r="AA319" i="41"/>
  <c r="AA320" i="41"/>
  <c r="AA321" i="41"/>
  <c r="AA322" i="41"/>
  <c r="AA323" i="41"/>
  <c r="AA324" i="41"/>
  <c r="AA325" i="41"/>
  <c r="AA326" i="41"/>
  <c r="AA327" i="41"/>
  <c r="AA328" i="41"/>
  <c r="AA329" i="41"/>
  <c r="AA330" i="41"/>
  <c r="AA331" i="41"/>
  <c r="AA332" i="41"/>
  <c r="AA333" i="41"/>
  <c r="AA334" i="41"/>
  <c r="AA335" i="41"/>
  <c r="AA336" i="41"/>
  <c r="AA337" i="41"/>
  <c r="AA338" i="41"/>
  <c r="AA339" i="41"/>
  <c r="AA340" i="41"/>
  <c r="AA341" i="41"/>
  <c r="AA342" i="41"/>
  <c r="AA343" i="41"/>
  <c r="AA344" i="41"/>
  <c r="AA345" i="41"/>
  <c r="AA346" i="41"/>
  <c r="AA347" i="41"/>
  <c r="AA348" i="41"/>
  <c r="AA349" i="41"/>
  <c r="AA350" i="41"/>
  <c r="AA351" i="41"/>
  <c r="AA352" i="41"/>
  <c r="AA353" i="41"/>
  <c r="AA354" i="41"/>
  <c r="AA355" i="41"/>
  <c r="AA356" i="41"/>
  <c r="AA357" i="41"/>
  <c r="AA358" i="41"/>
  <c r="AA359" i="41"/>
  <c r="AA360" i="41"/>
  <c r="AA361" i="41"/>
  <c r="AA362" i="41"/>
  <c r="AA363" i="41"/>
  <c r="AA364" i="41"/>
  <c r="AA365" i="41"/>
  <c r="AA366" i="41"/>
  <c r="AA367" i="41"/>
  <c r="AA368" i="41"/>
  <c r="AA369" i="41"/>
  <c r="AA370" i="41"/>
  <c r="AA371" i="41"/>
  <c r="AA372" i="41"/>
  <c r="AA373" i="41"/>
  <c r="AA374" i="41"/>
  <c r="AA375" i="41"/>
  <c r="AA376" i="41"/>
  <c r="AA377" i="41"/>
  <c r="AA378" i="41"/>
  <c r="AA379" i="41"/>
  <c r="AA380" i="41"/>
  <c r="AA381" i="41"/>
  <c r="AA382" i="41"/>
  <c r="AA383" i="41"/>
  <c r="AA384" i="41"/>
  <c r="AA385" i="41"/>
  <c r="AA386" i="41"/>
  <c r="AA387" i="41"/>
  <c r="AA388" i="41"/>
  <c r="AA389" i="41"/>
  <c r="AA390" i="41"/>
  <c r="AA391" i="41"/>
  <c r="AA392" i="41"/>
  <c r="AA393" i="41"/>
  <c r="AA394" i="41"/>
  <c r="AA395" i="41"/>
  <c r="AA396" i="41"/>
  <c r="AA397" i="41"/>
  <c r="AA398" i="41"/>
  <c r="AA399" i="41"/>
  <c r="AA400" i="41"/>
  <c r="AA401" i="41"/>
  <c r="AA402" i="41"/>
  <c r="AA403" i="41"/>
  <c r="AA404" i="41"/>
  <c r="AA405" i="41"/>
  <c r="AA406" i="41"/>
  <c r="AA407" i="41"/>
  <c r="AA408" i="41"/>
  <c r="AA409" i="41"/>
  <c r="AA410" i="41"/>
  <c r="AA411" i="41"/>
  <c r="AA412" i="41"/>
  <c r="AA413" i="41"/>
  <c r="AA414" i="41"/>
  <c r="AA415" i="41"/>
  <c r="AA416" i="41"/>
  <c r="AA417" i="41"/>
  <c r="AA418" i="41"/>
  <c r="AA419" i="41"/>
  <c r="AA420" i="41"/>
  <c r="AA421" i="41"/>
  <c r="AA422" i="41"/>
  <c r="AA423" i="41"/>
  <c r="AA424" i="41"/>
  <c r="AA425" i="41"/>
  <c r="AA426" i="41"/>
  <c r="AA427" i="41"/>
  <c r="AA428" i="41"/>
  <c r="AA429" i="41"/>
  <c r="AA430" i="41"/>
  <c r="AA431" i="41"/>
  <c r="AA432" i="41"/>
  <c r="AA433" i="41"/>
  <c r="AA434" i="41"/>
  <c r="AA435" i="41"/>
  <c r="AA436" i="41"/>
  <c r="AA437" i="41"/>
  <c r="AA438" i="41"/>
  <c r="AA439" i="41"/>
  <c r="AA440" i="41"/>
  <c r="AA441" i="41"/>
  <c r="AA442" i="41"/>
  <c r="AA443" i="41"/>
  <c r="AA444" i="41"/>
  <c r="AA445" i="41"/>
  <c r="AA446" i="41"/>
  <c r="AA447" i="41"/>
  <c r="AA448" i="41"/>
  <c r="AA449" i="41"/>
  <c r="AA450" i="41"/>
  <c r="AA451" i="41"/>
  <c r="AA452" i="41"/>
  <c r="AA453" i="41"/>
  <c r="AA454" i="41"/>
  <c r="AA455" i="41"/>
  <c r="AA456" i="41"/>
  <c r="AA457" i="41"/>
  <c r="AA458" i="41"/>
  <c r="AA459" i="41"/>
  <c r="AA460" i="41"/>
  <c r="AA461" i="41"/>
  <c r="AA462" i="41"/>
  <c r="AA463" i="41"/>
  <c r="AA464" i="41"/>
  <c r="AA465" i="41"/>
  <c r="AA466" i="41"/>
  <c r="AA467" i="41"/>
  <c r="AA468" i="41"/>
  <c r="AA469" i="41"/>
  <c r="AA470" i="41"/>
  <c r="AA471" i="41"/>
  <c r="AA472" i="41"/>
  <c r="AA473" i="41"/>
  <c r="AA474" i="41"/>
  <c r="AA475" i="41"/>
  <c r="AA476" i="41"/>
  <c r="AA477" i="41"/>
  <c r="AA478" i="41"/>
  <c r="AA479" i="41"/>
  <c r="AA480" i="41"/>
  <c r="AA481" i="41"/>
  <c r="AA482" i="41"/>
  <c r="AA483" i="41"/>
  <c r="AA484" i="41"/>
  <c r="AA485" i="41"/>
  <c r="AA486" i="41"/>
  <c r="AA487" i="41"/>
  <c r="AA488" i="41"/>
  <c r="AA489" i="41"/>
  <c r="AA490" i="41"/>
  <c r="AA491" i="41"/>
  <c r="AA492" i="41"/>
  <c r="AA493" i="41"/>
  <c r="AA494" i="41"/>
  <c r="AA495" i="41"/>
  <c r="AA496" i="41"/>
  <c r="AA497" i="41"/>
  <c r="AA498" i="41"/>
  <c r="AA499" i="41"/>
  <c r="AA500" i="41"/>
  <c r="AA501" i="41"/>
  <c r="AA502" i="41"/>
  <c r="AA503" i="41"/>
  <c r="AA504" i="41"/>
  <c r="AA505" i="41"/>
  <c r="AA506" i="41"/>
  <c r="AA507" i="41"/>
  <c r="AA508" i="41"/>
  <c r="AA509" i="41"/>
  <c r="AA510" i="41"/>
  <c r="AA511" i="41"/>
  <c r="AA512" i="41"/>
  <c r="AA513" i="41"/>
  <c r="AA514" i="41"/>
  <c r="AA515" i="41"/>
  <c r="AA516" i="41"/>
  <c r="AA517" i="41"/>
  <c r="AA518" i="41"/>
  <c r="AA519" i="41"/>
  <c r="AA520" i="41"/>
  <c r="AA521" i="41"/>
  <c r="AA522" i="41"/>
  <c r="AA523" i="41"/>
  <c r="AA524" i="41"/>
  <c r="AA525" i="41"/>
  <c r="Z4" i="41"/>
  <c r="Z5" i="41"/>
  <c r="Z6" i="41"/>
  <c r="Z7" i="41"/>
  <c r="Z8" i="41"/>
  <c r="Z9" i="41"/>
  <c r="Z10" i="41"/>
  <c r="Z11" i="41"/>
  <c r="Z12" i="41"/>
  <c r="Z13" i="41"/>
  <c r="Z14" i="41"/>
  <c r="Z15" i="41"/>
  <c r="Z16" i="41"/>
  <c r="Z17" i="41"/>
  <c r="Z18" i="41"/>
  <c r="Z19" i="41"/>
  <c r="Z20" i="41"/>
  <c r="Z21" i="41"/>
  <c r="Z22" i="41"/>
  <c r="Z23" i="41"/>
  <c r="Z24" i="41"/>
  <c r="Z25" i="41"/>
  <c r="Z26" i="41"/>
  <c r="Z27" i="41"/>
  <c r="Z28" i="41"/>
  <c r="Z29" i="41"/>
  <c r="Z30" i="41"/>
  <c r="Z31" i="41"/>
  <c r="Z32" i="41"/>
  <c r="Z33" i="41"/>
  <c r="Z34" i="41"/>
  <c r="Z35" i="41"/>
  <c r="Z36" i="41"/>
  <c r="Z37" i="41"/>
  <c r="Z38" i="41"/>
  <c r="Z39" i="41"/>
  <c r="Z40" i="41"/>
  <c r="Z41" i="41"/>
  <c r="Z42" i="41"/>
  <c r="Z43" i="41"/>
  <c r="Z44" i="41"/>
  <c r="Z45" i="41"/>
  <c r="Z46" i="41"/>
  <c r="Z47" i="41"/>
  <c r="Z48" i="41"/>
  <c r="Z49" i="41"/>
  <c r="Z50" i="41"/>
  <c r="Z51" i="41"/>
  <c r="Z52" i="41"/>
  <c r="Z53" i="41"/>
  <c r="Z54" i="41"/>
  <c r="Z55" i="41"/>
  <c r="Z56" i="41"/>
  <c r="Z57" i="41"/>
  <c r="Z58" i="41"/>
  <c r="Z59" i="41"/>
  <c r="Z60" i="41"/>
  <c r="Z61" i="41"/>
  <c r="Z62" i="41"/>
  <c r="Z63" i="41"/>
  <c r="Z64" i="41"/>
  <c r="Z65" i="41"/>
  <c r="Z66" i="41"/>
  <c r="Z67" i="41"/>
  <c r="Z68" i="41"/>
  <c r="Z69" i="41"/>
  <c r="Z70" i="41"/>
  <c r="Z71" i="41"/>
  <c r="Z72" i="41"/>
  <c r="Z73" i="41"/>
  <c r="Z74" i="41"/>
  <c r="Z75" i="41"/>
  <c r="Z76" i="41"/>
  <c r="Z77" i="41"/>
  <c r="Z78" i="41"/>
  <c r="Z79" i="41"/>
  <c r="Z80" i="41"/>
  <c r="Z81" i="41"/>
  <c r="Z82" i="41"/>
  <c r="Z83" i="41"/>
  <c r="Z84" i="41"/>
  <c r="Z85" i="41"/>
  <c r="Z86" i="41"/>
  <c r="Z87" i="41"/>
  <c r="Z88" i="41"/>
  <c r="Z89" i="41"/>
  <c r="Z90" i="41"/>
  <c r="Z91" i="41"/>
  <c r="Z92" i="41"/>
  <c r="Z93" i="41"/>
  <c r="Z94" i="41"/>
  <c r="Z95" i="41"/>
  <c r="Z96" i="41"/>
  <c r="Z97" i="41"/>
  <c r="Z98" i="41"/>
  <c r="Z99" i="41"/>
  <c r="Z100" i="41"/>
  <c r="Z101" i="41"/>
  <c r="Z102" i="41"/>
  <c r="Z103" i="41"/>
  <c r="Z104" i="41"/>
  <c r="Z105" i="41"/>
  <c r="Z106" i="41"/>
  <c r="Z107" i="41"/>
  <c r="Z108" i="41"/>
  <c r="Z109" i="41"/>
  <c r="Z110" i="41"/>
  <c r="Z111" i="41"/>
  <c r="Z112" i="41"/>
  <c r="Z113" i="41"/>
  <c r="Z114" i="41"/>
  <c r="Z115" i="41"/>
  <c r="Z116" i="41"/>
  <c r="Z117" i="41"/>
  <c r="Z118" i="41"/>
  <c r="Z119" i="41"/>
  <c r="Z120" i="41"/>
  <c r="Z121" i="41"/>
  <c r="Z122" i="41"/>
  <c r="Z123" i="41"/>
  <c r="Z124" i="41"/>
  <c r="Z125" i="41"/>
  <c r="Z126" i="41"/>
  <c r="Z127" i="41"/>
  <c r="Z128" i="41"/>
  <c r="Z129" i="41"/>
  <c r="Z130" i="41"/>
  <c r="Z131" i="41"/>
  <c r="Z132" i="41"/>
  <c r="Z133" i="41"/>
  <c r="Z134" i="41"/>
  <c r="Z135" i="41"/>
  <c r="Z136" i="41"/>
  <c r="Z137" i="41"/>
  <c r="Z138" i="41"/>
  <c r="Z139" i="41"/>
  <c r="Z140" i="41"/>
  <c r="Z141" i="41"/>
  <c r="Z142" i="41"/>
  <c r="Z143" i="41"/>
  <c r="Z144" i="41"/>
  <c r="Z145" i="41"/>
  <c r="Z146" i="41"/>
  <c r="Z147" i="41"/>
  <c r="Z148" i="41"/>
  <c r="Z149" i="41"/>
  <c r="Z150" i="41"/>
  <c r="Z151" i="41"/>
  <c r="Z152" i="41"/>
  <c r="Z153" i="41"/>
  <c r="Z154" i="41"/>
  <c r="Z155" i="41"/>
  <c r="Z156" i="41"/>
  <c r="Z157" i="41"/>
  <c r="Z158" i="41"/>
  <c r="Z159" i="41"/>
  <c r="Z160" i="41"/>
  <c r="Z161" i="41"/>
  <c r="Z162" i="41"/>
  <c r="Z163" i="41"/>
  <c r="Z164" i="41"/>
  <c r="Z165" i="41"/>
  <c r="Z166" i="41"/>
  <c r="Z167" i="41"/>
  <c r="Z168" i="41"/>
  <c r="Z169" i="41"/>
  <c r="Z170" i="41"/>
  <c r="Z171" i="41"/>
  <c r="Z172" i="41"/>
  <c r="Z173" i="41"/>
  <c r="Z174" i="41"/>
  <c r="Z175" i="41"/>
  <c r="Z176" i="41"/>
  <c r="Z177" i="41"/>
  <c r="Z178" i="41"/>
  <c r="Z179" i="41"/>
  <c r="Z180" i="41"/>
  <c r="Z181" i="41"/>
  <c r="Z182" i="41"/>
  <c r="Z183" i="41"/>
  <c r="Z184" i="41"/>
  <c r="Z185" i="41"/>
  <c r="Z186" i="41"/>
  <c r="Z187" i="41"/>
  <c r="Z188" i="41"/>
  <c r="Z189" i="41"/>
  <c r="Z190" i="41"/>
  <c r="Z191" i="41"/>
  <c r="Z192" i="41"/>
  <c r="Z193" i="41"/>
  <c r="Z194" i="41"/>
  <c r="Z195" i="41"/>
  <c r="Z196" i="41"/>
  <c r="Z197" i="41"/>
  <c r="Z198" i="41"/>
  <c r="Z199" i="41"/>
  <c r="Z200" i="41"/>
  <c r="Z201" i="41"/>
  <c r="Z202" i="41"/>
  <c r="Z203" i="41"/>
  <c r="Z204" i="41"/>
  <c r="Z205" i="41"/>
  <c r="Z206" i="41"/>
  <c r="Z207" i="41"/>
  <c r="Z208" i="41"/>
  <c r="Z209" i="41"/>
  <c r="Z210" i="41"/>
  <c r="Z211" i="41"/>
  <c r="Z212" i="41"/>
  <c r="Z213" i="41"/>
  <c r="Z214" i="41"/>
  <c r="Z215" i="41"/>
  <c r="Z216" i="41"/>
  <c r="Z217" i="41"/>
  <c r="Z218" i="41"/>
  <c r="Z219" i="41"/>
  <c r="Z220" i="41"/>
  <c r="Z221" i="41"/>
  <c r="Z222" i="41"/>
  <c r="Z223" i="41"/>
  <c r="Z224" i="41"/>
  <c r="Z225" i="41"/>
  <c r="Z226" i="41"/>
  <c r="Z227" i="41"/>
  <c r="Z228" i="41"/>
  <c r="Z229" i="41"/>
  <c r="Z230" i="41"/>
  <c r="Z231" i="41"/>
  <c r="Z232" i="41"/>
  <c r="Z233" i="41"/>
  <c r="Z234" i="41"/>
  <c r="Z235" i="41"/>
  <c r="Z236" i="41"/>
  <c r="Z237" i="41"/>
  <c r="Z238" i="41"/>
  <c r="Z239" i="41"/>
  <c r="Z240" i="41"/>
  <c r="Z241" i="41"/>
  <c r="Z242" i="41"/>
  <c r="Z243" i="41"/>
  <c r="Z244" i="41"/>
  <c r="Z245" i="41"/>
  <c r="Z246" i="41"/>
  <c r="Z247" i="41"/>
  <c r="Z248" i="41"/>
  <c r="Z249" i="41"/>
  <c r="Z250" i="41"/>
  <c r="Z251" i="41"/>
  <c r="Z252" i="41"/>
  <c r="Z253" i="41"/>
  <c r="Z254" i="41"/>
  <c r="Z255" i="41"/>
  <c r="Z256" i="41"/>
  <c r="Z257" i="41"/>
  <c r="Z258" i="41"/>
  <c r="Z259" i="41"/>
  <c r="Z260" i="41"/>
  <c r="Z261" i="41"/>
  <c r="Z262" i="41"/>
  <c r="Z263" i="41"/>
  <c r="Z264" i="41"/>
  <c r="Z265" i="41"/>
  <c r="Z266" i="41"/>
  <c r="Z267" i="41"/>
  <c r="Z268" i="41"/>
  <c r="Z269" i="41"/>
  <c r="Z270" i="41"/>
  <c r="Z271" i="41"/>
  <c r="Z272" i="41"/>
  <c r="Z273" i="41"/>
  <c r="Z274" i="41"/>
  <c r="Z275" i="41"/>
  <c r="Z276" i="41"/>
  <c r="Z277" i="41"/>
  <c r="Z278" i="41"/>
  <c r="Z279" i="41"/>
  <c r="Z280" i="41"/>
  <c r="Z281" i="41"/>
  <c r="Z282" i="41"/>
  <c r="Z283" i="41"/>
  <c r="Z284" i="41"/>
  <c r="Z285" i="41"/>
  <c r="Z286" i="41"/>
  <c r="Z287" i="41"/>
  <c r="Z288" i="41"/>
  <c r="Z289" i="41"/>
  <c r="Z290" i="41"/>
  <c r="Z291" i="41"/>
  <c r="Z292" i="41"/>
  <c r="Z293" i="41"/>
  <c r="Z294" i="41"/>
  <c r="Z295" i="41"/>
  <c r="Z296" i="41"/>
  <c r="Z297" i="41"/>
  <c r="Z298" i="41"/>
  <c r="Z299" i="41"/>
  <c r="Z300" i="41"/>
  <c r="Z301" i="41"/>
  <c r="Z302" i="41"/>
  <c r="Z303" i="41"/>
  <c r="Z304" i="41"/>
  <c r="Z305" i="41"/>
  <c r="Z306" i="41"/>
  <c r="Z307" i="41"/>
  <c r="Z308" i="41"/>
  <c r="Z309" i="41"/>
  <c r="Z310" i="41"/>
  <c r="Z311" i="41"/>
  <c r="Z312" i="41"/>
  <c r="Z313" i="41"/>
  <c r="Z314" i="41"/>
  <c r="Z315" i="41"/>
  <c r="Z316" i="41"/>
  <c r="Z317" i="41"/>
  <c r="Z318" i="41"/>
  <c r="Z319" i="41"/>
  <c r="Z320" i="41"/>
  <c r="Z321" i="41"/>
  <c r="Z322" i="41"/>
  <c r="Z323" i="41"/>
  <c r="Z324" i="41"/>
  <c r="Z325" i="41"/>
  <c r="Z326" i="41"/>
  <c r="Z327" i="41"/>
  <c r="Z328" i="41"/>
  <c r="Z329" i="41"/>
  <c r="Z330" i="41"/>
  <c r="Z331" i="41"/>
  <c r="Z332" i="41"/>
  <c r="Z333" i="41"/>
  <c r="Z334" i="41"/>
  <c r="Z335" i="41"/>
  <c r="Z336" i="41"/>
  <c r="Z337" i="41"/>
  <c r="Z338" i="41"/>
  <c r="Z339" i="41"/>
  <c r="Z340" i="41"/>
  <c r="Z341" i="41"/>
  <c r="Z342" i="41"/>
  <c r="Z343" i="41"/>
  <c r="Z344" i="41"/>
  <c r="Z345" i="41"/>
  <c r="Z346" i="41"/>
  <c r="Z347" i="41"/>
  <c r="Z348" i="41"/>
  <c r="Z349" i="41"/>
  <c r="Z350" i="41"/>
  <c r="Z351" i="41"/>
  <c r="Z352" i="41"/>
  <c r="Z353" i="41"/>
  <c r="Z354" i="41"/>
  <c r="Z355" i="41"/>
  <c r="Z356" i="41"/>
  <c r="Z357" i="41"/>
  <c r="Z358" i="41"/>
  <c r="Z359" i="41"/>
  <c r="Z360" i="41"/>
  <c r="Z361" i="41"/>
  <c r="Z362" i="41"/>
  <c r="Z363" i="41"/>
  <c r="Z364" i="41"/>
  <c r="Z365" i="41"/>
  <c r="Z366" i="41"/>
  <c r="Z367" i="41"/>
  <c r="Z368" i="41"/>
  <c r="Z369" i="41"/>
  <c r="Z370" i="41"/>
  <c r="Z371" i="41"/>
  <c r="Z372" i="41"/>
  <c r="Z373" i="41"/>
  <c r="Z374" i="41"/>
  <c r="Z375" i="41"/>
  <c r="Z376" i="41"/>
  <c r="Z377" i="41"/>
  <c r="Z378" i="41"/>
  <c r="Z379" i="41"/>
  <c r="Z380" i="41"/>
  <c r="Z381" i="41"/>
  <c r="Z382" i="41"/>
  <c r="Z383" i="41"/>
  <c r="Z384" i="41"/>
  <c r="Z385" i="41"/>
  <c r="Z386" i="41"/>
  <c r="Z387" i="41"/>
  <c r="Z388" i="41"/>
  <c r="Z389" i="41"/>
  <c r="Z390" i="41"/>
  <c r="Z391" i="41"/>
  <c r="Z392" i="41"/>
  <c r="Z393" i="41"/>
  <c r="Z394" i="41"/>
  <c r="Z395" i="41"/>
  <c r="Z396" i="41"/>
  <c r="Z397" i="41"/>
  <c r="Z398" i="41"/>
  <c r="Z399" i="41"/>
  <c r="Z400" i="41"/>
  <c r="Z401" i="41"/>
  <c r="Z402" i="41"/>
  <c r="Z403" i="41"/>
  <c r="Z404" i="41"/>
  <c r="Z405" i="41"/>
  <c r="Z406" i="41"/>
  <c r="Z407" i="41"/>
  <c r="Z408" i="41"/>
  <c r="Z409" i="41"/>
  <c r="Z410" i="41"/>
  <c r="Z411" i="41"/>
  <c r="Z412" i="41"/>
  <c r="Z413" i="41"/>
  <c r="Z414" i="41"/>
  <c r="Z415" i="41"/>
  <c r="Z416" i="41"/>
  <c r="Z417" i="41"/>
  <c r="Z418" i="41"/>
  <c r="Z419" i="41"/>
  <c r="Z420" i="41"/>
  <c r="Z421" i="41"/>
  <c r="Z422" i="41"/>
  <c r="Z423" i="41"/>
  <c r="Z424" i="41"/>
  <c r="Z425" i="41"/>
  <c r="Z426" i="41"/>
  <c r="Z427" i="41"/>
  <c r="Z428" i="41"/>
  <c r="Z429" i="41"/>
  <c r="Z430" i="41"/>
  <c r="Z431" i="41"/>
  <c r="Z432" i="41"/>
  <c r="Z433" i="41"/>
  <c r="Z434" i="41"/>
  <c r="Z435" i="41"/>
  <c r="Z436" i="41"/>
  <c r="Z437" i="41"/>
  <c r="Z438" i="41"/>
  <c r="Z439" i="41"/>
  <c r="Z440" i="41"/>
  <c r="Z441" i="41"/>
  <c r="Z442" i="41"/>
  <c r="Z443" i="41"/>
  <c r="Z444" i="41"/>
  <c r="Z445" i="41"/>
  <c r="Z446" i="41"/>
  <c r="Z447" i="41"/>
  <c r="Z448" i="41"/>
  <c r="Z449" i="41"/>
  <c r="Z450" i="41"/>
  <c r="Z451" i="41"/>
  <c r="Z452" i="41"/>
  <c r="Z453" i="41"/>
  <c r="Z454" i="41"/>
  <c r="Z455" i="41"/>
  <c r="Z456" i="41"/>
  <c r="Z457" i="41"/>
  <c r="Z458" i="41"/>
  <c r="Z459" i="41"/>
  <c r="Z460" i="41"/>
  <c r="Z461" i="41"/>
  <c r="Z462" i="41"/>
  <c r="Z463" i="41"/>
  <c r="Z464" i="41"/>
  <c r="Z465" i="41"/>
  <c r="Z466" i="41"/>
  <c r="Z467" i="41"/>
  <c r="Z468" i="41"/>
  <c r="Z469" i="41"/>
  <c r="Z470" i="41"/>
  <c r="Z471" i="41"/>
  <c r="Z472" i="41"/>
  <c r="Z473" i="41"/>
  <c r="Z474" i="41"/>
  <c r="Z475" i="41"/>
  <c r="Z476" i="41"/>
  <c r="Z477" i="41"/>
  <c r="Z478" i="41"/>
  <c r="Z479" i="41"/>
  <c r="Z480" i="41"/>
  <c r="Z481" i="41"/>
  <c r="Z482" i="41"/>
  <c r="Z483" i="41"/>
  <c r="Z484" i="41"/>
  <c r="Z485" i="41"/>
  <c r="Z486" i="41"/>
  <c r="Z487" i="41"/>
  <c r="Z488" i="41"/>
  <c r="Z489" i="41"/>
  <c r="Z490" i="41"/>
  <c r="Z491" i="41"/>
  <c r="Z492" i="41"/>
  <c r="Z493" i="41"/>
  <c r="Z494" i="41"/>
  <c r="Z495" i="41"/>
  <c r="Z496" i="41"/>
  <c r="Z497" i="41"/>
  <c r="Z498" i="41"/>
  <c r="Z499" i="41"/>
  <c r="Z500" i="41"/>
  <c r="Z501" i="41"/>
  <c r="Z502" i="41"/>
  <c r="Z503" i="41"/>
  <c r="Z504" i="41"/>
  <c r="Z505" i="41"/>
  <c r="Z506" i="41"/>
  <c r="Z507" i="41"/>
  <c r="Z508" i="41"/>
  <c r="Z509" i="41"/>
  <c r="Z510" i="41"/>
  <c r="Z511" i="41"/>
  <c r="Z512" i="41"/>
  <c r="Z513" i="41"/>
  <c r="Z514" i="41"/>
  <c r="Z515" i="41"/>
  <c r="Z516" i="41"/>
  <c r="Z517" i="41"/>
  <c r="Z518" i="41"/>
  <c r="Z519" i="41"/>
  <c r="Z520" i="41"/>
  <c r="Z521" i="41"/>
  <c r="Z522" i="41"/>
  <c r="Z523" i="41"/>
  <c r="Z524" i="41"/>
  <c r="Z525" i="41"/>
  <c r="Y4" i="41"/>
  <c r="Y5" i="41"/>
  <c r="Y6" i="41"/>
  <c r="Y7" i="41"/>
  <c r="Y8" i="41"/>
  <c r="Y9" i="41"/>
  <c r="Y10" i="41"/>
  <c r="Y11" i="41"/>
  <c r="Y12" i="41"/>
  <c r="Y13" i="41"/>
  <c r="Y14" i="41"/>
  <c r="Y15" i="41"/>
  <c r="Y16" i="41"/>
  <c r="Y17" i="41"/>
  <c r="Y18" i="41"/>
  <c r="Y19" i="41"/>
  <c r="Y20" i="41"/>
  <c r="Y21" i="41"/>
  <c r="Y22" i="41"/>
  <c r="Y23" i="41"/>
  <c r="Y24" i="41"/>
  <c r="Y25" i="41"/>
  <c r="Y26" i="41"/>
  <c r="Y27" i="41"/>
  <c r="Y28" i="41"/>
  <c r="Y29" i="41"/>
  <c r="Y30" i="41"/>
  <c r="Y31" i="41"/>
  <c r="Y32" i="41"/>
  <c r="Y33" i="41"/>
  <c r="Y34" i="41"/>
  <c r="Y35" i="41"/>
  <c r="Y36" i="41"/>
  <c r="Y37" i="41"/>
  <c r="Y38" i="41"/>
  <c r="Y39" i="41"/>
  <c r="Y40" i="41"/>
  <c r="Y41" i="41"/>
  <c r="Y42" i="41"/>
  <c r="Y43" i="41"/>
  <c r="Y44" i="41"/>
  <c r="Y45" i="41"/>
  <c r="Y46" i="41"/>
  <c r="Y47" i="41"/>
  <c r="Y48" i="41"/>
  <c r="Y49" i="41"/>
  <c r="Y50" i="41"/>
  <c r="Y51" i="41"/>
  <c r="Y52" i="41"/>
  <c r="Y53" i="41"/>
  <c r="Y54" i="41"/>
  <c r="Y55" i="41"/>
  <c r="Y56" i="41"/>
  <c r="Y57" i="41"/>
  <c r="Y58" i="41"/>
  <c r="Y59" i="41"/>
  <c r="Y60" i="41"/>
  <c r="Y61" i="41"/>
  <c r="Y62" i="41"/>
  <c r="Y63" i="41"/>
  <c r="Y64" i="41"/>
  <c r="Y65" i="41"/>
  <c r="Y66" i="41"/>
  <c r="Y67" i="41"/>
  <c r="Y68" i="41"/>
  <c r="Y69" i="41"/>
  <c r="Y70" i="41"/>
  <c r="Y71" i="41"/>
  <c r="Y72" i="41"/>
  <c r="Y73" i="41"/>
  <c r="Y74" i="41"/>
  <c r="Y75" i="41"/>
  <c r="Y76" i="41"/>
  <c r="Y77" i="41"/>
  <c r="Y78" i="41"/>
  <c r="Y79" i="41"/>
  <c r="Y80" i="41"/>
  <c r="Y81" i="41"/>
  <c r="Y82" i="41"/>
  <c r="Y83" i="41"/>
  <c r="Y84" i="41"/>
  <c r="Y85" i="41"/>
  <c r="Y86" i="41"/>
  <c r="Y87" i="41"/>
  <c r="Y88" i="41"/>
  <c r="Y89" i="41"/>
  <c r="Y90" i="41"/>
  <c r="Y91" i="41"/>
  <c r="Y92" i="41"/>
  <c r="Y93" i="41"/>
  <c r="Y94" i="41"/>
  <c r="Y95" i="41"/>
  <c r="Y96" i="41"/>
  <c r="Y97" i="41"/>
  <c r="Y98" i="41"/>
  <c r="Y99" i="41"/>
  <c r="Y100" i="41"/>
  <c r="Y101" i="41"/>
  <c r="Y102" i="41"/>
  <c r="Y103" i="41"/>
  <c r="Y104" i="41"/>
  <c r="Y105" i="41"/>
  <c r="Y106" i="41"/>
  <c r="Y107" i="41"/>
  <c r="Y108" i="41"/>
  <c r="Y109" i="41"/>
  <c r="Y110" i="41"/>
  <c r="Y111" i="41"/>
  <c r="Y112" i="41"/>
  <c r="Y113" i="41"/>
  <c r="Y114" i="41"/>
  <c r="Y115" i="41"/>
  <c r="Y116" i="41"/>
  <c r="Y117" i="41"/>
  <c r="Y118" i="41"/>
  <c r="Y119" i="41"/>
  <c r="Y120" i="41"/>
  <c r="Y121" i="41"/>
  <c r="Y122" i="41"/>
  <c r="Y123" i="41"/>
  <c r="Y124" i="41"/>
  <c r="Y125" i="41"/>
  <c r="Y126" i="41"/>
  <c r="Y127" i="41"/>
  <c r="Y128" i="41"/>
  <c r="Y129" i="41"/>
  <c r="Y130" i="41"/>
  <c r="Y131" i="41"/>
  <c r="Y132" i="41"/>
  <c r="Y133" i="41"/>
  <c r="Y134" i="41"/>
  <c r="Y135" i="41"/>
  <c r="Y136" i="41"/>
  <c r="Y137" i="41"/>
  <c r="Y138" i="41"/>
  <c r="Y139" i="41"/>
  <c r="Y140" i="41"/>
  <c r="Y141" i="41"/>
  <c r="Y142" i="41"/>
  <c r="Y143" i="41"/>
  <c r="Y144" i="41"/>
  <c r="Y145" i="41"/>
  <c r="Y146" i="41"/>
  <c r="Y147" i="41"/>
  <c r="Y148" i="41"/>
  <c r="Y149" i="41"/>
  <c r="Y150" i="41"/>
  <c r="Y151" i="41"/>
  <c r="Y152" i="41"/>
  <c r="Y153" i="41"/>
  <c r="Y154" i="41"/>
  <c r="Y155" i="41"/>
  <c r="Y156" i="41"/>
  <c r="Y157" i="41"/>
  <c r="Y158" i="41"/>
  <c r="Y159" i="41"/>
  <c r="Y160" i="41"/>
  <c r="Y161" i="41"/>
  <c r="Y162" i="41"/>
  <c r="Y163" i="41"/>
  <c r="Y164" i="41"/>
  <c r="Y165" i="41"/>
  <c r="Y166" i="41"/>
  <c r="Y167" i="41"/>
  <c r="Y168" i="41"/>
  <c r="Y169" i="41"/>
  <c r="Y170" i="41"/>
  <c r="Y171" i="41"/>
  <c r="Y172" i="41"/>
  <c r="Y173" i="41"/>
  <c r="Y174" i="41"/>
  <c r="Y175" i="41"/>
  <c r="Y176" i="41"/>
  <c r="Y177" i="41"/>
  <c r="Y178" i="41"/>
  <c r="Y179" i="41"/>
  <c r="Y180" i="41"/>
  <c r="Y181" i="41"/>
  <c r="Y182" i="41"/>
  <c r="Y183" i="41"/>
  <c r="Y184" i="41"/>
  <c r="Y185" i="41"/>
  <c r="Y186" i="41"/>
  <c r="Y187" i="41"/>
  <c r="Y188" i="41"/>
  <c r="Y189" i="41"/>
  <c r="Y190" i="41"/>
  <c r="Y191" i="41"/>
  <c r="Y192" i="41"/>
  <c r="Y193" i="41"/>
  <c r="Y194" i="41"/>
  <c r="Y195" i="41"/>
  <c r="Y196" i="41"/>
  <c r="Y197" i="41"/>
  <c r="Y198" i="41"/>
  <c r="Y199" i="41"/>
  <c r="Y200" i="41"/>
  <c r="Y201" i="41"/>
  <c r="Y202" i="41"/>
  <c r="Y203" i="41"/>
  <c r="Y204" i="41"/>
  <c r="Y205" i="41"/>
  <c r="Y206" i="41"/>
  <c r="Y207" i="41"/>
  <c r="Y208" i="41"/>
  <c r="Y209" i="41"/>
  <c r="Y210" i="41"/>
  <c r="Y211" i="41"/>
  <c r="Y212" i="41"/>
  <c r="Y213" i="41"/>
  <c r="Y214" i="41"/>
  <c r="Y215" i="41"/>
  <c r="Y216" i="41"/>
  <c r="Y217" i="41"/>
  <c r="Y218" i="41"/>
  <c r="Y219" i="41"/>
  <c r="Y220" i="41"/>
  <c r="Y221" i="41"/>
  <c r="Y222" i="41"/>
  <c r="Y223" i="41"/>
  <c r="Y224" i="41"/>
  <c r="Y225" i="41"/>
  <c r="Y226" i="41"/>
  <c r="Y227" i="41"/>
  <c r="Y228" i="41"/>
  <c r="Y229" i="41"/>
  <c r="Y230" i="41"/>
  <c r="Y231" i="41"/>
  <c r="Y232" i="41"/>
  <c r="Y233" i="41"/>
  <c r="Y234" i="41"/>
  <c r="Y235" i="41"/>
  <c r="Y236" i="41"/>
  <c r="Y237" i="41"/>
  <c r="Y238" i="41"/>
  <c r="Y239" i="41"/>
  <c r="Y240" i="41"/>
  <c r="Y241" i="41"/>
  <c r="Y242" i="41"/>
  <c r="Y243" i="41"/>
  <c r="Y244" i="41"/>
  <c r="Y245" i="41"/>
  <c r="Y246" i="41"/>
  <c r="Y247" i="41"/>
  <c r="Y248" i="41"/>
  <c r="Y249" i="41"/>
  <c r="Y250" i="41"/>
  <c r="Y251" i="41"/>
  <c r="Y252" i="41"/>
  <c r="Y253" i="41"/>
  <c r="Y254" i="41"/>
  <c r="Y255" i="41"/>
  <c r="Y256" i="41"/>
  <c r="Y257" i="41"/>
  <c r="Y258" i="41"/>
  <c r="Y259" i="41"/>
  <c r="Y260" i="41"/>
  <c r="Y261" i="41"/>
  <c r="Y262" i="41"/>
  <c r="Y263" i="41"/>
  <c r="Y264" i="41"/>
  <c r="Y265" i="41"/>
  <c r="Y266" i="41"/>
  <c r="Y267" i="41"/>
  <c r="Y268" i="41"/>
  <c r="Y269" i="41"/>
  <c r="Y270" i="41"/>
  <c r="Y271" i="41"/>
  <c r="Y272" i="41"/>
  <c r="Y273" i="41"/>
  <c r="Y274" i="41"/>
  <c r="Y275" i="41"/>
  <c r="Y276" i="41"/>
  <c r="Y277" i="41"/>
  <c r="Y278" i="41"/>
  <c r="Y279" i="41"/>
  <c r="Y280" i="41"/>
  <c r="Y281" i="41"/>
  <c r="Y282" i="41"/>
  <c r="Y283" i="41"/>
  <c r="Y284" i="41"/>
  <c r="Y285" i="41"/>
  <c r="Y286" i="41"/>
  <c r="Y287" i="41"/>
  <c r="Y288" i="41"/>
  <c r="Y289" i="41"/>
  <c r="Y290" i="41"/>
  <c r="Y291" i="41"/>
  <c r="Y292" i="41"/>
  <c r="Y293" i="41"/>
  <c r="Y294" i="41"/>
  <c r="Y295" i="41"/>
  <c r="Y296" i="41"/>
  <c r="Y297" i="41"/>
  <c r="Y298" i="41"/>
  <c r="Y299" i="41"/>
  <c r="Y300" i="41"/>
  <c r="Y301" i="41"/>
  <c r="Y302" i="41"/>
  <c r="Y303" i="41"/>
  <c r="Y304" i="41"/>
  <c r="Y305" i="41"/>
  <c r="Y306" i="41"/>
  <c r="Y307" i="41"/>
  <c r="Y308" i="41"/>
  <c r="Y309" i="41"/>
  <c r="Y310" i="41"/>
  <c r="Y311" i="41"/>
  <c r="Y312" i="41"/>
  <c r="Y313" i="41"/>
  <c r="Y314" i="41"/>
  <c r="Y315" i="41"/>
  <c r="Y316" i="41"/>
  <c r="Y317" i="41"/>
  <c r="Y318" i="41"/>
  <c r="Y319" i="41"/>
  <c r="Y320" i="41"/>
  <c r="Y321" i="41"/>
  <c r="Y322" i="41"/>
  <c r="Y323" i="41"/>
  <c r="Y324" i="41"/>
  <c r="Y325" i="41"/>
  <c r="Y326" i="41"/>
  <c r="Y327" i="41"/>
  <c r="Y328" i="41"/>
  <c r="Y329" i="41"/>
  <c r="Y330" i="41"/>
  <c r="Y331" i="41"/>
  <c r="Y332" i="41"/>
  <c r="Y333" i="41"/>
  <c r="Y334" i="41"/>
  <c r="Y335" i="41"/>
  <c r="Y336" i="41"/>
  <c r="Y337" i="41"/>
  <c r="Y338" i="41"/>
  <c r="Y339" i="41"/>
  <c r="Y340" i="41"/>
  <c r="Y341" i="41"/>
  <c r="Y342" i="41"/>
  <c r="Y343" i="41"/>
  <c r="Y344" i="41"/>
  <c r="Y345" i="41"/>
  <c r="Y346" i="41"/>
  <c r="Y347" i="41"/>
  <c r="Y348" i="41"/>
  <c r="Y349" i="41"/>
  <c r="Y350" i="41"/>
  <c r="Y351" i="41"/>
  <c r="Y352" i="41"/>
  <c r="Y353" i="41"/>
  <c r="Y354" i="41"/>
  <c r="Y355" i="41"/>
  <c r="Y356" i="41"/>
  <c r="Y357" i="41"/>
  <c r="Y358" i="41"/>
  <c r="Y359" i="41"/>
  <c r="Y360" i="41"/>
  <c r="Y361" i="41"/>
  <c r="Y362" i="41"/>
  <c r="Y363" i="41"/>
  <c r="Y364" i="41"/>
  <c r="Y365" i="41"/>
  <c r="Y366" i="41"/>
  <c r="Y367" i="41"/>
  <c r="Y368" i="41"/>
  <c r="Y369" i="41"/>
  <c r="Y370" i="41"/>
  <c r="Y371" i="41"/>
  <c r="Y372" i="41"/>
  <c r="Y373" i="41"/>
  <c r="Y374" i="41"/>
  <c r="Y375" i="41"/>
  <c r="Y376" i="41"/>
  <c r="Y377" i="41"/>
  <c r="Y378" i="41"/>
  <c r="Y379" i="41"/>
  <c r="Y380" i="41"/>
  <c r="Y381" i="41"/>
  <c r="Y382" i="41"/>
  <c r="Y383" i="41"/>
  <c r="Y384" i="41"/>
  <c r="Y385" i="41"/>
  <c r="Y386" i="41"/>
  <c r="Y387" i="41"/>
  <c r="Y388" i="41"/>
  <c r="Y389" i="41"/>
  <c r="Y390" i="41"/>
  <c r="Y391" i="41"/>
  <c r="Y392" i="41"/>
  <c r="Y393" i="41"/>
  <c r="Y394" i="41"/>
  <c r="Y395" i="41"/>
  <c r="Y396" i="41"/>
  <c r="Y397" i="41"/>
  <c r="Y398" i="41"/>
  <c r="Y399" i="41"/>
  <c r="Y400" i="41"/>
  <c r="Y401" i="41"/>
  <c r="Y402" i="41"/>
  <c r="Y403" i="41"/>
  <c r="Y404" i="41"/>
  <c r="Y405" i="41"/>
  <c r="Y406" i="41"/>
  <c r="Y407" i="41"/>
  <c r="Y408" i="41"/>
  <c r="Y409" i="41"/>
  <c r="Y410" i="41"/>
  <c r="Y411" i="41"/>
  <c r="Y412" i="41"/>
  <c r="Y413" i="41"/>
  <c r="Y414" i="41"/>
  <c r="Y415" i="41"/>
  <c r="Y416" i="41"/>
  <c r="Y417" i="41"/>
  <c r="Y418" i="41"/>
  <c r="Y419" i="41"/>
  <c r="Y420" i="41"/>
  <c r="Y421" i="41"/>
  <c r="Y422" i="41"/>
  <c r="Y423" i="41"/>
  <c r="Y424" i="41"/>
  <c r="Y425" i="41"/>
  <c r="Y426" i="41"/>
  <c r="Y427" i="41"/>
  <c r="Y428" i="41"/>
  <c r="Y429" i="41"/>
  <c r="Y430" i="41"/>
  <c r="Y431" i="41"/>
  <c r="Y432" i="41"/>
  <c r="Y433" i="41"/>
  <c r="Y434" i="41"/>
  <c r="Y435" i="41"/>
  <c r="Y436" i="41"/>
  <c r="Y437" i="41"/>
  <c r="Y438" i="41"/>
  <c r="Y439" i="41"/>
  <c r="Y440" i="41"/>
  <c r="Y441" i="41"/>
  <c r="Y442" i="41"/>
  <c r="Y443" i="41"/>
  <c r="Y444" i="41"/>
  <c r="Y445" i="41"/>
  <c r="Y446" i="41"/>
  <c r="Y447" i="41"/>
  <c r="Y448" i="41"/>
  <c r="Y449" i="41"/>
  <c r="Y450" i="41"/>
  <c r="Y451" i="41"/>
  <c r="Y452" i="41"/>
  <c r="Y453" i="41"/>
  <c r="Y454" i="41"/>
  <c r="Y455" i="41"/>
  <c r="Y456" i="41"/>
  <c r="Y457" i="41"/>
  <c r="Y458" i="41"/>
  <c r="Y459" i="41"/>
  <c r="Y460" i="41"/>
  <c r="Y461" i="41"/>
  <c r="Y462" i="41"/>
  <c r="Y463" i="41"/>
  <c r="Y464" i="41"/>
  <c r="Y465" i="41"/>
  <c r="Y466" i="41"/>
  <c r="Y467" i="41"/>
  <c r="Y468" i="41"/>
  <c r="Y469" i="41"/>
  <c r="Y470" i="41"/>
  <c r="Y471" i="41"/>
  <c r="Y472" i="41"/>
  <c r="Y473" i="41"/>
  <c r="Y474" i="41"/>
  <c r="Y475" i="41"/>
  <c r="Y476" i="41"/>
  <c r="Y477" i="41"/>
  <c r="Y478" i="41"/>
  <c r="Y479" i="41"/>
  <c r="Y480" i="41"/>
  <c r="Y481" i="41"/>
  <c r="Y482" i="41"/>
  <c r="Y483" i="41"/>
  <c r="Y484" i="41"/>
  <c r="Y485" i="41"/>
  <c r="Y486" i="41"/>
  <c r="Y487" i="41"/>
  <c r="Y488" i="41"/>
  <c r="Y489" i="41"/>
  <c r="Y490" i="41"/>
  <c r="Y491" i="41"/>
  <c r="Y492" i="41"/>
  <c r="Y493" i="41"/>
  <c r="Y494" i="41"/>
  <c r="Y495" i="41"/>
  <c r="Y496" i="41"/>
  <c r="Y497" i="41"/>
  <c r="Y498" i="41"/>
  <c r="Y499" i="41"/>
  <c r="Y500" i="41"/>
  <c r="Y501" i="41"/>
  <c r="Y502" i="41"/>
  <c r="Y503" i="41"/>
  <c r="Y504" i="41"/>
  <c r="Y505" i="41"/>
  <c r="Y506" i="41"/>
  <c r="Y507" i="41"/>
  <c r="Y508" i="41"/>
  <c r="Y509" i="41"/>
  <c r="Y510" i="41"/>
  <c r="Y511" i="41"/>
  <c r="Y512" i="41"/>
  <c r="Y513" i="41"/>
  <c r="Y514" i="41"/>
  <c r="Y515" i="41"/>
  <c r="Y516" i="41"/>
  <c r="Y517" i="41"/>
  <c r="Y518" i="41"/>
  <c r="Y519" i="41"/>
  <c r="Y520" i="41"/>
  <c r="Y521" i="41"/>
  <c r="Y522" i="41"/>
  <c r="Y523" i="41"/>
  <c r="Y524" i="41"/>
  <c r="Y525" i="41"/>
  <c r="X4" i="41"/>
  <c r="X5" i="41"/>
  <c r="X6" i="41"/>
  <c r="X7" i="41"/>
  <c r="X8" i="41"/>
  <c r="X9" i="41"/>
  <c r="X10" i="41"/>
  <c r="X11" i="41"/>
  <c r="X12" i="41"/>
  <c r="X13" i="41"/>
  <c r="X14" i="41"/>
  <c r="X15" i="41"/>
  <c r="X16" i="41"/>
  <c r="X17" i="41"/>
  <c r="X18" i="41"/>
  <c r="X19" i="41"/>
  <c r="X20" i="41"/>
  <c r="X21" i="41"/>
  <c r="X22" i="41"/>
  <c r="X23" i="41"/>
  <c r="X24" i="41"/>
  <c r="X25" i="41"/>
  <c r="X26" i="41"/>
  <c r="X27" i="41"/>
  <c r="X28" i="41"/>
  <c r="X29" i="41"/>
  <c r="X30" i="41"/>
  <c r="X31" i="41"/>
  <c r="X32" i="41"/>
  <c r="X33" i="41"/>
  <c r="X34" i="41"/>
  <c r="X35" i="41"/>
  <c r="X36" i="41"/>
  <c r="X37" i="41"/>
  <c r="X38" i="41"/>
  <c r="X39" i="41"/>
  <c r="X40" i="41"/>
  <c r="X41" i="41"/>
  <c r="X42" i="41"/>
  <c r="X43" i="41"/>
  <c r="X44" i="41"/>
  <c r="X45" i="41"/>
  <c r="X46" i="41"/>
  <c r="X47" i="41"/>
  <c r="X48" i="41"/>
  <c r="X49" i="41"/>
  <c r="X50" i="41"/>
  <c r="X51" i="41"/>
  <c r="X52" i="41"/>
  <c r="X53" i="41"/>
  <c r="X54" i="41"/>
  <c r="X55" i="41"/>
  <c r="X56" i="41"/>
  <c r="X57" i="41"/>
  <c r="X58" i="41"/>
  <c r="X59" i="41"/>
  <c r="X60" i="41"/>
  <c r="X61" i="41"/>
  <c r="X62" i="41"/>
  <c r="X63" i="41"/>
  <c r="X64" i="41"/>
  <c r="X65" i="41"/>
  <c r="X66" i="41"/>
  <c r="X67" i="41"/>
  <c r="X68" i="41"/>
  <c r="X69" i="41"/>
  <c r="X70" i="41"/>
  <c r="X71" i="41"/>
  <c r="X72" i="41"/>
  <c r="X73" i="41"/>
  <c r="X74" i="41"/>
  <c r="X75" i="41"/>
  <c r="X76" i="41"/>
  <c r="X77" i="41"/>
  <c r="X78" i="41"/>
  <c r="X79" i="41"/>
  <c r="X80" i="41"/>
  <c r="X81" i="41"/>
  <c r="X82" i="41"/>
  <c r="X83" i="41"/>
  <c r="X84" i="41"/>
  <c r="X85" i="41"/>
  <c r="X86" i="41"/>
  <c r="X87" i="41"/>
  <c r="X88" i="41"/>
  <c r="X89" i="41"/>
  <c r="X90" i="41"/>
  <c r="X91" i="41"/>
  <c r="X92" i="41"/>
  <c r="X93" i="41"/>
  <c r="X94" i="41"/>
  <c r="X95" i="41"/>
  <c r="X96" i="41"/>
  <c r="X97" i="41"/>
  <c r="X98" i="41"/>
  <c r="X99" i="41"/>
  <c r="X100" i="41"/>
  <c r="X101" i="41"/>
  <c r="X102" i="41"/>
  <c r="X103" i="41"/>
  <c r="X104" i="41"/>
  <c r="X105" i="41"/>
  <c r="X106" i="41"/>
  <c r="X107" i="41"/>
  <c r="X108" i="41"/>
  <c r="X109" i="41"/>
  <c r="X110" i="41"/>
  <c r="X111" i="41"/>
  <c r="X112" i="41"/>
  <c r="X113" i="41"/>
  <c r="X114" i="41"/>
  <c r="X115" i="41"/>
  <c r="X116" i="41"/>
  <c r="X117" i="41"/>
  <c r="X118" i="41"/>
  <c r="X119" i="41"/>
  <c r="X120" i="41"/>
  <c r="X121" i="41"/>
  <c r="X122" i="41"/>
  <c r="X123" i="41"/>
  <c r="X124" i="41"/>
  <c r="X125" i="41"/>
  <c r="X126" i="41"/>
  <c r="X127" i="41"/>
  <c r="X128" i="41"/>
  <c r="X129" i="41"/>
  <c r="X130" i="41"/>
  <c r="X131" i="41"/>
  <c r="X132" i="41"/>
  <c r="X133" i="41"/>
  <c r="X134" i="41"/>
  <c r="X135" i="41"/>
  <c r="X136" i="41"/>
  <c r="X137" i="41"/>
  <c r="X138" i="41"/>
  <c r="X139" i="41"/>
  <c r="X140" i="41"/>
  <c r="X141" i="41"/>
  <c r="X142" i="41"/>
  <c r="X143" i="41"/>
  <c r="X144" i="41"/>
  <c r="X145" i="41"/>
  <c r="X146" i="41"/>
  <c r="X147" i="41"/>
  <c r="X148" i="41"/>
  <c r="X149" i="41"/>
  <c r="X150" i="41"/>
  <c r="X151" i="41"/>
  <c r="X152" i="41"/>
  <c r="X153" i="41"/>
  <c r="X154" i="41"/>
  <c r="X155" i="41"/>
  <c r="X156" i="41"/>
  <c r="X157" i="41"/>
  <c r="X158" i="41"/>
  <c r="X159" i="41"/>
  <c r="X160" i="41"/>
  <c r="X161" i="41"/>
  <c r="X162" i="41"/>
  <c r="X163" i="41"/>
  <c r="X164" i="41"/>
  <c r="X165" i="41"/>
  <c r="X166" i="41"/>
  <c r="X167" i="41"/>
  <c r="X168" i="41"/>
  <c r="X169" i="41"/>
  <c r="X170" i="41"/>
  <c r="X171" i="41"/>
  <c r="X172" i="41"/>
  <c r="X173" i="41"/>
  <c r="X174" i="41"/>
  <c r="X175" i="41"/>
  <c r="X176" i="41"/>
  <c r="X177" i="41"/>
  <c r="X178" i="41"/>
  <c r="X179" i="41"/>
  <c r="X180" i="41"/>
  <c r="X181" i="41"/>
  <c r="X182" i="41"/>
  <c r="X183" i="41"/>
  <c r="X184" i="41"/>
  <c r="X185" i="41"/>
  <c r="X186" i="41"/>
  <c r="X187" i="41"/>
  <c r="X188" i="41"/>
  <c r="X189" i="41"/>
  <c r="X190" i="41"/>
  <c r="X191" i="41"/>
  <c r="X192" i="41"/>
  <c r="X193" i="41"/>
  <c r="X194" i="41"/>
  <c r="X195" i="41"/>
  <c r="X196" i="41"/>
  <c r="X197" i="41"/>
  <c r="X198" i="41"/>
  <c r="X199" i="41"/>
  <c r="X200" i="41"/>
  <c r="X201" i="41"/>
  <c r="X202" i="41"/>
  <c r="X203" i="41"/>
  <c r="X204" i="41"/>
  <c r="X205" i="41"/>
  <c r="X206" i="41"/>
  <c r="X207" i="41"/>
  <c r="X208" i="41"/>
  <c r="X209" i="41"/>
  <c r="X210" i="41"/>
  <c r="X211" i="41"/>
  <c r="X212" i="41"/>
  <c r="X213" i="41"/>
  <c r="X214" i="41"/>
  <c r="X215" i="41"/>
  <c r="X216" i="41"/>
  <c r="X217" i="41"/>
  <c r="X218" i="41"/>
  <c r="X219" i="41"/>
  <c r="X220" i="41"/>
  <c r="X221" i="41"/>
  <c r="X222" i="41"/>
  <c r="X223" i="41"/>
  <c r="X224" i="41"/>
  <c r="X225" i="41"/>
  <c r="X226" i="41"/>
  <c r="X227" i="41"/>
  <c r="X228" i="41"/>
  <c r="X229" i="41"/>
  <c r="X230" i="41"/>
  <c r="X231" i="41"/>
  <c r="X232" i="41"/>
  <c r="X233" i="41"/>
  <c r="X234" i="41"/>
  <c r="X235" i="41"/>
  <c r="X236" i="41"/>
  <c r="X237" i="41"/>
  <c r="X238" i="41"/>
  <c r="X239" i="41"/>
  <c r="X240" i="41"/>
  <c r="X241" i="41"/>
  <c r="X242" i="41"/>
  <c r="X243" i="41"/>
  <c r="X244" i="41"/>
  <c r="X245" i="41"/>
  <c r="X246" i="41"/>
  <c r="X247" i="41"/>
  <c r="X248" i="41"/>
  <c r="X249" i="41"/>
  <c r="X250" i="41"/>
  <c r="X251" i="41"/>
  <c r="X252" i="41"/>
  <c r="X253" i="41"/>
  <c r="X254" i="41"/>
  <c r="X255" i="41"/>
  <c r="X256" i="41"/>
  <c r="X257" i="41"/>
  <c r="X258" i="41"/>
  <c r="X259" i="41"/>
  <c r="X260" i="41"/>
  <c r="X261" i="41"/>
  <c r="X262" i="41"/>
  <c r="X263" i="41"/>
  <c r="X264" i="41"/>
  <c r="X265" i="41"/>
  <c r="X266" i="41"/>
  <c r="X267" i="41"/>
  <c r="X268" i="41"/>
  <c r="X269" i="41"/>
  <c r="X270" i="41"/>
  <c r="X271" i="41"/>
  <c r="X272" i="41"/>
  <c r="X273" i="41"/>
  <c r="X274" i="41"/>
  <c r="X275" i="41"/>
  <c r="X276" i="41"/>
  <c r="X277" i="41"/>
  <c r="X278" i="41"/>
  <c r="X279" i="41"/>
  <c r="X280" i="41"/>
  <c r="X281" i="41"/>
  <c r="X282" i="41"/>
  <c r="X283" i="41"/>
  <c r="X284" i="41"/>
  <c r="X285" i="41"/>
  <c r="X286" i="41"/>
  <c r="X287" i="41"/>
  <c r="X288" i="41"/>
  <c r="X289" i="41"/>
  <c r="X290" i="41"/>
  <c r="X291" i="41"/>
  <c r="X292" i="41"/>
  <c r="X293" i="41"/>
  <c r="X294" i="41"/>
  <c r="X295" i="41"/>
  <c r="X296" i="41"/>
  <c r="X297" i="41"/>
  <c r="X298" i="41"/>
  <c r="X299" i="41"/>
  <c r="X300" i="41"/>
  <c r="X301" i="41"/>
  <c r="X302" i="41"/>
  <c r="X303" i="41"/>
  <c r="X304" i="41"/>
  <c r="X305" i="41"/>
  <c r="X306" i="41"/>
  <c r="X307" i="41"/>
  <c r="X308" i="41"/>
  <c r="X309" i="41"/>
  <c r="X310" i="41"/>
  <c r="X311" i="41"/>
  <c r="X312" i="41"/>
  <c r="X313" i="41"/>
  <c r="X314" i="41"/>
  <c r="X315" i="41"/>
  <c r="X316" i="41"/>
  <c r="X317" i="41"/>
  <c r="X318" i="41"/>
  <c r="X319" i="41"/>
  <c r="X320" i="41"/>
  <c r="X321" i="41"/>
  <c r="X322" i="41"/>
  <c r="X323" i="41"/>
  <c r="X324" i="41"/>
  <c r="X325" i="41"/>
  <c r="X326" i="41"/>
  <c r="X327" i="41"/>
  <c r="X328" i="41"/>
  <c r="X329" i="41"/>
  <c r="X330" i="41"/>
  <c r="X331" i="41"/>
  <c r="X332" i="41"/>
  <c r="X333" i="41"/>
  <c r="X334" i="41"/>
  <c r="X335" i="41"/>
  <c r="X336" i="41"/>
  <c r="X337" i="41"/>
  <c r="X338" i="41"/>
  <c r="X339" i="41"/>
  <c r="X340" i="41"/>
  <c r="X341" i="41"/>
  <c r="X342" i="41"/>
  <c r="X343" i="41"/>
  <c r="X344" i="41"/>
  <c r="X345" i="41"/>
  <c r="X346" i="41"/>
  <c r="X347" i="41"/>
  <c r="X348" i="41"/>
  <c r="X349" i="41"/>
  <c r="X350" i="41"/>
  <c r="X351" i="41"/>
  <c r="X352" i="41"/>
  <c r="X353" i="41"/>
  <c r="X354" i="41"/>
  <c r="X355" i="41"/>
  <c r="X356" i="41"/>
  <c r="X357" i="41"/>
  <c r="X358" i="41"/>
  <c r="X359" i="41"/>
  <c r="X360" i="41"/>
  <c r="X361" i="41"/>
  <c r="X362" i="41"/>
  <c r="X363" i="41"/>
  <c r="X364" i="41"/>
  <c r="X365" i="41"/>
  <c r="X366" i="41"/>
  <c r="X367" i="41"/>
  <c r="X368" i="41"/>
  <c r="X369" i="41"/>
  <c r="X370" i="41"/>
  <c r="X371" i="41"/>
  <c r="X372" i="41"/>
  <c r="X373" i="41"/>
  <c r="X374" i="41"/>
  <c r="X375" i="41"/>
  <c r="X376" i="41"/>
  <c r="X377" i="41"/>
  <c r="X378" i="41"/>
  <c r="X379" i="41"/>
  <c r="X380" i="41"/>
  <c r="X381" i="41"/>
  <c r="X382" i="41"/>
  <c r="X383" i="41"/>
  <c r="X384" i="41"/>
  <c r="X385" i="41"/>
  <c r="X386" i="41"/>
  <c r="X387" i="41"/>
  <c r="X388" i="41"/>
  <c r="X389" i="41"/>
  <c r="X390" i="41"/>
  <c r="X391" i="41"/>
  <c r="X392" i="41"/>
  <c r="X393" i="41"/>
  <c r="X394" i="41"/>
  <c r="X395" i="41"/>
  <c r="X396" i="41"/>
  <c r="X397" i="41"/>
  <c r="X398" i="41"/>
  <c r="X399" i="41"/>
  <c r="X400" i="41"/>
  <c r="X401" i="41"/>
  <c r="X402" i="41"/>
  <c r="X403" i="41"/>
  <c r="X404" i="41"/>
  <c r="X405" i="41"/>
  <c r="X406" i="41"/>
  <c r="X407" i="41"/>
  <c r="X408" i="41"/>
  <c r="X409" i="41"/>
  <c r="X410" i="41"/>
  <c r="X411" i="41"/>
  <c r="X412" i="41"/>
  <c r="X413" i="41"/>
  <c r="X414" i="41"/>
  <c r="X415" i="41"/>
  <c r="X416" i="41"/>
  <c r="X417" i="41"/>
  <c r="X418" i="41"/>
  <c r="X419" i="41"/>
  <c r="X420" i="41"/>
  <c r="X421" i="41"/>
  <c r="X422" i="41"/>
  <c r="X423" i="41"/>
  <c r="X424" i="41"/>
  <c r="X425" i="41"/>
  <c r="X426" i="41"/>
  <c r="X427" i="41"/>
  <c r="X428" i="41"/>
  <c r="X429" i="41"/>
  <c r="X430" i="41"/>
  <c r="X431" i="41"/>
  <c r="X432" i="41"/>
  <c r="X433" i="41"/>
  <c r="X434" i="41"/>
  <c r="X435" i="41"/>
  <c r="X436" i="41"/>
  <c r="X437" i="41"/>
  <c r="X438" i="41"/>
  <c r="X439" i="41"/>
  <c r="X440" i="41"/>
  <c r="X441" i="41"/>
  <c r="X442" i="41"/>
  <c r="X443" i="41"/>
  <c r="X444" i="41"/>
  <c r="X445" i="41"/>
  <c r="X446" i="41"/>
  <c r="X447" i="41"/>
  <c r="X448" i="41"/>
  <c r="X449" i="41"/>
  <c r="X450" i="41"/>
  <c r="X451" i="41"/>
  <c r="X452" i="41"/>
  <c r="X453" i="41"/>
  <c r="X454" i="41"/>
  <c r="X455" i="41"/>
  <c r="X456" i="41"/>
  <c r="X457" i="41"/>
  <c r="X458" i="41"/>
  <c r="X459" i="41"/>
  <c r="X460" i="41"/>
  <c r="X461" i="41"/>
  <c r="X462" i="41"/>
  <c r="X463" i="41"/>
  <c r="X464" i="41"/>
  <c r="X465" i="41"/>
  <c r="X466" i="41"/>
  <c r="X467" i="41"/>
  <c r="X468" i="41"/>
  <c r="X469" i="41"/>
  <c r="X470" i="41"/>
  <c r="X471" i="41"/>
  <c r="X472" i="41"/>
  <c r="X473" i="41"/>
  <c r="X474" i="41"/>
  <c r="X475" i="41"/>
  <c r="X476" i="41"/>
  <c r="X477" i="41"/>
  <c r="X478" i="41"/>
  <c r="X479" i="41"/>
  <c r="X480" i="41"/>
  <c r="X481" i="41"/>
  <c r="X482" i="41"/>
  <c r="X483" i="41"/>
  <c r="X484" i="41"/>
  <c r="X485" i="41"/>
  <c r="X486" i="41"/>
  <c r="X487" i="41"/>
  <c r="X488" i="41"/>
  <c r="X489" i="41"/>
  <c r="X490" i="41"/>
  <c r="X491" i="41"/>
  <c r="X492" i="41"/>
  <c r="X493" i="41"/>
  <c r="X494" i="41"/>
  <c r="X495" i="41"/>
  <c r="X496" i="41"/>
  <c r="X497" i="41"/>
  <c r="X498" i="41"/>
  <c r="X499" i="41"/>
  <c r="X500" i="41"/>
  <c r="X501" i="41"/>
  <c r="X502" i="41"/>
  <c r="X503" i="41"/>
  <c r="X504" i="41"/>
  <c r="X505" i="41"/>
  <c r="X506" i="41"/>
  <c r="X507" i="41"/>
  <c r="X508" i="41"/>
  <c r="X509" i="41"/>
  <c r="X510" i="41"/>
  <c r="X511" i="41"/>
  <c r="X512" i="41"/>
  <c r="X513" i="41"/>
  <c r="X514" i="41"/>
  <c r="X515" i="41"/>
  <c r="X516" i="41"/>
  <c r="X517" i="41"/>
  <c r="X518" i="41"/>
  <c r="X519" i="41"/>
  <c r="X520" i="41"/>
  <c r="X521" i="41"/>
  <c r="X522" i="41"/>
  <c r="X523" i="41"/>
  <c r="X524" i="41"/>
  <c r="X525" i="41"/>
  <c r="S74" i="39" l="1"/>
  <c r="T74" i="39"/>
  <c r="U74" i="39"/>
  <c r="V74" i="39"/>
  <c r="S75" i="39"/>
  <c r="T75" i="39"/>
  <c r="U75" i="39"/>
  <c r="V75" i="39"/>
  <c r="S76" i="39"/>
  <c r="T76" i="39"/>
  <c r="U76" i="39"/>
  <c r="V76" i="39"/>
  <c r="S77" i="39"/>
  <c r="T77" i="39"/>
  <c r="U77" i="39"/>
  <c r="V77" i="39"/>
  <c r="S78" i="39"/>
  <c r="T78" i="39"/>
  <c r="U78" i="39"/>
  <c r="V78" i="39"/>
  <c r="S79" i="39"/>
  <c r="T79" i="39"/>
  <c r="U79" i="39"/>
  <c r="V79" i="39"/>
  <c r="S80" i="39"/>
  <c r="T80" i="39"/>
  <c r="U80" i="39"/>
  <c r="V80" i="39"/>
  <c r="S81" i="39"/>
  <c r="T81" i="39"/>
  <c r="U81" i="39"/>
  <c r="V81" i="39"/>
  <c r="S82" i="39"/>
  <c r="T82" i="39"/>
  <c r="U82" i="39"/>
  <c r="V82" i="39"/>
  <c r="S83" i="39"/>
  <c r="T83" i="39"/>
  <c r="U83" i="39"/>
  <c r="V83" i="39"/>
  <c r="S84" i="39"/>
  <c r="T84" i="39"/>
  <c r="U84" i="39"/>
  <c r="V84" i="39"/>
  <c r="S85" i="39"/>
  <c r="T85" i="39"/>
  <c r="U85" i="39"/>
  <c r="V85" i="39"/>
  <c r="S86" i="39"/>
  <c r="T86" i="39"/>
  <c r="U86" i="39"/>
  <c r="V86" i="39"/>
  <c r="S87" i="39"/>
  <c r="T87" i="39"/>
  <c r="U87" i="39"/>
  <c r="V87" i="39"/>
  <c r="S88" i="39"/>
  <c r="T88" i="39"/>
  <c r="U88" i="39"/>
  <c r="V88" i="39"/>
  <c r="S89" i="39"/>
  <c r="T89" i="39"/>
  <c r="U89" i="39"/>
  <c r="V89" i="39"/>
  <c r="S90" i="39"/>
  <c r="T90" i="39"/>
  <c r="U90" i="39"/>
  <c r="V90" i="39"/>
  <c r="S91" i="39"/>
  <c r="T91" i="39"/>
  <c r="U91" i="39"/>
  <c r="V91" i="39"/>
  <c r="S92" i="39"/>
  <c r="T92" i="39"/>
  <c r="U92" i="39"/>
  <c r="V92" i="39"/>
  <c r="S93" i="39"/>
  <c r="T93" i="39"/>
  <c r="U93" i="39"/>
  <c r="V93" i="39"/>
  <c r="S94" i="39"/>
  <c r="T94" i="39"/>
  <c r="U94" i="39"/>
  <c r="V94" i="39"/>
  <c r="S95" i="39"/>
  <c r="T95" i="39"/>
  <c r="U95" i="39"/>
  <c r="V95" i="39"/>
  <c r="S96" i="39"/>
  <c r="T96" i="39"/>
  <c r="U96" i="39"/>
  <c r="V96" i="39"/>
  <c r="S97" i="39"/>
  <c r="T97" i="39"/>
  <c r="U97" i="39"/>
  <c r="V97" i="39"/>
  <c r="S98" i="39"/>
  <c r="T98" i="39"/>
  <c r="U98" i="39"/>
  <c r="V98" i="39"/>
  <c r="S99" i="39"/>
  <c r="T99" i="39"/>
  <c r="U99" i="39"/>
  <c r="V99" i="39"/>
  <c r="S100" i="39"/>
  <c r="T100" i="39"/>
  <c r="U100" i="39"/>
  <c r="V100" i="39"/>
  <c r="S101" i="39"/>
  <c r="T101" i="39"/>
  <c r="U101" i="39"/>
  <c r="V101" i="39"/>
  <c r="S102" i="39"/>
  <c r="T102" i="39"/>
  <c r="U102" i="39"/>
  <c r="V102" i="39"/>
  <c r="S103" i="39"/>
  <c r="T103" i="39"/>
  <c r="U103" i="39"/>
  <c r="V103" i="39"/>
  <c r="S104" i="39"/>
  <c r="T104" i="39"/>
  <c r="U104" i="39"/>
  <c r="V104" i="39"/>
  <c r="S105" i="39"/>
  <c r="T105" i="39"/>
  <c r="U105" i="39"/>
  <c r="V105" i="39"/>
  <c r="S106" i="39"/>
  <c r="T106" i="39"/>
  <c r="U106" i="39"/>
  <c r="V106" i="39"/>
  <c r="S107" i="39"/>
  <c r="T107" i="39"/>
  <c r="U107" i="39"/>
  <c r="V107" i="39"/>
  <c r="S108" i="39"/>
  <c r="T108" i="39"/>
  <c r="U108" i="39"/>
  <c r="V108" i="39"/>
  <c r="S109" i="39"/>
  <c r="T109" i="39"/>
  <c r="U109" i="39"/>
  <c r="V109" i="39"/>
  <c r="S110" i="39"/>
  <c r="T110" i="39"/>
  <c r="U110" i="39"/>
  <c r="V110" i="39"/>
  <c r="S111" i="39"/>
  <c r="T111" i="39"/>
  <c r="U111" i="39"/>
  <c r="V111" i="39"/>
  <c r="S112" i="39"/>
  <c r="T112" i="39"/>
  <c r="U112" i="39"/>
  <c r="V112" i="39"/>
  <c r="S113" i="39"/>
  <c r="T113" i="39"/>
  <c r="U113" i="39"/>
  <c r="V113" i="39"/>
  <c r="S114" i="39"/>
  <c r="T114" i="39"/>
  <c r="U114" i="39"/>
  <c r="V114" i="39"/>
  <c r="S115" i="39"/>
  <c r="T115" i="39"/>
  <c r="U115" i="39"/>
  <c r="V115" i="39"/>
  <c r="S116" i="39"/>
  <c r="T116" i="39"/>
  <c r="U116" i="39"/>
  <c r="V116" i="39"/>
  <c r="S117" i="39"/>
  <c r="T117" i="39"/>
  <c r="U117" i="39"/>
  <c r="V117" i="39"/>
  <c r="S118" i="39"/>
  <c r="T118" i="39"/>
  <c r="U118" i="39"/>
  <c r="V118" i="39"/>
  <c r="S119" i="39"/>
  <c r="T119" i="39"/>
  <c r="U119" i="39"/>
  <c r="V119" i="39"/>
  <c r="S120" i="39"/>
  <c r="T120" i="39"/>
  <c r="U120" i="39"/>
  <c r="V120" i="39"/>
  <c r="S121" i="39"/>
  <c r="T121" i="39"/>
  <c r="U121" i="39"/>
  <c r="V121" i="39"/>
  <c r="S122" i="39"/>
  <c r="T122" i="39"/>
  <c r="U122" i="39"/>
  <c r="V122" i="39"/>
  <c r="S123" i="39"/>
  <c r="T123" i="39"/>
  <c r="U123" i="39"/>
  <c r="V123" i="39"/>
  <c r="S124" i="39"/>
  <c r="T124" i="39"/>
  <c r="U124" i="39"/>
  <c r="V124" i="39"/>
  <c r="S125" i="39"/>
  <c r="T125" i="39"/>
  <c r="U125" i="39"/>
  <c r="V125" i="39"/>
  <c r="S126" i="39"/>
  <c r="T126" i="39"/>
  <c r="U126" i="39"/>
  <c r="V126" i="39"/>
  <c r="W83" i="41" l="1"/>
  <c r="W84" i="41"/>
  <c r="W85" i="41"/>
  <c r="W86" i="41"/>
  <c r="W310" i="41"/>
  <c r="W311" i="41"/>
  <c r="W312" i="41"/>
  <c r="W313" i="41"/>
  <c r="W314" i="41"/>
  <c r="W315" i="41"/>
  <c r="W316" i="41"/>
  <c r="W317" i="41"/>
  <c r="W318" i="41"/>
  <c r="W319" i="41"/>
  <c r="W320" i="41"/>
  <c r="W321" i="41"/>
  <c r="W322" i="41"/>
  <c r="W323" i="41"/>
  <c r="W324" i="41"/>
  <c r="W325" i="41"/>
  <c r="W326" i="41"/>
  <c r="W327" i="41"/>
  <c r="W328" i="41"/>
  <c r="W329" i="41"/>
  <c r="W330" i="41"/>
  <c r="W331" i="41"/>
  <c r="W332" i="41"/>
  <c r="W333" i="41"/>
  <c r="W334" i="41"/>
  <c r="W335" i="41"/>
  <c r="W336" i="41"/>
  <c r="W337" i="41"/>
  <c r="W338" i="41"/>
  <c r="W339" i="41"/>
  <c r="W340" i="41"/>
  <c r="W341" i="41"/>
  <c r="W342" i="41"/>
  <c r="W343" i="41"/>
  <c r="W344" i="41"/>
  <c r="W345" i="41"/>
  <c r="W346" i="41"/>
  <c r="W347" i="41"/>
  <c r="W348" i="41"/>
  <c r="W349" i="41"/>
  <c r="W350" i="41"/>
  <c r="W351" i="41"/>
  <c r="W352" i="41"/>
  <c r="W353" i="41"/>
  <c r="W354" i="41"/>
  <c r="W355" i="41"/>
  <c r="W356" i="41"/>
  <c r="W357" i="41"/>
  <c r="W358" i="41"/>
  <c r="W359" i="41"/>
  <c r="W360" i="41"/>
  <c r="W361" i="41"/>
  <c r="W362" i="41"/>
  <c r="W363" i="41"/>
  <c r="W364" i="41"/>
  <c r="W365" i="41"/>
  <c r="W366" i="41"/>
  <c r="W367" i="41"/>
  <c r="W368" i="41"/>
  <c r="W369" i="41"/>
  <c r="W370" i="41"/>
  <c r="W371" i="41"/>
  <c r="W372" i="41"/>
  <c r="W373" i="41"/>
  <c r="W374" i="41"/>
  <c r="W375" i="41"/>
  <c r="W376" i="41"/>
  <c r="W377" i="41"/>
  <c r="W378" i="41"/>
  <c r="W379" i="41"/>
  <c r="W380" i="41"/>
  <c r="W381" i="41"/>
  <c r="W382" i="41"/>
  <c r="W383" i="41"/>
  <c r="W384" i="41"/>
  <c r="W385" i="41"/>
  <c r="W386" i="41"/>
  <c r="W387" i="41"/>
  <c r="W388" i="41"/>
  <c r="W389" i="41"/>
  <c r="W390" i="41"/>
  <c r="W391" i="41"/>
  <c r="W392" i="41"/>
  <c r="W393" i="41"/>
  <c r="W394" i="41"/>
  <c r="W395" i="41"/>
  <c r="W396" i="41"/>
  <c r="W397" i="41"/>
  <c r="W398" i="41"/>
  <c r="W399" i="41"/>
  <c r="W400" i="41"/>
  <c r="W401" i="41"/>
  <c r="W402" i="41"/>
  <c r="W403" i="41"/>
  <c r="W404" i="41"/>
  <c r="W405" i="41"/>
  <c r="W406" i="41"/>
  <c r="W407" i="41"/>
  <c r="W408" i="41"/>
  <c r="W409" i="41"/>
  <c r="W410" i="41"/>
  <c r="W411" i="41"/>
  <c r="W412" i="41"/>
  <c r="W413" i="41"/>
  <c r="W414" i="41"/>
  <c r="W415" i="41"/>
  <c r="W416" i="41"/>
  <c r="W417" i="41"/>
  <c r="W418" i="41"/>
  <c r="W419" i="41"/>
  <c r="W420" i="41"/>
  <c r="W421" i="41"/>
  <c r="W422" i="41"/>
  <c r="W423" i="41"/>
  <c r="W424" i="41"/>
  <c r="W425" i="41"/>
  <c r="W426" i="41"/>
  <c r="W427" i="41"/>
  <c r="W428" i="41"/>
  <c r="W429" i="41"/>
  <c r="W430" i="41"/>
  <c r="W431" i="41"/>
  <c r="W432" i="41"/>
  <c r="W433" i="41"/>
  <c r="W434" i="41"/>
  <c r="W435" i="41"/>
  <c r="W436" i="41"/>
  <c r="W437" i="41"/>
  <c r="W438" i="41"/>
  <c r="W439" i="41"/>
  <c r="W440" i="41"/>
  <c r="W441" i="41"/>
  <c r="W442" i="41"/>
  <c r="W443" i="41"/>
  <c r="W444" i="41"/>
  <c r="W445" i="41"/>
  <c r="W446" i="41"/>
  <c r="W447" i="41"/>
  <c r="W448" i="41"/>
  <c r="W449" i="41"/>
  <c r="W450" i="41"/>
  <c r="W451" i="41"/>
  <c r="W452" i="41"/>
  <c r="W453" i="41"/>
  <c r="W454" i="41"/>
  <c r="W455" i="41"/>
  <c r="W456" i="41"/>
  <c r="W457" i="41"/>
  <c r="W458" i="41"/>
  <c r="W459" i="41"/>
  <c r="W460" i="41"/>
  <c r="W461" i="41"/>
  <c r="W462" i="41"/>
  <c r="W463" i="41"/>
  <c r="W464" i="41"/>
  <c r="W465" i="41"/>
  <c r="W466" i="41"/>
  <c r="W467" i="41"/>
  <c r="W468" i="41"/>
  <c r="W469" i="41"/>
  <c r="W470" i="41"/>
  <c r="W471" i="41"/>
  <c r="W472" i="41"/>
  <c r="W473" i="41"/>
  <c r="W474" i="41"/>
  <c r="W475" i="41"/>
  <c r="W476" i="41"/>
  <c r="W477" i="41"/>
  <c r="W478" i="41"/>
  <c r="W479" i="41"/>
  <c r="W480" i="41"/>
  <c r="W481" i="41"/>
  <c r="W482" i="41"/>
  <c r="W102" i="41"/>
  <c r="W103" i="41"/>
  <c r="W104" i="41"/>
  <c r="W105" i="41"/>
  <c r="W87" i="41"/>
  <c r="W483" i="41"/>
  <c r="W484" i="41"/>
  <c r="W485" i="41"/>
  <c r="W486" i="41"/>
  <c r="W487" i="41"/>
  <c r="W488" i="41"/>
  <c r="W489" i="41"/>
  <c r="W490" i="41"/>
  <c r="W106" i="41"/>
  <c r="W107" i="41"/>
  <c r="W108" i="41"/>
  <c r="W109" i="41"/>
  <c r="W110" i="41"/>
  <c r="W111" i="41"/>
  <c r="W112" i="41"/>
  <c r="W113" i="41"/>
  <c r="W114" i="41"/>
  <c r="W115" i="41"/>
  <c r="W116" i="41"/>
  <c r="W117" i="41"/>
  <c r="W118" i="41"/>
  <c r="W119" i="41"/>
  <c r="W120" i="41"/>
  <c r="W121" i="41"/>
  <c r="W122" i="41"/>
  <c r="W123" i="41"/>
  <c r="W124" i="41"/>
  <c r="W125" i="41"/>
  <c r="W126" i="41"/>
  <c r="W127" i="41"/>
  <c r="W128" i="41"/>
  <c r="W129" i="41"/>
  <c r="W130" i="41"/>
  <c r="W131" i="41"/>
  <c r="W132" i="41"/>
  <c r="W133" i="41"/>
  <c r="W134" i="41"/>
  <c r="W135" i="41"/>
  <c r="W136" i="41"/>
  <c r="W137" i="41"/>
  <c r="W138" i="41"/>
  <c r="W139" i="41"/>
  <c r="W140" i="41"/>
  <c r="W141" i="41"/>
  <c r="W142" i="41"/>
  <c r="W143" i="41"/>
  <c r="W144" i="41"/>
  <c r="W145" i="41"/>
  <c r="W146" i="41"/>
  <c r="W147" i="41"/>
  <c r="W148" i="41"/>
  <c r="W149" i="41"/>
  <c r="W150" i="41"/>
  <c r="W151" i="41"/>
  <c r="W152" i="41"/>
  <c r="W153" i="41"/>
  <c r="W154" i="41"/>
  <c r="W155" i="41"/>
  <c r="W156" i="41"/>
  <c r="W157" i="41"/>
  <c r="W158" i="41"/>
  <c r="W159" i="41"/>
  <c r="W160" i="41"/>
  <c r="W161" i="41"/>
  <c r="W162" i="41"/>
  <c r="W163" i="41"/>
  <c r="W164" i="41"/>
  <c r="W165" i="41"/>
  <c r="W166" i="41"/>
  <c r="W167" i="41"/>
  <c r="W168" i="41"/>
  <c r="W169" i="41"/>
  <c r="W170" i="41"/>
  <c r="W171" i="41"/>
  <c r="W172" i="41"/>
  <c r="W173" i="41"/>
  <c r="W174" i="41"/>
  <c r="W175" i="41"/>
  <c r="W176" i="41"/>
  <c r="W177" i="41"/>
  <c r="W178" i="41"/>
  <c r="W179" i="41"/>
  <c r="W180" i="41"/>
  <c r="W181" i="41"/>
  <c r="W182" i="41"/>
  <c r="W183" i="41"/>
  <c r="W184" i="41"/>
  <c r="W185" i="41"/>
  <c r="W186" i="41"/>
  <c r="W187" i="41"/>
  <c r="W188" i="41"/>
  <c r="W189" i="41"/>
  <c r="W190" i="41"/>
  <c r="W191" i="41"/>
  <c r="W192" i="41"/>
  <c r="W193" i="41"/>
  <c r="W194" i="41"/>
  <c r="W195" i="41"/>
  <c r="W196" i="41"/>
  <c r="W197" i="41"/>
  <c r="W198" i="41"/>
  <c r="W199" i="41"/>
  <c r="W200" i="41"/>
  <c r="W201" i="41"/>
  <c r="W202" i="41"/>
  <c r="W203" i="41"/>
  <c r="W204" i="41"/>
  <c r="W205" i="41"/>
  <c r="W206" i="41"/>
  <c r="W207" i="41"/>
  <c r="W208" i="41"/>
  <c r="W209" i="41"/>
  <c r="W210" i="41"/>
  <c r="W211" i="41"/>
  <c r="W212" i="41"/>
  <c r="W213" i="41"/>
  <c r="W214" i="41"/>
  <c r="W215" i="41"/>
  <c r="W216" i="41"/>
  <c r="W217" i="41"/>
  <c r="W218" i="41"/>
  <c r="W219" i="41"/>
  <c r="W220" i="41"/>
  <c r="W221" i="41"/>
  <c r="W222" i="41"/>
  <c r="W223" i="41"/>
  <c r="W224" i="41"/>
  <c r="W225" i="41"/>
  <c r="W226" i="41"/>
  <c r="W227" i="41"/>
  <c r="W228" i="41"/>
  <c r="W229" i="41"/>
  <c r="W230" i="41"/>
  <c r="W231" i="41"/>
  <c r="W232" i="41"/>
  <c r="W233" i="41"/>
  <c r="W234" i="41"/>
  <c r="W235" i="41"/>
  <c r="W236" i="41"/>
  <c r="W237" i="41"/>
  <c r="W238" i="41"/>
  <c r="W239" i="41"/>
  <c r="W240" i="41"/>
  <c r="W241" i="41"/>
  <c r="W242" i="41"/>
  <c r="W243" i="41"/>
  <c r="W244" i="41"/>
  <c r="W245" i="41"/>
  <c r="W246" i="41"/>
  <c r="W247" i="41"/>
  <c r="W248" i="41"/>
  <c r="W249" i="41"/>
  <c r="W250" i="41"/>
  <c r="W251" i="41"/>
  <c r="W252" i="41"/>
  <c r="W253" i="41"/>
  <c r="W254" i="41"/>
  <c r="W255" i="41"/>
  <c r="W256" i="41"/>
  <c r="W257" i="41"/>
  <c r="W258" i="41"/>
  <c r="W259" i="41"/>
  <c r="W260" i="41"/>
  <c r="W261" i="41"/>
  <c r="W262" i="41"/>
  <c r="W263" i="41"/>
  <c r="W264" i="41"/>
  <c r="W265" i="41"/>
  <c r="W266" i="41"/>
  <c r="W491" i="41"/>
  <c r="W492" i="41"/>
  <c r="W88" i="41"/>
  <c r="W89" i="41"/>
  <c r="W493" i="41"/>
  <c r="W494" i="41"/>
  <c r="W495" i="41"/>
  <c r="W267" i="41"/>
  <c r="W90" i="41"/>
  <c r="W268" i="41"/>
  <c r="W269" i="41"/>
  <c r="W270" i="41"/>
  <c r="W271" i="41"/>
  <c r="W272" i="41"/>
  <c r="W273" i="41"/>
  <c r="W274" i="41"/>
  <c r="W275" i="41"/>
  <c r="W276" i="41"/>
  <c r="W277" i="41"/>
  <c r="W278" i="41"/>
  <c r="W279" i="41"/>
  <c r="W280" i="41"/>
  <c r="W298" i="41"/>
  <c r="W299" i="41"/>
  <c r="W300" i="41"/>
  <c r="W301" i="41"/>
  <c r="W302" i="41"/>
  <c r="W303" i="41"/>
  <c r="W304" i="41"/>
  <c r="W281" i="41"/>
  <c r="W91" i="41"/>
  <c r="W92" i="41"/>
  <c r="W282" i="41"/>
  <c r="W283" i="41"/>
  <c r="W93" i="41"/>
  <c r="W94" i="41"/>
  <c r="W95" i="41"/>
  <c r="W96" i="41"/>
  <c r="W97" i="41"/>
  <c r="W98" i="41"/>
  <c r="W284" i="41"/>
  <c r="W285" i="41"/>
  <c r="W286" i="41"/>
  <c r="W287" i="41"/>
  <c r="W496" i="41"/>
  <c r="W288" i="41"/>
  <c r="W289" i="41"/>
  <c r="W290" i="41"/>
  <c r="W291" i="41"/>
  <c r="W292" i="41"/>
  <c r="W293" i="41"/>
  <c r="W294" i="41"/>
  <c r="W295" i="41"/>
  <c r="W296" i="41"/>
  <c r="W297" i="41"/>
  <c r="W305" i="41"/>
  <c r="W497" i="41"/>
  <c r="W498" i="41"/>
  <c r="W499" i="41"/>
  <c r="W500" i="41"/>
  <c r="W501" i="41"/>
  <c r="W502" i="41"/>
  <c r="W99" i="41"/>
  <c r="W100" i="41"/>
  <c r="W101" i="41"/>
  <c r="W306" i="41"/>
  <c r="W307" i="41"/>
  <c r="W308" i="41"/>
  <c r="W309" i="41"/>
  <c r="W503" i="41"/>
  <c r="W4" i="41"/>
  <c r="W5" i="41"/>
  <c r="W6" i="41"/>
  <c r="W7" i="41"/>
  <c r="W8" i="41"/>
  <c r="W9" i="41"/>
  <c r="W10" i="41"/>
  <c r="W11" i="41"/>
  <c r="W12" i="41"/>
  <c r="W13" i="41"/>
  <c r="W14" i="41"/>
  <c r="W15" i="41"/>
  <c r="W16" i="41"/>
  <c r="W17" i="41"/>
  <c r="W18" i="41"/>
  <c r="W19" i="41"/>
  <c r="W20" i="41"/>
  <c r="W21" i="41"/>
  <c r="W22" i="41"/>
  <c r="W23" i="41"/>
  <c r="W24" i="41"/>
  <c r="W25" i="41"/>
  <c r="W26" i="41"/>
  <c r="W27" i="41"/>
  <c r="W28" i="41"/>
  <c r="W504" i="41"/>
  <c r="W505" i="41"/>
  <c r="W506" i="41"/>
  <c r="W507" i="41"/>
  <c r="W508" i="41"/>
  <c r="W509" i="41"/>
  <c r="W510" i="41"/>
  <c r="W511" i="41"/>
  <c r="W512" i="41"/>
  <c r="W513" i="41"/>
  <c r="W514" i="41"/>
  <c r="W515" i="41"/>
  <c r="W516" i="41"/>
  <c r="W517" i="41"/>
  <c r="W518" i="41"/>
  <c r="W519" i="41"/>
  <c r="W520" i="41"/>
  <c r="W521" i="41"/>
  <c r="W522" i="41"/>
  <c r="W523" i="41"/>
  <c r="W524" i="41"/>
  <c r="W525" i="41"/>
  <c r="W29" i="41"/>
  <c r="W30" i="41"/>
  <c r="W31" i="41"/>
  <c r="W32" i="41"/>
  <c r="W33" i="41"/>
  <c r="W34" i="41"/>
  <c r="W35" i="41"/>
  <c r="W36" i="41"/>
  <c r="W37" i="41"/>
  <c r="W38" i="41"/>
  <c r="W39" i="41"/>
  <c r="W40" i="41"/>
  <c r="W41" i="41"/>
  <c r="W42" i="41"/>
  <c r="W43" i="41"/>
  <c r="W44" i="41"/>
  <c r="W45" i="41"/>
  <c r="W46" i="41"/>
  <c r="W47" i="41"/>
  <c r="W48" i="41"/>
  <c r="W49" i="41"/>
  <c r="W50" i="41"/>
  <c r="W51" i="41"/>
  <c r="W52" i="41"/>
  <c r="W53" i="41"/>
  <c r="W54" i="41"/>
  <c r="W55" i="41"/>
  <c r="W56" i="41"/>
  <c r="W57" i="41"/>
  <c r="W58" i="41"/>
  <c r="W59" i="41"/>
  <c r="W60" i="41"/>
  <c r="W61" i="41"/>
  <c r="W62" i="41"/>
  <c r="W63" i="41"/>
  <c r="W64" i="41"/>
  <c r="W65" i="41"/>
  <c r="W66" i="41"/>
  <c r="W67" i="41"/>
  <c r="W68" i="41"/>
  <c r="W69" i="41"/>
  <c r="W70" i="41"/>
  <c r="W71" i="41"/>
  <c r="W72" i="41"/>
  <c r="W73" i="41"/>
  <c r="W74" i="41"/>
  <c r="W75" i="41"/>
  <c r="W76" i="41"/>
  <c r="W77" i="41"/>
  <c r="W78" i="41"/>
  <c r="W79" i="41"/>
  <c r="W80" i="41"/>
  <c r="W81" i="41"/>
  <c r="W82" i="41"/>
  <c r="V83" i="41" l="1"/>
  <c r="V84" i="41"/>
  <c r="V85" i="41"/>
  <c r="V86" i="41"/>
  <c r="V310" i="41"/>
  <c r="V311" i="41"/>
  <c r="V312" i="41"/>
  <c r="V313" i="41"/>
  <c r="V314" i="41"/>
  <c r="V315" i="41"/>
  <c r="V316" i="41"/>
  <c r="V317" i="41"/>
  <c r="V318" i="41"/>
  <c r="V319" i="41"/>
  <c r="V320" i="41"/>
  <c r="V321" i="41"/>
  <c r="V322" i="41"/>
  <c r="V323" i="41"/>
  <c r="V324" i="41"/>
  <c r="V325" i="41"/>
  <c r="V326" i="41"/>
  <c r="V327" i="41"/>
  <c r="V328" i="41"/>
  <c r="V329" i="41"/>
  <c r="V330" i="41"/>
  <c r="V331" i="41"/>
  <c r="V332" i="41"/>
  <c r="V333" i="41"/>
  <c r="V334" i="41"/>
  <c r="V335" i="41"/>
  <c r="V336" i="41"/>
  <c r="V337" i="41"/>
  <c r="V338" i="41"/>
  <c r="V339" i="41"/>
  <c r="V340" i="41"/>
  <c r="V341" i="41"/>
  <c r="V342" i="41"/>
  <c r="V343" i="41"/>
  <c r="V344" i="41"/>
  <c r="V345" i="41"/>
  <c r="V346" i="41"/>
  <c r="V347" i="41"/>
  <c r="V348" i="41"/>
  <c r="V349" i="41"/>
  <c r="V350" i="41"/>
  <c r="V351" i="41"/>
  <c r="V352" i="41"/>
  <c r="V353" i="41"/>
  <c r="V354" i="41"/>
  <c r="V355" i="41"/>
  <c r="V356" i="41"/>
  <c r="V357" i="41"/>
  <c r="V358" i="41"/>
  <c r="V359" i="41"/>
  <c r="V360" i="41"/>
  <c r="V361" i="41"/>
  <c r="V362" i="41"/>
  <c r="V363" i="41"/>
  <c r="V364" i="41"/>
  <c r="V365" i="41"/>
  <c r="V366" i="41"/>
  <c r="V367" i="41"/>
  <c r="V368" i="41"/>
  <c r="V369" i="41"/>
  <c r="V370" i="41"/>
  <c r="V371" i="41"/>
  <c r="V372" i="41"/>
  <c r="V373" i="41"/>
  <c r="V374" i="41"/>
  <c r="V375" i="41"/>
  <c r="V376" i="41"/>
  <c r="V377" i="41"/>
  <c r="V378" i="41"/>
  <c r="V379" i="41"/>
  <c r="V380" i="41"/>
  <c r="V381" i="41"/>
  <c r="V382" i="41"/>
  <c r="V383" i="41"/>
  <c r="V384" i="41"/>
  <c r="V385" i="41"/>
  <c r="V386" i="41"/>
  <c r="V387" i="41"/>
  <c r="V388" i="41"/>
  <c r="V389" i="41"/>
  <c r="V390" i="41"/>
  <c r="V391" i="41"/>
  <c r="V392" i="41"/>
  <c r="V393" i="41"/>
  <c r="V394" i="41"/>
  <c r="V395" i="41"/>
  <c r="V396" i="41"/>
  <c r="V397" i="41"/>
  <c r="V398" i="41"/>
  <c r="V399" i="41"/>
  <c r="V400" i="41"/>
  <c r="V401" i="41"/>
  <c r="V402" i="41"/>
  <c r="V403" i="41"/>
  <c r="V404" i="41"/>
  <c r="V405" i="41"/>
  <c r="V406" i="41"/>
  <c r="V407" i="41"/>
  <c r="V408" i="41"/>
  <c r="V409" i="41"/>
  <c r="V410" i="41"/>
  <c r="V411" i="41"/>
  <c r="V412" i="41"/>
  <c r="V413" i="41"/>
  <c r="V414" i="41"/>
  <c r="V415" i="41"/>
  <c r="V416" i="41"/>
  <c r="V417" i="41"/>
  <c r="V418" i="41"/>
  <c r="V419" i="41"/>
  <c r="V420" i="41"/>
  <c r="V421" i="41"/>
  <c r="V422" i="41"/>
  <c r="V423" i="41"/>
  <c r="V424" i="41"/>
  <c r="V425" i="41"/>
  <c r="V426" i="41"/>
  <c r="V427" i="41"/>
  <c r="V428" i="41"/>
  <c r="V429" i="41"/>
  <c r="V430" i="41"/>
  <c r="V431" i="41"/>
  <c r="V432" i="41"/>
  <c r="V433" i="41"/>
  <c r="V434" i="41"/>
  <c r="V435" i="41"/>
  <c r="V436" i="41"/>
  <c r="V437" i="41"/>
  <c r="V438" i="41"/>
  <c r="V439" i="41"/>
  <c r="V440" i="41"/>
  <c r="V441" i="41"/>
  <c r="V442" i="41"/>
  <c r="V443" i="41"/>
  <c r="V444" i="41"/>
  <c r="V445" i="41"/>
  <c r="V446" i="41"/>
  <c r="V447" i="41"/>
  <c r="V448" i="41"/>
  <c r="V449" i="41"/>
  <c r="V450" i="41"/>
  <c r="V451" i="41"/>
  <c r="V452" i="41"/>
  <c r="V453" i="41"/>
  <c r="V454" i="41"/>
  <c r="V455" i="41"/>
  <c r="V456" i="41"/>
  <c r="V457" i="41"/>
  <c r="V458" i="41"/>
  <c r="V459" i="41"/>
  <c r="V460" i="41"/>
  <c r="V461" i="41"/>
  <c r="V462" i="41"/>
  <c r="V463" i="41"/>
  <c r="V464" i="41"/>
  <c r="V465" i="41"/>
  <c r="V466" i="41"/>
  <c r="V467" i="41"/>
  <c r="V468" i="41"/>
  <c r="V469" i="41"/>
  <c r="V470" i="41"/>
  <c r="V471" i="41"/>
  <c r="V472" i="41"/>
  <c r="V473" i="41"/>
  <c r="V474" i="41"/>
  <c r="V475" i="41"/>
  <c r="V476" i="41"/>
  <c r="V477" i="41"/>
  <c r="V478" i="41"/>
  <c r="V479" i="41"/>
  <c r="V480" i="41"/>
  <c r="V481" i="41"/>
  <c r="V482" i="41"/>
  <c r="V102" i="41"/>
  <c r="V103" i="41"/>
  <c r="V104" i="41"/>
  <c r="V105" i="41"/>
  <c r="V87" i="41"/>
  <c r="V483" i="41"/>
  <c r="V484" i="41"/>
  <c r="V485" i="41"/>
  <c r="V486" i="41"/>
  <c r="V487" i="41"/>
  <c r="V488" i="41"/>
  <c r="V489" i="41"/>
  <c r="V490" i="41"/>
  <c r="V106" i="41"/>
  <c r="V107" i="41"/>
  <c r="V108" i="41"/>
  <c r="V109" i="41"/>
  <c r="V110" i="41"/>
  <c r="V111" i="41"/>
  <c r="V112" i="41"/>
  <c r="V113" i="41"/>
  <c r="V114" i="41"/>
  <c r="V115" i="41"/>
  <c r="V116" i="41"/>
  <c r="V117" i="41"/>
  <c r="V118" i="41"/>
  <c r="V119" i="41"/>
  <c r="V120" i="41"/>
  <c r="V121" i="41"/>
  <c r="V122" i="41"/>
  <c r="V123" i="41"/>
  <c r="V124" i="41"/>
  <c r="V125" i="41"/>
  <c r="V126" i="41"/>
  <c r="V127" i="41"/>
  <c r="V128" i="41"/>
  <c r="V129" i="41"/>
  <c r="V130" i="41"/>
  <c r="V131" i="41"/>
  <c r="V132" i="41"/>
  <c r="V133" i="41"/>
  <c r="V134" i="41"/>
  <c r="V135" i="41"/>
  <c r="V136" i="41"/>
  <c r="V137" i="41"/>
  <c r="V138" i="41"/>
  <c r="V139" i="41"/>
  <c r="V140" i="41"/>
  <c r="V141" i="41"/>
  <c r="V142" i="41"/>
  <c r="V143" i="41"/>
  <c r="V144" i="41"/>
  <c r="V145" i="41"/>
  <c r="V146" i="41"/>
  <c r="V147" i="41"/>
  <c r="V148" i="41"/>
  <c r="V149" i="41"/>
  <c r="V150" i="41"/>
  <c r="V151" i="41"/>
  <c r="V152" i="41"/>
  <c r="V153" i="41"/>
  <c r="V154" i="41"/>
  <c r="V155" i="41"/>
  <c r="V156" i="41"/>
  <c r="V157" i="41"/>
  <c r="V158" i="41"/>
  <c r="V159" i="41"/>
  <c r="V160" i="41"/>
  <c r="V161" i="41"/>
  <c r="V162" i="41"/>
  <c r="V163" i="41"/>
  <c r="V164" i="41"/>
  <c r="V165" i="41"/>
  <c r="V166" i="41"/>
  <c r="V167" i="41"/>
  <c r="V168" i="41"/>
  <c r="V169" i="41"/>
  <c r="V170" i="41"/>
  <c r="V171" i="41"/>
  <c r="V172" i="41"/>
  <c r="V173" i="41"/>
  <c r="V174" i="41"/>
  <c r="V175" i="41"/>
  <c r="V176" i="41"/>
  <c r="V177" i="41"/>
  <c r="V178" i="41"/>
  <c r="V179" i="41"/>
  <c r="V180" i="41"/>
  <c r="V181" i="41"/>
  <c r="V182" i="41"/>
  <c r="V183" i="41"/>
  <c r="V184" i="41"/>
  <c r="V185" i="41"/>
  <c r="V186" i="41"/>
  <c r="V187" i="41"/>
  <c r="V188" i="41"/>
  <c r="V189" i="41"/>
  <c r="V190" i="41"/>
  <c r="V191" i="41"/>
  <c r="V192" i="41"/>
  <c r="V193" i="41"/>
  <c r="V194" i="41"/>
  <c r="V195" i="41"/>
  <c r="V196" i="41"/>
  <c r="V197" i="41"/>
  <c r="V198" i="41"/>
  <c r="V199" i="41"/>
  <c r="V200" i="41"/>
  <c r="V201" i="41"/>
  <c r="V202" i="41"/>
  <c r="V203" i="41"/>
  <c r="V204" i="41"/>
  <c r="V205" i="41"/>
  <c r="V206" i="41"/>
  <c r="V207" i="41"/>
  <c r="V208" i="41"/>
  <c r="V209" i="41"/>
  <c r="V210" i="41"/>
  <c r="V211" i="41"/>
  <c r="V212" i="41"/>
  <c r="V213" i="41"/>
  <c r="V214" i="41"/>
  <c r="V215" i="41"/>
  <c r="V216" i="41"/>
  <c r="V217" i="41"/>
  <c r="V218" i="41"/>
  <c r="V219" i="41"/>
  <c r="V220" i="41"/>
  <c r="V221" i="41"/>
  <c r="V222" i="41"/>
  <c r="V223" i="41"/>
  <c r="V224" i="41"/>
  <c r="V225" i="41"/>
  <c r="V226" i="41"/>
  <c r="V227" i="41"/>
  <c r="V228" i="41"/>
  <c r="V229" i="41"/>
  <c r="V230" i="41"/>
  <c r="V231" i="41"/>
  <c r="V232" i="41"/>
  <c r="V233" i="41"/>
  <c r="V234" i="41"/>
  <c r="V235" i="41"/>
  <c r="V236" i="41"/>
  <c r="V237" i="41"/>
  <c r="V238" i="41"/>
  <c r="V239" i="41"/>
  <c r="V240" i="41"/>
  <c r="V241" i="41"/>
  <c r="V242" i="41"/>
  <c r="V243" i="41"/>
  <c r="V244" i="41"/>
  <c r="V245" i="41"/>
  <c r="V246" i="41"/>
  <c r="V247" i="41"/>
  <c r="V248" i="41"/>
  <c r="V249" i="41"/>
  <c r="V250" i="41"/>
  <c r="V251" i="41"/>
  <c r="V252" i="41"/>
  <c r="V253" i="41"/>
  <c r="V254" i="41"/>
  <c r="V255" i="41"/>
  <c r="V256" i="41"/>
  <c r="V257" i="41"/>
  <c r="V258" i="41"/>
  <c r="V259" i="41"/>
  <c r="V260" i="41"/>
  <c r="V261" i="41"/>
  <c r="V262" i="41"/>
  <c r="V263" i="41"/>
  <c r="V264" i="41"/>
  <c r="V265" i="41"/>
  <c r="V266" i="41"/>
  <c r="V491" i="41"/>
  <c r="V492" i="41"/>
  <c r="V88" i="41"/>
  <c r="V89" i="41"/>
  <c r="V493" i="41"/>
  <c r="V494" i="41"/>
  <c r="V495" i="41"/>
  <c r="V267" i="41"/>
  <c r="V90" i="41"/>
  <c r="V268" i="41"/>
  <c r="V269" i="41"/>
  <c r="V270" i="41"/>
  <c r="V271" i="41"/>
  <c r="V272" i="41"/>
  <c r="V273" i="41"/>
  <c r="V274" i="41"/>
  <c r="V275" i="41"/>
  <c r="V276" i="41"/>
  <c r="V277" i="41"/>
  <c r="V278" i="41"/>
  <c r="V279" i="41"/>
  <c r="V280" i="41"/>
  <c r="V298" i="41"/>
  <c r="V299" i="41"/>
  <c r="V300" i="41"/>
  <c r="V301" i="41"/>
  <c r="V302" i="41"/>
  <c r="V303" i="41"/>
  <c r="V304" i="41"/>
  <c r="V281" i="41"/>
  <c r="V91" i="41"/>
  <c r="V92" i="41"/>
  <c r="V282" i="41"/>
  <c r="V283" i="41"/>
  <c r="V93" i="41"/>
  <c r="V94" i="41"/>
  <c r="V95" i="41"/>
  <c r="V96" i="41"/>
  <c r="V97" i="41"/>
  <c r="V98" i="41"/>
  <c r="V284" i="41"/>
  <c r="V285" i="41"/>
  <c r="V286" i="41"/>
  <c r="V287" i="41"/>
  <c r="V496" i="41"/>
  <c r="V288" i="41"/>
  <c r="V289" i="41"/>
  <c r="V290" i="41"/>
  <c r="V291" i="41"/>
  <c r="V292" i="41"/>
  <c r="V293" i="41"/>
  <c r="V294" i="41"/>
  <c r="V295" i="41"/>
  <c r="V296" i="41"/>
  <c r="V297" i="41"/>
  <c r="V305" i="41"/>
  <c r="V497" i="41"/>
  <c r="V498" i="41"/>
  <c r="V499" i="41"/>
  <c r="V500" i="41"/>
  <c r="V501" i="41"/>
  <c r="V502" i="41"/>
  <c r="V99" i="41"/>
  <c r="V100" i="41"/>
  <c r="V101" i="41"/>
  <c r="V306" i="41"/>
  <c r="V307" i="41"/>
  <c r="V308" i="41"/>
  <c r="V309" i="41"/>
  <c r="V503" i="41"/>
  <c r="V4" i="41"/>
  <c r="V5" i="41"/>
  <c r="V6" i="41"/>
  <c r="V7" i="41"/>
  <c r="V8" i="41"/>
  <c r="V9" i="41"/>
  <c r="V10" i="41"/>
  <c r="V11" i="41"/>
  <c r="V12" i="41"/>
  <c r="V13" i="41"/>
  <c r="V14" i="41"/>
  <c r="V15" i="41"/>
  <c r="V16" i="41"/>
  <c r="V17" i="41"/>
  <c r="V18" i="41"/>
  <c r="V19" i="41"/>
  <c r="V20" i="41"/>
  <c r="V21" i="41"/>
  <c r="V22" i="41"/>
  <c r="V23" i="41"/>
  <c r="V24" i="41"/>
  <c r="V25" i="41"/>
  <c r="V26" i="41"/>
  <c r="V27" i="41"/>
  <c r="V28" i="41"/>
  <c r="V504" i="41"/>
  <c r="V505" i="41"/>
  <c r="V506" i="41"/>
  <c r="V507" i="41"/>
  <c r="V508" i="41"/>
  <c r="V509" i="41"/>
  <c r="V510" i="41"/>
  <c r="V511" i="41"/>
  <c r="V512" i="41"/>
  <c r="V513" i="41"/>
  <c r="V514" i="41"/>
  <c r="V515" i="41"/>
  <c r="V516" i="41"/>
  <c r="V517" i="41"/>
  <c r="V518" i="41"/>
  <c r="V519" i="41"/>
  <c r="V520" i="41"/>
  <c r="V521" i="41"/>
  <c r="V522" i="41"/>
  <c r="V523" i="41"/>
  <c r="V524" i="41"/>
  <c r="V525" i="41"/>
  <c r="V29" i="41"/>
  <c r="V30" i="41"/>
  <c r="V31" i="41"/>
  <c r="V32" i="41"/>
  <c r="V33" i="41"/>
  <c r="V34" i="41"/>
  <c r="V35" i="41"/>
  <c r="V36" i="41"/>
  <c r="V37" i="41"/>
  <c r="V38" i="41"/>
  <c r="V39" i="41"/>
  <c r="V40" i="41"/>
  <c r="V41" i="41"/>
  <c r="V42" i="41"/>
  <c r="V43" i="41"/>
  <c r="V44" i="41"/>
  <c r="V45" i="41"/>
  <c r="V46" i="41"/>
  <c r="V47" i="41"/>
  <c r="V48" i="41"/>
  <c r="V49" i="41"/>
  <c r="V50" i="41"/>
  <c r="V51" i="41"/>
  <c r="V52" i="41"/>
  <c r="V53" i="41"/>
  <c r="V54" i="41"/>
  <c r="V55" i="41"/>
  <c r="V56" i="41"/>
  <c r="V57" i="41"/>
  <c r="V58" i="41"/>
  <c r="V59" i="41"/>
  <c r="V60" i="41"/>
  <c r="V61" i="41"/>
  <c r="V62" i="41"/>
  <c r="V63" i="41"/>
  <c r="V64" i="41"/>
  <c r="V65" i="41"/>
  <c r="V66" i="41"/>
  <c r="V67" i="41"/>
  <c r="V68" i="41"/>
  <c r="V69" i="41"/>
  <c r="V70" i="41"/>
  <c r="V71" i="41"/>
  <c r="V72" i="41"/>
  <c r="V73" i="41"/>
  <c r="V74" i="41"/>
  <c r="V75" i="41"/>
  <c r="V76" i="41"/>
  <c r="V77" i="41"/>
  <c r="V78" i="41"/>
  <c r="V79" i="41"/>
  <c r="V80" i="41"/>
  <c r="V81" i="41"/>
  <c r="V82" i="41"/>
  <c r="U83" i="41"/>
  <c r="U84" i="41"/>
  <c r="U85" i="41"/>
  <c r="U86" i="41"/>
  <c r="U310" i="41"/>
  <c r="U311" i="41"/>
  <c r="U312" i="41"/>
  <c r="U313" i="41"/>
  <c r="U314" i="41"/>
  <c r="U315" i="41"/>
  <c r="U316" i="41"/>
  <c r="U317" i="41"/>
  <c r="U318" i="41"/>
  <c r="U319" i="41"/>
  <c r="U320" i="41"/>
  <c r="U321" i="41"/>
  <c r="U322" i="41"/>
  <c r="U323" i="41"/>
  <c r="U324" i="41"/>
  <c r="U325" i="41"/>
  <c r="U326" i="41"/>
  <c r="U327" i="41"/>
  <c r="U328" i="41"/>
  <c r="U329" i="41"/>
  <c r="U330" i="41"/>
  <c r="U331" i="41"/>
  <c r="U332" i="41"/>
  <c r="U333" i="41"/>
  <c r="U334" i="41"/>
  <c r="U335" i="41"/>
  <c r="U336" i="41"/>
  <c r="U337" i="41"/>
  <c r="U338" i="41"/>
  <c r="U339" i="41"/>
  <c r="U340" i="41"/>
  <c r="U341" i="41"/>
  <c r="U342" i="41"/>
  <c r="U343" i="41"/>
  <c r="U344" i="41"/>
  <c r="U345" i="41"/>
  <c r="U346" i="41"/>
  <c r="U347" i="41"/>
  <c r="U348" i="41"/>
  <c r="U349" i="41"/>
  <c r="U350" i="41"/>
  <c r="U351" i="41"/>
  <c r="U352" i="41"/>
  <c r="U353" i="41"/>
  <c r="U354" i="41"/>
  <c r="U355" i="41"/>
  <c r="U356" i="41"/>
  <c r="U357" i="41"/>
  <c r="U358" i="41"/>
  <c r="U359" i="41"/>
  <c r="U360" i="41"/>
  <c r="U361" i="41"/>
  <c r="U362" i="41"/>
  <c r="U363" i="41"/>
  <c r="U364" i="41"/>
  <c r="U365" i="41"/>
  <c r="U366" i="41"/>
  <c r="U367" i="41"/>
  <c r="U368" i="41"/>
  <c r="U369" i="41"/>
  <c r="U370" i="41"/>
  <c r="U371" i="41"/>
  <c r="U372" i="41"/>
  <c r="U373" i="41"/>
  <c r="U374" i="41"/>
  <c r="U375" i="41"/>
  <c r="U376" i="41"/>
  <c r="U377" i="41"/>
  <c r="U378" i="41"/>
  <c r="U379" i="41"/>
  <c r="U380" i="41"/>
  <c r="U381" i="41"/>
  <c r="U382" i="41"/>
  <c r="U383" i="41"/>
  <c r="U384" i="41"/>
  <c r="U385" i="41"/>
  <c r="U386" i="41"/>
  <c r="U387" i="41"/>
  <c r="U388" i="41"/>
  <c r="U389" i="41"/>
  <c r="U390" i="41"/>
  <c r="U391" i="41"/>
  <c r="U392" i="41"/>
  <c r="U393" i="41"/>
  <c r="U394" i="41"/>
  <c r="U395" i="41"/>
  <c r="U396" i="41"/>
  <c r="U397" i="41"/>
  <c r="U398" i="41"/>
  <c r="U399" i="41"/>
  <c r="U400" i="41"/>
  <c r="U401" i="41"/>
  <c r="U402" i="41"/>
  <c r="U403" i="41"/>
  <c r="U404" i="41"/>
  <c r="U405" i="41"/>
  <c r="U406" i="41"/>
  <c r="U407" i="41"/>
  <c r="U408" i="41"/>
  <c r="U409" i="41"/>
  <c r="U410" i="41"/>
  <c r="U411" i="41"/>
  <c r="U412" i="41"/>
  <c r="U413" i="41"/>
  <c r="U414" i="41"/>
  <c r="U415" i="41"/>
  <c r="U416" i="41"/>
  <c r="U417" i="41"/>
  <c r="U418" i="41"/>
  <c r="U419" i="41"/>
  <c r="U420" i="41"/>
  <c r="U421" i="41"/>
  <c r="U422" i="41"/>
  <c r="U423" i="41"/>
  <c r="U424" i="41"/>
  <c r="U425" i="41"/>
  <c r="U426" i="41"/>
  <c r="U427" i="41"/>
  <c r="U428" i="41"/>
  <c r="U429" i="41"/>
  <c r="U430" i="41"/>
  <c r="U431" i="41"/>
  <c r="U432" i="41"/>
  <c r="U433" i="41"/>
  <c r="U434" i="41"/>
  <c r="U435" i="41"/>
  <c r="U436" i="41"/>
  <c r="U437" i="41"/>
  <c r="U438" i="41"/>
  <c r="U439" i="41"/>
  <c r="U440" i="41"/>
  <c r="U441" i="41"/>
  <c r="U442" i="41"/>
  <c r="U443" i="41"/>
  <c r="U444" i="41"/>
  <c r="U445" i="41"/>
  <c r="U446" i="41"/>
  <c r="U447" i="41"/>
  <c r="U448" i="41"/>
  <c r="U449" i="41"/>
  <c r="U450" i="41"/>
  <c r="U451" i="41"/>
  <c r="U452" i="41"/>
  <c r="U453" i="41"/>
  <c r="U454" i="41"/>
  <c r="U455" i="41"/>
  <c r="U456" i="41"/>
  <c r="U457" i="41"/>
  <c r="U458" i="41"/>
  <c r="U459" i="41"/>
  <c r="U460" i="41"/>
  <c r="U461" i="41"/>
  <c r="U462" i="41"/>
  <c r="U463" i="41"/>
  <c r="U464" i="41"/>
  <c r="U465" i="41"/>
  <c r="U466" i="41"/>
  <c r="U467" i="41"/>
  <c r="U468" i="41"/>
  <c r="U469" i="41"/>
  <c r="U470" i="41"/>
  <c r="U471" i="41"/>
  <c r="U472" i="41"/>
  <c r="U473" i="41"/>
  <c r="U474" i="41"/>
  <c r="U475" i="41"/>
  <c r="U476" i="41"/>
  <c r="U477" i="41"/>
  <c r="U478" i="41"/>
  <c r="U479" i="41"/>
  <c r="U480" i="41"/>
  <c r="U481" i="41"/>
  <c r="U482" i="41"/>
  <c r="U102" i="41"/>
  <c r="U103" i="41"/>
  <c r="U104" i="41"/>
  <c r="U105" i="41"/>
  <c r="U87" i="41"/>
  <c r="U483" i="41"/>
  <c r="U484" i="41"/>
  <c r="U485" i="41"/>
  <c r="U486" i="41"/>
  <c r="U487" i="41"/>
  <c r="U488" i="41"/>
  <c r="U489" i="41"/>
  <c r="U490" i="41"/>
  <c r="U106" i="41"/>
  <c r="U107" i="41"/>
  <c r="U108" i="41"/>
  <c r="U109" i="41"/>
  <c r="U110" i="41"/>
  <c r="U111" i="41"/>
  <c r="U112" i="41"/>
  <c r="U113" i="41"/>
  <c r="U114" i="41"/>
  <c r="U115" i="41"/>
  <c r="U116" i="41"/>
  <c r="U117" i="41"/>
  <c r="U118" i="41"/>
  <c r="U119" i="41"/>
  <c r="U120" i="41"/>
  <c r="U121" i="41"/>
  <c r="U122" i="41"/>
  <c r="U123" i="41"/>
  <c r="U124" i="41"/>
  <c r="U125" i="41"/>
  <c r="U126" i="41"/>
  <c r="U127" i="41"/>
  <c r="U128" i="41"/>
  <c r="U129" i="41"/>
  <c r="U130" i="41"/>
  <c r="U131" i="41"/>
  <c r="U132" i="41"/>
  <c r="U133" i="41"/>
  <c r="U134" i="41"/>
  <c r="U135" i="41"/>
  <c r="U136" i="41"/>
  <c r="U137" i="41"/>
  <c r="U138" i="41"/>
  <c r="U139" i="41"/>
  <c r="U140" i="41"/>
  <c r="U141" i="41"/>
  <c r="U142" i="41"/>
  <c r="U143" i="41"/>
  <c r="U144" i="41"/>
  <c r="U145" i="41"/>
  <c r="U146" i="41"/>
  <c r="U147" i="41"/>
  <c r="U148" i="41"/>
  <c r="U149" i="41"/>
  <c r="U150" i="41"/>
  <c r="U151" i="41"/>
  <c r="U152" i="41"/>
  <c r="U153" i="41"/>
  <c r="U154" i="41"/>
  <c r="U155" i="41"/>
  <c r="U156" i="41"/>
  <c r="U157" i="41"/>
  <c r="U158" i="41"/>
  <c r="U159" i="41"/>
  <c r="U160" i="41"/>
  <c r="U161" i="41"/>
  <c r="U162" i="41"/>
  <c r="U163" i="41"/>
  <c r="U164" i="41"/>
  <c r="U165" i="41"/>
  <c r="U166" i="41"/>
  <c r="U167" i="41"/>
  <c r="U168" i="41"/>
  <c r="U169" i="41"/>
  <c r="U170" i="41"/>
  <c r="U171" i="41"/>
  <c r="U172" i="41"/>
  <c r="U173" i="41"/>
  <c r="U174" i="41"/>
  <c r="U175" i="41"/>
  <c r="U176" i="41"/>
  <c r="U177" i="41"/>
  <c r="U178" i="41"/>
  <c r="U179" i="41"/>
  <c r="U180" i="41"/>
  <c r="U181" i="41"/>
  <c r="U182" i="41"/>
  <c r="U183" i="41"/>
  <c r="U184" i="41"/>
  <c r="U185" i="41"/>
  <c r="U186" i="41"/>
  <c r="U187" i="41"/>
  <c r="U188" i="41"/>
  <c r="U189" i="41"/>
  <c r="U190" i="41"/>
  <c r="U191" i="41"/>
  <c r="U192" i="41"/>
  <c r="U193" i="41"/>
  <c r="U194" i="41"/>
  <c r="U195" i="41"/>
  <c r="U196" i="41"/>
  <c r="U197" i="41"/>
  <c r="U198" i="41"/>
  <c r="U199" i="41"/>
  <c r="U200" i="41"/>
  <c r="U201" i="41"/>
  <c r="U202" i="41"/>
  <c r="U203" i="41"/>
  <c r="U204" i="41"/>
  <c r="U205" i="41"/>
  <c r="U206" i="41"/>
  <c r="U207" i="41"/>
  <c r="U208" i="41"/>
  <c r="U209" i="41"/>
  <c r="U210" i="41"/>
  <c r="U211" i="41"/>
  <c r="U212" i="41"/>
  <c r="U213" i="41"/>
  <c r="U214" i="41"/>
  <c r="U215" i="41"/>
  <c r="U216" i="41"/>
  <c r="U217" i="41"/>
  <c r="U218" i="41"/>
  <c r="U219" i="41"/>
  <c r="U220" i="41"/>
  <c r="U221" i="41"/>
  <c r="U222" i="41"/>
  <c r="U223" i="41"/>
  <c r="U224" i="41"/>
  <c r="U225" i="41"/>
  <c r="U226" i="41"/>
  <c r="U227" i="41"/>
  <c r="U228" i="41"/>
  <c r="U229" i="41"/>
  <c r="U230" i="41"/>
  <c r="U231" i="41"/>
  <c r="U232" i="41"/>
  <c r="U233" i="41"/>
  <c r="U234" i="41"/>
  <c r="U235" i="41"/>
  <c r="U236" i="41"/>
  <c r="U237" i="41"/>
  <c r="U238" i="41"/>
  <c r="U239" i="41"/>
  <c r="U240" i="41"/>
  <c r="U241" i="41"/>
  <c r="U242" i="41"/>
  <c r="U243" i="41"/>
  <c r="U244" i="41"/>
  <c r="U245" i="41"/>
  <c r="U246" i="41"/>
  <c r="U247" i="41"/>
  <c r="U248" i="41"/>
  <c r="U249" i="41"/>
  <c r="U250" i="41"/>
  <c r="U251" i="41"/>
  <c r="U252" i="41"/>
  <c r="U253" i="41"/>
  <c r="U254" i="41"/>
  <c r="U255" i="41"/>
  <c r="U256" i="41"/>
  <c r="U257" i="41"/>
  <c r="U258" i="41"/>
  <c r="U259" i="41"/>
  <c r="U260" i="41"/>
  <c r="U261" i="41"/>
  <c r="U262" i="41"/>
  <c r="U263" i="41"/>
  <c r="U264" i="41"/>
  <c r="U265" i="41"/>
  <c r="U266" i="41"/>
  <c r="U491" i="41"/>
  <c r="U492" i="41"/>
  <c r="U88" i="41"/>
  <c r="U89" i="41"/>
  <c r="U493" i="41"/>
  <c r="U494" i="41"/>
  <c r="U495" i="41"/>
  <c r="U267" i="41"/>
  <c r="U90" i="41"/>
  <c r="U268" i="41"/>
  <c r="U269" i="41"/>
  <c r="U270" i="41"/>
  <c r="U271" i="41"/>
  <c r="U272" i="41"/>
  <c r="U273" i="41"/>
  <c r="U274" i="41"/>
  <c r="U275" i="41"/>
  <c r="U276" i="41"/>
  <c r="U277" i="41"/>
  <c r="U278" i="41"/>
  <c r="U279" i="41"/>
  <c r="U280" i="41"/>
  <c r="U298" i="41"/>
  <c r="U299" i="41"/>
  <c r="U300" i="41"/>
  <c r="U301" i="41"/>
  <c r="U302" i="41"/>
  <c r="U303" i="41"/>
  <c r="U304" i="41"/>
  <c r="U281" i="41"/>
  <c r="U91" i="41"/>
  <c r="U92" i="41"/>
  <c r="U282" i="41"/>
  <c r="U283" i="41"/>
  <c r="U93" i="41"/>
  <c r="U94" i="41"/>
  <c r="U95" i="41"/>
  <c r="U96" i="41"/>
  <c r="U97" i="41"/>
  <c r="U98" i="41"/>
  <c r="U284" i="41"/>
  <c r="U285" i="41"/>
  <c r="U286" i="41"/>
  <c r="U287" i="41"/>
  <c r="U496" i="41"/>
  <c r="U288" i="41"/>
  <c r="U289" i="41"/>
  <c r="U290" i="41"/>
  <c r="U291" i="41"/>
  <c r="U292" i="41"/>
  <c r="U293" i="41"/>
  <c r="U294" i="41"/>
  <c r="U295" i="41"/>
  <c r="U296" i="41"/>
  <c r="U297" i="41"/>
  <c r="U305" i="41"/>
  <c r="U497" i="41"/>
  <c r="U498" i="41"/>
  <c r="U499" i="41"/>
  <c r="U500" i="41"/>
  <c r="U501" i="41"/>
  <c r="U502" i="41"/>
  <c r="U99" i="41"/>
  <c r="U100" i="41"/>
  <c r="U101" i="41"/>
  <c r="U306" i="41"/>
  <c r="U307" i="41"/>
  <c r="U308" i="41"/>
  <c r="U309" i="41"/>
  <c r="U503" i="41"/>
  <c r="U4" i="41"/>
  <c r="U5" i="41"/>
  <c r="U6" i="41"/>
  <c r="U7" i="41"/>
  <c r="U8" i="41"/>
  <c r="U9" i="41"/>
  <c r="U10" i="41"/>
  <c r="U11" i="41"/>
  <c r="U12" i="41"/>
  <c r="U13" i="41"/>
  <c r="U14" i="41"/>
  <c r="U15" i="41"/>
  <c r="U16" i="41"/>
  <c r="U17" i="41"/>
  <c r="U18" i="41"/>
  <c r="U19" i="41"/>
  <c r="U20" i="41"/>
  <c r="U21" i="41"/>
  <c r="U22" i="41"/>
  <c r="U23" i="41"/>
  <c r="U24" i="41"/>
  <c r="U25" i="41"/>
  <c r="U26" i="41"/>
  <c r="U27" i="41"/>
  <c r="U28" i="41"/>
  <c r="U504" i="41"/>
  <c r="U505" i="41"/>
  <c r="U506" i="41"/>
  <c r="U507" i="41"/>
  <c r="U508" i="41"/>
  <c r="U509" i="41"/>
  <c r="U510" i="41"/>
  <c r="U511" i="41"/>
  <c r="U512" i="41"/>
  <c r="U513" i="41"/>
  <c r="U514" i="41"/>
  <c r="U515" i="41"/>
  <c r="U516" i="41"/>
  <c r="U517" i="41"/>
  <c r="U518" i="41"/>
  <c r="U519" i="41"/>
  <c r="U520" i="41"/>
  <c r="U521" i="41"/>
  <c r="U522" i="41"/>
  <c r="U523" i="41"/>
  <c r="U524" i="41"/>
  <c r="U525" i="41"/>
  <c r="U29" i="41"/>
  <c r="U30" i="41"/>
  <c r="U31" i="41"/>
  <c r="U32" i="41"/>
  <c r="U33" i="41"/>
  <c r="U34" i="41"/>
  <c r="U35" i="41"/>
  <c r="U36" i="41"/>
  <c r="U37" i="41"/>
  <c r="U38" i="41"/>
  <c r="U39" i="41"/>
  <c r="U40" i="41"/>
  <c r="U41" i="41"/>
  <c r="U42" i="41"/>
  <c r="U43" i="41"/>
  <c r="U44" i="41"/>
  <c r="U45" i="41"/>
  <c r="U46" i="41"/>
  <c r="U47" i="41"/>
  <c r="U48" i="41"/>
  <c r="U49" i="41"/>
  <c r="U50" i="41"/>
  <c r="U51" i="41"/>
  <c r="U52" i="41"/>
  <c r="U53" i="41"/>
  <c r="U54" i="41"/>
  <c r="U55" i="41"/>
  <c r="U56" i="41"/>
  <c r="U57" i="41"/>
  <c r="U58" i="41"/>
  <c r="U59" i="41"/>
  <c r="U60" i="41"/>
  <c r="U61" i="41"/>
  <c r="U62" i="41"/>
  <c r="U63" i="41"/>
  <c r="U64" i="41"/>
  <c r="U65" i="41"/>
  <c r="U66" i="41"/>
  <c r="U67" i="41"/>
  <c r="U68" i="41"/>
  <c r="U69" i="41"/>
  <c r="U70" i="41"/>
  <c r="U71" i="41"/>
  <c r="U72" i="41"/>
  <c r="U73" i="41"/>
  <c r="U74" i="41"/>
  <c r="U75" i="41"/>
  <c r="U76" i="41"/>
  <c r="U77" i="41"/>
  <c r="U78" i="41"/>
  <c r="U79" i="41"/>
  <c r="U80" i="41"/>
  <c r="U81" i="41"/>
  <c r="U82" i="41"/>
  <c r="T83" i="41"/>
  <c r="T84" i="41"/>
  <c r="T85" i="41"/>
  <c r="T86" i="41"/>
  <c r="T310" i="41"/>
  <c r="T311" i="41"/>
  <c r="T312" i="41"/>
  <c r="T313" i="41"/>
  <c r="T314" i="41"/>
  <c r="T315" i="41"/>
  <c r="T316" i="41"/>
  <c r="T317" i="41"/>
  <c r="T318" i="41"/>
  <c r="T319" i="41"/>
  <c r="T320" i="41"/>
  <c r="T321" i="41"/>
  <c r="T322" i="41"/>
  <c r="T323" i="41"/>
  <c r="T324" i="41"/>
  <c r="T325" i="41"/>
  <c r="T326" i="41"/>
  <c r="T327" i="41"/>
  <c r="T328" i="41"/>
  <c r="T329" i="41"/>
  <c r="T330" i="41"/>
  <c r="T331" i="41"/>
  <c r="T332" i="41"/>
  <c r="T333" i="41"/>
  <c r="T334" i="41"/>
  <c r="T335" i="41"/>
  <c r="T336" i="41"/>
  <c r="T337" i="41"/>
  <c r="T338" i="41"/>
  <c r="T339" i="41"/>
  <c r="T340" i="41"/>
  <c r="T341" i="41"/>
  <c r="T342" i="41"/>
  <c r="T343" i="41"/>
  <c r="T344" i="41"/>
  <c r="T345" i="41"/>
  <c r="T346" i="41"/>
  <c r="T347" i="41"/>
  <c r="T348" i="41"/>
  <c r="T349" i="41"/>
  <c r="T350" i="41"/>
  <c r="T351" i="41"/>
  <c r="T352" i="41"/>
  <c r="T353" i="41"/>
  <c r="T354" i="41"/>
  <c r="T355" i="41"/>
  <c r="T356" i="41"/>
  <c r="T357" i="41"/>
  <c r="T358" i="41"/>
  <c r="T359" i="41"/>
  <c r="T360" i="41"/>
  <c r="T361" i="41"/>
  <c r="T362" i="41"/>
  <c r="T363" i="41"/>
  <c r="T364" i="41"/>
  <c r="T365" i="41"/>
  <c r="T366" i="41"/>
  <c r="T367" i="41"/>
  <c r="T368" i="41"/>
  <c r="T369" i="41"/>
  <c r="T370" i="41"/>
  <c r="T371" i="41"/>
  <c r="T372" i="41"/>
  <c r="T373" i="41"/>
  <c r="T374" i="41"/>
  <c r="T375" i="41"/>
  <c r="T376" i="41"/>
  <c r="T377" i="41"/>
  <c r="T378" i="41"/>
  <c r="T379" i="41"/>
  <c r="T380" i="41"/>
  <c r="T381" i="41"/>
  <c r="T382" i="41"/>
  <c r="T383" i="41"/>
  <c r="T384" i="41"/>
  <c r="T385" i="41"/>
  <c r="T386" i="41"/>
  <c r="T387" i="41"/>
  <c r="T388" i="41"/>
  <c r="T389" i="41"/>
  <c r="T390" i="41"/>
  <c r="T391" i="41"/>
  <c r="T392" i="41"/>
  <c r="T393" i="41"/>
  <c r="T394" i="41"/>
  <c r="T395" i="41"/>
  <c r="T396" i="41"/>
  <c r="T397" i="41"/>
  <c r="T398" i="41"/>
  <c r="T399" i="41"/>
  <c r="T400" i="41"/>
  <c r="T401" i="41"/>
  <c r="T402" i="41"/>
  <c r="T403" i="41"/>
  <c r="T404" i="41"/>
  <c r="T405" i="41"/>
  <c r="T406" i="41"/>
  <c r="T407" i="41"/>
  <c r="T408" i="41"/>
  <c r="T409" i="41"/>
  <c r="T410" i="41"/>
  <c r="T411" i="41"/>
  <c r="T412" i="41"/>
  <c r="T413" i="41"/>
  <c r="T414" i="41"/>
  <c r="T415" i="41"/>
  <c r="T416" i="41"/>
  <c r="T417" i="41"/>
  <c r="T418" i="41"/>
  <c r="T419" i="41"/>
  <c r="T420" i="41"/>
  <c r="T421" i="41"/>
  <c r="T422" i="41"/>
  <c r="T423" i="41"/>
  <c r="T424" i="41"/>
  <c r="T425" i="41"/>
  <c r="T426" i="41"/>
  <c r="T427" i="41"/>
  <c r="T428" i="41"/>
  <c r="T429" i="41"/>
  <c r="T430" i="41"/>
  <c r="T431" i="41"/>
  <c r="T432" i="41"/>
  <c r="T433" i="41"/>
  <c r="T434" i="41"/>
  <c r="T435" i="41"/>
  <c r="T436" i="41"/>
  <c r="T437" i="41"/>
  <c r="T438" i="41"/>
  <c r="T439" i="41"/>
  <c r="T440" i="41"/>
  <c r="T441" i="41"/>
  <c r="T442" i="41"/>
  <c r="T443" i="41"/>
  <c r="T444" i="41"/>
  <c r="T445" i="41"/>
  <c r="T446" i="41"/>
  <c r="T447" i="41"/>
  <c r="T448" i="41"/>
  <c r="T449" i="41"/>
  <c r="T450" i="41"/>
  <c r="T451" i="41"/>
  <c r="T452" i="41"/>
  <c r="T453" i="41"/>
  <c r="T454" i="41"/>
  <c r="T455" i="41"/>
  <c r="T456" i="41"/>
  <c r="T457" i="41"/>
  <c r="T458" i="41"/>
  <c r="T459" i="41"/>
  <c r="T460" i="41"/>
  <c r="T461" i="41"/>
  <c r="T462" i="41"/>
  <c r="T463" i="41"/>
  <c r="T464" i="41"/>
  <c r="T465" i="41"/>
  <c r="T466" i="41"/>
  <c r="T467" i="41"/>
  <c r="T468" i="41"/>
  <c r="T469" i="41"/>
  <c r="T470" i="41"/>
  <c r="T471" i="41"/>
  <c r="T472" i="41"/>
  <c r="T473" i="41"/>
  <c r="T474" i="41"/>
  <c r="T475" i="41"/>
  <c r="T476" i="41"/>
  <c r="T477" i="41"/>
  <c r="T478" i="41"/>
  <c r="T479" i="41"/>
  <c r="T480" i="41"/>
  <c r="T481" i="41"/>
  <c r="T482" i="41"/>
  <c r="T102" i="41"/>
  <c r="T103" i="41"/>
  <c r="T104" i="41"/>
  <c r="T105" i="41"/>
  <c r="T87" i="41"/>
  <c r="T483" i="41"/>
  <c r="T484" i="41"/>
  <c r="T485" i="41"/>
  <c r="T486" i="41"/>
  <c r="T487" i="41"/>
  <c r="T488" i="41"/>
  <c r="T489" i="41"/>
  <c r="T490" i="41"/>
  <c r="T106" i="41"/>
  <c r="T107" i="41"/>
  <c r="T108" i="41"/>
  <c r="T109" i="41"/>
  <c r="T110" i="41"/>
  <c r="T111" i="41"/>
  <c r="T112" i="41"/>
  <c r="T113" i="41"/>
  <c r="T114" i="41"/>
  <c r="T115" i="41"/>
  <c r="T116" i="41"/>
  <c r="T117" i="41"/>
  <c r="T118" i="41"/>
  <c r="T119" i="41"/>
  <c r="T120" i="41"/>
  <c r="T121" i="41"/>
  <c r="T122" i="41"/>
  <c r="T123" i="41"/>
  <c r="T124" i="41"/>
  <c r="T125" i="41"/>
  <c r="T126" i="41"/>
  <c r="T127" i="41"/>
  <c r="T128" i="41"/>
  <c r="T129" i="41"/>
  <c r="T130" i="41"/>
  <c r="T131" i="41"/>
  <c r="T132" i="41"/>
  <c r="T133" i="41"/>
  <c r="T134" i="41"/>
  <c r="T135" i="41"/>
  <c r="T136" i="41"/>
  <c r="T137" i="41"/>
  <c r="T138" i="41"/>
  <c r="T139" i="41"/>
  <c r="T140" i="41"/>
  <c r="T141" i="41"/>
  <c r="T142" i="41"/>
  <c r="T143" i="41"/>
  <c r="T144" i="41"/>
  <c r="T145" i="41"/>
  <c r="T146" i="41"/>
  <c r="T147" i="41"/>
  <c r="T148" i="41"/>
  <c r="T149" i="41"/>
  <c r="T150" i="41"/>
  <c r="T151" i="41"/>
  <c r="T152" i="41"/>
  <c r="T153" i="41"/>
  <c r="T154" i="41"/>
  <c r="T155" i="41"/>
  <c r="T156" i="41"/>
  <c r="T157" i="41"/>
  <c r="T158" i="41"/>
  <c r="T159" i="41"/>
  <c r="T160" i="41"/>
  <c r="T161" i="41"/>
  <c r="T162" i="41"/>
  <c r="T163" i="41"/>
  <c r="T164" i="41"/>
  <c r="T165" i="41"/>
  <c r="T166" i="41"/>
  <c r="T167" i="41"/>
  <c r="T168" i="41"/>
  <c r="T169" i="41"/>
  <c r="T170" i="41"/>
  <c r="T171" i="41"/>
  <c r="T172" i="41"/>
  <c r="T173" i="41"/>
  <c r="T174" i="41"/>
  <c r="T175" i="41"/>
  <c r="T176" i="41"/>
  <c r="T177" i="41"/>
  <c r="T178" i="41"/>
  <c r="T179" i="41"/>
  <c r="T180" i="41"/>
  <c r="T181" i="41"/>
  <c r="T182" i="41"/>
  <c r="T183" i="41"/>
  <c r="T184" i="41"/>
  <c r="T185" i="41"/>
  <c r="T186" i="41"/>
  <c r="T187" i="41"/>
  <c r="T188" i="41"/>
  <c r="T189" i="41"/>
  <c r="T190" i="41"/>
  <c r="T191" i="41"/>
  <c r="T192" i="41"/>
  <c r="T193" i="41"/>
  <c r="T194" i="41"/>
  <c r="T195" i="41"/>
  <c r="T196" i="41"/>
  <c r="T197" i="41"/>
  <c r="T198" i="41"/>
  <c r="T199" i="41"/>
  <c r="T200" i="41"/>
  <c r="T201" i="41"/>
  <c r="T202" i="41"/>
  <c r="T203" i="41"/>
  <c r="T204" i="41"/>
  <c r="T205" i="41"/>
  <c r="T206" i="41"/>
  <c r="T207" i="41"/>
  <c r="T208" i="41"/>
  <c r="T209" i="41"/>
  <c r="T210" i="41"/>
  <c r="T211" i="41"/>
  <c r="T212" i="41"/>
  <c r="T213" i="41"/>
  <c r="T214" i="41"/>
  <c r="T215" i="41"/>
  <c r="T216" i="41"/>
  <c r="T217" i="41"/>
  <c r="T218" i="41"/>
  <c r="T219" i="41"/>
  <c r="T220" i="41"/>
  <c r="T221" i="41"/>
  <c r="T222" i="41"/>
  <c r="T223" i="41"/>
  <c r="T224" i="41"/>
  <c r="T225" i="41"/>
  <c r="T226" i="41"/>
  <c r="T227" i="41"/>
  <c r="T228" i="41"/>
  <c r="T229" i="41"/>
  <c r="T230" i="41"/>
  <c r="T231" i="41"/>
  <c r="T232" i="41"/>
  <c r="T233" i="41"/>
  <c r="T234" i="41"/>
  <c r="T235" i="41"/>
  <c r="T236" i="41"/>
  <c r="T237" i="41"/>
  <c r="T238" i="41"/>
  <c r="T239" i="41"/>
  <c r="T240" i="41"/>
  <c r="T241" i="41"/>
  <c r="T242" i="41"/>
  <c r="T243" i="41"/>
  <c r="T244" i="41"/>
  <c r="T245" i="41"/>
  <c r="T246" i="41"/>
  <c r="T247" i="41"/>
  <c r="T248" i="41"/>
  <c r="T249" i="41"/>
  <c r="T250" i="41"/>
  <c r="T251" i="41"/>
  <c r="T252" i="41"/>
  <c r="T253" i="41"/>
  <c r="T254" i="41"/>
  <c r="T255" i="41"/>
  <c r="T256" i="41"/>
  <c r="T257" i="41"/>
  <c r="T258" i="41"/>
  <c r="T259" i="41"/>
  <c r="T260" i="41"/>
  <c r="T261" i="41"/>
  <c r="T262" i="41"/>
  <c r="T263" i="41"/>
  <c r="T264" i="41"/>
  <c r="T265" i="41"/>
  <c r="T266" i="41"/>
  <c r="T491" i="41"/>
  <c r="T492" i="41"/>
  <c r="T88" i="41"/>
  <c r="T89" i="41"/>
  <c r="T493" i="41"/>
  <c r="T494" i="41"/>
  <c r="T495" i="41"/>
  <c r="T267" i="41"/>
  <c r="T90" i="41"/>
  <c r="T268" i="41"/>
  <c r="T269" i="41"/>
  <c r="T270" i="41"/>
  <c r="T271" i="41"/>
  <c r="T272" i="41"/>
  <c r="T273" i="41"/>
  <c r="T274" i="41"/>
  <c r="T275" i="41"/>
  <c r="T276" i="41"/>
  <c r="T277" i="41"/>
  <c r="T278" i="41"/>
  <c r="T279" i="41"/>
  <c r="T280" i="41"/>
  <c r="T298" i="41"/>
  <c r="T299" i="41"/>
  <c r="T300" i="41"/>
  <c r="T301" i="41"/>
  <c r="T302" i="41"/>
  <c r="T303" i="41"/>
  <c r="T304" i="41"/>
  <c r="T281" i="41"/>
  <c r="T91" i="41"/>
  <c r="T92" i="41"/>
  <c r="T282" i="41"/>
  <c r="T283" i="41"/>
  <c r="T93" i="41"/>
  <c r="T94" i="41"/>
  <c r="T95" i="41"/>
  <c r="T96" i="41"/>
  <c r="T97" i="41"/>
  <c r="T98" i="41"/>
  <c r="T284" i="41"/>
  <c r="T285" i="41"/>
  <c r="T286" i="41"/>
  <c r="T287" i="41"/>
  <c r="T496" i="41"/>
  <c r="T288" i="41"/>
  <c r="T289" i="41"/>
  <c r="T290" i="41"/>
  <c r="T291" i="41"/>
  <c r="T292" i="41"/>
  <c r="T293" i="41"/>
  <c r="T294" i="41"/>
  <c r="T295" i="41"/>
  <c r="T296" i="41"/>
  <c r="T297" i="41"/>
  <c r="T305" i="41"/>
  <c r="T497" i="41"/>
  <c r="T498" i="41"/>
  <c r="T499" i="41"/>
  <c r="T500" i="41"/>
  <c r="T501" i="41"/>
  <c r="T502" i="41"/>
  <c r="T99" i="41"/>
  <c r="T100" i="41"/>
  <c r="T101" i="41"/>
  <c r="T306" i="41"/>
  <c r="T307" i="41"/>
  <c r="T308" i="41"/>
  <c r="T309" i="41"/>
  <c r="T503" i="41"/>
  <c r="T4" i="41"/>
  <c r="T5" i="41"/>
  <c r="T6" i="41"/>
  <c r="T7" i="41"/>
  <c r="T8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504" i="41"/>
  <c r="T505" i="41"/>
  <c r="T506" i="41"/>
  <c r="T507" i="41"/>
  <c r="T508" i="41"/>
  <c r="T509" i="41"/>
  <c r="T510" i="41"/>
  <c r="T511" i="41"/>
  <c r="T512" i="41"/>
  <c r="T513" i="41"/>
  <c r="T514" i="41"/>
  <c r="T515" i="41"/>
  <c r="T516" i="41"/>
  <c r="T517" i="41"/>
  <c r="T518" i="41"/>
  <c r="T519" i="41"/>
  <c r="T520" i="41"/>
  <c r="T521" i="41"/>
  <c r="T522" i="41"/>
  <c r="T523" i="41"/>
  <c r="T524" i="41"/>
  <c r="T525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T50" i="41"/>
  <c r="T51" i="41"/>
  <c r="T52" i="41"/>
  <c r="T53" i="41"/>
  <c r="T54" i="41"/>
  <c r="T55" i="41"/>
  <c r="T56" i="41"/>
  <c r="T57" i="41"/>
  <c r="T58" i="41"/>
  <c r="T59" i="41"/>
  <c r="T60" i="41"/>
  <c r="T61" i="41"/>
  <c r="T62" i="41"/>
  <c r="T63" i="41"/>
  <c r="T64" i="41"/>
  <c r="T65" i="41"/>
  <c r="T66" i="41"/>
  <c r="T67" i="41"/>
  <c r="T68" i="41"/>
  <c r="T69" i="41"/>
  <c r="T70" i="41"/>
  <c r="T71" i="41"/>
  <c r="T72" i="41"/>
  <c r="T73" i="41"/>
  <c r="T74" i="41"/>
  <c r="T75" i="41"/>
  <c r="T76" i="41"/>
  <c r="T77" i="41"/>
  <c r="T78" i="41"/>
  <c r="T79" i="41"/>
  <c r="T80" i="41"/>
  <c r="T81" i="41"/>
  <c r="T82" i="41"/>
  <c r="S83" i="41"/>
  <c r="S84" i="41"/>
  <c r="S85" i="41"/>
  <c r="S86" i="41"/>
  <c r="S310" i="41"/>
  <c r="S311" i="41"/>
  <c r="S312" i="41"/>
  <c r="S313" i="41"/>
  <c r="S314" i="41"/>
  <c r="S315" i="41"/>
  <c r="S316" i="41"/>
  <c r="S317" i="41"/>
  <c r="S318" i="41"/>
  <c r="S319" i="41"/>
  <c r="S320" i="41"/>
  <c r="S321" i="41"/>
  <c r="S322" i="41"/>
  <c r="S323" i="41"/>
  <c r="S324" i="41"/>
  <c r="S325" i="41"/>
  <c r="S326" i="41"/>
  <c r="S327" i="41"/>
  <c r="S328" i="41"/>
  <c r="S329" i="41"/>
  <c r="S330" i="41"/>
  <c r="S331" i="41"/>
  <c r="S332" i="41"/>
  <c r="S333" i="41"/>
  <c r="S334" i="41"/>
  <c r="S335" i="41"/>
  <c r="S336" i="41"/>
  <c r="S337" i="41"/>
  <c r="S338" i="41"/>
  <c r="S339" i="41"/>
  <c r="S340" i="41"/>
  <c r="S341" i="41"/>
  <c r="S342" i="41"/>
  <c r="S343" i="41"/>
  <c r="S344" i="41"/>
  <c r="S345" i="41"/>
  <c r="S346" i="41"/>
  <c r="S347" i="41"/>
  <c r="S348" i="41"/>
  <c r="S349" i="41"/>
  <c r="S350" i="41"/>
  <c r="S351" i="41"/>
  <c r="S352" i="41"/>
  <c r="S353" i="41"/>
  <c r="S354" i="41"/>
  <c r="S355" i="41"/>
  <c r="S356" i="41"/>
  <c r="S357" i="41"/>
  <c r="S358" i="41"/>
  <c r="S359" i="41"/>
  <c r="S360" i="41"/>
  <c r="S361" i="41"/>
  <c r="S362" i="41"/>
  <c r="S363" i="41"/>
  <c r="S364" i="41"/>
  <c r="S365" i="41"/>
  <c r="S366" i="41"/>
  <c r="S367" i="41"/>
  <c r="S368" i="41"/>
  <c r="S369" i="41"/>
  <c r="S370" i="41"/>
  <c r="S371" i="41"/>
  <c r="S372" i="41"/>
  <c r="S373" i="41"/>
  <c r="S374" i="41"/>
  <c r="S375" i="41"/>
  <c r="S376" i="41"/>
  <c r="S377" i="41"/>
  <c r="S378" i="41"/>
  <c r="S379" i="41"/>
  <c r="S380" i="41"/>
  <c r="S381" i="41"/>
  <c r="S382" i="41"/>
  <c r="S383" i="41"/>
  <c r="S384" i="41"/>
  <c r="S385" i="41"/>
  <c r="S386" i="41"/>
  <c r="S387" i="41"/>
  <c r="S388" i="41"/>
  <c r="S389" i="41"/>
  <c r="S390" i="41"/>
  <c r="S391" i="41"/>
  <c r="S392" i="41"/>
  <c r="S393" i="41"/>
  <c r="S394" i="41"/>
  <c r="S395" i="41"/>
  <c r="S396" i="41"/>
  <c r="S397" i="41"/>
  <c r="S398" i="41"/>
  <c r="S399" i="41"/>
  <c r="S400" i="41"/>
  <c r="S401" i="41"/>
  <c r="S402" i="41"/>
  <c r="S403" i="41"/>
  <c r="S404" i="41"/>
  <c r="S405" i="41"/>
  <c r="S406" i="41"/>
  <c r="S407" i="41"/>
  <c r="S408" i="41"/>
  <c r="S409" i="41"/>
  <c r="S410" i="41"/>
  <c r="S411" i="41"/>
  <c r="S412" i="41"/>
  <c r="S413" i="41"/>
  <c r="S414" i="41"/>
  <c r="S415" i="41"/>
  <c r="S416" i="41"/>
  <c r="S417" i="41"/>
  <c r="S418" i="41"/>
  <c r="S419" i="41"/>
  <c r="S420" i="41"/>
  <c r="S421" i="41"/>
  <c r="S422" i="41"/>
  <c r="S423" i="41"/>
  <c r="S424" i="41"/>
  <c r="S425" i="41"/>
  <c r="S426" i="41"/>
  <c r="S427" i="41"/>
  <c r="S428" i="41"/>
  <c r="S429" i="41"/>
  <c r="S430" i="41"/>
  <c r="S431" i="41"/>
  <c r="S432" i="41"/>
  <c r="S433" i="41"/>
  <c r="S434" i="41"/>
  <c r="S435" i="41"/>
  <c r="S436" i="41"/>
  <c r="S437" i="41"/>
  <c r="S438" i="41"/>
  <c r="S439" i="41"/>
  <c r="S440" i="41"/>
  <c r="S441" i="41"/>
  <c r="S442" i="41"/>
  <c r="S443" i="41"/>
  <c r="S444" i="41"/>
  <c r="S445" i="41"/>
  <c r="S446" i="41"/>
  <c r="S447" i="41"/>
  <c r="S448" i="41"/>
  <c r="S449" i="41"/>
  <c r="S450" i="41"/>
  <c r="S451" i="41"/>
  <c r="S452" i="41"/>
  <c r="S453" i="41"/>
  <c r="S454" i="41"/>
  <c r="S455" i="41"/>
  <c r="S456" i="41"/>
  <c r="S457" i="41"/>
  <c r="S458" i="41"/>
  <c r="S459" i="41"/>
  <c r="S460" i="41"/>
  <c r="S461" i="41"/>
  <c r="S462" i="41"/>
  <c r="S463" i="41"/>
  <c r="S464" i="41"/>
  <c r="S465" i="41"/>
  <c r="S466" i="41"/>
  <c r="S467" i="41"/>
  <c r="S468" i="41"/>
  <c r="S469" i="41"/>
  <c r="S470" i="41"/>
  <c r="S471" i="41"/>
  <c r="S472" i="41"/>
  <c r="S473" i="41"/>
  <c r="S474" i="41"/>
  <c r="S475" i="41"/>
  <c r="S476" i="41"/>
  <c r="S477" i="41"/>
  <c r="S478" i="41"/>
  <c r="S479" i="41"/>
  <c r="S480" i="41"/>
  <c r="S481" i="41"/>
  <c r="S482" i="41"/>
  <c r="S102" i="41"/>
  <c r="S103" i="41"/>
  <c r="S104" i="41"/>
  <c r="S105" i="41"/>
  <c r="S87" i="41"/>
  <c r="S483" i="41"/>
  <c r="S484" i="41"/>
  <c r="S485" i="41"/>
  <c r="S486" i="41"/>
  <c r="S487" i="41"/>
  <c r="S488" i="41"/>
  <c r="S489" i="41"/>
  <c r="S490" i="41"/>
  <c r="S106" i="41"/>
  <c r="S107" i="41"/>
  <c r="S108" i="41"/>
  <c r="S109" i="41"/>
  <c r="S110" i="41"/>
  <c r="S111" i="41"/>
  <c r="S112" i="41"/>
  <c r="S113" i="41"/>
  <c r="S114" i="41"/>
  <c r="S115" i="41"/>
  <c r="S116" i="41"/>
  <c r="S117" i="41"/>
  <c r="S118" i="41"/>
  <c r="S119" i="41"/>
  <c r="S120" i="41"/>
  <c r="S121" i="41"/>
  <c r="S122" i="41"/>
  <c r="S123" i="41"/>
  <c r="S124" i="41"/>
  <c r="S125" i="41"/>
  <c r="S126" i="41"/>
  <c r="S127" i="41"/>
  <c r="S128" i="41"/>
  <c r="S129" i="41"/>
  <c r="S130" i="41"/>
  <c r="S131" i="41"/>
  <c r="S132" i="41"/>
  <c r="S133" i="41"/>
  <c r="S134" i="41"/>
  <c r="S135" i="41"/>
  <c r="S136" i="41"/>
  <c r="S137" i="41"/>
  <c r="S138" i="41"/>
  <c r="S139" i="41"/>
  <c r="S140" i="41"/>
  <c r="S141" i="41"/>
  <c r="S142" i="41"/>
  <c r="S143" i="41"/>
  <c r="S144" i="41"/>
  <c r="S145" i="41"/>
  <c r="S146" i="41"/>
  <c r="S147" i="41"/>
  <c r="S148" i="41"/>
  <c r="S149" i="41"/>
  <c r="S150" i="41"/>
  <c r="S151" i="41"/>
  <c r="S152" i="41"/>
  <c r="S153" i="41"/>
  <c r="S154" i="41"/>
  <c r="S155" i="41"/>
  <c r="S156" i="41"/>
  <c r="S157" i="41"/>
  <c r="S158" i="41"/>
  <c r="S159" i="41"/>
  <c r="S160" i="41"/>
  <c r="S161" i="41"/>
  <c r="S162" i="41"/>
  <c r="S163" i="41"/>
  <c r="S164" i="41"/>
  <c r="S165" i="41"/>
  <c r="S166" i="41"/>
  <c r="S167" i="41"/>
  <c r="S168" i="41"/>
  <c r="S169" i="41"/>
  <c r="S170" i="41"/>
  <c r="S171" i="41"/>
  <c r="S172" i="41"/>
  <c r="S173" i="41"/>
  <c r="S174" i="41"/>
  <c r="S175" i="41"/>
  <c r="S176" i="41"/>
  <c r="S177" i="41"/>
  <c r="S178" i="41"/>
  <c r="S179" i="41"/>
  <c r="S180" i="41"/>
  <c r="S181" i="41"/>
  <c r="S182" i="41"/>
  <c r="S183" i="41"/>
  <c r="S184" i="41"/>
  <c r="S185" i="41"/>
  <c r="S186" i="41"/>
  <c r="S187" i="41"/>
  <c r="S188" i="41"/>
  <c r="S189" i="41"/>
  <c r="S190" i="41"/>
  <c r="S191" i="41"/>
  <c r="S192" i="41"/>
  <c r="S193" i="41"/>
  <c r="S194" i="41"/>
  <c r="S195" i="41"/>
  <c r="S196" i="41"/>
  <c r="S197" i="41"/>
  <c r="S198" i="41"/>
  <c r="S199" i="41"/>
  <c r="S200" i="41"/>
  <c r="S201" i="41"/>
  <c r="S202" i="41"/>
  <c r="S203" i="41"/>
  <c r="S204" i="41"/>
  <c r="S205" i="41"/>
  <c r="S206" i="41"/>
  <c r="S207" i="41"/>
  <c r="S208" i="41"/>
  <c r="S209" i="41"/>
  <c r="S210" i="41"/>
  <c r="S211" i="41"/>
  <c r="S212" i="41"/>
  <c r="S213" i="41"/>
  <c r="S214" i="41"/>
  <c r="S215" i="41"/>
  <c r="S216" i="41"/>
  <c r="S217" i="41"/>
  <c r="S218" i="41"/>
  <c r="S219" i="41"/>
  <c r="S220" i="41"/>
  <c r="S221" i="41"/>
  <c r="S222" i="41"/>
  <c r="S223" i="41"/>
  <c r="S224" i="41"/>
  <c r="S225" i="41"/>
  <c r="S226" i="41"/>
  <c r="S227" i="41"/>
  <c r="S228" i="41"/>
  <c r="S229" i="41"/>
  <c r="S230" i="41"/>
  <c r="S231" i="41"/>
  <c r="S232" i="41"/>
  <c r="S233" i="41"/>
  <c r="S234" i="41"/>
  <c r="S235" i="41"/>
  <c r="S236" i="41"/>
  <c r="S237" i="41"/>
  <c r="S238" i="41"/>
  <c r="S239" i="41"/>
  <c r="S240" i="41"/>
  <c r="S241" i="41"/>
  <c r="S242" i="41"/>
  <c r="S243" i="41"/>
  <c r="S244" i="41"/>
  <c r="S245" i="41"/>
  <c r="S246" i="41"/>
  <c r="S247" i="41"/>
  <c r="S248" i="41"/>
  <c r="S249" i="41"/>
  <c r="S250" i="41"/>
  <c r="S251" i="41"/>
  <c r="S252" i="41"/>
  <c r="S253" i="41"/>
  <c r="S254" i="41"/>
  <c r="S255" i="41"/>
  <c r="S256" i="41"/>
  <c r="S257" i="41"/>
  <c r="S258" i="41"/>
  <c r="S259" i="41"/>
  <c r="S260" i="41"/>
  <c r="S261" i="41"/>
  <c r="S262" i="41"/>
  <c r="S263" i="41"/>
  <c r="S264" i="41"/>
  <c r="S265" i="41"/>
  <c r="S266" i="41"/>
  <c r="S491" i="41"/>
  <c r="S492" i="41"/>
  <c r="S88" i="41"/>
  <c r="S89" i="41"/>
  <c r="S493" i="41"/>
  <c r="S494" i="41"/>
  <c r="S495" i="41"/>
  <c r="S267" i="41"/>
  <c r="S90" i="41"/>
  <c r="S268" i="41"/>
  <c r="S269" i="41"/>
  <c r="S270" i="41"/>
  <c r="S271" i="41"/>
  <c r="S272" i="41"/>
  <c r="S273" i="41"/>
  <c r="S274" i="41"/>
  <c r="S275" i="41"/>
  <c r="S276" i="41"/>
  <c r="S277" i="41"/>
  <c r="S278" i="41"/>
  <c r="S279" i="41"/>
  <c r="S280" i="41"/>
  <c r="S298" i="41"/>
  <c r="S299" i="41"/>
  <c r="S300" i="41"/>
  <c r="S301" i="41"/>
  <c r="S302" i="41"/>
  <c r="S303" i="41"/>
  <c r="S304" i="41"/>
  <c r="S281" i="41"/>
  <c r="S91" i="41"/>
  <c r="S92" i="41"/>
  <c r="S282" i="41"/>
  <c r="S283" i="41"/>
  <c r="S93" i="41"/>
  <c r="S94" i="41"/>
  <c r="S95" i="41"/>
  <c r="S96" i="41"/>
  <c r="S97" i="41"/>
  <c r="S98" i="41"/>
  <c r="S284" i="41"/>
  <c r="S285" i="41"/>
  <c r="S286" i="41"/>
  <c r="S287" i="41"/>
  <c r="S496" i="41"/>
  <c r="S288" i="41"/>
  <c r="S289" i="41"/>
  <c r="S290" i="41"/>
  <c r="S291" i="41"/>
  <c r="S292" i="41"/>
  <c r="S293" i="41"/>
  <c r="S294" i="41"/>
  <c r="S295" i="41"/>
  <c r="S296" i="41"/>
  <c r="S297" i="41"/>
  <c r="S305" i="41"/>
  <c r="S497" i="41"/>
  <c r="S498" i="41"/>
  <c r="S499" i="41"/>
  <c r="S500" i="41"/>
  <c r="S501" i="41"/>
  <c r="S502" i="41"/>
  <c r="S99" i="41"/>
  <c r="S100" i="41"/>
  <c r="S101" i="41"/>
  <c r="S306" i="41"/>
  <c r="S307" i="41"/>
  <c r="S308" i="41"/>
  <c r="S309" i="41"/>
  <c r="S503" i="41"/>
  <c r="S4" i="41"/>
  <c r="S5" i="41"/>
  <c r="S6" i="41"/>
  <c r="S7" i="41"/>
  <c r="S8" i="41"/>
  <c r="S9" i="41"/>
  <c r="S10" i="41"/>
  <c r="S11" i="41"/>
  <c r="S12" i="41"/>
  <c r="S13" i="41"/>
  <c r="S14" i="41"/>
  <c r="S15" i="41"/>
  <c r="S16" i="41"/>
  <c r="S17" i="41"/>
  <c r="S18" i="41"/>
  <c r="S19" i="41"/>
  <c r="S20" i="41"/>
  <c r="S21" i="41"/>
  <c r="S22" i="41"/>
  <c r="S23" i="41"/>
  <c r="S24" i="41"/>
  <c r="S25" i="41"/>
  <c r="S26" i="41"/>
  <c r="S27" i="41"/>
  <c r="S28" i="41"/>
  <c r="S504" i="41"/>
  <c r="S505" i="41"/>
  <c r="S506" i="41"/>
  <c r="S507" i="41"/>
  <c r="S508" i="41"/>
  <c r="S509" i="41"/>
  <c r="S510" i="41"/>
  <c r="S511" i="41"/>
  <c r="S512" i="41"/>
  <c r="S513" i="41"/>
  <c r="S514" i="41"/>
  <c r="S515" i="41"/>
  <c r="S516" i="41"/>
  <c r="S517" i="41"/>
  <c r="S518" i="41"/>
  <c r="S519" i="41"/>
  <c r="S520" i="41"/>
  <c r="S521" i="41"/>
  <c r="S522" i="41"/>
  <c r="S523" i="41"/>
  <c r="S524" i="41"/>
  <c r="S525" i="41"/>
  <c r="S29" i="41"/>
  <c r="S30" i="41"/>
  <c r="S31" i="41"/>
  <c r="S32" i="41"/>
  <c r="S33" i="41"/>
  <c r="S34" i="41"/>
  <c r="S35" i="41"/>
  <c r="S36" i="41"/>
  <c r="S37" i="41"/>
  <c r="S38" i="41"/>
  <c r="S39" i="41"/>
  <c r="S40" i="41"/>
  <c r="S41" i="41"/>
  <c r="S42" i="41"/>
  <c r="S43" i="41"/>
  <c r="S44" i="41"/>
  <c r="S45" i="41"/>
  <c r="S46" i="41"/>
  <c r="S47" i="41"/>
  <c r="S48" i="41"/>
  <c r="S49" i="41"/>
  <c r="S50" i="41"/>
  <c r="S51" i="41"/>
  <c r="S52" i="41"/>
  <c r="S53" i="41"/>
  <c r="S54" i="41"/>
  <c r="S55" i="41"/>
  <c r="S56" i="41"/>
  <c r="S57" i="41"/>
  <c r="S58" i="41"/>
  <c r="S59" i="41"/>
  <c r="S60" i="41"/>
  <c r="S61" i="41"/>
  <c r="S62" i="41"/>
  <c r="S63" i="41"/>
  <c r="S64" i="41"/>
  <c r="S65" i="41"/>
  <c r="S66" i="41"/>
  <c r="S67" i="41"/>
  <c r="S68" i="41"/>
  <c r="S69" i="41"/>
  <c r="S70" i="41"/>
  <c r="S71" i="41"/>
  <c r="S72" i="41"/>
  <c r="S73" i="41"/>
  <c r="S74" i="41"/>
  <c r="S75" i="41"/>
  <c r="S76" i="41"/>
  <c r="S77" i="41"/>
  <c r="S78" i="41"/>
  <c r="S79" i="41"/>
  <c r="S80" i="41"/>
  <c r="S81" i="41"/>
  <c r="S82" i="41"/>
  <c r="R83" i="41"/>
  <c r="R84" i="41"/>
  <c r="R85" i="41"/>
  <c r="R86" i="41"/>
  <c r="R310" i="41"/>
  <c r="R311" i="41"/>
  <c r="R312" i="41"/>
  <c r="R313" i="41"/>
  <c r="R314" i="41"/>
  <c r="R315" i="41"/>
  <c r="R316" i="41"/>
  <c r="R317" i="41"/>
  <c r="R318" i="41"/>
  <c r="R319" i="41"/>
  <c r="R320" i="41"/>
  <c r="R321" i="41"/>
  <c r="R322" i="41"/>
  <c r="R323" i="41"/>
  <c r="R324" i="41"/>
  <c r="R325" i="41"/>
  <c r="R326" i="41"/>
  <c r="R327" i="41"/>
  <c r="R328" i="41"/>
  <c r="R329" i="41"/>
  <c r="R330" i="41"/>
  <c r="R331" i="41"/>
  <c r="R332" i="41"/>
  <c r="R333" i="41"/>
  <c r="R334" i="41"/>
  <c r="R335" i="41"/>
  <c r="R336" i="41"/>
  <c r="R337" i="41"/>
  <c r="R338" i="41"/>
  <c r="R339" i="41"/>
  <c r="R340" i="41"/>
  <c r="R341" i="41"/>
  <c r="R342" i="41"/>
  <c r="R343" i="41"/>
  <c r="R344" i="41"/>
  <c r="R345" i="41"/>
  <c r="R346" i="41"/>
  <c r="R347" i="41"/>
  <c r="R348" i="41"/>
  <c r="R349" i="41"/>
  <c r="R350" i="41"/>
  <c r="R351" i="41"/>
  <c r="R352" i="41"/>
  <c r="R353" i="41"/>
  <c r="R354" i="41"/>
  <c r="R355" i="41"/>
  <c r="R356" i="41"/>
  <c r="R357" i="41"/>
  <c r="R358" i="41"/>
  <c r="R359" i="41"/>
  <c r="R360" i="41"/>
  <c r="R361" i="41"/>
  <c r="R362" i="41"/>
  <c r="R363" i="41"/>
  <c r="R364" i="41"/>
  <c r="R365" i="41"/>
  <c r="R366" i="41"/>
  <c r="R367" i="41"/>
  <c r="R368" i="41"/>
  <c r="R369" i="41"/>
  <c r="R370" i="41"/>
  <c r="R371" i="41"/>
  <c r="R372" i="41"/>
  <c r="R373" i="41"/>
  <c r="R374" i="41"/>
  <c r="R375" i="41"/>
  <c r="R376" i="41"/>
  <c r="R377" i="41"/>
  <c r="R378" i="41"/>
  <c r="R379" i="41"/>
  <c r="R380" i="41"/>
  <c r="R381" i="41"/>
  <c r="R382" i="41"/>
  <c r="R383" i="41"/>
  <c r="R384" i="41"/>
  <c r="R385" i="41"/>
  <c r="R386" i="41"/>
  <c r="R387" i="41"/>
  <c r="R388" i="41"/>
  <c r="R389" i="41"/>
  <c r="R390" i="41"/>
  <c r="R391" i="41"/>
  <c r="R392" i="41"/>
  <c r="R393" i="41"/>
  <c r="R394" i="41"/>
  <c r="R395" i="41"/>
  <c r="R396" i="41"/>
  <c r="R397" i="41"/>
  <c r="R398" i="41"/>
  <c r="R399" i="41"/>
  <c r="R400" i="41"/>
  <c r="R401" i="41"/>
  <c r="R402" i="41"/>
  <c r="R403" i="41"/>
  <c r="R404" i="41"/>
  <c r="R405" i="41"/>
  <c r="R406" i="41"/>
  <c r="R407" i="41"/>
  <c r="R408" i="41"/>
  <c r="R409" i="41"/>
  <c r="R410" i="41"/>
  <c r="R411" i="41"/>
  <c r="R412" i="41"/>
  <c r="R413" i="41"/>
  <c r="R414" i="41"/>
  <c r="R415" i="41"/>
  <c r="R416" i="41"/>
  <c r="R417" i="41"/>
  <c r="R418" i="41"/>
  <c r="R419" i="41"/>
  <c r="R420" i="41"/>
  <c r="R421" i="41"/>
  <c r="R422" i="41"/>
  <c r="R423" i="41"/>
  <c r="R424" i="41"/>
  <c r="R425" i="41"/>
  <c r="R426" i="41"/>
  <c r="R427" i="41"/>
  <c r="R428" i="41"/>
  <c r="R429" i="41"/>
  <c r="R430" i="41"/>
  <c r="R431" i="41"/>
  <c r="R432" i="41"/>
  <c r="R433" i="41"/>
  <c r="R434" i="41"/>
  <c r="R435" i="41"/>
  <c r="R436" i="41"/>
  <c r="R437" i="41"/>
  <c r="R438" i="41"/>
  <c r="R439" i="41"/>
  <c r="R440" i="41"/>
  <c r="R441" i="41"/>
  <c r="R442" i="41"/>
  <c r="R443" i="41"/>
  <c r="R444" i="41"/>
  <c r="R445" i="41"/>
  <c r="R446" i="41"/>
  <c r="R447" i="41"/>
  <c r="R448" i="41"/>
  <c r="R449" i="41"/>
  <c r="R450" i="41"/>
  <c r="R451" i="41"/>
  <c r="R452" i="41"/>
  <c r="R453" i="41"/>
  <c r="R454" i="41"/>
  <c r="R455" i="41"/>
  <c r="R456" i="41"/>
  <c r="R457" i="41"/>
  <c r="R458" i="41"/>
  <c r="R459" i="41"/>
  <c r="R460" i="41"/>
  <c r="R461" i="41"/>
  <c r="R462" i="41"/>
  <c r="R463" i="41"/>
  <c r="R464" i="41"/>
  <c r="R465" i="41"/>
  <c r="R466" i="41"/>
  <c r="R467" i="41"/>
  <c r="R468" i="41"/>
  <c r="R469" i="41"/>
  <c r="R470" i="41"/>
  <c r="R471" i="41"/>
  <c r="R472" i="41"/>
  <c r="R473" i="41"/>
  <c r="R474" i="41"/>
  <c r="R475" i="41"/>
  <c r="R476" i="41"/>
  <c r="R477" i="41"/>
  <c r="R478" i="41"/>
  <c r="R479" i="41"/>
  <c r="R480" i="41"/>
  <c r="R481" i="41"/>
  <c r="R482" i="41"/>
  <c r="R102" i="41"/>
  <c r="R103" i="41"/>
  <c r="R104" i="41"/>
  <c r="R105" i="41"/>
  <c r="R87" i="41"/>
  <c r="R483" i="41"/>
  <c r="R484" i="41"/>
  <c r="R485" i="41"/>
  <c r="R486" i="41"/>
  <c r="R487" i="41"/>
  <c r="R488" i="41"/>
  <c r="R489" i="41"/>
  <c r="R490" i="41"/>
  <c r="R106" i="41"/>
  <c r="R107" i="41"/>
  <c r="R108" i="41"/>
  <c r="R109" i="41"/>
  <c r="R110" i="41"/>
  <c r="R111" i="41"/>
  <c r="R112" i="41"/>
  <c r="R113" i="41"/>
  <c r="R114" i="41"/>
  <c r="R115" i="41"/>
  <c r="R116" i="41"/>
  <c r="R117" i="41"/>
  <c r="R118" i="41"/>
  <c r="R119" i="41"/>
  <c r="R120" i="41"/>
  <c r="R121" i="41"/>
  <c r="R122" i="41"/>
  <c r="R123" i="41"/>
  <c r="R124" i="41"/>
  <c r="R125" i="41"/>
  <c r="R126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R140" i="41"/>
  <c r="R141" i="41"/>
  <c r="R142" i="41"/>
  <c r="R143" i="41"/>
  <c r="R144" i="41"/>
  <c r="R145" i="41"/>
  <c r="R146" i="41"/>
  <c r="R147" i="41"/>
  <c r="R148" i="41"/>
  <c r="R149" i="41"/>
  <c r="R150" i="41"/>
  <c r="R151" i="41"/>
  <c r="R152" i="41"/>
  <c r="R153" i="41"/>
  <c r="R154" i="41"/>
  <c r="R155" i="41"/>
  <c r="R156" i="41"/>
  <c r="R157" i="41"/>
  <c r="R158" i="41"/>
  <c r="R159" i="41"/>
  <c r="R160" i="41"/>
  <c r="R161" i="41"/>
  <c r="R162" i="41"/>
  <c r="R163" i="41"/>
  <c r="R164" i="41"/>
  <c r="R165" i="41"/>
  <c r="R166" i="41"/>
  <c r="R167" i="41"/>
  <c r="R168" i="41"/>
  <c r="R169" i="41"/>
  <c r="R170" i="41"/>
  <c r="R171" i="41"/>
  <c r="R172" i="41"/>
  <c r="R173" i="41"/>
  <c r="R174" i="41"/>
  <c r="R175" i="41"/>
  <c r="R176" i="41"/>
  <c r="R177" i="41"/>
  <c r="R178" i="41"/>
  <c r="R179" i="41"/>
  <c r="R180" i="41"/>
  <c r="R181" i="41"/>
  <c r="R182" i="41"/>
  <c r="R183" i="41"/>
  <c r="R184" i="41"/>
  <c r="R185" i="41"/>
  <c r="R186" i="41"/>
  <c r="R187" i="41"/>
  <c r="R188" i="41"/>
  <c r="R189" i="41"/>
  <c r="R190" i="41"/>
  <c r="R191" i="41"/>
  <c r="R192" i="41"/>
  <c r="R193" i="41"/>
  <c r="R194" i="41"/>
  <c r="R195" i="41"/>
  <c r="R196" i="41"/>
  <c r="R197" i="41"/>
  <c r="R198" i="41"/>
  <c r="R199" i="41"/>
  <c r="R200" i="41"/>
  <c r="R201" i="41"/>
  <c r="R202" i="41"/>
  <c r="R203" i="41"/>
  <c r="R204" i="41"/>
  <c r="R205" i="41"/>
  <c r="R206" i="41"/>
  <c r="R207" i="41"/>
  <c r="R208" i="41"/>
  <c r="R209" i="41"/>
  <c r="R210" i="41"/>
  <c r="R211" i="41"/>
  <c r="R212" i="41"/>
  <c r="R213" i="41"/>
  <c r="R214" i="41"/>
  <c r="R215" i="41"/>
  <c r="R216" i="41"/>
  <c r="R217" i="41"/>
  <c r="R218" i="41"/>
  <c r="R219" i="41"/>
  <c r="R220" i="41"/>
  <c r="R221" i="41"/>
  <c r="R222" i="41"/>
  <c r="R223" i="41"/>
  <c r="R224" i="41"/>
  <c r="R225" i="41"/>
  <c r="R226" i="41"/>
  <c r="R227" i="41"/>
  <c r="R228" i="41"/>
  <c r="R229" i="41"/>
  <c r="R230" i="41"/>
  <c r="R231" i="41"/>
  <c r="R232" i="41"/>
  <c r="R233" i="41"/>
  <c r="R234" i="41"/>
  <c r="R235" i="41"/>
  <c r="R236" i="41"/>
  <c r="R237" i="41"/>
  <c r="R238" i="41"/>
  <c r="R239" i="41"/>
  <c r="R240" i="41"/>
  <c r="R241" i="41"/>
  <c r="R242" i="41"/>
  <c r="R243" i="41"/>
  <c r="R244" i="41"/>
  <c r="R245" i="41"/>
  <c r="R246" i="41"/>
  <c r="R247" i="41"/>
  <c r="R248" i="41"/>
  <c r="R249" i="41"/>
  <c r="R250" i="41"/>
  <c r="R251" i="41"/>
  <c r="R252" i="41"/>
  <c r="R253" i="41"/>
  <c r="R254" i="41"/>
  <c r="R255" i="41"/>
  <c r="R256" i="41"/>
  <c r="R257" i="41"/>
  <c r="R258" i="41"/>
  <c r="R259" i="41"/>
  <c r="R260" i="41"/>
  <c r="R261" i="41"/>
  <c r="R262" i="41"/>
  <c r="R263" i="41"/>
  <c r="R264" i="41"/>
  <c r="R265" i="41"/>
  <c r="R266" i="41"/>
  <c r="R491" i="41"/>
  <c r="R492" i="41"/>
  <c r="R88" i="41"/>
  <c r="R89" i="41"/>
  <c r="R493" i="41"/>
  <c r="R494" i="41"/>
  <c r="R495" i="41"/>
  <c r="R267" i="41"/>
  <c r="R90" i="41"/>
  <c r="R268" i="41"/>
  <c r="R269" i="41"/>
  <c r="R270" i="41"/>
  <c r="R271" i="41"/>
  <c r="R272" i="41"/>
  <c r="R273" i="41"/>
  <c r="R274" i="41"/>
  <c r="R275" i="41"/>
  <c r="R276" i="41"/>
  <c r="R277" i="41"/>
  <c r="R278" i="41"/>
  <c r="R279" i="41"/>
  <c r="R280" i="41"/>
  <c r="R298" i="41"/>
  <c r="R299" i="41"/>
  <c r="R300" i="41"/>
  <c r="R301" i="41"/>
  <c r="R302" i="41"/>
  <c r="R303" i="41"/>
  <c r="R304" i="41"/>
  <c r="R281" i="41"/>
  <c r="R91" i="41"/>
  <c r="R92" i="41"/>
  <c r="R282" i="41"/>
  <c r="R283" i="41"/>
  <c r="R93" i="41"/>
  <c r="R94" i="41"/>
  <c r="R95" i="41"/>
  <c r="R96" i="41"/>
  <c r="R97" i="41"/>
  <c r="R98" i="41"/>
  <c r="R284" i="41"/>
  <c r="R285" i="41"/>
  <c r="R286" i="41"/>
  <c r="R287" i="41"/>
  <c r="R496" i="41"/>
  <c r="R288" i="41"/>
  <c r="R289" i="41"/>
  <c r="R290" i="41"/>
  <c r="R291" i="41"/>
  <c r="R292" i="41"/>
  <c r="R293" i="41"/>
  <c r="R294" i="41"/>
  <c r="R295" i="41"/>
  <c r="R296" i="41"/>
  <c r="R297" i="41"/>
  <c r="R305" i="41"/>
  <c r="R497" i="41"/>
  <c r="R498" i="41"/>
  <c r="R499" i="41"/>
  <c r="R500" i="41"/>
  <c r="R501" i="41"/>
  <c r="R502" i="41"/>
  <c r="R99" i="41"/>
  <c r="R100" i="41"/>
  <c r="R101" i="41"/>
  <c r="R306" i="41"/>
  <c r="R307" i="41"/>
  <c r="R308" i="41"/>
  <c r="R309" i="41"/>
  <c r="R503" i="41"/>
  <c r="R4" i="41"/>
  <c r="R5" i="41"/>
  <c r="R6" i="41"/>
  <c r="R7" i="41"/>
  <c r="R8" i="41"/>
  <c r="R9" i="41"/>
  <c r="R10" i="4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504" i="41"/>
  <c r="R505" i="41"/>
  <c r="R506" i="41"/>
  <c r="R507" i="41"/>
  <c r="R508" i="41"/>
  <c r="R509" i="41"/>
  <c r="R510" i="41"/>
  <c r="R511" i="41"/>
  <c r="R512" i="41"/>
  <c r="R513" i="41"/>
  <c r="R514" i="41"/>
  <c r="R515" i="41"/>
  <c r="R516" i="41"/>
  <c r="R517" i="41"/>
  <c r="R518" i="41"/>
  <c r="R519" i="41"/>
  <c r="R520" i="41"/>
  <c r="R521" i="41"/>
  <c r="R522" i="41"/>
  <c r="R523" i="41"/>
  <c r="R524" i="41"/>
  <c r="R525" i="41"/>
  <c r="R29" i="41"/>
  <c r="R30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56" i="41"/>
  <c r="R57" i="41"/>
  <c r="R58" i="41"/>
  <c r="R59" i="41"/>
  <c r="R60" i="41"/>
  <c r="R61" i="41"/>
  <c r="R62" i="41"/>
  <c r="R63" i="41"/>
  <c r="R64" i="41"/>
  <c r="R65" i="41"/>
  <c r="R66" i="41"/>
  <c r="R67" i="41"/>
  <c r="R68" i="41"/>
  <c r="R69" i="41"/>
  <c r="R70" i="41"/>
  <c r="R71" i="41"/>
  <c r="R72" i="41"/>
  <c r="R73" i="41"/>
  <c r="R74" i="41"/>
  <c r="R75" i="41"/>
  <c r="R76" i="41"/>
  <c r="R77" i="41"/>
  <c r="R78" i="41"/>
  <c r="R79" i="41"/>
  <c r="R80" i="41"/>
  <c r="R81" i="41"/>
  <c r="R82" i="41"/>
  <c r="F10" i="8" l="1"/>
  <c r="S68" i="39" l="1"/>
  <c r="T68" i="39"/>
  <c r="U68" i="39"/>
  <c r="V68" i="39"/>
  <c r="S69" i="39"/>
  <c r="T69" i="39"/>
  <c r="U69" i="39"/>
  <c r="V69" i="39"/>
  <c r="S70" i="39"/>
  <c r="T70" i="39"/>
  <c r="U70" i="39"/>
  <c r="V70" i="39"/>
  <c r="S71" i="39"/>
  <c r="T71" i="39"/>
  <c r="U71" i="39"/>
  <c r="V71" i="39"/>
  <c r="S72" i="39"/>
  <c r="T72" i="39"/>
  <c r="U72" i="39"/>
  <c r="V72" i="39"/>
  <c r="S73" i="39"/>
  <c r="T73" i="39"/>
  <c r="U73" i="39"/>
  <c r="V73" i="39"/>
  <c r="S3" i="39" l="1"/>
  <c r="S4" i="39"/>
  <c r="S5" i="39"/>
  <c r="S6" i="39"/>
  <c r="S7" i="39"/>
  <c r="S8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38" i="39"/>
  <c r="S39" i="39"/>
  <c r="S40" i="39"/>
  <c r="S41" i="39"/>
  <c r="S42" i="39"/>
  <c r="S43" i="39"/>
  <c r="S44" i="39"/>
  <c r="S45" i="39"/>
  <c r="S46" i="39"/>
  <c r="S47" i="39"/>
  <c r="S48" i="39"/>
  <c r="S49" i="39"/>
  <c r="S50" i="39"/>
  <c r="S51" i="39"/>
  <c r="S52" i="39"/>
  <c r="S53" i="39"/>
  <c r="S54" i="39"/>
  <c r="S55" i="39"/>
  <c r="S56" i="39"/>
  <c r="S57" i="39"/>
  <c r="S58" i="39"/>
  <c r="S59" i="39"/>
  <c r="S60" i="39"/>
  <c r="S61" i="39"/>
  <c r="S62" i="39"/>
  <c r="S63" i="39"/>
  <c r="S64" i="39"/>
  <c r="S65" i="39"/>
  <c r="S66" i="39"/>
  <c r="S67" i="39"/>
  <c r="S171" i="39"/>
  <c r="V3" i="39"/>
  <c r="V4" i="39"/>
  <c r="V5" i="39"/>
  <c r="V6" i="39"/>
  <c r="V7" i="39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56" i="39"/>
  <c r="V57" i="39"/>
  <c r="V58" i="39"/>
  <c r="V59" i="39"/>
  <c r="V60" i="39"/>
  <c r="V61" i="39"/>
  <c r="V62" i="39"/>
  <c r="V63" i="39"/>
  <c r="V64" i="39"/>
  <c r="V65" i="39"/>
  <c r="V66" i="39"/>
  <c r="V67" i="39"/>
  <c r="V171" i="39"/>
  <c r="U3" i="39"/>
  <c r="U4" i="39"/>
  <c r="U5" i="39"/>
  <c r="U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38" i="39"/>
  <c r="U39" i="39"/>
  <c r="U40" i="39"/>
  <c r="U41" i="39"/>
  <c r="U42" i="39"/>
  <c r="U43" i="39"/>
  <c r="U44" i="39"/>
  <c r="U45" i="39"/>
  <c r="U46" i="39"/>
  <c r="U47" i="39"/>
  <c r="U48" i="39"/>
  <c r="U49" i="39"/>
  <c r="U50" i="39"/>
  <c r="U51" i="39"/>
  <c r="U52" i="39"/>
  <c r="U53" i="39"/>
  <c r="U54" i="39"/>
  <c r="U55" i="39"/>
  <c r="U56" i="39"/>
  <c r="U57" i="39"/>
  <c r="U58" i="39"/>
  <c r="U59" i="39"/>
  <c r="U60" i="39"/>
  <c r="U61" i="39"/>
  <c r="U62" i="39"/>
  <c r="U63" i="39"/>
  <c r="U64" i="39"/>
  <c r="U65" i="39"/>
  <c r="U66" i="39"/>
  <c r="U67" i="39"/>
  <c r="U171" i="39"/>
  <c r="T3" i="39"/>
  <c r="T4" i="39"/>
  <c r="T5" i="39"/>
  <c r="T6" i="39"/>
  <c r="T7" i="39"/>
  <c r="T8" i="39"/>
  <c r="T9" i="39"/>
  <c r="T10" i="39"/>
  <c r="T11" i="39"/>
  <c r="T12" i="39"/>
  <c r="T13" i="39"/>
  <c r="T14" i="39"/>
  <c r="T15" i="39"/>
  <c r="T16" i="39"/>
  <c r="T17" i="39"/>
  <c r="T18" i="39"/>
  <c r="T19" i="39"/>
  <c r="T20" i="39"/>
  <c r="T21" i="39"/>
  <c r="T22" i="39"/>
  <c r="T23" i="39"/>
  <c r="T24" i="39"/>
  <c r="T25" i="39"/>
  <c r="T26" i="39"/>
  <c r="T27" i="39"/>
  <c r="T28" i="39"/>
  <c r="T29" i="39"/>
  <c r="T30" i="39"/>
  <c r="T31" i="39"/>
  <c r="T32" i="39"/>
  <c r="T33" i="39"/>
  <c r="T34" i="39"/>
  <c r="T35" i="39"/>
  <c r="T36" i="39"/>
  <c r="T37" i="39"/>
  <c r="T38" i="39"/>
  <c r="T39" i="39"/>
  <c r="T40" i="39"/>
  <c r="T41" i="39"/>
  <c r="T42" i="39"/>
  <c r="T43" i="39"/>
  <c r="T44" i="39"/>
  <c r="T45" i="39"/>
  <c r="T46" i="39"/>
  <c r="T47" i="39"/>
  <c r="T48" i="39"/>
  <c r="T49" i="39"/>
  <c r="T50" i="39"/>
  <c r="T51" i="39"/>
  <c r="T52" i="39"/>
  <c r="T53" i="39"/>
  <c r="T54" i="39"/>
  <c r="T55" i="39"/>
  <c r="T56" i="39"/>
  <c r="T57" i="39"/>
  <c r="T58" i="39"/>
  <c r="T59" i="39"/>
  <c r="T60" i="39"/>
  <c r="T61" i="39"/>
  <c r="T62" i="39"/>
  <c r="T63" i="39"/>
  <c r="T64" i="39"/>
  <c r="T65" i="39"/>
  <c r="T66" i="39"/>
  <c r="T67" i="39"/>
  <c r="T171" i="39"/>
  <c r="A17" i="8" l="1"/>
  <c r="B17" i="8"/>
  <c r="F17" i="8"/>
  <c r="A16" i="8" l="1"/>
  <c r="B16" i="8"/>
  <c r="F16" i="8"/>
  <c r="A15" i="8"/>
  <c r="B15" i="8"/>
  <c r="F15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B2" i="8"/>
  <c r="A2" i="8"/>
  <c r="F2" i="8"/>
  <c r="F3" i="8"/>
  <c r="F4" i="8"/>
  <c r="F5" i="8"/>
  <c r="F6" i="8"/>
  <c r="F7" i="8"/>
  <c r="F8" i="8"/>
  <c r="F9" i="8"/>
  <c r="F11" i="8"/>
  <c r="F12" i="8"/>
  <c r="F13" i="8"/>
  <c r="F14" i="8"/>
</calcChain>
</file>

<file path=xl/connections.xml><?xml version="1.0" encoding="utf-8"?>
<connections xmlns="http://schemas.openxmlformats.org/spreadsheetml/2006/main">
  <connection id="1" keepAlive="1" name="Запрос — _base_t1" description="Соединение с запросом &quot;_base_t1&quot; в книге." type="5" refreshedVersion="0" background="1">
    <dbPr connection="Provider=Microsoft.Mashup.OleDb.1;Data Source=$Workbook$;Location=_base_t1;Extended Properties=&quot;&quot;" command="SELECT * FROM [_base_t1]"/>
  </connection>
  <connection id="2" keepAlive="1" name="Запрос — _base_t2" description="Соединение с запросом &quot;_base_t2&quot; в книге." type="5" refreshedVersion="0" background="1">
    <dbPr connection="Provider=Microsoft.Mashup.OleDb.1;Data Source=$Workbook$;Location=_base_t2;Extended Properties=&quot;&quot;" command="SELECT * FROM [_base_t2]"/>
  </connection>
  <connection id="3" keepAlive="1" name="Запрос — _base_t3" description="Соединение с запросом &quot;_base_t3&quot; в книге." type="5" refreshedVersion="0" background="1">
    <dbPr connection="Provider=Microsoft.Mashup.OleDb.1;Data Source=$Workbook$;Location=_base_t3;Extended Properties=&quot;&quot;" command="SELECT * FROM [_base_t3]"/>
  </connection>
  <connection id="4" keepAlive="1" name="Запрос — _base_t4" description="Соединение с запросом &quot;_base_t4&quot; в книге." type="5" refreshedVersion="0" background="1">
    <dbPr connection="Provider=Microsoft.Mashup.OleDb.1;Data Source=$Workbook$;Location=_base_t4;Extended Properties=&quot;&quot;" command="SELECT * FROM [_base_t4]"/>
  </connection>
  <connection id="5" keepAlive="1" name="Запрос — _DATA_" description="Соединение с запросом &quot;_DATA_&quot; в книге." type="5" refreshedVersion="6" background="1" saveData="1">
    <dbPr connection="Provider=Microsoft.Mashup.OleDb.1;Data Source=$Workbook$;Location=_DATA_;Extended Properties=&quot;&quot;" command="SELECT * FROM [_DATA_]"/>
  </connection>
  <connection id="6" keepAlive="1" name="Запрос — _data_3" description="Соединение с запросом &quot;_data_3&quot; в книге." type="5" refreshedVersion="0" background="1">
    <dbPr connection="Provider=Microsoft.Mashup.OleDb.1;Data Source=$Workbook$;Location=_data_3;Extended Properties=&quot;&quot;" command="SELECT * FROM [_data_3]"/>
  </connection>
  <connection id="7" keepAlive="1" name="Запрос — _group_" description="Соединение с запросом &quot;_group_&quot; в книге." type="5" refreshedVersion="6" background="1" saveData="1">
    <dbPr connection="Provider=Microsoft.Mashup.OleDb.1;Data Source=$Workbook$;Location=_group_;Extended Properties=&quot;&quot;" command="SELECT * FROM [_group_]"/>
  </connection>
  <connection id="8" keepAlive="1" name="Запрос — _INDICATOR_" description="Соединение с запросом &quot;_INDICATOR_&quot; в книге." type="5" refreshedVersion="6" background="1" saveData="1">
    <dbPr connection="Provider=Microsoft.Mashup.OleDb.1;Data Source=$Workbook$;Location=_INDICATOR_;Extended Properties=&quot;&quot;" command="SELECT * FROM [_INDICATOR_]"/>
  </connection>
  <connection id="9" keepAlive="1" name="Запрос — _org_unit_" description="Соединение с запросом &quot;_org_unit_&quot; в книге." type="5" refreshedVersion="6" background="1" saveData="1">
    <dbPr connection="Provider=Microsoft.Mashup.OleDb.1;Data Source=$Workbook$;Location=_org_unit_;Extended Properties=&quot;&quot;" command="SELECT * FROM [_org_unit_]"/>
  </connection>
  <connection id="10" keepAlive="1" name="Запрос — _org_unit_ (v20)" description="Соединение с запросом &quot;_org_unit_ (v20)&quot; в книге." type="5" refreshedVersion="6" background="1" saveData="1">
    <dbPr connection="Provider=Microsoft.Mashup.OleDb.1;Data Source=$Workbook$;Location=&quot;_org_unit_ (v20)&quot;;Extended Properties=&quot;&quot;" command="SELECT * FROM [_org_unit_ (v20)]"/>
  </connection>
  <connection id="11" keepAlive="1" name="Запрос — _report" description="Соединение с запросом &quot;_report&quot; в книге." type="5" refreshedVersion="6" background="1" saveData="1">
    <dbPr connection="Provider=Microsoft.Mashup.OleDb.1;Data Source=$Workbook$;Location=_report;Extended Properties=&quot;&quot;" command="SELECT * FROM [_report]"/>
  </connection>
  <connection id="12" keepAlive="1" name="Запрос — _report_FAKTORING_" description="Соединение с запросом &quot;_report_FAKTORING_&quot; в книге." type="5" refreshedVersion="0" background="1">
    <dbPr connection="Provider=Microsoft.Mashup.OleDb.1;Data Source=$Workbook$;Location=_report_FAKTORING_;Extended Properties=&quot;&quot;" command="SELECT * FROM [_report_FAKTORING_]"/>
  </connection>
  <connection id="13" keepAlive="1" name="Запрос — _report_KMKKSB_" description="Соединение с запросом &quot;_report_KMKKSB_&quot; в книге." type="5" refreshedVersion="0" background="1">
    <dbPr connection="Provider=Microsoft.Mashup.OleDb.1;Data Source=$Workbook$;Location=_report_KMKKSB_;Extended Properties=&quot;&quot;" command="SELECT * FROM [_report_KMKKSB_]"/>
  </connection>
  <connection id="14" keepAlive="1" name="Запрос — _report_MNS_" description="Соединение с запросом &quot;_report_MNS_&quot; в книге." type="5" refreshedVersion="0" background="1">
    <dbPr connection="Provider=Microsoft.Mashup.OleDb.1;Data Source=$Workbook$;Location=_report_MNS_;Extended Properties=&quot;&quot;" command="SELECT * FROM [_report_MNS_]"/>
  </connection>
  <connection id="15" keepAlive="1" name="Запрос — _report_SERVICES_" description="Соединение с запросом &quot;_report_SERVICES_&quot; в книге." type="5" refreshedVersion="0" background="1">
    <dbPr connection="Provider=Microsoft.Mashup.OleDb.1;Data Source=$Workbook$;Location=_report_SERVICES_;Extended Properties=&quot;&quot;" command="SELECT * FROM [_report_SERVICES_]"/>
  </connection>
  <connection id="16" keepAlive="1" name="Запрос — _reward_" description="Соединение с запросом &quot;_reward_&quot; в книге." type="5" refreshedVersion="6" background="1" saveData="1">
    <dbPr connection="Provider=Microsoft.Mashup.OleDb.1;Data Source=$Workbook$;Location=_reward_;Extended Properties=&quot;&quot;" command="SELECT * FROM [_reward_]"/>
  </connection>
  <connection id="17" keepAlive="1" name="Запрос — _reward_3" description="Соединение с запросом &quot;_reward_3&quot; в книге." type="5" refreshedVersion="0" background="1">
    <dbPr connection="Provider=Microsoft.Mashup.OleDb.1;Data Source=$Workbook$;Location=_reward_3;Extended Properties=&quot;&quot;" command="SELECT * FROM [_reward_3]"/>
  </connection>
  <connection id="18" keepAlive="1" name="Запрос — _reward_link_" description="Соединение с запросом &quot;_reward_link_&quot; в книге." type="5" refreshedVersion="6" background="1" saveData="1">
    <dbPr connection="Provider=Microsoft.Mashup.OleDb.1;Data Source=$Workbook$;Location=_reward_link_;Extended Properties=&quot;&quot;" command="SELECT * FROM [_reward_link_]"/>
  </connection>
  <connection id="19" keepAlive="1" name="Запрос — _ROLE_" description="Соединение с запросом &quot;_ROLE_&quot; в книге." type="5" refreshedVersion="6" background="1" saveData="1">
    <dbPr connection="Provider=Microsoft.Mashup.OleDb.1;Data Source=$Workbook$;Location=_ROLE_;Extended Properties=&quot;&quot;" command="SELECT * FROM [_ROLE_]"/>
  </connection>
  <connection id="20" keepAlive="1" name="Запрос — _ROLE_ (test)" description="Соединение с запросом &quot;_ROLE_ (test)&quot; в книге." type="5" refreshedVersion="6" background="1" saveData="1">
    <dbPr connection="Provider=Microsoft.Mashup.OleDb.1;Data Source=$Workbook$;Location=&quot;_ROLE_ (test)&quot;;Extended Properties=&quot;&quot;" command="SELECT * FROM [_ROLE_ (test)]"/>
  </connection>
  <connection id="21" keepAlive="1" name="Запрос — _SCHEDULE_" description="Соединение с запросом &quot;_SCHEDULE_&quot; в книге." type="5" refreshedVersion="6" background="1" saveData="1">
    <dbPr connection="Provider=Microsoft.Mashup.OleDb.1;Data Source=$Workbook$;Location=_SCHEDULE_;Extended Properties=&quot;&quot;" command="SELECT * FROM [_SCHEDULE_]"/>
  </connection>
  <connection id="22" keepAlive="1" name="Запрос — _schedule_3" description="Соединение с запросом &quot;_schedule_3&quot; в книге." type="5" refreshedVersion="0" background="1">
    <dbPr connection="Provider=Microsoft.Mashup.OleDb.1;Data Source=$Workbook$;Location=_schedule_3;Extended Properties=&quot;&quot;" command="SELECT * FROM [_schedule_3]"/>
  </connection>
  <connection id="23" keepAlive="1" name="Запрос — employee_" description="Соединение с запросом &quot;employee_&quot; в книге." type="5" refreshedVersion="6" background="1" saveData="1">
    <dbPr connection="Provider=Microsoft.Mashup.OleDb.1;Data Source=$Workbook$;Location=employee_;Extended Properties=&quot;&quot;" command="SELECT * FROM [employee_]"/>
  </connection>
  <connection id="24" keepAlive="1" name="Запрос — employee_3" description="Соединение с запросом &quot;employee_3&quot; в книге." type="5" refreshedVersion="0" background="1">
    <dbPr connection="Provider=Microsoft.Mashup.OleDb.1;Data Source=$Workbook$;Location=employee_3;Extended Properties=&quot;&quot;" command="SELECT * FROM [employee_3]"/>
  </connection>
  <connection id="25" keepAlive="1" name="Запрос — ВСЕ КОДЫ" description="Соединение с запросом &quot;ВСЕ КОДЫ&quot; в книге." type="5" refreshedVersion="6" background="1" saveData="1">
    <dbPr connection="Provider=Microsoft.Mashup.OleDb.1;Data Source=$Workbook$;Location=&quot;ВСЕ КОДЫ&quot;;Extended Properties=&quot;&quot;" command="SELECT * FROM [ВСЕ КОДЫ]"/>
  </connection>
</connections>
</file>

<file path=xl/sharedStrings.xml><?xml version="1.0" encoding="utf-8"?>
<sst xmlns="http://schemas.openxmlformats.org/spreadsheetml/2006/main" count="49604" uniqueCount="4879">
  <si>
    <t>CONTEST_CODE</t>
  </si>
  <si>
    <t>TOURNAMENT_CODE</t>
  </si>
  <si>
    <t>1</t>
  </si>
  <si>
    <t>Путь</t>
  </si>
  <si>
    <t>Файл</t>
  </si>
  <si>
    <t>Данные</t>
  </si>
  <si>
    <t>описание</t>
  </si>
  <si>
    <t>строка</t>
  </si>
  <si>
    <t>CONTEST_30</t>
  </si>
  <si>
    <t>TOURNAMENT_30_03</t>
  </si>
  <si>
    <t>TOURNAMENT_30_04</t>
  </si>
  <si>
    <t>FULL_NAME</t>
  </si>
  <si>
    <t>CREATE_DT</t>
  </si>
  <si>
    <t>CLOSE_DT</t>
  </si>
  <si>
    <t>BUSINESS_STATUS</t>
  </si>
  <si>
    <t>CONTEST_TYPE</t>
  </si>
  <si>
    <t>CONTEST_DESCRIPTION</t>
  </si>
  <si>
    <t>CONTEST_FEATURE</t>
  </si>
  <si>
    <t>SHOW_INDICATOR</t>
  </si>
  <si>
    <t>PRODUCT_GROUP</t>
  </si>
  <si>
    <t>PRODUCT</t>
  </si>
  <si>
    <t>TARGET_TYPE</t>
  </si>
  <si>
    <t>SOURCE_UPD_FREQUENCY</t>
  </si>
  <si>
    <t>CALC_TYPE</t>
  </si>
  <si>
    <t>CONTEST_00</t>
  </si>
  <si>
    <t>Приветственный</t>
  </si>
  <si>
    <t>2023-07-01</t>
  </si>
  <si>
    <t>4000-01-01</t>
  </si>
  <si>
    <t>АРХИВНЫЙ</t>
  </si>
  <si>
    <t>ИНДИВИДУАЛЬНЫЙ</t>
  </si>
  <si>
    <t>Факт</t>
  </si>
  <si>
    <t>ПРОМ</t>
  </si>
  <si>
    <t>0</t>
  </si>
  <si>
    <t>CONTEST_01</t>
  </si>
  <si>
    <t>АКТИВНЫЙ</t>
  </si>
  <si>
    <t>ИНДИВИДУАЛЬНЫЙ НАКОПИТЕЛЬНЫЙ</t>
  </si>
  <si>
    <t>10</t>
  </si>
  <si>
    <t>CONTEST_02</t>
  </si>
  <si>
    <t>Индия накопи 500</t>
  </si>
  <si>
    <t>CONTEST_03</t>
  </si>
  <si>
    <t>Индия накопи 3000</t>
  </si>
  <si>
    <t>CONTEST_04</t>
  </si>
  <si>
    <t>Индия накопи 10000</t>
  </si>
  <si>
    <t>CONTEST_05</t>
  </si>
  <si>
    <t>Индия сделай х2</t>
  </si>
  <si>
    <t>CONTEST_06</t>
  </si>
  <si>
    <t>Индия сделай х3</t>
  </si>
  <si>
    <t>CONTEST_07</t>
  </si>
  <si>
    <t>Индия сделай х4</t>
  </si>
  <si>
    <t>Марафон по условным сделкам</t>
  </si>
  <si>
    <t>ТУРНИРНЫЙ</t>
  </si>
  <si>
    <t>Участниками турнира становятся клиентские менеджеры ККСБ, которые имеют закрытые условные сделки в период проведения турнира. \\n10% участников с наибольшими результатами в своем ГОСБ (Аппарате ТБ) получат бронзовый бейдж.  Лучшие 7% участников по сумме УС в своих тербанках получат серебряный бейдж. Наконец, победа на уровне страны – это золотой бейдж, который достанется 1% участников с максимальным результатом среди всех. Чемпионы страны получат все три бейджа и публикацию про себя в ленте Сообщества!</t>
  </si>
  <si>
    <t>Сумма УС, шт.</t>
  </si>
  <si>
    <t>CONTEST_10_01</t>
  </si>
  <si>
    <t>Активы. ТОП-1 по условным сделкам</t>
  </si>
  <si>
    <t>Чтобы стать участником, закрывайте условные сделки по Активам в течение срока проведения турнира. Каждый две недели побеждают менеджеры, которые закрывают больше всего условных сделок в своем территориальном банке — они получают серебряный бейдж. Участник с лучшим результатом по всей стране получает золото! Удачи!</t>
  </si>
  <si>
    <t>CONTEST_11</t>
  </si>
  <si>
    <t>Лига Чемпионов 1ПГ 2023</t>
  </si>
  <si>
    <t>CONTEST_12</t>
  </si>
  <si>
    <t>Лига Чемпионов 2ПГ 2023</t>
  </si>
  <si>
    <t>CONTEST_13</t>
  </si>
  <si>
    <t>Суперкубок 2023</t>
  </si>
  <si>
    <t>2023-01-01</t>
  </si>
  <si>
    <t>CONTEST_14</t>
  </si>
  <si>
    <t>СВЕРХБОНУС 1 место</t>
  </si>
  <si>
    <t>CONTEST_15</t>
  </si>
  <si>
    <t>СВЕРХБОНУС ТОП - 10%</t>
  </si>
  <si>
    <t>CONTEST_16</t>
  </si>
  <si>
    <t>СВЕРХБОНУС ТОП - 20%</t>
  </si>
  <si>
    <t>CONTEST_17</t>
  </si>
  <si>
    <t>СВЕРХБОНУС ТОП - 20+%</t>
  </si>
  <si>
    <t>Сумма, млн руб.</t>
  </si>
  <si>
    <t>CONTEST_19</t>
  </si>
  <si>
    <t>Участник мастерской РКПК 2023</t>
  </si>
  <si>
    <t>CONTEST_23</t>
  </si>
  <si>
    <t>Максимальный полученный доход от продажи продуктов СберЗдоровье</t>
  </si>
  <si>
    <t>2023-11-01</t>
  </si>
  <si>
    <t>Сумма, тыс. руб.</t>
  </si>
  <si>
    <t>CONTEST_08_01</t>
  </si>
  <si>
    <t>CONTEST_25</t>
  </si>
  <si>
    <t>Факторинг. Лучший по продажам</t>
  </si>
  <si>
    <t>Турнир проводится среди клиентских менеджеров ККСБ. Чтобы стать участником, необходимо заключить минимум одну сделку по факторингу в текущем квартале. ТОП-3 участника с наибольшими числом сделок по всей стране станут победителями турнира и попадут в ленту Сообщества!</t>
  </si>
  <si>
    <t>шт.</t>
  </si>
  <si>
    <t>CONTEST_26</t>
  </si>
  <si>
    <t>Факторинг Онлайн. Максимизируй портфель</t>
  </si>
  <si>
    <t>Турнир проводится среди клиентских менеджеров ККСБ. Чтобы стать участником, необходимо заключить хотя бы одну сделку по факторингу в онлайн процессе и иметь остаток задолженности по сделкам больше нуля. ТОП-5 участников по сумме портфеля факторинга в онлайн процессе станут победителями турнира!</t>
  </si>
  <si>
    <t>CONTEST_28</t>
  </si>
  <si>
    <t>Активы. Максимизируй прирост остатка</t>
  </si>
  <si>
    <t>Чтобы стать участником, покажи в текущем месяце положительный прирост остатка активов по своим клиентам. \\nПо итогам месяца выберем лучшие результаты в каждом подразделении. 10% участников с наибольшими результатами в своем ГОСБ (Аппарате ТБ) получат бронзовый бейдж. ТОП-1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ТОП-15 участников с лучшими результатами по всей стране. Удачи!</t>
  </si>
  <si>
    <t>Прирост ОСЗ, млн руб.</t>
  </si>
  <si>
    <t>7</t>
  </si>
  <si>
    <t>CONTEST_29</t>
  </si>
  <si>
    <t>Пассивы. Прирост остатка долгосрочных депозитов</t>
  </si>
  <si>
    <t>Участвуют клиентские менеджеры, которые за месяц проведения турнира показали положительный прирост остатка депозитов со сроком 31 день и более по своим клиентам. \\nПо итогам месяца в каждом ТБ победят менеджеры, вошедшие в ТОП-5 лучших по результату. А ТОП-10 участников с наибольшими результатами во всей стране получат золотой бейдж и публикацию про себя в ленте Сообщества!</t>
  </si>
  <si>
    <t>Прирост, млн руб.</t>
  </si>
  <si>
    <t>Пассивы. Максимизируй прирост остатка</t>
  </si>
  <si>
    <t>Участвуют клиентские менеджеры, которые второй месяц подряд (включая месяц проведения турнира) показывают положительный прирост остатка пассивов по своим клиентам. \\nПо итогам месяца в каждом ТБ победят менеджеры, вошедшие в 10% лучших по результату. А ТОП-10 участников с наибольшими результатами во всей стране получат золотой бейдж и публикацию про себя в ленте Сообщества!</t>
  </si>
  <si>
    <t>CONTEST_31</t>
  </si>
  <si>
    <t>Защита 360. Первая продажа</t>
  </si>
  <si>
    <t>CONTEST_32</t>
  </si>
  <si>
    <t>Страхование. Рыночные продажи</t>
  </si>
  <si>
    <t>Чтобы стать участником, заключи в текущем месяце договор и успей получить комиссию до конца турнира по рыночным продажам продуктов страхового брокера. В турнирную таблицу попадут менеджеры, собравшие 50 тыс. руб. и более. \\nПо итогам месяца 10% участников с лучшими результатами в каждом тербанке получат серебряный бейдж, а ТОП-10 по сумме комиссии клиентских менеджеров станут победителями на уровне всей страны и получат золотую награду!</t>
  </si>
  <si>
    <t>CONTEST_33</t>
  </si>
  <si>
    <t>Гарантии. Прирост комиссии</t>
  </si>
  <si>
    <t>Чтобы стать участником, получи в текущем месяце комиссию по банковским гарантиям больше, чем в предыдущем. \\nПо итогам месяца в каждом ГОСБ менеджер с ТОП-1 приростом получит бронзовый бейдж. А ТОП-15 по приросту во всей стрнане получат золотой бейдж и публикацию про себя в ленте Сообщества!</t>
  </si>
  <si>
    <t>CONTEST_34</t>
  </si>
  <si>
    <t>ФОТ. Прирост объема перечислений</t>
  </si>
  <si>
    <t>Чтобы стать участником, покажи в текущем месяце положительный прирост объема ФОТ по своей клиентской базе. Учитываются новые договоры и расширения по текущим. \\n10% участников с наибольшими результатами в своем ГОСБ (Аппарате ТБ) получат бронзовый бейдж. ТОП-1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ТОП-20 участников с лучшими результатами по всей стране. Удачи!</t>
  </si>
  <si>
    <t>ФОТ</t>
  </si>
  <si>
    <t>CONTEST_35</t>
  </si>
  <si>
    <t>ТФиДО. Максимизируй комиссию</t>
  </si>
  <si>
    <t>Чтобы стать участником, получи в текущем месяце комиссию по сделкам торгового финансирования. \\nПо итогам месяца ТОП-15 участников по сумме некредитной комиссии станут победителями на уровне всей страны и получат золотую награду!</t>
  </si>
  <si>
    <t>CONTEST_50</t>
  </si>
  <si>
    <t>Эксперт по развитию бизнеса</t>
  </si>
  <si>
    <t>CONTEST_100</t>
  </si>
  <si>
    <t>Кристаллы</t>
  </si>
  <si>
    <t>CONTEST_36</t>
  </si>
  <si>
    <t>Лизинг. Максимизируй сумму договоров</t>
  </si>
  <si>
    <t>Участвуют все, у кого в текущем квартале заключена лизинговая сделка. ТОП-15 участников с наибольшим объемом лизиновых сделок по сумме нового бизнеса по договорам купли-продажи станут победителями турнира. Они получат золотой бейдж и публикацию в ленте Сообщества</t>
  </si>
  <si>
    <t>CONTEST_37</t>
  </si>
  <si>
    <t>Лизинг. Максимизируй число клиентов</t>
  </si>
  <si>
    <t>Участвуют все, у кого в текущем квартале заключена лизинговая сделка. Награду в турнире получат ТОП-3 менеджера с наибольшим количеством клиентов с заключенными лизинговыми сделками.</t>
  </si>
  <si>
    <t>CONTEST_38</t>
  </si>
  <si>
    <t>Интернализация. Повышаем уровень</t>
  </si>
  <si>
    <t>CONTEST_39_01</t>
  </si>
  <si>
    <t>CAPMAN 1 клиент</t>
  </si>
  <si>
    <t>сделай сделки с 1 клиентов</t>
  </si>
  <si>
    <t>CONTEST_39_02</t>
  </si>
  <si>
    <t>CAPMAN 3 клиента</t>
  </si>
  <si>
    <t>сделай сделки с 3 клиентами</t>
  </si>
  <si>
    <t>CONTEST_39_03</t>
  </si>
  <si>
    <t>CAPMAN 10 клиентов</t>
  </si>
  <si>
    <t>сделай сделки с 10 клиентами</t>
  </si>
  <si>
    <t>Экосистема. Лучший СМНС по продажам продуктов экосистемы</t>
  </si>
  <si>
    <t>Турнир проводится среди Старших менеджеров нефинансового сервиса. Чтобы стать участником, нужно закрыть хотя бы одну сделку по продаже продуктов экосистемы в текущем квартале. Рейтинг участников турнира строится по интегральному показателю, который на 50% зависит от доли статьи «Влияние на ЧОД» в общих доходах от продуктов экосистемы и еще на 50% от процентов от выполнения личного квартального плана по доходам от экосистемы. \\nПо итогам квартала ТОП-1 МНС в каждом тербанке получит серебряный бейдж, а ТОП-3 участника с максимальными результатами — золотую награду и публикацию про себя в ленте Сообщества. Удачи!</t>
  </si>
  <si>
    <t>%</t>
  </si>
  <si>
    <t>Экосистема. Лучший директор по продажам продуктов экосистемы</t>
  </si>
  <si>
    <t>Турнир проводится среди Директоров управления продаж нефинансовых сервисов. Чтобы стать участником, нужно иметь показатель выполнения бизнес-плана по продаже нефинансовых сервисов в текущем квартале больший нуля. Рейтинг участников турнира строится по интегральному показателю, который на 50% зависит от доли статьи «Влияние на ЧОД» в общих доходах от продуктов экосистемы и еще на 50% от процентов от выполнения личного квартального плана по доходам от экосистемы. \\nПо итогам квартала ТОП-3 участника с максимальными результатами получат золотую награду и публикацию про себя в ленте Сообщества. Удачи!</t>
  </si>
  <si>
    <t>CONTEST_42</t>
  </si>
  <si>
    <t>ЦКП</t>
  </si>
  <si>
    <t>PERIOD_TYPE</t>
  </si>
  <si>
    <t>START_DT</t>
  </si>
  <si>
    <t>END_DT</t>
  </si>
  <si>
    <t>RESULT_DT</t>
  </si>
  <si>
    <t>TOURNAMENT_STATUS</t>
  </si>
  <si>
    <t>TOURNAMENT_01_01</t>
  </si>
  <si>
    <t>произвольный</t>
  </si>
  <si>
    <t>2023-10-01</t>
  </si>
  <si>
    <t>TOURNAMENT_02_01</t>
  </si>
  <si>
    <t>TOURNAMENT_03_01</t>
  </si>
  <si>
    <t>TOURNAMENT_04_01</t>
  </si>
  <si>
    <t>TOURNAMENT_05_01</t>
  </si>
  <si>
    <t>турнир месяца</t>
  </si>
  <si>
    <t>2023-07-31</t>
  </si>
  <si>
    <t>2023-08-31</t>
  </si>
  <si>
    <t>УДАЛЕН</t>
  </si>
  <si>
    <t>TOURNAMENT_05_02</t>
  </si>
  <si>
    <t>2023-08-01</t>
  </si>
  <si>
    <t>2023-09-04</t>
  </si>
  <si>
    <t>TOURNAMENT_05_03</t>
  </si>
  <si>
    <t>2023-09-01</t>
  </si>
  <si>
    <t>2023-09-30</t>
  </si>
  <si>
    <t>2023-10-07</t>
  </si>
  <si>
    <t>TOURNAMENT_05_04</t>
  </si>
  <si>
    <t>2023-10-31</t>
  </si>
  <si>
    <t>2023-11-13</t>
  </si>
  <si>
    <t>TOURNAMENT_05_05</t>
  </si>
  <si>
    <t>2023-11-30</t>
  </si>
  <si>
    <t>2023-12-13</t>
  </si>
  <si>
    <t>TOURNAMENT_05_06</t>
  </si>
  <si>
    <t>2023-12-01</t>
  </si>
  <si>
    <t>2023-12-31</t>
  </si>
  <si>
    <t>2024-01-15</t>
  </si>
  <si>
    <t>TOURNAMENT_05_2023_11</t>
  </si>
  <si>
    <t>турнир ноября</t>
  </si>
  <si>
    <t>2023-12-14</t>
  </si>
  <si>
    <t>ЗАВЕРШЕН</t>
  </si>
  <si>
    <t>TOURNAMENT_05_2023_12</t>
  </si>
  <si>
    <t>турнир декабря</t>
  </si>
  <si>
    <t>2024-02-20</t>
  </si>
  <si>
    <t>TOURNAMENT_05_2024_01</t>
  </si>
  <si>
    <t>турнир января</t>
  </si>
  <si>
    <t>2024-01-01</t>
  </si>
  <si>
    <t>2024-01-31</t>
  </si>
  <si>
    <t>ОТМЕНЕН</t>
  </si>
  <si>
    <t>TOURNAMENT_05_2024_03</t>
  </si>
  <si>
    <t>турнир марта</t>
  </si>
  <si>
    <t>2024-03-01</t>
  </si>
  <si>
    <t>2024-03-31</t>
  </si>
  <si>
    <t>2024-04-20</t>
  </si>
  <si>
    <t>TOURNAMENT_05_2024_04</t>
  </si>
  <si>
    <t>турнир апреля</t>
  </si>
  <si>
    <t>2024-04-01</t>
  </si>
  <si>
    <t>2024-04-30</t>
  </si>
  <si>
    <t/>
  </si>
  <si>
    <t>2024-05-20</t>
  </si>
  <si>
    <t>TOURNAMENT_06_01</t>
  </si>
  <si>
    <t>TOURNAMENT_06_02</t>
  </si>
  <si>
    <t>TOURNAMENT_06_03</t>
  </si>
  <si>
    <t>TOURNAMENT_06_04</t>
  </si>
  <si>
    <t>TOURNAMENT_06_05</t>
  </si>
  <si>
    <t>TOURNAMENT_06_06</t>
  </si>
  <si>
    <t>TOURNAMENT_07_01</t>
  </si>
  <si>
    <t>TOURNAMENT_07_02</t>
  </si>
  <si>
    <t>TOURNAMENT_07_03</t>
  </si>
  <si>
    <t>TOURNAMENT_07_04</t>
  </si>
  <si>
    <t>TOURNAMENT_07_05</t>
  </si>
  <si>
    <t>TOURNAMENT_07_06</t>
  </si>
  <si>
    <t>турнир февраля</t>
  </si>
  <si>
    <t>турнир мая</t>
  </si>
  <si>
    <t>турнир июня</t>
  </si>
  <si>
    <t>2023-06-01</t>
  </si>
  <si>
    <t>2023-06-30</t>
  </si>
  <si>
    <t>турнир июля</t>
  </si>
  <si>
    <t>турнир августа</t>
  </si>
  <si>
    <t>турнир сентября</t>
  </si>
  <si>
    <t>турнир октября</t>
  </si>
  <si>
    <t>турнир 2 недели</t>
  </si>
  <si>
    <t>TOURNAMENT_11_01</t>
  </si>
  <si>
    <t>2023-10-10</t>
  </si>
  <si>
    <t>TOURNAMENT_11_02</t>
  </si>
  <si>
    <t>TOURNAMENT_12_01</t>
  </si>
  <si>
    <t>TOURNAMENT_12_02</t>
  </si>
  <si>
    <t>2024-04-25</t>
  </si>
  <si>
    <t>TOURNAMENT_12_03</t>
  </si>
  <si>
    <t>TOURNAMENT_13_01</t>
  </si>
  <si>
    <t>TOURNAMENT_13_02</t>
  </si>
  <si>
    <t>TOURNAMENT_13_03</t>
  </si>
  <si>
    <t>TOURNAMENT_23_01</t>
  </si>
  <si>
    <t>турнир квартала</t>
  </si>
  <si>
    <t>2024-01-30</t>
  </si>
  <si>
    <t>TOURNAMENT_23_2023_04</t>
  </si>
  <si>
    <t>TOURNAMENT_08_01_2023_11</t>
  </si>
  <si>
    <t>2023-12-29</t>
  </si>
  <si>
    <t>TOURNAMENT_08_01_2023_12</t>
  </si>
  <si>
    <t>2024-01-24</t>
  </si>
  <si>
    <t>TOURNAMENT_08_01_2024_01</t>
  </si>
  <si>
    <t>2024-02-14</t>
  </si>
  <si>
    <t>TOURNAMENT_08_01_2024_02</t>
  </si>
  <si>
    <t>2024-02-01</t>
  </si>
  <si>
    <t>2024-02-29</t>
  </si>
  <si>
    <t>2024-03-24</t>
  </si>
  <si>
    <t>TOURNAMENT_08_01_2024_03</t>
  </si>
  <si>
    <t>TOURNAMENT_08_01_2024_04</t>
  </si>
  <si>
    <t>TOURNAMENT_08_01_2024_05</t>
  </si>
  <si>
    <t>2024-05-01</t>
  </si>
  <si>
    <t>2024-05-31</t>
  </si>
  <si>
    <t>2024-06-20</t>
  </si>
  <si>
    <t>TOURNAMENT_25_2023_12</t>
  </si>
  <si>
    <t>турнир 3 месяца</t>
  </si>
  <si>
    <t>2024-03-15</t>
  </si>
  <si>
    <t>TOURNAMENT_25_2024_02</t>
  </si>
  <si>
    <t>2024-06-30</t>
  </si>
  <si>
    <t>2024-07-20</t>
  </si>
  <si>
    <t>TOURNAMENT_26_2023_12</t>
  </si>
  <si>
    <t>TOURNAMENT_10_01_01</t>
  </si>
  <si>
    <t>2024-02-05</t>
  </si>
  <si>
    <t>2024-02-18</t>
  </si>
  <si>
    <t>2024-02-22</t>
  </si>
  <si>
    <t>TOURNAMENT_10_01_02</t>
  </si>
  <si>
    <t>2024-02-12</t>
  </si>
  <si>
    <t>2024-02-25</t>
  </si>
  <si>
    <t>TOURNAMENT_10_01_03</t>
  </si>
  <si>
    <t>2024-02-26</t>
  </si>
  <si>
    <t>2024-03-10</t>
  </si>
  <si>
    <t>2024-03-18</t>
  </si>
  <si>
    <t>TOURNAMENT_10_01_04</t>
  </si>
  <si>
    <t>2024-03-11</t>
  </si>
  <si>
    <t>2024-04-23</t>
  </si>
  <si>
    <t>TOURNAMENT_10_01_05</t>
  </si>
  <si>
    <t>2024-03-25</t>
  </si>
  <si>
    <t>2024-04-07</t>
  </si>
  <si>
    <t>2024-04-24</t>
  </si>
  <si>
    <t>TOURNAMENT_10_01_06</t>
  </si>
  <si>
    <t>турнир 3 недели</t>
  </si>
  <si>
    <t>2024-04-22</t>
  </si>
  <si>
    <t>2024-05-12</t>
  </si>
  <si>
    <t>TOURNAMENT_28_03</t>
  </si>
  <si>
    <t>TOURNAMENT_28_04</t>
  </si>
  <si>
    <t>TOURNAMENT_29_03</t>
  </si>
  <si>
    <t>2024-03-04</t>
  </si>
  <si>
    <t>TOURNAMENT_29_04</t>
  </si>
  <si>
    <t>TOURNAMENT_31_01</t>
  </si>
  <si>
    <t>TOURNAMENT_32_03</t>
  </si>
  <si>
    <t>TOURNAMENT_32_04</t>
  </si>
  <si>
    <t>TOURNAMENT_33_03</t>
  </si>
  <si>
    <t>TOURNAMENT_33_04</t>
  </si>
  <si>
    <t>TOURNAMENT_34_03</t>
  </si>
  <si>
    <t>TOURNAMENT_34_04</t>
  </si>
  <si>
    <t>TOURNAMENT_35_03</t>
  </si>
  <si>
    <t>TOURNAMENT_35_04</t>
  </si>
  <si>
    <t>TOURNAMENT_36_02</t>
  </si>
  <si>
    <t>TOURNAMENT_37_02</t>
  </si>
  <si>
    <t>TOURNAMENT_38_00</t>
  </si>
  <si>
    <t>TOURNAMENT_39_01</t>
  </si>
  <si>
    <t>TOURNAMENT_39_02</t>
  </si>
  <si>
    <t>TOURNAMENT_39_03</t>
  </si>
  <si>
    <t>TOURNAMENT_42_01</t>
  </si>
  <si>
    <t>REWARD_CODE</t>
  </si>
  <si>
    <t>REWARD_TYPE</t>
  </si>
  <si>
    <t>REWARD_DESCRIPTION</t>
  </si>
  <si>
    <t>REWARD_CONDITION</t>
  </si>
  <si>
    <t>REWARD_COST</t>
  </si>
  <si>
    <t>REWARD_ADD_DATA</t>
  </si>
  <si>
    <t>REWARD_00_01</t>
  </si>
  <si>
    <t>BADGE</t>
  </si>
  <si>
    <t>Инноваторы</t>
  </si>
  <si>
    <t>Тут будет описание</t>
  </si>
  <si>
    <t>2</t>
  </si>
  <si>
    <t>REWARD_00_02</t>
  </si>
  <si>
    <t>Ранние последователи</t>
  </si>
  <si>
    <t>Награда выдается первым пользователям за вклад в тестирование и отладку приложения Герои Продаж</t>
  </si>
  <si>
    <t>REWARD_01</t>
  </si>
  <si>
    <t>100 тыс. руб. комиссии по сделкам с Индией</t>
  </si>
  <si>
    <t>3</t>
  </si>
  <si>
    <t>REWARD_02</t>
  </si>
  <si>
    <t>500 тыс. руб. комиссии по сделкам с Индией</t>
  </si>
  <si>
    <t>5</t>
  </si>
  <si>
    <t>REWARD_03</t>
  </si>
  <si>
    <t>3 млн руб. комиссии по сделкам с Индией</t>
  </si>
  <si>
    <t>REWARD_04</t>
  </si>
  <si>
    <t>10 млн руб. комиссии по сделкам с Индией</t>
  </si>
  <si>
    <t>15</t>
  </si>
  <si>
    <t>REWARD_05</t>
  </si>
  <si>
    <t>х2 комиссии по сделкам с Индией</t>
  </si>
  <si>
    <t>Ты можешь это сделать! \\nСобери для банка комиссии (ЧКД) за конверсию в текущем месяце в 2 раза больше, чем в предыдущем от сделок своих клиентов с индийскими контрагентами и получи свою награду! Как только в текущем месяце будет получена первая комиссия, система расчитает индивидуальную цель по комиссии до конца месяца (сумма комисси в предыдущем месяце также должна быть больше нуля).</t>
  </si>
  <si>
    <t>REWARD_06</t>
  </si>
  <si>
    <t>х3 комиссии по сделкам с Индией</t>
  </si>
  <si>
    <t>Покажи серьезный и основательный подход к делу! \\nСобери для банка комиссии (ЧКД) за конверсию в текущем месяце в 3 раза больше, чем в предыдущем от сделок своих клиентов с индийскими контрагентами и получи свою награду! Получить бейдж возможно только, если в предыдущем месяце сумма накопленной комиссии была большу нуля.</t>
  </si>
  <si>
    <t>REWARD_07</t>
  </si>
  <si>
    <t>х4 комиссии по сделкам с Индией</t>
  </si>
  <si>
    <t>Докажи, что настоящий ас! \\nСобери для банка комиссии (ЧКД) за конверсию в текущем месяце в 4 раза больше, чем в предыдущем от сделок своих клиентов с индийскими контрагентами и получи свою награду! Получить бейдж возможно только, если в предыдущем месяце сумма накопленной комиссии была большу нуля.</t>
  </si>
  <si>
    <t>Лучший в подразделении по условным сделкам</t>
  </si>
  <si>
    <t>Победи в турнире Марафон по условным сделкам в рамках своего ГОСБ / Управления</t>
  </si>
  <si>
    <t>Победитель кластера по условным сделкам</t>
  </si>
  <si>
    <t>Стань одним из лучших в турнире Марафон по условным сделкам на уровне своего кластера</t>
  </si>
  <si>
    <t>Победитель ТБ по условным сделкам</t>
  </si>
  <si>
    <t>Стань одним из лучших в турнире Марафон по условным сделкам на уровне своего территориального банка</t>
  </si>
  <si>
    <t>Чемпион страны по условным сделкам</t>
  </si>
  <si>
    <t>Войди в число лучших их лучших в турнире Марафон по условным сделкам на уровне всей страны</t>
  </si>
  <si>
    <t>REWARD_09_01</t>
  </si>
  <si>
    <t>REWARD_09_02</t>
  </si>
  <si>
    <t>REWARD_09_03</t>
  </si>
  <si>
    <t>REWARD_09_04</t>
  </si>
  <si>
    <t>REWARD_10_01</t>
  </si>
  <si>
    <t>ТОП-1 по числу сделок активов в подразделении</t>
  </si>
  <si>
    <t>Стань ТОП-1 в своем подразделении в 2-х недельном турнире Активы. ТОП-1 по условным сделкам</t>
  </si>
  <si>
    <t>REWARD_10_02</t>
  </si>
  <si>
    <t>ТОП-1 по числу сделок активов в кластере</t>
  </si>
  <si>
    <t>Стань ТОП-1 в своем кластере в 2-х недельном турнире Активы. ТОП-1 по условным сделкам</t>
  </si>
  <si>
    <t>REWARD_10_03</t>
  </si>
  <si>
    <t>ТОП-1 по числу сделок активов в тербанке</t>
  </si>
  <si>
    <t>Стань ТОП-1 в своем тербанке в 2-х недельном турнире Активы. ТОП-1 по условным сделкам</t>
  </si>
  <si>
    <t>REWARD_10_04</t>
  </si>
  <si>
    <t>ТОП-1 по числу сделок активов в стране</t>
  </si>
  <si>
    <t>Стань ТОП-1 в стране в 2-х недельном турнире Активы. ТОП-1 по условным сделкам</t>
  </si>
  <si>
    <t>REWARD_10_03_01</t>
  </si>
  <si>
    <t>REWARD_10_04_01</t>
  </si>
  <si>
    <t>REWARD_11_01</t>
  </si>
  <si>
    <t>Победитель Лиги Чемпионов 1ПГ 2023</t>
  </si>
  <si>
    <t>Докажи, что лучший! \\nВойди вместе с командой в Лигу Чемпионов 1ПГ 2023 года и получите награду!</t>
  </si>
  <si>
    <t>REWARD_12_01</t>
  </si>
  <si>
    <t>Победитель Лиги Чемпионов 2ПГ 2023</t>
  </si>
  <si>
    <t>Докажи, что лучший! \\nВойди вместе с командой в Лигу Чемпионов 2ПГ 2023 года и получите награду!</t>
  </si>
  <si>
    <t>REWARD_13_01</t>
  </si>
  <si>
    <t>Победитель Суперкубка 2023</t>
  </si>
  <si>
    <t>Только лучшие из лучших станут победителями Суперкубка. \\nВойдите командой в число победителей 2023 года и получите награду!</t>
  </si>
  <si>
    <t>REWARD_14_01</t>
  </si>
  <si>
    <t>1 место Сверхбонуса 2ПГ 2023</t>
  </si>
  <si>
    <t>Возьми “Сверхбонус” вместе со своей командой в 2ПГ 2023! Займите первое место в своем территориальном банке среди всех КПК</t>
  </si>
  <si>
    <t>REWARD_15_01</t>
  </si>
  <si>
    <t>ТОП-10% Сверхбонуса 2ПГ 2023</t>
  </si>
  <si>
    <t>Возьми “Сверхбонус” вместе со своей командой в 2ПГ 2023! Войдите в ТОП-10% КПК в своем территориальном банке</t>
  </si>
  <si>
    <t>REWARD_16_01</t>
  </si>
  <si>
    <t>ТОП-20% Сверхбонуса 2ПГ 2023</t>
  </si>
  <si>
    <t>Возьми “Сверхбонус” вместе со своей командой в 2ПГ 2023! Войдите в ТОП-20% КПК в своем территориальном банке</t>
  </si>
  <si>
    <t>REWARD_17_01</t>
  </si>
  <si>
    <t>ТОП-20+% Сверхбонуса 2ПГ 2023</t>
  </si>
  <si>
    <t>Возьми “Сверхбонус” вместе со своей командой в 2ПГ 2023! Войдите в ТОП-20+% КПК в своем территориальном банке</t>
  </si>
  <si>
    <t>30</t>
  </si>
  <si>
    <t>REWARD_19_01</t>
  </si>
  <si>
    <t>Архитектор будущего</t>
  </si>
  <si>
    <t>Награда выдается участникам 6-ой мастерской развития бизнеса КПК “Архитекторы будущего”, 2023 год.</t>
  </si>
  <si>
    <t>REWARD_23_01</t>
  </si>
  <si>
    <t>Победитель подразделения по доходу от СберЗдоровья</t>
  </si>
  <si>
    <t>Стань одним из лучших в турнире для МНС Максимальный полученный доход от продажи продуктов СберЗдоровье на уровне своего подразделения</t>
  </si>
  <si>
    <t>REWARD_23_02</t>
  </si>
  <si>
    <t>Победитель кластера по доходу от СберЗдоровья</t>
  </si>
  <si>
    <t>Стань одним из лучших в турнире для МНС Максимальный полученный доход от продажи продуктов СберЗдоровье на уровне своего кластера</t>
  </si>
  <si>
    <t>REWARD_23_03</t>
  </si>
  <si>
    <t>Победитель тербанка по доходу от СберЗдоровья</t>
  </si>
  <si>
    <t>Стань одним из лучших в турнире для МНС Максимальный полученный доход от продажи продуктов СберЗдоровье на уровне своего территориального банка</t>
  </si>
  <si>
    <t>REWARD_23_04</t>
  </si>
  <si>
    <t>Чемпион страны по доходу от СберЗдоровья</t>
  </si>
  <si>
    <t>Стань лучшим из лучших во всей стране в турнире для МНС Максимальный полученный доход от продажи продуктов СберЗдоровье</t>
  </si>
  <si>
    <t>REWARD_25_01</t>
  </si>
  <si>
    <t>Лучший в подразделении по сделкам факторинга</t>
  </si>
  <si>
    <t>Победи в турнире Факторинг. Лучший по продажам в рамках своего ГОСБ / Управления</t>
  </si>
  <si>
    <t>REWARD_25_02</t>
  </si>
  <si>
    <t>Победитель кластера по сделкам факторинга</t>
  </si>
  <si>
    <t>Стань одним из лучших в турнире Факторинг. Лучший по продажам на уровне своего кластера</t>
  </si>
  <si>
    <t>REWARD_25_03</t>
  </si>
  <si>
    <t>Победитель ТБ по сделкам факторинга</t>
  </si>
  <si>
    <t>Стань одним из лучших в турнире Факторинг. Лучший по продажам на уровне своего территориального банка</t>
  </si>
  <si>
    <t>REWARD_25_04</t>
  </si>
  <si>
    <t>Чемпион по сделкам факторинга</t>
  </si>
  <si>
    <t>Стань лучшим из лучших во всей стране в турнире Факторинг. Лучший по продажам</t>
  </si>
  <si>
    <t>REWARD_26_01</t>
  </si>
  <si>
    <t>Лучший в подразделении по сумме портфеля онлайн факторинга</t>
  </si>
  <si>
    <t>Победи в турнире Факторинг Онлайн. Максимизируй портфель в рамках своего ГОСБ / Управления</t>
  </si>
  <si>
    <t>REWARD_26_02</t>
  </si>
  <si>
    <t>Победитель кластера по сумме портфеля онлайн факторинга</t>
  </si>
  <si>
    <t>Стань одним из лучших в турнире Факторинг Онлайн. Максимизируй портфель на уровне своего кластера</t>
  </si>
  <si>
    <t>REWARD_26_03</t>
  </si>
  <si>
    <t>Победитель ТБ по сумме портфеля онлайн факторинга</t>
  </si>
  <si>
    <t>Стань одним из лучших в турнире Факторинг Онлайн. Максимизируй портфель на уровне своего территориального банка</t>
  </si>
  <si>
    <t>REWARD_26_04</t>
  </si>
  <si>
    <t>Чемпион по сумме портфеля онлайн факторинга</t>
  </si>
  <si>
    <t>Стань лучшим из лучших во всей стране в турнире Факторинг Онлайн. Максимизируй портфель</t>
  </si>
  <si>
    <t>REWARD_28_01</t>
  </si>
  <si>
    <t>Лучший в подразделении по приросту остатка Активов</t>
  </si>
  <si>
    <t>Победи в турнире Активы. Максимизируй прирост остатка в рамках своего ГОСБ / Управления</t>
  </si>
  <si>
    <t>REWARD_28_02</t>
  </si>
  <si>
    <t>Победитель кластера по приросту остатка Активов</t>
  </si>
  <si>
    <t>Стань одним из лучших в турнире Активы. Максимизируй прирост остатка на уровне своего кластера</t>
  </si>
  <si>
    <t>REWARD_28_03</t>
  </si>
  <si>
    <t>Победитель ТБ по приросту остатка Активов</t>
  </si>
  <si>
    <t>Покажи лучший результат на уровне своего территориального банка в рамках турнира Активы. Максимизируй прирост остатка</t>
  </si>
  <si>
    <t>REWARD_28_04</t>
  </si>
  <si>
    <t>Чемпион страны по приросту остатка Активов</t>
  </si>
  <si>
    <t>Войди в число ТОП-15 участников в турнире Активы. Максимизируй прирост остатка на уровне всей страны</t>
  </si>
  <si>
    <t>REWARD_29_01</t>
  </si>
  <si>
    <t>Лучший в подразделении по приросту остатка долгосрочных депозитов</t>
  </si>
  <si>
    <t>Победи в турнире Пассивы. Прирост остатка долгосрочных депозитов в рамках своего ГОСБ / Управления</t>
  </si>
  <si>
    <t>REWARD_29_02</t>
  </si>
  <si>
    <t>Победитель кластера по приросту остатка долгосрочных депозитов</t>
  </si>
  <si>
    <t>Стань одним из лучших в турнире Пассивы. Прирост остатка долгосрочных депозитов на уровне своего кластера</t>
  </si>
  <si>
    <t>REWARD_29_03</t>
  </si>
  <si>
    <t>Победитель ТБ по приросту остатка долгосрочных депозитов</t>
  </si>
  <si>
    <t>Войди в ТОП-5 участников в турнире Пассивы. Прирост остатка долгосрочных депозитов на уровне своего территориального банка</t>
  </si>
  <si>
    <t>REWARD_29_04</t>
  </si>
  <si>
    <t>Чемпион страны по приросту остатка долгосрочных депозитов</t>
  </si>
  <si>
    <t>REWARD_30_01</t>
  </si>
  <si>
    <t>Лучший в подразделении по приросту остатка Пассивов</t>
  </si>
  <si>
    <t>Победи в турнире Пассивы. Максимизируй прирост остатка в рамках своего ГОСБ / Управления</t>
  </si>
  <si>
    <t>REWARD_30_02</t>
  </si>
  <si>
    <t>Победитель кластера по приросту остатка Пассивов</t>
  </si>
  <si>
    <t>Стань одним из лучших в турнире Пассивы. Максимизируй прирост остатка на уровне своего кластера</t>
  </si>
  <si>
    <t>REWARD_30_03</t>
  </si>
  <si>
    <t>Победитель ТБ по приросту остатка Пассивов</t>
  </si>
  <si>
    <t>Войди в число лучших 10% участников в турнире Пассивы. Максимизируй прирост остатка на уровне своего территориального банка</t>
  </si>
  <si>
    <t>REWARD_30_04</t>
  </si>
  <si>
    <t>Чемпион страны по приросту остатка Пассивов</t>
  </si>
  <si>
    <t>Войди в число ТОП-10 участников в турнире Пассивы. Максимизируй прирост остатка на уровне всей страны</t>
  </si>
  <si>
    <t>REWARD_31_01</t>
  </si>
  <si>
    <t>Защита бизнеса 360. Первая продажа</t>
  </si>
  <si>
    <t>Для получения бейджа необходимо реализовать сделку по страховому продукту «Защита бизнеса 360»</t>
  </si>
  <si>
    <t>REWARD_32_01</t>
  </si>
  <si>
    <t>Лучший в подразделении по комиссионному вознаграждению от рыночных продаж страхования</t>
  </si>
  <si>
    <t>Победи в турнире Страхование. Рыночные продажи в рамках своего ГОСБ / Управления</t>
  </si>
  <si>
    <t>REWARD_32_02</t>
  </si>
  <si>
    <t>Победитель кластера по комиссионному вознаграждению от рыночных продаж страхования</t>
  </si>
  <si>
    <t>Стань одним из лучших в турнире Страхование. Рыночные продажи на уровне своего кластера</t>
  </si>
  <si>
    <t>REWARD_32_03</t>
  </si>
  <si>
    <t>Победитель ТБ по комиссионному вознаграждению от рыночных продаж страхования</t>
  </si>
  <si>
    <t>Войди в число лучших 10% участников в турнире Страхование. Рыночные продажи на уровне своего территориального банка</t>
  </si>
  <si>
    <t>REWARD_32_04</t>
  </si>
  <si>
    <t>Чемпион страны по комиссионному вознаграждению от рыночных продаж страхования</t>
  </si>
  <si>
    <t>Войди в число ТОП-10 участников в турнире Страхование. Рыночные продажи на уровне всей страны</t>
  </si>
  <si>
    <t>REWARD_33_01</t>
  </si>
  <si>
    <t>Лучший в подразделении по приросту комиссии от банковских гарантий</t>
  </si>
  <si>
    <t>Стань ТОП-1 в турнире Гарантии. Прирост комиссии в рамках своего ГОСБ / Управления</t>
  </si>
  <si>
    <t>REWARD_33_02</t>
  </si>
  <si>
    <t>Победитель кластера по приросту комиссии от банковских гарантий</t>
  </si>
  <si>
    <t>Стань одним из лучших в турнире Гарантии. Прирост комиссии на уровне своего кластера</t>
  </si>
  <si>
    <t>REWARD_33_03</t>
  </si>
  <si>
    <t>Победитель ТБ по приросту комиссии от банковских гарантий</t>
  </si>
  <si>
    <t>Войди в число лучших 10% участников в турнире Гарантии. Прирост комиссии на уровне своего территориального банка</t>
  </si>
  <si>
    <t>REWARD_33_04</t>
  </si>
  <si>
    <t>Чемпион страны по приросту комиссии от банковских гарантий</t>
  </si>
  <si>
    <t>Войди в ТОП-15 участников в турнире Гарантии. Прирост комиссии на уровне всей страны</t>
  </si>
  <si>
    <t>REWARD_34_01</t>
  </si>
  <si>
    <t>Лучший в подразделении по приросту объема перечислений ФОТ</t>
  </si>
  <si>
    <t>Войди в 10% участников с лучшими результатами в турнире ФОТ. Прирост объема перечислений в рамках своего ГОСБ / Управления</t>
  </si>
  <si>
    <t>REWARD_34_02</t>
  </si>
  <si>
    <t>Победитель кластера по приросту объема перечислений ФОТ</t>
  </si>
  <si>
    <t>Стань одним из лучших в турнире ФОТ. Прирост объема перечислений на уровне своего кластера</t>
  </si>
  <si>
    <t>REWARD_34_03</t>
  </si>
  <si>
    <t>Победитель ТБ по приросту объема перечислений ФОТ</t>
  </si>
  <si>
    <t>Займи первое место на уровне своего территориального банка в рамках турнира ФОТ. Прирост объема перечислений</t>
  </si>
  <si>
    <t>REWARD_34_04</t>
  </si>
  <si>
    <t>Чемпион страны по приросту объема перечислений ФОТ</t>
  </si>
  <si>
    <t>Войди в ТОП-20 участников в турнире ФОТ. Прирост объема перечислений на уровне всей страны</t>
  </si>
  <si>
    <t>REWARD_35_02</t>
  </si>
  <si>
    <t>Победитель кластера по комиссионному вознаграждению от сделок торгового финансирования</t>
  </si>
  <si>
    <t>Стань одним из лучших в турнире ТФиДО. Максимизируй комиссию на уровне своего кластера</t>
  </si>
  <si>
    <t>REWARD_35_03</t>
  </si>
  <si>
    <t>Победитель ТБ по комиссионному вознаграждению от сделок торгового финансирования</t>
  </si>
  <si>
    <t>Войди в число лучших 10% участников в турнире ТФиДО. Максимизируй комиссию на уровне своего территориального банка</t>
  </si>
  <si>
    <t>REWARD_35_04</t>
  </si>
  <si>
    <t>Чемпион страны по комиссионному вознаграждению от сделок торгового финансирования</t>
  </si>
  <si>
    <t>Войди в ТОП-15 участников в турнире «ТФиДО. Максимизируй комиссию» на уровне всей страны</t>
  </si>
  <si>
    <t>REWARD_36_01</t>
  </si>
  <si>
    <t>Лучший в подразделении по сумме договоров лизинга</t>
  </si>
  <si>
    <t>Победи в турнире Лизинг. Максимизируй сумму договоров в рамках своего ГОСБ / Управления</t>
  </si>
  <si>
    <t>REWARD_36_02</t>
  </si>
  <si>
    <t>Победитель кластера по сумме договоров лизинга</t>
  </si>
  <si>
    <t>Стань одним из лучших в турнире Лизинг. Максимизируй сумму договоров на уровне своего кластера</t>
  </si>
  <si>
    <t>REWARD_36_03</t>
  </si>
  <si>
    <t>Победитель ТБ по сумме договоров лизинга</t>
  </si>
  <si>
    <t>Займи первое место на уровне своего территориального банка в рамках турнира Лизинг. Максимизируй сумму договоров</t>
  </si>
  <si>
    <t>REWARD_36_04</t>
  </si>
  <si>
    <t>Чемпион страны по сумме договоров лизинга</t>
  </si>
  <si>
    <t>Войди в ТОП-15 участников в турнире Лизинг. Максимизируй сумму договоров на уровне всей страны</t>
  </si>
  <si>
    <t>REWARD_37_01</t>
  </si>
  <si>
    <t>Лучший в подразделении по числу клиентов с лизингом</t>
  </si>
  <si>
    <t>Победи в турнире Лизинг. Максимизируй число договоров в рамках своего ГОСБ / Управления</t>
  </si>
  <si>
    <t>REWARD_37_02</t>
  </si>
  <si>
    <t>Победитель кластера по числу клиентов с лизингом</t>
  </si>
  <si>
    <t>Стань одним из лучших в турнире Лизинг. Максимизируй число договоров на уровне своего кластера</t>
  </si>
  <si>
    <t>REWARD_37_03</t>
  </si>
  <si>
    <t>Победитель ТБ по числу клиентов с лизингом</t>
  </si>
  <si>
    <t>Займи первое место на уровне своего территориального банка в рамках турнира Лизинг. Максимизируй число договоров</t>
  </si>
  <si>
    <t>REWARD_37_04</t>
  </si>
  <si>
    <t>Чемпион страны по числу клиентов с лизингом</t>
  </si>
  <si>
    <t>Войди в ТОП-3 участников в турнире Лизинг. Максимизируй число договоров на уровне всей страны</t>
  </si>
  <si>
    <t>LABEL_01</t>
  </si>
  <si>
    <t>LABEL</t>
  </si>
  <si>
    <t>Метку можно получить по результатам сертификации, успешно подтвердив первый и второй уровни экспертизы (отраслевая экспертиза и цифровая трансформация, а также финансовый анализ и кредитование, продукты ДИД).</t>
  </si>
  <si>
    <t>REWARD_100_01</t>
  </si>
  <si>
    <t>CRYSTAL</t>
  </si>
  <si>
    <t>Криcталл</t>
  </si>
  <si>
    <t>Кристалл</t>
  </si>
  <si>
    <t>{"""feature""": [], """nftFlg""": """N""", """outstanding""": """N""", """rewardRule""": """""", """rewardAgainGlobal""": """N""", """rewardAgainTournament""": """N""", """hidden""":"""Y""", """fileName""": """""", """teamNews""": """""", """singleNews""": """"""}</t>
  </si>
  <si>
    <t>REWARD_100_02</t>
  </si>
  <si>
    <t>REWARD_38_01</t>
  </si>
  <si>
    <t>Лучший в подразделении по приросту интернализации</t>
  </si>
  <si>
    <t>Победи в турнире Интернализация. Повышаем уровень в рамках своего ГОСБ / Управления</t>
  </si>
  <si>
    <t>REWARD_38_02</t>
  </si>
  <si>
    <t>Победитель кластера по приросту интернализации</t>
  </si>
  <si>
    <t>REWARD_38_03</t>
  </si>
  <si>
    <t>Победитель ТБ по приросту интернализации</t>
  </si>
  <si>
    <t>REWARD_38_04</t>
  </si>
  <si>
    <t>Чемпион страны по приросту интернализации</t>
  </si>
  <si>
    <t>REWARD_39_01</t>
  </si>
  <si>
    <t>REWARD_39_02</t>
  </si>
  <si>
    <t>REWARD_39_03</t>
  </si>
  <si>
    <t>Стань лучшим на уровне своего территориального банка в рамках турнира МНС. Увеличиваем влияние на ЧОД по продуктам экосистемы</t>
  </si>
  <si>
    <t>Войди в ТОП-3 участников в турнире МНС. Увеличиваем влияние на ЧОД по продуктам экосистемы на уровне всей страны</t>
  </si>
  <si>
    <t>4</t>
  </si>
  <si>
    <t>Войди в ТОП-3 участников в турнире МНС. Лучший директор по продажам продуктов экосистемы на уровне всей страны</t>
  </si>
  <si>
    <t>REWARD_42_01</t>
  </si>
  <si>
    <t>Первая сделка в ЦКП</t>
  </si>
  <si>
    <t>Бейдж выдается всем клиентским менеджерам за заключение первой сделки в рамках цифрового кредитного процесса.</t>
  </si>
  <si>
    <t>INDICATOR_CALC_TYPE</t>
  </si>
  <si>
    <t>INDICATOR_ADD_CALC_TYPE</t>
  </si>
  <si>
    <t>INDICATOR_OBJECT</t>
  </si>
  <si>
    <t>INDICATOR_MARK_TYPE</t>
  </si>
  <si>
    <t>INDICATOR_MATCH</t>
  </si>
  <si>
    <t>INDICATOR_VALUE</t>
  </si>
  <si>
    <t>CONTEST_CRITERION</t>
  </si>
  <si>
    <t>INCOME</t>
  </si>
  <si>
    <t>CRITERION</t>
  </si>
  <si>
    <t>&gt;=</t>
  </si>
  <si>
    <t>100000</t>
  </si>
  <si>
    <t>500000</t>
  </si>
  <si>
    <t>3000000</t>
  </si>
  <si>
    <t>10000000</t>
  </si>
  <si>
    <t>GAIN</t>
  </si>
  <si>
    <t>X2</t>
  </si>
  <si>
    <t>X3</t>
  </si>
  <si>
    <t>X4</t>
  </si>
  <si>
    <t>WD</t>
  </si>
  <si>
    <t>RATING</t>
  </si>
  <si>
    <t>MAX</t>
  </si>
  <si>
    <t>WAIT</t>
  </si>
  <si>
    <t>=</t>
  </si>
  <si>
    <t>GROUP_CODE</t>
  </si>
  <si>
    <t>GROUP_VALUE</t>
  </si>
  <si>
    <t>GET_CALC_METHOD</t>
  </si>
  <si>
    <t>GET_CALC_CRITERION</t>
  </si>
  <si>
    <t>ADD_CALC_CRITERION</t>
  </si>
  <si>
    <t>BASE_CALC_CODE</t>
  </si>
  <si>
    <t>BANK</t>
  </si>
  <si>
    <t>GOSB</t>
  </si>
  <si>
    <t>0.10000</t>
  </si>
  <si>
    <t>TB</t>
  </si>
  <si>
    <t>0.07000</t>
  </si>
  <si>
    <t>0.01000</t>
  </si>
  <si>
    <t>GROUPING</t>
  </si>
  <si>
    <t>20</t>
  </si>
  <si>
    <t>PERSON_NUMBER</t>
  </si>
  <si>
    <t>SURNAME</t>
  </si>
  <si>
    <t>FIRST_NAME</t>
  </si>
  <si>
    <t>Иван</t>
  </si>
  <si>
    <t>00000000000000000001</t>
  </si>
  <si>
    <t>Иванов</t>
  </si>
  <si>
    <t>MIDDLE_NAME</t>
  </si>
  <si>
    <t>MANAGER_FULL_NAME</t>
  </si>
  <si>
    <t>POSITION_NAME</t>
  </si>
  <si>
    <t>TB_CODE</t>
  </si>
  <si>
    <t>GOSB_CODE</t>
  </si>
  <si>
    <t>BUSINESS_BLOCK</t>
  </si>
  <si>
    <t>PRIORITY_TYPE</t>
  </si>
  <si>
    <t>PERSON_NUMBER_ADD</t>
  </si>
  <si>
    <t>13</t>
  </si>
  <si>
    <t>MNS</t>
  </si>
  <si>
    <t>Иванович</t>
  </si>
  <si>
    <t>16</t>
  </si>
  <si>
    <t>18</t>
  </si>
  <si>
    <t>38</t>
  </si>
  <si>
    <t>40</t>
  </si>
  <si>
    <t>42</t>
  </si>
  <si>
    <t>44</t>
  </si>
  <si>
    <t>52</t>
  </si>
  <si>
    <t>54</t>
  </si>
  <si>
    <t>55</t>
  </si>
  <si>
    <t>70</t>
  </si>
  <si>
    <t>99</t>
  </si>
  <si>
    <t>не участник</t>
  </si>
  <si>
    <t>101</t>
  </si>
  <si>
    <t>102</t>
  </si>
  <si>
    <t>Иванов Иван Иванович</t>
  </si>
  <si>
    <t>Специальный гость</t>
  </si>
  <si>
    <t>1025</t>
  </si>
  <si>
    <t>8644</t>
  </si>
  <si>
    <t>N</t>
  </si>
  <si>
    <t>MANAGER_PERSON_NUMBER</t>
  </si>
  <si>
    <t>CONTEST_DATE</t>
  </si>
  <si>
    <t>PLAN_VALUE</t>
  </si>
  <si>
    <t>FACT_VALUE</t>
  </si>
  <si>
    <t>priority_type</t>
  </si>
  <si>
    <t>0.00000</t>
  </si>
  <si>
    <t>FULL_NAME.1</t>
  </si>
  <si>
    <t>TOURNAMENT_28_05</t>
  </si>
  <si>
    <t>TOURNAMENT_29_05</t>
  </si>
  <si>
    <t>TOURNAMENT_30_05</t>
  </si>
  <si>
    <t>TOURNAMENT_32_05</t>
  </si>
  <si>
    <t>TOURNAMENT_33_05</t>
  </si>
  <si>
    <t>TOURNAMENT_34_05</t>
  </si>
  <si>
    <t>TOURNAMENT_35_05</t>
  </si>
  <si>
    <t>2024-04-27</t>
  </si>
  <si>
    <t>2024-12-31</t>
  </si>
  <si>
    <t>[]</t>
  </si>
  <si>
    <t>2024-05-13</t>
  </si>
  <si>
    <t>CONTEST_m_01</t>
  </si>
  <si>
    <t>CONTEST_m_02</t>
  </si>
  <si>
    <t>CONTEST_43</t>
  </si>
  <si>
    <t>CONTEST_51</t>
  </si>
  <si>
    <t>TOURNAMENT_m_01_02</t>
  </si>
  <si>
    <t>TOURNAMENT_m_02_02</t>
  </si>
  <si>
    <t>TOURNAMENT_50_01</t>
  </si>
  <si>
    <t>TOURNAMENT_51_01</t>
  </si>
  <si>
    <t>Отраслевой эксперт</t>
  </si>
  <si>
    <t>LABEL_02</t>
  </si>
  <si>
    <t>REWARD_43_01</t>
  </si>
  <si>
    <t>Лизинговый миллиардер</t>
  </si>
  <si>
    <t>REWARD_m_02_04</t>
  </si>
  <si>
    <t>Лизинговый миллардер</t>
  </si>
  <si>
    <t>млн руб.</t>
  </si>
  <si>
    <t>TOURNAMENT_38_01</t>
  </si>
  <si>
    <t>TOURNAMENT_38_02</t>
  </si>
  <si>
    <t>турнир года</t>
  </si>
  <si>
    <t>REWARD_40_03</t>
  </si>
  <si>
    <t>REWARD_40_04</t>
  </si>
  <si>
    <t>90382</t>
  </si>
  <si>
    <t>90381</t>
  </si>
  <si>
    <t>90386</t>
  </si>
  <si>
    <t>1024</t>
  </si>
  <si>
    <t>8593</t>
  </si>
  <si>
    <t>Индия накопи 100</t>
  </si>
  <si>
    <t>2024-05-26</t>
  </si>
  <si>
    <t>TOURNAMENT_10_01_07</t>
  </si>
  <si>
    <t>TOURNAMENT_10_01_08</t>
  </si>
  <si>
    <t>2024-05-27</t>
  </si>
  <si>
    <t>2024-06-09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</si>
  <si>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"""tagColor""": """orange-80""", """tagEndDT""": """2024-12-31"""}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</si>
  <si>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"""tagColor""": """green-70""", """tagEndDT""": """2024-12-31"""}</t>
  </si>
  <si>
    <t>LABEL_03</t>
  </si>
  <si>
    <t>Я-Наставник</t>
  </si>
  <si>
    <t>Участники проекта «Я-Наставник» помогают клиентским менеджерам - новичкам в сегменте ККСБ адаптироваться и выйти на эффективность в своей роли.</t>
  </si>
  <si>
    <t>Войди в ТОП-3 участников по своему кластеру в рамках турнира Интернализация. Повышаем уровень</t>
  </si>
  <si>
    <t>Войди в ТОП-3 участников по своему территориальному банку в рамках турнира Интернализация. Повышаем уровень</t>
  </si>
  <si>
    <t>Войди в ТОП-3 участников в турнире Интернализация. Повышаем уровень на уровне всей страны</t>
  </si>
  <si>
    <t>1 клиент с процентными ПФИ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</si>
  <si>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1 клиента, заключившего сделку процентного хеджирования кредитов в 2024 году.</t>
  </si>
  <si>
    <t>3 клиента с процентными ПФИ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</si>
  <si>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3 клиента, заключивших сделки процентного хеджирования кредитов в 2024 году.</t>
  </si>
  <si>
    <t>10 клиентов с процентными ПФИ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</si>
  <si>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10 клиентов, заключивших сделки процентного хеджирования кредитов в 2024 году.</t>
  </si>
  <si>
    <t>REWARD_m_01_03</t>
  </si>
  <si>
    <t>REWARD_m_01_04</t>
  </si>
  <si>
    <t>CONTEST_52</t>
  </si>
  <si>
    <t>TOURNAMENT_05_2024_05</t>
  </si>
  <si>
    <t>TOURNAMENT_05_2024_06</t>
  </si>
  <si>
    <t>2024-06-01</t>
  </si>
  <si>
    <t>TOURNAMENT_08_01_2024_06</t>
  </si>
  <si>
    <t>TOURNAMENT_28_06</t>
  </si>
  <si>
    <t>TOURNAMENT_30_06</t>
  </si>
  <si>
    <t>TOURNAMENT_32_06</t>
  </si>
  <si>
    <t>TOURNAMENT_33_06</t>
  </si>
  <si>
    <t>TOURNAMENT_34_06</t>
  </si>
  <si>
    <t>TOURNAMENT_35_06</t>
  </si>
  <si>
    <t>2024-07-01</t>
  </si>
  <si>
    <t>2024-07-31</t>
  </si>
  <si>
    <t>2024-08-20</t>
  </si>
  <si>
    <t>2024-09-20</t>
  </si>
  <si>
    <t>TOURNAMENT_m_23_02</t>
  </si>
  <si>
    <t>TOURNAMENT_52_01</t>
  </si>
  <si>
    <t>2024-06-10</t>
  </si>
  <si>
    <t>TOURNAMENT_10_01_09</t>
  </si>
  <si>
    <t>2024-06-23</t>
  </si>
  <si>
    <t>Войди в ТОП-10 участников в турнире Пассивы. Прирост остатка долгосрочных депозитов на уровне всей страны</t>
  </si>
  <si>
    <t>CONTEST_00_BANK</t>
  </si>
  <si>
    <t>CONTEST_01_BANK</t>
  </si>
  <si>
    <t>CONTEST_02_BANK</t>
  </si>
  <si>
    <t>CONTEST_03_BANK</t>
  </si>
  <si>
    <t>CONTEST_04_BANK</t>
  </si>
  <si>
    <t>CONTEST_05_BANK</t>
  </si>
  <si>
    <t>CONTEST_06_BANK</t>
  </si>
  <si>
    <t>CONTEST_07_BANK</t>
  </si>
  <si>
    <t>CONTEST_08_01_GOSB</t>
  </si>
  <si>
    <t>CONTEST_08_01_TB</t>
  </si>
  <si>
    <t>CONTEST_08_01_BANK</t>
  </si>
  <si>
    <t>CONTEST_10_01_TB</t>
  </si>
  <si>
    <t>CONTEST_10_01_BANK</t>
  </si>
  <si>
    <t>CONTEST_11_BANK</t>
  </si>
  <si>
    <t>CONTEST_12_BANK</t>
  </si>
  <si>
    <t>CONTEST_13_BANK</t>
  </si>
  <si>
    <t>CONTEST_14_BANK</t>
  </si>
  <si>
    <t>CONTEST_15_BANK</t>
  </si>
  <si>
    <t>CONTEST_16_BANK</t>
  </si>
  <si>
    <t>CONTEST_17_BANK</t>
  </si>
  <si>
    <t>CONTEST_19_BANK</t>
  </si>
  <si>
    <t>CONTEST_23_BANK</t>
  </si>
  <si>
    <t>CONTEST_23_TB</t>
  </si>
  <si>
    <t>CONTEST_25_BANK</t>
  </si>
  <si>
    <t>CONTEST_26_BANK</t>
  </si>
  <si>
    <t>CONTEST_28_GOSB</t>
  </si>
  <si>
    <t>CONTEST_28_TB</t>
  </si>
  <si>
    <t>CONTEST_28_BANK</t>
  </si>
  <si>
    <t>CONTEST_29_TB</t>
  </si>
  <si>
    <t>CONTEST_29_BANK</t>
  </si>
  <si>
    <t>CONTEST_30_TB</t>
  </si>
  <si>
    <t>CONTEST_30_BANK</t>
  </si>
  <si>
    <t>CONTEST_31_BANK</t>
  </si>
  <si>
    <t>CONTEST_32_TB</t>
  </si>
  <si>
    <t>CONTEST_32_BANK</t>
  </si>
  <si>
    <t>CONTEST_33_GOSB</t>
  </si>
  <si>
    <t>CONTEST_33_BANK</t>
  </si>
  <si>
    <t>CONTEST_34_GOSB</t>
  </si>
  <si>
    <t>CONTEST_34_TB</t>
  </si>
  <si>
    <t>CONTEST_34_BANK</t>
  </si>
  <si>
    <t>CONTEST_35_BANK</t>
  </si>
  <si>
    <t>CONTEST_100_BANK</t>
  </si>
  <si>
    <t>CONTEST_36_BANK</t>
  </si>
  <si>
    <t>CONTEST_37_BANK</t>
  </si>
  <si>
    <t>CONTEST_38_GOSB</t>
  </si>
  <si>
    <t>CONTEST_38_TB</t>
  </si>
  <si>
    <t>CONTEST_38_BANK</t>
  </si>
  <si>
    <t>CONTEST_39_01_BANK</t>
  </si>
  <si>
    <t>CONTEST_39_02_BANK</t>
  </si>
  <si>
    <t>CONTEST_39_03_BANK</t>
  </si>
  <si>
    <t>CONTEST_m_01_TB</t>
  </si>
  <si>
    <t>CONTEST_m_01_BANK</t>
  </si>
  <si>
    <t>CONTEST_m_02_BANK</t>
  </si>
  <si>
    <t>CONTEST_42_BANK</t>
  </si>
  <si>
    <t>CONTEST_43_BANK</t>
  </si>
  <si>
    <t>CONTEST_50_BANK</t>
  </si>
  <si>
    <t>CONTEST_51_BANK</t>
  </si>
  <si>
    <t>CONTEST_52_BANK</t>
  </si>
  <si>
    <t>TB_FULL_NAME</t>
  </si>
  <si>
    <t>TB_SHORT_NAME</t>
  </si>
  <si>
    <t>GOSB_NAME</t>
  </si>
  <si>
    <t>GOSB_SHORT_NAME</t>
  </si>
  <si>
    <t>CLUSTER_CODE</t>
  </si>
  <si>
    <t>GROUPING_CODE</t>
  </si>
  <si>
    <t>GOSB_CNT</t>
  </si>
  <si>
    <t>GROUPING_CNT</t>
  </si>
  <si>
    <t>DIV_LEVEL_1_CODE</t>
  </si>
  <si>
    <t>Сбер Факторинг</t>
  </si>
  <si>
    <t>Подразделение</t>
  </si>
  <si>
    <t>Сбербанк Лизинг</t>
  </si>
  <si>
    <t>100</t>
  </si>
  <si>
    <t>Сбер</t>
  </si>
  <si>
    <t>ГОСБ</t>
  </si>
  <si>
    <t>Центрально-Черноземный банк</t>
  </si>
  <si>
    <t>ЦЧБ</t>
  </si>
  <si>
    <t>Аппарат территориального банка</t>
  </si>
  <si>
    <t>Аппарат ТБ</t>
  </si>
  <si>
    <t>1300</t>
  </si>
  <si>
    <t>Аппарат Центрально-Черноземного банка</t>
  </si>
  <si>
    <t>12</t>
  </si>
  <si>
    <t>8592</t>
  </si>
  <si>
    <t xml:space="preserve">Белгородское ГОСБ </t>
  </si>
  <si>
    <t>21</t>
  </si>
  <si>
    <t>9013</t>
  </si>
  <si>
    <t>ГО по Воронежской области</t>
  </si>
  <si>
    <t>36</t>
  </si>
  <si>
    <t>8594</t>
  </si>
  <si>
    <t xml:space="preserve">Тамбовское ГОСБ </t>
  </si>
  <si>
    <t>8</t>
  </si>
  <si>
    <t>8595</t>
  </si>
  <si>
    <t xml:space="preserve">Орловское ГОСБ </t>
  </si>
  <si>
    <t>8596</t>
  </si>
  <si>
    <t xml:space="preserve">Курское ГОСБ </t>
  </si>
  <si>
    <t>9</t>
  </si>
  <si>
    <t xml:space="preserve">Липецкое ГОСБ </t>
  </si>
  <si>
    <t>Уральский банк</t>
  </si>
  <si>
    <t>УБ</t>
  </si>
  <si>
    <t>9016</t>
  </si>
  <si>
    <t>Аппарат Уральского банка</t>
  </si>
  <si>
    <t>24</t>
  </si>
  <si>
    <t>8598</t>
  </si>
  <si>
    <t xml:space="preserve">Башкирское ГОСБ </t>
  </si>
  <si>
    <t>8647</t>
  </si>
  <si>
    <t xml:space="preserve">Западно-Сибирское ГОСБ </t>
  </si>
  <si>
    <t>19</t>
  </si>
  <si>
    <t>8599</t>
  </si>
  <si>
    <t xml:space="preserve">Курганское ГОСБ </t>
  </si>
  <si>
    <t>7003</t>
  </si>
  <si>
    <t xml:space="preserve">Свердловское ГОСБ </t>
  </si>
  <si>
    <t>43</t>
  </si>
  <si>
    <t>8597</t>
  </si>
  <si>
    <t xml:space="preserve">Челябинское ГОСБ </t>
  </si>
  <si>
    <t>23</t>
  </si>
  <si>
    <t>5940</t>
  </si>
  <si>
    <t xml:space="preserve">Югорское отделение </t>
  </si>
  <si>
    <t>8369</t>
  </si>
  <si>
    <t xml:space="preserve">Ямало-Ненецкое отделение </t>
  </si>
  <si>
    <t>Байкальский банк</t>
  </si>
  <si>
    <t>ББ</t>
  </si>
  <si>
    <t>1802</t>
  </si>
  <si>
    <t>Аппарат Байкальского Банка</t>
  </si>
  <si>
    <t>8601</t>
  </si>
  <si>
    <t xml:space="preserve">Бурятское ГОСБ </t>
  </si>
  <si>
    <t>6</t>
  </si>
  <si>
    <t>8586</t>
  </si>
  <si>
    <t xml:space="preserve">Иркутское ГОСБ </t>
  </si>
  <si>
    <t>27</t>
  </si>
  <si>
    <t>8600</t>
  </si>
  <si>
    <t xml:space="preserve">Читинское ГОСБ </t>
  </si>
  <si>
    <t>8603</t>
  </si>
  <si>
    <t xml:space="preserve">Якутское ГОСБ </t>
  </si>
  <si>
    <t>Московский банк</t>
  </si>
  <si>
    <t>МБ</t>
  </si>
  <si>
    <t>Управление МБ по работе с предприятиями инфраструктуры</t>
  </si>
  <si>
    <t>Управление</t>
  </si>
  <si>
    <t>22</t>
  </si>
  <si>
    <t>10242114</t>
  </si>
  <si>
    <t>Управление МБ по работе с предприятиями промышленности</t>
  </si>
  <si>
    <t>33</t>
  </si>
  <si>
    <t>10242078</t>
  </si>
  <si>
    <t>90383</t>
  </si>
  <si>
    <t>Управление МБ по работе с предприятиями сферы недвижимости</t>
  </si>
  <si>
    <t>10240714</t>
  </si>
  <si>
    <t>90384</t>
  </si>
  <si>
    <t>Управление МБ по работе с предприятиями сферы услуг</t>
  </si>
  <si>
    <t>29</t>
  </si>
  <si>
    <t>10241967</t>
  </si>
  <si>
    <t>90385</t>
  </si>
  <si>
    <t>Управление МБ по работе с предприятиями торговли</t>
  </si>
  <si>
    <t>64</t>
  </si>
  <si>
    <t>10241463</t>
  </si>
  <si>
    <t>Управление МБ по работе с предприятиями транспорта</t>
  </si>
  <si>
    <t>26</t>
  </si>
  <si>
    <t>10241962</t>
  </si>
  <si>
    <t>Среднерусский банк</t>
  </si>
  <si>
    <t>СРБ</t>
  </si>
  <si>
    <t>3000</t>
  </si>
  <si>
    <t>Аппарат Среднерусского банка</t>
  </si>
  <si>
    <t>1023</t>
  </si>
  <si>
    <t xml:space="preserve">Восточное ГОСБ </t>
  </si>
  <si>
    <t xml:space="preserve">Западное ГОСБ </t>
  </si>
  <si>
    <t>8608</t>
  </si>
  <si>
    <t xml:space="preserve">Калужское ГОСБ </t>
  </si>
  <si>
    <t>8605</t>
  </si>
  <si>
    <t xml:space="preserve">Брянское ГОСБ </t>
  </si>
  <si>
    <t>8609</t>
  </si>
  <si>
    <t xml:space="preserve">Смоленское ГОСБ </t>
  </si>
  <si>
    <t>8606</t>
  </si>
  <si>
    <t xml:space="preserve">Рязанское ГОСБ </t>
  </si>
  <si>
    <t>1026</t>
  </si>
  <si>
    <t xml:space="preserve">Северное ГОСБ </t>
  </si>
  <si>
    <t>8639</t>
  </si>
  <si>
    <t xml:space="preserve">Ивановское ГОСБ </t>
  </si>
  <si>
    <t>8640</t>
  </si>
  <si>
    <t xml:space="preserve">Костромское ГОСБ </t>
  </si>
  <si>
    <t>8607</t>
  </si>
  <si>
    <t xml:space="preserve">Тверское ГОСБ </t>
  </si>
  <si>
    <t>8604</t>
  </si>
  <si>
    <t xml:space="preserve">Тульское ГОСБ </t>
  </si>
  <si>
    <t xml:space="preserve">Южное ГОСБ </t>
  </si>
  <si>
    <t>17</t>
  </si>
  <si>
    <t xml:space="preserve">Ярославское ГОСБ </t>
  </si>
  <si>
    <t>Волго-Вятский банк</t>
  </si>
  <si>
    <t>ВВБ</t>
  </si>
  <si>
    <t>4200</t>
  </si>
  <si>
    <t>Аппарат Волго-Вятского банка</t>
  </si>
  <si>
    <t>8610</t>
  </si>
  <si>
    <t xml:space="preserve">Банк Татарстан ГОСБ </t>
  </si>
  <si>
    <t>31</t>
  </si>
  <si>
    <t>8611</t>
  </si>
  <si>
    <t xml:space="preserve">Владимирское ГОСБ </t>
  </si>
  <si>
    <t>9042</t>
  </si>
  <si>
    <t>ГО по Нижегородской области</t>
  </si>
  <si>
    <t>8589</t>
  </si>
  <si>
    <t xml:space="preserve">Мордовское ГОСБ </t>
  </si>
  <si>
    <t>8612</t>
  </si>
  <si>
    <t xml:space="preserve">Кировское ГОСБ </t>
  </si>
  <si>
    <t>6984</t>
  </si>
  <si>
    <t xml:space="preserve">Пермское ГОСБ </t>
  </si>
  <si>
    <t>8618</t>
  </si>
  <si>
    <t xml:space="preserve">Удмуртское ГОСБ </t>
  </si>
  <si>
    <t>8613</t>
  </si>
  <si>
    <t xml:space="preserve">Чувашское ГОСБ </t>
  </si>
  <si>
    <t>8614</t>
  </si>
  <si>
    <t xml:space="preserve">Марий Эл ГОСБ </t>
  </si>
  <si>
    <t>Сибирский банк</t>
  </si>
  <si>
    <t>СИБ</t>
  </si>
  <si>
    <t>9044</t>
  </si>
  <si>
    <t>Аппарат Сибирского банка</t>
  </si>
  <si>
    <t>8558</t>
  </si>
  <si>
    <t>Горно-Алтайское ГОСБ</t>
  </si>
  <si>
    <t>8047</t>
  </si>
  <si>
    <t>8602</t>
  </si>
  <si>
    <t>Абаканское ГОСБ</t>
  </si>
  <si>
    <t>8634</t>
  </si>
  <si>
    <t>8591</t>
  </si>
  <si>
    <t>Кызылское ГОСБ</t>
  </si>
  <si>
    <t>8616</t>
  </si>
  <si>
    <t xml:space="preserve">Алтайское ГОСБ </t>
  </si>
  <si>
    <t>14</t>
  </si>
  <si>
    <t>8615</t>
  </si>
  <si>
    <t xml:space="preserve">Кемеровское ГОСБ </t>
  </si>
  <si>
    <t>8646</t>
  </si>
  <si>
    <t xml:space="preserve">Красноярское ГОСБ </t>
  </si>
  <si>
    <t xml:space="preserve">Новосибирское ГОСБ </t>
  </si>
  <si>
    <t>28</t>
  </si>
  <si>
    <t xml:space="preserve">Омское ГОСБ </t>
  </si>
  <si>
    <t>11</t>
  </si>
  <si>
    <t xml:space="preserve">Томское ГОСБ </t>
  </si>
  <si>
    <t>Юго-Западный банк</t>
  </si>
  <si>
    <t>ЮЗБ</t>
  </si>
  <si>
    <t>9052</t>
  </si>
  <si>
    <t>Аппарат Юго-Западного банка</t>
  </si>
  <si>
    <t>5200</t>
  </si>
  <si>
    <t>ГО по Республике Крым</t>
  </si>
  <si>
    <t>1806</t>
  </si>
  <si>
    <t xml:space="preserve">Центральное ГОСБ </t>
  </si>
  <si>
    <t>5230</t>
  </si>
  <si>
    <t>8620</t>
  </si>
  <si>
    <t xml:space="preserve">Адыгейское ГОСБ </t>
  </si>
  <si>
    <t>8643</t>
  </si>
  <si>
    <t>8590</t>
  </si>
  <si>
    <t xml:space="preserve">Дагестанское ОСБ </t>
  </si>
  <si>
    <t>8633</t>
  </si>
  <si>
    <t xml:space="preserve">Ингушское ОСБ </t>
  </si>
  <si>
    <t>8579</t>
  </si>
  <si>
    <t xml:space="preserve">Калмыцкое ОСБ </t>
  </si>
  <si>
    <t xml:space="preserve">Чеченское ОСБ </t>
  </si>
  <si>
    <t>8619</t>
  </si>
  <si>
    <t xml:space="preserve">Краснодарское ГОСБ </t>
  </si>
  <si>
    <t>48</t>
  </si>
  <si>
    <t>5221</t>
  </si>
  <si>
    <t xml:space="preserve">Ростовское ГОСБ </t>
  </si>
  <si>
    <t>8585</t>
  </si>
  <si>
    <t xml:space="preserve">Карачаево-Черкесское ОСБ </t>
  </si>
  <si>
    <t xml:space="preserve">Ставропольское ГОСБ </t>
  </si>
  <si>
    <t>8632</t>
  </si>
  <si>
    <t xml:space="preserve">Северо-Осетинское ОСБ </t>
  </si>
  <si>
    <t>8631</t>
  </si>
  <si>
    <t xml:space="preserve">Кабардино-Балкарское ОСБ </t>
  </si>
  <si>
    <t>Поволжский банк</t>
  </si>
  <si>
    <t>ПБ</t>
  </si>
  <si>
    <t>9054</t>
  </si>
  <si>
    <t>Аппарат Поволжского банка</t>
  </si>
  <si>
    <t>8625</t>
  </si>
  <si>
    <t xml:space="preserve">Астраханское ГОСБ </t>
  </si>
  <si>
    <t>8621</t>
  </si>
  <si>
    <t xml:space="preserve">Волгоградское ГОСБ </t>
  </si>
  <si>
    <t>8623</t>
  </si>
  <si>
    <t xml:space="preserve">Оренбургское ГОСБ </t>
  </si>
  <si>
    <t>8624</t>
  </si>
  <si>
    <t xml:space="preserve">Пензенское ГОСБ </t>
  </si>
  <si>
    <t>6991</t>
  </si>
  <si>
    <t xml:space="preserve">Самарское ГОСБ </t>
  </si>
  <si>
    <t>8622</t>
  </si>
  <si>
    <t xml:space="preserve">Саратовское ГОСБ </t>
  </si>
  <si>
    <t>8588</t>
  </si>
  <si>
    <t xml:space="preserve">Ульяновское ГОСБ </t>
  </si>
  <si>
    <t>Северо-Западный банк</t>
  </si>
  <si>
    <t>СЗБ</t>
  </si>
  <si>
    <t>9055</t>
  </si>
  <si>
    <t>Аппарат Северо-Западного банка</t>
  </si>
  <si>
    <t>8637</t>
  </si>
  <si>
    <t xml:space="preserve">Архангельское ГОСБ </t>
  </si>
  <si>
    <t>8638</t>
  </si>
  <si>
    <t xml:space="preserve">Вологодское ГОСБ </t>
  </si>
  <si>
    <t>9500</t>
  </si>
  <si>
    <t>ГО по г. Санкт-Петербургу</t>
  </si>
  <si>
    <t>78</t>
  </si>
  <si>
    <t>9600</t>
  </si>
  <si>
    <t>ГО по Ленинградской области</t>
  </si>
  <si>
    <t>8626</t>
  </si>
  <si>
    <t xml:space="preserve">Калининградское ГОСБ </t>
  </si>
  <si>
    <t>8617</t>
  </si>
  <si>
    <t xml:space="preserve">Коми ГОСБ </t>
  </si>
  <si>
    <t>8628</t>
  </si>
  <si>
    <t xml:space="preserve">Карельское ГОСБ </t>
  </si>
  <si>
    <t>8627</t>
  </si>
  <si>
    <t xml:space="preserve">Мурманское ГОСБ </t>
  </si>
  <si>
    <t>8629</t>
  </si>
  <si>
    <t xml:space="preserve">Новгородское ГОСБ </t>
  </si>
  <si>
    <t>8630</t>
  </si>
  <si>
    <t xml:space="preserve">Псковское ГОСБ </t>
  </si>
  <si>
    <t>Дальневосточный банк</t>
  </si>
  <si>
    <t>ДВБ</t>
  </si>
  <si>
    <t>7000</t>
  </si>
  <si>
    <t>Аппарат Дальневосточного банка</t>
  </si>
  <si>
    <t>8636</t>
  </si>
  <si>
    <t xml:space="preserve">Благовещенское ГОСБ </t>
  </si>
  <si>
    <t>8556</t>
  </si>
  <si>
    <t xml:space="preserve">Камчатское ГОСБ </t>
  </si>
  <si>
    <t>8635</t>
  </si>
  <si>
    <t xml:space="preserve">Приморское ГОСБ </t>
  </si>
  <si>
    <t>9070</t>
  </si>
  <si>
    <t xml:space="preserve">Хабаровское ГОСБ </t>
  </si>
  <si>
    <t>8567</t>
  </si>
  <si>
    <t xml:space="preserve">Южно-Сахалинское ГОСБ </t>
  </si>
  <si>
    <t>4157</t>
  </si>
  <si>
    <t xml:space="preserve">Биробиджанское ГОСБ </t>
  </si>
  <si>
    <t>8557</t>
  </si>
  <si>
    <t xml:space="preserve">Чукотское ГОСБ </t>
  </si>
  <si>
    <t>8645</t>
  </si>
  <si>
    <t xml:space="preserve">Северо-Восточное ГОСБ </t>
  </si>
  <si>
    <t>Центральный аппарат</t>
  </si>
  <si>
    <t>ЦА</t>
  </si>
  <si>
    <t>2024-06-28</t>
  </si>
  <si>
    <t>TOURNAMENT_14_01</t>
  </si>
  <si>
    <t>TOURNAMENT_15_01</t>
  </si>
  <si>
    <t>TOURNAMENT_16_01</t>
  </si>
  <si>
    <t>TOURNAMENT_17_01</t>
  </si>
  <si>
    <t>TOURNAMENT_29_06</t>
  </si>
  <si>
    <t>TOURNAMENT_28_07</t>
  </si>
  <si>
    <t>TOURNAMENT_30_07</t>
  </si>
  <si>
    <t>2024-07-02</t>
  </si>
  <si>
    <t>REWARD_s_01_01</t>
  </si>
  <si>
    <t>1 инициатива</t>
  </si>
  <si>
    <t>REWARD_s_01_02</t>
  </si>
  <si>
    <t>3 инициативы</t>
  </si>
  <si>
    <t>REWARD_s_01_03</t>
  </si>
  <si>
    <t>5 инициатив</t>
  </si>
  <si>
    <t>Комиссия, тыс. руб.</t>
  </si>
  <si>
    <t>CONTEST_s_01_01</t>
  </si>
  <si>
    <t>Стать автором инициативы в рамках профессионального сообщества или подать ее через СберБуст. При условии, что иницатива будет принята, а ты станешь участником ее реализации - ты автоматически включаешься в рейтинг участников.</t>
  </si>
  <si>
    <t>CONTEST_s_01_02</t>
  </si>
  <si>
    <t>CONTEST_s_01_03</t>
  </si>
  <si>
    <t>CONTEST_s_01_01_BANK</t>
  </si>
  <si>
    <t>CONTEST_s_01_02_BANK</t>
  </si>
  <si>
    <t>CONTEST_s_01_03_BANK</t>
  </si>
  <si>
    <t>Реализуй инициативу и получи награду! \\nСтань автором инициативы в рамках профессионального сообщества или подай ее через СберБуст. При условии, что инициатива будет принята, а ты станешь участником ее реализации,  получишь бейдж.</t>
  </si>
  <si>
    <t>Накопи на своем счету 3 реализованные инициативы и получи награду. Инициативы должны быть зарегистрированы в СберБуст либо утверждены и реализованы в профессиональном сообществе сервисных менеджеров.</t>
  </si>
  <si>
    <t>Эта награда для самых инициативных сервис- менеджеров! \\nДоведи до внедрения 10 инициатив и получи золотую награду по инициативам. Инициативы должны быть зарегистрированы в СберБуст либо утверждены и реализованы в профессиональном сообществе сервисных менеджеров.</t>
  </si>
  <si>
    <t>-</t>
  </si>
  <si>
    <t>TOURNAMENT_29_07</t>
  </si>
  <si>
    <t>TOURNAMENT_25_2024_03</t>
  </si>
  <si>
    <t>2024-07-10</t>
  </si>
  <si>
    <t>TOURNAMENT_05_2024_07</t>
  </si>
  <si>
    <t>TOURNAMENT_08_01_2024_07</t>
  </si>
  <si>
    <t>2024-09-30</t>
  </si>
  <si>
    <t>2024-10-20</t>
  </si>
  <si>
    <t>TOURNAMENT_32_07</t>
  </si>
  <si>
    <t>TOURNAMENT_33_07</t>
  </si>
  <si>
    <t>2024-07-05</t>
  </si>
  <si>
    <t>TOURNAMENT_34_07</t>
  </si>
  <si>
    <t>TOURNAMENT_35_07</t>
  </si>
  <si>
    <t>TOURNAMENT_36_03</t>
  </si>
  <si>
    <t>2024-08-01</t>
  </si>
  <si>
    <t>TOURNAMENT_s_01_01</t>
  </si>
  <si>
    <t>TOURNAMENT_s_01_02</t>
  </si>
  <si>
    <t>TOURNAMENT_s_01_03</t>
  </si>
  <si>
    <t>SERVICEMEN</t>
  </si>
  <si>
    <t>9014</t>
  </si>
  <si>
    <t>ГО по Луганской Народной Республике</t>
  </si>
  <si>
    <t>9053</t>
  </si>
  <si>
    <t>ГО по Донецкой Народной Республике</t>
  </si>
  <si>
    <t>2024-05-19</t>
  </si>
  <si>
    <t>2024-07-06</t>
  </si>
  <si>
    <t>Столбец1</t>
  </si>
  <si>
    <t>Столбец2</t>
  </si>
  <si>
    <t>ИД2</t>
  </si>
  <si>
    <t>ИД1</t>
  </si>
  <si>
    <t>CONTEST_00_REWARD_00_01_BANK</t>
  </si>
  <si>
    <t>CONTEST_00_REWARD_00_02_BANK</t>
  </si>
  <si>
    <t>CONTEST_01_REWARD_01_BANK</t>
  </si>
  <si>
    <t>CONTEST_02_REWARD_02_BANK</t>
  </si>
  <si>
    <t>CONTEST_03_REWARD_03_BANK</t>
  </si>
  <si>
    <t>CONTEST_04_REWARD_04_BANK</t>
  </si>
  <si>
    <t>CONTEST_05_REWARD_05_BANK</t>
  </si>
  <si>
    <t>CONTEST_06_REWARD_06_BANK</t>
  </si>
  <si>
    <t>CONTEST_07_REWARD_07_BANK</t>
  </si>
  <si>
    <t>CONTEST_08_01_REWARD_09_01_GOSB</t>
  </si>
  <si>
    <t>CONTEST_08_01_REWARD_09_03_TB</t>
  </si>
  <si>
    <t>CONTEST_08_01_REWARD_09_04_BANK</t>
  </si>
  <si>
    <t>CONTEST_10_01_REWARD_10_03_TB</t>
  </si>
  <si>
    <t>CONTEST_10_01_REWARD_10_04_BANK</t>
  </si>
  <si>
    <t>CONTEST_11_REWARD_11_01_BANK</t>
  </si>
  <si>
    <t>CONTEST_12_REWARD_12_01_BANK</t>
  </si>
  <si>
    <t>CONTEST_13_REWARD_13_01_BANK</t>
  </si>
  <si>
    <t>CONTEST_14_REWARD_14_01_BANK</t>
  </si>
  <si>
    <t>CONTEST_15_REWARD_15_01_BANK</t>
  </si>
  <si>
    <t>CONTEST_16_REWARD_16_01_BANK</t>
  </si>
  <si>
    <t>CONTEST_17_REWARD_17_01_BANK</t>
  </si>
  <si>
    <t>CONTEST_19_REWARD_19_01_BANK</t>
  </si>
  <si>
    <t>CONTEST_23_REWARD_23_03_TB</t>
  </si>
  <si>
    <t>CONTEST_23_REWARD_23_04_BANK</t>
  </si>
  <si>
    <t>CONTEST_25_REWARD_25_04_BANK</t>
  </si>
  <si>
    <t>CONTEST_26_REWARD_26_04_BANK</t>
  </si>
  <si>
    <t>CONTEST_28_REWARD_28_01_GOSB</t>
  </si>
  <si>
    <t>CONTEST_28_REWARD_28_03_TB</t>
  </si>
  <si>
    <t>CONTEST_28_REWARD_28_04_BANK</t>
  </si>
  <si>
    <t>CONTEST_30_REWARD_30_03_TB</t>
  </si>
  <si>
    <t>CONTEST_30_REWARD_30_04_BANK</t>
  </si>
  <si>
    <t>CONTEST_29_REWARD_29_03_TB</t>
  </si>
  <si>
    <t>CONTEST_29_REWARD_29_04_BANK</t>
  </si>
  <si>
    <t>CONTEST_31_REWARD_31_01_BANK</t>
  </si>
  <si>
    <t>CONTEST_32_REWARD_32_03_TB</t>
  </si>
  <si>
    <t>CONTEST_32_REWARD_32_04_BANK</t>
  </si>
  <si>
    <t>CONTEST_33_REWARD_33_01_GOSB</t>
  </si>
  <si>
    <t>CONTEST_33_REWARD_33_04_BANK</t>
  </si>
  <si>
    <t>CONTEST_34_REWARD_34_01_GOSB</t>
  </si>
  <si>
    <t>CONTEST_34_REWARD_34_03_TB</t>
  </si>
  <si>
    <t>CONTEST_34_REWARD_34_04_BANK</t>
  </si>
  <si>
    <t>CONTEST_35_REWARD_35_04_BANK</t>
  </si>
  <si>
    <t>CONTEST_100_REWARD_100_01_BANK</t>
  </si>
  <si>
    <t>CONTEST_100_REWARD_100_02_BANK</t>
  </si>
  <si>
    <t>CONTEST_36_REWARD_36_04_BANK</t>
  </si>
  <si>
    <t>CONTEST_37_REWARD_37_04_BANK</t>
  </si>
  <si>
    <t>CONTEST_38_REWARD_38_01_GOSB</t>
  </si>
  <si>
    <t>CONTEST_38_REWARD_38_03_TB</t>
  </si>
  <si>
    <t>CONTEST_38_REWARD_38_04_BANK</t>
  </si>
  <si>
    <t>CONTEST_39_01_REWARD_39_01_BANK</t>
  </si>
  <si>
    <t>CONTEST_39_02_REWARD_39_02_BANK</t>
  </si>
  <si>
    <t>CONTEST_39_03_REWARD_39_03_BANK</t>
  </si>
  <si>
    <t>CONTEST_m_01_REWARD_m_01_03_TB</t>
  </si>
  <si>
    <t>CONTEST_m_01_REWARD_m_01_04_BANK</t>
  </si>
  <si>
    <t>CONTEST_m_02_REWARD_m_02_04_BANK</t>
  </si>
  <si>
    <t>CONTEST_42_REWARD_42_01_BANK</t>
  </si>
  <si>
    <t>CONTEST_43_REWARD_43_01_BANK</t>
  </si>
  <si>
    <t>CONTEST_50_LABEL_01_BANK</t>
  </si>
  <si>
    <t>CONTEST_51_LABEL_02_BANK</t>
  </si>
  <si>
    <t>CONTEST_52_LABEL_03_BANK</t>
  </si>
  <si>
    <t>CONTEST_s_01_01_REWARD_s_01_01_BANK</t>
  </si>
  <si>
    <t>CONTEST_s_01_02_REWARD_s_01_02_BANK</t>
  </si>
  <si>
    <t>CONTEST_s_01_03_REWARD_s_01_03_BANK</t>
  </si>
  <si>
    <t>для теста на ДУБЛИ</t>
  </si>
  <si>
    <t>ДАТА ДАННЫХ</t>
  </si>
  <si>
    <t>2024-07-13</t>
  </si>
  <si>
    <t>2024-07-15</t>
  </si>
  <si>
    <t>TOURNAMENT_37_03</t>
  </si>
  <si>
    <t>TOURNAMENT_m_23_03</t>
  </si>
  <si>
    <t>TOURNAMENT_m_01_03</t>
  </si>
  <si>
    <t>PLAN</t>
  </si>
  <si>
    <t>FACT</t>
  </si>
  <si>
    <t>KKSB</t>
  </si>
  <si>
    <t>SERVICES</t>
  </si>
  <si>
    <t>FACTORING</t>
  </si>
  <si>
    <t>источник</t>
  </si>
  <si>
    <t>ТИП</t>
  </si>
  <si>
    <t>2024-07-17</t>
  </si>
  <si>
    <t>CONTEST_44</t>
  </si>
  <si>
    <t>CONTEST_45</t>
  </si>
  <si>
    <t>2024-08-31</t>
  </si>
  <si>
    <t>TOURNAMENT_44_2024_08</t>
  </si>
  <si>
    <t>TOURNAMENT_45_2024_08</t>
  </si>
  <si>
    <t xml:space="preserve">Страхование. Продукты ESG </t>
  </si>
  <si>
    <t>ESG</t>
  </si>
  <si>
    <t>Страхование. Продукты ДМС</t>
  </si>
  <si>
    <t>ДМС</t>
  </si>
  <si>
    <t>CONTEST_44_TB</t>
  </si>
  <si>
    <t>CONTEST_44_BANK</t>
  </si>
  <si>
    <t>CONTEST_45_GOSB</t>
  </si>
  <si>
    <t>CONTEST_45_TB</t>
  </si>
  <si>
    <t>CONTEST_45_BANK</t>
  </si>
  <si>
    <t>REWARD_44_01</t>
  </si>
  <si>
    <t>REWARD_44_03</t>
  </si>
  <si>
    <t>CONTEST_44_REWARD_44_03_TB</t>
  </si>
  <si>
    <t>REWARD_44_04</t>
  </si>
  <si>
    <t>CONTEST_44_REWARD_44_04_BANK</t>
  </si>
  <si>
    <t>REWARD_45_01</t>
  </si>
  <si>
    <t>CONTEST_45_REWARD_45_01_GOSB</t>
  </si>
  <si>
    <t>REWARD_45_03</t>
  </si>
  <si>
    <t>CONTEST_45_REWARD_45_03_TB</t>
  </si>
  <si>
    <t>REWARD_45_04</t>
  </si>
  <si>
    <t>CONTEST_45_REWARD_45_04_BANK</t>
  </si>
  <si>
    <t>Лучший в подразделении по комиссии от страховых продуктов ESG</t>
  </si>
  <si>
    <t>Победи в турнире Страхование. Продукты ESG  в рамках своего ГОСБ / Управления</t>
  </si>
  <si>
    <t>Победитель ТБ по комиссии от страховых продуктов ESG</t>
  </si>
  <si>
    <t>Чемпион страны по комиссии от страховых продуктов ESG</t>
  </si>
  <si>
    <t>Лучший в подразделении по комиссии от страховых продуктов ДМС</t>
  </si>
  <si>
    <t>Победи в турнире Страхование. Продукты ДМС  в рамках своего ГОСБ / Управления</t>
  </si>
  <si>
    <t>Победитель ТБ по комиссии от страховых продуктов ДМС</t>
  </si>
  <si>
    <t>Чемпион страны по комиссии от страховых продуктов ДМС</t>
  </si>
  <si>
    <t>2024-07-29</t>
  </si>
  <si>
    <t>2024-07-27</t>
  </si>
  <si>
    <t>TOURNAMENT_28_08</t>
  </si>
  <si>
    <t>TOURNAMENT_29_08</t>
  </si>
  <si>
    <t>TOURNAMENT_30_08</t>
  </si>
  <si>
    <t>TOURNAMENT_32_08</t>
  </si>
  <si>
    <t>TOURNAMENT_33_08</t>
  </si>
  <si>
    <t>TOURNAMENT_34_08</t>
  </si>
  <si>
    <t>TOURNAMENT_35_08</t>
  </si>
  <si>
    <t>2024-07-30</t>
  </si>
  <si>
    <t>TOURNAMENT_08_01_2024_08</t>
  </si>
  <si>
    <t>TOURNAMENT_55_01</t>
  </si>
  <si>
    <t>CONTEST_55</t>
  </si>
  <si>
    <t>AI-community</t>
  </si>
  <si>
    <t>Участники AI-community – сотрудники, активно участвующие в инициативах, связанных с искусственным интеллектом.</t>
  </si>
  <si>
    <t>CONTEST_55_BANK</t>
  </si>
  <si>
    <t>LABEL_05</t>
  </si>
  <si>
    <t>CONTEST_55_LABEL_05_BANK</t>
  </si>
  <si>
    <t>2024-08-12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</si>
  <si>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"""tagColor""": """purple-80""", """tagEndDT""": """4000-01-01"""}</t>
  </si>
  <si>
    <t>TOURNAMENT_41_01</t>
  </si>
  <si>
    <t>2024-09-01</t>
  </si>
  <si>
    <t>2024-12-29</t>
  </si>
  <si>
    <t>CONTEST_41</t>
  </si>
  <si>
    <t>Турнир проводится среди Менеджеров нефинансового сервиса по продукту СберЗдоровье. Чтобы стать участником турнира, необходимо закрыть, как минимум одну сделку в четвертом квартале. ТОП-3 участников с наибольшими результатами в каждом ТБ станут победителями турнира и получат серебряный бейдж. ТОП-3 менеджера с лучшим результатом по всей стране станут обладателями золотого бейджа!</t>
  </si>
  <si>
    <t>CONTEST_40</t>
  </si>
  <si>
    <t>Турнир по Мастер Интернализации</t>
  </si>
  <si>
    <t>CONTEST_46</t>
  </si>
  <si>
    <t>Страхование. Продукты СМР</t>
  </si>
  <si>
    <t>СМР</t>
  </si>
  <si>
    <t>1000000000</t>
  </si>
  <si>
    <t>CONTEST_40_BANK</t>
  </si>
  <si>
    <t>CONTEST_41_TB</t>
  </si>
  <si>
    <t>CONTEST_46_TB</t>
  </si>
  <si>
    <t>CONTEST_46_BANK</t>
  </si>
  <si>
    <t>CONTEST_40_REWARD_40_04_BANK</t>
  </si>
  <si>
    <t>REWARD_41_03</t>
  </si>
  <si>
    <t>CONTEST_41_REWARD_41_03_TB</t>
  </si>
  <si>
    <t>REWARD_41_04</t>
  </si>
  <si>
    <t>REWARD_46_01</t>
  </si>
  <si>
    <t>REWARD_46_03</t>
  </si>
  <si>
    <t>CONTEST_46_REWARD_46_03_TB</t>
  </si>
  <si>
    <t>REWARD_46_04</t>
  </si>
  <si>
    <t>CONTEST_46_REWARD_46_04_BANK</t>
  </si>
  <si>
    <t>REWARD_40_01</t>
  </si>
  <si>
    <t>Победитель подразделения по Мастер интернализаци</t>
  </si>
  <si>
    <t>Победитель ТБ по мастер интернализации</t>
  </si>
  <si>
    <t>Чемпион страны по Мастер Интернализации</t>
  </si>
  <si>
    <t>Лучший в подразделении по комиссии от страховых продуктов СМР</t>
  </si>
  <si>
    <t>Победи в турнире Страхование. Продукты СМР  в рамках своего ГОСБ / Управления</t>
  </si>
  <si>
    <t>Победитель ТБ по комиссии от страховых продуктов СМР</t>
  </si>
  <si>
    <t>Победи в турнире Страхование. Продукты СМР  на уровне своего территориального банка</t>
  </si>
  <si>
    <t>Чемпион страны по комиссии от страховых продуктов СМР</t>
  </si>
  <si>
    <t>Победи в турнире Страхование. Продукты СМР  на уровне всей страны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</si>
  <si>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"""tagColor""": """pink-80""", """tagEndDT""": """2024-12-31"""}</t>
  </si>
  <si>
    <t>2024-08-15</t>
  </si>
  <si>
    <t>TOURNAMENT_05_2024_08</t>
  </si>
  <si>
    <t>турнир 2 месяца</t>
  </si>
  <si>
    <t>TOURNAMENT_46_2024_09</t>
  </si>
  <si>
    <t>турнир 4 месяца</t>
  </si>
  <si>
    <t>Чтобы стать участником, заключи в период турнира договор по продуктам ESG страхового брокера и успей получить комиссию до конца турнира. В турнире участвуют клиентские менеджеры, собравшие 50 тыс. руб. и более. \\nПо итогам  15% участников с наибольшей суммой комиссии в каждом тербанке получат серебряный бейдж, а ТОП-3 по стране станут обладателями золотой награды!</t>
  </si>
  <si>
    <t>Чтобы стать участником, заключи в период турнира договор по продуктам ДМС страхового брокера и успей получить комиссию до конца турнира. В турнире участвуют клиентские менеджеры, собравшие 50 тыс. руб. и более. \\nПо итогам участнику с наибольшей суммой комиссии в каждом ГОСБ вручим бронзовую награду, 10% клиентских менеджера в каждом тербанке получат серебряный бейдж, а ТОП-3 по стране станут обладателями золотой награды!</t>
  </si>
  <si>
    <t>Чтобы стать участником, заключи в период турнира договор по продуктам СМР страхового брокера и успей получить комиссию до конца турнира. В турнире участвуют клиентские менеджеры, собравшие 50 тыс. руб. и более. \\nПо итогам 15% участников с наибольшей суммой комиссии в каждом тербанке получат серебряный бейдж, а ТОП-3 по стране станут обладателями золотой награды!</t>
  </si>
  <si>
    <t>0.15000</t>
  </si>
  <si>
    <t>2024-08-27</t>
  </si>
  <si>
    <t>Победитель ТБ по числу сделок ЦКП</t>
  </si>
  <si>
    <t>Чемпион страны по числу сделок ЦКП</t>
  </si>
  <si>
    <t>Победи в турнире Страхование. Продукты ESG  на уровне своего территориального банка</t>
  </si>
  <si>
    <t>Победи в турнире Страхование. Продукты ESG  на уровне всей страны</t>
  </si>
  <si>
    <t>Победи в турнире Страхование. Продукты ДМС  на уровне своего территориального банка</t>
  </si>
  <si>
    <t>Победи в турнире Страхование. Продукты ДМС  на уровне всей страны</t>
  </si>
  <si>
    <t>2024-08-26</t>
  </si>
  <si>
    <t>2024-08-30</t>
  </si>
  <si>
    <t>TOURNAMENT_05_2024_09</t>
  </si>
  <si>
    <t>TOURNAMENT_08_01_2024_09</t>
  </si>
  <si>
    <t>TOURNAMENT_28_09</t>
  </si>
  <si>
    <t>TOURNAMENT_29_09</t>
  </si>
  <si>
    <t>TOURNAMENT_30_09</t>
  </si>
  <si>
    <t>TOURNAMENT_32_09</t>
  </si>
  <si>
    <t>TOURNAMENT_33_09</t>
  </si>
  <si>
    <t>TOURNAMENT_34_09</t>
  </si>
  <si>
    <t>TOURNAMENT_35_09</t>
  </si>
  <si>
    <t>TOURNAMENT_38_03</t>
  </si>
  <si>
    <t>Чтобы стать участником, заключи минимум 2 сделки в цифровом кредитном процессе. \\nПо итогам турнира награду получат ТОП-1 КМ с наибольшим числом сделок в каждом ТБ. Удачи!</t>
  </si>
  <si>
    <t>2025-01-31</t>
  </si>
  <si>
    <t>TOURNAMENT_41_02</t>
  </si>
  <si>
    <t>TOURNAMENT_43_2024_Y01</t>
  </si>
  <si>
    <t>ТН 8</t>
  </si>
  <si>
    <t>Папка</t>
  </si>
  <si>
    <t>SPOD_GAMIFICATION_REPORT_FACTORING</t>
  </si>
  <si>
    <t>SPOD_GAMIFICATION_REPORT_MNS_PA</t>
  </si>
  <si>
    <t>SPOD_GAMIFICATION_REPORT_KKSB</t>
  </si>
  <si>
    <t>DM_GAMIFICATION_ORG_UNIT_V2</t>
  </si>
  <si>
    <t>SPOD_GAMIFICATION_LIST_EMPLOYEE_V2</t>
  </si>
  <si>
    <t>DM_GAMIFICATION_TOURNAMENT_SCHEDULE_V20</t>
  </si>
  <si>
    <t>DM_GAMIFICATION_CONTEST_DATA_V20</t>
  </si>
  <si>
    <t>DM_GAMIFICATION_CONTEST_INDICATOR_V20</t>
  </si>
  <si>
    <t>DM_GAMIFICATION_CONTEST_GROUP</t>
  </si>
  <si>
    <t>DM_GAMIFICATION_CONTEST_REWARD</t>
  </si>
  <si>
    <t>DM_GAMIFICATION_CONTEST_REWARD_LINK</t>
  </si>
  <si>
    <t>SPOD_GAMIFICATION_REPORT_SERVICES_PA</t>
  </si>
  <si>
    <t>PLAN_PERIOD_START_DT</t>
  </si>
  <si>
    <t>PLAN_PERIOD_END_DT</t>
  </si>
  <si>
    <t>FILTER_PERIOD_ARR</t>
  </si>
  <si>
    <t>2024-10-01</t>
  </si>
  <si>
    <t>INDICATOR_CODE</t>
  </si>
  <si>
    <t>INDICATOR_AGG_FUNCTION</t>
  </si>
  <si>
    <t>INDICATOR_WEIGHT</t>
  </si>
  <si>
    <t>INDICATOR_FILTER</t>
  </si>
  <si>
    <t>SUM</t>
  </si>
  <si>
    <t>32</t>
  </si>
  <si>
    <t>34</t>
  </si>
  <si>
    <t>35</t>
  </si>
  <si>
    <t>37</t>
  </si>
  <si>
    <t>39</t>
  </si>
  <si>
    <t>41</t>
  </si>
  <si>
    <t>45</t>
  </si>
  <si>
    <t>46</t>
  </si>
  <si>
    <t>47</t>
  </si>
  <si>
    <t>49</t>
  </si>
  <si>
    <t>50</t>
  </si>
  <si>
    <t>53</t>
  </si>
  <si>
    <t>CONTEST_SUBJECT</t>
  </si>
  <si>
    <t>FACTOR_MARK_TYPE</t>
  </si>
  <si>
    <t>CONTEST_INDICATOR_METHOD</t>
  </si>
  <si>
    <t>EMPLOYEE</t>
  </si>
  <si>
    <t>INTEGRAL</t>
  </si>
  <si>
    <t>RATING_MAX</t>
  </si>
  <si>
    <t>RELATION</t>
  </si>
  <si>
    <t>CONTEST_FACTOR_METHOD</t>
  </si>
  <si>
    <t>PLAN_METHOD_CODE</t>
  </si>
  <si>
    <t>PLAN_MOD_METOD</t>
  </si>
  <si>
    <t>PLAN_MOD_VALUE</t>
  </si>
  <si>
    <t>FACTOR_MATCH</t>
  </si>
  <si>
    <t>CONTEST_PERIOD</t>
  </si>
  <si>
    <t>PRESET_VALUE</t>
  </si>
  <si>
    <t>DEPENDS_PREVIOUS_PERIOD</t>
  </si>
  <si>
    <t>MULTIPLIER</t>
  </si>
  <si>
    <t>FACT0-FACT1</t>
  </si>
  <si>
    <t>RUN_RATE</t>
  </si>
  <si>
    <t>CONTEST_20</t>
  </si>
  <si>
    <t>REWARD_20_03</t>
  </si>
  <si>
    <t>CONTEST_20_REWARD_20_03_TB</t>
  </si>
  <si>
    <t>CONTEST_20_TB</t>
  </si>
  <si>
    <t>CONTEST_47</t>
  </si>
  <si>
    <t>REWARD_47_01</t>
  </si>
  <si>
    <t>CONTEST_47_REWARD_47_01_BANK</t>
  </si>
  <si>
    <t>CONTEST_47_BANK</t>
  </si>
  <si>
    <t>CONTEST_m_03</t>
  </si>
  <si>
    <t>REWARD_m_03_03</t>
  </si>
  <si>
    <t>CONTEST_m_03_REWARD_m_03_03_TB</t>
  </si>
  <si>
    <t>CONTEST_m_03_TB</t>
  </si>
  <si>
    <t>REWARD_m_03_04</t>
  </si>
  <si>
    <t>CONTEST_m_03_REWARD_m_03_04_BANK</t>
  </si>
  <si>
    <t>CONTEST_m_03_BANK</t>
  </si>
  <si>
    <t>CONTEST_m_04</t>
  </si>
  <si>
    <t>REWARD_m_04_03</t>
  </si>
  <si>
    <t>CONTEST_m_04_REWARD_m_04_03_TB</t>
  </si>
  <si>
    <t>CONTEST_m_04_TB</t>
  </si>
  <si>
    <t>REWARD_m_04_04</t>
  </si>
  <si>
    <t>CONTEST_m_04_REWARD_m_04_04_BANK</t>
  </si>
  <si>
    <t>CONTEST_m_04_BANK</t>
  </si>
  <si>
    <t>CONTEST_m_05</t>
  </si>
  <si>
    <t>REWARD_m_05_03</t>
  </si>
  <si>
    <t>CONTEST_m_05_REWARD_m_05_03_TB</t>
  </si>
  <si>
    <t>CONTEST_m_05_TB</t>
  </si>
  <si>
    <t>REWARD_m_05_04</t>
  </si>
  <si>
    <t>CONTEST_m_05_REWARD_m_05_04_BANK</t>
  </si>
  <si>
    <t>CONTEST_m_05_BANK</t>
  </si>
  <si>
    <t>CONTEST_m_06</t>
  </si>
  <si>
    <t>REWARD_m_06_03</t>
  </si>
  <si>
    <t>CONTEST_m_06_REWARD_m_06_03_TB</t>
  </si>
  <si>
    <t>CONTEST_m_06_TB</t>
  </si>
  <si>
    <t>REWARD_m_06_04</t>
  </si>
  <si>
    <t>CONTEST_m_06_REWARD_m_06_04_BANK</t>
  </si>
  <si>
    <t>CONTEST_m_06_BANK</t>
  </si>
  <si>
    <t>CONTEST_m_07</t>
  </si>
  <si>
    <t>REWARD_m_07_03</t>
  </si>
  <si>
    <t>CONTEST_m_07_REWARD_m_07_03_TB</t>
  </si>
  <si>
    <t>CONTEST_m_07_TB</t>
  </si>
  <si>
    <t>REWARD_m_07_04</t>
  </si>
  <si>
    <t>CONTEST_m_07_REWARD_m_07_04_BANK</t>
  </si>
  <si>
    <t>CONTEST_m_07_BANK</t>
  </si>
  <si>
    <t>CONTEST_s_03</t>
  </si>
  <si>
    <t>REWARD_s_03_01</t>
  </si>
  <si>
    <t>CONTEST_s_03_REWARD_s_03_01_BANK</t>
  </si>
  <si>
    <t>CONTEST_s_03_BANK</t>
  </si>
  <si>
    <t>CONTEST_s_04</t>
  </si>
  <si>
    <t>REWARD_s_04_01</t>
  </si>
  <si>
    <t>CONTEST_s_04_REWARD_s_04_01_BANK</t>
  </si>
  <si>
    <t>CONTEST_s_04_BANK</t>
  </si>
  <si>
    <t>CONTEST_s_05</t>
  </si>
  <si>
    <t>REWARD_s_05_01</t>
  </si>
  <si>
    <t>CONTEST_s_05_REWARD_s_05_01_BANK</t>
  </si>
  <si>
    <t>CONTEST_s_05_BANK</t>
  </si>
  <si>
    <t>CONTEST_s_06</t>
  </si>
  <si>
    <t>REWARD_s_06_01</t>
  </si>
  <si>
    <t>CONTEST_s_06_REWARD_s_06_01_BANK</t>
  </si>
  <si>
    <t>CONTEST_s_06_BANK</t>
  </si>
  <si>
    <t>CONTEST_s_07</t>
  </si>
  <si>
    <t>REWARD_s_07_01</t>
  </si>
  <si>
    <t>CONTEST_s_07_REWARD_s_07_01_BANK</t>
  </si>
  <si>
    <t>CONTEST_s_07_BANK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</si>
  <si>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</si>
  <si>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</si>
  <si>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</si>
  <si>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</si>
  <si>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</si>
  <si>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</si>
  <si>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</si>
  <si>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</si>
  <si>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</si>
  <si>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</si>
  <si>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Чтобы стать участником, открой минимум 1 счёт в рупиях за время турнира. \\nПо итогам ТОП-1 КМ с наибольшим числом сделок в каждом ТБ получат свою награду. Удачи!</t>
  </si>
  <si>
    <t>Защита 360. 2 сделки</t>
  </si>
  <si>
    <t>Экосистема. Лидер по числу сделок</t>
  </si>
  <si>
    <t>Чтобы стать участником, необходимо за время турнира закрыть как минимум одну сделку попродуктпм экосистемы на полке ККСБ суммой от 50 тыс. руб. \\nЛучшие 10% участников в каждом ТБ станут победителями турнира и получат серебряный бейдж. ТОП-3 участника с лучшим результатом по всей стране станут обладателями золотой награды!</t>
  </si>
  <si>
    <t>Лидер по продаже образовательных услуг</t>
  </si>
  <si>
    <t>Чтобы стать участником, необходимо за время турнира закрыть как минимум одну сделку по продуктам образовательных решений. ТОП-1 участников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\\nПродукты образовательных услуг,учавствующие в турнире: СберОбразование EDUTORIA, СберУниверситет Кастомизированные программы, СберУниверситет Готовые образовательные решения</t>
  </si>
  <si>
    <t>Лидер по продажам RAIT-продуктов</t>
  </si>
  <si>
    <t>Чтобы стать участником, необходимо за время турнира закрыть как минимум одну сделку по продуктам категории RAIT-продукт. Лучшие 10% участников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\\nRAIT-продукты: BI.ZONE Кибербезопасность, Cloud Облачные Услуги Cloud, совместные решния со Strategy Partners, СберБанк Архитектурный консалтинг в ИТ и ЦРР ПО для ИТ инфраструктуры.</t>
  </si>
  <si>
    <t>Лидер по продажам продуктов AI-native</t>
  </si>
  <si>
    <t>AI-native</t>
  </si>
  <si>
    <t>Лидер по продажам продуктов AI-featured</t>
  </si>
  <si>
    <t>AI-featured</t>
  </si>
  <si>
    <t xml:space="preserve">CSI на 100% </t>
  </si>
  <si>
    <t>Заверши 2 квартала подряд с показателем CSI, равным 100% и получи награду!</t>
  </si>
  <si>
    <t>CSI</t>
  </si>
  <si>
    <t xml:space="preserve">SLA на 100% </t>
  </si>
  <si>
    <t>Заверши 2 квартала подряд с показателем SLA, равным 100% и получи награду!</t>
  </si>
  <si>
    <t>SLA</t>
  </si>
  <si>
    <t>Финалист конкурса лучший по профессии</t>
  </si>
  <si>
    <t>Призер конкурса лучший по профессии</t>
  </si>
  <si>
    <t>Победитель конкурса лучший по профессии</t>
  </si>
  <si>
    <t>Победитель ТБ по счетам в рупиях</t>
  </si>
  <si>
    <t>Стань одним из лучших в турнире Рупии. Максимизируем число новых открытх счетов на уровне своего территориального банка</t>
  </si>
  <si>
    <t>REWARD_20_01</t>
  </si>
  <si>
    <t>Лучший в подразделении по счетам в рупиях</t>
  </si>
  <si>
    <t>Победи в турнире Рупии. Максимизируем число новых открытх счетов в рамках своего ГОСБ / Управления</t>
  </si>
  <si>
    <t>REWARD_20_02</t>
  </si>
  <si>
    <t>Победитель кластера по счетам в рупиях</t>
  </si>
  <si>
    <t>Стань одним из лучших в турнире Рупии. Максимизируем число новых открытх счетов на уровне своего кластера</t>
  </si>
  <si>
    <t>REWARD_20_04</t>
  </si>
  <si>
    <t>Победитель страны по счетам в рупиях</t>
  </si>
  <si>
    <t>Стань лучшим из лучших во всей стране в турнире Рупии. Максимизируем число новых открытх счетов</t>
  </si>
  <si>
    <t>Для получения бейджа необходимо реализовать 2 сделки по страховому продукту «Защита бизнеса 360»</t>
  </si>
  <si>
    <t>Победитель ТБ по числу сделок экосистемы</t>
  </si>
  <si>
    <t>Стань лучшим на уровне своего территориального банка в рамках турнира Экосистема. Лидер по числу сделок</t>
  </si>
  <si>
    <t>Чемпион страны по числу сделок экосистемы</t>
  </si>
  <si>
    <t>Войди в ТОП участников в турнире Экосистема. Лидер по числу сделок на уровне всей страны</t>
  </si>
  <si>
    <t>Победитель ТБ по продаже образовательных услуг</t>
  </si>
  <si>
    <t>Стань лучшим на уровне своего территориального банка в рамках турнира Лидер по продаже образовательных услуг</t>
  </si>
  <si>
    <t>Чемпион страны по продаже образовательных услуг</t>
  </si>
  <si>
    <t>Войди в ТОП участников в турнире Лидер по продаже образовательных услуг на уровне всей страны</t>
  </si>
  <si>
    <t>Победитель ТБ по продажам RAIT-продуктов</t>
  </si>
  <si>
    <t>Стань лучшим на уровне своего территориального банка в рамках турнира Лидер по продажам RAIT-продуктов</t>
  </si>
  <si>
    <t>Чемпион страны по продажам RAIT-продуктов</t>
  </si>
  <si>
    <t>Войди в ТОП участников в турнире Лидер по продажам RAIT-продуктов на уровне всей страны</t>
  </si>
  <si>
    <t>Победитель ТБ по продажам продуктов AI-native</t>
  </si>
  <si>
    <t>Стань лучшим на уровне своего территориального банка в рамках турнира Лидер по продажам продуктов AI-native</t>
  </si>
  <si>
    <t>Чемпион страны по продажам продуктов AI-native</t>
  </si>
  <si>
    <t>Войди в ТОП участников в турнире Лидер по продажам продуктов AI-native на уровне всей страны</t>
  </si>
  <si>
    <t>Победитель ТБ по продажам продуктов AI-featured</t>
  </si>
  <si>
    <t>Стань лучшим на уровне своего территориального банка в рамках турнира Лидер по продажам продуктов AI-featured</t>
  </si>
  <si>
    <t>Чемпион страны по продажам продуктов AI-featured</t>
  </si>
  <si>
    <t>Войди в ТОП участников в турнире Лидер по продажам продуктов AI-featured на уровне всей страны</t>
  </si>
  <si>
    <t>_sp_emploee</t>
  </si>
  <si>
    <t>_sp_shedule</t>
  </si>
  <si>
    <t>id_CC_TC</t>
  </si>
  <si>
    <t>CONTEST_01_TOURNAMENT_01_01</t>
  </si>
  <si>
    <t>CONTEST_02_TOURNAMENT_02_01</t>
  </si>
  <si>
    <t>CONTEST_03_TOURNAMENT_03_01</t>
  </si>
  <si>
    <t>CONTEST_04_TOURNAMENT_04_01</t>
  </si>
  <si>
    <t>CONTEST_05_TOURNAMENT_05_01</t>
  </si>
  <si>
    <t>CONTEST_05_TOURNAMENT_05_02</t>
  </si>
  <si>
    <t>CONTEST_05_TOURNAMENT_05_03</t>
  </si>
  <si>
    <t>CONTEST_05_TOURNAMENT_05_04</t>
  </si>
  <si>
    <t>CONTEST_05_TOURNAMENT_05_05</t>
  </si>
  <si>
    <t>CONTEST_05_TOURNAMENT_05_06</t>
  </si>
  <si>
    <t>CONTEST_05_TOURNAMENT_05_2023_11</t>
  </si>
  <si>
    <t>CONTEST_05_TOURNAMENT_05_2023_12</t>
  </si>
  <si>
    <t>CONTEST_05_TOURNAMENT_05_2024_01</t>
  </si>
  <si>
    <t>CONTEST_05_TOURNAMENT_05_2024_03</t>
  </si>
  <si>
    <t>CONTEST_05_TOURNAMENT_05_2024_04</t>
  </si>
  <si>
    <t>CONTEST_05_TOURNAMENT_05_2024_05</t>
  </si>
  <si>
    <t>CONTEST_05_TOURNAMENT_05_2024_06</t>
  </si>
  <si>
    <t>CONTEST_05_TOURNAMENT_05_2024_07</t>
  </si>
  <si>
    <t>CONTEST_05_TOURNAMENT_05_2024_08</t>
  </si>
  <si>
    <t>CONTEST_05_TOURNAMENT_05_2024_09</t>
  </si>
  <si>
    <t>CONTEST_06_TOURNAMENT_06_01</t>
  </si>
  <si>
    <t>CONTEST_06_TOURNAMENT_06_02</t>
  </si>
  <si>
    <t>CONTEST_06_TOURNAMENT_06_03</t>
  </si>
  <si>
    <t>CONTEST_06_TOURNAMENT_06_04</t>
  </si>
  <si>
    <t>CONTEST_06_TOURNAMENT_06_05</t>
  </si>
  <si>
    <t>CONTEST_06_TOURNAMENT_06_06</t>
  </si>
  <si>
    <t>CONTEST_07_TOURNAMENT_07_01</t>
  </si>
  <si>
    <t>CONTEST_07_TOURNAMENT_07_02</t>
  </si>
  <si>
    <t>CONTEST_07_TOURNAMENT_07_03</t>
  </si>
  <si>
    <t>CONTEST_07_TOURNAMENT_07_04</t>
  </si>
  <si>
    <t>CONTEST_07_TOURNAMENT_07_05</t>
  </si>
  <si>
    <t>CONTEST_07_TOURNAMENT_07_06</t>
  </si>
  <si>
    <t>CONTEST_08_01_TOURNAMENT_08_01_2023_11</t>
  </si>
  <si>
    <t>CONTEST_08_01_TOURNAMENT_08_01_2023_12</t>
  </si>
  <si>
    <t>CONTEST_08_01_TOURNAMENT_08_01_2024_01</t>
  </si>
  <si>
    <t>CONTEST_08_01_TOURNAMENT_08_01_2024_02</t>
  </si>
  <si>
    <t>CONTEST_08_01_TOURNAMENT_08_01_2024_03</t>
  </si>
  <si>
    <t>CONTEST_08_01_TOURNAMENT_08_01_2024_04</t>
  </si>
  <si>
    <t>CONTEST_08_01_TOURNAMENT_08_01_2024_05</t>
  </si>
  <si>
    <t>CONTEST_08_01_TOURNAMENT_08_01_2024_06</t>
  </si>
  <si>
    <t>CONTEST_08_01_TOURNAMENT_08_01_2024_07</t>
  </si>
  <si>
    <t>CONTEST_08_01_TOURNAMENT_08_01_2024_08</t>
  </si>
  <si>
    <t>CONTEST_08_01_TOURNAMENT_08_01_2024_09</t>
  </si>
  <si>
    <t>CONTEST_10_01_TOURNAMENT_10_01_01</t>
  </si>
  <si>
    <t>CONTEST_10_01_TOURNAMENT_10_01_02</t>
  </si>
  <si>
    <t>CONTEST_10_01_TOURNAMENT_10_01_03</t>
  </si>
  <si>
    <t>CONTEST_10_01_TOURNAMENT_10_01_04</t>
  </si>
  <si>
    <t>CONTEST_10_01_TOURNAMENT_10_01_05</t>
  </si>
  <si>
    <t>CONTEST_10_01_TOURNAMENT_10_01_06</t>
  </si>
  <si>
    <t>CONTEST_10_01_TOURNAMENT_10_01_07</t>
  </si>
  <si>
    <t>CONTEST_10_01_TOURNAMENT_10_01_08</t>
  </si>
  <si>
    <t>CONTEST_10_01_TOURNAMENT_10_01_09</t>
  </si>
  <si>
    <t>CONTEST_11_TOURNAMENT_11_01</t>
  </si>
  <si>
    <t>CONTEST_11_TOURNAMENT_11_02</t>
  </si>
  <si>
    <t>CONTEST_12_TOURNAMENT_12_01</t>
  </si>
  <si>
    <t>CONTEST_12_TOURNAMENT_12_02</t>
  </si>
  <si>
    <t>CONTEST_12_TOURNAMENT_12_03</t>
  </si>
  <si>
    <t>CONTEST_13_TOURNAMENT_13_01</t>
  </si>
  <si>
    <t>CONTEST_13_TOURNAMENT_13_02</t>
  </si>
  <si>
    <t>CONTEST_13_TOURNAMENT_13_03</t>
  </si>
  <si>
    <t>CONTEST_14_TOURNAMENT_14_01</t>
  </si>
  <si>
    <t>CONTEST_15_TOURNAMENT_15_01</t>
  </si>
  <si>
    <t>CONTEST_16_TOURNAMENT_16_01</t>
  </si>
  <si>
    <t>CONTEST_17_TOURNAMENT_17_01</t>
  </si>
  <si>
    <t>CONTEST_23_TOURNAMENT_23_01</t>
  </si>
  <si>
    <t>CONTEST_23_TOURNAMENT_23_2023_04</t>
  </si>
  <si>
    <t>CONTEST_25_TOURNAMENT_25_2023_12</t>
  </si>
  <si>
    <t>CONTEST_25_TOURNAMENT_25_2024_02</t>
  </si>
  <si>
    <t>CONTEST_25_TOURNAMENT_25_2024_03</t>
  </si>
  <si>
    <t>CONTEST_26_TOURNAMENT_26_2023_12</t>
  </si>
  <si>
    <t>CONTEST_28_TOURNAMENT_28_03</t>
  </si>
  <si>
    <t>CONTEST_28_TOURNAMENT_28_04</t>
  </si>
  <si>
    <t>CONTEST_28_TOURNAMENT_28_05</t>
  </si>
  <si>
    <t>CONTEST_28_TOURNAMENT_28_06</t>
  </si>
  <si>
    <t>CONTEST_28_TOURNAMENT_28_07</t>
  </si>
  <si>
    <t>CONTEST_28_TOURNAMENT_28_08</t>
  </si>
  <si>
    <t>CONTEST_28_TOURNAMENT_28_09</t>
  </si>
  <si>
    <t>CONTEST_29_TOURNAMENT_29_03</t>
  </si>
  <si>
    <t>CONTEST_29_TOURNAMENT_29_04</t>
  </si>
  <si>
    <t>CONTEST_29_TOURNAMENT_29_05</t>
  </si>
  <si>
    <t>CONTEST_29_TOURNAMENT_29_06</t>
  </si>
  <si>
    <t>CONTEST_29_TOURNAMENT_29_07</t>
  </si>
  <si>
    <t>CONTEST_29_TOURNAMENT_29_08</t>
  </si>
  <si>
    <t>CONTEST_29_TOURNAMENT_29_09</t>
  </si>
  <si>
    <t>CONTEST_30_TOURNAMENT_30_03</t>
  </si>
  <si>
    <t>CONTEST_30_TOURNAMENT_30_04</t>
  </si>
  <si>
    <t>CONTEST_30_TOURNAMENT_30_05</t>
  </si>
  <si>
    <t>CONTEST_30_TOURNAMENT_30_06</t>
  </si>
  <si>
    <t>CONTEST_30_TOURNAMENT_30_07</t>
  </si>
  <si>
    <t>CONTEST_30_TOURNAMENT_30_08</t>
  </si>
  <si>
    <t>CONTEST_30_TOURNAMENT_30_09</t>
  </si>
  <si>
    <t>CONTEST_31_TOURNAMENT_31_01</t>
  </si>
  <si>
    <t>CONTEST_32_TOURNAMENT_32_03</t>
  </si>
  <si>
    <t>CONTEST_32_TOURNAMENT_32_04</t>
  </si>
  <si>
    <t>CONTEST_32_TOURNAMENT_32_05</t>
  </si>
  <si>
    <t>CONTEST_32_TOURNAMENT_32_06</t>
  </si>
  <si>
    <t>CONTEST_32_TOURNAMENT_32_07</t>
  </si>
  <si>
    <t>CONTEST_32_TOURNAMENT_32_08</t>
  </si>
  <si>
    <t>CONTEST_32_TOURNAMENT_32_09</t>
  </si>
  <si>
    <t>CONTEST_33_TOURNAMENT_33_03</t>
  </si>
  <si>
    <t>CONTEST_33_TOURNAMENT_33_04</t>
  </si>
  <si>
    <t>CONTEST_33_TOURNAMENT_33_05</t>
  </si>
  <si>
    <t>CONTEST_33_TOURNAMENT_33_06</t>
  </si>
  <si>
    <t>CONTEST_33_TOURNAMENT_33_07</t>
  </si>
  <si>
    <t>CONTEST_33_TOURNAMENT_33_08</t>
  </si>
  <si>
    <t>CONTEST_33_TOURNAMENT_33_09</t>
  </si>
  <si>
    <t>CONTEST_34_TOURNAMENT_34_03</t>
  </si>
  <si>
    <t>CONTEST_34_TOURNAMENT_34_04</t>
  </si>
  <si>
    <t>CONTEST_34_TOURNAMENT_34_05</t>
  </si>
  <si>
    <t>CONTEST_34_TOURNAMENT_34_06</t>
  </si>
  <si>
    <t>CONTEST_34_TOURNAMENT_34_07</t>
  </si>
  <si>
    <t>CONTEST_34_TOURNAMENT_34_08</t>
  </si>
  <si>
    <t>CONTEST_34_TOURNAMENT_34_09</t>
  </si>
  <si>
    <t>CONTEST_35_TOURNAMENT_35_03</t>
  </si>
  <si>
    <t>CONTEST_35_TOURNAMENT_35_04</t>
  </si>
  <si>
    <t>CONTEST_35_TOURNAMENT_35_05</t>
  </si>
  <si>
    <t>CONTEST_35_TOURNAMENT_35_06</t>
  </si>
  <si>
    <t>CONTEST_35_TOURNAMENT_35_07</t>
  </si>
  <si>
    <t>CONTEST_35_TOURNAMENT_35_08</t>
  </si>
  <si>
    <t>CONTEST_35_TOURNAMENT_35_09</t>
  </si>
  <si>
    <t>CONTEST_36_TOURNAMENT_36_02</t>
  </si>
  <si>
    <t>CONTEST_36_TOURNAMENT_36_03</t>
  </si>
  <si>
    <t>CONTEST_37_TOURNAMENT_37_02</t>
  </si>
  <si>
    <t>CONTEST_37_TOURNAMENT_37_03</t>
  </si>
  <si>
    <t>CONTEST_38_TOURNAMENT_38_00</t>
  </si>
  <si>
    <t>CONTEST_38_TOURNAMENT_38_01</t>
  </si>
  <si>
    <t>CONTEST_38_TOURNAMENT_38_02</t>
  </si>
  <si>
    <t>CONTEST_38_TOURNAMENT_38_03</t>
  </si>
  <si>
    <t>CONTEST_39_01_TOURNAMENT_39_01</t>
  </si>
  <si>
    <t>CONTEST_39_02_TOURNAMENT_39_02</t>
  </si>
  <si>
    <t>CONTEST_39_03_TOURNAMENT_39_03</t>
  </si>
  <si>
    <t>CONTEST_41_TOURNAMENT_41_01</t>
  </si>
  <si>
    <t>CONTEST_41_TOURNAMENT_41_02</t>
  </si>
  <si>
    <t>CONTEST_42_TOURNAMENT_42_01</t>
  </si>
  <si>
    <t>CONTEST_43_TOURNAMENT_43_2024_Y01</t>
  </si>
  <si>
    <t>CONTEST_44_TOURNAMENT_44_2024_08</t>
  </si>
  <si>
    <t>CONTEST_45_TOURNAMENT_45_2024_08</t>
  </si>
  <si>
    <t>CONTEST_46_TOURNAMENT_46_2024_09</t>
  </si>
  <si>
    <t>CONTEST_50_TOURNAMENT_50_01</t>
  </si>
  <si>
    <t>CONTEST_51_TOURNAMENT_51_01</t>
  </si>
  <si>
    <t>CONTEST_52_TOURNAMENT_52_01</t>
  </si>
  <si>
    <t>CONTEST_55_TOURNAMENT_55_01</t>
  </si>
  <si>
    <t>CONTEST_m_01_TOURNAMENT_m_01_02</t>
  </si>
  <si>
    <t>CONTEST_m_01_TOURNAMENT_m_01_03</t>
  </si>
  <si>
    <t>CONTEST_m_02_TOURNAMENT_m_02_02</t>
  </si>
  <si>
    <t>CONTEST_23_TOURNAMENT_m_23_02</t>
  </si>
  <si>
    <t>CONTEST_23_TOURNAMENT_m_23_03</t>
  </si>
  <si>
    <t>CONTEST_s_01_01_TOURNAMENT_s_01_01</t>
  </si>
  <si>
    <t>CONTEST_s_01_02_TOURNAMENT_s_01_02</t>
  </si>
  <si>
    <t>CONTEST_s_01_03_TOURNAMENT_s_01_03</t>
  </si>
  <si>
    <t>ID_CC_TC</t>
  </si>
  <si>
    <t>_sp_indicator</t>
  </si>
  <si>
    <t>INDICATOR CC</t>
  </si>
  <si>
    <t>CONT DATE CC</t>
  </si>
  <si>
    <t>_sp_date</t>
  </si>
  <si>
    <t>_sp_rewlink</t>
  </si>
  <si>
    <t>_sp_group</t>
  </si>
  <si>
    <t>GROUP CC</t>
  </si>
  <si>
    <t>SHEDULE CC</t>
  </si>
  <si>
    <t>REPORT CC</t>
  </si>
  <si>
    <t>_sp_report</t>
  </si>
  <si>
    <t>_sp_reward</t>
  </si>
  <si>
    <t>REWARD RC</t>
  </si>
  <si>
    <t>REW LINK CC</t>
  </si>
  <si>
    <t>TOURNAMENT_05_2024_M10</t>
  </si>
  <si>
    <t>2024-10-31</t>
  </si>
  <si>
    <t>2024-11-20</t>
  </si>
  <si>
    <t>CONTEST_05_TOURNAMENT_05_2024_M10</t>
  </si>
  <si>
    <t>TOURNAMENT_08_01_2024_M10</t>
  </si>
  <si>
    <t>CONTEST_08_01_TOURNAMENT_08_01_2024_M10</t>
  </si>
  <si>
    <t>TOURNAMENT_28_2024_M10</t>
  </si>
  <si>
    <t>CONTEST_28_TOURNAMENT_28_2024_M10</t>
  </si>
  <si>
    <t>TOURNAMENT_29_2024_M10</t>
  </si>
  <si>
    <t>CONTEST_29_TOURNAMENT_29_2024_M10</t>
  </si>
  <si>
    <t>TOURNAMENT_30_2024_M10</t>
  </si>
  <si>
    <t>CONTEST_30_TOURNAMENT_30_2024_M10</t>
  </si>
  <si>
    <t>TOURNAMENT_32_2024_M10</t>
  </si>
  <si>
    <t>CONTEST_32_TOURNAMENT_32_2024_M10</t>
  </si>
  <si>
    <t>TOURNAMENT_33_2024_M10</t>
  </si>
  <si>
    <t>CONTEST_33_TOURNAMENT_33_2024_M10</t>
  </si>
  <si>
    <t>TOURNAMENT_34_2024_M10</t>
  </si>
  <si>
    <t>CONTEST_34_TOURNAMENT_34_2024_M10</t>
  </si>
  <si>
    <t>TOURNAMENT_35_2024_M10</t>
  </si>
  <si>
    <t>CONTEST_35_TOURNAMENT_35_2024_M10</t>
  </si>
  <si>
    <t>TOURNAMENT_36_2024_Q04</t>
  </si>
  <si>
    <t>CONTEST_36_TOURNAMENT_36_2024_Q04</t>
  </si>
  <si>
    <t>TOURNAMENT_37_2024_Q04</t>
  </si>
  <si>
    <t>CONTEST_37_TOURNAMENT_37_2024_Q04</t>
  </si>
  <si>
    <t>TOURNAMENT_38_2024_M10</t>
  </si>
  <si>
    <t>CONTEST_38_TOURNAMENT_38_2024_M10</t>
  </si>
  <si>
    <t>TOURNAMENT_44_2024_Q04</t>
  </si>
  <si>
    <t>CONTEST_44_TOURNAMENT_44_2024_Q04</t>
  </si>
  <si>
    <t>TOURNAMENT_45_2024_Q04</t>
  </si>
  <si>
    <t>CONTEST_45_TOURNAMENT_45_2024_Q04</t>
  </si>
  <si>
    <t>TOURNAMENT_25_2024_04</t>
  </si>
  <si>
    <t>CONTEST_25_TOURNAMENT_25_2024_04</t>
  </si>
  <si>
    <t>CONTEST_62</t>
  </si>
  <si>
    <t>CONTEST_62_BANK</t>
  </si>
  <si>
    <t>CONTEST_63</t>
  </si>
  <si>
    <t>CONTEST_63_BANK</t>
  </si>
  <si>
    <t>CONTEST_64</t>
  </si>
  <si>
    <t>CONTEST_64_BANK</t>
  </si>
  <si>
    <t>CONTEST_m_08</t>
  </si>
  <si>
    <t>CONTEST_m_08_BANK</t>
  </si>
  <si>
    <t>CONTEST_m_09</t>
  </si>
  <si>
    <t>CONTEST_m_09_BANK</t>
  </si>
  <si>
    <t>CONTEST_m_10</t>
  </si>
  <si>
    <t>CONTEST_m_10_BANK</t>
  </si>
  <si>
    <t>REWARD_62_01</t>
  </si>
  <si>
    <t>CONTEST_62_REWARD_62_01_BANK</t>
  </si>
  <si>
    <t>REWARD_63_01</t>
  </si>
  <si>
    <t>CONTEST_63_REWARD_63_01_BANK</t>
  </si>
  <si>
    <t>REWARD_64_01</t>
  </si>
  <si>
    <t>CONTEST_64_REWARD_64_01_BANK</t>
  </si>
  <si>
    <t>REWARD_m_08_01</t>
  </si>
  <si>
    <t>CONTEST_m_08_REWARD_m_08_01_BANK</t>
  </si>
  <si>
    <t>REWARD_m_09_01</t>
  </si>
  <si>
    <t>CONTEST_m_09_REWARD_m_09_01_BANK</t>
  </si>
  <si>
    <t>REWARD_m_10_01</t>
  </si>
  <si>
    <t>CONTEST_m_10_REWARD_m_10_01_BANK</t>
  </si>
  <si>
    <t>TOURNAMENT_20_2024_Q04</t>
  </si>
  <si>
    <t>CONTEST_20_TOURNAMENT_20_2024_Q04</t>
  </si>
  <si>
    <t>TOURNAMENT_47_2024_Q04</t>
  </si>
  <si>
    <t>CONTEST_47_TOURNAMENT_47_2024_Q04</t>
  </si>
  <si>
    <t>67</t>
  </si>
  <si>
    <t>68</t>
  </si>
  <si>
    <t>69</t>
  </si>
  <si>
    <t>71</t>
  </si>
  <si>
    <t>72</t>
  </si>
  <si>
    <t>CONTEST_999</t>
  </si>
  <si>
    <t>товары</t>
  </si>
  <si>
    <t>Товары</t>
  </si>
  <si>
    <t>Преференции</t>
  </si>
  <si>
    <t>2024-10-11</t>
  </si>
  <si>
    <t>Стань финалистом конкурса лучший по профессии 2024 года</t>
  </si>
  <si>
    <t>Стань призером конкурса лучший по профессии 2024 года</t>
  </si>
  <si>
    <t>Победи в конкурсе лучший по профессии 2024 года</t>
  </si>
  <si>
    <t>Две сделки по защите бизнеса 360</t>
  </si>
  <si>
    <t>2024-10-15</t>
  </si>
  <si>
    <t>2024-10-14</t>
  </si>
  <si>
    <t>2024-10-19</t>
  </si>
  <si>
    <t>2024-10-18</t>
  </si>
  <si>
    <t>2024-10-16</t>
  </si>
  <si>
    <t>TOURNAMENT_62_2024_Y01</t>
  </si>
  <si>
    <t>CONTEST_62_TOURNAMENT_62_2024_Y01</t>
  </si>
  <si>
    <t>TOURNAMENT_63_2024_Y01</t>
  </si>
  <si>
    <t>CONTEST_63_TOURNAMENT_63_2024_Y01</t>
  </si>
  <si>
    <t>TOURNAMENT_64_2024_Y01</t>
  </si>
  <si>
    <t>CONTEST_64_TOURNAMENT_64_2024_Y01</t>
  </si>
  <si>
    <t>TOURNAMENT_s_03_2024_Q04</t>
  </si>
  <si>
    <t>CONTEST_s_03_TOURNAMENT_s_03_2024_Q04</t>
  </si>
  <si>
    <t>TOURNAMENT_s_04_2024_Q04</t>
  </si>
  <si>
    <t>CONTEST_s_04_TOURNAMENT_s_04_2024_Q04</t>
  </si>
  <si>
    <t>TOURNAMENT_s_05_2024_Y01</t>
  </si>
  <si>
    <t>CONTEST_s_05_TOURNAMENT_s_05_2024_Y01</t>
  </si>
  <si>
    <t>TOURNAMENT_s_06_2024_Y01</t>
  </si>
  <si>
    <t>CONTEST_s_06_TOURNAMENT_s_06_2024_Y01</t>
  </si>
  <si>
    <t>TOURNAMENT_s_07_2024_Y01</t>
  </si>
  <si>
    <t>CONTEST_s_07_TOURNAMENT_s_07_2024_Y01</t>
  </si>
  <si>
    <t>ITEM_01</t>
  </si>
  <si>
    <t>CONTEST_999_ITEM_01_BANK</t>
  </si>
  <si>
    <t>CONTEST_999_BANK</t>
  </si>
  <si>
    <t>ITEM_02</t>
  </si>
  <si>
    <t>CONTEST_999_ITEM_02_BANK</t>
  </si>
  <si>
    <t>ITEM_03</t>
  </si>
  <si>
    <t>CONTEST_999_ITEM_03_BANK</t>
  </si>
  <si>
    <t>ITEM_04</t>
  </si>
  <si>
    <t>CONTEST_999_ITEM_04_BANK</t>
  </si>
  <si>
    <t>ITEM_05</t>
  </si>
  <si>
    <t>CONTEST_999_ITEM_05_BANK</t>
  </si>
  <si>
    <t>ITEM_06</t>
  </si>
  <si>
    <t>CONTEST_999_ITEM_06_BANK</t>
  </si>
  <si>
    <t>ITEM_07</t>
  </si>
  <si>
    <t>CONTEST_999_ITEM_07_BANK</t>
  </si>
  <si>
    <t>ITEM_08</t>
  </si>
  <si>
    <t>CONTEST_999_ITEM_08_BANK</t>
  </si>
  <si>
    <t>ITEM_09</t>
  </si>
  <si>
    <t>CONTEST_999_ITEM_09_BANK</t>
  </si>
  <si>
    <t>ITEM_10</t>
  </si>
  <si>
    <t>CONTEST_999_ITEM_10_BANK</t>
  </si>
  <si>
    <t>ITEM_11</t>
  </si>
  <si>
    <t>CONTEST_999_ITEM_11_BANK</t>
  </si>
  <si>
    <t>ITEM_12</t>
  </si>
  <si>
    <t>CONTEST_999_ITEM_12_BANK</t>
  </si>
  <si>
    <t>ITEM_13</t>
  </si>
  <si>
    <t>CONTEST_999_ITEM_13_BANK</t>
  </si>
  <si>
    <t>ITEM</t>
  </si>
  <si>
    <t>Очное обучение в Корпоративном университете Сбера</t>
  </si>
  <si>
    <t xml:space="preserve">Уникальная возможность пройти очное обучение в СберУниверситете — прокачать личные и профессиональные компетенции в окружении успешных руководителей. Стоимость обучения и проживание в кампусе на весь период программы входят в стоимость курса. Перечень доступных программ будет определн в первом квартале 2025 года. \\nНельзя забронировать совместно со стажировкой с победителями Лиги Чемпионов и Суперкубка 2025, а также с Обедом с лидерами ЦА. </t>
  </si>
  <si>
    <t>Участие в программе стажировки вместе с победителями Лиги Чемпионов и Суперкубка</t>
  </si>
  <si>
    <t>Участие в стажировке для личного и профессионального развития вместе с победителями Лиги Чемпионов и Суперкубка. Вы сможете пообщаться с лидерами КИБа, познакомиться и обменяться опытом с коллегами со всей России. Стажировка пройдёт в Москве во 2-м полугодии 2025 года (1-2 дня на усмотрение организатора). \\nНельзя забронировать совместно с очным обучением в Корпоративном университете СберБанка и с обедом с лидерами ЦА.</t>
  </si>
  <si>
    <t>Обед с лидерами ЦА</t>
  </si>
  <si>
    <t>Эксклюзивная возможность принять участие в одном из 4-х ежегодных обедов с лидерами КИБа на площадке Центрального аппарата в Москве. Вы сможете лично пообщаться с руководством банка и обсудить возможности карьерного роста в приятной атмосфере. Лидеры поделятся экспертными знаниями и опытом. \\nНельзя забронировать совместно с очным обучением в Корпоративном университете Сбера и со стажировкой с победителями Лиги Чемпионов и Суперкубка 2025.</t>
  </si>
  <si>
    <t>Сертификат в SberShop номиналом 30 000 рублей</t>
  </si>
  <si>
    <t>Сертификат на 30 000 рублей для покупок в корпоративном магазине одежды, гаджетов и аксессуаров Сбера. Все товары из качественных материалов, отличаются оригинальным дизайном и ненавязчивым брендингом. \\nНельзя забронировать совместно с сертификатами других номиналов в SberShop.</t>
  </si>
  <si>
    <t>Сертификат в SberShop номиналом 10 000 рублей</t>
  </si>
  <si>
    <t>Сертификат на 10 000 рублей для покупок в корпоративном магазине одежды, гаджетов и аксессуаров Сбера. Все товары из качественных материалов, отличаются оригинальным дизайном и ненавязчивым брендингом. \\nНельзя забронировать совместно с сертификатами других номиналов в SberShop.</t>
  </si>
  <si>
    <t>Сертификат в SberShop номиналом 3 000 рублей</t>
  </si>
  <si>
    <t>Сертификат на 3 000 рублей для покупок в корпоративном магазине одежды, гаджетов и аксессуаров Сбера. Все товары из качественных материалов, отличаются оригинальным дизайном и ненавязчивым брендингом. \\nНельзя забронировать совместно с сертификатами других номиналов в SberShop.</t>
  </si>
  <si>
    <t>Книга из библиотеки Старшего вице-президента Владимира Ситнова</t>
  </si>
  <si>
    <t>Заряжайтесь на успех вместе с любимыми книгами топ-менеджмента Сбера! Издание с подписью Старшего вице-президента компании Владимира Ситнова.</t>
  </si>
  <si>
    <t>Индивидуальная наставническая онлайн-сессия с Сергеем Меламедом</t>
  </si>
  <si>
    <t>Возможность поговорить тет-а-тет с Сергеем Меламедом. Диалог пройдет в формате наставнической онлайн-сессии. Директор Департамента развития корпоративного бизнеса поделится экспертными знаниями и опытом, Вы сможете обсудить возможности своего карьерного роста.</t>
  </si>
  <si>
    <t>Очное участие во Встрече лидеров в Москве</t>
  </si>
  <si>
    <t>Колонка SberBoom Mini</t>
  </si>
  <si>
    <t>Миниатюрная умная колонка с виртуальным ассистентом Салют! SberBoom Mini умеет включать любимые треки в объёмном звуке, следить за порядком с помощью детектора шума, запускать ассистента на базе искусственного интеллекта GigaChat и многое другое.</t>
  </si>
  <si>
    <t>Прокачка твоей КПК командой ДРКБ ЦА</t>
  </si>
  <si>
    <t>Подарок не только для себя, но и для своей команды! Можно забронировать полевой визит топ-экспертов ДРКБ. Они приедут, чтобы прокачать Вашу КПК, отработать рабочую повестку и заодно неформально провести время.</t>
  </si>
  <si>
    <t>Участие в проектной деятельности ЦА</t>
  </si>
  <si>
    <t>Есть идеи, как улучшить бизнес-процессы сегмента? Или хочется поделиться мнением по уже имеющимся проектам? Тогда эта опция точно для Вас. Вы сможете участвовать в рабочих группах ЦА в интересных проектах, высказывать экспертное мнение и заявить о себе — хорошая возможность для будущего карьерного трека.</t>
  </si>
  <si>
    <t>ITEM_14</t>
  </si>
  <si>
    <t>Стажировка в Департаменте глобальных рынков</t>
  </si>
  <si>
    <t>Стажировка в Москве. Вы посетите крупнейший торговый зал Европы, познакомитесь с особенностями работы высокотехнологичной бизнес-площадки и увидите процессы заключения сделок «изнутри». Этот незабываемый опыт пригодится в работе.</t>
  </si>
  <si>
    <t>CONTEST_999_ITEM_14_BANK</t>
  </si>
  <si>
    <t>TOURNAMENT_m_23_2024_Q04</t>
  </si>
  <si>
    <t>CONTEST_23_TOURNAMENT_m_23_2024_Q04</t>
  </si>
  <si>
    <t>Возможность очно поучаствовать во встрече лидеров в Москве. Это ежемесячное собрание, на котором топ-менеджмент и Президент Банка обсуждают актуальные темы. После мероприятия будет возможность обсудить интересующие Вас вопросы с сотрудниками ДРКБ.</t>
  </si>
  <si>
    <t>Благодарственное письмо родным</t>
  </si>
  <si>
    <t>Артефакт, который впишется в любой интерьер семейного дома. Благодарственное письмо за подписью директора Департамента развития корпоративного бизнеса Сергея Меламеда.</t>
  </si>
  <si>
    <t>REWARD</t>
  </si>
  <si>
    <t>GROUP</t>
  </si>
  <si>
    <t>REWARD_LINK</t>
  </si>
  <si>
    <t>EMPLOEE</t>
  </si>
  <si>
    <t>DATA</t>
  </si>
  <si>
    <t>INDICATOR</t>
  </si>
  <si>
    <t>SHEDULE</t>
  </si>
  <si>
    <t>TOURNAMENT_05_2024_M11</t>
  </si>
  <si>
    <t>2024-11-01</t>
  </si>
  <si>
    <t>2024-11-30</t>
  </si>
  <si>
    <t>2024-12-20</t>
  </si>
  <si>
    <t>CONTEST_05_TOURNAMENT_05_2024_M11</t>
  </si>
  <si>
    <t>TOURNAMENT_08_01_2024_M11</t>
  </si>
  <si>
    <t>CONTEST_08_01_TOURNAMENT_08_01_2024_M11</t>
  </si>
  <si>
    <t>TOURNAMENT_28_2024_M11</t>
  </si>
  <si>
    <t>CONTEST_28_TOURNAMENT_28_2024_M11</t>
  </si>
  <si>
    <t>TOURNAMENT_29_2024_M11</t>
  </si>
  <si>
    <t>CONTEST_29_TOURNAMENT_29_2024_M11</t>
  </si>
  <si>
    <t>TOURNAMENT_30_2024_M11</t>
  </si>
  <si>
    <t>CONTEST_30_TOURNAMENT_30_2024_M11</t>
  </si>
  <si>
    <t>TOURNAMENT_32_2024_M11</t>
  </si>
  <si>
    <t>CONTEST_32_TOURNAMENT_32_2024_M11</t>
  </si>
  <si>
    <t>TOURNAMENT_33_2024_M11</t>
  </si>
  <si>
    <t>CONTEST_33_TOURNAMENT_33_2024_M11</t>
  </si>
  <si>
    <t>TOURNAMENT_34_2024_M11</t>
  </si>
  <si>
    <t>CONTEST_34_TOURNAMENT_34_2024_M11</t>
  </si>
  <si>
    <t>TOURNAMENT_35_2024_M11</t>
  </si>
  <si>
    <t>CONTEST_35_TOURNAMENT_35_2024_M11</t>
  </si>
  <si>
    <t>TOURNAMENT_38_2024_M11</t>
  </si>
  <si>
    <t>CONTEST_38_TOURNAMENT_38_2024_M11</t>
  </si>
  <si>
    <t>TOURNAMENT_m_08_2024_Y01</t>
  </si>
  <si>
    <t>CONTEST_m_08_TOURNAMENT_m_08_2024_Y01</t>
  </si>
  <si>
    <t>TOURNAMENT_m_03_2024_Q04</t>
  </si>
  <si>
    <t>CONTEST_m_03_TOURNAMENT_m_03_2024_Q04</t>
  </si>
  <si>
    <t>TOURNAMENT_m_04_2024_Q04</t>
  </si>
  <si>
    <t>CONTEST_m_04_TOURNAMENT_m_04_2024_Q04</t>
  </si>
  <si>
    <t>TOURNAMENT_m_05_2024_Q04</t>
  </si>
  <si>
    <t>CONTEST_m_05_TOURNAMENT_m_05_2024_Q04</t>
  </si>
  <si>
    <t>TOURNAMENT_m_06_2024_Q04</t>
  </si>
  <si>
    <t>CONTEST_m_06_TOURNAMENT_m_06_2024_Q04</t>
  </si>
  <si>
    <t>TOURNAMENT_m_07_2024_Q04</t>
  </si>
  <si>
    <t>CONTEST_m_07_TOURNAMENT_m_07_2024_Q04</t>
  </si>
  <si>
    <t>2024-11-08</t>
  </si>
  <si>
    <t>2024-11-13</t>
  </si>
  <si>
    <t>Стань лучшим на уровне своего территориального банка в рамках турнира Кредитные продукты. Наращиваем сделки в ЦКП</t>
  </si>
  <si>
    <t>Войди в ТОП-3 участников в турнире Кредитные продукты. Наращиваем сделки в ЦКП на уровне всей страны</t>
  </si>
  <si>
    <t>Победитель ТБ по продаже продуктов экосистемы</t>
  </si>
  <si>
    <t>Чемпион страны по продаже продуктов экосистемы</t>
  </si>
  <si>
    <t>Лучший директор по продаже продуктов экосистемы</t>
  </si>
  <si>
    <t>Кредитные продукты. Наращиваем сделки в ЦКП</t>
  </si>
  <si>
    <t>TOURNAMENT_39_01_00</t>
  </si>
  <si>
    <t>CONTEST_39_01_TOURNAMENT_39_01_00</t>
  </si>
  <si>
    <t>TOURNAMENT_40_02</t>
  </si>
  <si>
    <t>CONTEST_41_TOURNAMENT_40_02</t>
  </si>
  <si>
    <t>2024-11-27</t>
  </si>
  <si>
    <t>2024-11-18</t>
  </si>
  <si>
    <t>CONTEST_65</t>
  </si>
  <si>
    <t>CONTEST_65_BANK</t>
  </si>
  <si>
    <t>CONTEST_66</t>
  </si>
  <si>
    <t>CONTEST_66_BANK</t>
  </si>
  <si>
    <t>CONTEST_67</t>
  </si>
  <si>
    <t>CONTEST_67_BANK</t>
  </si>
  <si>
    <t>CONTEST_68</t>
  </si>
  <si>
    <t>CONTEST_68_BANK</t>
  </si>
  <si>
    <t>CONTEST_69</t>
  </si>
  <si>
    <t>CONTEST_69_BANK</t>
  </si>
  <si>
    <t>CONTEST_91</t>
  </si>
  <si>
    <t>CONTEST_91_BANK</t>
  </si>
  <si>
    <t>CONTEST_92</t>
  </si>
  <si>
    <t>CONTEST_92_BANK</t>
  </si>
  <si>
    <t>CONTEST_93</t>
  </si>
  <si>
    <t>CONTEST_93_BANK</t>
  </si>
  <si>
    <t>CONTEST_94</t>
  </si>
  <si>
    <t>CONTEST_94_BANK</t>
  </si>
  <si>
    <t>CONTEST_95</t>
  </si>
  <si>
    <t>CONTEST_95_BANK</t>
  </si>
  <si>
    <t>CONTEST_96</t>
  </si>
  <si>
    <t>CONTEST_96_BANK</t>
  </si>
  <si>
    <t>Рупии. Максимизируем число новых открытых счетов</t>
  </si>
  <si>
    <t>Лига Чемпионов 1ПГ 2024</t>
  </si>
  <si>
    <t>Лига Чемпионов 2ПГ 2024</t>
  </si>
  <si>
    <t>Суперкубок 2024</t>
  </si>
  <si>
    <t>Герой продаж 2024</t>
  </si>
  <si>
    <t>Рейтинг ОД в ТБ</t>
  </si>
  <si>
    <t>Рейтинг ОД в стране</t>
  </si>
  <si>
    <t>Категория темпа роста ОД</t>
  </si>
  <si>
    <t>REWARD_65_01</t>
  </si>
  <si>
    <t>CONTEST_65_REWARD_65_01_BANK</t>
  </si>
  <si>
    <t>REWARD_66_01</t>
  </si>
  <si>
    <t>CONTEST_66_REWARD_66_01_BANK</t>
  </si>
  <si>
    <t>REWARD_67_01</t>
  </si>
  <si>
    <t>CONTEST_67_REWARD_67_01_BANK</t>
  </si>
  <si>
    <t>REWARD_91_04</t>
  </si>
  <si>
    <t>CONTEST_91_REWARD_91_04_BANK</t>
  </si>
  <si>
    <t>REWARD_92_04</t>
  </si>
  <si>
    <t>CONTEST_92_REWARD_92_04_BANK</t>
  </si>
  <si>
    <t>REWARD_93_04</t>
  </si>
  <si>
    <t>CONTEST_93_REWARD_93_04_BANK</t>
  </si>
  <si>
    <t>REWARD_94_04</t>
  </si>
  <si>
    <t>CONTEST_94_REWARD_94_04_BANK</t>
  </si>
  <si>
    <t>REWARD_95_04</t>
  </si>
  <si>
    <t>CONTEST_95_REWARD_95_04_BANK</t>
  </si>
  <si>
    <t>REWARD_96_04</t>
  </si>
  <si>
    <t>CONTEST_96_REWARD_96_04_BANK</t>
  </si>
  <si>
    <t>Победитель Лиги Чемпионов 1ПГ 2024</t>
  </si>
  <si>
    <t>Докажи, что лучший! \\nВойди вместе с командой в Лигу Чемпионов 1ПГ 2024 года и получите награду!</t>
  </si>
  <si>
    <t>Победитель Лиги Чемпионов 2ПГ 2024</t>
  </si>
  <si>
    <t>Докажи, что лучший! \\nВойди вместе с командой в Лигу Чемпионов 2ПГ 2024 года и получите награду!</t>
  </si>
  <si>
    <t>Победитель Суперкубка 2024</t>
  </si>
  <si>
    <t>Только лучшие из лучших станут победителями Суперкубка. \\nВойдите командой в число победителей 2024 года и получите награду!</t>
  </si>
  <si>
    <t>REWARD_68_01</t>
  </si>
  <si>
    <t>REWARD_69_01</t>
  </si>
  <si>
    <t>Эффективность</t>
  </si>
  <si>
    <t>Опердоход накопительным итогом</t>
  </si>
  <si>
    <t>Темп роста опердохода период к периоду</t>
  </si>
  <si>
    <t>LEAGUE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</si>
  <si>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</si>
  <si>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</si>
  <si>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</si>
  <si>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</si>
  <si>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</si>
  <si>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</si>
  <si>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</si>
  <si>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</si>
  <si>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</si>
  <si>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</si>
  <si>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KMFACTORING</t>
  </si>
  <si>
    <t>[{"period_code": 1, "criterion_mark_type": "&gt;", "criterion_mark_value": 0, "start_dt": "2023-06-01" , "end_dt": "2023-06-30"}]</t>
  </si>
  <si>
    <t>[{"period_code": 1, "criterion_mark_type": "&gt;", "criterion_mark_value": 0, "start_dt": "2023-07-01" , "end_dt": "2023-07-31"}]</t>
  </si>
  <si>
    <t>[{"period_code": 1, "criterion_mark_type": "&gt;", "criterion_mark_value": 0, "start_dt": "2023-08-01" , "end_dt": "2023-08-31"}]</t>
  </si>
  <si>
    <t>[{"period_code": 1, "criterion_mark_type": "&gt;", "criterion_mark_value": 0, "start_dt": "2023-09-01" , "end_dt": "2023-09-30"}]</t>
  </si>
  <si>
    <t>[{"period_code": 1, "criterion_mark_type": "&gt;", "criterion_mark_value": 0, "start_dt": "2023-10-01" , "end_dt": "2023-10-31"}]</t>
  </si>
  <si>
    <t>[{"period_code": 1, "criterion_mark_type": "&gt;", "criterion_mark_value": 0, "start_dt": "2023-11-01" , "end_dt": "2023-11-30"}]</t>
  </si>
  <si>
    <t>[{"period_code": 1, "criterion_mark_type": "&gt;", "criterion_mark_value": 0, "start_dt": "2023-12-01" , "end_dt": "2023-12-31"}]</t>
  </si>
  <si>
    <t>[{"period_code": 1, "criterion_mark_type": "&gt;", "criterion_mark_value": 0, "start_dt": "2024-02-01" , "end_dt": "2024-02-29"}]</t>
  </si>
  <si>
    <t>[{"period_code": 1, "criterion_mark_type": "&gt;", "criterion_mark_value": 0, "start_dt": "2024-03-01" , "end_dt": "2024-03-31"}]</t>
  </si>
  <si>
    <t>[{"period_code": 1, "criterion_mark_type": "&gt;", "criterion_mark_value": 0, "start_dt": "2024-04-01" , "end_dt": "2024-04-30"}]</t>
  </si>
  <si>
    <t>[{"period_code": 1, "criterion_mark_type": "&gt;", "criterion_mark_value": 0, "start_dt": "2024-05-01" , "end_dt": "2024-05-31"}]</t>
  </si>
  <si>
    <t>[{"period_code": 1, "criterion_mark_type": "&gt;", "criterion_mark_value": 0, "start_dt": "2024-06-01" , "end_dt": "2024-06-30"}]</t>
  </si>
  <si>
    <t>[{"period_code": 1, "criterion_mark_type": "&gt;", "criterion_mark_value": 0, "start_dt": "2024-07-01" , "end_dt": "2024-07-31"}]</t>
  </si>
  <si>
    <t>[{"period_code": 1, "criterion_mark_type": "&gt;", "criterion_mark_value": 0, "start_dt": "2024-08-01" , "end_dt": "2024-08-31"}]</t>
  </si>
  <si>
    <t>[{"period_code": 1, "criterion_mark_type": "&gt;", "criterion_mark_value": 0, "start_dt": "2024-09-01" , "end_dt": "2024-09-30"}]</t>
  </si>
  <si>
    <t>[{"period_code": 1, "criterion_mark_type": "&gt;", "criterion_mark_value": 0, "start_dt": "2024-10-01" , "end_dt": "2024-10-31"}]</t>
  </si>
  <si>
    <t>TOURNAMENT_65_2024_P01</t>
  </si>
  <si>
    <t>CONTEST_65_TOURNAMENT_65_2024_P01</t>
  </si>
  <si>
    <t>TOURNAMENT_66_2024_P02</t>
  </si>
  <si>
    <t>CONTEST_66_TOURNAMENT_66_2024_P02</t>
  </si>
  <si>
    <t>TOURNAMENT_67_2024_Y01</t>
  </si>
  <si>
    <t>CONTEST_67_TOURNAMENT_67_2024_Y01</t>
  </si>
  <si>
    <t>Чтобы стать участником, необходимо за время турнира закрыть как минимум одну сделку по продуктам категории AI-featured. Лучшие ТОП-1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\\nПродукты категории AI-featured : СберБизнесСофт SberCRM, СберМаркетинг Рекламные услуги, СберТех Продукты PlatformV, Современные технологии Умный объект СОФТ ТЕХ Amelia 2.0</t>
  </si>
  <si>
    <t>2024-12-13</t>
  </si>
  <si>
    <t>CONTEST_68_REWARD_68_01_BANK</t>
  </si>
  <si>
    <t>CONTEST_69_REWARD_69_01_BANK</t>
  </si>
  <si>
    <t>TOURNAMENT_68_2024_M12</t>
  </si>
  <si>
    <t>2024-12-01</t>
  </si>
  <si>
    <t>CONTEST_68_TOURNAMENT_68_2024_M12</t>
  </si>
  <si>
    <t>TOURNAMENT_69_2024_M12</t>
  </si>
  <si>
    <t>CONTEST_69_TOURNAMENT_69_2024_M12</t>
  </si>
  <si>
    <t>TOURNAMENT_91_01</t>
  </si>
  <si>
    <t>CONTEST_91_TOURNAMENT_91_01</t>
  </si>
  <si>
    <t>TOURNAMENT_92_01</t>
  </si>
  <si>
    <t>CONTEST_92_TOURNAMENT_92_01</t>
  </si>
  <si>
    <t>TOURNAMENT_93_01</t>
  </si>
  <si>
    <t>CONTEST_93_TOURNAMENT_93_01</t>
  </si>
  <si>
    <t>TOURNAMENT_94_01</t>
  </si>
  <si>
    <t>CONTEST_94_TOURNAMENT_94_01</t>
  </si>
  <si>
    <t>TOURNAMENT_95_01</t>
  </si>
  <si>
    <t>CONTEST_95_TOURNAMENT_95_01</t>
  </si>
  <si>
    <t>TOURNAMENT_96_01</t>
  </si>
  <si>
    <t>CONTEST_96_TOURNAMENT_96_01</t>
  </si>
  <si>
    <t>Новый год с ККСБ 2025</t>
  </si>
  <si>
    <t>GROUP CC BANK</t>
  </si>
  <si>
    <t>GROUP CC TB</t>
  </si>
  <si>
    <t>GROUP CC GOSB</t>
  </si>
  <si>
    <t>GROUP CC GROUPING</t>
  </si>
  <si>
    <t>Обладатели награды – лучшие клиентские менеджеры в сегменте ККСБ по версии проекта «Герои продаж» за 2024 год.</t>
  </si>
  <si>
    <t>ITEM_m_01</t>
  </si>
  <si>
    <t>Уникальная возможность пройти очное обучение в СберУниверситете — прокачать личные и профессиональные компетенции в окружении успешных руководителей. Стоимость обучения и проживание в кампусе на весь период программы входят в стоимость курса. Перечень доступных программ будет определн в первом квартале 2025 года.</t>
  </si>
  <si>
    <t>ITEM_m_02</t>
  </si>
  <si>
    <t>Участие в стажировке для личного и профессионального развития вместе с победителями Лиги Чемпионов и Суперкубка. Вы сможете пообщаться с лидерами КИБа, познакомиться и обменяться опытом с коллегами со всей России. Стажировка пройдёт в Москве во 2-м полугодии 2025 года (1-2 дня на усмотрение организатора).</t>
  </si>
  <si>
    <t>ITEM_m_03</t>
  </si>
  <si>
    <t>Обед с ТОП менеджерами КЭС Сберздоровье</t>
  </si>
  <si>
    <t xml:space="preserve">Эксклюзивная возможность принять участие в обеде с ТОП менеджерами КЭС Сберздоровье на площадке КЭС в Москве. Вы сможете лично пообщаться с руководством компании. Лидеры поделятся экспертными знаниями и опытом. </t>
  </si>
  <si>
    <t>ITEM_m_04</t>
  </si>
  <si>
    <t>ITEM_m_05</t>
  </si>
  <si>
    <t>ITEM_m_06</t>
  </si>
  <si>
    <t>ITEM_m_07</t>
  </si>
  <si>
    <t>ITEM_m_08</t>
  </si>
  <si>
    <t>ITEM_m_09</t>
  </si>
  <si>
    <t>Стажировка в КЭС Сберздоровье</t>
  </si>
  <si>
    <t>Стажировка в Москве. Вы посетите КЭС Сберздоровье, познакомитесь с особенностями работы КЭС  и увидите бизнес- процессы заключения сделок «изнутри». Этот незабываемый опыт пригодится в работе.</t>
  </si>
  <si>
    <t>2024-12-24</t>
  </si>
  <si>
    <t>Бейдж-поздравление для команды ККСБ с Новым 2025 годом! Спасибо, что вы с нами!</t>
  </si>
  <si>
    <t>Id</t>
  </si>
  <si>
    <t>00000000000000000001_00000000000000000001</t>
  </si>
  <si>
    <t>2025-02-12</t>
  </si>
  <si>
    <t>{"""feature""": ["""Можно выбрать 1 обучение в год""", """Срок зачисления на курс составляет от трёх месяцев до года""", """После зачисления вся информация о программе появится в «Пульсе» в разделе «Развитие»""", """Необходимо согласовать отсутствие на период обучения с непосредственным руководителем""", """Дорога в Москву оплачивается за счёт командировочных расходов"""], """itemFeature""": ["""Можно выбрать 1 обучение в год""", """Срок зачисления на курс составляет от трёх месяцев до года""", """После зачисления вся информация о программе появится в «Пульсе» в разделе «Развитие»""", """Необходимо согласовать отсутствие на период обучения с непосредственным руководителем""", """Дорога в Москву оплачивается за счёт командировочных расходов"""],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"""ITEM_02"""}, {"""nonRewardCode""": """ITEM_03"""}], """employeeRating""": {"""minRatingBANK""": """10""", """minRatingTB""": """""", """minRatingGOSB""": """""", """minCrystalEarnedTotal""": """""", """seasonCode""": """SEASON_2024"""}}, """itemGroupAmount""": [],  """isGroupingTitle""": """""",  """isGroupingTultip""": """""", """itemAmount""": """10""", """isGrouping""": """N""", """isGroupingName""": """очная стажировка""",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</si>
  <si>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["""Доступно всего 5 мест на стажировку""", """Необходимо согласовать отсутствие на период стажировки с непосредственным руководителем""", """Дорога в Москву и проживание оплачивается за счёт командировочных расходов""", """Основание для участие и оформление командировки — вызов от ЦА"""], """itemFeature""": ["""Доступно всего 5 мест на стажировку""", """Необходимо согласовать отсутствие на период стажировки с непосредственным руководителем""", """Дорога в Москву и проживание оплачивается за счёт командировочных расходов""", """Основание для участие и оформление командировки — вызов от ЦА"""],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"""ITEM_01"""}, {"""nonRewardCode""": """ITEM_03"""}], """employeeRating""": {"""minRatingBANK""": """35""", """minRatingTB""": """""", """minRatingGOSB""": """""", """minCrystalEarnedTotal""": """""", """seasonCode""": """SEASON_2024"""}}, """itemGroupAmount""": [],  """isGroupingTitle""": """""",  """isGroupingTultip""": """""", """itemAmount""": """5""", """isGrouping""": """N""", """isGroupingName""": """очная стажировка""",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</si>
  <si>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["""Точные даты обеда будут определены в 1-м квартале 2025 года""", """Не более 7 клиентских менеджеров на одном обеде""", """Обед оплачивается лидерами ЦА""",  """Дорога в Москву и проживание в гостинице оплачивается за счёт командировочных расходов""", """Необходимо согласовать отсутствие с непосредственным руководителем""", """Основание для участие и оформление командировки — вызов от ЦА"""], """itemFeature""": ["""Точные даты обеда будут определены в 1-м квартале 2025 года""", """Не более 7 клиентских менеджеров на одном обеде""", """Обед оплачивается лидерами ЦА""",  """Дорога в Москву и проживание в гостинице оплачивается за счёт командировочных расходов""", """Необходимо согласовать отсутствие с непосредственным руководителем""", """Основание для участие и оформление командировки — вызов от ЦА"""],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"""ITEM_02"""}, {"""nonRewardCode""": """ITEM_01"""}], """employeeRating""": {"""minRatingBANK""": """35""", """minRatingTB""": """""", """minRatingGOSB""": """""", """minCrystalEarnedTotal""": """""", """seasonCode""": """SEASON_2024"""}}, """itemGroupAmount""": [],  """isGroupingTitle""": """""",  """isGroupingTultip""": """""", """itemAmount""": """14""", """isGrouping""": """N""", """isGroupingName""": """очная стажировка""",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</si>
  <si>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["""Сертификат будет направлен Вам в течение первого квартала на рабочую почту""", """Согласно законодательству РФ не облагаются налогом подарки до 4 тыс. руб. С суммы превышения будет удержано 13% при расчёте зарплаты"""], """itemFeature""": ["""Сертификат будет направлен Вам в течение первого квартала на рабочую почту""", """Согласно законодательству РФ не облагаются налогом подарки до 4 тыс. руб. С суммы превышения будет удержано 13% при расчёте зарплаты"""], """nftFlg""": """N""", """outstanding""": """N""", """rewardRule""": """Сертификат будут направлены Вам в течение первого квартала на рабочую почту.""",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"""ITEM_05"""}, {"""nonRewardCode""": """ITEM_06"""}], """employeeRating""": {"""minRatingBANK""": """5""", """minRatingTB""": """""", """minRatingGOSB""": """""", """minCrystalEarnedTotal""": """""", """seasonCode""": """SEASON_2024"""}}, """itemGroupAmount""": [],  """isGroupingTitle""": """""",  """isGroupingTultip""": """""", """itemAmount""": """5""", """isGrouping""": """N""", """isGroupingName""": """SberShop""",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</si>
  <si>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["""Сертификат будет направлен Вам в течение первого квартала на рабочую почту""", """Согласно законодательству РФ не облагаются налогом подарки до 4 тыс. руб. С суммы превышения будет удержано 13% при расчёте зарплаты"""], """itemFeature""": ["""Сертификат будет направлен Вам в течение первого квартала на рабочую почту""", """Согласно законодательству РФ не облагаются налогом подарки до 4 тыс. руб. С суммы превышения будет удержано 13% при расчёте зарплаты"""], """nftFlg""": """N""", """outstanding""": """N""", """rewardRule""": """Сертификат будет направлен Вам в течение первого квартала на рабочую почту.""",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"""ITEM_04"""}, {"""nonRewardCode""": """ITEM_06"""}], """employeeRating""": {"""minRatingBANK""": """15""", """minRatingTB""": """""", """minRatingGOSB""": """""", """minCrystalEarnedTotal""": """""", """seasonCode""": """SEASON_2024"""}}, """itemGroupAmount""": [],  """isGroupingTitle""": """""",  """isGroupingTultip""": """""", """itemAmount""": """10""", """isGrouping""": """N""", """isGroupingName""": """SberShop""",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</si>
  <si>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["""Доступно всего 40 книг"""], """itemFeature""": ["""Доступно всего 40 книг"""], """nftFlg""": """N""", """outstanding""": """N""", """rewardRule""": """Книга будет направлена внутренней почтой к Вашему рабочему месту, указанному в справочнике, в течение первого квартала 2025 года.""",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"""50""", """minRatingTB""": """""", """minRatingGOSB""": """""", """minCrystalEarnedTotal""": """""", """seasonCode""": """SEASON_2024"""}}, """itemGroupAmount""": [],  """isGroupingTitle""": """""",  """isGroupingTultip""": """""", """itemAmount""": """40""", """isGrouping""": """N""", """isGroupingName""": """Книга от Ситнова ВВ""", """itemMinShow""": """10""", """itemLimitCount""": """1""", """itemLimitPeriod""": """once""", """seasonItem""": ["""SEASON_2024"""], """bookingRequired""": """Y""", """deliveryRequired""": """Y""", """commingSoon""": """N""", """ignoreConditions""": []}</t>
  </si>
  <si>
    <t>{"""feature""": ["""Доступно всего 5 онлайн-сессий""", """Дата сессии будет определена в 1-м квартале"""], """itemFeature""": ["""Доступно всего 5 онлайн-сессий""", """Дата сессии будет определена в 1-м квартале"""],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"""35""", """minRatingTB""": """""", """minRatingGOSB""": """""", """minCrystalEarnedTotal""": """""", """seasonCode""": """SEASON_2024"""}}, """itemGroupAmount""": [],  """isGroupingTitle""": """""",  """isGroupingTultip""": """""", """itemAmount""": """5""", """isGrouping""": """N""", """isGroupingName""": """Онлайн с Меламедом СВ""",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</si>
  <si>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["""Встреча лидеров традиционно проводится в последний вторник месяца""", """Активность займёт один рабочий день""", """Дорога в Москву и проживание в гостинице оплачивается за счёт командировочных расходов""", """Необходимо согласовать отсутствие на период стажировки с непосредственным руководителем""", """Основание для участие и оформление командировки — вызов от ЦА"""], """itemFeature""": ["""Встреча лидеров традиционно проводится в последний вторник месяца""", """Активность займёт один рабочий день""", """Дорога в Москву и проживание в гостинице оплачивается за счёт командировочных расходов""", """Необходимо согласовать отсутствие на период стажировки с непосредственным руководителем""", """Основание для участие и оформление командировки — вызов от ЦА"""], """nftFlg""": """N""", """outstanding""": """N""", """rewardRule""": """Команда проекта свяжется с Вами в начале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"""100""", """minRatingTB""": """""", """minRatingGOSB""": """""", """minCrystalEarnedTotal""": """""", """seasonCode""": """SEASON_2024"""}}, """itemGroupAmount""": [{"""itemParam""": """Январь""", """itemParamAmount""": """15"""}, {"""itemParam""": """Февраль""", """itemParamAmount""": """15"""}, {"""itemParam""": """Март""", """itemParamAmount""": """15"""}, {"""itemParam""": """Апрель""", """itemParamAmount""": """15"""}, {"""itemParam""": """Май""", """itemParamAmount""": """15"""}, {"""itemParam""": """Июнь""", """itemParamAmount""": """15"""}, {"""itemParam""": """Июль""", """itemParamAmount""": """15"""}], """isGroupingTitle""": """""",  """isGroupingTultip""": """""", """itemAmount""": """""", """isGrouping""": """Y""", """isGroupingName""": """встреча лидеров""",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</si>
  <si>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["""Участие по возможности и желанию""", """Не освобождает от выполнения основных обязанностей"""], """itemFeature""": ["""Участие по возможности и желанию""", """Не освобождает от выполнения основных обязанностей"""],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"""""", """minRatingTB""": """3""", """minRatingGOSB""": """""", """minCrystalEarnedTotal""": """""", """seasonCode""": """SEASON_2024"""}}, """itemGroupAmount""": [],  """isGroupingTitle""": """""",  """isGroupingTultip""": """""", """itemAmount""": """5""", """isGrouping""": """N""", """isGroupingName""": """проектная деятельность""",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</si>
  <si>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["""Ориентировочный срок доставки письма — 1 месяц с момента заказа""", """Без занесения в личное дело"""], """itemFeature""": ["""Ориентировочный срок доставки письма — 1 месяц с момента заказа""", """Без занесения в личное дело"""], """nftFlg""": """N""", """outstanding""": """N""", """rewardRule""": """С вами свяжутся в течение месяца, чтобы уточнить контактные данные родителей. Благодарственное письмо пришлют по почте прямо к Вашему рабочему месту, указанному в справочнике.""",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"""""", """minRatingTB""": """3""", """minRatingGOSB""": """""", """minCrystalEarnedTotal""": """""", """seasonCode""": """SEASON_2024"""}}, """itemGroupAmount""": [],  """isGroupingTitle""": """""",  """isGroupingTultip""": """""", """itemAmount""": """10""", """isGrouping""": """N""", """isGroupingName""": """Благодарственное письмо""",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</si>
  <si>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["""Стажировка пройдёт в 1-м квартале 2025 года (1-2 дня на усмотрение организатора)""", """Дорога в Москву и проживание в гостинице оплачивается за счёт командировочных расходов""", """Необходимо согласовать отсутствие на период стажировки с непосредственным руководителем""", """Основание для участия и оформления командировки — вызов от ЦА"""], """itemFeature""": ["""Стажировка пройдёт в 1-м квартале 2025 года (1-2 дня на усмотрение организатора)""", """Дорога в Москву и проживание в гостинице оплачивается за счёт командировочных расходов""", """Необходимо согласовать отсутствие на период стажировки с непосредственным руководителем""", """Основание для участия и оформления командировки — вызов от ЦА"""], """nftFlg""": """N""", """outstanding""": """N""", """rewardRule""": """Команда проекта свяжется с Вами в начале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{"""rewards""":[{"""rewardCode""": """REWARD_39_03""","""amount""": """1"""}], """nonRewards""": [], """employeeRating""": {"""minRatingBANK""": """""", """minRatingTB""": """""", """minRatingGOSB""": """""", """minCrystalEarnedTotal""": """""", """seasonCode""": """SEASON_2024"""}}, """itemGroupAmount""": [],  """isGroupingTitle""": """""",  """isGroupingTultip""": """""", """itemAmount""": """100""", """isGrouping""": """N""", """isGroupingName""": """Стажировка ДГР""", """itemMinShow""": """1""", """itemLimitCount""": """1""", """itemLimitPeriod""": """once""", """seasonItem""": [], """bookingRequired""": """Y""", """deliveryRequired""": """Y""", """commingSoon""": """N""", """ignoreConditions""": []}</t>
  </si>
  <si>
    <t>{"""feature""": [], """nftFlg""": """N""", """outstanding""": """N""", """rewardRule""": """""", """rewardAgainGlobal""": """N""", """rewardAgainTournament""": """N""", """hidden""":"""Y""", """fileName""": """GURU""", """teamNews""": """""", """singleNews""": """""", """businessBlock""": ["""KMKKSB"""], """recommendationLevel""": """BANK""", """priority""": """1""",  """masterBadge""": """Y""", """parentRewardCode""": """REWARD_00_01"""}</t>
  </si>
  <si>
    <t>{"""feature""": [], """nftFlg""": """N""", """outstanding""": """N""", """rewardRule""": """""", """rewardAgainGlobal""": """N""", """rewardAgainTournament""": """N""", """hidden""":"""N""", """fileName""": """VASCODAGAMA""", """teamNews""": """""", """singleNews""": """""", """businessBlock""": ["""KMKKSB"""], """recommendationLevel""": """BANK""", """priority""": """1""",  """masterBadge""": """Y""", """parentRewardCode""": """REWARD_00_02"""}</t>
  </si>
  <si>
    <t>Собери для банка 100 тыс. руб. комиссии от импортных и экспортных сделок своих клиентов с индийскими контрагентами и получи свою награду!</t>
  </si>
  <si>
    <t>{"""feature""": ["""Комиссия (ЧКД) за конверсию по Индии учитывается накопительно по операция с 01.10.2023 года по 31.12.2024 года""", """Бейдж можно получить только один раз за год"""], """nftFlg""": """N""", """outstanding""": """N""", """rewardRule""": """""", """rewardAgainGlobal""": """N""", """rewardAgainTournament""": """N""", """hidden""":"""N""", """fileName""": """INDIA_COMMISSION_100K""", """teamNews""": """""", """singleNews""": """""", """businessBlock""": ["""KMKKSB"""], """recommendationLevel""": """GOSB""", """priority""": """1""",  """masterBadge""": """Y""", """parentRewardCode""": """REWARD_01"""}</t>
  </si>
  <si>
    <t>Продолжай в том же духе! \\nСобери для банка 500 тыс. руб. комиссии от импортных и экспортных сделок своих клиентов с индийскими контрагентами и эта награда твоя!</t>
  </si>
  <si>
    <t>{"""feature""": ["""Комиссия (ЧКД) за конверсию по Индии учитывается накопительно по операция с 01.10.2023 года по 31.12.2024 года""", """Бейдж можно получить только один раз за год"""], """nftFlg""": """N""", """outstanding""": """N""", """rewardRule""": """""", """rewardAgainGlobal""": """N""", """rewardAgainTournament""": """N""", """hidden""":"""N""", """fileName""": """INDIA_COMMISSION_500K""", """teamNews""": """""", """singleNews""": """""", """businessBlock""": ["""KMKKSB"""], """recommendationLevel""": """GOSB""", """priority""": """1""",  """masterBadge""": """Y""", """parentRewardCode""": """REWARD_02"""}</t>
  </si>
  <si>
    <t>Ты уже отлично поработал! \\nСледующая цель - 3 млн. руб. комиссии от импортных и экспортных сделок своих клиентов с индийскими контрагентами.</t>
  </si>
  <si>
    <t>{"""feature""": ["""Комиссия (ЧКД) за конверсию по Индии учитывается накопительно по операция с 01.10.2023 года по 31.12.2024 года""", """Бейдж можно получить только один раз за год""", """Факт получения бейджа попадает в ленту сообщества"""], """nftFlg""": """N""", """outstanding""": """Y""", """rewardRule""": """""", """rewardAgainGlobal""": """N""", """rewardAgainTournament""": """N""", """hidden""":"""N""", """fileName""": """INDIA_COMMISSION_3M""", """teamNews""": """&lt;span&gt;[Имя_Фамилия]&lt;/span&gt; и еще [n] [amount:менеджер] заработали для банка по 3 млн руб. комиссии от импортных и экспортных сделок с индийскими контрагентами""", """singleNews""": """Новое достижение! [Имя] [gender:1:заработал|gender:2:заработала] для банка 3 млн руб. комиссии от импортных и экспортных сделок своих клиентов с индийскими контрагентами""", """businessBlock""": ["""KMKKSB"""], """recommendationLevel""": """TB""", """priority""": """1""",  """masterBadge""": """Y""", """parentRewardCode""": """REWARD_03"""}</t>
  </si>
  <si>
    <t>Эта награда для лучших из лучших! \\nСобери для банка 10 млн. руб. комиссии от импортных и экспортных сделок своих клиентов с индийскими контрагентами и долгожданная награда станет твоей!</t>
  </si>
  <si>
    <t>{"""feature""": ["""Комиссия (ЧКД) за конверсию по Индии учитывается накопительно по операция с 01.10.2023 года по 31.12.2024 года""", """Бейдж можно получить только один раз за год""", """Факт получения бейджа попадает в ленту сообщества""", """Обладателю бейджа будет выпущен цифровой токен в формате NFT"""], """nftFlg""": """Y""", """outstanding""": """Y""", """rewardRule""": """""", """rewardAgainGlobal""": """N""", """rewardAgainTournament""": """N""", """hidden""":"""N""", """fileName""": """INDIA_COMMISSION_3M""", """teamNews""": """&lt;span&gt;[Имя_Фамилия]&lt;/span&gt; и еще [n] [amount:менеджер] преодолели отметку в 10 млн руб. комиссии от импортных и экспортных сделок с индийскими контрагентами""", """singleNews""": """Новое достижение! [Имя] [gender:1:преодолел|gender:2:преодолела] отметку в 10 млн руб. комиссии от импортных и экспортных сделок с индийскими контрагентами""", """businessBlock""": ["""KMKKSB"""], """recommendationLevel""": """BANK""", """priority""": """1""",  """masterBadge""": """Y""", """parentRewardCode""": """REWARD_04"""}</t>
  </si>
  <si>
    <t>{"""feature""": ["""Каждый месяц устанавливается новая индивидуальная цель по комиссии по комиссии, равная х2 к комиссии предыдущего месяца""", """Бейдж можно получать каждый месяц, если будет выполняться цель по поставленной комиссии""", """Факт получения бейджа попадает в ленту сообщества"""], """nftFlg""": """N""", """outstanding""": """Y""", """rewardRule""": """""", """rewardAgainGlobal""": """Y""", """rewardAgainTournament""": """N""", """hidden""":"""N""", """fileName""": """INDIA_COMMISSION_X2""", """teamNews""": """&lt;span&gt;[Имя_Фамилия]&lt;/span&gt; и еще [n] [amount:менеджер] смогли удвоить заработанную комиссию по сделкам с индийскими контрагентами по сравнению с предыдущим месяцем. Так держать!""", """singleNews""": """Новое достижение! [Имя] [gender:1:смог|gender:2:согла] удвоить заработанную комиссию по сделкам с индийскими контрагентами по сравнению с предыдущим месяцем. Так держать!""", """businessBlock""": ["""KMKKSB"""], """recommendationLevel""": """TB""", """priority""": """1""",  """masterBadge""": """Y""", """parentRewardCode""": """REWARD_05"""}</t>
  </si>
  <si>
    <t>{"""feature""": ["""Каждый месяц устанавливается новая индивидуальная цель по комиссии по комиссии, равная х3 к комиссии предыдущего месяца""", """Бейдж можно получать каждый месяц, если будет выполняться цель по поставленной комиссии""", """Факт получения бейджа попадает в ленту сообщества"""], """nftFlg""": """N""", """outstanding""": """Y""", """rewardRule""": """""", """rewardAgainGlobal""": """Y""", """rewardAgainTournament""": """N""", """hidden""":"""N""", """fileName""": """INDIA_COMMISSION_X3""", """teamNews""": """&lt;span&gt;[Имя_Фамилия]&lt;/span&gt; и еще [n] [amount:менеджер] сделали в прошедшем месяце тройную сумму комиссии по сделкам с индийскими компаниями, чем месяцем ранее. Взята высокая планка!""", """singleNews""": """Новое достижение! [Имя] [gender:1:сделал|gender:2:сделала] в прошедшем месяце тройную сумму комиссии по сделкам с индийскими компаниями, чем месяцем ранее. Взята высокая планка!""", """businessBlock""": ["""KMKKSB"""], """recommendationLevel""": """BANK""", """priority""": """1""",  """masterBadge""": """Y""", """parentRewardCode""": """REWARD_06"""}</t>
  </si>
  <si>
    <t>{"""feature""": ["""Каждый месяц устанавливается новая индивидуальная цель по комиссии по комиссии, равная х4 к комиссии предыдущего месяца""", """Бейдж можно получать каждый месяц, если будет выполняться цель по поставленной комиссии""", """Факт получения бейджа попадает в ленту сообщества"""], """nftFlg""": """N""", """outstanding""": """Y""", """rewardRule""": """""", """rewardAgainGlobal""": """Y""", """rewardAgainTournament""": """N""", """hidden""":"""N""", """fileName""": """INDIA_COMMISSION_X4""", """teamNews""": """&lt;span&gt;[Имя_Фамилия]&lt;/span&gt; и еще [n] [amount:менеджер] смогли заработать в прошедшем месяце комиссию от сделок с индийскими компаниями в 4 раза больше, чем в позапрошлом месяце. Крутой результат!""", """singleNews""": """Новое достижение! [Имя] [gender:1:смог|gender:2:смогла] заработать в прошедшем месяце комиссию от сделок с индийскими компаниями в 4 раза больше, чем в позапрошлом месяце. Крутой результат!""", """businessBlock""": ["""KMKKSB"""], """recommendationLevel""": """BANK""", """priority""": """1""",  """masterBadge""": """Y""", """parentRewardCode""": """REWARD_07"""}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</si>
  <si>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"""TOURNAMENT_CONDITIONAL_DEALS_GOSB""", """teamNews""": """""", """singleNews""": """""", """businessBlock""": ["""KMKKSB"""], """recommendationLevel""": """GOSB""", """priority""": """3""",  """masterBadge""": """Y""", """parentRewardCode""": """REWARD_09_01"""}</t>
  </si>
  <si>
    <t>{"""feature""": [], """nftFlg""": """N""", """outstanding""": """N""", """rewardRule""": """Бейдж получат 7% от числа участников турнира в кластере""", """rewardAgainGlobal""": """Y""", """rewardAgainTournament""": """N""", """hidden""":"""N""", """fileName""": """TOURNAMENT_CONDITIONAL_DEALS_TB""", """teamNews""": """""", """singleNews""": """""", """businessBlock""": ["""KMKKSB"""], """recommendationLevel""": """GOSB""", """priority""": """2""",  """masterBadge""": """Y""", """parentRewardCode""": """REWARD_09_02"""}</t>
  </si>
  <si>
    <t>{"""feature""": [], """nftFlg""": """N""", """outstanding""": """N""", """rewardRule""": """Бейдж получат 7% от числа участников турнира в тербанке""", """rewardAgainGlobal""": """Y""", """rewardAgainTournament""": """N""", """hidden""":"""N""", """fileName""": """TOURNAMENT_CONDITIONAL_DEALS_TB""", """teamNews""": """""", """singleNews""": """""", """businessBlock""": ["""KMKKSB"""], """recommendationLevel""": """TB""", """priority""": """2""",  """masterBadge""": """Y""", """parentRewardCode""": """REWARD_09_03"""}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</si>
  <si>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1% от числа участников турнира в стране""", """rewardAgainGlobal""": """Y""", """rewardAgainTournament""": """N""", """hidden""":"""N""", """fileName""": """TOURNAMENT_CONDITIONAL_DEALS_BANK""", """teamNews""": """&lt;span&gt;[Имя_Фамилия]&lt;/span&gt; и еще [n] [amount:менеджер] стали победителями турнира “Марафон по условным сделкам”. Они показали лучший результат в стране""", """singleNews""": """Новое достижение! [Имя] [gender:1:стал|gender:2:стала] победителем турнира “Марафон по условным сделкам”. [gender:1:Он|gender:2:Она] [gender:1:показал|gender:2:показала] лучший результат в стране""", """businessBlock""": ["""KMKKSB"""], """recommendationLevel""": """BANK""", """priority""": """1""",  """masterBadge""": """Y""", """parentRewardCode""": """REWARD_09_04"""}</t>
  </si>
  <si>
    <t>{"""feature""": [], """nftFlg""": """N""", """outstanding""": """N""", """rewardRule""": """Бейдж получит участник с лучшим результатом по числу условных сделок от активов в своем подразделении""",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"""Y""", """parentRewardCode""": """REWARD_10_01"""}</t>
  </si>
  <si>
    <t>{"""feature""": [], """nftFlg""": """N""", """outstanding""": """N""", """rewardRule""": """Бейдж получит участник с лучшим результатом по числу условных сделок от активов в своем кластере""", """rewardAgainGlobal""": """Y""", """rewardAgainTournament""": """N""", """hidden""":"""N""", """fileName""": """""", """teamNews""": """""", """singleNews""": """""", """businessBlock""": ["""KMKKSB"""], """recommendationLevel""": """GOSB""", """priority""": """2""",  """masterBadge""": """Y""", """parentRewardCode""": """REWARD_10_02"""}</t>
  </si>
  <si>
    <t>{"""feature""": ["""Факт получения бейджа попадает в ленту сообщества"""], """nftFlg""": """N""", """outstanding""": """Y""", """rewardRule""": """Бейдж получит участник с лучшим результатом по числу условных сделок от активов в своем тербанке""",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ТОП по активам. Условные сделки. Сумма условных сделок по активам каждого из них была максимальной среди остальных в своем территориальном банке""", """singleNews""": """Новое достижение! [Имя] [gender:1:стал|gender:2:стала] победителем турнира ТОП по активам. Условные сделки. [gender:1:Его|gender:2:Её] сумма условных сделок по активам была максимальной во всей стране""", """businessBlock""": ["""KMKKSB"""], """recommendationLevel""": """TB""", """priority""": """2""",  """masterBadge""": """Y""", """parentRewardCode""": """REWARD_10_03"""}</t>
  </si>
  <si>
    <t>{"""feature""": ["""Факт получения бейджа попадает в ленту сообщества"""], """nftFlg""": """N""", """outstanding""": """Y""", """rewardRule""": """Бейдж получит участник с лучшим результатом по числу условных сделок от активов в своем тербанке""",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ТОП по активам. Условные сделки. Сумма условных сделок по активам каждого из них была максимальной среди остальных в своем территориальном банке""", """singleNews""": """Новое достижение! [Имя] [gender:1:стал|gender:2:стала] победителем турнира ТОП по активам. Условные сделки. [gender:1:Его|gender:2:Её] сумма условных сделок по активам была максимальной во всей стране""", """businessBlock""": ["""KMKKSB"""], """recommendationLevel""": """TB""", """priority""": """2""",  """masterBadge""": """Y""", """parentRewardCode""": """REWARD_10_03_01"""}</t>
  </si>
  <si>
    <t>{"""feature""": [], """nftFlg""": """N""", """outstanding""": """N""", """rewardRule""": """Бейдж получит участник с лучшим результатом по числу условных сделок от активов в стране""", """rewardAgainGlobal""": """Y""", """rewardAgainTournament""": """N""", """hidden""":"""N""", """fileName""": """""", """teamNews""": """""", """singleNews""": """""", """businessBlock""": ["""KMKKSB"""], """recommendationLevel""": """BANK""", """priority""": """1""",  """masterBadge""": """Y""", """parentRewardCode""": """REWARD_10_04"""}</t>
  </si>
  <si>
    <t>{"""feature""": [], """nftFlg""": """N""", """outstanding""": """N""", """rewardRule""": """Бейдж получит участник с лучшим результатом по числу условных сделок от активов в стране""", """rewardAgainGlobal""": """Y""", """rewardAgainTournament""": """N""", """hidden""":"""N""", """fileName""": """""", """teamNews""": """""", """singleNews""": """""", """businessBlock""": ["""KMKKSB"""], """recommendationLevel""": """BANK""", """priority""": """1""",  """masterBadge""": """Y""", """parentRewardCode""": """REWARD_10_04_01"""}</t>
  </si>
  <si>
    <t>{"""feature""": ["""Факт получения бейджа попадает в ленту сообщества""", """Обладателю бейджа будет выпущен цифровой токен в формате NFT"""], """nftFlg""": """Y""", """outstanding""": """N""", """rewardRule""": """""", """rewardAgainGlobal""": """Y""", """rewardAgainTournament""": """N""", """hidden""":"""N""", """fileName""": """CHAMPION_LEAGUE_2023_1""", """teamNews""": """[n] [amount:менеджер] получили награду. Их КПК вошли в Лигу чемпионов по итогам 1 полугодия 2023. Новых побед и успехов!""", """singleNews""": """[Имя] [gender:1:получил|gender:2:получила] награду. [gender:1:Его|gender:2:Её] КПК вошло в Лигу чемпионов по итогам 1 полугодия 2023. Новых побед и успехов!""", """businessBlock""": ["""KMKKSB"""], """recommendationLevel""": """BANK""", """priority""": """1""",  """masterBadge""": """Y""", """parentRewardCode""": """REWARD_11_01"""}</t>
  </si>
  <si>
    <t>{"""feature""": ["""Факт получения бейджа попадает в ленту сообщества""", """Обладателю бейджа будет выпущен цифровой токен в формате NFT"""], """nftFlg""": """Y""", """outstanding""": """N""", """rewardRule""": """""", """rewardAgainGlobal""": """Y""", """rewardAgainTournament""": """N""", """hidden""":"""N""", """fileName""": """CHAMPION_LEAGUE_2023_2""", """teamNews""": """[n] [amount:менеджер] получили награду. Их КПК вошли в Лигу чемпионов по итогам 2 полугодия 2023. Новых побед и успехов!""", """singleNews""": """[Имя] [gender:1:получил|gender:2:получила] награду. [gender:1:Его|gender:2:Её] КПК вошло в Лигу чемпионов по итогам 2 полугодия 2023. Новых побед и успехов!""", """businessBlock""": ["""KMKKSB"""], """recommendationLevel""": """BANK""", """priority""": """1""",  """masterBadge""": """Y""", """parentRewardCode""": """REWARD_12_01"""}</t>
  </si>
  <si>
    <t>{"""feature""": [], """nftFlg""": """N""", """outstanding""": """N""", """rewardRule""": """""", """rewardAgainGlobal""": """Y""", """rewardAgainTournament""": """N""", """hidden""":"""N""", """fileName""": """SUPERBONUS_2023_TOP1""", """teamNews""": """""", """singleNews""": """""", """businessBlock""": ["""KMKKSB"""], """recommendationLevel""": """BANK""", """priority""": """1""",  """masterBadge""": """Y""", """parentRewardCode""": """REWARD_14_01"""}</t>
  </si>
  <si>
    <t>{"""feature""": [], """nftFlg""": """N""", """outstanding""": """N""", """rewardRule""": """""", """rewardAgainGlobal""": """Y""", """rewardAgainTournament""": """N""", """hidden""":"""N""", """fileName""": """SUPERBONUS_2023_TOP10""", """teamNews""": """""", """singleNews""": """""", """businessBlock""": ["""KMKKSB"""], """recommendationLevel""": """BANK""", """priority""": """1""",  """masterBadge""": """Y""", """parentRewardCode""": """REWARD_15_01"""}</t>
  </si>
  <si>
    <t>{"""feature""": [], """nftFlg""": """N""", """outstanding""": """N""", """rewardRule""": """""", """rewardAgainGlobal""": """Y""", """rewardAgainTournament""": """N""", """hidden""":"""N""", """fileName""": """SUPERBONUS_2023_TOP20""", """teamNews""": """""", """singleNews""": """""", """businessBlock""": ["""KMKKSB"""], """recommendationLevel""": """BANK""", """priority""": """1""",  """masterBadge""": """Y""", """parentRewardCode""": """REWARD_16_01"""}</t>
  </si>
  <si>
    <t>{"""feature""": [], """nftFlg""": """N""", """outstanding""": """N""", """rewardRule""": """""", """rewardAgainGlobal""": """Y""", """rewardAgainTournament""": """N""", """hidden""":"""N""", """fileName""": """SUPERBONUS_2023_TOP20+""", """teamNews""": """""", """singleNews""": """""", """businessBlock""": ["""KMKKSB"""], """recommendationLevel""": """BANK""", """priority""": """1""",  """masterBadge""": """Y""", """parentRewardCode""": """REWARD_17_01"""}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</si>
  <si>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["""KMKKSB"""], """recommendationLevel""": """BANK""", """priority""": """1""",  """masterBadge""": """Y""", """parentRewardCode""": """REWARD_19_01"""}</t>
  </si>
  <si>
    <t>{"""feature""": [], """nftFlg""": """N""", """outstanding""": """N""", """rewardRule""": """Бейдж получат 1% от числа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"""REWARD_20_01"""}</t>
  </si>
  <si>
    <t>{"""feature""": [], """nftFlg""": """N""", """outstanding""": """N""", """rewardRule""": """Бейдж получат 7%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"""REWARD_20_02"""}</t>
  </si>
  <si>
    <t>{"""feature""": [], """nftFlg""": """N""", """outstanding""": """N""", """rewardRule""": """Бейдж получат 7%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"""BANK""", """priority""": """1""",  """masterBadge""": """Y""", """parentRewardCode""": """REWARD_20_04"""}</t>
  </si>
  <si>
    <t>{"""feature""": [], """nftFlg""": """N""", """outstanding""": """N""", """rewardRule""": """Бейдж получат ТОП-3 от числа участников турнира в подразделении""", """rewardAgainGlobal""": """Y""", """rewardAgainTournament""": """N""", """hidden""":"""N""", """fileName""": """""", """teamNews""": """""", """singleNews""": """""", """businessBlock""": ["""MNS"""], """recommendationLevel""": """GOSB""", """priority""": """3""",  """masterBadge""": """Y""", """parentRewardCode""": """REWARD_23_01"""}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</si>
  <si>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["""MNS"""], """recommendationLevel""": """GOSB""", """priority""": """2""",  """masterBadge""": """Y""", """parentRewardCode""": """REWARD_23_02"""}</t>
  </si>
  <si>
    <t>{"""feature""": [], """nftFlg""": """N""", """outstanding""": """N""", """rewardRule""": """Бейдж получат ТОП-3 от числа участников турнира в каждом тербанке""", """rewardAgainGlobal""": """Y""", """rewardAgainTournament""": """N""", """hidden""":"""N""", """fileName""": """""", """teamNews""": """""", """singleNews""": """""", """businessBlock""": ["""MNS"""], """recommendationLevel""": """TB""", """priority""": """2""",  """masterBadge""": """Y""", """parentRewardCode""": """REWARD_23_03"""}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</si>
  <si>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"""Y""", """parentRewardCode""": """REWARD_25_01"""}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</si>
  <si>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"""GOSB""", """priority""": """2""",  """masterBadge""": """Y""", """parentRewardCode""": """REWARD_25_02"""}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</si>
  <si>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"""Y""", """parentRewardCode""": """REWARD_25_03"""}</t>
  </si>
  <si>
    <t>{"""feature""": ["""Факт получения бейджа попадает в ленту сообщества"""], """nftFlg""": """N""",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«Факторинг. Лучший по продажам». Они показали лучший результат в стране по числу сделок""", """singleNews""": """Новое достижение! [Имя] [gender:1:стал|gender:2:стала] победителем турнира «Факторинг. Лучший по продажам». [gender:1:Он|gender:2:Она] [gender:1:показал|gender:2:показала] лучший результат в стране по числу сделок""", """businessBlock""": ["""KMKKSB"""], """recommendationLevel""": """BANK""", """priority""": """1""",  """masterBadge""": """Y""", """parentRewardCode""": """REWARD_25_04"""}</t>
  </si>
  <si>
    <t>{"""feature""": [], """nftFlg""": """N""", """outstanding""": """N""", """rewardRule""": """Бейдж получат ТОП-3 от числа участников турнира в подразделении""",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"""Y""", """parentRewardCode""": """REWARD_26_01"""}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</si>
  <si>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"""GOSB""", """priority""": """2""",  """masterBadge""": """Y""", """parentRewardCode""": """REWARD_26_02"""}</t>
  </si>
  <si>
    <t>{"""feature""": [], """nftFlg""": """N""", """outstanding""": """N""", """rewardRule""": """Бейдж получат ТОП-3 от числа участников турнира в каждом тербанке""",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"""Y""", """parentRewardCode""": """REWARD_26_03"""}</t>
  </si>
  <si>
    <t>{"""feature""": ["""Факт получения бейджа попадает в ленту сообщества"""], """nftFlg""": """N""", """outstanding""": """Y""", """rewardRule""": """Бейдж получат ТОП-5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«Факторинг Онлайн. Максимизируй портфель». Они показали лучший результат в стране""", """singleNews""": """Новое достижение! [Имя] [gender:1:стал|gender:2:стала] победителем турнира «Факторинг Онлайн. Максимизируй портфель». [gender:1:Он|gender:2:Она] [gender:1:показал|gender:2:показала] лучший результат в стране""", """businessBlock""": ["""KMKKSB"""], """recommendationLevel""": """BANK""", """priority""": """1""",  """masterBadge""": """Y""", """parentRewardCode""": """REWARD_26_04"""}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</si>
  <si>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"""Y""", """parentRewardCode""": """REWARD_28_01"""}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</si>
  <si>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"""GOSB""", """priority""": """2""",  """masterBadge""": """Y""", """parentRewardCode""": """REWARD_28_02"""}</t>
  </si>
  <si>
    <t>{"""feature""": [], """nftFlg""": """N""", """outstanding""": """N""", """rewardRule""": """Бейдж получат ТОП-3 от числа участников турнира в каждом тербанке""",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"""Y""", """parentRewardCode""": """REWARD_28_03"""}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</si>
  <si>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«Активы. Максимизируй прирост остатка». Они показали лучший прирост остатка  активов по итогам турнира во всей стране""", """singleNews""": """Новое достижение! [Имя] [gender:1:стал|gender:2:стала] победителем турнира «Активы. Максимизируй прирост остатка». [gender:1:Он|gender:2:Она] [gender:1:показал|gender:2:показала] лучший прирост остатка активов по итогам турнира во всей стране""", """refreshOldNews""": """Y""", """businessBlock""": ["""KMKKSB"""], """recommendationLevel""": """BANK""", """priority""": """1""",  """masterBadge""": """Y""", """parentRewardCode""": """REWARD_28_04"""}</t>
  </si>
  <si>
    <t>{"""feature""": [], """nftFlg""": """N""", """outstanding""": """N""", """rewardRule""": """Бейдж получат ТОП-3 от числа участников турнира в подразделении""",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"""Y""", """parentRewardCode""": """REWARD_29_01"""}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</si>
  <si>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"""GOSB""", """priority""": """2""",  """masterBadge""": """Y""", """parentRewardCode""": """REWARD_29_02"""}</t>
  </si>
  <si>
    <t>{"""feature""": [], """nftFlg""": """N""", """outstanding""": """N""", """rewardRule""": """Бейдж получат ТОП-5 от числа участников турнира в каждом тербанке""",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"""Y""", """parentRewardCode""": """REWARD_29_03"""}</t>
  </si>
  <si>
    <t>{"""feature""": ["""Факт получения бейджа попадает в ленту сообщества"""], """nftFlg""": """N""", """outstanding""": """Y""", """rewardRule""": """Бейдж получат ТОП-10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Прирост остатка долгосрочных депозитов». Они показали лучший прирост остатка  депозитов по итогам турнира во всей стране""", """singleNews""": """Новое достижение! [Имя] [gender:1:стал|gender:2:стала] победителем турнира «Пассивы. Прирост остатка долгосрочных депозитов». [gender:1:Он|gender:2:Она] [gender:1:показал|gender:2:показала] лучший прирост остатка депозитов по итогам турнира во всей стране""", """refreshOldNews""": """Y""", """businessBlock""": ["""KMKKSB"""], """recommendationLevel""": """BANK""", """priority""": """1""",  """masterBadge""": """Y""", """parentRewardCode""": """REWARD_29_04"""}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</si>
  <si>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"""REWARD_30_01"""}</t>
  </si>
  <si>
    <t>{"""feature""": [], """nftFlg""": """N""", """outstanding""": """N""", """rewardRule""": """Бейдж получат 7%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"""REWARD_30_02"""}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</si>
  <si>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"""REWARD_30_03"""}</t>
  </si>
  <si>
    <t>{"""feature""": ["""Факт получения бейджа попадает в ленту сообщества"""], """nftFlg""": """N""", """outstanding""": """Y""", """rewardRule""": """Бейдж получат ТОП-10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стране""", """singleNews""": """Новое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стране""", """refreshOldNews""": """Y""", """businessBlock""": ["""KMKKSB"""], """recommendationLevel""": """BANK""", """priority""": """1""",  """masterBadge""": """Y""", """parentRewardCode""": """REWARD_30_04"""}</t>
  </si>
  <si>
    <t>{"""feature""": ["""Всего будет выдано 100 бейджей""","""Информация обновляется еженедельно на основе отчета по продажам продуктов управления благосостояния""","""Обладатели данного бейджа получат эксклюзивную возможность приобрести колонку SBERBOOM mini в магазине Героев продаж""","""Итоговые результаты будут подведены к 1.10.2024 г."""], """nftFlg""": """N""", """outstanding""": """Y""", """rewardRule""": """""", """rewardAgainGlobal""": """N""", """rewardAgainTournament""": """N""", """hidden""":"""N""", """fileName""": """""", """teamNews""": """[Имя] и ещё [n] [amount:менеджер] получили награду «Защита бизнеса 360. Первая продажа». Они стали одними из первых менеджеров в стране, кто реализовал страховой продукт «Защита бизнеса 360». Поздравляем!""", """singleNews""": """[Имя] [gender:1:получил|gender:2:получила] награду «Защита бизнеса 360. Первая продажа». [gender:1:Он|gender:2:Она] [gender:1:стал|gender:2:стала] [gender:1:одним|gender:2:одной] из первых менеджеров в стране, кто [gender:1:реализовал|gender:2:реализовала] страховой продукт «Защита бизнеса 360». Поздравляем!""", """refreshOldNews""": """N""", """businessBlock""": ["""KMKKSB"""], """recommendationLevel""": """BANK""", """priority""": """1""",  """masterBadge""": """Y""", """parentRewardCode""": """REWARD_31_01"""}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</si>
  <si>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"""REWARD_32_01"""}</t>
  </si>
  <si>
    <t>{"""feature""": [], """nftFlg""": """N""", """outstanding""": """N""", """rewardRule""": """Бейдж получат 10%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"""REWARD_32_02"""}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</si>
  <si>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"""REWARD_32_03"""}</t>
  </si>
  <si>
    <t>{"""feature""": ["""Факт получения бейджа попадает в ленту сообщества"""], """nftFlg""": """N""", """outstanding""": """Y""", """rewardRule""": """Бейдж получат ТОП-10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«Страхование. Рыночные продажи». Они показали лучший результат по рыночным продажам продуктов страхового брокера в рамках турнира во всей стране""", """singleNews""": """Новое достижение! [Имя] [gender:1:стал|gender:2:стала] победителем турнира «Страхование. Рыночные продажи». [gender:1:Он|gender:2:Она] [gender:1:показал|gender:2:показала] лучший результат по рыночным продажам продуктов страхового брокера в рамках турнира во всей стране""", """refreshOldNews""": """Y""", """businessBlock""": ["""KMKKSB"""], """recommendationLevel""": """BANK""", """priority""": """1""",  """masterBadge""": """Y""", """parentRewardCode""": """REWARD_32_04"""}</t>
  </si>
  <si>
    <t>{"""feature""": [], """nftFlg""": """N""", """outstanding""": """N""", """rewardRule""": """Бейдж получат ТОП-1 менеджеров от числа участников турнира в каждом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"""REWARD_33_01"""}</t>
  </si>
  <si>
    <t>{"""feature""": [], """nftFlg""": """N""", """outstanding""": """N""", """rewardRule""": """Бейдж получат 10%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"""REWARD_33_02"""}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</si>
  <si>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"""REWARD_33_03"""}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</si>
  <si>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«Гарантии. Прирост комиссии». Они показали лучший результат по приросту комиссии от банковских гарантий в рамках турнира во всей стране""", """singleNews""": """Новое достижение! [Имя] [gender:1:стал|gender:2:стала] победителем турнира «Гарантии. Прирост комиссии». [gender:1:Он|gender:2:Она] [gender:1:показал|gender:2:показала] лучший результат по приросту комиссии от банковских гарантий в рамках турнира во всей стране""", """refreshOldNews""": """Y""", """businessBlock""": ["""KMKKSB"""], """recommendationLevel""": """BANK""", """priority""": """1""",  """masterBadge""": """Y""", """parentRewardCode""": """REWARD_33_04"""}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</si>
  <si>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"""REWARD_34_01"""}</t>
  </si>
  <si>
    <t>{"""feature""": [], """nftFlg""": """N""", """outstanding""": """N""", """rewardRule""": """Бейдж получат 10%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"""REWARD_34_02"""}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</si>
  <si>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"""REWARD_34_03"""}</t>
  </si>
  <si>
    <t>{"""feature""": ["""Факт получения бейджа попадает в ленту сообщества"""], """nftFlg""": """N""", """outstanding""": """Y""", """rewardRule""": """Бейдж получат ТОП-20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«ФОТ. Прирост объема перечислений». Они показали лучший результат во всей стране""", """singleNews""": """Новое достижение! [Имя] [gender:1:стал|gender:2:стала] победителем турнира «ФОТ. Прирост объема перечислений».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"""Y""", """parentRewardCode""": """REWARD_34_04"""}</t>
  </si>
  <si>
    <t>{"""feature""": [], """nftFlg""": """N""", """outstanding""": """N""", """rewardRule""": """Бейдж получат ТОП-1 менеджеров от числа участников турнира в каждом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"""REWARD_35_02"""}</t>
  </si>
  <si>
    <t>{"""feature""": [], """nftFlg""": """N""", """outstanding""": """N""", """rewardRule""": """Бейдж получат ТОП-1 менеджеров от числа участников турнира в каждом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"""REWARD_35_03"""}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</si>
  <si>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«ТФиДО. Максимизируй комиссию». Они показали лучший результат по некредитной комиссии от торгового финансирования по итогам турнира во всей стране""", """singleNews""": """Новое достижение! [Имя] [gender:1:стал|gender:2:стала] победителем турнира «ТФиДО. Максимизируй комиссию». [gender:1:Он|gender:2:Она] [gender:1:показал|gender:2:показала] лучший результат по некредитной комиссии от торгового финансирования по итогам турнира во всей стране""", """refreshOldNews""": """Y""", """businessBlock""": ["""KMKKSB"""], """recommendationLevel""": """BANK""", """priority""": """1""",  """masterBadge""": """Y""", """parentRewardCode""": """REWARD_35_04"""}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</si>
  <si>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"""REWARD_36_01"""}</t>
  </si>
  <si>
    <t>{"""feature""": [], """nftFlg""": """N""", """outstanding""": """N""", """rewardRule""": """Бейдж получат 10%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"""REWARD_36_02"""}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</si>
  <si>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"""REWARD_36_03"""}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</si>
  <si>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«Лизинг. Максимизируй сумму договоров». Они показали лучший результат по итогам турнира во всей стране""", """singleNews""": """Новое достижение! [Имя] [gender:1:стал|gender:2:стала] победителем турнира «Лизинг. Максимизируй сумму договоров».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"""Y""", """parentRewardCode""": """REWARD_36_04"""}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</si>
  <si>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"""REWARD_37_01"""}</t>
  </si>
  <si>
    <t>{"""feature""": [], """nftFlg""": """N""", """outstanding""": """N""", """rewardRule""": """Бейдж получат 10% от числа участников турнира в кластере""",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"""2""",  """masterBadge""": """Y""", """parentRewardCode""": """REWARD_37_02"""}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</si>
  <si>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"""REWARD_37_03"""}</t>
  </si>
  <si>
    <t>{"""feature""": ["""Факт получения бейджа попадает в ленту сообщества"""], """nftFlg""": """N""", """outstanding""": """Y""",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«Чемпион страны по числу клиентов с лизингом». Они показали лучший результат по итогам турнира во всей стране""", """singleNews""": """Новое достижение! [Имя] [gender:1:стал|gender:2:стала] победителем турнира «Чемпион страны по числу клиентов с лизингом».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"""Y""", """parentRewardCode""": """REWARD_37_04"""}</t>
  </si>
  <si>
    <t>{"""feature""": [], """nftFlg""": """N""", """outstanding""": """N""", """rewardRule""": """Бейдж получат 10%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"""REWARD_38_01"""}</t>
  </si>
  <si>
    <t>{"""feature""": [], """nftFlg""": """N""", """outstanding""": """N""", """rewardRule""": """Бейдж получат ТОП-3 от числа участников турнира в своем кластере""", """rewardAgainGlobal""": """Y""", """rewardAgainTournament""": """N""", """hidden""":"""Y""", """fileName""": """""", """teamNews""": """""", """singleNews""": """""", """refreshOldNews""": """N""", """businessBlock""": ["""KMKKSB"""], """recommendationLevel""": """GOSB""", """priority""": """2""",  """masterBadge""": """Y""", """parentRewardCode""": """REWARD_38_02"""}</t>
  </si>
  <si>
    <t>{"""feature""": [], """nftFlg""": """N""", """outstanding""": """N""", """rewardRule""": """Бейдж получат ТОП-3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"""REWARD_38_03"""}</t>
  </si>
  <si>
    <t>{"""feature""": ["""Факт получения бейджа попадает в ленту сообщества"""], """nftFlg""": """N""", """outstanding""": """Y""",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«Интернализация. Повышаем уровень». Они показали лучший результат по приросту коэффициента интернализации по итогам турнира во всей стране""", """singleNews""": """Новое достижение! [Имя] [gender:1:стал|gender:2:стала] победителем турнира «Интернализация. Повышаем уровень». [gender:1:Он|gender:2:Она] [gender:1:показал|gender:2:показала] лучший результат по приросту коэффициента интернализации по итогам турнира во всей стране""", """refreshOldNews""": """Y""", """businessBlock""": ["""KMKKSB"""], """recommendationLevel""": """BANK""", """priority""": """1""",  """masterBadge""": """Y""", """parentRewardCode""": """REWARD_38_04"""}</t>
  </si>
  <si>
    <t>{"""feature""": ["""Бейдж можно получить только один раз за год"""],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"""GOSB""", """priority""": """1""",  """masterBadge""": """Y""", """parentRewardCode""": """REWARD_39_01"""}</t>
  </si>
  <si>
    <t>{"""feature""": ["""Бейдж можно получить только один раз за год"""],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"""REWARD_39_02"""}</t>
  </si>
  <si>
    <t>{"""feature""": ["""Бейдж можно получить только один раз за год""", """Факт получения бейджа попадает в ленту сообщества""", """Обладатели бейджей получат возможность в будущем принять участие в профильной сессии на площадке Департамента Глобальных Рынков г. Москва"""], """nftFlg""": """Y""", """outstanding""": """Y""", """rewardRule""": """""", """rewardAgainGlobal""": """N""", """rewardAgainTournament""": """N""", """hidden""":"""N""", """fileName""": """""", """teamNews""": """[Имя] и ещё [n] [amount:менеджер] получили награду «10 клиентов с процентными ПФИ». На текущий момент они привлекли 10 клиентов на сделки процентного хеджирования кредитов с начала 2024 года, что является отличным результатом. Поздравляем!""", """singleNews""": """[Имя] [gender:1:получил|gender:2:получила] награду «10 клиентов с процентными ПФИ». На текущий момент  [gender:1:он|gender:2:она] [gender:1:привлек|gender:2:привлекла]  10 клиентов на сделки процентного хеджирования кредитов с начала 2024 года, что является отличным результатом. Поздравляем!""", """refreshOldNews""": """N""", """businessBlock""": ["""KMKKSB"""], """recommendationLevel""": """BANK""", """priority""": """1""",  """masterBadge""": """Y""", """parentRewardCode""": """REWARD_39_03"""}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</si>
  <si>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"""REWARD_40_01"""}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</si>
  <si>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"""REWARD_40_03"""}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</si>
  <si>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"""BANK""", """priority""": """1""",  """masterBadge""": """Y""", """parentRewardCode""": """REWARD_40_04"""}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</si>
  <si>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"""REWARD_41_03"""}</t>
  </si>
  <si>
    <t>{"""feature""": [], """nftFlg""": """N""", """outstanding""": """N""", """rewardRule""": """Бейдж получат ТОП-3 от числа участников турнира""", """rewardAgainGlobal""": """Y""", """rewardAgainTournament""": """N""", """hidden""":"""N""", """fileName""": """""", """teamNews""": """""", """singleNews""": """""", """refreshOldNews""": """N""", """businessBlock""": ["""KMKKSB"""], """recommendationLevel""": """BANK""", """priority""": """1""",  """masterBadge""": """Y""", """parentRewardCode""": """REWARD_41_04"""}</t>
  </si>
  <si>
    <t>{"""feature""": ["""Всего будет выдано 100 бейджей""", """Учитываются реализованные сделки, инициированные клиентским менеджером""", """Не учитывается продажи, оформленные клиентом в СББОЛ самостоятельно"""], """nftFlg""": """N""", """outstanding""": """Y""", """rewardRule""": """Бейдж выдается всем клиентским менеджерам за заключение первой сделки в рамках цифрового кредитного процесса.""", """rewardAgainGlobal""": """N""", """rewardAgainTournament""": """N""", """hidden""":"""N""", """fileName""": """""", """teamNews""": """[Имя] и ещё [n] [amount:менеджер] получили награду «Первая сделка в ЦКП». Они стали одними из первых менеджеров в стране, кто реализовал кредитную сделку в новом цифровом процессе. Поздравляем!""", """singleNews""": """[Имя] [gender:1:получил|gender:2:получила] награду «Первая сделка в ЦКП». [gender:1:Он|gender:2:Она] [gender:1:стал|gender:2:стала] [gender:1:одним|gender:2:одной] из первых менеджеров в стране, кто [gender:1:реализовал|gender:2:реализовала] кредитную сделку в новом цифровом процессе. Поздравляем!""", """refreshOldNews""": """N""", """businessBlock""": ["""KMKKSB"""], """recommendationLevel""": """BANK""", """priority""": """1""",  """masterBadge""": """Y""", """parentRewardCode""": """REWARD_42_01"""}</t>
  </si>
  <si>
    <t>{"""feature""": [], """nftFlg""": """N""", """outstanding""": """N""", """rewardRule""": """Бейдж получат КМ с лучшим результатом по комиссии в своем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"""REWARD_44_01"""}</t>
  </si>
  <si>
    <t>{"""feature""": [], """nftFlg""": """N""", """outstanding""": """N""", """rewardRule""": """Бейдж получат 15% КМ с лучшим результатом по комиссии в своем ТБ""",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"""REWARD_44_03"""}</t>
  </si>
  <si>
    <t>{"""feature""": ["""Факт получения бейджа попадает в ленту сообщества"""], """nftFlg""": """N""", """outstanding""": """Y""",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«Страхование. Продукты ESG ». Они показали лучший результат по комиссии в рамках турнира во всей стране""", """singleNews""": """Новое достижение! [Имя] [gender:1:стал|gender:2:стала] победителем турнира «Страхование. Продукты ESG ». [gender:1:Он|gender:2:Она] [gender:1:показал|gender:2:показала] лучший результат по комиссии в рамках турнира во всей стране""", """refreshOldNews""": """Y""", """businessBlock""": ["""KMKKSB"""], """recommendationLevel""": """BANK""", """priority""": """1""",  """masterBadge""": """Y""", """parentRewardCode""": """REWARD_44_04"""}</t>
  </si>
  <si>
    <t>{"""feature""": [], """nftFlg""": """N""", """outstanding""": """N""", """rewardRule""": """Бейдж получат КМ с лучшим результатом по комиссии в своем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"""REWARD_45_01"""}</t>
  </si>
  <si>
    <t>{"""feature""": [], """nftFlg""": """N""", """outstanding""": """N""", """rewardRule""": """Бейдж получат 10% КМ с лучшим результатом по комиссии в своем ТБ""",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"""REWARD_45_03"""}</t>
  </si>
  <si>
    <t>{"""feature""": ["""Факт получения бейджа попадает в ленту сообщества"""], """nftFlg""": """N""", """outstanding""": """Y""",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«Страхование. Продукты ДМС ». Они показали лучший результат по комиссии в рамках турнира во всей стране""", """singleNews""": """Новое достижение! [Имя] [gender:1:стал|gender:2:стала] победителем турнира «Страхование. Продукты ДМС ». [gender:1:Он|gender:2:Она] [gender:1:показал|gender:2:показала] лучший результат по комиссии в рамках турнира во всей стране""", """refreshOldNews""": """Y""", """businessBlock""": ["""KMKKSB"""], """recommendationLevel""": """BANK""", """priority""": """1""",  """masterBadge""": """Y""", """parentRewardCode""": """REWARD_45_04"""}</t>
  </si>
  <si>
    <t>{"""feature""": [], """nftFlg""": """N""", """outstanding""": """N""", """rewardRule""": """Бейдж получат КМ с лучшим результатом по комиссии в своем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"""REWARD_46_01"""}</t>
  </si>
  <si>
    <t>{"""feature""": [], """nftFlg""": """N""", """outstanding""": """N""", """rewardRule""": """Бейдж получат 15% КМ с лучшим результатом по комиссии в своем ТБ""",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"""REWARD_46_03"""}</t>
  </si>
  <si>
    <t>{"""feature""": ["""Факт получения бейджа попадает в ленту сообщества"""], """nftFlg""": """N""", """outstanding""": """Y""",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«Страхование. Продукты СМР ». Они показали лучший результат по комиссии в рамках турнира во всей стране""", """singleNews""": """Новое достижение! [Имя] [gender:1:стал|gender:2:стала] победителем турнира «Страхование. Продукты СМР ». [gender:1:Он|gender:2:Она] [gender:1:показал|gender:2:показала] лучший результат по комиссии в рамках турнира во всей стране""", """refreshOldNews""": """Y""", """businessBlock""": ["""KMKKSB"""], """recommendationLevel""": """BANK""", """priority""": """1""",  """masterBadge""": """Y""", """parentRewardCode""": """REWARD_46_04"""}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</si>
  <si>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ККСБ стали финалистами в конкурсе лучший по профессии в 2024 году. Поздравляем!""", """singleNews""": """Новое достижение! [Имя] [gender:1:стал|gender:2:стала] финалистом в конкурсе лучший по профессии в 2024 году. Поздравляем!""", """refreshOldNews""": """Y""", """businessBlock""": ["""KMKKSB"""], """recommendationLevel""": """BANK""", """priority""": """1""",  """masterBadge""": """Y""", """parentRewardCode""": """REWARD_62_01"""}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</si>
  <si>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ККСБ стали призерами в конкурсе лучший по профессии в 2024 году. Поздравляем!""", """singleNews""": """Новое достижение! [Имя] [gender:1:стал|gender:2:стала] призером в конкурсе лучший по профессии в 2024 году. Поздравляем!""", """refreshOldNews""": """Y""", """businessBlock""": ["""KMKKSB"""], """recommendationLevel""": """BANK""", """priority""": """1""",  """masterBadge""": """Y""", """parentRewardCode""": """REWARD_63_01"""}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</si>
  <si>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ККСБ показали лучший результат среди всех в конкурсе лучший по профессии в 2024 году. Поздравляем с победой!""", """singleNews""": """Новое достижение! [Имя] [gender:1:показал|gender:2:показала] лучший результат среди всех в конкурсе лучший по профессии в 2024 году. Поздравляем с победой!""", """refreshOldNews""": """Y""", """businessBlock""": ["""KMKKSB"""], """recommendationLevel""": """BANK""", """priority""": """1""",  """masterBadge""": """Y""", """parentRewardCode""": """REWARD_64_01"""}</t>
  </si>
  <si>
    <t>{"""feature""": ["""Факт получения бейджа попадает в ленту сообщества""", """Обладателю бейджа будет выпущен цифровой токен в формате NFT"""], """nftFlg""": """Y""", """outstanding""": """N""", """rewardRule""": """""", """rewardAgainGlobal""": """N""", """rewardAgainTournament""": """N""", """hidden""":"""N""", """fileName""": """""", """teamNews""": """[n] [amount:менеджер] получили награду. Их КПК вошли в Лигу чемпионов по итогам 1 полугодия 2024. Новых побед и успехов!""", """singleNews""": """[Имя] [gender:1:получил|gender:2:получила] награду. [gender:1:Его|gender:2:Её] КПК вошло в Лигу чемпионов по итогам 1 полугодия 2024. Новых побед и успехов!""", """businessBlock""": ["""KMKKSB"""], """recommendationLevel""": """BANK""", """priority""": """1""",  """masterBadge""": """Y""", """parentRewardCode""": """REWARD_65_01"""}</t>
  </si>
  <si>
    <t>{"""feature""": ["""Факт получения бейджа попадает в ленту сообщества""", """Обладателю бейджа будет выпущен цифровой токен в формате NFT"""], """nftFlg""": """Y""", """outstanding""": """Y""", """rewardRule""": """""", """rewardAgainGlobal""": """N""", """rewardAgainTournament""": """N""", """hidden""":"""N""", """fileName""": """""", """teamNews""": """[n] [amount:менеджер] получили награду. Их КПК вошли в Лигу чемпионов по итогам 2 полугодия 2024. Новых побед и успехов!""", """singleNews""": """[Имя] [gender:1:получил|gender:2:получила] награду. [gender:1:Его|gender:2:Её] КПК вошло в Лигу чемпионов по итогам 2 полугодия 2024. Новых побед и успехов!""", """businessBlock""": ["""KMKKSB"""], """recommendationLevel""": """BANK""", """priority""": """1""",  """masterBadge""": """Y""", """parentRewardCode""": """REWARD_66_01"""}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</si>
  <si>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["""KMKKSB"""], """recommendationLevel""": """NON""", """priority""": """1""",  """masterBadge""": """Y""", """parentRewardCode""": """REWARD_68_01"""}</t>
  </si>
  <si>
    <t>{"""feature""": ["""Факт получения бейджа попадает в ленту сообщества""", """Обладателю бейджа будет выпущен цифровой токен в формате NFT"""], """nftFlg""": """Y""", """outstanding""": """Y""", """rewardRule""": """""", """rewardAgainGlobal""": """N""", """rewardAgainTournament""": """N""", """hidden""":"""N""", """fileName""": """""", """teamNews""": """[n] [amount:менеджер] получили награду «Герой продаж 2024». Они показали высокие достижения по результатам работы за 2024 год и были выбраны в качестве лучших КМ всем сообществом!""", """singleNews""": """[Имя] [gender:1:получил|gender:2:получила] награду «Герой продаж 2024».  [gender:1:Он|gender:2:Она] [gender:1:показал|gender:2:показала] высокие достижения по результатам работы за 2024 год и [gender:1:был|gender:2:была] [gender:1:выбран|gender:2:выбрана] в качестве лучшего КМ всем сообществом!""", """businessBlock""": ["""KMKKSB"""], """recommendationLevel""": """BANK""", """priority""": """1""",  """masterBadge""": """Y""", """parentRewardCode""": """REWARD_69_01"""}</t>
  </si>
  <si>
    <t>{"""feature""": [], """nftFlg""": """N""", """outstanding""": """N""", """rewardRule""": """правило получения""", """rewardAgainGlobal""": """N""", """rewardAgainTournament""": """N""", """hidden""":"""Y""", """fileName""": """""", """teamNews""": """""", """singleNews""": """""", """refreshOldNews""": """Y""", """businessBlock""": ["""KMKKSB"""], """recommendationLevel""": """GOSB""", """priority""": """1""",  """masterBadge""": """Y""", """parentRewardCode""": """REWARD_91_04"""}</t>
  </si>
  <si>
    <t>{"""feature""": [], """nftFlg""": """N""", """outstanding""": """N""", """rewardRule""": """правило получения""", """rewardAgainGlobal""": """N""", """rewardAgainTournament""": """N""", """hidden""":"""Y""", """fileName""": """""", """teamNews""": """""", """singleNews""": """""", """refreshOldNews""": """Y""", """businessBlock""": ["""KMKKSB"""], """recommendationLevel""": """GOSB""", """priority""": """1""",  """masterBadge""": """Y""", """parentRewardCode""": """REWARD_92_04"""}</t>
  </si>
  <si>
    <t>{"""feature""": [], """nftFlg""": """N""", """outstanding""": """N""", """rewardRule""": """правило получения""", """rewardAgainGlobal""": """N""", """rewardAgainTournament""": """N""", """hidden""":"""Y""", """fileName""": """""", """teamNews""": """""", """singleNews""": """""", """refreshOldNews""": """Y""", """businessBlock""": ["""KMKKSB"""], """recommendationLevel""": """GOSB""", """priority""": """1""",  """masterBadge""": """Y""", """parentRewardCode""": """REWARD_93_04"""}</t>
  </si>
  <si>
    <t>{"""feature""": [], """nftFlg""": """N""", """outstanding""": """N""", """rewardRule""": """правило получения""", """rewardAgainGlobal""": """N""", """rewardAgainTournament""": """N""", """hidden""":"""Y""", """fileName""": """""", """teamNews""": """""", """singleNews""": """""", """refreshOldNews""": """Y""", """businessBlock""": ["""KMKKSB"""], """recommendationLevel""": """GOSB""", """priority""": """1""",  """masterBadge""": """Y""", """parentRewardCode""": """REWARD_94_04"""}</t>
  </si>
  <si>
    <t>{"""feature""": [], """nftFlg""": """N""", """outstanding""": """N""", """rewardRule""": """правило получения""", """rewardAgainGlobal""": """N""", """rewardAgainTournament""": """N""", """hidden""":"""Y""", """fileName""": """""", """teamNews""": """""", """singleNews""": """""", """refreshOldNews""": """Y""", """businessBlock""": ["""KMKKSB"""], """recommendationLevel""": """GOSB""", """priority""": """1""",  """masterBadge""": """Y""", """parentRewardCode""": """REWARD_95_04"""}</t>
  </si>
  <si>
    <t>{"""feature""": [], """nftFlg""": """N""", """outstanding""": """N""", """rewardRule""": """правило получения""", """rewardAgainGlobal""": """N""", """rewardAgainTournament""": """N""", """hidden""":"""Y""", """fileName""": """""", """teamNews""": """""", """singleNews""": """""", """refreshOldNews""": """Y""", """businessBlock""": ["""KMKKSB"""], """recommendationLevel""": """GOSB""", """priority""": """1""",  """masterBadge""": """Y""", """parentRewardCode""": """REWARD_96_04"""}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</si>
  <si>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["""MNS"""], """recommendationLevel""": """TB""", """priority""": """2""",  """masterBadge""": """Y""", """parentRewardCode""": """REWARD_m_01_03"""}</t>
  </si>
  <si>
    <t>{"""feature""": ["""Факт получения бейджа попадает в ленту сообщества"""], """nftFlg""": """N""", """outstanding""": """Y""",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нефинансовых сервисов стали победителями турнира «МНС. Лучший директор по продажам продуктов экосистемы». Они показали лучший результат по итогам турнира во всей стране""", """singleNews""": """Новое достижение! [Имя] [gender:1:стал|gender:2:стала] победителем турнира «МНС. Лучший директор по продажам продуктов экосистемы». [gender:1:Он|gender:2:Она] [gender:1:показал|gender:2:показала] лучший результат по итогам турнира во всей стране""", """refreshOldNews""": """Y""", """businessBlock""": ["""MNS"""], """recommendationLevel""": """TB""", """priority""": """1""",  """masterBadge""": """Y""", """parentRewardCode""": """REWARD_m_02_04"""}</t>
  </si>
  <si>
    <t>{"""feature""": [], """nftFlg""": """N""", """outstanding""": """N""", """rewardRule""": """Бейдж получат 10% участников турнира в каждом тербанке""", """rewardAgainGlobal""": """Y""", """rewardAgainTournament""": """N""", """hidden""":"""N""", """fileName""": """""", """teamNews""": """""", """singleNews""": """""", """refreshOldNews""": """N""", """businessBlock""": ["""MNS"""], """recommendationLevel""": """TB""", """priority""": """2""",  """masterBadge""": """Y""", """parentRewardCode""": """REWARD_m_03_03"""}</t>
  </si>
  <si>
    <t>{"""feature""": [], """nftFlg""": """N""", """outstanding""": """N""", """rewardRule""": """Бейдж получат 10% участников турнира в каждом тербанке""", """rewardAgainGlobal""": """Y""", """rewardAgainTournament""": """N""", """hidden""":"""N""", """fileName""": """""", """teamNews""": """""", """singleNews""": """""", """refreshOldNews""": """N""", """businessBlock""": ["""MNS"""], """recommendationLevel""": """TB""", """priority""": """2""",  """masterBadge""": """Y""", """parentRewardCode""": """REWARD_m_05_03"""}</t>
  </si>
  <si>
    <t>{"""feature""": [], """nftFlg""": """N""", """outstanding""": """N""", """rewardRule""": """Бейдж получит участник с лучшим результатом в каждом тербанке""", """rewardAgainGlobal""": """Y""", """rewardAgainTournament""": """N""", """hidden""":"""N""", """fileName""": """""", """teamNews""": """""", """singleNews""": """""", """refreshOldNews""": """N""", """businessBlock""": ["""MNS"""], """recommendationLevel""": """TB""", """priority""": """2""",  """masterBadge""": """Y""", """parentRewardCode""": """REWARD_m_06_03"""}</t>
  </si>
  <si>
    <t>{"""feature""": [], """nftFlg""": """N""", """outstanding""": """N""", """rewardRule""": """Бейдж получит участник с лучшим результатом в каждом тербанке""", """rewardAgainGlobal""": """Y""", """rewardAgainTournament""": """N""", """hidden""":"""N""", """fileName""": """""", """teamNews""": """""", """singleNews""": """""", """refreshOldNews""": """N""", """businessBlock""": ["""MNS"""], """recommendationLevel""": """TB""", """priority""": """2""",  """masterBadge""": """Y""", """parentRewardCode""": """REWARD_m_07_03"""}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</si>
  <si>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МНС стали финалистами в конкурсе лучший по профессии в 2024 году. Поздравляем!""", """singleNews""": """Новое достижение! [Имя] [gender:1:стал|gender:2:стала] финалистом в конкурсе лучший по профессии в 2024 году. Поздравляем!""", """refreshOldNews""": """Y""", """businessBlock""": ["""MNS"""], """recommendationLevel""": """BANK""", """priority""": """1""",  """masterBadge""": """Y""", """parentRewardCode""": """REWARD_m_08_01"""}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</si>
  <si>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МНС стали призерами в конкурсе лучший по профессии в 2024 году. Поздравляем!""", """singleNews""": """Новое достижение! [Имя] [gender:1:стал|gender:2:стала] призером в конкурсе лучший по профессии в 2024 году. Поздравляем!""", """refreshOldNews""": """Y""", """businessBlock""": ["""MNS"""], """recommendationLevel""": """BANK""", """priority""": """1""",  """masterBadge""": """Y""", """parentRewardCode""": """REWARD_m_09_01"""}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</si>
  <si>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МНС показали лучший результат среди всех в конкурсе лучший по профессии в 2024 году. Поздравляем с победой!""", """singleNews""": """Новое достижение! [Имя] [gender:1:показал|gender:2:показала] лучший результат среди всех в конкурсе лучший по профессии в 2024 году. Поздравляем с победой!""", """refreshOldNews""": """Y""", """businessBlock""": ["""MNS"""], """recommendationLevel""": """BANK""", """priority""": """1""",  """masterBadge""": """Y""", """parentRewardCode""": """REWARD_m_10_01"""}</t>
  </si>
  <si>
    <t>{"""feature""": ["""Награду можно получить только один раз""", """Учитываются награды, внедренные начиная с января 2024 года"""], """nftFlg""": """N""", """outstanding""": """N""", """rewardRule""": """правило получения""", """rewardAgainGlobal""": """N""", """rewardAgainTournament""": """N""", """hidden""":"""N""", """fileName""": """""", """teamNews""": """""", """singleNews""": """""", """refreshOldNews""": """N""", """businessBlock""": ["""SERVICEMEN"""], """recommendationLevel""": """TB""", """priority""": """1""",  """masterBadge""": """Y""", """parentRewardCode""": """REWARD_s_01_01"""}</t>
  </si>
  <si>
    <t>{"""feature""": ["""Награду можно получить только один раз""", """Учитываются награды, внедренные начиная с января 2024 года""", """Факт получения бейджа попадает в ленту сообщества"""],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внедрили 3 инициативы. Поздравляем!""", """singleNews""": """Новое достижение! [Имя] [gender:1:внедрил|gender:2:внедрила] 3 инициативы. Поздравляем!""", """refreshOldNews""": """N""", """businessBlock""": ["""SERVICEMEN"""], """recommendationLevel""": """BANK""", """priority""": """1""",  """masterBadge""": """Y""", """parentRewardCode""": """REWARD_s_01_02"""}</t>
  </si>
  <si>
    <t>{"""feature""": ["""Награду можно получить только один раз""", """Учитываются награды, внедренные начиная с января 2024 года""", """Факт получения бейджа попадает в ленту сообщества"""],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внедрили 5 инициатив. Так держать!""", """singleNews""": """Новое достижение! [Имя] [gender:1:внедрил|gender:2:внедрила] 5 инициатив. Так держать!""", """refreshOldNews""": """N""", """businessBlock""": ["""SERVICEMEN"""], """recommendationLevel""": """BANK""", """priority""": """1""",  """masterBadge""": """Y""", """parentRewardCode""": """REWARD_s_01_03"""}</t>
  </si>
  <si>
    <t>{"""feature""": ["""Награду можно получить только один раз в 2024 году""", """В зачет пойдет результат 2го, 3го и 4го кварталов"""],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удерживают показатель CSI на 100% в течение 2х кварталов подряд. Поздравляем!""", """singleNews""": """Новое достижение! [Имя] [gender:1:показал|gender:2:показала] CSI на 100% в течение 2х кварталов подряд. Поздравляем!""", """refreshOldNews""": """Y""", """businessBlock""": ["""SERVICEMEN"""], """recommendationLevel""": """BANK""", """priority""": """1""",  """masterBadge""": """Y""", """parentRewardCode""": """REWARD_s_03_01"""}</t>
  </si>
  <si>
    <t>{"""feature""": ["""Награду можно получить только один раз в 2024 году""", """В зачет пойдет результат 2го, 3го и 4го кварталов"""],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удерживают показатель SLA на 100% в течение 2х кварталов подряд. Поздравляем!""", """singleNews""": """Новое достижение! [Имя] [gender:1:показал|gender:2:показала] SLA на 100% в течение 2х кварталов подряд. Поздравляем!""", """refreshOldNews""": """Y""", """businessBlock""": ["""SERVICEMEN"""], """recommendationLevel""": """BANK""", """priority""": """1""",  """masterBadge""": """Y""", """parentRewardCode""": """REWARD_s_04_01"""}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</si>
  <si>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стали финалистами в конкурсе лучший по профессии в 2024 году. Поздравляем!""", """singleNews""": """Новое достижение! [Имя] [gender:1:стал|gender:2:стала] финалистом в конкурсе лучший по профессии в 2024 году. Поздравляем!""", """refreshOldNews""": """Y""", """businessBlock""": ["""SERVICEMEN"""], """recommendationLevel""": """BANK""", """priority""": """1""",  """masterBadge""": """Y""", """parentRewardCode""": """REWARD_s_05_01"""}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</si>
  <si>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стали призерами в конкурсе лучший по профессии в 2024 году. Поздравляем!""", """singleNews""": """Новое достижение! [Имя] [gender:1:стал|gender:2:стала] призером в конкурсе лучший по профессии в 2024 году. Поздравляем!""", """refreshOldNews""": """Y""", """businessBlock""": ["""SERVICEMEN"""], """recommendationLevel""": """BANK""", """priority""": """1""",  """masterBadge""": """Y""", """parentRewardCode""": """REWARD_s_06_01"""}</t>
  </si>
  <si>
    <t>{"""feature""": [], """nftFlg""": """N""", """outstanding""": """Y""", """rewardRule""": """правило получения""", """rewardAgainGlobal""": """N""", """rewardAgainTournament""": """N""", """hidden""":"""N""", """fileName""": """""", """teamNews""": """&lt;span&gt;[Имя_Фамилия]&lt;/span&gt; и еще [n] [amount:менеджер] показали лучший результат среди всех в конкурсе лучший по профессии в 2024 году. Поздравляем с победой!""", """singleNews""": """Новое достижение! [Имя] [gender:1:показал|gender:2:показала] лучший результат среди всех в конкурсе лучший по профессии в 2024 году. Поздравляем с победой!""", """refreshOldNews""": """Y""", """businessBlock""": ["""SERVICEMEN"""], """recommendationLevel""": """BANK""", """priority""": """1""",  """masterBadge""": """Y""", """parentRewardCode""": """REWARD_s_07_01"""}</t>
  </si>
  <si>
    <t>2025-01-15</t>
  </si>
  <si>
    <t>2025-01-19</t>
  </si>
  <si>
    <t>Статусные</t>
  </si>
  <si>
    <t>Приветственные</t>
  </si>
  <si>
    <t>ВЭД, нац рынки, хедж</t>
  </si>
  <si>
    <t>Индия</t>
  </si>
  <si>
    <t>Условные сделки</t>
  </si>
  <si>
    <t>Кредиты</t>
  </si>
  <si>
    <t>Кредиты все</t>
  </si>
  <si>
    <t>Системные</t>
  </si>
  <si>
    <t>Команда</t>
  </si>
  <si>
    <t>Лига</t>
  </si>
  <si>
    <t>Сверхбонус</t>
  </si>
  <si>
    <t>Участник мастерской РКПК</t>
  </si>
  <si>
    <t>Рупии</t>
  </si>
  <si>
    <t>Экосистема</t>
  </si>
  <si>
    <t>СберЗдоровье</t>
  </si>
  <si>
    <t>Факторинг</t>
  </si>
  <si>
    <t>Пассивы, РКО</t>
  </si>
  <si>
    <t>Депозиты</t>
  </si>
  <si>
    <t>Пассивы все</t>
  </si>
  <si>
    <t>Страхование</t>
  </si>
  <si>
    <t>Защита 360</t>
  </si>
  <si>
    <t>Рыночные Продажи</t>
  </si>
  <si>
    <t>Гарантии</t>
  </si>
  <si>
    <t>ТФиДО</t>
  </si>
  <si>
    <t>Лизинг</t>
  </si>
  <si>
    <t>Интернализация</t>
  </si>
  <si>
    <t>ДГР кредитные продукты</t>
  </si>
  <si>
    <t>Хедж кредитов</t>
  </si>
  <si>
    <t>Метки</t>
  </si>
  <si>
    <t>ЛПП</t>
  </si>
  <si>
    <t>Новый год</t>
  </si>
  <si>
    <t>Герой продаж</t>
  </si>
  <si>
    <t>Эффективность КМ</t>
  </si>
  <si>
    <t>Все продукты</t>
  </si>
  <si>
    <t>Образовательные</t>
  </si>
  <si>
    <t>RAIT</t>
  </si>
  <si>
    <t>Инициативы</t>
  </si>
  <si>
    <t>&gt;</t>
  </si>
  <si>
    <t>[{"period_code": 0, "criterion_mark_type": "&gt;", "criterion_mark_value": 0, "start_dt": "2023-06-01" , "end_dt": "2023-06-30"}]</t>
  </si>
  <si>
    <t>01_2025-1_02-1_1</t>
  </si>
  <si>
    <t>01_2025-1_02-1_1_BANK</t>
  </si>
  <si>
    <t>01_2025-1_02-1_1_TB</t>
  </si>
  <si>
    <t>01_2025-0_12-1_1</t>
  </si>
  <si>
    <t>01_2025-0_12-1_1_BANK</t>
  </si>
  <si>
    <t>01_2025-0_10-1_1</t>
  </si>
  <si>
    <t>01_2025-0_10-1_1_BANK</t>
  </si>
  <si>
    <t>01_2025-0_10-1_2</t>
  </si>
  <si>
    <t>01_2025-0_10-1_2_BANK</t>
  </si>
  <si>
    <t>01_2025-0_10-1_3</t>
  </si>
  <si>
    <t>01_2025-0_10-1_3_BANK</t>
  </si>
  <si>
    <t>01_2025-0_10-1_4</t>
  </si>
  <si>
    <t>01_2025-0_10-1_4_BANK</t>
  </si>
  <si>
    <t>01_2025-1_09-1_1</t>
  </si>
  <si>
    <t>01_2025-1_09-1_1_GOSB</t>
  </si>
  <si>
    <t>01_2025-1_09-1_1_BANK</t>
  </si>
  <si>
    <t>01_2025-0_13-1_1</t>
  </si>
  <si>
    <t>01_2025-0_13-1_1_BANK</t>
  </si>
  <si>
    <t>01_2025-0_13-1_2</t>
  </si>
  <si>
    <t>01_2025-0_13-1_2_BANK</t>
  </si>
  <si>
    <t>01_2025-0_13-1_3</t>
  </si>
  <si>
    <t>01_2025-0_13-1_3_BANK</t>
  </si>
  <si>
    <t>01_2025-1_14-1_1</t>
  </si>
  <si>
    <t>01_2025-1_14-1_1_BANK</t>
  </si>
  <si>
    <t>01_2025-1_14-1_1_GOSB</t>
  </si>
  <si>
    <t>01_2025-1_14-1_1_TB</t>
  </si>
  <si>
    <t>01_2025-1_16-1_1</t>
  </si>
  <si>
    <t>01_2025-1_16-1_1_BANK</t>
  </si>
  <si>
    <t>01_2025-1_02-2_2</t>
  </si>
  <si>
    <t>01_2025-1_02-2_2_BANK</t>
  </si>
  <si>
    <t>01_2025-1_00-1</t>
  </si>
  <si>
    <t>01_2025-1_00-1_BANK</t>
  </si>
  <si>
    <t>02_2025-1_00-1</t>
  </si>
  <si>
    <t>02_2025-1_00-1_BANK</t>
  </si>
  <si>
    <t>01_2025-0_08-2_3</t>
  </si>
  <si>
    <t>01_2025-0_08-2_3_BANK</t>
  </si>
  <si>
    <t>01_2025-0_08-6_1</t>
  </si>
  <si>
    <t>01_2025-0_08-6_1_BANK</t>
  </si>
  <si>
    <t>01_2025-1_08-1_1</t>
  </si>
  <si>
    <t>01_2025-1_08-1_1_TB</t>
  </si>
  <si>
    <t>01_2025-1_08-1_1_BANK</t>
  </si>
  <si>
    <t>01_2025-1_02-2_2_TB</t>
  </si>
  <si>
    <t>01_2025-1_15-1_2</t>
  </si>
  <si>
    <t>01_2025-1_15-1_2_BANK</t>
  </si>
  <si>
    <t>04_2025-0_15-1_1</t>
  </si>
  <si>
    <t>04_2025-0_15-1_1_BANK</t>
  </si>
  <si>
    <t>04_2025-0_15-1_2</t>
  </si>
  <si>
    <t>04_2025-0_15-1_2_BANK</t>
  </si>
  <si>
    <t>04_2025-0_15-1_3</t>
  </si>
  <si>
    <t>04_2025-0_15-1_3_BANK</t>
  </si>
  <si>
    <t>04_2025-0_15-2_1</t>
  </si>
  <si>
    <t>04_2025-0_15-2_1_BANK</t>
  </si>
  <si>
    <t>04_2025-0_15-2_2</t>
  </si>
  <si>
    <t>04_2025-0_15-2_2_BANK</t>
  </si>
  <si>
    <t>04_2025-0_15-2_3</t>
  </si>
  <si>
    <t>04_2025-0_15-2_3_BANK</t>
  </si>
  <si>
    <t>01_2025-1_05-1_1</t>
  </si>
  <si>
    <t>01_2025-1_05-1_1_GOSB</t>
  </si>
  <si>
    <t>01_2025-1_05-1_1_TB</t>
  </si>
  <si>
    <t>01_2025-1_05-1_1_BANK</t>
  </si>
  <si>
    <t>01_2025-1_01-6</t>
  </si>
  <si>
    <t>01_2025-1_01-6_BANK</t>
  </si>
  <si>
    <t>05_2025-0_18-5_1</t>
  </si>
  <si>
    <t>05_2025-0_18-5_1_BANK</t>
  </si>
  <si>
    <t>03_2025-0_00-1</t>
  </si>
  <si>
    <t>03_2025-0_00-1_BANK</t>
  </si>
  <si>
    <t>04_2025-0_00-1</t>
  </si>
  <si>
    <t>04_2025-0_00-1_BANK</t>
  </si>
  <si>
    <t>05_2025-0_00-1</t>
  </si>
  <si>
    <t>05_2025-0_00-1_BANK</t>
  </si>
  <si>
    <t>06_2025-0_00-1</t>
  </si>
  <si>
    <t>06_2025-0_00-1_BANK</t>
  </si>
  <si>
    <t>07_2025-0_00-1</t>
  </si>
  <si>
    <t>07_2025-0_00-1_BANK</t>
  </si>
  <si>
    <t>08_2025-0_00-1</t>
  </si>
  <si>
    <t>08_2025-0_00-1_BANK</t>
  </si>
  <si>
    <t>05_2025-0_18-1_1</t>
  </si>
  <si>
    <t>05_2025-0_18-2_1</t>
  </si>
  <si>
    <t>05_2025-0_18-2_1_BANK</t>
  </si>
  <si>
    <t>05_2025-0_18-3_1</t>
  </si>
  <si>
    <t>05_2025-0_18-3_1_TB</t>
  </si>
  <si>
    <t>05_2025-0_18-4_1</t>
  </si>
  <si>
    <t>06_2025-0_18-1_1</t>
  </si>
  <si>
    <t>06_2025-0_18-1_1_BANK</t>
  </si>
  <si>
    <t>06_2025-0_18-2_1</t>
  </si>
  <si>
    <t>06_2025-0_18-2_1_BANK</t>
  </si>
  <si>
    <t>06_2025-0_18-3_1</t>
  </si>
  <si>
    <t>06_2025-0_18-3_1_BANK</t>
  </si>
  <si>
    <t>06_2025-0_18-4_1</t>
  </si>
  <si>
    <t>06_2025-0_18-4_1_BANK</t>
  </si>
  <si>
    <t>07_2025-0_18-1_1</t>
  </si>
  <si>
    <t>07_2025-0_18-1_1_BANK</t>
  </si>
  <si>
    <t>07_2025-0_18-2_1</t>
  </si>
  <si>
    <t>07_2025-0_18-2_1_BANK</t>
  </si>
  <si>
    <t>07_2025-0_18-3_1</t>
  </si>
  <si>
    <t>07_2025-0_18-3_1_BANK</t>
  </si>
  <si>
    <t>07_2025-0_18-4_1</t>
  </si>
  <si>
    <t>07_2025-0_18-4_1_BANK</t>
  </si>
  <si>
    <t>08_2025-0_18-1_1</t>
  </si>
  <si>
    <t>08_2025-0_18-1_1_BANK</t>
  </si>
  <si>
    <t>08_2025-0_18-2_1</t>
  </si>
  <si>
    <t>08_2025-0_18-2_1_BANK</t>
  </si>
  <si>
    <t>08_2025-0_18-3_1</t>
  </si>
  <si>
    <t>08_2025-0_18-3_1_BANK</t>
  </si>
  <si>
    <t>08_2025-0_18-4_1</t>
  </si>
  <si>
    <t>08_2025-0_18-4_1_BANK</t>
  </si>
  <si>
    <t>r_01_2025-0_08-2_3</t>
  </si>
  <si>
    <t>01_2025-0_08-2_3_r_01_2025-0_08-2_3_BANK</t>
  </si>
  <si>
    <t>r_01_2025-0_08-6_1</t>
  </si>
  <si>
    <t>01_2025-0_08-6_1_r_01_2025-0_08-6_1_BANK</t>
  </si>
  <si>
    <t>r_01_2025-0_12-1_1</t>
  </si>
  <si>
    <t>01_2025-0_12-1_1_r_01_2025-0_12-1_1_BANK</t>
  </si>
  <si>
    <t>r_01_2025-0_13-1_1</t>
  </si>
  <si>
    <t>01_2025-0_13-1_1_r_01_2025-0_13-1_1_BANK</t>
  </si>
  <si>
    <t>r_01_2025-0_13-1_2</t>
  </si>
  <si>
    <t>01_2025-0_13-1_2_r_01_2025-0_13-1_2_BANK</t>
  </si>
  <si>
    <t>r_01_2025-0_13-1_3</t>
  </si>
  <si>
    <t>01_2025-0_13-1_3_r_01_2025-0_13-1_3_BANK</t>
  </si>
  <si>
    <t>r_01_2025-1_00-1_1</t>
  </si>
  <si>
    <t>01_2025-1_00-1_r_01_2025-1_00-1_1_BANK</t>
  </si>
  <si>
    <t>r_01_2025-1_00-1_2</t>
  </si>
  <si>
    <t>01_2025-1_00-1_r_01_2025-1_00-1_2_BANK</t>
  </si>
  <si>
    <t>r_01_2025-1_00-1_3</t>
  </si>
  <si>
    <t>01_2025-1_00-1_r_01_2025-1_00-1_3_BANK</t>
  </si>
  <si>
    <t>r_01_2025-1_01-6</t>
  </si>
  <si>
    <t>01_2025-1_01-6_r_01_2025-1_01-6_BANK</t>
  </si>
  <si>
    <t>r_01_2025-1_02-1_1_1</t>
  </si>
  <si>
    <t>01_2025-1_02-1_1_r_01_2025-1_02-1_1_1_BANK</t>
  </si>
  <si>
    <t>r_01_2025-1_02-1_1_2</t>
  </si>
  <si>
    <t>r_01_2025-1_02-2_2_1</t>
  </si>
  <si>
    <t>01_2025-1_02-2_2_r_01_2025-1_02-2_2_1_BANK</t>
  </si>
  <si>
    <t>r_01_2025-1_02-2_2_2</t>
  </si>
  <si>
    <t>r_01_2025-1_05-1_1_1</t>
  </si>
  <si>
    <t>01_2025-1_05-1_1_r_01_2025-1_05-1_1_1_BANK</t>
  </si>
  <si>
    <t>r_01_2025-1_05-1_1_2</t>
  </si>
  <si>
    <t>01_2025-1_05-1_1_r_01_2025-1_05-1_1_2_TB</t>
  </si>
  <si>
    <t>r_01_2025-1_05-1_1_3</t>
  </si>
  <si>
    <t>01_2025-1_05-1_1_r_01_2025-1_05-1_1_3_GOSB</t>
  </si>
  <si>
    <t>r_01_2025-1_08-1_1_1</t>
  </si>
  <si>
    <t>01_2025-1_08-1_1_r_01_2025-1_08-1_1_1_BANK</t>
  </si>
  <si>
    <t>r_01_2025-1_08-1_1_2</t>
  </si>
  <si>
    <t>r_01_2025-1_09-1_1_1</t>
  </si>
  <si>
    <t>01_2025-1_09-1_1_r_01_2025-1_09-1_1_1_BANK</t>
  </si>
  <si>
    <t>r_01_2025-1_09-1_1_3</t>
  </si>
  <si>
    <t>01_2025-1_09-1_1_r_01_2025-1_09-1_1_3_GOSB</t>
  </si>
  <si>
    <t>r_01_2025-1_14-1_1_1</t>
  </si>
  <si>
    <t>01_2025-1_14-1_1_r_01_2025-1_14-1_1_1_BANK</t>
  </si>
  <si>
    <t>r_01_2025-1_14-1_1_2</t>
  </si>
  <si>
    <t>01_2025-1_14-1_1_r_01_2025-1_14-1_1_2_TB</t>
  </si>
  <si>
    <t>r_01_2025-1_14-1_1_3</t>
  </si>
  <si>
    <t>01_2025-1_14-1_1_r_01_2025-1_14-1_1_3_GOSB</t>
  </si>
  <si>
    <t>r_01_2025-1_15-1_2_1</t>
  </si>
  <si>
    <t>01_2025-1_15-1_2_r_01_2025-1_15-1_2_1_BANK</t>
  </si>
  <si>
    <t>r_04_2025-0_15-1_1_1</t>
  </si>
  <si>
    <t>04_2025-0_15-1_1_r_04_2025-0_15-1_1_1_BANK</t>
  </si>
  <si>
    <t>r_04_2025-0_15-1_1_2</t>
  </si>
  <si>
    <t>04_2025-0_15-1_1_r_04_2025-0_15-1_1_2_BANK</t>
  </si>
  <si>
    <t>r_04_2025-0_15-1_1_3</t>
  </si>
  <si>
    <t>04_2025-0_15-1_1_r_04_2025-0_15-1_1_3_BANK</t>
  </si>
  <si>
    <t>r_04_2025-0_15-1_2_1</t>
  </si>
  <si>
    <t>04_2025-0_15-1_2_r_04_2025-0_15-1_2_1_BANK</t>
  </si>
  <si>
    <t>r_04_2025-0_15-1_2_2</t>
  </si>
  <si>
    <t>04_2025-0_15-1_2_r_04_2025-0_15-1_2_2_BANK</t>
  </si>
  <si>
    <t>r_04_2025-0_15-1_2_3</t>
  </si>
  <si>
    <t>04_2025-0_15-1_2_r_04_2025-0_15-1_2_3_BANK</t>
  </si>
  <si>
    <t>r_04_2025-0_15-1_3_1</t>
  </si>
  <si>
    <t>04_2025-0_15-1_3_r_04_2025-0_15-1_3_1_BANK</t>
  </si>
  <si>
    <t>r_04_2025-0_15-1_3_2</t>
  </si>
  <si>
    <t>04_2025-0_15-1_3_r_04_2025-0_15-1_3_2_BANK</t>
  </si>
  <si>
    <t>r_04_2025-0_15-1_3_3</t>
  </si>
  <si>
    <t>04_2025-0_15-1_3_r_04_2025-0_15-1_3_3_BANK</t>
  </si>
  <si>
    <t>r_04_2025-0_15-2_1_1</t>
  </si>
  <si>
    <t>04_2025-0_15-2_1_r_04_2025-0_15-2_1_1_BANK</t>
  </si>
  <si>
    <t>r_04_2025-0_15-2_1_2</t>
  </si>
  <si>
    <t>04_2025-0_15-2_1_r_04_2025-0_15-2_1_2_BANK</t>
  </si>
  <si>
    <t>r_04_2025-0_15-2_1_3</t>
  </si>
  <si>
    <t>04_2025-0_15-2_1_r_04_2025-0_15-2_1_3_BANK</t>
  </si>
  <si>
    <t>r_04_2025-0_15-2_2_1</t>
  </si>
  <si>
    <t>04_2025-0_15-2_2_r_04_2025-0_15-2_2_1_BANK</t>
  </si>
  <si>
    <t>r_04_2025-0_15-2_2_2</t>
  </si>
  <si>
    <t>04_2025-0_15-2_2_r_04_2025-0_15-2_2_2_BANK</t>
  </si>
  <si>
    <t>r_04_2025-0_15-2_2_3</t>
  </si>
  <si>
    <t>04_2025-0_15-2_2_r_04_2025-0_15-2_2_3_BANK</t>
  </si>
  <si>
    <t>r_04_2025-0_15-2_3_1</t>
  </si>
  <si>
    <t>04_2025-0_15-2_3_r_04_2025-0_15-2_3_1_BANK</t>
  </si>
  <si>
    <t>r_04_2025-0_15-2_3_2</t>
  </si>
  <si>
    <t>04_2025-0_15-2_3_r_04_2025-0_15-2_3_2_BANK</t>
  </si>
  <si>
    <t>r_04_2025-0_15-2_3_3</t>
  </si>
  <si>
    <t>04_2025-0_15-2_3_r_04_2025-0_15-2_3_3_BANK</t>
  </si>
  <si>
    <t>CONTEST_999_ITEM_m_01_BANK</t>
  </si>
  <si>
    <t>CONTEST_999_ITEM_m_02_BANK</t>
  </si>
  <si>
    <t>CONTEST_999_ITEM_m_03_BANK</t>
  </si>
  <si>
    <t>CONTEST_999_ITEM_m_04_BANK</t>
  </si>
  <si>
    <t>CONTEST_999_ITEM_m_05_BANK</t>
  </si>
  <si>
    <t>CONTEST_999_ITEM_m_06_BANK</t>
  </si>
  <si>
    <t>CONTEST_999_ITEM_m_07_BANK</t>
  </si>
  <si>
    <t>CONTEST_999_ITEM_m_08_BANK</t>
  </si>
  <si>
    <t>CONTEST_999_ITEM_m_09_BANK</t>
  </si>
  <si>
    <t>r_01_2025-1_16-1_1_1</t>
  </si>
  <si>
    <t>01_2025-1_16-1_1_r_01_2025-1_16-1_1_1_BANK</t>
  </si>
  <si>
    <t>r_05_2025-0_18-5_1_1</t>
  </si>
  <si>
    <t>05_2025-0_18-5_1_r_05_2025-0_18-5_1_1_BANK</t>
  </si>
  <si>
    <t>r_02_2025-1_00-1_1</t>
  </si>
  <si>
    <t>02_2025-1_00-1_r_02_2025-1_00-1_1_BANK</t>
  </si>
  <si>
    <t>r_02_2025-1_00-1_2</t>
  </si>
  <si>
    <t>02_2025-1_00-1_r_02_2025-1_00-1_2_BANK</t>
  </si>
  <si>
    <t>r_02_2025-1_00-1_3</t>
  </si>
  <si>
    <t>02_2025-1_00-1_r_02_2025-1_00-1_3_BANK</t>
  </si>
  <si>
    <t>r_03_2025-0_00-1_1</t>
  </si>
  <si>
    <t>03_2025-0_00-1_r_03_2025-0_00-1_1_BANK</t>
  </si>
  <si>
    <t>r_03_2025-0_00-1_2</t>
  </si>
  <si>
    <t>03_2025-0_00-1_r_03_2025-0_00-1_2_BANK</t>
  </si>
  <si>
    <t>r_03_2025-0_00-1_3</t>
  </si>
  <si>
    <t>03_2025-0_00-1_r_03_2025-0_00-1_3_BANK</t>
  </si>
  <si>
    <t>r_04_2025-0_00-1_1</t>
  </si>
  <si>
    <t>04_2025-0_00-1_r_04_2025-0_00-1_1_BANK</t>
  </si>
  <si>
    <t>r_04_2025-0_00-1_2</t>
  </si>
  <si>
    <t>04_2025-0_00-1_r_04_2025-0_00-1_2_BANK</t>
  </si>
  <si>
    <t>r_04_2025-0_00-1_3</t>
  </si>
  <si>
    <t>04_2025-0_00-1_r_04_2025-0_00-1_3_BANK</t>
  </si>
  <si>
    <t>r_05_2025-0_00-1_1</t>
  </si>
  <si>
    <t>05_2025-0_00-1_r_05_2025-0_00-1_1_BANK</t>
  </si>
  <si>
    <t>r_05_2025-0_00-1_2</t>
  </si>
  <si>
    <t>05_2025-0_00-1_r_05_2025-0_00-1_2_BANK</t>
  </si>
  <si>
    <t>r_05_2025-0_00-1_3</t>
  </si>
  <si>
    <t>05_2025-0_00-1_r_05_2025-0_00-1_3_BANK</t>
  </si>
  <si>
    <t>r_06_2025-0_00-1_1</t>
  </si>
  <si>
    <t>06_2025-0_00-1_r_06_2025-0_00-1_1_BANK</t>
  </si>
  <si>
    <t>r_06_2025-0_00-1_2</t>
  </si>
  <si>
    <t>06_2025-0_00-1_r_06_2025-0_00-1_2_BANK</t>
  </si>
  <si>
    <t>r_06_2025-0_00-1_3</t>
  </si>
  <si>
    <t>06_2025-0_00-1_r_06_2025-0_00-1_3_BANK</t>
  </si>
  <si>
    <t>r_07_2025-0_00-1_1</t>
  </si>
  <si>
    <t>07_2025-0_00-1_r_07_2025-0_00-1_1_BANK</t>
  </si>
  <si>
    <t>r_07_2025-0_00-1_2</t>
  </si>
  <si>
    <t>07_2025-0_00-1_r_07_2025-0_00-1_2_BANK</t>
  </si>
  <si>
    <t>r_07_2025-0_00-1_3</t>
  </si>
  <si>
    <t>07_2025-0_00-1_r_07_2025-0_00-1_3_BANK</t>
  </si>
  <si>
    <t>r_08_2025-0_00-1_1</t>
  </si>
  <si>
    <t>08_2025-0_00-1_r_08_2025-0_00-1_1_BANK</t>
  </si>
  <si>
    <t>r_08_2025-0_00-1_2</t>
  </si>
  <si>
    <t>08_2025-0_00-1_r_08_2025-0_00-1_2_BANK</t>
  </si>
  <si>
    <t>r_08_2025-0_00-1_3</t>
  </si>
  <si>
    <t>08_2025-0_00-1_r_08_2025-0_00-1_3_BANK</t>
  </si>
  <si>
    <t>r_01_2025-0_10-1_1</t>
  </si>
  <si>
    <t>01_2025-0_10-1_1_r_01_2025-0_10-1_1_BANK</t>
  </si>
  <si>
    <t>r_01_2025-0_10-1_2</t>
  </si>
  <si>
    <t>01_2025-0_10-1_2_r_01_2025-0_10-1_2_BANK</t>
  </si>
  <si>
    <t>r_01_2025-0_10-1_3</t>
  </si>
  <si>
    <t>01_2025-0_10-1_3_r_01_2025-0_10-1_3_BANK</t>
  </si>
  <si>
    <t>r_01_2025-0_10-1_4</t>
  </si>
  <si>
    <t>01_2025-0_10-1_4_r_01_2025-0_10-1_4_BANK</t>
  </si>
  <si>
    <t>r_05_2025-0_18-1_1_1</t>
  </si>
  <si>
    <t>r_05_2025-0_18-1_1_2</t>
  </si>
  <si>
    <t>r_05_2025-0_18-1_1_3</t>
  </si>
  <si>
    <t>r_05_2025-0_18-2_1_1</t>
  </si>
  <si>
    <t>r_05_2025-0_18-2_1_2</t>
  </si>
  <si>
    <t>05_2025-0_18-2_1_r_05_2025-0_18-2_1_2_BANK</t>
  </si>
  <si>
    <t>r_05_2025-0_18-2_1_3</t>
  </si>
  <si>
    <t>r_05_2025-0_18-3_1_1</t>
  </si>
  <si>
    <t>05_2025-0_18-3_1_r_05_2025-0_18-3_1_1_TB</t>
  </si>
  <si>
    <t>r_05_2025-0_18-3_1_2</t>
  </si>
  <si>
    <t>05_2025-0_18-3_1_r_05_2025-0_18-3_1_2_TB</t>
  </si>
  <si>
    <t>r_05_2025-0_18-3_1_3</t>
  </si>
  <si>
    <t>05_2025-0_18-3_1_r_05_2025-0_18-3_1_3_TB</t>
  </si>
  <si>
    <t>r_05_2025-0_18-4_1_1</t>
  </si>
  <si>
    <t>r_05_2025-0_18-4_1_2</t>
  </si>
  <si>
    <t>r_05_2025-0_18-4_1_3</t>
  </si>
  <si>
    <t>r_06_2025-0_18-1_1_1</t>
  </si>
  <si>
    <t>06_2025-0_18-1_1_r_06_2025-0_18-1_1_1_BANK</t>
  </si>
  <si>
    <t>r_06_2025-0_18-1_1_2</t>
  </si>
  <si>
    <t>06_2025-0_18-1_1_r_06_2025-0_18-1_1_2_BANK</t>
  </si>
  <si>
    <t>r_06_2025-0_18-1_1_3</t>
  </si>
  <si>
    <t>06_2025-0_18-1_1_r_06_2025-0_18-1_1_3_BANK</t>
  </si>
  <si>
    <t>r_06_2025-0_18-2_1_1</t>
  </si>
  <si>
    <t>06_2025-0_18-2_1_r_06_2025-0_18-2_1_1_BANK</t>
  </si>
  <si>
    <t>r_06_2025-0_18-2_1_2</t>
  </si>
  <si>
    <t>06_2025-0_18-2_1_r_06_2025-0_18-2_1_2_BANK</t>
  </si>
  <si>
    <t>r_06_2025-0_18-2_1_3</t>
  </si>
  <si>
    <t>r_06_2025-0_18-3_1_1</t>
  </si>
  <si>
    <t>06_2025-0_18-3_1_r_06_2025-0_18-3_1_1_BANK</t>
  </si>
  <si>
    <t>r_06_2025-0_18-3_1_2</t>
  </si>
  <si>
    <t>06_2025-0_18-3_1_r_06_2025-0_18-3_1_2_BANK</t>
  </si>
  <si>
    <t>r_06_2025-0_18-3_1_3</t>
  </si>
  <si>
    <t>06_2025-0_18-3_1_r_06_2025-0_18-3_1_3_BANK</t>
  </si>
  <si>
    <t>r_06_2025-0_18-4_1_1</t>
  </si>
  <si>
    <t>06_2025-0_18-4_1_r_06_2025-0_18-4_1_1_BANK</t>
  </si>
  <si>
    <t>r_06_2025-0_18-4_1_2</t>
  </si>
  <si>
    <t>06_2025-0_18-4_1_r_06_2025-0_18-4_1_2_BANK</t>
  </si>
  <si>
    <t>r_06_2025-0_18-4_1_3</t>
  </si>
  <si>
    <t>06_2025-0_18-4_1_r_06_2025-0_18-4_1_3_BANK</t>
  </si>
  <si>
    <t>r_07_2025-0_18-1_1_1</t>
  </si>
  <si>
    <t>07_2025-0_18-1_1_r_07_2025-0_18-1_1_1_BANK</t>
  </si>
  <si>
    <t>r_07_2025-0_18-1_1_2</t>
  </si>
  <si>
    <t>07_2025-0_18-1_1_r_07_2025-0_18-1_1_2_BANK</t>
  </si>
  <si>
    <t>r_07_2025-0_18-1_1_3</t>
  </si>
  <si>
    <t>07_2025-0_18-1_1_r_07_2025-0_18-1_1_3_BANK</t>
  </si>
  <si>
    <t>r_07_2025-0_18-2_1_1</t>
  </si>
  <si>
    <t>07_2025-0_18-2_1_r_07_2025-0_18-2_1_1_BANK</t>
  </si>
  <si>
    <t>r_07_2025-0_18-2_1_2</t>
  </si>
  <si>
    <t>r_07_2025-0_18-2_1_3</t>
  </si>
  <si>
    <t>r_07_2025-0_18-3_1_1</t>
  </si>
  <si>
    <t>07_2025-0_18-3_1_r_07_2025-0_18-3_1_1_BANK</t>
  </si>
  <si>
    <t>r_07_2025-0_18-3_1_2</t>
  </si>
  <si>
    <t>07_2025-0_18-3_1_r_07_2025-0_18-3_1_2_BANK</t>
  </si>
  <si>
    <t>r_07_2025-0_18-3_1_3</t>
  </si>
  <si>
    <t>07_2025-0_18-3_1_r_07_2025-0_18-3_1_3_BANK</t>
  </si>
  <si>
    <t>r_07_2025-0_18-4_1_1</t>
  </si>
  <si>
    <t>07_2025-0_18-4_1_r_07_2025-0_18-4_1_1_BANK</t>
  </si>
  <si>
    <t>r_07_2025-0_18-4_1_2</t>
  </si>
  <si>
    <t>07_2025-0_18-4_1_r_07_2025-0_18-4_1_2_BANK</t>
  </si>
  <si>
    <t>r_07_2025-0_18-4_1_3</t>
  </si>
  <si>
    <t>07_2025-0_18-4_1_r_07_2025-0_18-4_1_3_BANK</t>
  </si>
  <si>
    <t>r_08_2025-0_18-1_1_1</t>
  </si>
  <si>
    <t>08_2025-0_18-1_1_r_08_2025-0_18-1_1_1_BANK</t>
  </si>
  <si>
    <t>r_08_2025-0_18-1_1_2</t>
  </si>
  <si>
    <t>08_2025-0_18-1_1_r_08_2025-0_18-1_1_2_BANK</t>
  </si>
  <si>
    <t>r_08_2025-0_18-1_1_3</t>
  </si>
  <si>
    <t>08_2025-0_18-1_1_r_08_2025-0_18-1_1_3_BANK</t>
  </si>
  <si>
    <t>r_08_2025-0_18-2_1_1</t>
  </si>
  <si>
    <t>08_2025-0_18-2_1_r_08_2025-0_18-2_1_1_BANK</t>
  </si>
  <si>
    <t>r_08_2025-0_18-2_1_2</t>
  </si>
  <si>
    <t>r_08_2025-0_18-2_1_3</t>
  </si>
  <si>
    <t>r_08_2025-0_18-3_1_1</t>
  </si>
  <si>
    <t>08_2025-0_18-3_1_r_08_2025-0_18-3_1_1_BANK</t>
  </si>
  <si>
    <t>r_08_2025-0_18-3_1_2</t>
  </si>
  <si>
    <t>08_2025-0_18-3_1_r_08_2025-0_18-3_1_2_BANK</t>
  </si>
  <si>
    <t>r_08_2025-0_18-3_1_3</t>
  </si>
  <si>
    <t>08_2025-0_18-3_1_r_08_2025-0_18-3_1_3_BANK</t>
  </si>
  <si>
    <t>r_08_2025-0_18-4_1_1</t>
  </si>
  <si>
    <t>08_2025-0_18-4_1_r_08_2025-0_18-4_1_1_BANK</t>
  </si>
  <si>
    <t>r_08_2025-0_18-4_1_2</t>
  </si>
  <si>
    <t>08_2025-0_18-4_1_r_08_2025-0_18-4_1_2_BANK</t>
  </si>
  <si>
    <t>r_08_2025-0_18-4_1_3</t>
  </si>
  <si>
    <t>08_2025-0_18-4_1_r_08_2025-0_18-4_1_3_BANK</t>
  </si>
  <si>
    <t>t_01_2025-0_12-1_1_1001</t>
  </si>
  <si>
    <t>2025-01-01</t>
  </si>
  <si>
    <t>2025-12-31</t>
  </si>
  <si>
    <t>2026-04-30</t>
  </si>
  <si>
    <t>01_2025-0_12-1_1_t_01_2025-0_12-1_1_1001</t>
  </si>
  <si>
    <t>t_01_2025-0_10-1_1_1001</t>
  </si>
  <si>
    <t>01_2025-0_10-1_1_t_01_2025-0_10-1_1_1001</t>
  </si>
  <si>
    <t>t_01_2025-0_10-1_2_1001</t>
  </si>
  <si>
    <t>01_2025-0_10-1_2_t_01_2025-0_10-1_2_1001</t>
  </si>
  <si>
    <t>t_01_2025-0_10-1_3_1001</t>
  </si>
  <si>
    <t>01_2025-0_10-1_3_t_01_2025-0_10-1_3_1001</t>
  </si>
  <si>
    <t>t_01_2025-0_10-1_4_1001</t>
  </si>
  <si>
    <t>01_2025-0_10-1_4_t_01_2025-0_10-1_4_1001</t>
  </si>
  <si>
    <t>t_01_2025-1_09-1_1_3021</t>
  </si>
  <si>
    <t>2025-02-01</t>
  </si>
  <si>
    <t>2025-02-28</t>
  </si>
  <si>
    <t>01_2025-1_09-1_1_t_01_2025-1_09-1_1_3021</t>
  </si>
  <si>
    <t>t_01_2025-0_13-1_1_1001</t>
  </si>
  <si>
    <t>01_2025-0_13-1_1_t_01_2025-0_13-1_1_1001</t>
  </si>
  <si>
    <t>t_01_2025-0_13-1_2_1001</t>
  </si>
  <si>
    <t>01_2025-0_13-1_2_t_01_2025-0_13-1_2_1001</t>
  </si>
  <si>
    <t>t_01_2025-0_13-1_3_1001</t>
  </si>
  <si>
    <t>01_2025-0_13-1_3_t_01_2025-0_13-1_3_1001</t>
  </si>
  <si>
    <t>t_01_2025-1_14-1_1_3021</t>
  </si>
  <si>
    <t>01_2025-1_14-1_1_t_01_2025-1_14-1_1_3021</t>
  </si>
  <si>
    <t>t_01_2025-1_16-1_1_2011</t>
  </si>
  <si>
    <t>турнир 1 квартала</t>
  </si>
  <si>
    <t>2025-03-31</t>
  </si>
  <si>
    <t>2025-04-20</t>
  </si>
  <si>
    <t>01_2025-1_16-1_1_t_01_2025-1_16-1_1_2011</t>
  </si>
  <si>
    <t>t_01_2025-1_02-1_1_3021</t>
  </si>
  <si>
    <t>01_2025-1_02-1_1_t_01_2025-1_02-1_1_3021</t>
  </si>
  <si>
    <t>t_01_2025-1_02-2_2_3021</t>
  </si>
  <si>
    <t>01_2025-1_02-2_2_t_01_2025-1_02-2_2_3021</t>
  </si>
  <si>
    <t>t_01_2025-0_08-2_3_4001</t>
  </si>
  <si>
    <t>2025-06-30</t>
  </si>
  <si>
    <t>2025-07-01</t>
  </si>
  <si>
    <t>01_2025-0_08-2_3_t_01_2025-0_08-2_3_4001</t>
  </si>
  <si>
    <t>t_01_2025-1_05-1_1_3021</t>
  </si>
  <si>
    <t>01_2025-1_05-1_1_t_01_2025-1_05-1_1_3021</t>
  </si>
  <si>
    <t>t_01_2025-1_08-1_1_3021</t>
  </si>
  <si>
    <t>01_2025-1_08-1_1_t_01_2025-1_08-1_1_3021</t>
  </si>
  <si>
    <t>t_01_2025-0_08-6_1_4001</t>
  </si>
  <si>
    <t>01_2025-0_08-6_1_t_01_2025-0_08-6_1_4001</t>
  </si>
  <si>
    <t>t_01_2025-1_15-1_2_2011</t>
  </si>
  <si>
    <t>01_2025-1_15-1_2_t_01_2025-1_15-1_2_2011</t>
  </si>
  <si>
    <t>t_04_2025-0_15-1_1_2011</t>
  </si>
  <si>
    <t>2025-05-01</t>
  </si>
  <si>
    <t>04_2025-0_15-1_1_t_04_2025-0_15-1_1_2011</t>
  </si>
  <si>
    <t>t_04_2025-0_15-1_2_2011</t>
  </si>
  <si>
    <t>04_2025-0_15-1_2_t_04_2025-0_15-1_2_2011</t>
  </si>
  <si>
    <t>t_04_2025-0_15-1_3_2011</t>
  </si>
  <si>
    <t>04_2025-0_15-1_3_t_04_2025-0_15-1_3_2011</t>
  </si>
  <si>
    <t>t_04_2025-0_15-2_1_2011</t>
  </si>
  <si>
    <t>04_2025-0_15-2_1_t_04_2025-0_15-2_1_2011</t>
  </si>
  <si>
    <t>t_04_2025-0_15-2_2_2011</t>
  </si>
  <si>
    <t>04_2025-0_15-2_2_t_04_2025-0_15-2_2_2011</t>
  </si>
  <si>
    <t>t_04_2025-0_15-2_3_2011</t>
  </si>
  <si>
    <t>04_2025-0_15-2_3_t_04_2025-0_15-2_3_2011</t>
  </si>
  <si>
    <t>t_01_2025-1_01-6_4001</t>
  </si>
  <si>
    <t>01_2025-1_01-6_t_01_2025-1_01-6_4001</t>
  </si>
  <si>
    <t>t_05_2025-0_18-5_1_2011</t>
  </si>
  <si>
    <t>05_2025-0_18-5_1_t_05_2025-0_18-5_1_2011</t>
  </si>
  <si>
    <t>t_05_2025-0_18-1_1_2011</t>
  </si>
  <si>
    <t>05_2025-0_18-1_1_t_05_2025-0_18-1_1_2011</t>
  </si>
  <si>
    <t>t_05_2025-0_18-2_1_2011</t>
  </si>
  <si>
    <t>t_05_2025-0_18-3_1_2011</t>
  </si>
  <si>
    <t>05_2025-0_18-3_1_t_05_2025-0_18-3_1_2011</t>
  </si>
  <si>
    <t>t_05_2025-0_18-4_1_2011</t>
  </si>
  <si>
    <t>05_2025-0_18-4_1_t_05_2025-0_18-4_1_2011</t>
  </si>
  <si>
    <t>t_06_2025-0_18-1_1_2011</t>
  </si>
  <si>
    <t>06_2025-0_18-1_1_t_06_2025-0_18-1_1_2011</t>
  </si>
  <si>
    <t>t_06_2025-0_18-2_1_2011</t>
  </si>
  <si>
    <t>06_2025-0_18-2_1_t_06_2025-0_18-2_1_2011</t>
  </si>
  <si>
    <t>t_06_2025-0_18-3_1_2011</t>
  </si>
  <si>
    <t>06_2025-0_18-3_1_t_06_2025-0_18-3_1_2011</t>
  </si>
  <si>
    <t>t_06_2025-0_18-4_1_2011</t>
  </si>
  <si>
    <t>06_2025-0_18-4_1_t_06_2025-0_18-4_1_2011</t>
  </si>
  <si>
    <t>t_07_2025-0_18-1_1_2011</t>
  </si>
  <si>
    <t>07_2025-0_18-1_1_t_07_2025-0_18-1_1_2011</t>
  </si>
  <si>
    <t>t_07_2025-0_18-2_1_2011</t>
  </si>
  <si>
    <t>07_2025-0_18-2_1_t_07_2025-0_18-2_1_2011</t>
  </si>
  <si>
    <t>t_07_2025-0_18-3_1_2011</t>
  </si>
  <si>
    <t>07_2025-0_18-3_1_t_07_2025-0_18-3_1_2011</t>
  </si>
  <si>
    <t>t_07_2025-0_18-4_1_2011</t>
  </si>
  <si>
    <t>07_2025-0_18-4_1_t_07_2025-0_18-4_1_2011</t>
  </si>
  <si>
    <t>t_08_2025-0_18-1_1_2011</t>
  </si>
  <si>
    <t>08_2025-0_18-1_1_t_08_2025-0_18-1_1_2011</t>
  </si>
  <si>
    <t>t_08_2025-0_18-2_1_2011</t>
  </si>
  <si>
    <t>08_2025-0_18-2_1_t_08_2025-0_18-2_1_2011</t>
  </si>
  <si>
    <t>t_08_2025-0_18-3_1_2011</t>
  </si>
  <si>
    <t>08_2025-0_18-3_1_t_08_2025-0_18-3_1_2011</t>
  </si>
  <si>
    <t>t_08_2025-0_18-4_1_2011</t>
  </si>
  <si>
    <t>08_2025-0_18-4_1_t_08_2025-0_18-4_1_2011</t>
  </si>
  <si>
    <t>Защита 360. Накопи 500</t>
  </si>
  <si>
    <t>Участник ТОП-проекта цифровой транcформации</t>
  </si>
  <si>
    <t>DTaaS</t>
  </si>
  <si>
    <t>ТОП-проект</t>
  </si>
  <si>
    <t>1 полугодие 2025 КМ ККСБ</t>
  </si>
  <si>
    <t>Сезон 1 полугодние 2025 год. Турниры</t>
  </si>
  <si>
    <t>Сезоны</t>
  </si>
  <si>
    <t>Чтобы стать участником, покажи в текущем месяце положительный прирост остатка активов по своим клиентам. \\nПо итогам месяца выберем лучшие результаты в каждом подразделении. 10% участников с наибольшими результатами в своем ГОСБ (Аппарате ТБ) получат бронзовый бейдж. ТОП-3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ТОП-5 участников с лучшими результатами по всей стране. Удачи!</t>
  </si>
  <si>
    <t>Производительность. Потоковые сделки (МС)</t>
  </si>
  <si>
    <t>Производительность. Индивидуальные сделки (МС)</t>
  </si>
  <si>
    <t>Участвуют менеджеры сопровождения индивидуальных сделок. За время турнира необходимо набрать максимальный балл по рейтингу производительности. По итогом турнира ТОП-1 получит золотую награду, а следующие 4 участники разделят серебро и бронзу.</t>
  </si>
  <si>
    <t>Производительность. Сделки изменений (МС)</t>
  </si>
  <si>
    <t>Турнир для менеджеров сопровождения сделок с изменениями. ТОП-3 участника по рейтингу производительности разделят между собой золото, серебро и бронзу.</t>
  </si>
  <si>
    <t>Первенство КМ хантер по сумме лимитов реализованных сделок</t>
  </si>
  <si>
    <t>Турнир для КМ хантеров. ТОП-1 участник, реализовавший сделки с наибольшими объемами лимитов получит золотой бейдж. Еще 5 участников разделят между собой серебро и бронзу.</t>
  </si>
  <si>
    <t>Новые деньги. Наращиваем СДО (МРБ)</t>
  </si>
  <si>
    <t>Турнир для менеджеров по развитию бизнеса. ТОП-1 участник по СДО новых денег получит золотой бейдж по итогам квартала. Еще 5 участников разделят между собой серебро и бронзу.</t>
  </si>
  <si>
    <t>Новые деньги. Наращиваем СДО (КМ с портфелем)</t>
  </si>
  <si>
    <t>Турнир для менеджеров с текущим портфелем. ТОП-1 участник по СДО новых денег получит золотой бейдж по итогам квартала. Еще 2 участника разделят между собой серебро и бронзу.</t>
  </si>
  <si>
    <t>1 полугодие 2025 МНС</t>
  </si>
  <si>
    <t>Сезон 2025 Сервисмен</t>
  </si>
  <si>
    <t>Сезон 2025 год. Турниры</t>
  </si>
  <si>
    <t>Сезон 2025 Факторинг</t>
  </si>
  <si>
    <t>Сезон 2025 Менеджер СБ1</t>
  </si>
  <si>
    <t>Сезон 2025 Инвестменеджер УБ</t>
  </si>
  <si>
    <t>Сезон 2025 Руководитель направления УБ</t>
  </si>
  <si>
    <t>Сезон 2025 Руководитель СБ1</t>
  </si>
  <si>
    <t>Чтобы стать участником, покажи в текущем месяце положительный прирост коэффициента интернализации. \\nПо итогам месяца награду будем вручать 10% лучшим на уровне ГОСБ, а также ТОП-3 КМ с наибольшим приростом на уровне ТБ и в целом по стране. Удачи!</t>
  </si>
  <si>
    <t>Марафон УК Первая</t>
  </si>
  <si>
    <t>Описание турнира</t>
  </si>
  <si>
    <t>Продукты УБ в канале СБ1</t>
  </si>
  <si>
    <t>УКП</t>
  </si>
  <si>
    <t>Турнир по квадратным метрам</t>
  </si>
  <si>
    <t>СФН</t>
  </si>
  <si>
    <t>Ралли брокера</t>
  </si>
  <si>
    <t>В турнире участвуют менеджеры СберПервый. \\nТОП-3 участника в каждом тербанке с максимальным нетто-притоком по УЭР станут победителями турнира!</t>
  </si>
  <si>
    <t>Брокер</t>
  </si>
  <si>
    <t>Страховой олимп</t>
  </si>
  <si>
    <t>СБСЖ</t>
  </si>
  <si>
    <t>Мрия</t>
  </si>
  <si>
    <t>05_2025-0_18-6_1</t>
  </si>
  <si>
    <t>Манжерок</t>
  </si>
  <si>
    <t>Страхование залога в СберБизнес. Первая продажа</t>
  </si>
  <si>
    <t>Залоги</t>
  </si>
  <si>
    <t>Чтобы стать участником, получи в текущем месяце комиссию по банковским гарантиям больше, чем в предыдущем. \\nПо итогам месяца в каждом ГОСБ менеджеры с ТОП-1 приростом получат бронзовый бейдж. А вошедние в ТОП-15 по приросту во всей стрнане смогут претендовать на золотые и серебряные награды!</t>
  </si>
  <si>
    <t>Участвуют все, у кого в текущем квартале заключена лизинговая сделка. ТОП-15 участников с наибольшим объемом лизиновых сделок по сумме нового бизнеса по договорам купли-продажи станут победителями турнира.</t>
  </si>
  <si>
    <t>Турнир проводится среди клиентских менеджеров ККСБ. Чтобы стать участником, необходимо заключить минимум одну сделку по факторингу в текущем квартале. ТОП-3 участника с наибольшими числом сделок по всей стране станут победителями турнира!</t>
  </si>
  <si>
    <t>Чтобы стать участником, покажи в текущем месяце положительный прирост объема ФОТ по своей клиентской базе. Учитываются новые договоры и расширения по текущим. \\n10% участников с наибольшими результатами в своем ГОСБ (Аппарате ТБ) получат бронзовый бейдж. ТОП-3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ТОП-5 участников с лучшими результатами по всей стране. Удачи!</t>
  </si>
  <si>
    <t>Чтобы стать участником, заключи в текущем месяце договор и успей получить комиссию до конца турнира по рыночным продажам продуктов страхового брокера. В турнирную таблицу попадут менеджеры, собравшие 50 тыс. руб. и более. \\nПо итогам месяца 10% участников с лучшими результатами в каждом тербанке получат бронзовый бейдж, а ТОП-10 по сумме комиссии клиентских менеджеров станут обладателями серебряных и золотых наград!</t>
  </si>
  <si>
    <t>Благотворительность</t>
  </si>
  <si>
    <t>Метку могут получить КМ ККСБ или РКПК ККСБ, подтвердивший свою отраслевую экспертизу и экспертизу в области цифровой трансформации. Сотрудник с меткой «отраслевой эксперт» не только обладает теоретическими знаниями, но и владеет практическими навыками работы с клиентами, структурирования кредитных сделок, обладает специализированными знаниями по работе с клиентами отрасли. Метка устанавливается на 1 год и каждый год предусмотрена повторная сертификация на получение метки.</t>
  </si>
  <si>
    <t>Метку могут получить КМ ККСБ или РКПК ККСБ, подтвердивший свою отраслевую экспертизу по финансовому и инвестиционному анализу и экспертизу в области сложноструктурированных инвестиционных продуктов. Сотрудник с меткой «Эксперт по развитию бизнеса» не только обладает теоретическими знаниями, но и владеет практическими навыками работы с клиентами, структурирования сложных кредитных сделок, обладает специализированными знаниями в области акционерного финансирования. Метка устанавливается на 1 год и каждый год предусмотрена повторная сертификация на получение метки.</t>
  </si>
  <si>
    <t>{"""feature""": [], """nftFlg""": """N""", """outstanding""": """N""", """rewardRule""": """Бейдж получат лучшие участники в каждом ТБ""", """rewardAgainGlobal""": """Y""", """rewardAgainTournament""": """N""", """hidden""":"""N""", """fileName""": """""", """teamNews""": """&lt;span&gt;[Имя_Фамилия]&lt;/span&gt; и еще [n] [amount:менеджер] стали лучшими в своем тербанке и открыли больше всего счетов в рупиях. Поздравляем!""", """singleNews""": """Новое достижение! [Имя] [gender:1:стал|gender:2:стала] [gender:1:лучшим|gender:лучшей] в своем тербанке и [gender:1:открыл|gender:открыла] больше всего счетов в рупиях. Поздравляем!""", """refreshOldNews""": """Y""", """businessBlock""": ["""KMKKSB"""], """recommendationLevel""": """TB""", """priority""": """2""",  """masterBadge""": """Y""", """parentRewardCode""": """REWARD_20_03"""}</t>
  </si>
  <si>
    <t>{"""feature""": ["""Комиссия (ЧКД) за конверсию по Индии учитывается накопительно по операция с 01.01.2025 года по 31.12.2025 года""", """Бейдж можно получить только один раз за год"""], """nftFlg""": """N""", """outstanding""": """N""", """rewardRule""": """""", """rewardAgainGlobal""": """N""", """rewardAgainTournament""": """N""", """hidden""":"""N""", """fileName""": """INDIA_COMMISSION_100K""", """teamNews""": """""", """singleNews""": """""", """businessBlock""": ["""KMKKSB"""], """recommendationLevel""": """GOSB""", """priority""": """1""",  """masterBadge""": """Y""", """parentRewardCode""": """r_01_2025-0_10-1_1"""}</t>
  </si>
  <si>
    <t>{"""feature""": ["""Комиссия (ЧКД) за конверсию по Индии учитывается накопительно по операция с 01.01.2025 года по 31.12.2025 года""", """Бейдж можно получить только один раз за год"""], """nftFlg""": """N""", """outstanding""": """N""", """rewardRule""": """""", """rewardAgainGlobal""": """N""", """rewardAgainTournament""": """N""", """hidden""":"""N""", """fileName""": """INDIA_COMMISSION_500K""", """teamNews""": """""", """singleNews""": """""", """businessBlock""": ["""KMKKSB"""], """recommendationLevel""": """GOSB""", """priority""": """1""",  """masterBadge""": """Y""", """parentRewardCode""": """r_01_2025-0_10-1_2"""}</t>
  </si>
  <si>
    <t>ТОП-проект DTaaS</t>
  </si>
  <si>
    <t>Для получения бейджа необходимо вынести на ДЕМО проект по цифровой трансформации на уровень не ниже старшего вице-президента КИБ совместно с CSM своего тербанка, либо представить проект на SberProTech, либо на AIJ.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</si>
  <si>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1 клиента, заключившего сделку процентного хеджирования кредитов в 2025 году.</t>
  </si>
  <si>
    <t>{"""feature""": ["""Бейдж можно получить только один раз за год"""],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"""GOSB""", """priority""": """1""",  """masterBadge""": """Y""", """parentRewardCode""": """r_01_2025-0_13-1_1"""}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</si>
  <si>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3 клиента, заключивших сделки процентного хеджирования кредитов в 2025 году.</t>
  </si>
  <si>
    <t>{"""feature""": ["""Бейдж можно получить только один раз за год"""],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"""r_01_2025-0_13-1_2"""}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</si>
  <si>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10 клиентов, заключивших сделки процентного хеджирования кредитов в 2025 году.</t>
  </si>
  <si>
    <t>{"""feature""": ["""Бейдж можно получить только один раз за год""", """Факт получения бейджа попадает в ленту сообщества"""], """nftFlg""": """Y""", """outstanding""": """Y""", """rewardRule""": """""", """rewardAgainGlobal""": """N""", """rewardAgainTournament""": """N""", """hidden""":"""N""", """fileName""": """""", """teamNews""": """[Имя] и ещё [n] [amount:менеджер] получили награду «10 клиентов с процентными ПФИ». На текущий момент они привлекли 10 клиентов на сделки процентного хеджирования кредитов с начала 2025 года, что является отличным результатом. Поздравляем!""", """singleNews""": """[Имя] [gender:1:получил|gender:2:получила] награду «10 клиентов с процентными ПФИ». На текущий момент  [gender:1:он|gender:2:она] [gender:1:привлек|gender:2:привлекла]  10 клиентов на сделки процентного хеджирования кредитов с начала 2025 года, что является отличным результатом. Поздравляем!""", """refreshOldNews""": """N""", """businessBlock""": ["""KMKKSB"""], """recommendationLevel""": """BANK""", """priority""": """1""",  """masterBadge""": """Y""", """parentRewardCode""": """r_01_2025-0_13-1_3"""}</t>
  </si>
  <si>
    <t>Золото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</si>
  <si>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["""KMKKSB"""], """recommendationLevel""": """NON""", """priority""": """1""",  """masterBadge""": """Y""", """parentRewardCode""": """r_01_2025-1_00-1_1""", """seasonItem""": ["""SEASON_2025_1"""]}</t>
  </si>
  <si>
    <t>Серебро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</si>
  <si>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["""KMKKSB"""], """recommendationLevel""": """NON""", """priority""": """2""",  """masterBadge""": """Y""", """parentRewardCode""": """r_01_2025-1_00-1_2""", """seasonItem""": ["""SEASON_2025_1"""]}</t>
  </si>
  <si>
    <t>Бронза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</si>
  <si>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["""KMKKSB"""], """recommendationLevel""": """NON""", """priority""": """3""",  """masterBadge""": """Y""", """parentRewardCode""": """r_01_2025-1_00-1_3""", """seasonItem""": ["""SEASON_2025_1"""]}</t>
  </si>
  <si>
    <t>Одним сердцем</t>
  </si>
  <si>
    <t>Золото#по приросту остатка Пассивов</t>
  </si>
  <si>
    <t>{"""feature""": ["""Факт получения бейджа попадает в ленту сообщества"""], """nftFlg""": """N""", """outstanding""": """Y""", """rewardRule""": """Бейдж получат ТОП-10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стране""", """singleNews""": """Новое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</si>
  <si>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Серебро#по приросту остатка Пассивов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</si>
  <si>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"""N""", """parentRewardCode""": """r_01_2025-1_00-1_2"""}</t>
  </si>
  <si>
    <t>r_01_2025-1_02-1_1_3</t>
  </si>
  <si>
    <t>Бронза#по приросту остатка Пассивов</t>
  </si>
  <si>
    <t>{"""feature""": [], """nftFlg""": """N""", """outstanding""": """N""", """rewardRule""": """Бейдж получат 10% от числа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"""N""", """parentRewardCode""": """r_01_2025-1_00-1_3"""}</t>
  </si>
  <si>
    <t>Золото#по приросту остатка долгосрочных депозитов</t>
  </si>
  <si>
    <t>{"""feature""": ["""Факт получения бейджа попадает в ленту сообщества"""], """nftFlg""": """N""", """outstanding""": """Y""", """rewardRule""": """Бейдж получат ТОП-5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Прирост остатка долгосрочных депозитов». Они показали лучший прирост остатка  депозитов по итогам турнира во всей стране""", """singleNews""": """Новое достижение! [Имя] [gender:1:стал|gender:2:стала] победителем турнира «Пассивы. Прирост остатка долгосрочных депозитов». [gender:1:Он|gender:2:Она] [gender:1:показал|gender:2:показала] лучший прирост остатка депозитов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</si>
  <si>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Серебро#по приросту остатка долгосрочных депозитов</t>
  </si>
  <si>
    <t>{"""feature""": [], """nftFlg""": """N""", """outstanding""": """N""", """rewardRule""": """Бейдж получат ТОП-10 от числа участников турнира в стране""",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"""N""", """parentRewardCode""": """r_01_2025-1_00-1_2"""}</t>
  </si>
  <si>
    <t>r_01_2025-1_02-2_2_3</t>
  </si>
  <si>
    <t>Бронза#по приросту остатка долгосрочных депозитов</t>
  </si>
  <si>
    <t>{"""feature""": [], """nftFlg""": """N""", """outstanding""": """N""", """rewardRule""": """Бейдж получат ТОП-5 от числа участников турнира в тербанке""",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"""N""", """parentRewardCode""": """r_01_2025-1_00-1_3"""}</t>
  </si>
  <si>
    <t>Золото#по объему перечислений ФОТ</t>
  </si>
  <si>
    <t>Серебро#по объему перечислений ФОТ</t>
  </si>
  <si>
    <t>Бронза#по объему перечислений ФОТ</t>
  </si>
  <si>
    <t>Золото#по рыночным продажам</t>
  </si>
  <si>
    <t>{"""feature""": ["""Факт получения бейджа попадает в ленту сообщества"""], """nftFlg""": """N""", """outstanding""": """Y""", """rewardRule""": """Бейдж получат ТОП-10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«Страхование. Рыночные продажи». Они показали лучший результат по рыночным продажам продуктов страхового брокера в рамках турнира во всей стране""", """singleNews""": """Новое достижение! [Имя] [gender:1:стал|gender:2:стала] победителем турнира «Страхование. Рыночные продажи». [gender:1:Он|gender:2:Она] [gender:1:показал|gender:2:показала] лучший результат по рыночным продажам продуктов страхового брокера в рамках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</si>
  <si>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Серебро#по рыночным продажам</t>
  </si>
  <si>
    <t>r_01_2025-1_08-1_1_3</t>
  </si>
  <si>
    <t>Бронза#по рыночным продажам</t>
  </si>
  <si>
    <t>Золото#по гарантиям</t>
  </si>
  <si>
    <t>Войди в ТОП-5 участников в турнире Гарантии. Прирост комиссии на уровне всей страны</t>
  </si>
  <si>
    <t>{"""feature""": ["""Факт получения бейджа попадает в ленту сообщества"""], """nftFlg""": """N""", """outstanding""": """Y""", """rewardRule""": """Бейдж получат ТОП-5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«Гарантии. Прирост комиссии». Они показали лучший результат по приросту комиссии от банковских гарантий в рамках турнира во всей стране""", """singleNews""": """Новое достижение! [Имя] [gender:1:стал|gender:2:стала] победителем турнира «Гарантии. Прирост комиссии». [gender:1:Он|gender:2:Она] [gender:1:показал|gender:2:показала] лучший результат по приросту комиссии от банковских гарантий в рамках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</si>
  <si>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r_01_2025-1_09-1_1_2</t>
  </si>
  <si>
    <t>Серебро#по гарантиям</t>
  </si>
  <si>
    <t>{"""feature""": [], """nftFlg""": """N""", """outstanding""": """N""", """rewardRule""": """Бейдж получат ТОП-15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"""N""", """parentRewardCode""": """r_01_2025-1_00-1_2"""}</t>
  </si>
  <si>
    <t>Бронза#по гарантиям</t>
  </si>
  <si>
    <t>Стань одним из лучших в турнире Гарантии. Прирост комиссии на уровне своего подразделения</t>
  </si>
  <si>
    <t>Золото#по приросту остатка Активов</t>
  </si>
  <si>
    <t>Войди в число ТОП-5 участников в турнире Активы. Максимизируй прирост остатка на уровне всей страны</t>
  </si>
  <si>
    <t>{"""feature""": ["""Факт получения бейджа попадает в ленту сообщества"""], """nftFlg""": """N""", """outstanding""": """Y""", """rewardRule""": """Бейдж получат ТОП-5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«Активы. Максимизируй прирост остатка». Они показали лучший прирост остатка  активов по итогам турнира во всей стране""", """singleNews""": """Новое достижение! [Имя] [gender:1:стал|gender:2:стала] победителем турнира «Активы. Максимизируй прирост остатка». [gender:1:Он|gender:2:Она] [gender:1:показал|gender:2:показала] лучший прирост остатка активов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</si>
  <si>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Серебро#по приросту остатка Активов</t>
  </si>
  <si>
    <t>Войти в число ТОП-3 участников на уровне своего территориального банка в рамках турнира Активы. Максимизируй прирост остатка</t>
  </si>
  <si>
    <t>{"""feature""": [], """nftFlg""": """N""", """outstanding""": """N""", """rewardRule""": """Бейдж получат ТОП-3 от числа участников турнира в каждом тербанке""",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"""N""", """parentRewardCode""": """r_01_2025-1_00-1_2"""}</t>
  </si>
  <si>
    <t>Бронза#по приросту остатка Активов</t>
  </si>
  <si>
    <t>{"""feature""": [], """nftFlg""": """N""", """outstanding""": """N""", """rewardRule""": """Бейдж получат ТОП 10% от числа участников турнира в подразделении""",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"""N""", """parentRewardCode""": """r_01_2025-1_00-1_3"""}</t>
  </si>
  <si>
    <t>Золото#по продажам факторинга</t>
  </si>
  <si>
    <t>{"""feature""": ["""Факт получения бейджа попадает в ленту сообщества"""], """nftFlg""": """N""",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«Факторинг. Лучший по продажам». Они показали лучший результат в стране по числу сделок""", """singleNews""": """Новое достижение! [Имя] [gender:1:стал|gender:2:стала] победителем турнира «Факторинг. Лучший по продажам». [gender:1:Он|gender:2:Она] [gender:1:показал|gender:2:показала] лучший результат в стране по числу сделок""", """businessBlock""": ["""KMKKSB"""], """recommendationLevel""": """BANK""", """priority""": """1""",  """masterBadge""": """N""", """parentRewardCode""": """r_01_2025-1_00-1_1"""}</t>
  </si>
  <si>
    <t>r_01_2025-1_15-1_2_2</t>
  </si>
  <si>
    <t>Серебро#по продажам факторинга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</si>
  <si>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"""N""", """parentRewardCode""": """r_01_2025-1_00-1_2"""}</t>
  </si>
  <si>
    <t>r_01_2025-1_15-1_2_3</t>
  </si>
  <si>
    <t>Бронза#по продажам факторинга</t>
  </si>
  <si>
    <t>{"""feature""": [], """nftFlg""": """N""", """outstanding""": """N""", """rewardRule""": """Бейдж получат ТОП-3 от числа участников турнира в каждом кластере""", """rewardAgainGlobal""": """Y""", """rewardAgainTournament""": """N""", """hidden""":"""N""", """fileName""": """""", """teamNews""": """""", """singleNews""": """""", """businessBlock""": ["""KMKKSB"""], """recommendationLevel""": """GOSB""", """priority""": """3""",  """masterBadge""": """N""", """parentRewardCode""": """r_01_2025-1_00-1_3"""}</t>
  </si>
  <si>
    <t>Золото#по лизингу сумма договоров</t>
  </si>
  <si>
    <t>Войди в ТОП-5 участников в турнире Лизинг. Максимизируй сумму договоров на уровне всей страны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</si>
  <si>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«Лизинг. Максимизируй сумму договоров». Они показали лучший результат по итогам турнира во всей стране""", """singleNews""": """Новое достижение! [Имя] [gender:1:стал|gender:2:стала] победителем турнира «Лизинг. Максимизируй сумму договоров».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</si>
  <si>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r_01_2025-1_16-1_1_2</t>
  </si>
  <si>
    <t>Серебро#по лизингу сумма договоров</t>
  </si>
  <si>
    <t>Войди в ТОП-10 участников в турнире Лизинг. Максимизируй сумму договоров на уровне всей страны</t>
  </si>
  <si>
    <t>{"""feature""": [], """nftFlg""": """N""", """outstanding""": """N""", """rewardRule""": """Бейдж получат ТОП-1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"""N""", """parentRewardCode""": """r_01_2025-1_00-1_2"""}</t>
  </si>
  <si>
    <t>r_01_2025-1_16-1_1_3</t>
  </si>
  <si>
    <t>Бронза#по лизингу сумма договоров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</si>
  <si>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["""MNS"""], """recommendationLevel""": """NON""", """priority""": """1""",  """masterBadge""": """Y""", """parentRewardCode""": """r_02_2025-1_00-1_1""", """seasonItem""": ["""SEASON_m_2025_1"""]}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</si>
  <si>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["""MNS"""], """recommendationLevel""": """NON""", """priority""": """2""",  """masterBadge""": """Y""", """parentRewardCode""": """r_02_2025-1_00-1_2""", """seasonItem""": ["""SEASON_m_2025_1"""]}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</si>
  <si>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["""MNS"""], """recommendationLevel""": """NON""", """priority""": """3""",  """masterBadge""": """Y""", """parentRewardCode""": """r_02_2025-1_00-1_3""", """seasonItem""": ["""SEASON_m_2025_1"""]}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</si>
  <si>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["""SERVICEMEN"""], """recommendationLevel""": """NON""", """priority""": """1""",  """masterBadge""": """Y""", """parentRewardCode""": """r_03_2025-0_00-1_1""", """seasonItem""": ["""SEASON_s_2025"""]}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</si>
  <si>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["""SERVICEMEN"""], """recommendationLevel""": """NON""", """priority""": """2""",  """masterBadge""": """Y""", """parentRewardCode""": """r_03_2025-0_00-1_2""", """seasonItem""": ["""SEASON_s_2025"""]}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</si>
  <si>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["""SERVICEMEN"""], """recommendationLevel""": """NON""", """priority""": """3""",  """masterBadge""": """Y""", """parentRewardCode""": """r_03_2025-0_00-1_3""", """seasonItem""": ["""SEASON_s_2025"""]}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</si>
  <si>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["""KMFACTORING"""], """recommendationLevel""": """NON""", """priority""": """1""",  """masterBadge""": """Y""", """parentRewardCode""": """r_04_2025-0_00-1_1""", """seasonItem""": ["""SEASON_f_2025"""]}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</si>
  <si>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["""KMFACTORING"""], """recommendationLevel""": """NON""", """priority""": """2""",  """masterBadge""": """Y""", """parentRewardCode""": """r_04_2025-0_00-1_2""", """seasonItem""": ["""SEASON_f_2025"""]}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</si>
  <si>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["""KMFACTORING"""], """recommendationLevel""": """NON""", """priority""": """3""",  """masterBadge""": """Y""", """parentRewardCode""": """r_04_2025-0_00-1_3""", """seasonItem""": ["""SEASON_f_2025"""]}</t>
  </si>
  <si>
    <t>Золото#в первенстве КМ Хантер по сумме лимитов реализованных сделок</t>
  </si>
  <si>
    <t>тут будет условие получения награды</t>
  </si>
  <si>
    <t>Серебро#в первенстве КМ Хантер по сумме лимитов реализованных сделок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</si>
  <si>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["""KMFACTORING"""], """recommendationLevel""": """NON""", """priority""": """2""",  """masterBadge""": """N""", """parentRewardCode""": """r_04_2025-0_00-1_2"""}</t>
  </si>
  <si>
    <t>Бронза#в первенстве КМ Хантер по сумме лимитов реализованных сделок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</si>
  <si>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["""KMFACTORING"""], """recommendationLevel""": """NON""", """priority""": """3""",  """masterBadge""": """N""", """parentRewardCode""": """r_04_2025-0_00-1_3"""}</t>
  </si>
  <si>
    <t>Золото#по приросту СДО новых денег среди МРБ</t>
  </si>
  <si>
    <t>Серебро#по приросту СДО новых денег среди МРБ</t>
  </si>
  <si>
    <t>Бронза#по приросту СДО новых денег среди МРБ</t>
  </si>
  <si>
    <t>Золото#по приросту СДО новых денег среди КМ с портфелем</t>
  </si>
  <si>
    <t>Серебро#по приросту СДО новых денег среди КМ с портфелем</t>
  </si>
  <si>
    <t>Бронза#по приросту СДО новых денег среди КМ с портфелем</t>
  </si>
  <si>
    <t>Золото#по производительности среди МС потоковых сделок</t>
  </si>
  <si>
    <t>Серебро#по производительности среди МС потоковых сделок</t>
  </si>
  <si>
    <t>Бронза#по производительности среди МС потоковых сделок</t>
  </si>
  <si>
    <t>Золото#по производительности среди МС индивидуальных сделок</t>
  </si>
  <si>
    <t>Серебро#по производительности среди МС индивидуальных сделок</t>
  </si>
  <si>
    <t>Бронза#по производительности среди МС индивидуальных сделок</t>
  </si>
  <si>
    <t>Золото#по производительности среди МС сделок изменений</t>
  </si>
  <si>
    <t>Серебро#по производительности среди МС сделок изменений</t>
  </si>
  <si>
    <t>Бронза#по производительности среди МС сделок изменений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</si>
  <si>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["""KMSB1"""], """recommendationLevel""": """NON""", """priority""": """1""",  """masterBadge""": """Y""", """parentRewardCode""": """r_05_2025-0_00-1_1""", """seasonItem""": ["""SEASON_kmsb1_2025"""]}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</si>
  <si>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["""KMSB1"""], """recommendationLevel""": """NON""", """priority""": """2""",  """masterBadge""": """Y""", """parentRewardCode""": """r_05_2025-0_00-1_2""", """seasonItem""": ["""SEASON_kmsb1_2025"""]}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</si>
  <si>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["""KMSB1"""], """recommendationLevel""": """NON""", """priority""": """3""",  """masterBadge""": """Y""", """parentRewardCode""": """r_05_2025-0_00-1_3""", """seasonItem""": ["""SEASON_kmsb1_2025"""]}</t>
  </si>
  <si>
    <t>Золото#по Турниру УКП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</si>
  <si>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стране""", """singleNews""": """Новое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стране""", """refreshOldNews""": """Y""", """businessBlock""": ["""KMSB1"""], """recommendationLevel""": """BANK""", """priority""": """1""",  """masterBadge""": """N""", """parentRewardCode""": """r_05_2025-0_00-1_1"""}</t>
  </si>
  <si>
    <t>Серебро#по Турниру УКП</t>
  </si>
  <si>
    <t>Бронза#по Турниру УКП</t>
  </si>
  <si>
    <t>Золото#по Турниру СФН</t>
  </si>
  <si>
    <t>Серебро#по Турниру СФН</t>
  </si>
  <si>
    <t>Бронза#по Турниру СФН</t>
  </si>
  <si>
    <t>Золото#по Турниру Брокера</t>
  </si>
  <si>
    <t>Серебро#по Турниру Брокера</t>
  </si>
  <si>
    <t>Бронза#по Турниру Брокера</t>
  </si>
  <si>
    <t>Золото#по Турниру СБСЖ</t>
  </si>
  <si>
    <t>Серебро#по Турниру СБСЖ</t>
  </si>
  <si>
    <t>Бронза#по Турниру СБСЖ</t>
  </si>
  <si>
    <t>Золото#по Турниру МРИЯ</t>
  </si>
  <si>
    <t>r_05_2025-0_18-5_1_2</t>
  </si>
  <si>
    <t>Серебро#по Турниру МРИЯ</t>
  </si>
  <si>
    <t>r_05_2025-0_18-5_1_3</t>
  </si>
  <si>
    <t>Бронза#по Турниру МРИЯ</t>
  </si>
  <si>
    <t>r_05_2025-0_18-6_1_1</t>
  </si>
  <si>
    <t>Золото#по Турниру Манжерок</t>
  </si>
  <si>
    <t>r_05_2025-0_18-6_1_2</t>
  </si>
  <si>
    <t>Серебро#по Турниру Манжерок</t>
  </si>
  <si>
    <t>r_05_2025-0_18-6_1_3</t>
  </si>
  <si>
    <t>Бронза#по Турниру Манжерок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</si>
  <si>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["""IMUB"""], """recommendationLevel""": """NON""", """priority""": """1""",  """masterBadge""": """Y""", """parentRewardCode""": """r_06_2025-0_00-1_1""", """seasonItem""": ["""SEASON_imub_2025"""]}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</si>
  <si>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["""IMUB"""], """recommendationLevel""": """NON""", """priority""": """2""",  """masterBadge""": """Y""", """parentRewardCode""": """r_06_2025-0_00-1_2""", """seasonItem""": ["""SEASON_imub_2025"""]}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</si>
  <si>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["""IMUB"""], """recommendationLevel""": """NON""", """priority""": """3""",  """masterBadge""": """Y""", """parentRewardCode""": """r_06_2025-0_00-1_3""", """seasonItem""": ["""SEASON_imub_2025"""]}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</si>
  <si>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стране""", """singleNews""": """Новое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стране""", """refreshOldNews""": """Y""", """businessBlock""": ["""IMUB"""], """recommendationLevel""": """BANK""", """priority""": """1""",  """masterBadge""": """N""", """parentRewardCode""": """r_06_2025-0_00-1_1"""}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</si>
  <si>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["""IMUB"""], """recommendationLevel""": """NON""", """priority""": """3""",  """masterBadge""": """N""", """parentRewardCode""": """r_06_2025-0_00-1_3"""}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</si>
  <si>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["""RNUB"""], """recommendationLevel""": """NON""", """priority""": """1""",  """masterBadge""": """Y""", """parentRewardCode""": """r_07_2025-0_00-1_1""", """seasonItem""": ["""SEASON_rnub_2025"""]}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</si>
  <si>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["""RNUB"""], """recommendationLevel""": """NON""", """priority""": """2""",  """masterBadge""": """Y""", """parentRewardCode""": """r_07_2025-0_00-1_2""", """seasonItem""": ["""SEASON_rnub_2025"""]}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</si>
  <si>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["""RNUB"""], """recommendationLevel""": """NON""", """priority""": """3""",  """masterBadge""": """Y""", """parentRewardCode""": """r_07_2025-0_00-1_3""", """seasonItem""": ["""SEASON_rnub_2025"""]}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</si>
  <si>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стране""", """singleNews""": """Новое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стране""", """refreshOldNews""": """Y""", """businessBlock""": ["""RNUB"""], """recommendationLevel""": """BANK""", """priority""": """1""",  """masterBadge""": """N""", """parentRewardCode""": """r_07_2025-0_00-1_1"""}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</si>
  <si>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["""RNUB"""], """recommendationLevel""": """NON""", """priority""": """3""",  """masterBadge""": """N""", """parentRewardCode""": """r_07_2025-0_00-1_3"""}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</si>
  <si>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["""RSB1"""], """recommendationLevel""": """NON""", """priority""": """1""",  """masterBadge""": """Y""", """parentRewardCode""": """r_08_2025-0_00-1_1""", """seasonItem""": ["""SEASON_rsb1_2025"""]}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</si>
  <si>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["""RSB1"""], """recommendationLevel""": """NON""", """priority""": """2""",  """masterBadge""": """Y""", """parentRewardCode""": """r_08_2025-0_00-1_2""", """seasonItem""": ["""SEASON_rsb1_2025"""]}</t>
  </si>
  <si>
    <t>{"""feature""": [], """nftFlg""": """N""", """outstanding""": """N""", """rewardRule""": """""", """rewardAgainGlobal""": """N""", """rewardAgainTournament""": """N""", """hidden""":"""N""", """fileName""": """""", """teamNews""": """""", """singleNews""": """""", """businessBlock""": ["""RSB1"""], """recommendationLevel""": """NON""", """priority""": """3""",  """masterBadge""": """Y""", """parentRewardCode""": """r_08_2025-0_00-1_3""", """seasonItem""": ["""SEASON_rsb1_2025"""]}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</si>
  <si>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стране""", """singleNews""": """Новое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стране""", """refreshOldNews""": """Y""", """businessBlock""": ["""RSB1"""], """recommendationLevel""": """BANK""", """priority""": """1""",  """masterBadge""": """N""", """parentRewardCode""": """r_08_2025-0_00-1_1"""}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</si>
  <si>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["""RSB1"""], """recommendationLevel""": """NON""", """priority""": """3""",  """masterBadge""": """N""", """parentRewardCode""": """r_08_2025-0_00-1_3"""}</t>
  </si>
  <si>
    <t>LEAGUEDEL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</si>
  <si>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</si>
  <si>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</si>
  <si>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</si>
  <si>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</si>
  <si>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</si>
  <si>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</si>
  <si>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</si>
  <si>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</si>
  <si>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</si>
  <si>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</si>
  <si>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</si>
  <si>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</si>
  <si>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</si>
  <si>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</si>
  <si>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</si>
  <si>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</si>
  <si>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</si>
  <si>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</si>
  <si>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</si>
  <si>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</si>
  <si>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</si>
  <si>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</si>
  <si>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</si>
  <si>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</si>
  <si>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</si>
  <si>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</si>
  <si>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</si>
  <si>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</si>
  <si>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</si>
  <si>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</si>
  <si>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</si>
  <si>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</si>
  <si>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</si>
  <si>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</si>
  <si>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</si>
  <si>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</si>
  <si>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</si>
  <si>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{"""feature""": ["""В зачет идут сделки, оформленные, начиная с 1 октября 2024 года""","""Информация обновляется еженедельно на основе отчета по продажам продуктов управления благосостояния"""], """nftFlg""": """N""", """outstanding""": """N""", """rewardRule""": """""", """rewardAgainGlobal""": """N""", """rewardAgainTournament""": """N""", """hidden""":"""N""", """fileName""": """""", """teamNews""": """&lt;span&gt;[Имя_Фамилия]&lt;/span&gt; и еще [n] [amount:менеджер] реализовали две сделки страхового продукта «Защита бизнеса 360». Поздравляем!""", """singleNews""": """Новое достижение! [Имя] [gender:1:реализовал|gender:2:реализовала] две сделки страхового продукта «Защита бизнеса 360». Поздравляем!""", """refreshOldNews""": """N""", """businessBlock""": ["""KMKKSB"""], """recommendationLevel""": """TB""", """priority""": """1""",  """masterBadge""": """Y""", """parentRewardCode""": """REWARD_47_01"""}</t>
  </si>
  <si>
    <t>{"""feature""": ["""Комиссия (ЧКД) за конверсию по Индии учитывается накопительно по операция с 01.01.2025 года по 31.12.2025 года""", """Бейдж можно получить только один раз за год""", """Факт получения бейджа попадает в ленту сообщества"""], """nftFlg""": """N""", """outstanding""": """N""", """rewardRule""": """""", """rewardAgainGlobal""": """N""", """rewardAgainTournament""": """N""", """hidden""":"""N""", """fileName""": """INDIA_COMMISSION_3M""", """teamNews""": """&lt;span&gt;[Имя_Фамилия]&lt;/span&gt; и еще [n] [amount:менеджер] заработали для банка по 3 млн руб. комиссии от импортных и экспортных сделок с индийскими контрагентами""", """singleNews""": """Новое достижение! [Имя] [gender:1:заработал|gender:2:заработала] для банка 3 млн руб. комиссии от импортных и экспортных сделок своих клиентов с индийскими контрагентами""", """businessBlock""": ["""KMKKSB"""], """recommendationLevel""": """TB""", """priority""": """1""",  """masterBadge""": """Y""", """parentRewardCode""": """r_01_2025-0_10-1_3"""}</t>
  </si>
  <si>
    <t>{"""feature""": ["""Комиссия (ЧКД) за конверсию по Индии учитывается накопительно по операция с 01.01.2025 года по 31.12.2025 года""", """Бейдж можно получить только один раз за год""", """Факт получения бейджа попадает в ленту сообщества""", """Обладателю бейджа будет выпущен цифровой токен в формате NFT"""], """nftFlg""": """Y""", """outstanding""": """Y""", """rewardRule""": """""", """rewardAgainGlobal""": """N""", """rewardAgainTournament""": """N""", """hidden""":"""N""", """fileName""": """INDIA_COMMISSION_3M""", """teamNews""": """&lt;span&gt;[Имя_Фамилия]&lt;/span&gt; и еще [n] [amount:менеджер] преодолели отметку в 10 млн руб. комиссии от импортных и экспортных сделок с индийскими контрагентами в 2025 году.""", """singleNews""": """Новое достижение! [Имя] [gender:1:преодолел|gender:2:преодолела] отметку в 10 млн руб. комиссии от импортных и экспортных сделок с индийскими контрагентами в 2025 году.""", """businessBlock""": ["""KMKKSB"""], """recommendationLevel""": """BANK""", """priority""": """1""",  """masterBadge""": """Y""", """parentRewardCode""": """r_01_2025-0_10-1_4"""}</t>
  </si>
  <si>
    <t>За активное участие в благотворительной программе «Одним сердцем» и поддержку социальных инициатив клиентов.</t>
  </si>
  <si>
    <t>{"""feature""": ["""Факт получения бейджа попадает в ленту сообщества"""], """nftFlg""": """Y""", """outstanding""": """Y""", """rewardRule""": """""", """rewardAgainGlobal""": """N""", """rewardAgainTournament""": """N""", """hidden""":"""N""", """fileName""": """""", """teamNews""": """&lt;span&gt;[Имя_Фамилия]&lt;/span&gt; и еще [n] сотрудника отмечены в проекте «Одним сердцем». Благодаря им фонд Сбера «Вклад в будущее» принял участие в финансировании благотворительных проектов клиентов корпоративного блока. Спасибо за неравнодушие и проявленную эмпатию!""", """singleNews""": """[Имя] [gender:1:отмечен|gender:2:отмечена] в проекте «Одним сердцем». Благодаря [gender:1:ему|gender:2:ей] фонд Сбера «Вклад в будущее» принял участие в финансировании благотворительных проектов клиентов корпоративного блока. Спасибо за неравнодушие и проявленную эмпатию!""", """businessBlock""": ["""KMKKSB"""], """recommendationLevel""": """BANK""", """priority""": """1""",  """masterBadge""": """Y""", """parentRewardCode""": """r_01_2025-1_01-6"""}</t>
  </si>
  <si>
    <t>ORG</t>
  </si>
  <si>
    <t>2025-01-16</t>
  </si>
  <si>
    <t>к-во REPORT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</si>
  <si>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["""KMSB1"""], """recommendationLevel""": """TB""", """priority""": """2""",  """masterBadge""": """N""", """parentRewardCode""": """r_05_2025-0_00-1_2"""}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</si>
  <si>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["""KMSB1"""], """recommendationLevel""": """GOSB""", """priority""": """3""",  """masterBadge""": """N""", """parentRewardCode""": """r_05_2025-0_00-1_3"""}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</si>
  <si>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["""IMUB"""], """recommendationLevel""": """TB""", """priority""": """2""",  """masterBadge""": """N""", """parentRewardCode""": """r_06_2025-0_00-1_2"""}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</si>
  <si>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["""RNUB"""], """recommendationLevel""": """TB""", """priority""": """2""",  """masterBadge""": """N""", """parentRewardCode""": """r_07_2025-0_00-1_2"""}</t>
  </si>
  <si>
    <t>{"""feature""": [], """nftFlg""": """N""", """outstanding""": """N""", """rewardRule""": """Бейдж получат 10% от числа участников турнира в тербанке""", """rewardAgainGlobal""": """Y""", """rewardAgainTournament""": """N""", """hidden""":"""N""", """fileName""": """""", """teamNews""": """""", """singleNews""": """""", """refreshOldNews""": """N""", """businessBlock""": ["""RSB1"""], """recommendationLevel""": """TB""", """priority""": """2""",  """masterBadge""": """N""", """parentRewardCode""": """r_08_2025-0_00-1_2"""}</t>
  </si>
  <si>
    <t>В турнире участвуют менеджеры СберПервый. \\nУчастники с лучшими положительными нетто-притокам по УК Первая в каждом тербанке согласно квотам станут победителями турнира!</t>
  </si>
  <si>
    <t>нетто-притоки, млн руб.</t>
  </si>
  <si>
    <t>В турнире участвуют менеджеры СберПервый. \\nТОП-1 участник в каждом тербанке с максимальной суммой сборов по продуктам СФН получит серебряную награду, а ТОП-5 участников по стране станут обладателями золота!</t>
  </si>
  <si>
    <t>сборы, млн руб.</t>
  </si>
  <si>
    <t>В турнире участвуют менеджеры СберПервый. \\nУчастники с лучшими положительными нетто-притокам по СБСЖ в каждом тербанке согласно квотам станут победителями турнира!</t>
  </si>
  <si>
    <t>В турнире участвуют Инвестиционные менеджеры Управления Балгосостояния. \\nУчастники с лучшими положительными нетто-притокам по УК Первая станут победителями турнира!</t>
  </si>
  <si>
    <t>В турнире участвуют Инвестиционные менеджеры Управления Балгосостояния. \\nТОП-2 участника с максимальной суммой сборов по продуктам СФН станут победителями турнира!</t>
  </si>
  <si>
    <t>В турнире участвуют Инвестиционные менеджеры Управления Балгосостояния. \\nТОП-3 участника с максимальным нетто-притоком по УЭР станут победителями турнира!</t>
  </si>
  <si>
    <t>В турнире участвуют руководители направления Управления благосостояния \\nУчастники с лучшими положительными нетто-притокам по УК Первая станут победителями турнира!</t>
  </si>
  <si>
    <t>В турнире участвуют руководители направления Управления благосостояния \\nЛучший участник с максимальной суммой сборов по продуктам СФН станет победителем турнира!</t>
  </si>
  <si>
    <t>В турнире участвуют Руководители ВИП-офисов СберПервого. \\nУчастники с лучшими положительными нетто-притокам по УК Первая станут победителями турнира!</t>
  </si>
  <si>
    <t>В турнире участвуют Руководители ВИП-офисов СберПервого. \\nТОП-5 участников с максимальной суммой сборов по продуктам СФН станут победителями турнира!</t>
  </si>
  <si>
    <t>В турнире участвуют Руководители ВИП-офисов СберПервого. \\nТОП-5 участника с максимальным нетто-притоком по УЭР станут победителями турнира!</t>
  </si>
  <si>
    <t>05_2025-0_18-1_1_TB</t>
  </si>
  <si>
    <t>05_2025-0_18-2_1_TB</t>
  </si>
  <si>
    <t>05_2025-0_18-4_1_TB</t>
  </si>
  <si>
    <t>05_2025-0_18-1_1_r_05_2025-0_18-1_1_1_TB</t>
  </si>
  <si>
    <t>05_2025-0_18-1_1_r_05_2025-0_18-1_1_2_TB</t>
  </si>
  <si>
    <t>05_2025-0_18-2_1_r_05_2025-0_18-2_1_1_TB</t>
  </si>
  <si>
    <t>05_2025-0_18-4_1_r_05_2025-0_18-4_1_1_TB</t>
  </si>
  <si>
    <t>05_2025-0_18-4_1_r_05_2025-0_18-4_1_2_TB</t>
  </si>
  <si>
    <t>RNUB</t>
  </si>
  <si>
    <t>IMUB</t>
  </si>
  <si>
    <t>RSB1</t>
  </si>
  <si>
    <t>KMSB1</t>
  </si>
  <si>
    <t>2025-02-17</t>
  </si>
  <si>
    <t>Участвуют клиентские менеджеры, которые второй месяц подряд (включая месяц проведения турнира) показывают положительный прирост остатка пассивов по своим клиентам. \\nПо итогам месяца в каждом ТБ победят менеджеры, вошедшие в 10% лучших по результату. Их ждет бронзовая награда. А ТОП-10 участников с наибольшими результатами во всей стране получат серебряные и золотые бейджи!</t>
  </si>
  <si>
    <t>ПОДВЕДЕНИЕ ИТОГОВ</t>
  </si>
  <si>
    <t>MOTIV_GOSB_CODE</t>
  </si>
  <si>
    <t>0000</t>
  </si>
  <si>
    <t>9056</t>
  </si>
  <si>
    <t>DM_GAMIFICATION_USER_ROLE</t>
  </si>
  <si>
    <t>RULE_NUM</t>
  </si>
  <si>
    <t>ROLE_CODE</t>
  </si>
  <si>
    <t>ROLE_NAME</t>
  </si>
  <si>
    <t>STAGE_ETALONE_CODE_ARR</t>
  </si>
  <si>
    <t>PERSON_NUMBER_ARR</t>
  </si>
  <si>
    <t>POST_ETALONE_CODE_ARR</t>
  </si>
  <si>
    <t>DIV_CODE_ARR</t>
  </si>
  <si>
    <t>EXCLUDE_DIV_CODE_ARR</t>
  </si>
  <si>
    <t>UCH_CODE</t>
  </si>
  <si>
    <t>KMKKSB</t>
  </si>
  <si>
    <t>128</t>
  </si>
  <si>
    <t>131</t>
  </si>
  <si>
    <t>134</t>
  </si>
  <si>
    <t>137</t>
  </si>
  <si>
    <t>140</t>
  </si>
  <si>
    <t>143</t>
  </si>
  <si>
    <t>146</t>
  </si>
  <si>
    <t>149</t>
  </si>
  <si>
    <t>152</t>
  </si>
  <si>
    <t>155</t>
  </si>
  <si>
    <t>158</t>
  </si>
  <si>
    <t>01_2025-0_08-2_4</t>
  </si>
  <si>
    <t>r_01_2025-0_08-2_4_1</t>
  </si>
  <si>
    <t>01_2025-0_08-2_4_r_01_2025-0_08-2_4_1_TB</t>
  </si>
  <si>
    <t>01_2025-0_08-2_4_TB</t>
  </si>
  <si>
    <t>05_2025-0_18-6_1_r_05_2025-0_18-6_1_1_BANK</t>
  </si>
  <si>
    <t>05_2025-0_18-6_1_BANK</t>
  </si>
  <si>
    <t>05_2025-0_18-7_1</t>
  </si>
  <si>
    <t>05_2025-0_18-7_1_BANK</t>
  </si>
  <si>
    <t>05_2025-0_18-7_2</t>
  </si>
  <si>
    <t>05_2025-0_18-7_2_BANK</t>
  </si>
  <si>
    <t>05_2025-0_18-7_3</t>
  </si>
  <si>
    <t>05_2025-0_18-7_3_BANK</t>
  </si>
  <si>
    <t>05_2025-0_18-7_4</t>
  </si>
  <si>
    <t>05_2025-0_18-7_4_BANK</t>
  </si>
  <si>
    <t>01_2025-0_18-7_1</t>
  </si>
  <si>
    <t>01_2025-0_18-7_1_BANK</t>
  </si>
  <si>
    <t>01_2025-0_18-7_2</t>
  </si>
  <si>
    <t>01_2025-0_18-7_2_BANK</t>
  </si>
  <si>
    <t>01_2025-0_18-7_3</t>
  </si>
  <si>
    <t>01_2025-0_18-7_3_BANK</t>
  </si>
  <si>
    <t>01_2025-0_18-7_4</t>
  </si>
  <si>
    <t>01_2025-0_18-7_4_BANK</t>
  </si>
  <si>
    <t>t_05_2025-0_18-6_1_2011</t>
  </si>
  <si>
    <t>05_2025-0_18-6_1_t_05_2025-0_18-6_1_2011</t>
  </si>
  <si>
    <t>t_05_2025-0_18-7_1_1001</t>
  </si>
  <si>
    <t>05_2025-0_18-7_1_t_05_2025-0_18-7_1_1001</t>
  </si>
  <si>
    <t>t_05_2025-0_18-7_2_1001</t>
  </si>
  <si>
    <t>05_2025-0_18-7_2_t_05_2025-0_18-7_2_1001</t>
  </si>
  <si>
    <t>t_05_2025-0_18-7_3_1001</t>
  </si>
  <si>
    <t>05_2025-0_18-7_3_t_05_2025-0_18-7_3_1001</t>
  </si>
  <si>
    <t>t_05_2025-0_18-7_4_1001</t>
  </si>
  <si>
    <t>05_2025-0_18-7_4_t_05_2025-0_18-7_4_1001</t>
  </si>
  <si>
    <t>t_01_2025-0_18-7_1_1001</t>
  </si>
  <si>
    <t>01_2025-0_18-7_1_t_01_2025-0_18-7_1_1001</t>
  </si>
  <si>
    <t>t_01_2025-0_18-7_2_1001</t>
  </si>
  <si>
    <t>01_2025-0_18-7_2_t_01_2025-0_18-7_2_1001</t>
  </si>
  <si>
    <t>t_01_2025-0_18-7_3_1001</t>
  </si>
  <si>
    <t>01_2025-0_18-7_3_t_01_2025-0_18-7_3_1001</t>
  </si>
  <si>
    <t>t_01_2025-0_18-7_4_1001</t>
  </si>
  <si>
    <t>01_2025-0_18-7_4_t_01_2025-0_18-7_4_1001</t>
  </si>
  <si>
    <t>Лотос у моря</t>
  </si>
  <si>
    <t>В турнире участвуют менеджеры СберПервого, реализовавшие путевки в СКК «МРИЯ» на сумму не менее 1 млн рублей. ТОП-15 участников с максимальным результатом станут победителями турнира.</t>
  </si>
  <si>
    <t>Загадка Алтая</t>
  </si>
  <si>
    <t>В турнире участвуют менеджеры СберПервого, реализовавшие путевки в ВК «Манжерок» на сумму не менее 1 млн рублей. ТОП-15 участников с максимальным результатом станут победителями турнира.</t>
  </si>
  <si>
    <t>1 клиент на пакет услуг</t>
  </si>
  <si>
    <t>Пакеты</t>
  </si>
  <si>
    <t>3 клиента на пакет услуг</t>
  </si>
  <si>
    <t>5 клиентов на пакет услуг</t>
  </si>
  <si>
    <t>10 клиентов на пакет услуг</t>
  </si>
  <si>
    <t>126</t>
  </si>
  <si>
    <t>127</t>
  </si>
  <si>
    <t>129</t>
  </si>
  <si>
    <t>130</t>
  </si>
  <si>
    <t>132</t>
  </si>
  <si>
    <t>133</t>
  </si>
  <si>
    <t>Привлеки 1 клиента на пакет услуг СберПервый</t>
  </si>
  <si>
    <t>Привлеки 3 клиента на пакет услуг СберПервый</t>
  </si>
  <si>
    <t>Привлеки 5 клиентов на пакет услуг СберПервый</t>
  </si>
  <si>
    <t>Привлеки 10 клиентов на пакет услуг СберПервый</t>
  </si>
  <si>
    <t>t_01_2025-0_08-2_4_2011</t>
  </si>
  <si>
    <t>01_2025-0_08-2_4_t_01_2025-0_08-2_4_2011</t>
  </si>
  <si>
    <t>PFIMIS_CUSTOMER_ID</t>
  </si>
  <si>
    <t>COUNT_DISTINCT</t>
  </si>
  <si>
    <t>ADD_CALC_CRITERION_2</t>
  </si>
  <si>
    <t>CRITERION_MARK_TYPE</t>
  </si>
  <si>
    <t>CRITERION_MARK_VALUE</t>
  </si>
  <si>
    <t>KPK_CODE</t>
  </si>
  <si>
    <t>KPK_NAME</t>
  </si>
  <si>
    <t>GENDER</t>
  </si>
  <si>
    <t>ORG_UNIT_CODE</t>
  </si>
  <si>
    <t>DM_GAMIFICATION_ORG_UNIT_V20</t>
  </si>
  <si>
    <t>110000001</t>
  </si>
  <si>
    <t>800004668</t>
  </si>
  <si>
    <t>10016678</t>
  </si>
  <si>
    <t>10293924</t>
  </si>
  <si>
    <t>10016696</t>
  </si>
  <si>
    <t>10016705</t>
  </si>
  <si>
    <t>10354601</t>
  </si>
  <si>
    <t>10016698</t>
  </si>
  <si>
    <t>10113562</t>
  </si>
  <si>
    <t>10016699</t>
  </si>
  <si>
    <t>10016695</t>
  </si>
  <si>
    <t>10016445</t>
  </si>
  <si>
    <t>10293489</t>
  </si>
  <si>
    <t>10016718</t>
  </si>
  <si>
    <t>10295881</t>
  </si>
  <si>
    <t>10016723</t>
  </si>
  <si>
    <t>10087096</t>
  </si>
  <si>
    <t>10016641</t>
  </si>
  <si>
    <t>10297711</t>
  </si>
  <si>
    <t>10297513</t>
  </si>
  <si>
    <t>10016438</t>
  </si>
  <si>
    <t>10353225</t>
  </si>
  <si>
    <t>10016634</t>
  </si>
  <si>
    <t>10037967</t>
  </si>
  <si>
    <t>10016635</t>
  </si>
  <si>
    <t>10164582</t>
  </si>
  <si>
    <t>10000367</t>
  </si>
  <si>
    <t>10290247</t>
  </si>
  <si>
    <t>10182580</t>
  </si>
  <si>
    <t>10182582</t>
  </si>
  <si>
    <t>10016629</t>
  </si>
  <si>
    <t>10016647</t>
  </si>
  <si>
    <t>10016649</t>
  </si>
  <si>
    <t>10016648</t>
  </si>
  <si>
    <t>10182583</t>
  </si>
  <si>
    <t>10265346</t>
  </si>
  <si>
    <t>10265143</t>
  </si>
  <si>
    <t>10016671</t>
  </si>
  <si>
    <t>10016650</t>
  </si>
  <si>
    <t>10182581</t>
  </si>
  <si>
    <t>10265572</t>
  </si>
  <si>
    <t>10016443</t>
  </si>
  <si>
    <t>10037179</t>
  </si>
  <si>
    <t>10299006</t>
  </si>
  <si>
    <t>10016633</t>
  </si>
  <si>
    <t>10083411</t>
  </si>
  <si>
    <t>10039796</t>
  </si>
  <si>
    <t>10016725</t>
  </si>
  <si>
    <t>10016640</t>
  </si>
  <si>
    <t>10266200</t>
  </si>
  <si>
    <t>10267152</t>
  </si>
  <si>
    <t>10016645</t>
  </si>
  <si>
    <t>10016423</t>
  </si>
  <si>
    <t>10108866</t>
  </si>
  <si>
    <t>10295911</t>
  </si>
  <si>
    <t>10038927</t>
  </si>
  <si>
    <t>10199468</t>
  </si>
  <si>
    <t>10199741</t>
  </si>
  <si>
    <t>10038642</t>
  </si>
  <si>
    <t>10016700</t>
  </si>
  <si>
    <t>10198065</t>
  </si>
  <si>
    <t>10038836</t>
  </si>
  <si>
    <t>10297137</t>
  </si>
  <si>
    <t>10016701</t>
  </si>
  <si>
    <t>10101758</t>
  </si>
  <si>
    <t>10295859</t>
  </si>
  <si>
    <t>10354600</t>
  </si>
  <si>
    <t>10337151</t>
  </si>
  <si>
    <t>10102240</t>
  </si>
  <si>
    <t>10102854</t>
  </si>
  <si>
    <t>10196938</t>
  </si>
  <si>
    <t>10197087</t>
  </si>
  <si>
    <t>10197395</t>
  </si>
  <si>
    <t>10197789</t>
  </si>
  <si>
    <t>10103881</t>
  </si>
  <si>
    <t>10107257</t>
  </si>
  <si>
    <t>10197516</t>
  </si>
  <si>
    <t>10193863</t>
  </si>
  <si>
    <t>10197647</t>
  </si>
  <si>
    <t>10197168</t>
  </si>
  <si>
    <t>10016441</t>
  </si>
  <si>
    <t>10295424</t>
  </si>
  <si>
    <t>10033835</t>
  </si>
  <si>
    <t>10016651</t>
  </si>
  <si>
    <t>10016642</t>
  </si>
  <si>
    <t>10016639</t>
  </si>
  <si>
    <t>10034502</t>
  </si>
  <si>
    <t>10016652</t>
  </si>
  <si>
    <t>10016636</t>
  </si>
  <si>
    <t>10086568</t>
  </si>
  <si>
    <t>10298976</t>
  </si>
  <si>
    <t>10263275</t>
  </si>
  <si>
    <t>10263631</t>
  </si>
  <si>
    <t>10086553</t>
  </si>
  <si>
    <t>10086573</t>
  </si>
  <si>
    <t>10086543</t>
  </si>
  <si>
    <t>10264012</t>
  </si>
  <si>
    <t>10086650</t>
  </si>
  <si>
    <t>10099906</t>
  </si>
  <si>
    <t>10086651</t>
  </si>
  <si>
    <t>10086652</t>
  </si>
  <si>
    <t>10016449</t>
  </si>
  <si>
    <t>10296390</t>
  </si>
  <si>
    <t>10016714</t>
  </si>
  <si>
    <t>10162314</t>
  </si>
  <si>
    <t>10123013</t>
  </si>
  <si>
    <t>10122604</t>
  </si>
  <si>
    <t>10035960</t>
  </si>
  <si>
    <t>10038415</t>
  </si>
  <si>
    <t>10214308</t>
  </si>
  <si>
    <t>10162311</t>
  </si>
  <si>
    <t>10000360</t>
  </si>
  <si>
    <t>ORG 20</t>
  </si>
  <si>
    <t>USER_ROLE</t>
  </si>
  <si>
    <t>01_2025-1_07-5_1</t>
  </si>
  <si>
    <t>01_2025-1_07-5_1_BANK</t>
  </si>
  <si>
    <t>01_2025-1_07-5_2</t>
  </si>
  <si>
    <t>01_2025-1_07-5_2_BANK</t>
  </si>
  <si>
    <t>01_2025-1_07-5_3</t>
  </si>
  <si>
    <t>01_2025-1_07-5_3_BANK</t>
  </si>
  <si>
    <t>02_2025-1_07-5_1</t>
  </si>
  <si>
    <t>02_2025-1_07-5_1_BANK</t>
  </si>
  <si>
    <t>02_2025-1_07-5_2</t>
  </si>
  <si>
    <t>02_2025-1_07-5_2_BANK</t>
  </si>
  <si>
    <t>02_2025-1_07-5_3</t>
  </si>
  <si>
    <t>02_2025-1_07-5_3_BANK</t>
  </si>
  <si>
    <t>02_2025-1_07-2_1</t>
  </si>
  <si>
    <t>02_2025-1_07-2_1_BANK</t>
  </si>
  <si>
    <t>02_2025-1_07-2_1_TB</t>
  </si>
  <si>
    <t>02_2025-1_07-1_1</t>
  </si>
  <si>
    <t>02_2025-1_07-1_1_BANK</t>
  </si>
  <si>
    <t>02_2025-1_07-1_1_TB</t>
  </si>
  <si>
    <t>02_2025-1_07-5_4</t>
  </si>
  <si>
    <t>02_2025-1_07-5_4_BANK</t>
  </si>
  <si>
    <t>02_2025-1_07-5_4_TB</t>
  </si>
  <si>
    <t>02_2025-1_07-7_1</t>
  </si>
  <si>
    <t>02_2025-1_07-7_1_BANK</t>
  </si>
  <si>
    <t>02_2025-1_07-7_1_TB</t>
  </si>
  <si>
    <t>02_2025-1_07-8_1</t>
  </si>
  <si>
    <t>02_2025-1_07-8_1_BANK</t>
  </si>
  <si>
    <t>02_2025-1_07-8_1_TB</t>
  </si>
  <si>
    <t>02_2025-1_07-9_1</t>
  </si>
  <si>
    <t>02_2025-1_07-9_1_BANK</t>
  </si>
  <si>
    <t>02_2025-1_07-9_1_TB</t>
  </si>
  <si>
    <t>01_2025-1_01-7_1</t>
  </si>
  <si>
    <t>01_2025-1_01-7_1_BANK</t>
  </si>
  <si>
    <t>01_2025-1_07-5_5</t>
  </si>
  <si>
    <t>01_2025-1_07-5_5_BANK</t>
  </si>
  <si>
    <t>01_2025-1_07-5_6</t>
  </si>
  <si>
    <t>01_2025-1_07-5_6_BANK</t>
  </si>
  <si>
    <t>01_2025-1_07-5_7</t>
  </si>
  <si>
    <t>01_2025-1_07-5_7_BANK</t>
  </si>
  <si>
    <t>02_2025-1_07-5_5</t>
  </si>
  <si>
    <t>02_2025-1_07-5_5_BANK</t>
  </si>
  <si>
    <t>02_2025-1_07-5_6</t>
  </si>
  <si>
    <t>02_2025-1_07-5_6_BANK</t>
  </si>
  <si>
    <t>02_2025-1_07-5_7</t>
  </si>
  <si>
    <t>02_2025-1_07-5_7_BANK</t>
  </si>
  <si>
    <t>01_2025-1_07-5_8</t>
  </si>
  <si>
    <t>01_2025-1_07-5_8_BANK</t>
  </si>
  <si>
    <t>01_2025-1_07-5_9</t>
  </si>
  <si>
    <t>01_2025-1_07-5_9_BANK</t>
  </si>
  <si>
    <t>01_2025-1_07-5_10</t>
  </si>
  <si>
    <t>01_2025-1_07-5_10_BANK</t>
  </si>
  <si>
    <t>02_2025-1_07-5_8</t>
  </si>
  <si>
    <t>02_2025-1_07-5_8_BANK</t>
  </si>
  <si>
    <t>02_2025-1_07-5_9</t>
  </si>
  <si>
    <t>02_2025-1_07-5_9_BANK</t>
  </si>
  <si>
    <t>02_2025-1_07-5_10</t>
  </si>
  <si>
    <t>02_2025-1_07-5_10_BANK</t>
  </si>
  <si>
    <t>r_01_2025-1_07-5_1</t>
  </si>
  <si>
    <t>01_2025-1_07-5_1_r_01_2025-1_07-5_1_BANK</t>
  </si>
  <si>
    <t>r_01_2025-1_07-5_2</t>
  </si>
  <si>
    <t>01_2025-1_07-5_2_r_01_2025-1_07-5_2_BANK</t>
  </si>
  <si>
    <t>r_01_2025-1_07-5_3</t>
  </si>
  <si>
    <t>01_2025-1_07-5_3_r_01_2025-1_07-5_3_BANK</t>
  </si>
  <si>
    <t>r_02_2025-1_07-5_1</t>
  </si>
  <si>
    <t>02_2025-1_07-5_1_r_02_2025-1_07-5_1_BANK</t>
  </si>
  <si>
    <t>r_02_2025-1_07-5_2</t>
  </si>
  <si>
    <t>02_2025-1_07-5_2_r_02_2025-1_07-5_2_BANK</t>
  </si>
  <si>
    <t>r_02_2025-1_07-5_3</t>
  </si>
  <si>
    <t>02_2025-1_07-5_3_r_02_2025-1_07-5_3_BANK</t>
  </si>
  <si>
    <t>r_02_2025-1_07-2_1_1</t>
  </si>
  <si>
    <t>02_2025-1_07-2_1_r_02_2025-1_07-2_1_1_BANK</t>
  </si>
  <si>
    <t>r_02_2025-1_07-2_1_2</t>
  </si>
  <si>
    <t>02_2025-1_07-2_1_r_02_2025-1_07-2_1_2_TB</t>
  </si>
  <si>
    <t>r_02_2025-1_07-2_1_3</t>
  </si>
  <si>
    <t>02_2025-1_07-2_1_r_02_2025-1_07-2_1_3_TB</t>
  </si>
  <si>
    <t>r_02_2025-1_07-1_1_1</t>
  </si>
  <si>
    <t>02_2025-1_07-1_1_r_02_2025-1_07-1_1_1_BANK</t>
  </si>
  <si>
    <t>r_02_2025-1_07-1_1_2</t>
  </si>
  <si>
    <t>02_2025-1_07-1_1_r_02_2025-1_07-1_1_2_TB</t>
  </si>
  <si>
    <t>r_02_2025-1_07-1_1_3</t>
  </si>
  <si>
    <t>02_2025-1_07-1_1_r_02_2025-1_07-1_1_3_TB</t>
  </si>
  <si>
    <t>r_02_2025-1_07-5_4_1</t>
  </si>
  <si>
    <t>02_2025-1_07-5_4_r_02_2025-1_07-5_4_1_BANK</t>
  </si>
  <si>
    <t>r_02_2025-1_07-5_4_2</t>
  </si>
  <si>
    <t>02_2025-1_07-5_4_r_02_2025-1_07-5_4_2_TB</t>
  </si>
  <si>
    <t>r_02_2025-1_07-5_4_3</t>
  </si>
  <si>
    <t>02_2025-1_07-5_4_r_02_2025-1_07-5_4_3_TB</t>
  </si>
  <si>
    <t>r_02_2025-1_07-7_1_1</t>
  </si>
  <si>
    <t>02_2025-1_07-7_1_r_02_2025-1_07-7_1_1_BANK</t>
  </si>
  <si>
    <t>r_02_2025-1_07-7_1_2</t>
  </si>
  <si>
    <t>02_2025-1_07-7_1_r_02_2025-1_07-7_1_2_TB</t>
  </si>
  <si>
    <t>r_02_2025-1_07-7_1_3</t>
  </si>
  <si>
    <t>02_2025-1_07-7_1_r_02_2025-1_07-7_1_3_TB</t>
  </si>
  <si>
    <t>r_02_2025-1_07-8_1_1</t>
  </si>
  <si>
    <t>02_2025-1_07-8_1_r_02_2025-1_07-8_1_1_BANK</t>
  </si>
  <si>
    <t>r_02_2025-1_07-8_1_2</t>
  </si>
  <si>
    <t>02_2025-1_07-8_1_r_02_2025-1_07-8_1_2_TB</t>
  </si>
  <si>
    <t>r_02_2025-1_07-8_1_3</t>
  </si>
  <si>
    <t>02_2025-1_07-8_1_r_02_2025-1_07-8_1_3_TB</t>
  </si>
  <si>
    <t>r_02_2025-1_07-9_1_1</t>
  </si>
  <si>
    <t>02_2025-1_07-9_1_r_02_2025-1_07-9_1_1_BANK</t>
  </si>
  <si>
    <t>r_02_2025-1_07-9_1_2</t>
  </si>
  <si>
    <t>02_2025-1_07-9_1_r_02_2025-1_07-9_1_2_TB</t>
  </si>
  <si>
    <t>r_02_2025-1_07-9_1_3</t>
  </si>
  <si>
    <t>02_2025-1_07-9_1_r_02_2025-1_07-9_1_3_TB</t>
  </si>
  <si>
    <t>r_01_2025-1_01-7_1_1</t>
  </si>
  <si>
    <t>01_2025-1_01-7_1_r_01_2025-1_01-7_1_1_BANK</t>
  </si>
  <si>
    <t>r_01_2025-1_07-5_5_1</t>
  </si>
  <si>
    <t>01_2025-1_07-5_5_r_01_2025-1_07-5_5_1_BANK</t>
  </si>
  <si>
    <t>r_01_2025-1_07-5_6_1</t>
  </si>
  <si>
    <t>01_2025-1_07-5_6_r_01_2025-1_07-5_6_1_BANK</t>
  </si>
  <si>
    <t>r_01_2025-1_07-5_7_1</t>
  </si>
  <si>
    <t>01_2025-1_07-5_7_r_01_2025-1_07-5_7_1_BANK</t>
  </si>
  <si>
    <t>r_02_2025-1_07-5_5_1</t>
  </si>
  <si>
    <t>02_2025-1_07-5_5_r_02_2025-1_07-5_5_1_BANK</t>
  </si>
  <si>
    <t>r_02_2025-1_07-5_6_1</t>
  </si>
  <si>
    <t>02_2025-1_07-5_6_r_02_2025-1_07-5_6_1_BANK</t>
  </si>
  <si>
    <t>r_02_2025-1_07-5_7_1</t>
  </si>
  <si>
    <t>02_2025-1_07-5_7_r_02_2025-1_07-5_7_1_BANK</t>
  </si>
  <si>
    <t>r_01_2025-1_07-5_8</t>
  </si>
  <si>
    <t>01_2025-1_07-5_8_r_01_2025-1_07-5_8_BANK</t>
  </si>
  <si>
    <t>r_01_2025-1_07-5_9</t>
  </si>
  <si>
    <t>01_2025-1_07-5_9_r_01_2025-1_07-5_9_BANK</t>
  </si>
  <si>
    <t>r_01_2025-1_07-5_10</t>
  </si>
  <si>
    <t>01_2025-1_07-5_10_r_01_2025-1_07-5_10_BANK</t>
  </si>
  <si>
    <t>r_02_2025-1_07-5_8</t>
  </si>
  <si>
    <t>02_2025-1_07-5_8_r_02_2025-1_07-5_8_BANK</t>
  </si>
  <si>
    <t>r_02_2025-1_07-5_9</t>
  </si>
  <si>
    <t>02_2025-1_07-5_9_r_02_2025-1_07-5_9_BANK</t>
  </si>
  <si>
    <t>r_02_2025-1_07-5_10</t>
  </si>
  <si>
    <t>02_2025-1_07-5_10_r_02_2025-1_07-5_10_BANK</t>
  </si>
  <si>
    <t>2025-03-04</t>
  </si>
  <si>
    <t>t_01_2025-1_09-1_1_3031</t>
  </si>
  <si>
    <t>2025-03-01</t>
  </si>
  <si>
    <t>01_2025-1_09-1_1_t_01_2025-1_09-1_1_3031</t>
  </si>
  <si>
    <t>t_01_2025-1_14-1_1_3031</t>
  </si>
  <si>
    <t>01_2025-1_14-1_1_t_01_2025-1_14-1_1_3031</t>
  </si>
  <si>
    <t>t_01_2025-1_02-1_1_3031</t>
  </si>
  <si>
    <t>01_2025-1_02-1_1_t_01_2025-1_02-1_1_3031</t>
  </si>
  <si>
    <t>t_01_2025-1_02-2_2_3031</t>
  </si>
  <si>
    <t>01_2025-1_02-2_2_t_01_2025-1_02-2_2_3031</t>
  </si>
  <si>
    <t>t_01_2025-1_05-1_1_3031</t>
  </si>
  <si>
    <t>01_2025-1_05-1_1_t_01_2025-1_05-1_1_3031</t>
  </si>
  <si>
    <t>t_01_2025-1_08-1_1_3031</t>
  </si>
  <si>
    <t>01_2025-1_08-1_1_t_01_2025-1_08-1_1_3031</t>
  </si>
  <si>
    <t>t_01_2025-1_07-5_1_4001</t>
  </si>
  <si>
    <t>2025-07-31</t>
  </si>
  <si>
    <t>2025-08-25</t>
  </si>
  <si>
    <t>01_2025-1_07-5_1_t_01_2025-1_07-5_1_4001</t>
  </si>
  <si>
    <t>t_01_2025-1_07-5_2_4001</t>
  </si>
  <si>
    <t>01_2025-1_07-5_2_t_01_2025-1_07-5_2_4001</t>
  </si>
  <si>
    <t>t_01_2025-1_07-5_3_4001</t>
  </si>
  <si>
    <t>01_2025-1_07-5_3_t_01_2025-1_07-5_3_4001</t>
  </si>
  <si>
    <t>t_02_2025-1_07-5_1_4001</t>
  </si>
  <si>
    <t>02_2025-1_07-5_1_t_02_2025-1_07-5_1_4001</t>
  </si>
  <si>
    <t>t_02_2025-1_07-5_2_4001</t>
  </si>
  <si>
    <t>02_2025-1_07-5_2_t_02_2025-1_07-5_2_4001</t>
  </si>
  <si>
    <t>t_02_2025-1_07-5_3_4001</t>
  </si>
  <si>
    <t>02_2025-1_07-5_3_t_02_2025-1_07-5_3_4001</t>
  </si>
  <si>
    <t>t_02_2025-1_07-2_1_2011</t>
  </si>
  <si>
    <t>02_2025-1_07-2_1_t_02_2025-1_07-2_1_2011</t>
  </si>
  <si>
    <t>t_02_2025-1_07-1_1_2011</t>
  </si>
  <si>
    <t>02_2025-1_07-1_1_t_02_2025-1_07-1_1_2011</t>
  </si>
  <si>
    <t>t_02_2025-1_07-5_4_2011</t>
  </si>
  <si>
    <t>02_2025-1_07-5_4_t_02_2025-1_07-5_4_2011</t>
  </si>
  <si>
    <t>t_02_2025-1_07-7_1_2011</t>
  </si>
  <si>
    <t>02_2025-1_07-7_1_t_02_2025-1_07-7_1_2011</t>
  </si>
  <si>
    <t>t_02_2025-1_07-8_1_2011</t>
  </si>
  <si>
    <t>02_2025-1_07-8_1_t_02_2025-1_07-8_1_2011</t>
  </si>
  <si>
    <t>t_02_2025-1_07-9_1_2011</t>
  </si>
  <si>
    <t>02_2025-1_07-9_1_t_02_2025-1_07-9_1_2011</t>
  </si>
  <si>
    <t>t_01_2025-1_01-7_1_4001</t>
  </si>
  <si>
    <t>2025-07-25</t>
  </si>
  <si>
    <t>01_2025-1_01-7_1_t_01_2025-1_01-7_1_4001</t>
  </si>
  <si>
    <t>t_01_2025-1_07-5_5_4001</t>
  </si>
  <si>
    <t>01_2025-1_07-5_5_t_01_2025-1_07-5_5_4001</t>
  </si>
  <si>
    <t>t_01_2025-1_07-5_6_4001</t>
  </si>
  <si>
    <t>01_2025-1_07-5_6_t_01_2025-1_07-5_6_4001</t>
  </si>
  <si>
    <t>t_01_2025-1_07-5_7_4001</t>
  </si>
  <si>
    <t>01_2025-1_07-5_7_t_01_2025-1_07-5_7_4001</t>
  </si>
  <si>
    <t>t_02_2025-1_07-5_5_4001</t>
  </si>
  <si>
    <t>02_2025-1_07-5_5_t_02_2025-1_07-5_5_4001</t>
  </si>
  <si>
    <t>t_02_2025-1_07-5_6_4001</t>
  </si>
  <si>
    <t>02_2025-1_07-5_6_t_02_2025-1_07-5_6_4001</t>
  </si>
  <si>
    <t>t_02_2025-1_07-5_7_4001</t>
  </si>
  <si>
    <t>02_2025-1_07-5_7_t_02_2025-1_07-5_7_4001</t>
  </si>
  <si>
    <t>t_01_2025-1_07-5_8_4001</t>
  </si>
  <si>
    <t>01_2025-1_07-5_8_t_01_2025-1_07-5_8_4001</t>
  </si>
  <si>
    <t>t_01_2025-1_07-5_9_4001</t>
  </si>
  <si>
    <t>01_2025-1_07-5_9_t_01_2025-1_07-5_9_4001</t>
  </si>
  <si>
    <t>t_01_2025-1_07-5_10_4001</t>
  </si>
  <si>
    <t>01_2025-1_07-5_10_t_01_2025-1_07-5_10_4001</t>
  </si>
  <si>
    <t>t_02_2025-1_07-5_8_4001</t>
  </si>
  <si>
    <t>02_2025-1_07-5_8_t_02_2025-1_07-5_8_4001</t>
  </si>
  <si>
    <t>t_02_2025-1_07-5_9_4001</t>
  </si>
  <si>
    <t>02_2025-1_07-5_9_t_02_2025-1_07-5_9_4001</t>
  </si>
  <si>
    <t>t_02_2025-1_07-5_10_4001</t>
  </si>
  <si>
    <t>02_2025-1_07-5_10_t_02_2025-1_07-5_10_4001</t>
  </si>
  <si>
    <t>1 млн руб по Process Mining</t>
  </si>
  <si>
    <t>1000000</t>
  </si>
  <si>
    <t>1 млн руб по Навигатор BI</t>
  </si>
  <si>
    <t>250 тыс. руб. по СберИндексПро</t>
  </si>
  <si>
    <t>250000</t>
  </si>
  <si>
    <t>5 млн руб. по Process Mining</t>
  </si>
  <si>
    <t>5000000</t>
  </si>
  <si>
    <t>5 млн руб. по Навигатор BI</t>
  </si>
  <si>
    <t>500 тыс. руб. по СберИндексПро</t>
  </si>
  <si>
    <t>Лидер по продажам продуктов HR направления</t>
  </si>
  <si>
    <t>HR</t>
  </si>
  <si>
    <t>Лидер по продажам продуктов IT направления</t>
  </si>
  <si>
    <t>IT</t>
  </si>
  <si>
    <t>Лидер по продажам продуктов COM направления</t>
  </si>
  <si>
    <t>COM</t>
  </si>
  <si>
    <t>Марафон исследований</t>
  </si>
  <si>
    <t>Станьте частью увлекательного турнира для клиентских менеджеров ККСБ! Участвуйте в опросах, интервью и фокус-группах, чтобы поделиться своим мнением и опытом. \\nКаждая активность приносит баллы, которые открывают путь к победе и ценным призам! \\nЧтобы принять участие, следите за приглашениями от research_efs_kksb@sberbank.ru</t>
  </si>
  <si>
    <t>Исследование</t>
  </si>
  <si>
    <t>Process Mining. Максимизируй комиссию</t>
  </si>
  <si>
    <t>Чтобы стать участником, необходимо за время турнира закрыть как минимум одну сделку по продукту Process Mining. Лучшие ТОП-10 участников по сумме сделок станут победителями турнира и получат свои награды!</t>
  </si>
  <si>
    <t>Навигатор BI. Максимизируй комиссию</t>
  </si>
  <si>
    <t>Чтобы стать участником, необходимо за время турнира закрыть как минимум одну сделку по продукту Навигатор BI. 10 лучших участников по объему сделок станут победителями турнира и получат свои награды!</t>
  </si>
  <si>
    <t>СберИндексПро. Максимизируй комиссию</t>
  </si>
  <si>
    <t>Чтобы стать участником, необходимо за время турнира закрыть как минимум одну сделку по продукту СберИндекПро. Лучшие ТОП-5 участников по объему сделок станут победителями турнира и получат свои награды!</t>
  </si>
  <si>
    <t>Чтобы стать участником, необходимо за время турнира закрыть как минимум одну сделку по продукту Process Mining. Лучшие ТОП-5 участников по сумме сделок станут победителями турнира и получат свои награды!</t>
  </si>
  <si>
    <t>Чтобы стать участником, необходимо за время турнира закрыть как минимум одну сделку по продукту Навигатор BI. 5 лучших участников по объему сделок станут победителями турнира и получат свои награды!</t>
  </si>
  <si>
    <t>2 клиента по Process Mining</t>
  </si>
  <si>
    <t>2 клиента по Навигатор BI</t>
  </si>
  <si>
    <t>2 клиента по СберИндексПро</t>
  </si>
  <si>
    <t>3 клиента по Process Mining</t>
  </si>
  <si>
    <t>3 клиента по Навигатор BI</t>
  </si>
  <si>
    <t>135</t>
  </si>
  <si>
    <t>136</t>
  </si>
  <si>
    <t>139</t>
  </si>
  <si>
    <t>141</t>
  </si>
  <si>
    <t>142</t>
  </si>
  <si>
    <t>147</t>
  </si>
  <si>
    <t>148</t>
  </si>
  <si>
    <t>150</t>
  </si>
  <si>
    <t>151</t>
  </si>
  <si>
    <t>153</t>
  </si>
  <si>
    <t>154</t>
  </si>
  <si>
    <t>156</t>
  </si>
  <si>
    <t>157</t>
  </si>
  <si>
    <t>159</t>
  </si>
  <si>
    <t>{"""feature""": ["""Сертификат будет направлен Вам в течение первого квартала на рабочую почту""", """Согласно законодательству РФ не облагаются налогом подарки до 4 тыс. руб. С суммы превышения будет удержано 13% при расчёте зарплаты"""], """itemFeature""": ["""Сертификат будет направлен Вам в течение первого квартала на рабочую почту""", """Согласно законодательству РФ не облагаются налогом подарки до 4 тыс. руб. С суммы превышения будет удержано 13% при расчёте зарплаты"""], """nftFlg""": """N""", """outstanding""": """N""", """rewardRule""": """Сертификат будет направлен Вам в течение первого квартала на рабочую почту.""",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"""ITEM_04"""}, {"""nonRewardCode""": """ITEM_05"""}], """employeeRating""": {"""minRatingBANK""": """""", """minRatingTB""": """""", """minRatingGOSB""": """1""", """minCrystalEarnedTotal""": """""", """seasonCode""": """SEASON_2024"""}}, """itemGroupAmount""": [],  """isGroupingTitle""": """""",  """isGroupingTultip""": """""", """itemAmount""": """110""", """isGrouping""": """N""", """isGroupingName""": """SberShop""",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</si>
  <si>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{"""feature""": [], """itemFeature""": [], """nftFlg""": """N""", """outstanding""": """N""", """rewardRule""": """Колонку пришлют по почте прямо к Вашему рабочему месту, указанному в справочнике до конца 2024 года.""", """rewardAgainGlobal""": """N""", """rewardAgainTournament""": """N""", """hidden""":"""N""", """fileName""": """""", """teamNews""": """""", """singleNews""": """""", """refreshOldNews""": """N""", """businessBlock""": ["""KMKKSB"""], """getCondition""": {"""rewards""":[{"""rewardCode""": """REWARD_31_01""","""amount""": "1"}], """nonRewards""": [], """employeeRating""": {"""minRatingBANK""": """""", """minRatingTB""": """""", """minRatingGOSB""": """""", """minCrystalEarnedTotal""": """10""", """seasonCode""": """SEASON_2024"""}}, """itemGroupAmount""": [],  """isGroupingTitle""": """""",  """isGroupingTultip""": """""", """itemAmount""": """103""", """isGrouping""": """N""", """isGroupingName""": """гаджет""", """itemMinShow""": """5""", """itemLimitCount""": """1""", """itemLimitPeriod""": """once""", """seasonItem""": [], """bookingRequired""": """Y""", """deliveryRequired""": """Y""", """commingSoon""": """N""", """ignoreConditions""": []}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</si>
  <si>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"""N""",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“Максимальный полученный доход от продажи продуктов СберЗдоровье”. Они показали лучший результат в стране""", """singleNews""": """Новое достижение! [Имя] [gender:1:стал|gender:2:стала] победителем турнира “Максимальный полученный доход от продажи продуктов СберЗдоровье”. [gender:1:Он|gender:2:Она] [gender:1:показал|gender:2:показала] лучший результат в стране""", """businessBlock""": ["""MNS"""], """recommendationLevel""": """BANK""", """priority""": """1""",  """masterBadge""": """Y""", """parentRewardCode""": """REWARD_23_04"""}</t>
  </si>
  <si>
    <t>{"""feature""": ["""Факт получения бейджа попадает в ленту сообщества"""], """nftFlg""": """N""", """outstanding""": """N""",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нефинансовых сервисов стали победителями турнира «МНС. Увеличиваем влияние на ЧОД по продуктам экосистемы». Они показали лучший результат по итогам турнира во всей стране""", """singleNews""": """Новое достижение! [Имя] [gender:1:стал|gender:2:стала] победителем турнира «МНС. Увеличиваем влияние на ЧОД по продуктам экосистемы». [gender:1:Он|gender:2:Она] [gender:1:показал|gender:2:показала] лучший результат по итогам турнира во всей стране""", """refreshOldNews""": """Y""", """businessBlock""": ["""MNS"""], """recommendationLevel""": """BANK""", """priority""": """1""",  """masterBadge""": """Y""", """parentRewardCode""": """REWARD_m_01_04"""}</t>
  </si>
  <si>
    <t>{"""feature""": [], """nftFlg""": """N""", """outstanding""": """N""", """rewardRule""": """Бейдж получат ТОП-3 участников турнира по всей стране""", """rewardAgainGlobal""": """Y""", """rewardAgainTournament""": """N""", """hidden""":"""N""", """fileName""": """""", """teamNews""": """&lt;span&gt;[Имя_Фамилия]&lt;/span&gt; и еще [n] [amount:менеджер] нефинансовых сервисов стали победителями турнира «Экосистема. Лидер по числу сделок». Они показали лучший результат по итогам турнира во всей стране""", """singleNews""": """Новое достижение! [Имя] [gender:1:стал|gender:2:стала] победителем турнира «Экосистема. Лидер по числу сделок». [gender:1:Он|gender:2:Она] [gender:1:показал|gender:2:показала] лучший результат по итогам турнира во всей стране""", """refreshOldNews""": """N""", """businessBlock""": ["""MNS"""], """recommendationLevel""": """BANK""", """priority""": """1""",  """masterBadge""": """Y""", """parentRewardCode""": """REWARD_m_03_04"""}</t>
  </si>
  <si>
    <t>{"""feature""": [], """nftFlg""": """N""", """outstanding""": """N""", """rewardRule""": """Бейдж получит участник с наилучшим результатом в турнире по всей стране""", """rewardAgainGlobal""": """Y""", """rewardAgainTournament""": """N""", """hidden""":"""N""", """fileName""": """""", """teamNews""": """&lt;span&gt;[Имя_Фамилия]&lt;/span&gt; и еще [n] [amount:менеджер] нефинансовых сервисов стали победителями турнира «Лидер по продаже образовательных услуг». Они показали лучший результат по итогам турнира во всей стране""", """singleNews""": """Новое достижение! [Имя] [gender:1:стал|gender:2:стала] победителем турнира «Лидер по продаже образовательных услуг». [gender:1:Он|gender:2:Она] [gender:1:показал|gender:2:показала] лучший результат по итогам турнира во всей стране""", """refreshOldNews""": """N""", """businessBlock""": ["""MNS"""], """recommendationLevel""": """BANK""", """priority""": """1""",  """masterBadge""": """Y""", """parentRewardCode""": """REWARD_m_04_04"""}</t>
  </si>
  <si>
    <t>{"""feature""": [], """nftFlg""": """N""", """outstanding""": """N""", """rewardRule""": """Бейдж получит участник с наилучшим результатом в турнире по всей стране""", """rewardAgainGlobal""": """Y""", """rewardAgainTournament""": """N""", """hidden""":"""N""", """fileName""": """""", """teamNews""": """&lt;span&gt;[Имя_Фамилия]&lt;/span&gt; и еще [n] [amount:менеджер] нефинансовых сервисов стали победителями турнира «Лидер по продажам RAIT-продуктов». Они показали лучший результат по итогам турнира во всей стране""", """singleNews""": """Новое достижение! [Имя] [gender:1:стал|gender:2:стала] победителем турнира «Лидер по продажам RAIT-продуктов». [gender:1:Он|gender:2:Она] [gender:1:показал|gender:2:показала] лучший результат по итогам турнира во всей стране""", """refreshOldNews""": """N""", """businessBlock""": ["""MNS"""], """recommendationLevel""": """BANK""", """priority""": """1""",  """masterBadge""": """Y""", """parentRewardCode""": """REWARD_m_05_04"""}</t>
  </si>
  <si>
    <t>{"""feature""": [], """nftFlg""": """N""", """outstanding""": """N""", """rewardRule""": """Бейдж получит участник с наилучшим результатом в турнире по всей стране""", """rewardAgainGlobal""": """Y""", """rewardAgainTournament""": """N""", """hidden""":"""N""", """fileName""": """""", """teamNews""": """&lt;span&gt;[Имя_Фамилия]&lt;/span&gt; и еще [n] [amount:менеджер] нефинансовых сервисов стали победителями турнира «Лидер по продажам продуктов AI-native». Они показали лучший результат по итогам турнира во всей стране""", """singleNews""": """Новое достижение! [Имя] [gender:1:стал|gender:2:стала] победителем турнира «Лидер по продажам продуктов AI-native». [gender:1:Он|gender:2:Она] [gender:1:показал|gender:2:показала] лучший результат по итогам турнира во всей стране""", """refreshOldNews""": """N""", """businessBlock""": ["""MNS"""], """recommendationLevel""": """BANK""", """priority""": """1""",  """masterBadge""": """Y""", """parentRewardCode""": """REWARD_m_06_04"""}</t>
  </si>
  <si>
    <t>{"""feature""": [], """nftFlg""": """N""", """outstanding""": """N""", """rewardRule""": """Бейдж получит участник с наилучшим результатом в турнире по всей стране""", """rewardAgainGlobal""": """Y""", """rewardAgainTournament""": """N""", """hidden""":"""N""", """fileName""": """""", """teamNews""": """&lt;span&gt;[Имя_Фамилия]&lt;/span&gt; и еще [n] [amount:менеджер] нефинансовых сервисов стали победителями турнира «Лидер по продажам продуктов AI-featured». Они показали лучший результат по итогам турнира во всей стране""", """singleNews""": """Новое достижение! [Имя] [gender:1:стал|gender:2:стала] победителем турнира «Лидер по продажам продуктов AI-featured». [gender:1:Он|gender:2:Она] [gender:1:показал|gender:2:показала] лучший результат по итогам турнира во всей стране""", """refreshOldNews""": """N""", """businessBlock""": ["""MNS"""], """recommendationLevel""": """BANK""", """priority""": """1""",  """masterBadge""": """Y""", """parentRewardCode""": """REWARD_m_07_04"""}</t>
  </si>
  <si>
    <t>Защита 360. Накопи 500 тыс. рублей</t>
  </si>
  <si>
    <t>Золотой бейдж можно получить, одержав победу в любом турнире сезона</t>
  </si>
  <si>
    <t>Серебряный бейдж можно получить, одержав победу в любом турнире сезона</t>
  </si>
  <si>
    <t>Бронзовый бейдж можно получить, одержав победу в любом турнире сезона</t>
  </si>
  <si>
    <t>Золото#по марафону исследований</t>
  </si>
  <si>
    <t>описание бейджа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</si>
  <si>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«Марафон исследований». Они показали лучший результат по итогам турнира во всей стране и внесли свой вклад в развитие системы ЕФС.Наш бизнес""", """singleNews""": """Новое достижение! [Имя] [gender:1:стал|gender:2:стала] победителем турнира «Марафон исследований». [gender:1:Он|gender:2:Она] [gender:1:показал|gender:2:показала] лучший результат по итогам турнира во всей стране и [gender:1:внес|gender:2:внесла] свой вклад в развитие системы ЕФС.Наш бизнес""", """refreshOldNews""": """Y""", """businessBlock""": ["""KMKKSB"""], """recommendationLevel""": """BANK""", """priority""": """1""",  """masterBadge""": """N""", """parentRewardCode""": """r_01_2025-1_00-1_1"""}</t>
  </si>
  <si>
    <t>r_01_2025-1_01-7_1_2</t>
  </si>
  <si>
    <t>Серебро#по марафону исследований</t>
  </si>
  <si>
    <t>r_01_2025-1_01-7_1_3</t>
  </si>
  <si>
    <t>Бронза#по марафону исследований</t>
  </si>
  <si>
    <t>1 млн руб. по Process Mining</t>
  </si>
  <si>
    <t>2 клиента СберИндексПро</t>
  </si>
  <si>
    <t>Заключите сделки с двумя клиентами по продукту СберИндексПро и получите награду.</t>
  </si>
  <si>
    <t>1 млн руб. по Навигатор BI</t>
  </si>
  <si>
    <t>Золото#Process Mining. Максимизируй комиссию</t>
  </si>
  <si>
    <t>r_01_2025-1_07-5_5_2</t>
  </si>
  <si>
    <t>Серебро#Process Mining. Максимизируй комиссию</t>
  </si>
  <si>
    <t>r_01_2025-1_07-5_5_3</t>
  </si>
  <si>
    <t>Бронза#Process Mining. Максимизируй комиссию</t>
  </si>
  <si>
    <t>Золото#Навигатора BI. Максимизируй комиссию</t>
  </si>
  <si>
    <t>r_01_2025-1_07-5_6_2</t>
  </si>
  <si>
    <t>Серебро#Навигатора BI. Максимизируй комиссию</t>
  </si>
  <si>
    <t>r_01_2025-1_07-5_6_3</t>
  </si>
  <si>
    <t>Бронза#Навигатора BI. Максимизируй комиссию</t>
  </si>
  <si>
    <t>Золото#СберИндексПро. Максимизируй комиссию</t>
  </si>
  <si>
    <t>r_01_2025-1_07-5_7_2</t>
  </si>
  <si>
    <t>Серебро#СберИндексПро. Максимизируй комиссию</t>
  </si>
  <si>
    <t>r_01_2025-1_07-5_7_3</t>
  </si>
  <si>
    <t>Бронза#СберИндексПро. Максимизируй комиссию</t>
  </si>
  <si>
    <t>2 клиента Process Mining</t>
  </si>
  <si>
    <t>Заключите сделки с двумя клиентами по продукту Process Mining и получите награду.</t>
  </si>
  <si>
    <t>2 клиента Навигатора BI</t>
  </si>
  <si>
    <t>Заключите сделки с двумя клиентами по продукту Навигатор BI и получите награду.</t>
  </si>
  <si>
    <t>Золото#по числу сделок экосистемы</t>
  </si>
  <si>
    <t>Серебро#по числу сделок экосистемы</t>
  </si>
  <si>
    <t>{"""feature""": [], """nftFlg""": """N""", """outstanding""": """N""", """rewardRule""": """Бейдж получат ТОП-3 от числа участников турнира в каждом тербанке""", """rewardAgainGlobal""": """Y""", """rewardAgainTournament""": """N""", """hidden""":"""N""", """fileName""": """""", """teamNews""": """""", """singleNews""": """""", """businessBlock""": ["""MNS"""], """recommendationLevel""": """TB""", """priority""": """2""",  """masterBadge""": """N""", """parentRewardCode""": """r_02_2025-1_00-1_2"""}</t>
  </si>
  <si>
    <t>Бронза#по числу сделок экосистемы</t>
  </si>
  <si>
    <t>{"""feature""": [], """nftFlg""": """N""", """outstanding""": """N""", """rewardRule""": """Бейдж получат ТОП-3 от числа участников турнира в подразделении""", """rewardAgainGlobal""": """Y""", """rewardAgainTournament""": """N""", """hidden""":"""N""", """fileName""": """""", """teamNews""": """""", """singleNews""": """""", """businessBlock""": ["""MNS"""], """recommendationLevel""": """GOSB""", """priority""": """3""",  """masterBadge""": """N""", """parentRewardCode""": """r_02_2025-1_00-1_3"""}</t>
  </si>
  <si>
    <t>Золото#по СберЗдоровью</t>
  </si>
  <si>
    <t>Серебро#по СберЗдоровью</t>
  </si>
  <si>
    <t>Бронза#по СберЗдоровью</t>
  </si>
  <si>
    <t>Золото#по продажам продуктов AI-native</t>
  </si>
  <si>
    <t>Серебро#по продажам продуктов AI-native</t>
  </si>
  <si>
    <t>Бронза#по продажам продуктов AI-native</t>
  </si>
  <si>
    <t>r_02_2025-1_07-5_5_2</t>
  </si>
  <si>
    <t>r_02_2025-1_07-5_5_3</t>
  </si>
  <si>
    <t>r_02_2025-1_07-5_6_2</t>
  </si>
  <si>
    <t>r_02_2025-1_07-5_6_3</t>
  </si>
  <si>
    <t>r_02_2025-1_07-5_7_2</t>
  </si>
  <si>
    <t>r_02_2025-1_07-5_7_3</t>
  </si>
  <si>
    <t>3 клиента Process Mining</t>
  </si>
  <si>
    <t>Заключите сделки с тремя клиентами по продукту Process Mining и получите награду.</t>
  </si>
  <si>
    <t>3 клиента Навигатор BI</t>
  </si>
  <si>
    <t>Заключите сделки с тремя клиентами по продукту Навигатор BI и получите награду.</t>
  </si>
  <si>
    <t>Золото#по продуктам HR</t>
  </si>
  <si>
    <t>Серебро#по продуктам HR</t>
  </si>
  <si>
    <t>Бронза#по продуктам HR</t>
  </si>
  <si>
    <t>Золото#по продуктам IT</t>
  </si>
  <si>
    <t>Серебро#по продуктам IT</t>
  </si>
  <si>
    <t>Бронза#по продуктам IT</t>
  </si>
  <si>
    <t>Золото#по продуктам COM</t>
  </si>
  <si>
    <t>Серебро#по продуктам COM</t>
  </si>
  <si>
    <t>Бронза#по продуктам COM</t>
  </si>
  <si>
    <t>*</t>
  </si>
  <si>
    <t>01_2025-1_02-1_2</t>
  </si>
  <si>
    <t>01_2025-1_02-1_2_TB</t>
  </si>
  <si>
    <t>r_01_2025-1_02-1_2_1</t>
  </si>
  <si>
    <t>r_01_2025-1_02-1_2_2</t>
  </si>
  <si>
    <t>01_2025-1_02-1_2_r_01_2025-1_02-1_2_2_TB</t>
  </si>
  <si>
    <t>t_01_2025-1_02-1_2_4001</t>
  </si>
  <si>
    <t>01_2025-1_02-1_2_t_01_2025-1_02-1_2_4001</t>
  </si>
  <si>
    <t>Пассивы. Зарабатывай на привлечении</t>
  </si>
  <si>
    <t>Прирост, тыс. руб.</t>
  </si>
  <si>
    <t>160</t>
  </si>
  <si>
    <t>Войди в число ТОП-20 участников в турнире Пассивы. Зарабатывай на привлечении</t>
  </si>
  <si>
    <t>r_01_2025-1_02-1_2_3</t>
  </si>
  <si>
    <t>TB_GOSB</t>
  </si>
  <si>
    <t>99_0</t>
  </si>
  <si>
    <t>38_0</t>
  </si>
  <si>
    <t>18_0</t>
  </si>
  <si>
    <t>44_0</t>
  </si>
  <si>
    <t>70_0</t>
  </si>
  <si>
    <t>55_0</t>
  </si>
  <si>
    <t>52_0</t>
  </si>
  <si>
    <t>42_0</t>
  </si>
  <si>
    <t>40_1024</t>
  </si>
  <si>
    <t>40_0</t>
  </si>
  <si>
    <t>16_0</t>
  </si>
  <si>
    <t>54_8588</t>
  </si>
  <si>
    <t>54_0</t>
  </si>
  <si>
    <t>13_0</t>
  </si>
  <si>
    <t>54_8623</t>
  </si>
  <si>
    <t>54_8621</t>
  </si>
  <si>
    <t>40_1025</t>
  </si>
  <si>
    <t>52_9052</t>
  </si>
  <si>
    <t>18_8586</t>
  </si>
  <si>
    <t>42_8610</t>
  </si>
  <si>
    <t>42_6984</t>
  </si>
  <si>
    <t>44_9044</t>
  </si>
  <si>
    <t>54_8625</t>
  </si>
  <si>
    <t>38_90386</t>
  </si>
  <si>
    <t>40_3000</t>
  </si>
  <si>
    <t>70_8635</t>
  </si>
  <si>
    <t>102_0</t>
  </si>
  <si>
    <t>101_0</t>
  </si>
  <si>
    <t>16_8598</t>
  </si>
  <si>
    <t>55_9055</t>
  </si>
  <si>
    <t>52_5230</t>
  </si>
  <si>
    <t>40_1026</t>
  </si>
  <si>
    <t>55_9500</t>
  </si>
  <si>
    <t>18_8600</t>
  </si>
  <si>
    <t>18_8601</t>
  </si>
  <si>
    <t>18_8603</t>
  </si>
  <si>
    <t>54_8624</t>
  </si>
  <si>
    <t>54_8622</t>
  </si>
  <si>
    <t>54_6991</t>
  </si>
  <si>
    <t>16_8597</t>
  </si>
  <si>
    <t>16_8599</t>
  </si>
  <si>
    <t>16_7003</t>
  </si>
  <si>
    <t>16_8647</t>
  </si>
  <si>
    <t>16_8369</t>
  </si>
  <si>
    <t>16_5940</t>
  </si>
  <si>
    <t>70_9070</t>
  </si>
  <si>
    <t>70_8636</t>
  </si>
  <si>
    <t>70_8567</t>
  </si>
  <si>
    <t>70_8645</t>
  </si>
  <si>
    <t>70_8556</t>
  </si>
  <si>
    <t>42_9042</t>
  </si>
  <si>
    <t>42_8614</t>
  </si>
  <si>
    <t>42_8612</t>
  </si>
  <si>
    <t>42_8613</t>
  </si>
  <si>
    <t>42_8589</t>
  </si>
  <si>
    <t>42_8611</t>
  </si>
  <si>
    <t>42_8618</t>
  </si>
  <si>
    <t>55_8626</t>
  </si>
  <si>
    <t>55_8627</t>
  </si>
  <si>
    <t>55_8628</t>
  </si>
  <si>
    <t>55_8629</t>
  </si>
  <si>
    <t>55_8630</t>
  </si>
  <si>
    <t>55_8617</t>
  </si>
  <si>
    <t>55_8637</t>
  </si>
  <si>
    <t>55_8638</t>
  </si>
  <si>
    <t>52_1806</t>
  </si>
  <si>
    <t>52_8619</t>
  </si>
  <si>
    <t>52_5221</t>
  </si>
  <si>
    <t>52_8590</t>
  </si>
  <si>
    <t>52_8631</t>
  </si>
  <si>
    <t>52_8632</t>
  </si>
  <si>
    <t>44_8615</t>
  </si>
  <si>
    <t>44_8616</t>
  </si>
  <si>
    <t>44_8644</t>
  </si>
  <si>
    <t>44_8047</t>
  </si>
  <si>
    <t>44_8646</t>
  </si>
  <si>
    <t>44_8634</t>
  </si>
  <si>
    <t>44_8602</t>
  </si>
  <si>
    <t>40_8639</t>
  </si>
  <si>
    <t>40_8640</t>
  </si>
  <si>
    <t>40_17</t>
  </si>
  <si>
    <t>40_8605</t>
  </si>
  <si>
    <t>40_8608</t>
  </si>
  <si>
    <t>40_8606</t>
  </si>
  <si>
    <t>40_8609</t>
  </si>
  <si>
    <t>40_8607</t>
  </si>
  <si>
    <t>40_8604</t>
  </si>
  <si>
    <t>13_9013</t>
  </si>
  <si>
    <t>13_8592</t>
  </si>
  <si>
    <t>13_8596</t>
  </si>
  <si>
    <t>13_8593</t>
  </si>
  <si>
    <t>13_8595</t>
  </si>
  <si>
    <t>13_8594</t>
  </si>
  <si>
    <t>13_1300</t>
  </si>
  <si>
    <t>13_9014</t>
  </si>
  <si>
    <t>16_9016</t>
  </si>
  <si>
    <t>18_1802</t>
  </si>
  <si>
    <t>38_90381</t>
  </si>
  <si>
    <t>38_90382</t>
  </si>
  <si>
    <t>38_90383</t>
  </si>
  <si>
    <t>38_90384</t>
  </si>
  <si>
    <t>38_90385</t>
  </si>
  <si>
    <t>40_1023</t>
  </si>
  <si>
    <t>42_4200</t>
  </si>
  <si>
    <t>44_8558</t>
  </si>
  <si>
    <t>44_8591</t>
  </si>
  <si>
    <t>52_9053</t>
  </si>
  <si>
    <t>52_5200</t>
  </si>
  <si>
    <t>52_8620</t>
  </si>
  <si>
    <t>52_8633</t>
  </si>
  <si>
    <t>52_8579</t>
  </si>
  <si>
    <t>52_8643</t>
  </si>
  <si>
    <t>52_8585</t>
  </si>
  <si>
    <t>54_9054</t>
  </si>
  <si>
    <t>55_9600</t>
  </si>
  <si>
    <t>70_7000</t>
  </si>
  <si>
    <t>70_4157</t>
  </si>
  <si>
    <t>70_8557</t>
  </si>
  <si>
    <t>9038</t>
  </si>
  <si>
    <t>Отделение Московского банка</t>
  </si>
  <si>
    <t>100_0</t>
  </si>
  <si>
    <t>38_9038</t>
  </si>
  <si>
    <t>40_9040</t>
  </si>
  <si>
    <t>9040</t>
  </si>
  <si>
    <t>Отделение Среднерусского банка</t>
  </si>
  <si>
    <t>10156582</t>
  </si>
  <si>
    <t>10300825</t>
  </si>
  <si>
    <t>PULMIS_BALANCE_OUT_RUB</t>
  </si>
  <si>
    <t>t_05_2025-0_18-6_1_4001</t>
  </si>
  <si>
    <t>2025-07-20</t>
  </si>
  <si>
    <t>05_2025-0_18-6_1_t_05_2025-0_18-6_1_4001</t>
  </si>
  <si>
    <t>t_07_2025-0_18-3_1_4001</t>
  </si>
  <si>
    <t>07_2025-0_18-3_1_t_07_2025-0_18-3_1_4001</t>
  </si>
  <si>
    <t>t_05_2025-0_18-5_1_4001</t>
  </si>
  <si>
    <t>05_2025-0_18-5_1_t_05_2025-0_18-5_1_4001</t>
  </si>
  <si>
    <t>t_05_2025-0_18-1_1_4001</t>
  </si>
  <si>
    <t>05_2025-0_18-1_1_t_05_2025-0_18-1_1_4001</t>
  </si>
  <si>
    <t>t_05_2025-0_18-2_1_4001</t>
  </si>
  <si>
    <t>05_2025-0_18-2_1_t_05_2025-0_18-2_1_4001</t>
  </si>
  <si>
    <t>t_05_2025-0_18-3_1_4001</t>
  </si>
  <si>
    <t>05_2025-0_18-3_1_t_05_2025-0_18-3_1_4001</t>
  </si>
  <si>
    <t>t_05_2025-0_18-4_1_4001</t>
  </si>
  <si>
    <t>05_2025-0_18-4_1_t_05_2025-0_18-4_1_4001</t>
  </si>
  <si>
    <t>t_06_2025-0_18-1_1_4001</t>
  </si>
  <si>
    <t>06_2025-0_18-1_1_t_06_2025-0_18-1_1_4001</t>
  </si>
  <si>
    <t>t_06_2025-0_18-2_1_4001</t>
  </si>
  <si>
    <t>06_2025-0_18-2_1_t_06_2025-0_18-2_1_4001</t>
  </si>
  <si>
    <t>t_06_2025-0_18-3_1_4001</t>
  </si>
  <si>
    <t>06_2025-0_18-3_1_t_06_2025-0_18-3_1_4001</t>
  </si>
  <si>
    <t>t_06_2025-0_18-4_1_4001</t>
  </si>
  <si>
    <t>06_2025-0_18-4_1_t_06_2025-0_18-4_1_4001</t>
  </si>
  <si>
    <t>t_07_2025-0_18-1_1_4001</t>
  </si>
  <si>
    <t>07_2025-0_18-1_1_t_07_2025-0_18-1_1_4001</t>
  </si>
  <si>
    <t>t_07_2025-0_18-2_1_4001</t>
  </si>
  <si>
    <t>07_2025-0_18-2_1_t_07_2025-0_18-2_1_4001</t>
  </si>
  <si>
    <t>t_07_2025-0_18-4_1_4001</t>
  </si>
  <si>
    <t>07_2025-0_18-4_1_t_07_2025-0_18-4_1_4001</t>
  </si>
  <si>
    <t>t_08_2025-0_18-1_1_4001</t>
  </si>
  <si>
    <t>08_2025-0_18-1_1_t_08_2025-0_18-1_1_4001</t>
  </si>
  <si>
    <t>t_08_2025-0_18-2_1_4001</t>
  </si>
  <si>
    <t>08_2025-0_18-2_1_t_08_2025-0_18-2_1_4001</t>
  </si>
  <si>
    <t>t_08_2025-0_18-3_1_4001</t>
  </si>
  <si>
    <t>08_2025-0_18-3_1_t_08_2025-0_18-3_1_4001</t>
  </si>
  <si>
    <t>t_08_2025-0_18-4_1_4001</t>
  </si>
  <si>
    <t>08_2025-0_18-4_1_t_08_2025-0_18-4_1_4001</t>
  </si>
  <si>
    <t>05_2025-0_18-4_1_t_05_2025-0_18-2_1_2011</t>
  </si>
  <si>
    <t>[{"period_code": 1, "criterion_mark_type": "&gt;=", "criterion_mark_value": 0, "start_dt":"2025-01-01", "end_dt":"2025-01-31"}]</t>
  </si>
  <si>
    <t>[{"period_code": 1, "criterion_mark_type": "&gt;=", "criterion_mark_value": 0, "start_dt":"2025-02-01", "end_dt":"2025-02-28"}]</t>
  </si>
  <si>
    <t>{"""feature""": ["""Нельзя забронировать совместно со стажировкой с победителями Лиги Чемпионов и Суперкубка 2025""", """Можно выбрать 1 обучение в год""", """Срок зачисления на курс составляет от трёх месяцев до года""", """После зачисления вся информация о программе появится в «Пульсе» в разделе «Развитие»""", """Необходимо согласовать отсутствие на период обучения с непосредственным руководителем""", """Дорога в Москву оплачивается за счёт командировочных расходов"""], """itemFeature""": ["""Нельзя забронировать совместно со стажировкой с победителями Лиги Чемпионов и Суперкубка 2025""", """Можно выбрать 1 обучение в год""", """Срок зачисления на курс составляет от трёх месяцев до года""", """После зачисления вся информация о программе появится в «Пульсе» в разделе «Развитие»""", """Необходимо согласовать отсутствие на период обучения с непосредственным руководителем""", """Дорога в Москву оплачивается за счёт командировочных расходов"""],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["""MNS"""], """getCondition""": {"""rewards""":[], """nonRewards""": [ {"""nonRewardCode""": """ITEM_m_02"""}], """employeeRating""": {"""minRatingBANK""": """3""", """minRatingTB""": """""", """minRatingGOSB""": """""", """minCrystalEarnedTotal""": """""", """seasonCode""": """SEASON_m_2024"""}}, """itemGroupAmount""": [],  """isGroupingTitle""": """""",  """isGroupingTultip""": """""", """itemAmount""": """3""", """isGrouping""": """N""", """isGroupingName""": """очная стажировка""", """itemMinShow""": """3""", """itemLimitCount""": """1""", """itemLimitPeriod""": """once""", """seasonItem""": ["""SEASON_m_2024"""], """bookingRequired""": """Y""", """deliveryRequired""": """Y""", """commingSoon""": """N""", """ignoreConditions""": []}</t>
  </si>
  <si>
    <t>{"""feature""": ["""Нельзя забронировать совместно с очным обучением в Корпоративном университете СберБанка""", """Доступно всего 1 место на стажировку""", """Необходимо согласовать отсутствие на период стажировки с непосредственным руководителем""", """Дорога в Москву и проживание оплачивается за счёт командировочных расходов""", """Основание для участие и оформление командировки — вызов от ЦА"""], """itemFeature""": ["""Нельзя забронировать совместно с очным обучением в Корпоративном университете СберБанка""", """Доступно всего 1 место на стажировку""", """Необходимо согласовать отсутствие на период стажировки с непосредственным руководителем""", """Дорога в Москву и проживание оплачивается за счёт командировочных расходов""", """Основание для участие и оформление командировки — вызов от ЦА"""],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["""MNS"""], """getCondition""": {"""rewards""":[], """nonRewards""": [ {"""nonRewardCode""": """ITEM_m_01"""}], """employeeRating""": {"""minRatingBANK""": """3""", """minRatingTB""": """""", """minRatingGOSB""": """""", """minCrystalEarnedTotal""": """""", """seasonCode""": """SEASON_m_2024"""}}, """itemGroupAmount""": [],  """isGroupingTitle""": """""",  """isGroupingTultip""": """""", """itemAmount""": """1""", """isGrouping""": """N""", """isGroupingName""": """очная стажировка""", """itemMinShow""": """1""", """itemLimitCount""": """1""", """itemLimitPeriod""": """once""", """seasonItem""": ["""SEASON_m_2024"""], """bookingRequired""": """Y""", """deliveryRequired""": """Y""", """commingSoon""": """N""", """ignoreConditions""": []}</t>
  </si>
  <si>
    <t>{"""feature""": ["""Нельзя забронировать совместно с сертификатами других номиналов в SberShop""", """Сертификат будет направлен Вам в течение второго квартала на рабочую почту""", """Согласно законодательству РФ, не облагаются налогом подарки до 4 тыс. руб. С суммы превышения будет удержано 13% при расчёте зарплаты"""], """itemFeature""": ["""Нельзя забронировать совместно с сертификатами других номиналов в SberShop""", """Сертификат будет направлен Вам в течение второго квартала на рабочую почту""", """Согласно законодательству РФ, не облагаются налогом подарки до 4 тыс. руб. С суммы превышения будет удержано 13% при расчёте зарплаты"""], """nftFlg""": """N""", """outstanding""": """N""", """rewardRule""": """Сертификат будут направлены Вам в течение первого квартала на рабочую почту.""", """rewardAgainGlobal""": """N""", """rewardAgainTournament""": """N""", """hidden""":"""N""", """fileName""": """""", """teamNews""": """""", """singleNews""": """""", """refreshOldNews""": """N""", """businessBlock""": ["""MNS"""], """getCondition""": {"""rewards""":[], """nonRewards""": [ {"""nonRewardCode""": """ITEM_m_05"""}, {"""nonRewardCode""": """ITEM_m_06"""}], """employeeRating""": {"""minRatingBANK""": """1""", """minRatingTB""": """""", """minRatingGOSB""": """""", """minCrystalEarnedTotal""": """""", """seasonCode""": """SEASON_m_2024"""}}, """itemGroupAmount""": [],  """isGroupingTitle""": """""",  """isGroupingTultip""": """""", """itemAmount""": """1""", """isGrouping""": """N""", """isGroupingName""": """SberShop""", """itemMinShow""": """1""", """itemLimitCount""": """1""", """itemLimitPeriod""": """once""", """seasonItem""": ["""SEASON_m_2024"""], """bookingRequired""": """Y""", """deliveryRequired""": """Y""", """commingSoon""": """N""", """ignoreConditions""": []}</t>
  </si>
  <si>
    <t>{"""feature""": ["""Нельзя забронировать совместно с сертификатами других номиналов в SberShop""", """Сертификат будет направлен Вам в течение второго квартала на рабочую почту""", """Согласно законодательству РФ, не облагаются налогом подарки до 4 тыс. руб. С суммы превышения будет удержано 13% при расчёте зарплаты"""], """itemFeature""": ["""Нельзя забронировать совместно с сертификатами других номиналов в SberShop""", """Сертификат будет направлен Вам в течение второго квартала на рабочую почту""", """Согласно законодательству РФ, не облагаются налогом подарки до 4 тыс. руб. С суммы превышения будет удержано 13% при расчёте зарплаты"""], """nftFlg""": """N""", """outstanding""": """N""", """rewardRule""": """Сертификат будут направлены Вам в течение второго квартала на рабочую почту.""", """rewardAgainGlobal""": """N""", """rewardAgainTournament""": """N""", """hidden""":"""N""", """fileName""": """""", """teamNews""": """""", """singleNews""": """""", """refreshOldNews""": """N""", """businessBlock""": ["""MNS"""], """getCondition""": {"""rewards""":[], """nonRewards""": [ {"""nonRewardCode""": """ITEM_m_04"""}, {"""nonRewardCode""": """ITEM_m_06"""}], """employeeRating""": {"""minRatingBANK""": """3""", """minRatingTB""": """""", """minRatingGOSB""": """""", """minCrystalEarnedTotal""": """""", """seasonCode""": """SEASON_m_2024"""}}, """itemGroupAmount""": [],  """isGroupingTitle""": """""",  """isGroupingTultip""": """""", """itemAmount""": """2""", """isGrouping""": """N""", """isGroupingName""": """SberShop""", """itemMinShow""": """1""", """itemLimitCount""": """1""", """itemLimitPeriod""": """once""", """seasonItem""": ["""SEASON_m_2024"""], """bookingRequired""": """Y""", """deliveryRequired""": """Y""", """commingSoon""": """N""", """ignoreConditions""": []}</t>
  </si>
  <si>
    <t>{"""feature""": ["""Нельзя забронировать совместно с сертификатами других номиналов в SberShop""", """Сертификат будет направлен Вам в течение второго квартала на рабочую почту""", """Согласно законодательству РФ, не облагаются налогом подарки до 4 тыс. руб. С суммы превышения будет удержано 13% при расчёте зарплаты"""], """itemFeature""": ["""Нельзя забронировать совместно с сертификатами других номиналов в SberShop""", """Сертификат будет направлен Вам в течение второго квартала на рабочую почту""", """Согласно законодательству РФ, не облагаются налогом подарки до 4 тыс. руб. С суммы превышения будет удержано 13% при расчёте зарплаты"""], """nftFlg""": """N""", """outstanding""": """N""", """rewardRule""": """Сертификат будут направлены Вам в течение второго квартала на рабочую почту.""", """rewardAgainGlobal""": """N""", """rewardAgainTournament""": """N""", """hidden""":"""N""", """fileName""": """""", """teamNews""": """""", """singleNews""": """""", """refreshOldNews""": """N""", """businessBlock""": ["""MNS"""], """getCondition""": {"""rewards""":[], """nonRewards""": [ {"""nonRewardCode""": """ITEM_m_04"""}, {"""nonRewardCode""": """ITEM_m_05"""}], """employeeRating""": {"""minRatingBANK""": """""", """minRatingTB""": """1""", """minRatingGOSB""": """""", """minCrystalEarnedTotal""": """""", """seasonCode""": """SEASON_m_2024"""}}, """itemGroupAmount""": [],  """isGroupingTitle""": """""",  """isGroupingTultip""": """""", """itemAmount""": """11""", """isGrouping""": """N""", """isGroupingName""": """SberShop""", """itemMinShow""": """1""", """itemLimitCount""": """1""", """itemLimitPeriod""": """once""", """seasonItem""": ["""SEASON_m_2024"""], """bookingRequired""": """Y""", """deliveryRequired""": """Y""", """commingSoon""": """N""", """ignoreConditions""": []}</t>
  </si>
  <si>
    <t>{"""feature""": ["""Доступно всего 3 онлайн-сессий""", """Дата сессии будет определена в апреле-мае 2025 года"""], """itemFeature""": ["""Доступно всего 3 онлайн-сессий""", """Дата сессии будет определена в апреле-мае 2025 года"""],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["""MNS"""], """getCondition""": {"""rewards""":[], """nonRewards""": [], """employeeRating""": {"""minRatingBANK""": """35""", """minRatingTB""": """""", """minRatingGOSB""": """""", """minCrystalEarnedTotal""": """""", """seasonCode""": """SEASON_m_2024"""}}, """itemGroupAmount""": [],  """isGroupingTitle""": """""",  """isGroupingTultip""": """""", """itemAmount""": """3""", """isGrouping""": """N""", """isGroupingName""": """Онлайн с Меламедом СВ""", """itemMinShow""": """1""", """itemLimitCount""": """1""", """itemLimitPeriod""": """once""", """seasonItem""": ["""SEASON_m_2024"""], """bookingRequired""": """Y""", """deliveryRequired""": """Y""", """commingSoon""": """N""", """ignoreConditions""": []}</t>
  </si>
  <si>
    <t>{"""feature""": ["""Ориентировочный срок доставки письма — 1 месяц с момента заказа""", """Без занесения в личное дело"""], """nftFlg""": """N""", """outstanding""": """N""", """rewardRule""": """С вами свяжутся в течение месяца, чтобы уточнить контактные данные родителей. Благодарственное письмо пришлют по почте прямо к Вашему рабочему месту, указанному в справочнике.""", """rewardAgainGlobal""": """N""", """rewardAgainTournament""": """N""", """hidden""":"""N""", """fileName""": """""", """teamNews""": """""", """singleNews""": """""", """refreshOldNews""": """N""", """businessBlock""": ["""MNS"""], """getCondition""": {"""rewards""":[], """nonRewards""": [], """employeeRating""": {"""minRatingBANK""": """""", """minRatingTB""": """3""", """minRatingGOSB""": """""", """minCrystalEarnedTotal""": """""", """seasonCode""": """SEASON_m_2024"""}}, """itemGroupAmount""": [],  """isGroupingTitle""": """""",  """isGroupingTultip""": """""", """itemAmount""": """5""", """isGrouping""": """N""", """isGroupingName""": """Благодарственное письмо""", """itemMinShow""": """2""", """itemLimitCount""": """1""", """itemLimitPeriod""": """once""", """seasonItem""": ["""SEASON_m_2024"""], """bookingRequired""": """Y""", """deliveryRequired""": """Y""", """commingSoon""": """N""", """ignoreConditions""": []}</t>
  </si>
  <si>
    <t>{"""feature""": ["""Точные даты обеда будут определены в апреле-мае 2025 года""", """Не более 3  СМНС/МНС  на  обеде""", """Обед оплачивается лидерами КЭС"""], """itemFeature""": ["""Точные даты обеда будут определены в апреле-мае 2025 года""", """Не более 3  СМНС/МНС  на  обеде""", """Обед оплачивается лидерами КЭС"""], """nftFlg""": """N""", """outstanding""": """N""", """rewardRule""": """Команда проекта свяжется с Вами в течение первого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["""MNS"""], """getCondition""": {"""rewards""": [{"""rewardCode""": """REWARD_23_04""","""amount""": """1"""}], """nonRewards""": [], """employeeRating""": {"""minRatingBANK""": """15""", """minRatingTB""": """""", """minRatingGOSB""": """""", """minCrystalEarnedTotal""": """""", """seasonCode""": """SEASON_m_2024"""}}, """itemGroupAmount""": [],  """isGroupingTitle""": """""",  """isGroupingTultip""": """""", """itemAmount""": """3""", """isGrouping""": """N""", """isGroupingName""": """обед""", """itemMinShow""": """1""", """itemLimitCount""": """1""", """itemLimitPeriod""": """once""", """seasonItem""": ["""SEASON_m_2024"""], """bookingRequired""": """Y""", """deliveryRequired""": """Y""", """commingSoon""": """N""", """ignoreConditions""": []}</t>
  </si>
  <si>
    <t>балл</t>
  </si>
  <si>
    <t>DM_GAMIFICATION_USER_ROLE_SANDBOX</t>
  </si>
  <si>
    <t>USER_ROLE (test)</t>
  </si>
  <si>
    <t>Турнир проводится среди Старших менеджеров по нефинансовым сервисам и менеджеров по нефинансовым сервисам по продуктам СберЗдоровья. \\nЧтобы стать участником турнира, необходимо закрыть, как минимум одну сделку в срок до 30.06.2025 г. \\n - ТОП-3 менеджера с лучшим результатом по всей стране станут обладателями золотого бейджа. \\n - ТОП-1 из участников с наибольшими результатами в каждом ТБ станут победителями турнира и получат серебряный бейдж. \\n - ТОП-2 из участников с наибольшими результатами в каждом ТБ станут победителями турнира и получат бронзовый бейдж.</t>
  </si>
  <si>
    <t>{"seasonCode": "SEASON_kmsb1_2025"}</t>
  </si>
  <si>
    <t>{"seasonCode": "SEASON_rnub_2025"}</t>
  </si>
  <si>
    <t>{"seasonCode": ""}</t>
  </si>
  <si>
    <t>{"seasonCode": "SEASON_2024"}</t>
  </si>
  <si>
    <t>{"seasonCode": "SEASON_m_2024"}</t>
  </si>
  <si>
    <t>{"seasonCode": "NON"}</t>
  </si>
  <si>
    <t>{"seasonCode": "SEASON_s_2024"}</t>
  </si>
  <si>
    <t>{"seasonCode": "SEASON_2025_1"}</t>
  </si>
  <si>
    <t>{"seasonCode": "SEASON_f_2025"}</t>
  </si>
  <si>
    <t>{"seasonCode": "SEASON_imub_2025"}</t>
  </si>
  <si>
    <t>{"seasonCode": "SEASON_rsb1_2025"}</t>
  </si>
  <si>
    <t>{"seasonCode": "SEASON_m_2025_1"}</t>
  </si>
  <si>
    <t>SVD_KB_SPOD_GAMIFICATION_REPORT_MNS_PA_2025-02-20</t>
  </si>
  <si>
    <t>SVD_KB_DM_GAMIFICATION_ORG_UNIT_V20 2025_03_11</t>
  </si>
  <si>
    <t>gamification_org_unit_2_PROM_2025-03-12 v0</t>
  </si>
  <si>
    <t>gamification_Factoring_2025-01-16</t>
  </si>
  <si>
    <t>SVD_KB_SPOD_GAMIFICATION_REPORT_SERVICES_PA 05-11-2024 — v2</t>
  </si>
  <si>
    <t>ITEM_01_2025-1_01</t>
  </si>
  <si>
    <t>CONTEST_999_ITEM_01_2025-1_01_BANK</t>
  </si>
  <si>
    <t>ITEM_01_2025-1_02</t>
  </si>
  <si>
    <t>CONTEST_999_ITEM_01_2025-1_02_BANK</t>
  </si>
  <si>
    <t>ITEM_01_2025-1_03</t>
  </si>
  <si>
    <t>CONTEST_999_ITEM_01_2025-1_03_BANK</t>
  </si>
  <si>
    <t>ITEM_01_2025-1_06</t>
  </si>
  <si>
    <t>CONTEST_999_ITEM_01_2025-1_06_BANK</t>
  </si>
  <si>
    <t>ITEM_01_2025-1_07</t>
  </si>
  <si>
    <t>CONTEST_999_ITEM_01_2025-1_07_BANK</t>
  </si>
  <si>
    <t>ITEM_01_2025-1_08</t>
  </si>
  <si>
    <t>CONTEST_999_ITEM_01_2025-1_08_BANK</t>
  </si>
  <si>
    <t>ITEM_01_2025-1_09</t>
  </si>
  <si>
    <t>CONTEST_999_ITEM_01_2025-1_09_BANK</t>
  </si>
  <si>
    <t>ITEM_01_2025-1_10</t>
  </si>
  <si>
    <t>CONTEST_999_ITEM_01_2025-1_10_BANK</t>
  </si>
  <si>
    <t>ITEM_01_2025-1_11</t>
  </si>
  <si>
    <t>CONTEST_999_ITEM_01_2025-1_11_BANK</t>
  </si>
  <si>
    <t>ITEM_01_2025-1_13</t>
  </si>
  <si>
    <t>CONTEST_999_ITEM_01_2025-1_13_BANK</t>
  </si>
  <si>
    <t>Участие в программе «Мастерская развития бизнеса КПК»</t>
  </si>
  <si>
    <t>Умная колонка SberBoom Home</t>
  </si>
  <si>
    <t>Уникальная возможность пройти очное обучение в СберУниверситете — прокачать личные и профессиональные компетенции в окружении успешных руководителей. Стоимость обучения и проживания в кампусе на весь период программы входят в стоимость курса. Перечень доступных программ будет определн во втором полугодии 2025 года.</t>
  </si>
  <si>
    <t>Участие в стажировке для личного и профессионального развития вместе с участниками Мастерской развития КПК. Вы сможете пообщаться с лидерами КИБа, познакомиться и обменяться опытом с коллегами со всей России. Стажировка пройдёт в Москве во 2-м полугодии 2025 года (1-2 дня на усмотрение организатора).</t>
  </si>
  <si>
    <t>Эксклюзивная возможность принять участие в одном из 2-х обедов с лидерами КИБа в третьем и четвертом кварталах на площадке Центрального аппарата в Москве. Вы сможете лично пообщаться с руководством банка и обсудить возможности карьерного роста в приятной атмосфере. Лидеры поделятся экспертными знаниями и опытом.</t>
  </si>
  <si>
    <t>Сертификат на 3 000 рублей для покупок в корпоративном магазине одежды, гаджетов и аксессуаров Сбера. Все товары из качественных материалов, отличаются оригинальным дизайном и ненавязчивым брендингом.</t>
  </si>
  <si>
    <t>Миниатюрная умная колонка с виртуальным ассистентом Салют! SberBoom Home умеет включать любимые треки в объёмном звуке, следить за порядком с помощью детектора шума, запускать ассистента на базе искусственного интеллекта GigaChat и многое другое.</t>
  </si>
  <si>
    <t>Заключите сделки по продукту Process Mining в сумме не менее 1 млн. рублей и получите награду.</t>
  </si>
  <si>
    <t>Заключите сделки по продукту Навигатор BI в сумме не менее 1 млн. рублей и получите награду.</t>
  </si>
  <si>
    <t>Заключите сделки по продукту СберИндексПро в сумме не менее 250 тыс. рублей и получите награду.</t>
  </si>
  <si>
    <t>Заключите сделки по продукту Process Mining в сумме не менее 5 млн. рублей и получите награду.</t>
  </si>
  <si>
    <t>Заключите сделки по продукту Навигатор BI в сумме не менее 5 млн. рублей и получите награду.</t>
  </si>
  <si>
    <t>Заключите сделки по продукту СберИндексПро в сумме не менее 500 тыс. рублей и получите награду.</t>
  </si>
  <si>
    <t>t_01_2025-1_09-1_1_3041</t>
  </si>
  <si>
    <t>2025-04-30</t>
  </si>
  <si>
    <t>01_2025-1_09-1_1_t_01_2025-1_09-1_1_3041</t>
  </si>
  <si>
    <t>t_01_2025-1_14-1_1_3041</t>
  </si>
  <si>
    <t>01_2025-1_14-1_1_t_01_2025-1_14-1_1_3041</t>
  </si>
  <si>
    <t>t_01_2025-1_16-1_1_2021</t>
  </si>
  <si>
    <t>турнир 2 квартала</t>
  </si>
  <si>
    <t>01_2025-1_16-1_1_t_01_2025-1_16-1_1_2021</t>
  </si>
  <si>
    <t>t_01_2025-1_05-1_1_3041</t>
  </si>
  <si>
    <t>01_2025-1_05-1_1_t_01_2025-1_05-1_1_3041</t>
  </si>
  <si>
    <t>t_01_2025-1_15-1_2_2021</t>
  </si>
  <si>
    <t>01_2025-1_15-1_2_t_01_2025-1_15-1_2_2021</t>
  </si>
  <si>
    <t>t_04_2025-0_15-1_1_2021</t>
  </si>
  <si>
    <t>2025-08-01</t>
  </si>
  <si>
    <t>04_2025-0_15-1_1_t_04_2025-0_15-1_1_2021</t>
  </si>
  <si>
    <t>t_04_2025-0_15-1_2_2021</t>
  </si>
  <si>
    <t>04_2025-0_15-1_2_t_04_2025-0_15-1_2_2021</t>
  </si>
  <si>
    <t>t_04_2025-0_15-1_3_2021</t>
  </si>
  <si>
    <t>04_2025-0_15-1_3_t_04_2025-0_15-1_3_2021</t>
  </si>
  <si>
    <t>t_04_2025-0_15-2_1_2021</t>
  </si>
  <si>
    <t>04_2025-0_15-2_1_t_04_2025-0_15-2_1_2021</t>
  </si>
  <si>
    <t>t_04_2025-0_15-2_2_2021</t>
  </si>
  <si>
    <t>04_2025-0_15-2_2_t_04_2025-0_15-2_2_2021</t>
  </si>
  <si>
    <t>t_04_2025-0_15-2_3_2021</t>
  </si>
  <si>
    <t>04_2025-0_15-2_3_t_04_2025-0_15-2_3_2021</t>
  </si>
  <si>
    <t>t_01_2025-0_08-2_4_2021</t>
  </si>
  <si>
    <t>01_2025-0_08-2_4_t_01_2025-0_08-2_4_2021</t>
  </si>
  <si>
    <t>t_02_2025-1_07-2_1_2021</t>
  </si>
  <si>
    <t>02_2025-1_07-2_1_t_02_2025-1_07-2_1_2021</t>
  </si>
  <si>
    <t>t_02_2025-1_07-1_1_2021</t>
  </si>
  <si>
    <t>02_2025-1_07-1_1_t_02_2025-1_07-1_1_2021</t>
  </si>
  <si>
    <t>t_02_2025-1_07-5_4_2021</t>
  </si>
  <si>
    <t>02_2025-1_07-5_4_t_02_2025-1_07-5_4_2021</t>
  </si>
  <si>
    <t>t_02_2025-1_07-7_1_2021</t>
  </si>
  <si>
    <t>02_2025-1_07-7_1_t_02_2025-1_07-7_1_2021</t>
  </si>
  <si>
    <t>t_02_2025-1_07-8_1_2021</t>
  </si>
  <si>
    <t>02_2025-1_07-8_1_t_02_2025-1_07-8_1_2021</t>
  </si>
  <si>
    <t>t_02_2025-1_07-9_1_2021</t>
  </si>
  <si>
    <t>02_2025-1_07-9_1_t_02_2025-1_07-9_1_2021</t>
  </si>
  <si>
    <t>t_01_2025-1_08-1_1_3041</t>
  </si>
  <si>
    <t>01_2025-1_08-1_1_t_01_2025-1_08-1_1_3041</t>
  </si>
  <si>
    <t>Стань одним из 100 первых сотрудников, кто реализовал сделку по Страхованию залога в СберБизнес и получи свою награду!</t>
  </si>
  <si>
    <t>01_2025-0_10-3_1</t>
  </si>
  <si>
    <t>r_01_2025-0_10-3_1</t>
  </si>
  <si>
    <t>01_2025-0_10-3_1_r_01_2025-0_10-3_1_BANK</t>
  </si>
  <si>
    <t>01_2025-0_10-3_1_BANK</t>
  </si>
  <si>
    <t>01_2025-0_10-3_2</t>
  </si>
  <si>
    <t>r_01_2025-0_10-3_2</t>
  </si>
  <si>
    <t>01_2025-0_10-3_2_r_01_2025-0_10-3_2_BANK</t>
  </si>
  <si>
    <t>01_2025-0_10-3_2_BANK</t>
  </si>
  <si>
    <t>01_2025-0_10-3_3</t>
  </si>
  <si>
    <t>r_01_2025-0_10-3_3</t>
  </si>
  <si>
    <t>01_2025-0_10-3_3_r_01_2025-0_10-3_3_BANK</t>
  </si>
  <si>
    <t>01_2025-0_10-3_3_BANK</t>
  </si>
  <si>
    <t>r_01_2025-0_18-7_1</t>
  </si>
  <si>
    <t>01_2025-0_18-7_1_r_01_2025-0_18-7_1_BANK</t>
  </si>
  <si>
    <t>r_01_2025-0_18-7_2</t>
  </si>
  <si>
    <t>01_2025-0_18-7_2_r_01_2025-0_18-7_2_BANK</t>
  </si>
  <si>
    <t>r_01_2025-0_18-7_3</t>
  </si>
  <si>
    <t>01_2025-0_18-7_3_r_01_2025-0_18-7_3_BANK</t>
  </si>
  <si>
    <t>r_01_2025-0_18-7_4</t>
  </si>
  <si>
    <t>01_2025-0_18-7_4_r_01_2025-0_18-7_4_BANK</t>
  </si>
  <si>
    <t>01_2025-1_01-7_1_r_01_2025-1_01-7_1_2_BANK</t>
  </si>
  <si>
    <t>01_2025-1_01-7_1_r_01_2025-1_01-7_1_3_BANK</t>
  </si>
  <si>
    <t>01_2025-1_02-1_1_r_01_2025-1_02-1_1_2_BANK</t>
  </si>
  <si>
    <t>01_2025-1_02-1_1_r_01_2025-1_02-1_1_3_TB</t>
  </si>
  <si>
    <t>01_2025-1_02-2_2_r_01_2025-1_02-2_2_2_BANK</t>
  </si>
  <si>
    <t>01_2025-1_02-2_2_r_01_2025-1_02-2_2_3_TB</t>
  </si>
  <si>
    <t>01_2025-1_08-1_1_r_01_2025-1_08-1_1_2_BANK</t>
  </si>
  <si>
    <t>01_2025-1_08-1_1_r_01_2025-1_08-1_1_3_TB</t>
  </si>
  <si>
    <t>01_2025-1_09-1_1_r_01_2025-1_09-1_1_2_BANK</t>
  </si>
  <si>
    <t>01_2025-1_15-1_2_r_01_2025-1_15-1_2_2_BANK</t>
  </si>
  <si>
    <t>01_2025-1_15-1_2_r_01_2025-1_15-1_2_3_BANK</t>
  </si>
  <si>
    <t>01_2025-1_16-1_1_r_01_2025-1_16-1_1_2_BANK</t>
  </si>
  <si>
    <t>01_2025-1_16-1_1_r_01_2025-1_16-1_1_3_BANK</t>
  </si>
  <si>
    <t>08_2025-0_18-2_1_r_08_2025-0_18-2_1_2_BANK</t>
  </si>
  <si>
    <t>08_2025-0_18-2_1_r_08_2025-0_18-2_1_3_BANK</t>
  </si>
  <si>
    <t>0.20000</t>
  </si>
  <si>
    <t>[13]</t>
  </si>
  <si>
    <t>[16]</t>
  </si>
  <si>
    <t>[18]</t>
  </si>
  <si>
    <t>[38]</t>
  </si>
  <si>
    <t>[40]</t>
  </si>
  <si>
    <t>[42]</t>
  </si>
  <si>
    <t>[44]</t>
  </si>
  <si>
    <t>[52]</t>
  </si>
  <si>
    <t>[54]</t>
  </si>
  <si>
    <t>[55]</t>
  </si>
  <si>
    <t>[70]</t>
  </si>
  <si>
    <t>{"""feature""": ["""После зачисления вся информация о программе появится в «Пульсе» в разделе «Развитие»"""], """itemFeature""": ["""Нельзя забронировать совместно с участием в программе «Мастерская развития бизнеса КПК», а также с Обедом с лидерами ЦА""",  """Можно выбрать 1 обучение за год""", """Срок зачисления на курс составляет от трёх месяцев до года""", """После зачисления вся информация о программе появится в «Пульсе» в разделе «Развитие»""", """Необходимо согласовать отсутствие на период обучения с непосредственным руководителем""", """Дорога в Москву оплачивается за счёт командировочных расходов"""], """nftFlg""": """N""", """outstanding""": """N""", """rewardRule""": """Команда проекта свяжется с Вами в течение третьего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"""ITEM_01"""}, {"""nonRewardCode""": """ITEM_01_2025-1_02"""}, {"""nonRewardCode""": """ITEM_01_2025-1_03"""}], """employeeRating""": {"""minRatingBANK""": """10""", """minRatingTB""": """""", """minRatingGOSB""": """""", """minCrystalEarnedTotal""": """""", """seasonCode""": """SEASON_2025_1"""}}, """itemGroupAmount""": [],  """isGroupingTitle""": """""",  """isGroupingTultip""": """""", """itemAmount""": """10""", """isGrouping""": """N""", """isGroupingName""": """очная стажировка""", """itemMinShow""": """4""", """itemLimitCount""": """1""", """itemLimitPeriod""": """once""", """seasonItem""": ["""SEASON_2025_1"""], """bookingRequired""": """Y""", """deliveryRequired""": """Y""", """commingSoon""": """Y""", """ignoreConditions""": []}</t>
  </si>
  <si>
    <t>{"""feature""": [], """itemFeature""": ["""Нельзя забронировать совместно с очным обучением в Корпоративном университете СберБанка и с обедом с лидерами ЦА""", """Доступно всего 5 мест на стажировку""", """Необходимо согласовать отсутствие на период стажировки с непосредственным руководителем""", """Дорога в Москву и проживание оплачивается за счёт командировочных расходов""", """Основание для участие и оформление командировки — вызов от ЦА"""], """nftFlg""": """N""", """outstanding""": """N""", """rewardRule""": """Команда проекта свяжется с Вами в течение третьего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"""ITEM_01_2025-1_01"""}, {"""nonRewardCode""": """ITEM_01_2025-1_03"""}], """employeeRating""": {"""minRatingBANK""": """35""", """minRatingTB""": """""", """minRatingGOSB""": """""", """minCrystalEarnedTotal""": """""", """seasonCode""": """SEASON_2025_1"""}}, """itemGroupAmount""": [],  """isGroupingTitle""": """""",  """isGroupingTultip""": """""", """itemAmount""": """5""", """isGrouping""": """N""", """isGroupingName""": """очная стажировка""", """itemMinShow""": """4""", """itemLimitCount""": """1""", """itemLimitPeriod""": """once""", """seasonItem""": ["""SEASON_2025_1"""], """bookingRequired""": """Y""", """deliveryRequired""": """Y""", """commingSoon""": """Y""", """ignoreConditions""": []}</t>
  </si>
  <si>
    <t>{"""feature""": ["""Точные даты обеда будут определены в 3-м квартале 2025 года""", """Не более 7 клиентских менеджеров на одном обеде"""], """itemFeature""": ["""Нельзя забронировать совместно с очным обучением в Корпоративном университете Сбера и с участием в программе «Мастерская развития бизнеса КПК»""", """Не более 7 клиентских менеджеров на одном обеде""", """Обед оплачивается лидерами ЦА""",  """Дорога в Москву и проживание в гостинице оплачивается за счёт командировочных расходов""", """Необходимо согласовать отсутствие с непосредственным руководителем""", """Основание для участие и оформление командировки — вызов от ЦА"""], """nftFlg""": """N""", """outstanding""": """N""", """rewardRule""": """Команда проекта свяжется с Вами в течение третьего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{"""nonRewardCode""": """ITEM_01_2025-1_01"""}, {"""nonRewardCode""": """ITEM_01_2025-1_02"""}], """employeeRating""": {"""minRatingBANK""": """35""", """minRatingTB""": """""", """minRatingGOSB""": """""", """minCrystalEarnedTotal""": """""", """seasonCode""": """SEASON_2025_1"""}}, """itemGroupAmount""": [],  """isGroupingTitle""": """""",  """isGroupingTultip""": """""", """itemAmount""": """14""", """isGrouping""": """N""", """isGroupingName""": """очная стажировка""", """itemMinShow""": """4""", """itemLimitCount""": """1""", """itemLimitPeriod""": """once""", """seasonItem""": ["""SEASON_2025_1"""], """bookingRequired""": """Y""", """deliveryRequired""": """Y""", """commingSoon""": """Y""", """ignoreConditions""": []}</t>
  </si>
  <si>
    <t>{"""feature""": ["""Сертификат будет направлен Вам в течение второго полугодия на рабочую почту"""], """itemFeature""": ["""Сертификат будет направлен Вам в течение  второго полугодия на рабочую почту""", """Согласно законодательству РФ не облагаются налогом подарки до 4 тыс. руб. С суммы превышения будет удержано 13% при расчёте зарплаты"""], """nftFlg""": """N""", """outstanding""": """N""", """rewardRule""": """Сертификат будет направлен Вам в течение  второго полугодия на рабочую почту.""",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 ], """employeeRating""": {"""minRatingBANK""": """""", """minRatingTB""": """""", """minRatingGOSB""": """1""", """minCrystalEarnedTotal""": """""", """seasonCode""": """SEASON_2025_1"""}}, """itemGroupAmount""": [],  """isGroupingTitle""": """""",  """isGroupingTultip""": """""", """itemAmount""": """110""", """isGrouping""": """N""", """isGroupingName""": """SberShop""", """itemMinShow""": """4""", """itemLimitCount""": """1""", """itemLimitPeriod""": """once""", """seasonItem""": ["""SEASON_2025_1"""], """bookingRequired""": """Y""", """deliveryRequired""": """Y""", """commingSoon""": """Y""", """ignoreConditions""": []}</t>
  </si>
  <si>
    <t>{"""feature""": ["""Доступно всего 20 книг"""], """itemFeature""": [], """nftFlg""": """N""", """outstanding""": """N""", """rewardRule""": """Книга будет направлена внутренней почтой к Вашему рабочему месту, указанному в справочнике, в течение третьего квартала 2025 года.""",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[{"""nonRewardCode""": """ITEM_07"""}], """employeeRating""": {"""minRatingBANK""": """50""", """minRatingTB""": """""", """minRatingGOSB""": """""", """minCrystalEarnedTotal""": """""", """seasonCode""": """SEASON_2025_1"""}}, """itemGroupAmount""": [],  """isGroupingTitle""": """""",  """isGroupingTultip""": """""", """itemAmount""": """40""", """isGrouping""": """N""", """isGroupingName""": """Книга от Ситнова ВВ""", """itemMinShow""": """10""", """itemLimitCount""": """1""", """itemLimitPeriod""": """once""", """seasonItem""": ["""SEASON_2025_1"""], """bookingRequired""": """Y""", """deliveryRequired""": """Y""", """commingSoon""": """Y""", """ignoreConditions""": []}</t>
  </si>
  <si>
    <t>{"""feature""": ["""Доступно всего 5 онлайн-сессий""", """Дата сессии будет определена в 3-м квартале"""], """itemFeature""": ["""Дата сессии будет определена в 3-м квартале"""], """nftFlg""": """N""", """outstanding""": """N""", """rewardRule""": """Команда проекта свяжется с Вами в течение третьего квартала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[{"""nonRewardCode""": """ITEM_08"""}], """employeeRating""": {"""minRatingBANK""": """35""", """minRatingTB""": """""", """minRatingGOSB""": """""", """minCrystalEarnedTotal""": """""", """seasonCode""": """SEASON_2025_1"""}}, """itemGroupAmount""": [],  """isGroupingTitle""": """""",  """isGroupingTultip""": """""", """itemAmount""": """5""", """isGrouping""": """N""", """isGroupingName""": """Онлайн с Меламедом СВ""", """itemMinShow""": """4""", """itemLimitCount""": """1""", """itemLimitPeriod""": """once""", """seasonItem""": ["""SEASON_2025_1"""], """bookingRequired""": """Y""", """deliveryRequired""": """Y""", """commingSoon""": """Y""", """ignoreConditions""": []}</t>
  </si>
  <si>
    <t>{"""feature""": ["""Встреча лидеров традиционно проводится в последний вторник месяца""", """Активность займёт один рабочий день"""], """itemFeature""": ["""Активность займёт один рабочий день""", """Дорога в Москву и проживание в гостинице оплачивается за счёт командировочных расходов""", """Необходимо согласовать отсутствие на период стажировки с непосредственным руководителем""", """Основание для участие и оформление командировки — вызов от ЦА"""], """nftFlg""": """N""", """outstanding""": """N""", """rewardRule""": """Команда проекта свяжется с Вами заранее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"""100""", """minRatingTB""": """""", """minRatingGOSB""": """""", """minCrystalEarnedTotal""": """""", """seasonCode""": """SEASON_2025_1"""}}, """itemGroupAmount""": [{"""itemParam""": """Август""", """itemParamAmount""": """15"""}, {"""itemParam""": """Сентябрь""", """itemParamAmount""": """15"""}, {"""itemParam""": """Октябрь""", """itemParamAmount""": """15"""}, {"""itemParam""": """Ноябрь""", """itemParamAmount""": """15"""}], """isGroupingTitle""": """""",  """isGroupingTultip""": """""", """itemAmount""": """""", """isGrouping""": """Y""", """isGroupingName""": """встреча лидеров""", """itemMinShow""": """4""", """itemLimitCount""": """1""", """itemLimitPeriod""": """once""", """seasonItem""": ["""SEASON_2025_1"""], """bookingRequired""": """Y""", """deliveryRequired""": """Y""", """commingSoon""": """Y""", """ignoreConditions""": []}</t>
  </si>
  <si>
    <t>{"""feature""": [], """itemFeature""": [], """nftFlg""": """N""", """outstanding""": """N""", """rewardRule""": """Колонку пришлют по почте прямо к Вашему рабочему месту, указанному в справочнике в 3-4 квартале 2025 года.""",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"""15""", """minRatingTB""": """""", """minRatingGOSB""": """""", """minCrystalEarnedTotal""": """""", """seasonCode""": """SEASON_2025_1"""}}, """itemGroupAmount""": [],  """isGroupingTitle""": """""",  """isGroupingTultip""": """""", """itemAmount""": """15""", """isGrouping""": """N""", """isGroupingName""": """гаджет""", """itemMinShow""": """5""", """itemLimitCount""": """1""", """itemLimitPeriod""": """once""", """seasonItem""": ["""SEASON_2025_1"""], """bookingRequired""": """Y""", """deliveryRequired""": """Y""", """commingSoon""": """Y""", """ignoreConditions""": []}</t>
  </si>
  <si>
    <t>{"""feature""": ["""Ориентировочный срок доставки письма — 1 месяц с момента заказа""", """Без занесения в личное дело"""], """itemFeature""": ["""Ориентировочный срок доставки письма — 1 месяц с момента заказа""", """Без занесения в личное дело"""], """nftFlg""": """N""", """outstanding""": """N""", """rewardRule""": """С вами свяжутся в течение месяца, чтобы уточнить контактные данные родителей. Благодарственное письмо пришлют по почте прямо к Вашему рабочему месту, указанному в справочнике.""",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"""""", """minRatingTB""": """3""", """minRatingGOSB""": """""", """minCrystalEarnedTotal""": """""", """seasonCode""": """SEASON_2025_1"""}}, """itemGroupAmount""": [],  """isGroupingTitle""": """""",  """isGroupingTultip""": """""", """itemAmount""": """10""", """isGrouping""": """N""", """isGroupingName""": """Благодарственное письмо""", """itemMinShow""": """4""", """itemLimitCount""": """1""", """itemLimitPeriod""": """once""", """seasonItem""": ["""SEASON_2025_1"""], """bookingRequired""": """Y""", """deliveryRequired""": """Y""", """commingSoon""": """Y""", """ignoreConditions""": []}</t>
  </si>
  <si>
    <t>Реализуй сделки лизинга на 1 млрд руб. по сумме договоров купли-продажи за календарныйы год и получи бейдж.</t>
  </si>
  <si>
    <t>{"""feature""": ["""В зачет идут сделки, оформленные, начиная с 1 апреля 2025 года""", """Всего будет выдано 100 бейджей""","""Информация обновляется еженедельно на основе отчета по продажам продуктов управления благосостояния"""], """nftFlg""": """N""", """outstanding""": """Y""", """rewardRule""": """""", """rewardAgainGlobal""": """N""", """rewardAgainTournament""": """N""", """hidden""":"""N""", """fileName""": """""", """teamNews""": """[Имя] и ещё [n] [amount:менеджер] получили награду «Страхование залога в СберБизнес». Они стали одними из первых менеджеров в стране, кто реализовал данный цифровой продукт. Поздравляем!""", """singleNews""": """[Имя] [gender:1:получил|gender:2:получила] награду «Страхование залога в СберБизнес». [gender:1:Он|gender:2:Она] [gender:1:стал|gender:2:стала] [gender:1:одним|gender:2:одной] из первых менеджеров в стране, кто [gender:1:реализовал|gender:2:реализовала] данный страховой продукт. Поздравляем!""", """refreshOldNews""": """N""", """businessBlock""": ["""KMKKSB"""], """recommendationLevel""": """BANK""", """priority""": """1""",  """masterBadge""": """Y""", """parentRewardCode""": """r_01_2025-0_08-6_1"""}</t>
  </si>
  <si>
    <t>1 договор по Business Development</t>
  </si>
  <si>
    <t>Заключи договор на предоставление услуги по поиску контрагента в Индии - Business Develpment и получи награду.</t>
  </si>
  <si>
    <t>{"""feature""": ["""Учёт договоров ведется с начала 2025 года""", """Бейдж выдается за каждый заключенный договор"""], """nftFlg""": """N""", """outstanding""": """N""", """rewardRule""": """""", """rewardAgainGlobal""": """N""", """rewardAgainTournament""": """N""", """hidden""":"""N""", """fileName""": """""", """teamNews""": """""", """singleNews""": """""", """businessBlock""": ["""KMKKSB"""], """recommendationLevel""": """GOSB""", """priority""": """1""",  """masterBadge""": """Y""", """parentRewardCode""": """r_01_2025-0_10-3_1"""}</t>
  </si>
  <si>
    <t>5 договоров по Business Development</t>
  </si>
  <si>
    <t>Заключи 5 договоров на предоставление услуги по поиску контрагента в Индии - Business Develpment и получи награду.</t>
  </si>
  <si>
    <t>{"""feature""": ["""Учёт договоров ведется с начала 2025 года""", """Бейдж выдается за каждый заключенный договор""", """Факт получения бейджа попадает в лену сообщества"""], """nftFlg""": """N""", """outstanding""": """Y""", """rewardRule""": """""", """rewardAgainGlobal""": """N""", """rewardAgainTournament""": """N""", """hidden""":"""N""", """fileName""": """""", """teamNews""": """&lt;span&gt;[Имя_Фамилия]&lt;/span&gt; и еще [n] [amount:менеджер] заключили 5 договоров с начала года на предоставление услуги по поиску контрагента в Индии - Business Develpment. Поздравляем, так держать!""", """singleNews""": """[Имя] [gender:1:заключил|gender:2:заключила] 5 договоров с начала года на предоставление услуги по поиску контрагента в Индии - Business Develpment. Поздравляем, так держать!""", """businessBlock""": ["""KMKKSB"""], """recommendationLevel""": """TB""", """priority""": """1""",  """masterBadge""": """Y""", """parentRewardCode""": """r_01_2025-0_10-3_2"""}</t>
  </si>
  <si>
    <t>10 договоров по Business Development</t>
  </si>
  <si>
    <t>Заключи 10 договоров на предоставление услуги по поиску контрагента в Индии - Business Develpment и получи награду.</t>
  </si>
  <si>
    <t>{"""feature""": ["""Учёт договоров ведется с начала 2025 года""", """Бейдж выдается за каждый заключенный договор""", """Факт получения бейджа попадает в лену сообщества"""], """nftFlg""": """Y""", """outstanding""": """Y""", """rewardRule""": """""", """rewardAgainGlobal""": """N""", """rewardAgainTournament""": """N""", """hidden""":"""N""", """fileName""": """""", """teamNews""": """&lt;span&gt;[Имя_Фамилия]&lt;/span&gt; и еще [n] [amount:менеджер] заключили 10 договоров с начала года на предоставление услуги по поиску контрагента в Индии - Business Develpment. Крутой результат!""", """singleNews""": """[Имя] [gender:1:заключил|gender:2:заключила] 10 договоров с начала года на предоставление услуги по поиску контрагента в Индии - Business Develpment. Крутой результат!""", """businessBlock""": ["""KMKKSB"""], """recommendationLevel""": """BANK""", """priority""": """1""",  """masterBadge""": """Y""", """parentRewardCode""": """r_01_2025-0_10-3_3"""}</t>
  </si>
  <si>
    <t>Чтобы стать участником, необходимо за время турнира закрыть как минимум одну сделку по продуктам категории AI-Native. ТОП-1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\\nПродукты категории AI-Native: SberDevices SBERJAZZ, SberDevices SaluteSpeech by Sber, SberDevices Умные устройства, АБК Робот-оператор, СберБизнесСофт СБЕРБизнесБот, СберБизнесСофт AI сервисы мониторинга и прогнозирования, СберБизнесСофт СберЛид, ТОТ Аналитика бизнеса, ТОТ Аналитика жилой и коммерческой недвижимости, ТОТ Аналитика потребителя, СберТех Process Mining от Сбера.</t>
  </si>
  <si>
    <t>В турнире участвуют Инвестиционные менеджеры Управления Балгосостояния. \\nТОП-4 участников с лучшими положительными нетто-притокам по СБСЖ станут победителями турнира!</t>
  </si>
  <si>
    <t>В турнире участвуют руководители направления Управления благосостояния \\nТОП-4 участников с лучшими положительными нетто-притокам по СБСЖ станут победителями турнира!</t>
  </si>
  <si>
    <t>В турнире участвуют менеджеры СберПервый. \\nТОП-5 участников с лучшими положительными нетто-притокам по СБСЖ станут победителями турнира!</t>
  </si>
  <si>
    <t>Чтобы стать участником, необходимо за время турнира закрыть как минимум одну сделку по продуктам экосистемы суммой от 50 тыс. руб. \\nЛучшие участнии в каждом ТБ станут победителями турнира и получат серебряные и бронзовые бейджи. ТОП-3 участника с лучшим результатом по всей стране станут обладателями золотой награды!</t>
  </si>
  <si>
    <t>Бизнес девелопмент 1 договор</t>
  </si>
  <si>
    <t>Договора, шт.</t>
  </si>
  <si>
    <t>Бизнес девелопмент</t>
  </si>
  <si>
    <t>Бизнес девелопмент 5 договоров</t>
  </si>
  <si>
    <t>Бизнес девелопмент 10 договоров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</si>
  <si>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</si>
  <si>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</si>
  <si>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</si>
  <si>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</si>
  <si>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</si>
  <si>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</si>
  <si>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</si>
  <si>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</si>
  <si>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</si>
  <si>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</si>
  <si>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</si>
  <si>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</si>
  <si>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</si>
  <si>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01_2025-0_08-2_3_BANK_*</t>
  </si>
  <si>
    <t>01_2025-1_00-1_BANK_*</t>
  </si>
  <si>
    <t>01_2025-0_08-6_1_BANK_*</t>
  </si>
  <si>
    <t>01_2025-0_10-1_1_BANK_*</t>
  </si>
  <si>
    <t>01_2025-0_10-1_2_BANK_*</t>
  </si>
  <si>
    <t>01_2025-0_10-1_3_BANK_*</t>
  </si>
  <si>
    <t>01_2025-0_10-1_4_BANK_*</t>
  </si>
  <si>
    <t>01_2025-0_12-1_1_BANK_*</t>
  </si>
  <si>
    <t>01_2025-0_13-1_1_BANK_*</t>
  </si>
  <si>
    <t>01_2025-0_13-1_2_BANK_*</t>
  </si>
  <si>
    <t>01_2025-0_13-1_3_BANK_*</t>
  </si>
  <si>
    <t>01_2025-0_18-7_1_BANK_*</t>
  </si>
  <si>
    <t>01_2025-0_18-7_2_BANK_*</t>
  </si>
  <si>
    <t>01_2025-0_18-7_3_BANK_*</t>
  </si>
  <si>
    <t>01_2025-0_18-7_4_BANK_*</t>
  </si>
  <si>
    <t>02_2025-1_00-1_BANK_*</t>
  </si>
  <si>
    <t>01_2025-1_01-6_BANK_*</t>
  </si>
  <si>
    <t>CONTEST_91_BANK_*</t>
  </si>
  <si>
    <t>CONTEST_92_BANK_*</t>
  </si>
  <si>
    <t>CONTEST_93_BANK_*</t>
  </si>
  <si>
    <t>CONTEST_94_BANK_*</t>
  </si>
  <si>
    <t>CONTEST_95_BANK_*</t>
  </si>
  <si>
    <t>CONTEST_96_BANK_*</t>
  </si>
  <si>
    <t>01_2025-0_08-2_4_TB_*</t>
  </si>
  <si>
    <t>01_2025-1_01-7_1_BANK_*</t>
  </si>
  <si>
    <t>01_2025-1_02-1_1_BANK_*</t>
  </si>
  <si>
    <t>01_2025-1_02-1_1_TB_*</t>
  </si>
  <si>
    <t>01_2025-1_07-5_1_BANK_*</t>
  </si>
  <si>
    <t>01_2025-1_07-5_10_BANK_*</t>
  </si>
  <si>
    <t>01_2025-1_07-5_2_BANK_*</t>
  </si>
  <si>
    <t>01_2025-1_07-5_3_BANK_*</t>
  </si>
  <si>
    <t>01_2025-1_02-1_2_TB_*</t>
  </si>
  <si>
    <t>01_2025-1_02-2_2_BANK_*</t>
  </si>
  <si>
    <t>01_2025-1_07-5_8_BANK_*</t>
  </si>
  <si>
    <t>01_2025-1_07-5_9_BANK_*</t>
  </si>
  <si>
    <t>01_2025-1_02-2_2_TB_*</t>
  </si>
  <si>
    <t>01_2025-1_05-1_1_BANK_*</t>
  </si>
  <si>
    <t>01_2025-1_05-1_1_GOSB_*</t>
  </si>
  <si>
    <t>01_2025-1_05-1_1_TB_*</t>
  </si>
  <si>
    <t>01_2025-1_07-5_5_BANK_*</t>
  </si>
  <si>
    <t>01_2025-1_07-5_6_BANK_*</t>
  </si>
  <si>
    <t>01_2025-1_07-5_7_BANK_*</t>
  </si>
  <si>
    <t>01_2025-1_08-1_1_BANK_*</t>
  </si>
  <si>
    <t>01_2025-1_08-1_1_TB_*</t>
  </si>
  <si>
    <t>01_2025-1_09-1_1_BANK_*</t>
  </si>
  <si>
    <t>01_2025-1_09-1_1_GOSB_*</t>
  </si>
  <si>
    <t>01_2025-1_14-1_1_BANK_*</t>
  </si>
  <si>
    <t>01_2025-1_14-1_1_GOSB_*</t>
  </si>
  <si>
    <t>01_2025-1_14-1_1_TB_*</t>
  </si>
  <si>
    <t>02_2025-1_07-5_1_BANK_*</t>
  </si>
  <si>
    <t>02_2025-1_07-5_10_BANK_*</t>
  </si>
  <si>
    <t>02_2025-1_07-5_2_BANK_*</t>
  </si>
  <si>
    <t>02_2025-1_07-5_3_BANK_*</t>
  </si>
  <si>
    <t>01_2025-1_15-1_2_BANK_*</t>
  </si>
  <si>
    <t>01_2025-1_16-1_1_BANK_*</t>
  </si>
  <si>
    <t>02_2025-1_07-1_1_BANK_*</t>
  </si>
  <si>
    <t>02_2025-1_07-1_1_TB_*</t>
  </si>
  <si>
    <t>02_2025-1_07-2_1_BANK_*</t>
  </si>
  <si>
    <t>02_2025-1_07-5_8_BANK_*</t>
  </si>
  <si>
    <t>02_2025-1_07-5_9_BANK_*</t>
  </si>
  <si>
    <t>02_2025-1_07-2_1_TB_*</t>
  </si>
  <si>
    <t>02_2025-1_07-5_4_BANK_*</t>
  </si>
  <si>
    <t>02_2025-1_07-5_4_TB_*</t>
  </si>
  <si>
    <t>02_2025-1_07-5_5_BANK_*</t>
  </si>
  <si>
    <t>02_2025-1_07-5_6_BANK_*</t>
  </si>
  <si>
    <t>02_2025-1_07-5_7_BANK_*</t>
  </si>
  <si>
    <t>02_2025-1_07-7_1_BANK_*</t>
  </si>
  <si>
    <t>02_2025-1_07-7_1_TB_*</t>
  </si>
  <si>
    <t>02_2025-1_07-8_1_BANK_*</t>
  </si>
  <si>
    <t>02_2025-1_07-8_1_TB_*</t>
  </si>
  <si>
    <t>02_2025-1_07-9_1_BANK_*</t>
  </si>
  <si>
    <t>02_2025-1_07-9_1_TB_*</t>
  </si>
  <si>
    <t>03_2025-0_00-1_BANK_*</t>
  </si>
  <si>
    <t>04_2025-0_00-1_BANK_*</t>
  </si>
  <si>
    <t>04_2025-0_15-1_1_BANK_*</t>
  </si>
  <si>
    <t>04_2025-0_15-1_2_BANK_*</t>
  </si>
  <si>
    <t>04_2025-0_15-1_3_BANK_*</t>
  </si>
  <si>
    <t>04_2025-0_15-2_1_BANK_*</t>
  </si>
  <si>
    <t>04_2025-0_15-2_2_BANK_*</t>
  </si>
  <si>
    <t>04_2025-0_15-2_3_BANK_*</t>
  </si>
  <si>
    <t>05_2025-0_00-1_BANK_*</t>
  </si>
  <si>
    <t>05_2025-0_18-1_1_TB_[13]</t>
  </si>
  <si>
    <t>05_2025-0_18-1_1_TB_[16]</t>
  </si>
  <si>
    <t>05_2025-0_18-1_1_TB_[18]</t>
  </si>
  <si>
    <t>05_2025-0_18-1_1_TB_[38]</t>
  </si>
  <si>
    <t>05_2025-0_18-1_1_TB_[40]</t>
  </si>
  <si>
    <t>05_2025-0_18-1_1_TB_[42]</t>
  </si>
  <si>
    <t>05_2025-0_18-1_1_TB_[44]</t>
  </si>
  <si>
    <t>05_2025-0_18-1_1_TB_[52]</t>
  </si>
  <si>
    <t>05_2025-0_18-1_1_TB_[54]</t>
  </si>
  <si>
    <t>05_2025-0_18-1_1_TB_[55]</t>
  </si>
  <si>
    <t>05_2025-0_18-1_1_TB_[70]</t>
  </si>
  <si>
    <t>05_2025-0_18-1_1_TB_*</t>
  </si>
  <si>
    <t>05_2025-0_18-2_1_BANK_*</t>
  </si>
  <si>
    <t>05_2025-0_18-2_1_TB_*</t>
  </si>
  <si>
    <t>05_2025-0_18-3_1_TB_*</t>
  </si>
  <si>
    <t>05_2025-0_18-4_1_TB_[13]</t>
  </si>
  <si>
    <t>05_2025-0_18-4_1_TB_[16]</t>
  </si>
  <si>
    <t>05_2025-0_18-4_1_TB_[18]</t>
  </si>
  <si>
    <t>05_2025-0_18-4_1_TB_[38]</t>
  </si>
  <si>
    <t>05_2025-0_18-4_1_TB_[40]</t>
  </si>
  <si>
    <t>05_2025-0_18-4_1_TB_[42]</t>
  </si>
  <si>
    <t>05_2025-0_18-4_1_TB_[44]</t>
  </si>
  <si>
    <t>05_2025-0_18-4_1_TB_[52]</t>
  </si>
  <si>
    <t>05_2025-0_18-7_1_BANK_*</t>
  </si>
  <si>
    <t>05_2025-0_18-7_2_BANK_*</t>
  </si>
  <si>
    <t>05_2025-0_18-7_3_BANK_*</t>
  </si>
  <si>
    <t>05_2025-0_18-7_4_BANK_*</t>
  </si>
  <si>
    <t>05_2025-0_18-4_1_TB_[54]</t>
  </si>
  <si>
    <t>05_2025-0_18-4_1_TB_[55]</t>
  </si>
  <si>
    <t>05_2025-0_18-4_1_TB_[70]</t>
  </si>
  <si>
    <t>05_2025-0_18-4_1_TB_*</t>
  </si>
  <si>
    <t>05_2025-0_18-5_1_BANK_*</t>
  </si>
  <si>
    <t>05_2025-0_18-6_1_BANK_*</t>
  </si>
  <si>
    <t>06_2025-0_00-1_BANK_*</t>
  </si>
  <si>
    <t>06_2025-0_18-1_1_BANK_*</t>
  </si>
  <si>
    <t>06_2025-0_18-2_1_BANK_*</t>
  </si>
  <si>
    <t>06_2025-0_18-3_1_BANK_*</t>
  </si>
  <si>
    <t>06_2025-0_18-4_1_BANK_*</t>
  </si>
  <si>
    <t>07_2025-0_00-1_BANK_*</t>
  </si>
  <si>
    <t>07_2025-0_18-1_1_BANK_*</t>
  </si>
  <si>
    <t>07_2025-0_18-2_1_BANK_*</t>
  </si>
  <si>
    <t>07_2025-0_18-3_1_BANK_*</t>
  </si>
  <si>
    <t>CONTEST_00_BANK_*</t>
  </si>
  <si>
    <t>CONTEST_01_BANK_*</t>
  </si>
  <si>
    <t>CONTEST_02_BANK_*</t>
  </si>
  <si>
    <t>CONTEST_03_BANK_*</t>
  </si>
  <si>
    <t>CONTEST_04_BANK_*</t>
  </si>
  <si>
    <t>CONTEST_05_BANK_*</t>
  </si>
  <si>
    <t>CONTEST_06_BANK_*</t>
  </si>
  <si>
    <t>CONTEST_07_BANK_*</t>
  </si>
  <si>
    <t>07_2025-0_18-4_1_BANK_*</t>
  </si>
  <si>
    <t>08_2025-0_00-1_BANK_*</t>
  </si>
  <si>
    <t>08_2025-0_18-1_1_BANK_*</t>
  </si>
  <si>
    <t>08_2025-0_18-2_1_BANK_*</t>
  </si>
  <si>
    <t>08_2025-0_18-3_1_BANK_*</t>
  </si>
  <si>
    <t>08_2025-0_18-4_1_BANK_*</t>
  </si>
  <si>
    <t>CONTEST_100_BANK_*</t>
  </si>
  <si>
    <t>CONTEST_11_BANK_*</t>
  </si>
  <si>
    <t>CONTEST_12_BANK_*</t>
  </si>
  <si>
    <t>CONTEST_13_BANK_*</t>
  </si>
  <si>
    <t>CONTEST_14_BANK_*</t>
  </si>
  <si>
    <t>CONTEST_15_BANK_*</t>
  </si>
  <si>
    <t>CONTEST_16_BANK_*</t>
  </si>
  <si>
    <t>CONTEST_17_BANK_*</t>
  </si>
  <si>
    <t>CONTEST_19_BANK_*</t>
  </si>
  <si>
    <t>CONTEST_10_01_BANK_*</t>
  </si>
  <si>
    <t>CONTEST_10_01_TB_*</t>
  </si>
  <si>
    <t>CONTEST_20_TB_*</t>
  </si>
  <si>
    <t>CONTEST_23_BANK_*</t>
  </si>
  <si>
    <t>CONTEST_23_TB_*</t>
  </si>
  <si>
    <t>CONTEST_25_BANK_*</t>
  </si>
  <si>
    <t>CONTEST_26_BANK_*</t>
  </si>
  <si>
    <t>CONTEST_28_BANK_*</t>
  </si>
  <si>
    <t>CONTEST_31_BANK_*</t>
  </si>
  <si>
    <t>CONTEST_28_GOSB_*</t>
  </si>
  <si>
    <t>CONTEST_28_TB_*</t>
  </si>
  <si>
    <t>CONTEST_29_BANK_*</t>
  </si>
  <si>
    <t>CONTEST_29_TB_*</t>
  </si>
  <si>
    <t>CONTEST_30_BANK_*</t>
  </si>
  <si>
    <t>CONTEST_30_TB_*</t>
  </si>
  <si>
    <t>CONTEST_32_BANK_*</t>
  </si>
  <si>
    <t>CONTEST_32_TB_*</t>
  </si>
  <si>
    <t>CONTEST_33_BANK_*</t>
  </si>
  <si>
    <t>CONTEST_33_GOSB_*</t>
  </si>
  <si>
    <t>CONTEST_34_BANK_*</t>
  </si>
  <si>
    <t>CONTEST_34_GOSB_*</t>
  </si>
  <si>
    <t>CONTEST_34_TB_*</t>
  </si>
  <si>
    <t>CONTEST_39_01_BANK_*</t>
  </si>
  <si>
    <t>CONTEST_39_02_BANK_*</t>
  </si>
  <si>
    <t>CONTEST_39_03_BANK_*</t>
  </si>
  <si>
    <t>CONTEST_35_BANK_*</t>
  </si>
  <si>
    <t>CONTEST_36_BANK_*</t>
  </si>
  <si>
    <t>CONTEST_42_BANK_*</t>
  </si>
  <si>
    <t>CONTEST_43_BANK_*</t>
  </si>
  <si>
    <t>CONTEST_37_BANK_*</t>
  </si>
  <si>
    <t>CONTEST_38_BANK_*</t>
  </si>
  <si>
    <t>CONTEST_38_GOSB_*</t>
  </si>
  <si>
    <t>CONTEST_38_TB_*</t>
  </si>
  <si>
    <t>CONTEST_40_BANK_*</t>
  </si>
  <si>
    <t>CONTEST_41_TB_*</t>
  </si>
  <si>
    <t>CONTEST_44_BANK_*</t>
  </si>
  <si>
    <t>CONTEST_47_BANK_*</t>
  </si>
  <si>
    <t>CONTEST_50_BANK_*</t>
  </si>
  <si>
    <t>CONTEST_51_BANK_*</t>
  </si>
  <si>
    <t>CONTEST_52_BANK_*</t>
  </si>
  <si>
    <t>CONTEST_55_BANK_*</t>
  </si>
  <si>
    <t>CONTEST_62_BANK_*</t>
  </si>
  <si>
    <t>CONTEST_63_BANK_*</t>
  </si>
  <si>
    <t>CONTEST_64_BANK_*</t>
  </si>
  <si>
    <t>CONTEST_65_BANK_*</t>
  </si>
  <si>
    <t>CONTEST_66_BANK_*</t>
  </si>
  <si>
    <t>CONTEST_67_BANK_*</t>
  </si>
  <si>
    <t>CONTEST_68_BANK_*</t>
  </si>
  <si>
    <t>CONTEST_69_BANK_*</t>
  </si>
  <si>
    <t>CONTEST_44_TB_*</t>
  </si>
  <si>
    <t>CONTEST_45_BANK_*</t>
  </si>
  <si>
    <t>CONTEST_45_GOSB_*</t>
  </si>
  <si>
    <t>CONTEST_45_TB_*</t>
  </si>
  <si>
    <t>CONTEST_46_BANK_*</t>
  </si>
  <si>
    <t>CONTEST_46_TB_*</t>
  </si>
  <si>
    <t>CONTEST_999_BANK_*</t>
  </si>
  <si>
    <t>CONTEST_m_01_BANK_*</t>
  </si>
  <si>
    <t>CONTEST_m_01_TB_*</t>
  </si>
  <si>
    <t>CONTEST_m_02_BANK_*</t>
  </si>
  <si>
    <t>CONTEST_m_03_BANK_*</t>
  </si>
  <si>
    <t>CONTEST_m_03_TB_*</t>
  </si>
  <si>
    <t>CONTEST_m_04_BANK_*</t>
  </si>
  <si>
    <t>CONTEST_m_04_TB_*</t>
  </si>
  <si>
    <t>CONTEST_m_05_BANK_*</t>
  </si>
  <si>
    <t>CONTEST_m_05_TB_*</t>
  </si>
  <si>
    <t>CONTEST_m_06_BANK_*</t>
  </si>
  <si>
    <t>CONTEST_m_06_TB_*</t>
  </si>
  <si>
    <t>CONTEST_m_07_BANK_*</t>
  </si>
  <si>
    <t>CONTEST_m_07_TB_*</t>
  </si>
  <si>
    <t>CONTEST_m_08_BANK_*</t>
  </si>
  <si>
    <t>CONTEST_m_09_BANK_*</t>
  </si>
  <si>
    <t>CONTEST_m_10_BANK_*</t>
  </si>
  <si>
    <t>CONTEST_s_01_01_BANK_*</t>
  </si>
  <si>
    <t>CONTEST_s_01_02_BANK_*</t>
  </si>
  <si>
    <t>CONTEST_s_01_03_BANK_*</t>
  </si>
  <si>
    <t>CONTEST_s_03_BANK_*</t>
  </si>
  <si>
    <t>CONTEST_s_04_BANK_*</t>
  </si>
  <si>
    <t>CONTEST_s_05_BANK_*</t>
  </si>
  <si>
    <t>CONTEST_s_06_BANK_*</t>
  </si>
  <si>
    <t>CONTEST_s_07_BANK_*</t>
  </si>
  <si>
    <t>01_2025-0_10-3_1_BANK_*</t>
  </si>
  <si>
    <t>01_2025-0_10-3_2_BANK_*</t>
  </si>
  <si>
    <t>01_2025-0_10-3_3_BANK_*</t>
  </si>
  <si>
    <t>CONTEST_08_01_BANK_*</t>
  </si>
  <si>
    <t>CONTEST_08_01_GOSB_*</t>
  </si>
  <si>
    <t>CONTEST_08_01_TB_*</t>
  </si>
  <si>
    <t>r_05_2025-0_18-7_1</t>
  </si>
  <si>
    <t>05_2025-0_18-7_1_r_05_2025-0_18-7_1_BANK</t>
  </si>
  <si>
    <t>r_05_2025-0_18-7_2</t>
  </si>
  <si>
    <t>05_2025-0_18-7_2_r_05_2025-0_18-7_2_BANK</t>
  </si>
  <si>
    <t>r_05_2025-0_18-7_3</t>
  </si>
  <si>
    <t>05_2025-0_18-7_3_r_05_2025-0_18-7_3_BANK</t>
  </si>
  <si>
    <t>r_05_2025-0_18-7_4</t>
  </si>
  <si>
    <t>05_2025-0_18-7_4_r_05_2025-0_18-7_4_BANK</t>
  </si>
  <si>
    <t>ИД3</t>
  </si>
  <si>
    <t>2025-04-01</t>
  </si>
  <si>
    <t>[{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</si>
  <si>
    <t>[{"filtered_attribute_code""":"""segment_mk""","""filtered_attribute_type""":"""STRING""","""filtered_attribute_match""":"""IN""","""filtered_attribute_condition""":["""10100""","""20201""","""20202""","""20605"""]}]"</t>
  </si>
  <si>
    <t>[{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</si>
  <si>
    <t>{"""feature""": [], """nftFlg""": """N""", """outstanding""": """N""", """rewardRule""": """""", """rewardAgainGlobal""": """Y""", """rewardAgainTournament""": """N""", """hidden""":"""N""", """fileName""": """""", """teamNews""": """""", """singleNews""": """""", """refreshOldNews""": """Y""", """businessBlock""": ["""KMKKSB"""], """recommendationLevel""": """BANK""", """priority""": """1""",  """masterBadge""": """Y""", """parentRewardCode""": """r_01_2025-0_18-7_1"""}</t>
  </si>
  <si>
    <t>{"""feature""": [], """nftFlg""": """N""", """outstanding""": """N""", """rewardRule""": """""", """rewardAgainGlobal""": """Y""", """rewardAgainTournament""": """N""", """hidden""":"""N""", """fileName""": """""", """teamNews""": """""", """singleNews""": """""", """refreshOldNews""": """Y""", """businessBlock""": ["""KMKKSB"""], """recommendationLevel""": """BANK""", """priority""": """1""",  """masterBadge""": """Y""", """parentRewardCode""": """r_01_2025-0_18-7_2"""}</t>
  </si>
  <si>
    <t>2025-04-03</t>
  </si>
  <si>
    <t>05_2025-0_18-8_1</t>
  </si>
  <si>
    <t>05_2025-0_18-8_1_BANK_*</t>
  </si>
  <si>
    <t>05_2025-0_18-8_2</t>
  </si>
  <si>
    <t>05_2025-0_18-8_2_BANK_*</t>
  </si>
  <si>
    <t>05_2025-0_18-8_3</t>
  </si>
  <si>
    <t>05_2025-0_18-8_3_BANK_*</t>
  </si>
  <si>
    <t>05_2025-0_18-8_4</t>
  </si>
  <si>
    <t>05_2025-0_18-8_4_BANK_*</t>
  </si>
  <si>
    <t>01_2025-0_08-2_5</t>
  </si>
  <si>
    <t>01_2025-0_08-2_5_TB_*</t>
  </si>
  <si>
    <t>r_05_2025-0_18-8_1_1</t>
  </si>
  <si>
    <t>05_2025-0_18-8_1_r_05_2025-0_18-8_1_1_BANK</t>
  </si>
  <si>
    <t>05_2025-0_18-8_1_BANK</t>
  </si>
  <si>
    <t>r_05_2025-0_18-8_2_2</t>
  </si>
  <si>
    <t>05_2025-0_18-8_2_r_05_2025-0_18-8_2_2_BANK</t>
  </si>
  <si>
    <t>05_2025-0_18-8_2_BANK</t>
  </si>
  <si>
    <t>r_05_2025-0_18-8_3_3</t>
  </si>
  <si>
    <t>05_2025-0_18-8_3_r_05_2025-0_18-8_3_3_BANK</t>
  </si>
  <si>
    <t>05_2025-0_18-8_3_BANK</t>
  </si>
  <si>
    <t>r_05_2025-0_18-8_4_4</t>
  </si>
  <si>
    <t>05_2025-0_18-8_4_r_05_2025-0_18-8_4_4_BANK</t>
  </si>
  <si>
    <t>05_2025-0_18-8_4_BANK</t>
  </si>
  <si>
    <t>r_01_2025-0_08-2_5_1</t>
  </si>
  <si>
    <t>01_2025-0_08-2_5_r_01_2025-0_08-2_5_1_TB</t>
  </si>
  <si>
    <t>01_2025-0_08-2_5_TB</t>
  </si>
  <si>
    <t>{"""feature""": [], """nftFlg""": """N""", """outstanding""": """N""", """rewardRule""": """Бейдж получат ТОП-1 от числа участников вподразделении""",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"""N""", """parentRewardCode""": """r_01_2025-1_00-1_3"""}</t>
  </si>
  <si>
    <t>{"""feature""": ["""Учитываются клиенты только в рамках выставленных задач на привлечение"""], """nftFlg""": """N""", """outstanding""": """N""", """rewardRule""": """""", """rewardAgainGlobal""": """Y""", """rewardAgainTournament""": """N""", """hidden""":"""N""", """fileName""": """""", """teamNews""": """""", """singleNews""": """""", """refreshOldNews""": """Y""", """businessBlock""": ["""KMSB1"""], """recommendationLevel""": """GOSB""", """priority""": """1""",  """masterBadge""": """Y""", """parentRewardCode""": """r_05_2025-0_18-7_1"""}</t>
  </si>
  <si>
    <t>{"""feature""": ["""Учитываются клиенты только в рамках выставленных задач на привлечение"""], """nftFlg""": """N""", """outstanding""": """N""", """rewardRule""": """""", """rewardAgainGlobal""": """Y""", """rewardAgainTournament""": """N""", """hidden""":"""N""", """fileName""": """""", """teamNews""": """""", """singleNews""": """""", """refreshOldNews""": """Y""", """businessBlock""": ["""KMSB1"""], """recommendationLevel""": """TB""", """priority""": """1""",  """masterBadge""": """Y""", """parentRewardCode""": """r_05_2025-0_18-7_2"""}</t>
  </si>
  <si>
    <t>1 привлеченный клиент ЮЛ</t>
  </si>
  <si>
    <t>Привлеки 1 клиента-ЛПР компании на продукты для юридических лиц и получи награду.</t>
  </si>
  <si>
    <t>{"""feature""": ["""В зачёт принимаются клиенты, чьи активные продукты для юридических лиц принесли Банку положительный доход""", """Инициатива реализуется Корпоративно-инвестиционным блоком совместно с каналом СберПервый"""], """nftFlg""": """N""", """outstanding""": """N""", """rewardRule""": """""", """rewardAgainGlobal""": """Y""", """rewardAgainTournament""": """N""", """hidden""":"""N""", """fileName""": """""", """teamNews""": """""", """singleNews""": """""", """refreshOldNews""": """Y""", """businessBlock""": ["""KMSB1"""], """recommendationLevel""": """GOSB""", """priority""": """1""",  """masterBadge""": """Y""", """parentRewardCode""": """r_05_2025-0_18-8_1_1"""}</t>
  </si>
  <si>
    <t>Привлеки 3 клиента-ЛПР компании на продукты для юридических лиц и получи награду.</t>
  </si>
  <si>
    <t>{"""feature""": ["""В зачёт принимаются клиенты, чьи активные продукты для юридических лиц принесли Банку положительный доход""", """Инициатива реализуется Корпоративно-инвестиционным блоком совместно с каналом СберПервый"""], """nftFlg""": """N""", """outstanding""": """N""", """rewardRule""": """""", """rewardAgainGlobal""": """Y""", """rewardAgainTournament""": """N""", """hidden""":"""N""", """fileName""": """""", """teamNews""": """""", """singleNews""": """""", """refreshOldNews""": """Y""", """businessBlock""": ["""KMSB1"""], """recommendationLevel""": """TB""", """priority""": """1""",  """masterBadge""": """Y""", """parentRewardCode""": """r_05_2025-0_18-8_2_2"""}</t>
  </si>
  <si>
    <t>Привлеки 10 клиентов-ЛПР компании на продукты для юридических лиц и получи награду.</t>
  </si>
  <si>
    <t>t_01_2025-0_08-2_5_2021</t>
  </si>
  <si>
    <t>01_2025-0_08-2_5_t_01_2025-0_08-2_5_2021</t>
  </si>
  <si>
    <t>2000000</t>
  </si>
  <si>
    <t>Клиенты ЮЛ</t>
  </si>
  <si>
    <t>174</t>
  </si>
  <si>
    <t>175</t>
  </si>
  <si>
    <t>176</t>
  </si>
  <si>
    <t>177</t>
  </si>
  <si>
    <t>178</t>
  </si>
  <si>
    <t>CONTESTANT_SELECTION</t>
  </si>
  <si>
    <t>[{"period_code": 1, "criterion_mark_type": "&gt;", "criterion_mark_value": 0, "start_dt": "2025-01-01" , "end_dt": "2025-01-31"}]</t>
  </si>
  <si>
    <t>[{"period_code": 1, "criterion_mark_type": "&gt;", "criterion_mark_value": 0, "start_dt": "2025-02-01" , "end_dt": "2025-02-28"}]</t>
  </si>
  <si>
    <t>DIVIDER</t>
  </si>
  <si>
    <t>PPO_ALL</t>
  </si>
  <si>
    <t>179</t>
  </si>
  <si>
    <t>NUMERATOR</t>
  </si>
  <si>
    <t>PPO_IN</t>
  </si>
  <si>
    <t>180</t>
  </si>
  <si>
    <t>LINK.CONTEST_CODE</t>
  </si>
  <si>
    <t>r_01_2025-1_02-3_1t_1</t>
  </si>
  <si>
    <t>{"""feature""": [], """nftFlg""": """N""", """outstanding""": """N""", """rewardRule""": """Бейдж получат 10% участников турнира в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"""Y""", """parentRewardCode""": """r_01_2025-1_02-3_1t_1"""}</t>
  </si>
  <si>
    <t>01_2025-1_02-3_1t</t>
  </si>
  <si>
    <t>r_01_2025-1_02-3_1t_3</t>
  </si>
  <si>
    <t>{"""feature""": [], """nftFlg""": """N""", """outstanding""": """N""", """rewardRule""": """Бейдж получат ТОП-3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"""Y""", """parentRewardCode""": """r_01_2025-1_02-3_1t_3"""}</t>
  </si>
  <si>
    <t>r_01_2025-1_02-3_1t_4</t>
  </si>
  <si>
    <t>{"""feature""": ["""Факт получения бейджа попадает в ленту сообщества"""], """nftFlg""": """N""", """outstanding""": """N""", """rewardRule""": """Бейдж получат ТОП-3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«Интернализация. Повышаем уровень». Они показали лучший результат по приросту коэффициента интернализации по итогам турнира во всей стране""", """singleNews""": """Новое достижение! [Имя] [gender:1:стал|gender:2:стала] победителем турнира «Интернализация. Повышаем уровень». [gender:1:Он|gender:2:Она] [gender:1:показал|gender:2:показала] лучший результат по приросту коэффициента интернализации по итогам турнира во всей стране""", """refreshOldNews""": """Y""", """businessBlock""": ["""KMKKSB"""], """recommendationLevel""": """BANK""", """priority""": """1""",  """masterBadge""": """Y""", """parentRewardCode""": """r_01_2025-1_02-3_1t_4"""}</t>
  </si>
  <si>
    <t>01_2025-1_02-3_1t_BANK</t>
  </si>
  <si>
    <t>01_2025-1_02-3_1t_BANK_*</t>
  </si>
  <si>
    <t>01_2025-1_02-3_1t_GOSB</t>
  </si>
  <si>
    <t>01_2025-1_02-3_1t_GOSB_*</t>
  </si>
  <si>
    <t>01_2025-1_02-3_1t_TB</t>
  </si>
  <si>
    <t>01_2025-1_02-3_1t_TB_*</t>
  </si>
  <si>
    <t>01_2025-1_02-3_1t_r_01_2025-1_02-3_1t_1_GOSB</t>
  </si>
  <si>
    <t>01_2025-1_02-3_1t_r_01_2025-1_02-3_1t_3_TB</t>
  </si>
  <si>
    <t>01_2025-1_02-3_1t_r_01_2025-1_02-3_1t_4_BANK</t>
  </si>
  <si>
    <t>t_01_2025-1_02-3_1t_3021</t>
  </si>
  <si>
    <t>01_2025-1_02-3_1t_t_01_2025-1_02-3_1t_3021</t>
  </si>
  <si>
    <t>t_01_2025-1_02-3_1t_3031</t>
  </si>
  <si>
    <t>01_2025-1_02-3_1t_t_01_2025-1_02-3_1t_3031</t>
  </si>
  <si>
    <t>t_01_2025-1_02-3_1t_3041</t>
  </si>
  <si>
    <t>[{"period_code": 1, "criterion_mark_type": "&gt;", "criterion_mark_value": 0, "start_dt": "2025-03-01" , "end_dt": "2025-03-31"}]</t>
  </si>
  <si>
    <t>01_2025-1_02-3_1t_t_01_2025-1_02-3_1t_3041</t>
  </si>
  <si>
    <t>3 привлеченных клиента ЮЛ</t>
  </si>
  <si>
    <t>5 привлеченных клиентов ЮЛ</t>
  </si>
  <si>
    <t>10 привлеченных клиентов ЮЛ</t>
  </si>
  <si>
    <t>2025-04-05</t>
  </si>
  <si>
    <t>{"""feature""": ["""Бейдж выдается за каждый проект""","""Информация об участниках обновляется ежеквартально"""], """nftFlg""": """N""", """outstanding""": """Y""", """rewardRule""": """""", """rewardAgainGlobal""": """Y""", """rewardAgainTournament""": """N""", """hidden""":"""N""", """fileName""": """CT_TITLE_PROJECT""", """teamNews""": """&lt;span&gt;[Имя_Фамилия]&lt;/span&gt; и еще [n] [amount:менеджер] провели ДЕМО проектов цифровой трансформации на уровне старшего вице-президента КИБ Владимира Ситнова совместно с CSM своего тербанка. Крутой результат, так держать!""", """singleNews""": """[Имя] [gender:1:провел|gender:2:провела] ДЕМО проекта цифровой трансформации на уровне старшего вице-президента КИБ Владимира Ситнова совместно с CSM своего тербанка. Крутой результат, так держать!""", """refreshOldNews""": """N""", """businessBlock""": ["""KMKKSB"""], """recommendationLevel""": """BANK""", """priority""": """1""",  """masterBadge""": """Y""", """parentRewardCode""": """r_01_2025-0_12-1_1"""}</t>
  </si>
  <si>
    <t>Привлеки 5 клиентов-ЛПР компании на продукты для юридических лиц и получи награду.</t>
  </si>
  <si>
    <t>{"""feature""": ["""В зачёт принимаются клиенты, чьи активные продукты для юридических лиц принесли Банку положительный доход""", """Инициатива реализуется Корпоративно-инвестиционным блоком совместно с каналом СберПервый"""], """nftFlg""": """N""", """outstanding""": """Y""", """rewardRule""": """""", """rewardAgainGlobal""": """Y""", """rewardAgainTournament""": """N""", """hidden""":"""N""", """fileName""": """""", """teamNews""": """&lt;span&gt;[Имя_Фамилия]&lt;/span&gt; и еще [n] [amount:менеджер] получили награду «10 привлеченных клиентов ЮЛ». На текущий момент они привлекли 5 клиентов-ЛПР компании на продукты для юридических лиц, что является отличным результатом. Поздравляем!""", """singleNews""": """[Имя] [gender:1:получил|gender:2:получила] награду «10 привлеченных клиентов ЮЛ». На текущий момент  [gender:1:он|gender:2:она] [gender:1:привлек|gender:2:привлекла]  5 клиентов-ЛПР компании на продукты для юридических лиц, что является отличным результатом. Поздравляем!""", """refreshOldNews""": """Y""", """businessBlock""": ["""KMSB1"""], """recommendationLevel""": """BANK""", """priority""": """1""",  """masterBadge""": """Y""", """parentRewardCode""": """r_05_2025-0_18-8_3_3"""}</t>
  </si>
  <si>
    <t>{"""feature""": ["""В зачёт принимаются клиенты, чьи активные продукты для юридических лиц принесли Банку положительный доход""", """Инициатива реализуется Корпоративно-инвестиционным блоком совместно с каналом СберПервый"""], """nftFlg""": """N""", """outstanding""": """Y""", """rewardRule""": """""", """rewardAgainGlobal""": """Y""", """rewardAgainTournament""": """N""", """hidden""":"""N""", """fileName""": """""", """teamNews""": """&lt;span&gt;[Имя_Фамилия]&lt;/span&gt; и еще [n] [amount:менеджер] получили награду «10 привлеченных клиентов ЮЛ». На текущий момент они привлекли 10 клиентов-ЛПР компании на продукты для юридических лиц, что является отличным результатом. Поздравляем!""", """singleNews""": """[Имя] [gender:1:получил|gender:2:получила] награду «10 привлеченных клиентов ЮЛ». На текущий момент  [gender:1:он|gender:2:она] [gender:1:привлек|gender:2:привлекла]  10 клиентов-ЛПР компании на продукты для юридических лиц, что является отличным результатом. Поздравляем!""", """refreshOldNews""": """Y""", """businessBlock""": ["""KMSB1"""], """recommendationLevel""": """BANK""", """priority""": """1""",  """masterBadge""": """Y""", """parentRewardCode""": """r_05_2025-0_18-8_4_4"""}</t>
  </si>
  <si>
    <t>2025-03-10</t>
  </si>
  <si>
    <t>2025-03-30</t>
  </si>
  <si>
    <t>2025-08-31</t>
  </si>
  <si>
    <t>тыс. руб.</t>
  </si>
  <si>
    <t>Золото#Защита Бизнеса 360. Максимизируем комиссию</t>
  </si>
  <si>
    <t>Для получения бейджа необходимо победить в турнире «Защита Бизнеса 360. Максимизируй комиссию».</t>
  </si>
  <si>
    <t>{"""feature""": ["""В зачет идут сделки, оформленные, начиная с 1 января 2025 года по 31 марта 2025 года""","""Информация обновляется еженедельно на основе отчета по продажам продуктов управления благосостояния"""], """nftFlg""": """N""", """outstanding""": """Y""", """rewardRule""": """""", """rewardAgainGlobal""": """N""", """rewardAgainTournament""": """N""", """hidden""":"""N""", """fileName""": """""", """teamNews""": """&lt;span&gt;[Имя_Фамилия]&lt;/span&gt; и еще [n] [amount:менеджер] стали победителями турнира «Защита Бизнеса 360. Максимизируй комиссию». Каждый из них собрал комиссию по продукту на сумму более 2 млн рублей. Так держать!""", """singleNews""": """Новое достижение! [Имя] [gender:1:стал|gender:2:стала] победителем турнира «Защита Бизнеса 360. Максимизируй комиссию». Была собрана комиссия по продукту на сумму более 2 млн рублей. Так держать!""", """refreshOldNews""": """Y""", """businessBlock""": ["""KMKKSB"""], """recommendationLevel""": """TB""", """priority""": """1""",  """masterBadge""": """N""", """parentRewardCode""": """r_01_2025-1_00-1_1"""}</t>
  </si>
  <si>
    <t>{"""feature""": ["""В зачет идут сделки, оформленные, начиная с 1 апреля 2025 года по 30 июня 2025 года""","""Информация обновляется еженедельно на основе отчета по продажам продуктов управления благосостояния"""], """nftFlg""": """N""", """outstanding""": """Y""", """rewardRule""": """""", """rewardAgainGlobal""": """N""", """rewardAgainTournament""": """N""", """hidden""":"""N""", """fileName""": """""", """teamNews""": """&lt;span&gt;[Имя_Фамилия]&lt;/span&gt; и еще [n] [amount:менеджер] стали победителями турнира «Защита Бизнеса 360. Максимизируй комиссию». Каждый из них собрал комиссию по продукту на сумму более 2 млн рублей. Так держать!""", """singleNews""": """Новое достижение! [Имя] [gender:1:стал|gender:2:стала] победителем турнира «Защита Бизнеса 360. Максимизируй комиссию». Была собрана комиссия по продукту на сумму более 3 млн рублей. Так держать!""", """refreshOldNews""": """Y""", """businessBlock""": ["""KMKKSB"""], """recommendationLevel""": """TB""", """priority""": """1""",  """masterBadge""": """N""", """parentRewardCode""": """r_01_2025-1_00-1_1"""}</t>
  </si>
  <si>
    <t>2025-04-09</t>
  </si>
  <si>
    <t>2025-04-07</t>
  </si>
  <si>
    <t>Защита Бизнеса 360. Максимизируй комиссию</t>
  </si>
  <si>
    <t>Чтобы стать участником турнира необходимо в 1 квартале получить комиссионное вознаграждение не менее чем от двух сделок по страховому продукту «Защита Бизнеса 360». Общая сумма сделок должна превышать 2 млн рублей. ТОП-3 участника в каждом тербанке станут победителями турнира!</t>
  </si>
  <si>
    <t>Чтобы стать участником турнира необходимо во 2 квартале получить комиссионное вознаграждение не менее чем от двух сделок по страховому продукту «Защита Бизнеса 360». Общая сумма КВ от сделок должна превышать 2 млн рублей. ТОП-3 участника в каждом тербанке станут победителями турнира!</t>
  </si>
  <si>
    <t>t_05_2025-0_18-8_1_1001</t>
  </si>
  <si>
    <t>t_05_2025-0_18-8_2_1001</t>
  </si>
  <si>
    <t>t_05_2025-0_18-8_3_1001</t>
  </si>
  <si>
    <t>t_05_2025-0_18-8_4_1001</t>
  </si>
  <si>
    <t>05_2025-0_18-8_1_t_05_2025-0_18-8_1_1001</t>
  </si>
  <si>
    <t>05_2025-0_18-8_2_t_05_2025-0_18-8_2_1001</t>
  </si>
  <si>
    <t>05_2025-0_18-8_3_t_05_2025-0_18-8_3_1001</t>
  </si>
  <si>
    <t>05_2025-0_18-8_4_t_05_2025-0_18-8_4_1001</t>
  </si>
  <si>
    <t>{"""feature""": ["""Учитываются клиенты только в рамках выставленных задач на привлечение""", """Факт получения бейджа попадает в ленту сообщества"""], """nftFlg""": """N""", """outstanding""": """Y""", """rewardRule""": """""", """rewardAgainGlobal""": """Y""", """rewardAgainTournament""": """N""", """hidden""":"""N""", """fileName""": """""", """teamNews""": """&lt;span&gt;[Имя_Фамилия]&lt;/span&gt; и еще [n] [amount:менеджер] получили награду «5 клиентов на пакет услуг». На текущий момент они привлекли 5 клиентов на пакет услуг, что является отличным результатом. Поздравляем!""", """singleNews""": """[Имя] [gender:1:получил|gender:2:получила] награду «5 клиентов на пакет услуг». На текущий момент  [gender:1:он|gender:2:она] [gender:1:привлек|gender:2:привлекла] 5 клиентов на пакет услуг, что является отличным результатом. Поздравляем!""", """refreshOldNews""": """Y""", """businessBlock""": ["""KMSB1"""], """recommendationLevel""": """BANK""", """priority""": """1""",  """masterBadge""": """Y""", """parentRewardCode""": """r_05_2025-0_18-7_3"""}</t>
  </si>
  <si>
    <t>2025-04-14</t>
  </si>
  <si>
    <t>{"""feature""": ["""Факт получения бейджа попадает в ленту сообщества"""], """nftFlg""": """N""", """outstanding""": """Y""", """rewardRule""": """""", """rewardAgainGlobal""": """Y""", """rewardAgainTournament""": """N""", """hidden""":"""N""", """fileName""": """""", """teamNews""": """&lt;span&gt;[Имя_Фамилия]&lt;/span&gt; и еще [n] [amount:менеджер] получили награду «5 клиентов на пакет услуг». На текущий момент они привлекли 5 клиентов на пакет услуг, что является отличным результатом. Поздравляем!""", """singleNews""": """[Имя] [gender:1:получил|gender:2:получила] награду «5 клиентов на пакет услуг». На текущий момент  [gender:1:он|gender:2:она] [gender:1:привлек|gender:2:привлекла] 5 клиентов на пакет услуг, что является отличным результатом. Поздравляем!""", """refreshOldNews""": """Y""", """businessBlock""": ["""KMKKSB"""], """recommendationLevel""": """BANK""", """priority""": """1""",  """masterBadge""": """Y""", """parentRewardCode""": """r_01_2025-0_18-7_3"""}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</si>
  <si>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«Process Mining. Максимизируй комиссию». Они показали лучший результат по итогам турнира во всей стране""", """singleNews""": """Новое достижение! [Имя] [gender:1:стал|gender:2:стала] победителем турнира «Process Mining. Максимизируй комиссию».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</si>
  <si>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«Навигатор BI. Максимизируй комиссию». Они показали лучший результат по итогам турнира во всей стране""", """singleNews""": """Новое достижение! [Имя] [gender:1:стал|gender:2:стала] победителем турнира «Навигатор BI. Максимизируй комиссию».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</si>
  <si>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{"""feature""": ["""Факт получения бейджа попадает в ленту сообщества"""], """nftFlg""": """N""", """outstanding""": """Y""", """rewardRule""": """Бейдж получат ТОП-15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«СберИндексПро. Максимизируй комиссию». Они показали лучший результат по итогам турнира во всей стране""", """singleNews""": """Новое достижение! [Имя] [gender:1:стал|gender:2:стала] победителем турнира «СберИндексПро. Максимизируй комиссию».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</si>
  <si>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teamNews</t>
  </si>
  <si>
    <t>singleNews</t>
  </si>
  <si>
    <t>businessBlock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</si>
  <si>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«Process Mining. Максимизируй комиссию». Они показали лучший результат в стране""", """singleNews""": """Новое достижение! [Имя] [gender:1:стал|gender:2:стала] победителем турнира «Process Mining. Максимизируй комиссию».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</si>
  <si>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«Навигатор BI. Максимизируй комиссию». Они показали лучший результат в стране""", """singleNews""": """Новое достижение! [Имя] [gender:1:стал|gender:2:стала] победителем турнира «Навигатор BI. Максимизируй комиссию».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</si>
  <si>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«СберИндексПро. Максимизируй комиссию». Они показали лучший результат в стране""", """singleNews""": """Новое достижение! [Имя] [gender:1:стал|gender:2:стала] победителем турнира «СберИндексПро. Максимизируй комиссию».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</si>
  <si>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 портфелем стали победителями турнира «Новые деньги. Наращиваем СДО (КМ с портфелем)». Они показали лучший прирост СДО новых денег по итогам турнира в СберФакторинге""", """singleNews""": """Новое достижение! [Имя] [gender:1:стал|gender:2:стала] победителем турнира «Новые деньги. Наращиваем СДО (КМ с портфелем)». [gender:1:Он|gender:2:Она] [gender:1:показал|gender:2:показала] лучший прирост СДО новых денег по итогам турнира в СберФакторинге""", """refreshOldNews""": """Y""", """businessBlock""": ["""KMFACTORING"""], """recommendationLevel""": """BANK""", """priority""": """1""",  """masterBadge""": """N""", """parentRewardCode""": """r_04_2025-0_00-1_1"""}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</si>
  <si>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сопровождения потоковых сделок стали победителями турнира «Производительность. Потоковые сделки (МС)». Они набрали максимальный балл по рейтингу производительности потоковых сделок по итогам турнира в СберФакторинге""", """singleNews""": """Новое достижение! [Имя] [gender:1:стал|gender:2:стала] победителем турнира «Производительность. Потоковые сделки (МС)». [gender:1:Он|gender:2:Она] [gender:1:набрал|gender:2:набрала] максимальный балл по рейтингу производительности потоковых сделок по итогам турнира в СберФакторинге""", """refreshOldNews""": """Y""", """businessBlock""": ["""KMFACTORING"""], """recommendationLevel""": """BANK""", """priority""": """1""",  """masterBadge""": """N""", """parentRewardCode""": """r_04_2025-0_00-1_1"""}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</si>
  <si>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сопровождения индивидуальных сделок стали победителями турнира «Производительность. Индивидуальные сделки (МС)». Они набрали максимальный балл по рейтингу производительности индивидуальных сделок по итогам турнира в СберФакторинге""", """singleNews""": """Новое достижение! [Имя] [gender:1:стал|gender:2:стала] победителем турнира «Производительность. Индивидуальные сделки (МС)». [gender:1:Он|gender:2:Она] [gender:1:набрал|gender:2:набрала] максимальный балл по рейтингу производительности индивидуальных сделок по итогам турнира в СберФакторинге""", """refreshOldNews""": """Y""", """businessBlock""": ["""KMFACTORING"""], """recommendationLevel""": """BANK""", """priority""": """1""",  """masterBadge""": """N""", """parentRewardCode""": """r_04_2025-0_00-1_1"""}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</si>
  <si>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сопровождения изменений стали победителями турнира «Производительность. Сделки изменений (МС)». Они показали лучшиий реузльтат по рейтингу производительности изменений по итогам турнира в СберФакторинге""", """singleNews""": """Новое достижение! [Имя] [gender:1:стал|gender:2:стала] победителем турнира «Производительность. Сделки изменений (МС)». [gender:1:Он|gender:2:Она] [gender:1:показал|gender:2:показала] лучший результат по рейтингу производительности изменений по итогам турнира в СберФакторинге""", """refreshOldNews""": """Y""", """businessBlock""": ["""KMFACTORING"""], """recommendationLevel""": """BANK""", """priority""": """1""",  """masterBadge""": """N""", """parentRewardCode""": """r_04_2025-0_00-1_1"""}</t>
  </si>
  <si>
    <t>2025-04-16</t>
  </si>
  <si>
    <t>Опердоход за 3 месяца 2025</t>
  </si>
  <si>
    <t>Темп роста опердохода (3 месяца 2025 года к 3 месяцам 2024 года)</t>
  </si>
  <si>
    <t>Сумма, руб.</t>
  </si>
  <si>
    <t>Участвуют клиентские менеджеры, которые с 1 января 2025 года показали положительный прирост среднего остатка пассивов (РТС, НСО, депозиты). Учитываются, привлеченные под положительную маржу. \\nПо итогам турнира в каждом ТБ победят менеджеры, вошедшие в 20% лучших по интегральному показателю: 50% абсолютный прирост пассивов и 50% относительная динамика прироста!</t>
  </si>
  <si>
    <t>2025-04-17</t>
  </si>
  <si>
    <t>2025-04-15</t>
  </si>
  <si>
    <t>2025-04-19</t>
  </si>
  <si>
    <t>t_01_2025-0_10-3_1_1001</t>
  </si>
  <si>
    <t>01_2025-0_10-3_1_t_01_2025-0_10-3_1_1001</t>
  </si>
  <si>
    <t>t_01_2025-0_10-3_2_1001</t>
  </si>
  <si>
    <t>01_2025-0_10-3_2_t_01_2025-0_10-3_2_1001</t>
  </si>
  <si>
    <t>t_01_2025-0_10-3_3_1001</t>
  </si>
  <si>
    <t>01_2025-0_10-3_3_t_01_2025-0_10-3_3_1001</t>
  </si>
  <si>
    <t>masterBadge</t>
  </si>
  <si>
    <t>parentRewardCode</t>
  </si>
  <si>
    <t>feature</t>
  </si>
  <si>
    <t>itemFeature</t>
  </si>
  <si>
    <t>nftFlg</t>
  </si>
  <si>
    <t>outstanding</t>
  </si>
  <si>
    <t>rewardRule</t>
  </si>
  <si>
    <t>rewardAgainGlobal</t>
  </si>
  <si>
    <t>rewardAgainTournament</t>
  </si>
  <si>
    <t>hidden</t>
  </si>
  <si>
    <t>fileName</t>
  </si>
  <si>
    <t>refreshOldNews</t>
  </si>
  <si>
    <t>itemGroupAmount</t>
  </si>
  <si>
    <t>isGroupingTitle</t>
  </si>
  <si>
    <t>isGroupingTultip</t>
  </si>
  <si>
    <t>itemAmount</t>
  </si>
  <si>
    <t>isGrouping</t>
  </si>
  <si>
    <t>isGroupingName</t>
  </si>
  <si>
    <t>itemMinShow</t>
  </si>
  <si>
    <t>itemLimitCount</t>
  </si>
  <si>
    <t>itemLimitPeriod</t>
  </si>
  <si>
    <t>seasonItem</t>
  </si>
  <si>
    <t>bookingRequired</t>
  </si>
  <si>
    <t>deliveryRequired</t>
  </si>
  <si>
    <t>commingSoon</t>
  </si>
  <si>
    <t>ignoreConditions</t>
  </si>
  <si>
    <t>Команда проекта свяжется с Вами в течение первого квартала 2025 года по рабочей почте для подтверждения бронирования и расскажет о дальнейших шагах.</t>
  </si>
  <si>
    <t>SEASON_2024</t>
  </si>
  <si>
    <t>очная стажировка</t>
  </si>
  <si>
    <t>once</t>
  </si>
  <si>
    <t>Y</t>
  </si>
  <si>
    <t>После зачисления вся информация о программе появится в «Пульсе» в разделе «Развитие»</t>
  </si>
  <si>
    <t>Команда проекта свяжется с Вами в течение третьего квартала 2025 года по рабочей почте для подтверждения бронирования и расскажет о дальнейших шагах.</t>
  </si>
  <si>
    <t>SEASON_2025_1</t>
  </si>
  <si>
    <t>Сертификат будет направлен Вам в течение второго полугодия на рабочую почту</t>
  </si>
  <si>
    <t>Сертификат будет направлен Вам в течение  второго полугодия на рабочую почту.</t>
  </si>
  <si>
    <t>SberShop</t>
  </si>
  <si>
    <t>Доступно всего 20 книг</t>
  </si>
  <si>
    <t>Книга будет направлена внутренней почтой к Вашему рабочему месту, указанному в справочнике, в течение третьего квартала 2025 года.</t>
  </si>
  <si>
    <t>Книга от Ситнова ВВ</t>
  </si>
  <si>
    <t>Дата сессии будет определена в 3-м квартале</t>
  </si>
  <si>
    <t>Онлайн с Меламедом СВ</t>
  </si>
  <si>
    <t>Команда проекта свяжется с Вами заранее по рабочей почте для подтверждения бронирования и расскажет о дальнейших шагах.</t>
  </si>
  <si>
    <t>встреча лидеров</t>
  </si>
  <si>
    <t>Колонку пришлют по почте прямо к Вашему рабочему месту, указанному в справочнике в 3-4 квартале 2025 года.</t>
  </si>
  <si>
    <t>гаджет</t>
  </si>
  <si>
    <t>Команда проекта свяжется с Вами в 3-м квартале 2025 года по рабочей почте для подтверждения бронирования и расскажет о дальнейших шагах.</t>
  </si>
  <si>
    <t>гемба ЦА</t>
  </si>
  <si>
    <t>С вами свяжутся в течение месяца, чтобы уточнить контактные данные родителей. Благодарственное письмо пришлют по почте прямо к Вашему рабочему месту, указанному в справочнике.</t>
  </si>
  <si>
    <t>Благодарственное письмо</t>
  </si>
  <si>
    <t>Сертификат будут направлены Вам в течение первого квартала на рабочую почту.</t>
  </si>
  <si>
    <t>Сертификат будет направлен Вам в течение первого квартала на рабочую почту.</t>
  </si>
  <si>
    <t>Доступно всего 40 книг</t>
  </si>
  <si>
    <t>Книга будет направлена внутренней почтой к Вашему рабочему месту, указанному в справочнике, в течение первого квартала 2025 года.</t>
  </si>
  <si>
    <t>Команда проекта свяжется с Вами в начале 2025 года по рабочей почте для подтверждения бронирования и расскажет о дальнейших шагах.</t>
  </si>
  <si>
    <t>Колонку пришлют по почте прямо к Вашему рабочему месту, указанному в справочнике до конца 2024 года.</t>
  </si>
  <si>
    <t>проектная деятельность</t>
  </si>
  <si>
    <t>Стажировка ДГР</t>
  </si>
  <si>
    <t>SEASON_m_2024</t>
  </si>
  <si>
    <t>обед</t>
  </si>
  <si>
    <t>Сертификат будут направлены Вам в течение второго квартала на рабочую почту.</t>
  </si>
  <si>
    <t>Команда проекта свяжется с Вами в апреле-мае 2025 года по рабочей почте для подтверждения бронирования и расскажет о дальнейших шагах.</t>
  </si>
  <si>
    <t>Стажировка Сберздоровье</t>
  </si>
  <si>
    <t>GURU</t>
  </si>
  <si>
    <t>VASCODAGAMA</t>
  </si>
  <si>
    <t>INDIA_COMMISSION_100K</t>
  </si>
  <si>
    <t>INDIA_COMMISSION_500K</t>
  </si>
  <si>
    <t>INDIA_COMMISSION_3M</t>
  </si>
  <si>
    <t>&lt;span&gt;[Имя_Фамилия]&lt;/span&gt; и еще [n] [amount:менеджер] заработали для банка по 3 млн руб. комиссии от импортных и экспортных сделок с индийскими контрагентами</t>
  </si>
  <si>
    <t>Новое достижение! [Имя] [gender:1:заработал|gender:2:заработала] для банка 3 млн руб. комиссии от импортных и экспортных сделок своих клиентов с индийскими контрагентами</t>
  </si>
  <si>
    <t>&lt;span&gt;[Имя_Фамилия]&lt;/span&gt; и еще [n] [amount:менеджер] преодолели отметку в 10 млн руб. комиссии от импортных и экспортных сделок с индийскими контрагентами</t>
  </si>
  <si>
    <t>Новое достижение! [Имя] [gender:1:преодолел|gender:2:преодолела] отметку в 10 млн руб. комиссии от импортных и экспортных сделок с индийскими контрагентами</t>
  </si>
  <si>
    <t>INDIA_COMMISSION_X2</t>
  </si>
  <si>
    <t>&lt;span&gt;[Имя_Фамилия]&lt;/span&gt; и еще [n] [amount:менеджер] смогли удвоить заработанную комиссию по сделкам с индийскими контрагентами по сравнению с предыдущим месяцем. Так держать!</t>
  </si>
  <si>
    <t>Новое достижение! [Имя] [gender:1:смог|gender:2:согла] удвоить заработанную комиссию по сделкам с индийскими контрагентами по сравнению с предыдущим месяцем. Так держать!</t>
  </si>
  <si>
    <t>INDIA_COMMISSION_X3</t>
  </si>
  <si>
    <t>&lt;span&gt;[Имя_Фамилия]&lt;/span&gt; и еще [n] [amount:менеджер] сделали в прошедшем месяце тройную сумму комиссии по сделкам с индийскими компаниями, чем месяцем ранее. Взята высокая планка!</t>
  </si>
  <si>
    <t>Новое достижение! [Имя] [gender:1:сделал|gender:2:сделала] в прошедшем месяце тройную сумму комиссии по сделкам с индийскими компаниями, чем месяцем ранее. Взята высокая планка!</t>
  </si>
  <si>
    <t>INDIA_COMMISSION_X4</t>
  </si>
  <si>
    <t>&lt;span&gt;[Имя_Фамилия]&lt;/span&gt; и еще [n] [amount:менеджер] смогли заработать в прошедшем месяце комиссию от сделок с индийскими компаниями в 4 раза больше, чем в позапрошлом месяце. Крутой результат!</t>
  </si>
  <si>
    <t>Новое достижение! [Имя] [gender:1:смог|gender:2:смогла] заработать в прошедшем месяце комиссию от сделок с индийскими компаниями в 4 раза больше, чем в позапрошлом месяце. Крутой результат!</t>
  </si>
  <si>
    <t>Бейдж получат 10% от числа участников турнира в подразделении</t>
  </si>
  <si>
    <t>TOURNAMENT_CONDITIONAL_DEALS_GOSB</t>
  </si>
  <si>
    <t>Бейдж получат 7% от числа участников турнира в кластере</t>
  </si>
  <si>
    <t>TOURNAMENT_CONDITIONAL_DEALS_TB</t>
  </si>
  <si>
    <t>Бейдж получат 7% от числа участников турнира в тербанке</t>
  </si>
  <si>
    <t>Бейдж получат 1% от числа участников турнира в стране</t>
  </si>
  <si>
    <t>TOURNAMENT_CONDITIONAL_DEALS_BANK</t>
  </si>
  <si>
    <t>&lt;span&gt;[Имя_Фамилия]&lt;/span&gt; и еще [n] [amount:менеджер] стали победителями турнира “Марафон по условным сделкам”. Они показали лучший результат в стране</t>
  </si>
  <si>
    <t>Новое достижение! [Имя] [gender:1:стал|gender:2:стала] победителем турнира “Марафон по условным сделкам”. [gender:1:Он|gender:2:Она] [gender:1:показал|gender:2:показала] лучший результат в стране</t>
  </si>
  <si>
    <t>Бейдж получит участник с лучшим результатом по числу условных сделок от активов в своем подразделении</t>
  </si>
  <si>
    <t>Бейдж получит участник с лучшим результатом по числу условных сделок от активов в своем кластере</t>
  </si>
  <si>
    <t>Факт получения бейджа попадает в ленту сообщества</t>
  </si>
  <si>
    <t>Бейдж получит участник с лучшим результатом по числу условных сделок от активов в своем тербанке</t>
  </si>
  <si>
    <t>&lt;span&gt;[Имя_Фамилия]&lt;/span&gt; и еще [n] [amount:менеджер] стали победителями турнира ТОП по активам. Условные сделки. Сумма условных сделок по активам каждого из них была максимальной среди остальных в своем территориальном банке</t>
  </si>
  <si>
    <t>Новое достижение! [Имя] [gender:1:стал|gender:2:стала] победителем турнира ТОП по активам. Условные сделки. [gender:1:Его|gender:2:Её] сумма условных сделок по активам была максимальной во всей стране</t>
  </si>
  <si>
    <t>Бейдж получит участник с лучшим результатом по числу условных сделок от активов в стране</t>
  </si>
  <si>
    <t>CHAMPION_LEAGUE_2023_1</t>
  </si>
  <si>
    <t>[n] [amount:менеджер] получили награду. Их КПК вошли в Лигу чемпионов по итогам 1 полугодия 2023. Новых побед и успехов!</t>
  </si>
  <si>
    <t>[Имя] [gender:1:получил|gender:2:получила] награду. [gender:1:Его|gender:2:Её] КПК вошло в Лигу чемпионов по итогам 1 полугодия 2023. Новых побед и успехов!</t>
  </si>
  <si>
    <t>CHAMPION_LEAGUE_2023_2</t>
  </si>
  <si>
    <t>[n] [amount:менеджер] получили награду. Их КПК вошли в Лигу чемпионов по итогам 2 полугодия 2023. Новых побед и успехов!</t>
  </si>
  <si>
    <t>[Имя] [gender:1:получил|gender:2:получила] награду. [gender:1:Его|gender:2:Её] КПК вошло в Лигу чемпионов по итогам 2 полугодия 2023. Новых побед и успехов!</t>
  </si>
  <si>
    <t>SUPERCUP_2023</t>
  </si>
  <si>
    <t>[Имя] [gender:1:получил|gender:2:получила] награду “Суперкубок 2023”.  [gender:1:Его|gender:2:Её] КПК - лучшее из лучших!</t>
  </si>
  <si>
    <t>SUPERBONUS_2023_TOP1</t>
  </si>
  <si>
    <t>SUPERBONUS_2023_TOP10</t>
  </si>
  <si>
    <t>SUPERBONUS_2023_TOP20</t>
  </si>
  <si>
    <t>SUPERBONUS_2023_TOP20+</t>
  </si>
  <si>
    <t>Бейдж получат 1% от числа участников турнира в подразделении</t>
  </si>
  <si>
    <t>Бейдж получат лучшие участники в каждом ТБ</t>
  </si>
  <si>
    <t>&lt;span&gt;[Имя_Фамилия]&lt;/span&gt; и еще [n] [amount:менеджер] стали лучшими в своем тербанке и открыли больше всего счетов в рупиях. Поздравляем!</t>
  </si>
  <si>
    <t>Новое достижение! [Имя] [gender:1:стал|gender:2:стала] [gender:1:лучшим|gender:лучшей] в своем тербанке и [gender:1:открыл|gender:открыла] больше всего счетов в рупиях. Поздравляем!</t>
  </si>
  <si>
    <t>Бейдж получат ТОП-3 от числа участников турнира в подразделении</t>
  </si>
  <si>
    <t>Бейдж получат ТОП-3 от числа участников турнира в каждом кластере</t>
  </si>
  <si>
    <t>Бейдж получат ТОП-3 от числа участников турнира в каждом тербанке</t>
  </si>
  <si>
    <t>Бейдж получат ТОП-3 от общего числа участников в турнире</t>
  </si>
  <si>
    <t>&lt;span&gt;[Имя_Фамилия]&lt;/span&gt; и еще [n] [amount:менеджер] по нефинансовым сервисам стали победителями турнира “Максимальный полученный доход от продажи продуктов СберЗдоровье”. Они показали лучший результат в стране</t>
  </si>
  <si>
    <t>Новое достижение! [Имя] [gender:1:стал|gender:2:стала] победителем турнира “Максимальный полученный доход от продажи продуктов СберЗдоровье”. [gender:1:Он|gender:2:Она] [gender:1:показал|gender:2:показала] лучший результат в стране</t>
  </si>
  <si>
    <t>&lt;span&gt;[Имя_Фамилия]&lt;/span&gt; и еще [n] [amount:менеджер] стали победителями турнира «Факторинг. Лучший по продажам». Они показали лучший результат в стране по числу сделок</t>
  </si>
  <si>
    <t>Новое достижение! [Имя] [gender:1:стал|gender:2:стала] победителем турнира «Факторинг. Лучший по продажам». [gender:1:Он|gender:2:Она] [gender:1:показал|gender:2:показала] лучший результат в стране по числу сделок</t>
  </si>
  <si>
    <t>Бейдж получат ТОП-5 от общего числа участников в турнире</t>
  </si>
  <si>
    <t>&lt;span&gt;[Имя_Фамилия]&lt;/span&gt; и еще [n] [amount:менеджер] стали победителями турнира «Факторинг Онлайн. Максимизируй портфель». Они показали лучший результат в стране</t>
  </si>
  <si>
    <t>Новое достижение! [Имя] [gender:1:стал|gender:2:стала] победителем турнира «Факторинг Онлайн. Максимизируй портфель». [gender:1:Он|gender:2:Она] [gender:1:показал|gender:2:показала] лучший результат в стране</t>
  </si>
  <si>
    <t>Бейдж получат ТОП-15 от числа участников турнира в стране</t>
  </si>
  <si>
    <t>&lt;span&gt;[Имя_Фамилия]&lt;/span&gt; и еще [n] [amount:менеджер] стали победителями турнира «Активы. Максимизируй прирост остатка». Они показали лучший прирост остатка  активов по итогам турнира во всей стране</t>
  </si>
  <si>
    <t>Новое достижение! [Имя] [gender:1:стал|gender:2:стала] победителем турнира «Активы. Максимизируй прирост остатка». [gender:1:Он|gender:2:Она] [gender:1:показал|gender:2:показала] лучший прирост остатка активов по итогам турнира во всей стране</t>
  </si>
  <si>
    <t>Бейдж получат ТОП-5 от числа участников турнира в каждом тербанке</t>
  </si>
  <si>
    <t>Бейдж получат ТОП-10 от числа участников турнира в стране</t>
  </si>
  <si>
    <t>&lt;span&gt;[Имя_Фамилия]&lt;/span&gt; и еще [n] [amount:менеджер] стали победителями турнира «Пассивы. Прирост остатка долгосрочных депозитов». Они показали лучший прирост остатка  депозитов по итогам турнира во всей стране</t>
  </si>
  <si>
    <t>Новое достижение! [Имя] [gender:1:стал|gender:2:стала] победителем турнира «Пассивы. Прирост остатка долгосрочных депозитов». [gender:1:Он|gender:2:Она] [gender:1:показал|gender:2:показала] лучший прирост остатка депозитов по итогам турнира во всей стране</t>
  </si>
  <si>
    <t>Бейдж получат 10% от числа участников турнира в тербанке</t>
  </si>
  <si>
    <t>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</t>
  </si>
  <si>
    <t>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</t>
  </si>
  <si>
    <t>[Имя] и ещё [n] [amount:менеджер] получили награду «Защита бизнеса 360. Первая продажа». Они стали одними из первых менеджеров в стране, кто реализовал страховой продукт «Защита бизнеса 360». Поздравляем!</t>
  </si>
  <si>
    <t>[Имя] [gender:1:получил|gender:2:получила] награду «Защита бизнеса 360. Первая продажа». [gender:1:Он|gender:2:Она] [gender:1:стал|gender:2:стала] [gender:1:одним|gender:2:одной] из первых менеджеров в стране, кто [gender:1:реализовал|gender:2:реализовала] страховой продукт «Защита бизнеса 360». Поздравляем!</t>
  </si>
  <si>
    <t>Бейдж получат 10% от числа участников турнира в кластере</t>
  </si>
  <si>
    <t>&lt;span&gt;[Имя_Фамилия]&lt;/span&gt; и еще [n] [amount:менеджер] стали победителями турнира «Страхование. Рыночные продажи». Они показали лучший результат по рыночным продажам продуктов страхового брокера в рамках турнира во всей стране</t>
  </si>
  <si>
    <t>Новое достижение! [Имя] [gender:1:стал|gender:2:стала] победителем турнира «Страхование. Рыночные продажи». [gender:1:Он|gender:2:Она] [gender:1:показал|gender:2:показала] лучший результат по рыночным продажам продуктов страхового брокера в рамках турнира во всей стране</t>
  </si>
  <si>
    <t>Бейдж получат ТОП-1 менеджеров от числа участников турнира в каждом подразделении</t>
  </si>
  <si>
    <t>&lt;span&gt;[Имя_Фамилия]&lt;/span&gt; и еще [n] [amount:менеджер] стали победителями турнира «Гарантии. Прирост комиссии». Они показали лучший результат по приросту комиссии от банковских гарантий в рамках турнира во всей стране</t>
  </si>
  <si>
    <t>Новое достижение! [Имя] [gender:1:стал|gender:2:стала] победителем турнира «Гарантии. Прирост комиссии». [gender:1:Он|gender:2:Она] [gender:1:показал|gender:2:показала] лучший результат по приросту комиссии от банковских гарантий в рамках турнира во всей стране</t>
  </si>
  <si>
    <t>Бейдж получат ТОП-1 от числа участников турнира в своем тербанке</t>
  </si>
  <si>
    <t>Бейдж получат ТОП-20 от числа участников турнира в стране</t>
  </si>
  <si>
    <t>&lt;span&gt;[Имя_Фамилия]&lt;/span&gt; и еще [n] [amount:менеджер] стали победителями турнира «ФОТ. Прирост объема перечислений». Они показали лучший результат во всей стране</t>
  </si>
  <si>
    <t>Новое достижение! [Имя] [gender:1:стал|gender:2:стала] победителем турнира «ФОТ. Прирост объема перечислений». [gender:1:Он|gender:2:Она] [gender:1:показал|gender:2:показала] лучший результат по итогам турнира во всей стране</t>
  </si>
  <si>
    <t>&lt;span&gt;[Имя_Фамилия]&lt;/span&gt; и еще [n] [amount:менеджер] стали победителями турнира «ТФиДО. Максимизируй комиссию». Они показали лучший результат по некредитной комиссии от торгового финансирования по итогам турнира во всей стране</t>
  </si>
  <si>
    <t>Новое достижение! [Имя] [gender:1:стал|gender:2:стала] победителем турнира «ТФиДО. Максимизируй комиссию». [gender:1:Он|gender:2:Она] [gender:1:показал|gender:2:показала] лучший результат по некредитной комиссии от торгового финансирования по итогам турнира во всей стране</t>
  </si>
  <si>
    <t>&lt;span&gt;[Имя_Фамилия]&lt;/span&gt; и еще [n] [amount:менеджер] стали победителями турнира «Лизинг. Максимизируй сумму договоров». Они показали лучший результат по итогам турнира во всей стране</t>
  </si>
  <si>
    <t>Новое достижение! [Имя] [gender:1:стал|gender:2:стала] победителем турнира «Лизинг. Максимизируй сумму договоров». [gender:1:Он|gender:2:Она] [gender:1:показал|gender:2:показала] лучший результат по итогам турнира во всей стране</t>
  </si>
  <si>
    <t>Бейдж получат ТОП-3 от числа участников турнира в стране</t>
  </si>
  <si>
    <t>&lt;span&gt;[Имя_Фамилия]&lt;/span&gt; и еще [n] [amount:менеджер] стали победителями турнира «Чемпион страны по числу клиентов с лизингом». Они показали лучший результат по итогам турнира во всей стране</t>
  </si>
  <si>
    <t>Новое достижение! [Имя] [gender:1:стал|gender:2:стала] победителем турнира «Чемпион страны по числу клиентов с лизингом». [gender:1:Он|gender:2:Она] [gender:1:показал|gender:2:показала] лучший результат по итогам турнира во всей стране</t>
  </si>
  <si>
    <t>Бейдж получат 10% участников турнира в подразделении</t>
  </si>
  <si>
    <t>Бейдж получат ТОП-3 от числа участников турнира в своем кластере</t>
  </si>
  <si>
    <t>Бейдж получат ТОП-3 от числа участников турнира в своем тербанке</t>
  </si>
  <si>
    <t>&lt;span&gt;[Имя_Фамилия]&lt;/span&gt; и еще [n] [amount:менеджер] стали победителями турнира «Интернализация. Повышаем уровень». Они показали лучший результат по приросту коэффициента интернализации по итогам турнира во всей стране</t>
  </si>
  <si>
    <t>Новое достижение! [Имя] [gender:1:стал|gender:2:стала] победителем турнира «Интернализация. Повышаем уровень». [gender:1:Он|gender:2:Она] [gender:1:показал|gender:2:показала] лучший результат по приросту коэффициента интернализации по итогам турнира во всей стране</t>
  </si>
  <si>
    <t>Бейдж можно получить только один раз за год</t>
  </si>
  <si>
    <t>[Имя] и ещё [n] [amount:менеджер] получили награду «10 клиентов с процентными ПФИ». На текущий момент они привлекли 10 клиентов на сделки процентного хеджирования кредитов с начала 2024 года, что является отличным результатом. Поздравляем!</t>
  </si>
  <si>
    <t>[Имя] [gender:1:получил|gender:2:получила] награду «10 клиентов с процентными ПФИ». На текущий момент  [gender:1:он|gender:2:она] [gender:1:привлек|gender:2:привлекла]  10 клиентов на сделки процентного хеджирования кредитов с начала 2024 года, что является отличным результатом. Поздравляем!</t>
  </si>
  <si>
    <t>Бейдж получат ТОП-3 от числа участников турнира</t>
  </si>
  <si>
    <t>[Имя] и ещё [n] [amount:менеджер] получили награду «Первая сделка в ЦКП». Они стали одними из первых менеджеров в стране, кто реализовал кредитную сделку в новом цифровом процессе. Поздравляем!</t>
  </si>
  <si>
    <t>[Имя] [gender:1:получил|gender:2:получила] награду «Первая сделка в ЦКП». [gender:1:Он|gender:2:Она] [gender:1:стал|gender:2:стала] [gender:1:одним|gender:2:одной] из первых менеджеров в стране, кто [gender:1:реализовал|gender:2:реализовала] кредитную сделку в новом цифровом процессе. Поздравляем!</t>
  </si>
  <si>
    <t>Бейдж получат менеджеры, реализовавшие сделок лизинга по сумме договоров купли-продажи 1 миллиард рублей с начала календарного года</t>
  </si>
  <si>
    <t>&lt;span&gt;[Имя_Фамилия]&lt;/span&gt; и еще [n] [amount:менеджер] реализовали совокупно сделок лизинга на 1 млрд руб. по сумме договоров купли-продажи за 2025 год</t>
  </si>
  <si>
    <t>Новое достижение! [Имя] [gender:1:реализовал|gender:2:реализовала] сделок лизинга совокупно на 1 млрд руб. по сумме договоров купли-продажи за 2025 год</t>
  </si>
  <si>
    <t>Бейдж получат КМ с лучшим результатом по комиссии в своем подразделении</t>
  </si>
  <si>
    <t>Бейдж получат 15% КМ с лучшим результатом по комиссии в своем ТБ</t>
  </si>
  <si>
    <t>&lt;span&gt;[Имя_Фамилия]&lt;/span&gt; и еще [n] [amount:менеджер] стали победителями турнира «Страхование. Продукты ESG ». Они показали лучший результат по комиссии в рамках турнира во всей стране</t>
  </si>
  <si>
    <t>Новое достижение! [Имя] [gender:1:стал|gender:2:стала] победителем турнира «Страхование. Продукты ESG ». [gender:1:Он|gender:2:Она] [gender:1:показал|gender:2:показала] лучший результат по комиссии в рамках турнира во всей стране</t>
  </si>
  <si>
    <t>Бейдж получат 10% КМ с лучшим результатом по комиссии в своем ТБ</t>
  </si>
  <si>
    <t>&lt;span&gt;[Имя_Фамилия]&lt;/span&gt; и еще [n] [amount:менеджер] стали победителями турнира «Страхование. Продукты ДМС ». Они показали лучший результат по комиссии в рамках турнира во всей стране</t>
  </si>
  <si>
    <t>Новое достижение! [Имя] [gender:1:стал|gender:2:стала] победителем турнира «Страхование. Продукты ДМС ». [gender:1:Он|gender:2:Она] [gender:1:показал|gender:2:показала] лучший результат по комиссии в рамках турнира во всей стране</t>
  </si>
  <si>
    <t>&lt;span&gt;[Имя_Фамилия]&lt;/span&gt; и еще [n] [amount:менеджер] стали победителями турнира «Страхование. Продукты СМР ». Они показали лучший результат по комиссии в рамках турнира во всей стране</t>
  </si>
  <si>
    <t>Новое достижение! [Имя] [gender:1:стал|gender:2:стала] победителем турнира «Страхование. Продукты СМР ». [gender:1:Он|gender:2:Она] [gender:1:показал|gender:2:показала] лучший результат по комиссии в рамках турнира во всей стране</t>
  </si>
  <si>
    <t>&lt;span&gt;[Имя_Фамилия]&lt;/span&gt; и еще [n] [amount:менеджер] реализовали две сделки страхового продукта «Защита бизнеса 360». Поздравляем!</t>
  </si>
  <si>
    <t>Новое достижение! [Имя] [gender:1:реализовал|gender:2:реализовала] две сделки страхового продукта «Защита бизнеса 360». Поздравляем!</t>
  </si>
  <si>
    <t>правило получения</t>
  </si>
  <si>
    <t>&lt;span&gt;[Имя_Фамилия]&lt;/span&gt; и еще [n] [amount:менеджер] ККСБ стали финалистами в конкурсе лучший по профессии в 2024 году. Поздравляем!</t>
  </si>
  <si>
    <t>Новое достижение! [Имя] [gender:1:стал|gender:2:стала] финалистом в конкурсе лучший по профессии в 2024 году. Поздравляем!</t>
  </si>
  <si>
    <t>&lt;span&gt;[Имя_Фамилия]&lt;/span&gt; и еще [n] [amount:менеджер] ККСБ стали призерами в конкурсе лучший по профессии в 2024 году. Поздравляем!</t>
  </si>
  <si>
    <t>Новое достижение! [Имя] [gender:1:стал|gender:2:стала] призером в конкурсе лучший по профессии в 2024 году. Поздравляем!</t>
  </si>
  <si>
    <t>&lt;span&gt;[Имя_Фамилия]&lt;/span&gt; и еще [n] [amount:менеджер] ККСБ показали лучший результат среди всех в конкурсе лучший по профессии в 2024 году. Поздравляем с победой!</t>
  </si>
  <si>
    <t>Новое достижение! [Имя] [gender:1:показал|gender:2:показала] лучший результат среди всех в конкурсе лучший по профессии в 2024 году. Поздравляем с победой!</t>
  </si>
  <si>
    <t>[n] [amount:менеджер] получили награду. Их КПК вошли в Лигу чемпионов по итогам 1 полугодия 2024. Новых побед и успехов!</t>
  </si>
  <si>
    <t>[Имя] [gender:1:получил|gender:2:получила] награду. [gender:1:Его|gender:2:Её] КПК вошло в Лигу чемпионов по итогам 1 полугодия 2024. Новых побед и успехов!</t>
  </si>
  <si>
    <t>[n] [amount:менеджер] получили награду. Их КПК вошли в Лигу чемпионов по итогам 2 полугодия 2024. Новых побед и успехов!</t>
  </si>
  <si>
    <t>[Имя] [gender:1:получил|gender:2:получила] награду. [gender:1:Его|gender:2:Её] КПК вошло в Лигу чемпионов по итогам 2 полугодия 2024. Новых побед и успехов!</t>
  </si>
  <si>
    <t>[n] [amount:менеджер] получили награду «Суперкубок 2024». Их КПК - лучшие из лучших!</t>
  </si>
  <si>
    <t>[Имя] [gender:1:получил|gender:2:получила] награду «Суперкубок 2024».  [gender:1:Его|gender:2:Её] КПК - лучшее из лучших!</t>
  </si>
  <si>
    <t>[n] [amount:менеджер] получили награду «Герой продаж 2024». Они показали высокие достижения по результатам работы за 2024 год и были выбраны в качестве лучших КМ всем сообществом!</t>
  </si>
  <si>
    <t>[Имя] [gender:1:получил|gender:2:получила] награду «Герой продаж 2024».  [gender:1:Он|gender:2:Она] [gender:1:показал|gender:2:показала] высокие достижения по результатам работы за 2024 год и [gender:1:был|gender:2:была] [gender:1:выбран|gender:2:выбрана] в качестве лучшего КМ всем сообществом!</t>
  </si>
  <si>
    <t>&lt;span&gt;[Имя_Фамилия]&lt;/span&gt; и еще [n] [amount:менеджер] нефинансовых сервисов стали победителями турнира «МНС. Увеличиваем влияние на ЧОД по продуктам экосистемы». Они показали лучший результат по итогам турнира во всей стране</t>
  </si>
  <si>
    <t>Новое достижение! [Имя] [gender:1:стал|gender:2:стала] победителем турнира «МНС. Увеличиваем влияние на ЧОД по продуктам экосистемы». [gender:1:Он|gender:2:Она] [gender:1:показал|gender:2:показала] лучший результат по итогам турнира во всей стране</t>
  </si>
  <si>
    <t>&lt;span&gt;[Имя_Фамилия]&lt;/span&gt; и еще [n] [amount:менеджер] нефинансовых сервисов стали победителями турнира «МНС. Лучший директор по продажам продуктов экосистемы». Они показали лучший результат по итогам турнира во всей стране</t>
  </si>
  <si>
    <t>Новое достижение! [Имя] [gender:1:стал|gender:2:стала] победителем турнира «МНС. Лучший директор по продажам продуктов экосистемы». [gender:1:Он|gender:2:Она] [gender:1:показал|gender:2:показала] лучший результат по итогам турнира во всей стране</t>
  </si>
  <si>
    <t>Бейдж получат 10% участников турнира в каждом тербанке</t>
  </si>
  <si>
    <t>Бейдж получат ТОП-3 участников турнира по всей стране</t>
  </si>
  <si>
    <t>&lt;span&gt;[Имя_Фамилия]&lt;/span&gt; и еще [n] [amount:менеджер] нефинансовых сервисов стали победителями турнира «Экосистема. Лидер по числу сделок». Они показали лучший результат по итогам турнира во всей стране</t>
  </si>
  <si>
    <t>Новое достижение! [Имя] [gender:1:стал|gender:2:стала] победителем турнира «Экосистема. Лидер по числу сделок». [gender:1:Он|gender:2:Она] [gender:1:показал|gender:2:показала] лучший результат по итогам турнира во всей стране</t>
  </si>
  <si>
    <t>Бейдж получит участник с наилучшим результатом в турнире по всей стране</t>
  </si>
  <si>
    <t>&lt;span&gt;[Имя_Фамилия]&lt;/span&gt; и еще [n] [amount:менеджер] нефинансовых сервисов стали победителями турнира «Лидер по продаже образовательных услуг». Они показали лучший результат по итогам турнира во всей стране</t>
  </si>
  <si>
    <t>Новое достижение! [Имя] [gender:1:стал|gender:2:стала] победителем турнира «Лидер по продаже образовательных услуг». [gender:1:Он|gender:2:Она] [gender:1:показал|gender:2:показала] лучший результат по итогам турнира во всей стране</t>
  </si>
  <si>
    <t>&lt;span&gt;[Имя_Фамилия]&lt;/span&gt; и еще [n] [amount:менеджер] нефинансовых сервисов стали победителями турнира «Лидер по продажам RAIT-продуктов». Они показали лучший результат по итогам турнира во всей стране</t>
  </si>
  <si>
    <t>Новое достижение! [Имя] [gender:1:стал|gender:2:стала] победителем турнира «Лидер по продажам RAIT-продуктов». [gender:1:Он|gender:2:Она] [gender:1:показал|gender:2:показала] лучший результат по итогам турнира во всей стране</t>
  </si>
  <si>
    <t>Бейдж получит участник с лучшим результатом в каждом тербанке</t>
  </si>
  <si>
    <t>&lt;span&gt;[Имя_Фамилия]&lt;/span&gt; и еще [n] [amount:менеджер] нефинансовых сервисов стали победителями турнира «Лидер по продажам продуктов AI-native». Они показали лучший результат по итогам турнира во всей стране</t>
  </si>
  <si>
    <t>Новое достижение! [Имя] [gender:1:стал|gender:2:стала] победителем турнира «Лидер по продажам продуктов AI-native». [gender:1:Он|gender:2:Она] [gender:1:показал|gender:2:показала] лучший результат по итогам турнира во всей стране</t>
  </si>
  <si>
    <t>&lt;span&gt;[Имя_Фамилия]&lt;/span&gt; и еще [n] [amount:менеджер] нефинансовых сервисов стали победителями турнира «Лидер по продажам продуктов AI-featured». Они показали лучший результат по итогам турнира во всей стране</t>
  </si>
  <si>
    <t>Новое достижение! [Имя] [gender:1:стал|gender:2:стала] победителем турнира «Лидер по продажам продуктов AI-featured». [gender:1:Он|gender:2:Она] [gender:1:показал|gender:2:показала] лучший результат по итогам турнира во всей стране</t>
  </si>
  <si>
    <t>&lt;span&gt;[Имя_Фамилия]&lt;/span&gt; и еще [n] МНС стали финалистами в конкурсе лучший по профессии в 2024 году. Поздравляем!</t>
  </si>
  <si>
    <t>&lt;span&gt;[Имя_Фамилия]&lt;/span&gt; и еще [n] МНС стали призерами в конкурсе лучший по профессии в 2024 году. Поздравляем!</t>
  </si>
  <si>
    <t>&lt;span&gt;[Имя_Фамилия]&lt;/span&gt; и еще [n] МНС показали лучший результат среди всех в конкурсе лучший по профессии в 2024 году. Поздравляем с победой!</t>
  </si>
  <si>
    <t>&lt;span&gt;[Имя_Фамилия]&lt;/span&gt; и еще [n] [amount:менеджер] внедрили 3 инициативы. Поздравляем!</t>
  </si>
  <si>
    <t>Новое достижение! [Имя] [gender:1:внедрил|gender:2:внедрила] 3 инициативы. Поздравляем!</t>
  </si>
  <si>
    <t>&lt;span&gt;[Имя_Фамилия]&lt;/span&gt; и еще [n] [amount:менеджер] внедрили 5 инициатив. Так держать!</t>
  </si>
  <si>
    <t>Новое достижение! [Имя] [gender:1:внедрил|gender:2:внедрила] 5 инициатив. Так держать!</t>
  </si>
  <si>
    <t>&lt;span&gt;[Имя_Фамилия]&lt;/span&gt; и еще [n] [amount:менеджер] удерживают показатель CSI на 100% в течение 2х кварталов подряд. Поздравляем!</t>
  </si>
  <si>
    <t>Новое достижение! [Имя] [gender:1:показал|gender:2:показала] CSI на 100% в течение 2х кварталов подряд. Поздравляем!</t>
  </si>
  <si>
    <t>&lt;span&gt;[Имя_Фамилия]&lt;/span&gt; и еще [n] [amount:менеджер] удерживают показатель SLA на 100% в течение 2х кварталов подряд. Поздравляем!</t>
  </si>
  <si>
    <t>Новое достижение! [Имя] [gender:1:показал|gender:2:показала] SLA на 100% в течение 2х кварталов подряд. Поздравляем!</t>
  </si>
  <si>
    <t>&lt;span&gt;[Имя_Фамилия]&lt;/span&gt; и еще [n] [amount:менеджер] стали финалистами в конкурсе лучший по профессии в 2024 году. Поздравляем!</t>
  </si>
  <si>
    <t>&lt;span&gt;[Имя_Фамилия]&lt;/span&gt; и еще [n] [amount:менеджер] стали призерами в конкурсе лучший по профессии в 2024 году. Поздравляем!</t>
  </si>
  <si>
    <t>&lt;span&gt;[Имя_Фамилия]&lt;/span&gt; и еще [n] [amount:менеджер] показали лучший результат среди всех в конкурсе лучший по профессии в 2024 году. Поздравляем с победой!</t>
  </si>
  <si>
    <t>&lt;span&gt;[Имя_Фамилия]&lt;/span&gt; и еще [n] [amount:менеджер] собрали комиссионное вознаграждение от продажи страхового продукта «Защита бизнеса 360» на сумму более 500 тыс. рублей. Поздравляем!</t>
  </si>
  <si>
    <t>Новое достижение! [Имя] [gender:1:собрал|gender:2:собрала] комиссионное вознаграждение от продажи страхового продукта «Защита бизнеса 360» на сумму более 500 тыс. рублей. Поздравляем!</t>
  </si>
  <si>
    <t>&lt;span&gt;[Имя_Фамилия]&lt;/span&gt; и еще [n] [amount:менеджер] стали победителями турнира «Защита Бизнеса 360. Максимизируй комиссию». Каждый из них собрал комиссию по продукту на сумму более 2 млн рублей. Так держать!</t>
  </si>
  <si>
    <t>Новое достижение! [Имя] [gender:1:стал|gender:2:стала] победителем турнира «Защита Бизнеса 360. Максимизируй комиссию». Была собрана комиссия по продукту на сумму более 2 млн рублей. Так держать!</t>
  </si>
  <si>
    <t>Новое достижение! [Имя] [gender:1:стал|gender:2:стала] победителем турнира «Защита Бизнеса 360. Максимизируй комиссию». Была собрана комиссия по продукту на сумму более 3 млн рублей. Так держать!</t>
  </si>
  <si>
    <t>[Имя] и ещё [n] [amount:менеджер] получили награду «Страхование залога в СберБизнес». Они стали одними из первых менеджеров в стране, кто реализовал данный цифровой продукт. Поздравляем!</t>
  </si>
  <si>
    <t>[Имя] [gender:1:получил|gender:2:получила] награду «Страхование залога в СберБизнес». [gender:1:Он|gender:2:Она] [gender:1:стал|gender:2:стала] [gender:1:одним|gender:2:одной] из первых менеджеров в стране, кто [gender:1:реализовал|gender:2:реализовала] данный страховой продукт. Поздравляем!</t>
  </si>
  <si>
    <t>&lt;span&gt;[Имя_Фамилия]&lt;/span&gt; и еще [n] [amount:менеджер] преодолели отметку в 10 млн руб. комиссии от импортных и экспортных сделок с индийскими контрагентами в 2025 году.</t>
  </si>
  <si>
    <t>Новое достижение! [Имя] [gender:1:преодолел|gender:2:преодолела] отметку в 10 млн руб. комиссии от импортных и экспортных сделок с индийскими контрагентами в 2025 году.</t>
  </si>
  <si>
    <t>&lt;span&gt;[Имя_Фамилия]&lt;/span&gt; и еще [n] [amount:менеджер] заключили 5 договоров с начала года на предоставление услуги по поиску контрагента в Индии - Business Develpment. Поздравляем, так держать!</t>
  </si>
  <si>
    <t>[Имя] [gender:1:заключил|gender:2:заключила] 5 договоров с начала года на предоставление услуги по поиску контрагента в Индии - Business Develpment. Поздравляем, так держать!</t>
  </si>
  <si>
    <t>&lt;span&gt;[Имя_Фамилия]&lt;/span&gt; и еще [n] [amount:менеджер] заключили 10 договоров с начала года на предоставление услуги по поиску контрагента в Индии - Business Develpment. Крутой результат!</t>
  </si>
  <si>
    <t>[Имя] [gender:1:заключил|gender:2:заключила] 10 договоров с начала года на предоставление услуги по поиску контрагента в Индии - Business Develpment. Крутой результат!</t>
  </si>
  <si>
    <t>CT_TITLE_PROJECT</t>
  </si>
  <si>
    <t>&lt;span&gt;[Имя_Фамилия]&lt;/span&gt; и еще [n] [amount:менеджер] провели ДЕМО проектов цифровой трансформации на уровне старшего вице-президента КИБ Владимира Ситнова совместно с CSM своего тербанка. Крутой результат, так держать!</t>
  </si>
  <si>
    <t>[Имя] [gender:1:провел|gender:2:провела] ДЕМО проекта цифровой трансформации на уровне старшего вице-президента КИБ Владимира Ситнова совместно с CSM своего тербанка. Крутой результат, так держать!</t>
  </si>
  <si>
    <t>[Имя] и ещё [n] [amount:менеджер] получили награду «10 клиентов с процентными ПФИ». На текущий момент они привлекли 10 клиентов на сделки процентного хеджирования кредитов с начала 2025 года, что является отличным результатом. Поздравляем!</t>
  </si>
  <si>
    <t>[Имя] [gender:1:получил|gender:2:получила] награду «10 клиентов с процентными ПФИ». На текущий момент  [gender:1:он|gender:2:она] [gender:1:привлек|gender:2:привлекла]  10 клиентов на сделки процентного хеджирования кредитов с начала 2025 года, что является отличным результатом. Поздравляем!</t>
  </si>
  <si>
    <t>&lt;span&gt;[Имя_Фамилия]&lt;/span&gt; и еще [n] [amount:менеджер] получили награду «5 клиентов на пакет услуг». На текущий момент они привлекли 5 клиентов на пакет услуг, что является отличным результатом. Поздравляем!</t>
  </si>
  <si>
    <t>[Имя] [gender:1:получил|gender:2:получила] награду «5 клиентов на пакет услуг». На текущий момент  [gender:1:он|gender:2:она] [gender:1:привлек|gender:2:привлекла] 5 клиентов на пакет услуг, что является отличным результатом. Поздравляем!</t>
  </si>
  <si>
    <t>[Имя] [gender:1:получил|gender:2:получила] награду «10 клиентов на пакет услуг». На текущий момент  [gender:1:он|gender:2:она] [gender:1:привлек|gender:2:привлекла] 10 клиентов на пакет услуг, что является отличным результатом. Поздравляем!</t>
  </si>
  <si>
    <t>&lt;span&gt;[Имя_Фамилия]&lt;/span&gt; и еще [n] сотрудника отмечены в проекте «Одним сердцем». Благодаря им фонд Сбера «Вклад в будущее» принял участие в финансировании благотворительных проектов клиентов корпоративного блока. Спасибо за неравнодушие и проявленную эмпатию!</t>
  </si>
  <si>
    <t>[Имя] [gender:1:отмечен|gender:2:отмечена] в проекте «Одним сердцем». Благодаря [gender:1:ему|gender:2:ей] фонд Сбера «Вклад в будущее» принял участие в финансировании благотворительных проектов клиентов корпоративного блока. Спасибо за неравнодушие и проявленную эмпатию!</t>
  </si>
  <si>
    <t>&lt;span&gt;[Имя_Фамилия]&lt;/span&gt; и еще [n] [amount:менеджер] стали победителями турнира «Марафон исследований». Они показали лучший результат по итогам турнира во всей стране и внесли свой вклад в развитие системы ЕФС.Наш бизнес</t>
  </si>
  <si>
    <t>Новое достижение! [Имя] [gender:1:стал|gender:2:стала] победителем турнира «Марафон исследований». [gender:1:Он|gender:2:Она] [gender:1:показал|gender:2:показала] лучший результат по итогам турнира во всей стране и [gender:1:внес|gender:2:внесла] свой вклад в развитие системы ЕФС.Наш бизнес</t>
  </si>
  <si>
    <t>Бейдж получат ТОП-5 от числа участников турнира в стране</t>
  </si>
  <si>
    <t>Бейдж получат ТОП-5 от числа участников турнира в тербанке</t>
  </si>
  <si>
    <t>&lt;span&gt;[Имя_Фамилия]&lt;/span&gt; и еще [n] [amount:менеджер] стали победителями турнира «Process Mining. Максимизируй комиссию». Они показали лучший результат по итогам турнира во всей стране</t>
  </si>
  <si>
    <t>Новое достижение! [Имя] [gender:1:стал|gender:2:стала] победителем турнира «Process Mining. Максимизируй комиссию». [gender:1:Он|gender:2:Она] [gender:1:показал|gender:2:показала] лучший результат по итогам турнира во всей стране</t>
  </si>
  <si>
    <t>&lt;span&gt;[Имя_Фамилия]&lt;/span&gt; и еще [n] [amount:менеджер] стали победителями турнира «Навигатор BI. Максимизируй комиссию». Они показали лучший результат по итогам турнира во всей стране</t>
  </si>
  <si>
    <t>Новое достижение! [Имя] [gender:1:стал|gender:2:стала] победителем турнира «Навигатор BI. Максимизируй комиссию». [gender:1:Он|gender:2:Она] [gender:1:показал|gender:2:показала] лучший результат по итогам турнира во всей стране</t>
  </si>
  <si>
    <t>&lt;span&gt;[Имя_Фамилия]&lt;/span&gt; и еще [n] [amount:менеджер] стали победителями турнира «СберИндексПро. Максимизируй комиссию». Они показали лучший результат по итогам турнира во всей стране</t>
  </si>
  <si>
    <t>Новое достижение! [Имя] [gender:1:стал|gender:2:стала] победителем турнира «СберИндексПро. Максимизируй комиссию». [gender:1:Он|gender:2:Она] [gender:1:показал|gender:2:показала] лучший результат по итогам турнира во всей стране</t>
  </si>
  <si>
    <t>Бейдж получат ТОП-15 от числа участников турнира в тербанке</t>
  </si>
  <si>
    <t>Бейдж получат ТОП-1 от числа участников вподразделении</t>
  </si>
  <si>
    <t>Бейдж получат ТОП 10% от числа участников турнира в подразделении</t>
  </si>
  <si>
    <t>SEASON_m_2025_1</t>
  </si>
  <si>
    <t>&lt;span&gt;[Имя_Фамилия]&lt;/span&gt; и еще [n] [amount:менеджер] по нефинансовым сервисам стали победителями турнира «Экосистема. Лидер по числу сделок». Они получили оплаты по сделкам с суммой от 50 тыс. руб. и показали лучший результат в стране</t>
  </si>
  <si>
    <t>Новое достижение! [Имя] [gender:1:стал|gender:2:стала] победителем турнира «Экосистема. Лидер по числу сделок». [gender:1:Он|gender:2:Она] [gender:1:получил|gender:2:получила] оплаты по сделкам с суммой от 50 тыс. руб. и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</si>
  <si>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«Максимальный полученный доход от продажи продуктов СберЗдоровье». Они показали лучший результат в стране</t>
  </si>
  <si>
    <t>Новое достижение! [Имя] [gender:1:стал|gender:2:стала] победителем турнира «Максимальный полученный доход от продажи продуктов СберЗдоровье». [gender:1:Он|gender:2:Она]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</si>
  <si>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«Лидер по продажам продуктов AI-native». Они показали лучший результат в стране</t>
  </si>
  <si>
    <t>Новое достижение! [Имя] [gender:1:стал|gender:2:стала] победителем турнира «Лидер по продажам продуктов AI-native». [gender:1:Он|gender:2:Она]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</si>
  <si>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«Process Mining. Максимизируй комиссию». Они показали лучший результат в стране</t>
  </si>
  <si>
    <t>Новое достижение! [Имя] [gender:1:стал|gender:2:стала] победителем турнира «Process Mining. Максимизируй комиссию». [gender:1:Он|gender:2:Она]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</si>
  <si>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«Навигатор BI. Максимизируй комиссию». Они показали лучший результат в стране</t>
  </si>
  <si>
    <t>Новое достижение! [Имя] [gender:1:стал|gender:2:стала] победителем турнира «Навигатор BI. Максимизируй комиссию». [gender:1:Он|gender:2:Она]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</si>
  <si>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«СберИндексПро. Максимизируй комиссию». Они показали лучший результат в стране</t>
  </si>
  <si>
    <t>Новое достижение! [Имя] [gender:1:стал|gender:2:стала] победителем турнира «СберИндексПро. Максимизируй комиссию». [gender:1:Он|gender:2:Она]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</si>
  <si>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«Лидер по продажам продуктов HR направления». Они показали лучший результат в стране</t>
  </si>
  <si>
    <t>Новое достижение! [Имя] [gender:1:стал|gender:2:стала] победителем турнира «Лидер по продажам продуктов HR направления». [gender:1:Он|gender:2:Она]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</si>
  <si>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«Лидер по продажам продуктов IT направления». Они показали лучший результат в стране</t>
  </si>
  <si>
    <t>Новое достижение! [Имя] [gender:1:стал|gender:2:стала] победителем турнира «Лидер по продажам продуктов IT направления». [gender:1:Он|gender:2:Она] [gender:1:показал|gender:2:показала] лучший результат в стране</t>
  </si>
  <si>
    <t>&lt;span&gt;[Имя_Фамилия]&lt;/span&gt; и еще [n] [amount:менеджер] по нефинансовым сервисам стали победителями турнира «Лидер по продажам продуктов COM направления». Они показали лучший результат в стране</t>
  </si>
  <si>
    <t>Новое достижение! [Имя] [gender:1:стал|gender:2:стала] победителем турнира «Лидер по продажам продуктов COM направления». [gender:1:Он|gender:2:Она] [gender:1:показал|gender:2:показала] лучший результат в стране</t>
  </si>
  <si>
    <t>SEASON_s_2025</t>
  </si>
  <si>
    <t>SEASON_f_2025</t>
  </si>
  <si>
    <t>Бейдж получит участник с максимальных результатом в турнире</t>
  </si>
  <si>
    <t>&lt;span&gt;[Имя_Фамилия]&lt;/span&gt; и еще [n] [amount:менеджер] стали победителями турнира «Первенство КМ хантер по сумме лимитов реализованных сделок». Они реализовали сделки с наибольшими объемами лимитов по итогам турнира в СберФакторинге</t>
  </si>
  <si>
    <t>Новое достижение! [Имя] [gender:1:стал|gender:2:стала] победителем турнира «Первенство КМ хантер по сумме лимитов реализованных сделок». [gender:1:Он|gender:2:Она] [gender:1:реализовал|gender:2:реализовала] наибольшее количество сделок с объемными лимитами по итогам турнира в СберФакторинге</t>
  </si>
  <si>
    <t>&lt;span&gt;[Имя_Фамилия]&lt;/span&gt; и еще [n] [amount:менеджер] развития бизнеса стали победителями турнира «Новые деньги. Наращиваем СДО (МРБ)». Они показали лучший прирост СДО новых денег по итогам турнира в СберФакторинге</t>
  </si>
  <si>
    <t>Новое достижение! [Имя] [gender:1:стал|gender:2:стала] победителем турнира «Новые деньги. Наращиваем СДО (МРБ)». [gender:1:Он|gender:2:Она] [gender:1:показал|gender:2:показала] лучший прирост СДО новых денег по итогам турнира в СберФакторинге</t>
  </si>
  <si>
    <t>&lt;span&gt;[Имя_Фамилия]&lt;/span&gt; и еще [n] [amount:менеджер] с портфелем стали победителями турнира «Новые деньги. Наращиваем СДО (КМ с портфелем)». Они показали лучший прирост СДО новых денег по итогам турнира в СберФакторинге</t>
  </si>
  <si>
    <t>Новое достижение! [Имя] [gender:1:стал|gender:2:стала] победителем турнира «Новые деньги. Наращиваем СДО (КМ с портфелем)». [gender:1:Он|gender:2:Она] [gender:1:показал|gender:2:показала] лучший прирост СДО новых денег по итогам турнира в СберФакторинге</t>
  </si>
  <si>
    <t>&lt;span&gt;[Имя_Фамилия]&lt;/span&gt; и еще [n] [amount:менеджер] сопровождения потоковых сделок стали победителями турнира «Производительность. Потоковые сделки (МС)». Они набрали максимальный балл по рейтингу производительности потоковых сделок по итогам турнира в СберФакторинге</t>
  </si>
  <si>
    <t>Новое достижение! [Имя] [gender:1:стал|gender:2:стала] победителем турнира «Производительность. Потоковые сделки (МС)». [gender:1:Он|gender:2:Она] [gender:1:набрал|gender:2:набрала] максимальный балл по рейтингу производительности потоковых сделок по итогам турнира в СберФакторинге</t>
  </si>
  <si>
    <t>&lt;span&gt;[Имя_Фамилия]&lt;/span&gt; и еще [n] [amount:менеджер] сопровождения индивидуальных сделок стали победителями турнира «Производительность. Индивидуальные сделки (МС)». Они набрали максимальный балл по рейтингу производительности индивидуальных сделок по итогам турнира в СберФакторинге</t>
  </si>
  <si>
    <t>Новое достижение! [Имя] [gender:1:стал|gender:2:стала] победителем турнира «Производительность. Индивидуальные сделки (МС)». [gender:1:Он|gender:2:Она] [gender:1:набрал|gender:2:набрала] максимальный балл по рейтингу производительности индивидуальных сделок по итогам турнира в СберФакторинге</t>
  </si>
  <si>
    <t>&lt;span&gt;[Имя_Фамилия]&lt;/span&gt; и еще [n] [amount:менеджер] сопровождения изменений стали победителями турнира «Производительность. Сделки изменений (МС)». Они показали лучшиий реузльтат по рейтингу производительности изменений по итогам турнира в СберФакторинге</t>
  </si>
  <si>
    <t>Новое достижение! [Имя] [gender:1:стал|gender:2:стала] победителем турнира «Производительность. Сделки изменений (МС)». [gender:1:Он|gender:2:Она] [gender:1:показал|gender:2:показала] лучший результат по рейтингу производительности изменений по итогам турнира в СберФакторинге</t>
  </si>
  <si>
    <t>SEASON_kmsb1_2025</t>
  </si>
  <si>
    <t>Учитываются клиенты только в рамках выставленных задач на привлечение</t>
  </si>
  <si>
    <t>&lt;span&gt;[Имя_Фамилия]&lt;/span&gt; и еще [n] [amount:менеджер] получили награду «10 привлеченных клиентов ЮЛ». На текущий момент они привлекли 5 клиентов-ЛПР компании на продукты для юридических лиц, что является отличным результатом. Поздравляем!</t>
  </si>
  <si>
    <t>[Имя] [gender:1:получил|gender:2:получила] награду «10 привлеченных клиентов ЮЛ». На текущий момент  [gender:1:он|gender:2:она] [gender:1:привлек|gender:2:привлекла]  5 клиентов-ЛПР компании на продукты для юридических лиц, что является отличным результатом. Поздравляем!</t>
  </si>
  <si>
    <t>&lt;span&gt;[Имя_Фамилия]&lt;/span&gt; и еще [n] [amount:менеджер] получили награду «10 привлеченных клиентов ЮЛ». На текущий момент они привлекли 10 клиентов-ЛПР компании на продукты для юридических лиц, что является отличным результатом. Поздравляем!</t>
  </si>
  <si>
    <t>[Имя] [gender:1:получил|gender:2:получила] награду «10 привлеченных клиентов ЮЛ». На текущий момент  [gender:1:он|gender:2:она] [gender:1:привлек|gender:2:привлекла]  10 клиентов-ЛПР компании на продукты для юридических лиц, что является отличным результатом. Поздравляем!</t>
  </si>
  <si>
    <t>SEASON_imub_2025</t>
  </si>
  <si>
    <t>SEASON_rnub_2025</t>
  </si>
  <si>
    <t>SEASON_rsb1_2025</t>
  </si>
  <si>
    <t>priority</t>
  </si>
  <si>
    <t>{"""feature""": ["""Факт получения бейджа попадает в ленту сообщества"""], """nftFlg""": """N""", """outstanding""": """Y""", """rewardRule""": """""", """rewardAgainGlobal""": """Y""", """rewardAgainTournament""": """N""", """hidden""":"""N""", """fileName""": """""", """teamNews""": """&lt;span&gt;[Имя_Фамилия]&lt;/span&gt; и еще [n] [amount:менеджер] получили награду «10 клиентов на пакет услуг». На текущий момент они привлекли 10 клиентов на пакет услуг, что является отличным результатом. Поздравляем!""", """singleNews""": """[Имя] [gender:1:получил|gender:2:получила] награду «10 клиентов на пакет услуг». На текущий момент  [gender:1:он|gender:2:она] [gender:1:привлек|gender:2:привлекла] 10 клиентов на пакет услуг, что является отличным результатом. Поздравляем!""", """refreshOldNews""": """Y""", """businessBlock""": ["""KMKKSB"""], """recommendationLevel""": """BANK""", """priority""": """1""",  """masterBadge""": """Y""", """parentRewardCode""": """r_01_2025-0_18-7_4"""}</t>
  </si>
  <si>
    <t>&lt;span&gt;[Имя_Фамилия]&lt;/span&gt; и еще [n] [amount:менеджер] получили награду «10 клиентов на пакет услуг». На текущий момент они привлекли 10 клиентов на пакет услуг, что является отличным результатом. Поздравляем!</t>
  </si>
  <si>
    <t>{"""feature""": ["""Учитываются клиенты только в рамках выставленных задач на привлечение""", """Факт получения бейджа попадает в ленту сообщества"""], """nftFlg""": """N""", """outstanding""": """Y""", """rewardRule""": """""", """rewardAgainGlobal""": """Y""", """rewardAgainTournament""": """N""", """hidden""":"""N""", """fileName""": """""", """teamNews""": """&lt;span&gt;[Имя_Фамилия]&lt;/span&gt; и еще [n] [amount:менеджер] получили награду «10 клиентов на пакет услуг». На текущий момент они привлекли 10 клиентов на пакет услуг, что является отличным результатом. Поздравляем!""", """singleNews""": """[Имя] [gender:1:получил|gender:2:получила] награду «10 клиентов на пакет услуг». На текущий момент  [gender:1:он|gender:2:она] [gender:1:привлек|gender:2:привлекла] 10 клиентов на пакет услуг, что является отличным результатом. Поздравляем!""", """refreshOldNews""": """Y""", """businessBlock""": ["""KMSB1"""], """recommendationLevel""": """BANK""", """priority""": """1""",  """masterBadge""": """Y""", """parentRewardCode""": """r_05_2025-0_18-7_4"""}</t>
  </si>
  <si>
    <t>{"""feature""": ["""В сделку обязательно включена лицензия SPM""", """Договор подписан, оплачен и заактирован клиентом в период проведения турнира""", 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"""r_01_2025-1_07-5_1"""}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</si>
  <si>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"""r_01_2025-1_07-5_10"""}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</si>
  <si>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"""r_01_2025-1_07-5_2"""}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</si>
  <si>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"""r_01_2025-1_07-5_3"""}</t>
  </si>
  <si>
    <t>{"""feature""": ["""В сделку обязательно включена лицензия SPM""", """Договор подписан, оплачен и заактирован клиентом в период проведения турнира""", 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"""r_01_2025-1_07-5_8"""}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</si>
  <si>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["""KMKKSB"""], """recommendationLevel""": """TB""", """priority""": """1""",  """masterBadge""": """Y""", """parentRewardCode""": """r_01_2025-1_07-5_9"""}</t>
  </si>
  <si>
    <t>{"""feature""": ["""В сделку обязательно включена лицензия SPM""", """Договор подписан, оплачен и заактирован клиентом в период проведения турнира""", 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["""MNS"""], """recommendationLevel""": """TB""", """priority""": """1""",  """masterBadge""": """Y""", """parentRewardCode""": """r_02_2025-1_07-5_1"""}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</si>
  <si>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["""MNS"""], """recommendationLevel""": """TB""", """priority""": """1""",  """masterBadge""": """Y""", """parentRewardCode""": """r_02_2025-1_07-5_10"""}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</si>
  <si>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["""MNS"""], """recommendationLevel""": """TB""", """priority""": """1""",  """masterBadge""": """Y""", """parentRewardCode""": """r_02_2025-1_07-5_2"""}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</si>
  <si>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["""MNS"""], """recommendationLevel""": """TB""", """priority""": """1""",  """masterBadge""": """Y""", """parentRewardCode""": """r_02_2025-1_07-5_3"""}</t>
  </si>
  <si>
    <t>{"""feature""": ["""В сделку обязательно включена лицензия SPM""", """Договор подписан, оплачен и заактирован клиентом в период проведения турнира""", 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["""MNS"""], """recommendationLevel""": """TB""", """priority""": """1""",  """masterBadge""": """Y""", """parentRewardCode""": """r_02_2025-1_07-5_8"""}</t>
  </si>
  <si>
    <t>{"""feature""": ["""Сделка принимается к учету после оплаты клиентов по счету""", """Период учета сделок: с 1 января 2025 года по 18 июля 2025 года"""], """nftFlg""": """N""", """outstanding""": """N""", """rewardRule""": """""", """rewardAgainGlobal""": """N""", """rewardAgainTournament""": """N""", """hidden""":"""N""", """fileName""": """""", """teamNews""": """""", """singleNews""": """""", """refreshOldNews""": """N""", """businessBlock""": ["""MNS"""], """recommendationLevel""": """TB""", """priority""": """1""",  """masterBadge""": """Y""", """parentRewardCode""": """r_02_2025-1_07-5_9"""}</t>
  </si>
  <si>
    <t>{"""feature""": [], """nftFlg""": """N""", """outstanding""": """N""", """rewardRule""": """Бейдж получит участник с лучшим результатом в каждом тербанке""", """rewardAgainGlobal""": """Y""", """rewardAgainTournament""": """N""", """hidden""":"""N""", """fileName""": """""", """teamNews""": """""", """singleNews""": """""", """refreshOldNews""": """N""", """businessBlock""": ["""MNS"""], """recommendationLevel""": """TB""", """priority""": """2""", """masterBadge""": """Y""", """parentRewardCode""": """REWARD_m_04_03"""}</t>
  </si>
  <si>
    <t>recommendationLevel</t>
  </si>
  <si>
    <t>NON</t>
  </si>
  <si>
    <t>vid</t>
  </si>
  <si>
    <t>momentRewarding</t>
  </si>
  <si>
    <t>minNumber</t>
  </si>
  <si>
    <t>capacity</t>
  </si>
  <si>
    <t>accuracy</t>
  </si>
  <si>
    <t>masking</t>
  </si>
  <si>
    <t>tournamentStartMailing</t>
  </si>
  <si>
    <t>tournamentEndMailing</t>
  </si>
  <si>
    <t>tournamentLikeMailing</t>
  </si>
  <si>
    <t>tournamentRewardingMailing</t>
  </si>
  <si>
    <t>tournamentListMailing</t>
  </si>
  <si>
    <t>persomanNumberVisible</t>
  </si>
  <si>
    <t>persomanNumberHidden</t>
  </si>
  <si>
    <t>gosbVisible</t>
  </si>
  <si>
    <t>gosbHidden</t>
  </si>
  <si>
    <t>tbVisible</t>
  </si>
  <si>
    <t>tbHidden</t>
  </si>
  <si>
    <t>typeRewarding</t>
  </si>
  <si>
    <t>Победители получают один максимальный по достоинству бейдж,Победители получат возможность принять участие в бизнес-сессии управления благосостояния,Информация обновляется еженедельно на основе отчета по продажам продуктов управления благосостояния</t>
  </si>
  <si>
    <t>AFTER</t>
  </si>
  <si>
    <t>THOUSANDS</t>
  </si>
  <si>
    <t>one</t>
  </si>
  <si>
    <t>DURIN</t>
  </si>
  <si>
    <t>Победители получают один максимальный по достоинству бейдж</t>
  </si>
  <si>
    <t>Данные основаны на оперативных кубах MIS,Обновление информации просходит 1 раз в неделю,Победители получают один максимальный по достоинству бейдж</t>
  </si>
  <si>
    <t>MILLIONS</t>
  </si>
  <si>
    <t>Победители получают один максимальный по достоинству бейдж,Данные основаны на оперативных кубах MIS,Обновление информации просходит 1 раз в неделю,Награда по ГОСБ вручается, если число участников не менее 2х</t>
  </si>
  <si>
    <t>Победители получают один максимальный по достоинству бейдж,Обновление информации просходит 1 раз в неделю</t>
  </si>
  <si>
    <t>all</t>
  </si>
  <si>
    <t>Данные по УС основывается на дешборде по результативности КМ в Qlik Sense,Обновление информации просходит по мере обновления дешборда,Итоги турнира подводятся в 15-х числах месяца, следующего за месяцем турнира</t>
  </si>
  <si>
    <t>Данные по УС основывается на дешборде по результативности КМ в Qlik Sense,Обновление информации просходит 2 раза в неделю</t>
  </si>
  <si>
    <t>01340230,00343653,91500718</t>
  </si>
  <si>
    <t>Данные основаны на оперативных кубах MIS,Обновление информации просходит 1 раз в неделю,Награда по ГОСБ вручается, если число участников не менее 2х</t>
  </si>
  <si>
    <t>Данные основаны на оперативных кубах MIS,Обновление информации просходит 1 раз в неделю</t>
  </si>
  <si>
    <t>Информация обновляется еженедельно на основе отчета страхового брокера,Награда по ГОСБ вручается, если число участников не менее 2х</t>
  </si>
  <si>
    <t>Данные основаны на оперативных кубах MIS,Награда по ГОСБ вручается, если число участников не менее 2х</t>
  </si>
  <si>
    <t>Данные основаны на оперативных кубах MIS</t>
  </si>
  <si>
    <t>Обновление информации просходит 1 раз в неделю</t>
  </si>
  <si>
    <t>Обновление информации просходит 1 раз в неделю,Число заключенных сделок должно быть более 1</t>
  </si>
  <si>
    <t>Данные основаны на дешборде динамика интернализации в Qlik Sense,Награда по ГОСБ вручается, если число участников не менее 2х</t>
  </si>
  <si>
    <t>01340230,01728325,00343653,91500718</t>
  </si>
  <si>
    <t>Учитываются реализованные сделки, инициированные клиентским менеджером,Не учитывается продажи, оформленные клиентом в СББОЛ самостоятельно</t>
  </si>
  <si>
    <t>Информация обновляется еженедельно на основе отчета блока страхового брокера</t>
  </si>
  <si>
    <t>Информация обновляется еженедельно на основе отчета страхового брокера,Награда по ГОСБ вручается, при числе участников не менее 2х</t>
  </si>
  <si>
    <t>Информация обновляется еженедельно на основе отчета страхового брокера</t>
  </si>
  <si>
    <t>88888888</t>
  </si>
  <si>
    <t>Данные обновляются раз в 2 недели</t>
  </si>
  <si>
    <t>Победители получают один максимальный по достоинству бейдж,При условии выполения всем Сбером нето-притоков по ИДУ в сумме 18 млрд руб. и по ОПИФ в сумме 32 млрд руб. победители турнира получат доступ к наградам от УК Первая.,Рейтинг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</si>
  <si>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бейдж,При условии выполения личных сборов в сумме не менее 100 млн рублей и общей суммы сборов по всему Сберу на 30.06.2025 год 19,3 млрд руб. победители турнира получат доступ к наградам от фабрики СФН.,Рейтинг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</si>
  <si>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</si>
  <si>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бейдж,Обладатели золота и серебра получат доступ к наградам от СБСЖ,Рейтинг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</si>
  <si>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бейдж,Все путевки должны быть фактически исполнены,Призеры турнира смогут получить фирменный мерч от курорта</t>
  </si>
  <si>
    <t>Победители получают один максимальный по достоинству бейдж,Результат формируется по закрепленной территории,При условии выполения всем Сбером нето-притоков по ИДУ в сумме 18 млрд руб. и по ОПИФ в сумме 32 млрд руб. победители турнира получат доступ к наградам от УК Первая.,Рейтинг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</si>
  <si>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закрепленной территории,При условии выполения квартального плана по закрепленной территории не менее 110% и общей суммы сборов по всему Сберу на 30.06.2025 год 19,3 млрд руб. победители турнира получат доступ к наградам от фабрики СФН.,Рейтинг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</si>
  <si>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закрепленной территории,При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</si>
  <si>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закрепленной территории,Рейтинг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</si>
  <si>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своему территориальному банку,При условии выполения всем Сбером нето-притоков по ИДУ в сумме 18 млрд руб. и по ОПИФ в сумме 32 млрд руб. и индивидуального ориентира по тербанку победители турнира получат доступ к наградам от УК Первая.,Рейтинг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</si>
  <si>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своему территориальному банку,При условии выполения квартального плана тербанка не менее 110% и общей суммы сборов по всему Сберу на 30.06.2025 год 19,3 млрд руб. победители турнира получат доступ к наградам от фабрики СФН.,Рейтинг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</si>
  <si>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бейдж,Обновление информации просходит раз в неделю,Рейтинг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</si>
  <si>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своему территориальному банку,Рейтинг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</si>
  <si>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офису,При условии выполения всем Сбером нето-притоков по ИДУ в сумме 18 млрд руб. и по ОПИФ в сумме 32 млрд руб. и индивидуального ориентира по тербанку победители турнира получат доступ к наградам от УК Первая.,Рейтинг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</si>
  <si>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офису,При условии выполения квартального плана офиса не менее 110% и общей суммы сборов по всему Сберу на 30.06.2025 год 19,3 млрд руб. победители турнира получат доступ к наградам от фабрики СФН.,Рейтинг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</si>
  <si>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офису,При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</si>
  <si>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бейдж,Результат формируется по офису,Рейтинг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</si>
  <si>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бейдж,Данные основаны на оперативных кубах MIS,Награда по ГОСБ вручается, если число участников не менее 2х</t>
  </si>
  <si>
    <t>Победители получают один максимальный по достоинству бейдж,Данные основаны на оперативных кубах MIS,Обновление информации просходит 1 раз в неделю</t>
  </si>
  <si>
    <t>Победители получают один максимальный по достоинству бейдж,Информация обновляется еженедельно на основе отчета страхового брокера,Награда по ГОСБ вручается, если число участников не менее 2х</t>
  </si>
  <si>
    <t>Обновление информации просходит раз в неделю</t>
  </si>
  <si>
    <t>Победители получают один максимальный по достоинству бейдж,Данные обновляются раз в 2 недели</t>
  </si>
  <si>
    <t>Победители получают один максимальный по достоинству бейдж,В текущем турнире могут принять участие менеджеры, кто не занимал призовые места в прошлых периодах,При равном количестве баллов побеждает участник, который участвовал в более «весомых» активностях (например, интервью или фокус-группы),Используйте реферальную программу «приведи друга – клиентского менеджера», чтобы получить сразу 100 баллов!</t>
  </si>
  <si>
    <t>В сделку обязательно включена лицензия SPM,Договор подписан, оплачен и заактирован клиентом в период проведения турнира,Период учета сделок: с 1 января 2025 года по 18 июля 2025 года</t>
  </si>
  <si>
    <t>Сделка принимается к учету после оплаты клиентов по счету,Период учета сделок: с 1 января 2025 года по 18 июля 2025 года</t>
  </si>
  <si>
    <t>Данные основаны на оперативных кубах MIS,Обновление информации просходит 1 раз в месяц,Итоговое закрепление за КМ будет обновлено на последнюю дату турнира</t>
  </si>
  <si>
    <t>01340230,00673892,01737312,01807213,00013701,01767368,01661250</t>
  </si>
  <si>
    <t>Учёт договоров ведется с начала 2025 года,Бейдж выдается за каждый заключенный договор</t>
  </si>
  <si>
    <t>Учёт договоров ведется с начала 2025 года,Бейдж выдается за каждый заключенный договор,Факт получения бейджа попадает в лену сообщества</t>
  </si>
  <si>
    <t>Данные основаны на тестовом источнике,Награда по ГОСБ вручается, если число участников не менее 2х</t>
  </si>
  <si>
    <t>01340230,00673892</t>
  </si>
  <si>
    <t>getCondition.rewards</t>
  </si>
  <si>
    <t>getCondition.nonRewards</t>
  </si>
  <si>
    <t>getCondition.employeeRating.minRatingBANK</t>
  </si>
  <si>
    <t>getCondition.employeeRating.minRatingTB</t>
  </si>
  <si>
    <t>getCondition.employeeRating.minRatingGOSB</t>
  </si>
  <si>
    <t>getCondition.employeeRating.minCrystalEarnedTotal</t>
  </si>
  <si>
    <t>getCondition.employeeRating.seasonCode</t>
  </si>
  <si>
    <t>tagColor</t>
  </si>
  <si>
    <t>tagEndDT</t>
  </si>
  <si>
    <t>Можно выбрать 1 обучение в год,Срок зачисления на курс составляет от трёх месяцев до года,После зачисления вся информация о программе появится в «Пульсе» в разделе «Развитие»,Необходимо согласовать отсутствие на период обучения с непосредственным руководителем,Дорога в Москву оплачивается за счёт командировочных расходов</t>
  </si>
  <si>
    <t>Нельзя забронировать совместно с участием в программе «Мастерская развития бизнеса КПК», а также с Обедом с лидерами ЦА,Можно выбрать 1 обучение за год,Срок зачисления на курс составляет от трёх месяцев до года,После зачисления вся информация о программе появится в «Пульсе» в разделе «Развитие»,Необходимо согласовать отсутствие на период обучения с непосредственным руководителем,Дорога в Москву оплачивается за счёт командировочных расходов</t>
  </si>
  <si>
    <t>Нельзя забронировать совместно с очным обучением в Корпоративном университете СберБанка и с обедом с лидерами ЦА,Доступно всего 5 мест на стажировку,Необходимо согласовать отсутствие на период стажировки с непосредственным руководителем,Дорога в Москву и проживание оплачивается за счёт командировочных расходов,Основание для участие и оформление командировки — вызов от ЦА</t>
  </si>
  <si>
    <t>Точные даты обеда будут определены в 3-м квартале 2025 года,Не более 7 клиентских менеджеров на одном обеде</t>
  </si>
  <si>
    <t>Нельзя забронировать совместно с очным обучением в Корпоративном университете Сбера и с участием в программе «Мастерская развития бизнеса КПК»,Не более 7 клиентских менеджеров на одном обеде,Обед оплачивается лидерами ЦА,Дорога в Москву и проживание в гостинице оплачивается за счёт командировочных расходов,Необходимо согласовать отсутствие с непосредственным руководителем,Основание для участие и оформление командировки — вызов от ЦА</t>
  </si>
  <si>
    <t>Сертификат будет направлен Вам в течение  второго полугодия на рабочую почту,Согласно законодательству РФ не облагаются налогом подарки до 4 тыс. руб. С суммы превышения будет удержано 13% при расчёте зарплаты</t>
  </si>
  <si>
    <t>Доступно всего 5 онлайн-сессий,Дата сессии будет определена в 3-м квартале</t>
  </si>
  <si>
    <t>Встреча лидеров традиционно проводится в последний вторник месяца,Активность займёт один рабочий день</t>
  </si>
  <si>
    <t>Активность займёт один рабочий день,Дорога в Москву и проживание в гостинице оплачивается за счёт командировочных расходов,Необходимо согласовать отсутствие на период стажировки с непосредственным руководителем,Основание для участие и оформление командировки — вызов от ЦА</t>
  </si>
  <si>
    <t>Ориентировочный срок доставки письма — 1 месяц с момента заказа,Без занесения в личное дело</t>
  </si>
  <si>
    <t>Доступно всего 5 мест на стажировку,Необходимо согласовать отсутствие на период стажировки с непосредственным руководителем,Дорога в Москву и проживание оплачивается за счёт командировочных расходов,Основание для участие и оформление командировки — вызов от ЦА</t>
  </si>
  <si>
    <t>Точные даты обеда будут определены в 1-м квартале 2025 года,Не более 7 клиентских менеджеров на одном обеде,Обед оплачивается лидерами ЦА,Дорога в Москву и проживание в гостинице оплачивается за счёт командировочных расходов,Необходимо согласовать отсутствие с непосредственным руководителем,Основание для участие и оформление командировки — вызов от ЦА</t>
  </si>
  <si>
    <t>Сертификат будет направлен Вам в течение первого квартала на рабочую почту,Согласно законодательству РФ не облагаются налогом подарки до 4 тыс. руб. С суммы превышения будет удержано 13% при расчёте зарплаты</t>
  </si>
  <si>
    <t>Доступно всего 5 онлайн-сессий,Дата сессии будет определена в 1-м квартале</t>
  </si>
  <si>
    <t>Встреча лидеров традиционно проводится в последний вторник месяца,Активность займёт один рабочий день,Дорога в Москву и проживание в гостинице оплачивается за счёт командировочных расходов,Необходимо согласовать отсутствие на период стажировки с непосредственным руководителем,Основание для участие и оформление командировки — вызов от ЦА</t>
  </si>
  <si>
    <t>Участие по возможности и желанию,Не освобождает от выполнения основных обязанностей</t>
  </si>
  <si>
    <t>Стажировка пройдёт в 1-м квартале 2025 года (1-2 дня на усмотрение организатора),Дорога в Москву и проживание в гостинице оплачивается за счёт командировочных расходов,Необходимо согласовать отсутствие на период стажировки с непосредственным руководителем,Основание для участия и оформления командировки — вызов от ЦА</t>
  </si>
  <si>
    <t>Нельзя забронировать совместно со стажировкой с победителями Лиги Чемпионов и Суперкубка 2025,Можно выбрать 1 обучение в год,Срок зачисления на курс составляет от трёх месяцев до года,После зачисления вся информация о программе появится в «Пульсе» в разделе «Развитие»,Необходимо согласовать отсутствие на период обучения с непосредственным руководителем,Дорога в Москву оплачивается за счёт командировочных расходов</t>
  </si>
  <si>
    <t>Нельзя забронировать совместно с очным обучением в Корпоративном университете СберБанка,Доступно всего 1 место на стажировку,Необходимо согласовать отсутствие на период стажировки с непосредственным руководителем,Дорога в Москву и проживание оплачивается за счёт командировочных расходов,Основание для участие и оформление командировки — вызов от ЦА</t>
  </si>
  <si>
    <t>Точные даты обеда будут определены в апреле-мае 2025 года,Не более 3  СМНС/МНС  на  обеде,Обед оплачивается лидерами КЭС</t>
  </si>
  <si>
    <t>Нельзя забронировать совместно с сертификатами других номиналов в SberShop,Сертификат будет направлен Вам в течение второго квартала на рабочую почту,Согласно законодательству РФ, не облагаются налогом подарки до 4 тыс. руб. С суммы превышения будет удержано 13% при расчёте зарплаты</t>
  </si>
  <si>
    <t>Доступно всего 3 онлайн-сессий,Дата сессии будет определена в апреле-мае 2025 года</t>
  </si>
  <si>
    <t>Стажировка пройдёт в 1 полугодии 2025 года,Дорога в Москву и проживание в гостинице оплачивается за счёт командировочных расходов,Необходимо согласовать отсутствие на период стажировки с непосредственным руководителем,Основание для участие и оформление командировки — вызов от ЦА</t>
  </si>
  <si>
    <t>orange-80</t>
  </si>
  <si>
    <t>green-70</t>
  </si>
  <si>
    <t>pink-80</t>
  </si>
  <si>
    <t>purple-80</t>
  </si>
  <si>
    <t>Комиссия (ЧКД) за конверсию по Индии учитывается накопительно по операция с 01.10.2023 года по 31.12.2024 года,Бейдж можно получить только один раз за год</t>
  </si>
  <si>
    <t>Комиссия (ЧКД) за конверсию по Индии учитывается накопительно по операция с 01.10.2023 года по 31.12.2024 года,Бейдж можно получить только один раз за год,Факт получения бейджа попадает в ленту сообщества</t>
  </si>
  <si>
    <t>Комиссия (ЧКД) за конверсию по Индии учитывается накопительно по операция с 01.10.2023 года по 31.12.2024 года,Бейдж можно получить только один раз за год,Факт получения бейджа попадает в ленту сообщества,Обладателю бейджа будет выпущен цифровой токен в формате NFT</t>
  </si>
  <si>
    <t>Каждый месяц устанавливается новая индивидуальная цель по комиссии по комиссии, равная х2 к комиссии предыдущего месяца,Бейдж можно получать каждый месяц, если будет выполняться цель по поставленной комиссии,Факт получения бейджа попадает в ленту сообщества</t>
  </si>
  <si>
    <t>Каждый месяц устанавливается новая индивидуальная цель по комиссии по комиссии, равная х3 к комиссии предыдущего месяца,Бейдж можно получать каждый месяц, если будет выполняться цель по поставленной комиссии,Факт получения бейджа попадает в ленту сообщества</t>
  </si>
  <si>
    <t>Каждый месяц устанавливается новая индивидуальная цель по комиссии по комиссии, равная х4 к комиссии предыдущего месяца,Бейдж можно получать каждый месяц, если будет выполняться цель по поставленной комиссии,Факт получения бейджа попадает в ленту сообщества</t>
  </si>
  <si>
    <t>Факт получения бейджа попадает в ленту сообщества,Обладателю бейджа однократно будет выпущен цифровой токен в формате NFT</t>
  </si>
  <si>
    <t>Факт получения бейджа попадает в ленту сообщества,Обладателю бейджа будет выпущен цифровой токен в формате NFT</t>
  </si>
  <si>
    <t>Всего будет выдано 100 бейджей,Информация обновляется еженедельно на основе отчета по продажам продуктов управления благосостояния,Обладатели данного бейджа получат эксклюзивную возможность приобрести колонку SBERBOOM mini в магазине Героев продаж,Итоговые результаты будут подведены к 1.10.2024 г.</t>
  </si>
  <si>
    <t>Бейдж можно получить только один раз за год,Факт получения бейджа попадает в ленту сообщества,Обладатели бейджей получат возможность в будущем принять участие в профильной сессии на площадке Департамента Глобальных Рынков г. Москва</t>
  </si>
  <si>
    <t>Всего будет выдано 100 бейджей,Учитываются реализованные сделки, инициированные клиентским менеджером,Не учитывается продажи, оформленные клиентом в СББОЛ самостоятельно</t>
  </si>
  <si>
    <t>В начале календарного года учет сделок начинается заново,Факт получения бейджа попадает в ленту сообщества</t>
  </si>
  <si>
    <t>В зачет идут сделки, оформленные, начиная с 1 октября 2024 года,Информация обновляется еженедельно на основе отчета по продажам продуктов управления благосостояния</t>
  </si>
  <si>
    <t>Награду можно получить только один раз,Учитываются награды, внедренные начиная с января 2024 года</t>
  </si>
  <si>
    <t>Награду можно получить только один раз,Учитываются награды, внедренные начиная с января 2024 года,Факт получения бейджа попадает в ленту сообщества</t>
  </si>
  <si>
    <t>Награду можно получить только один раз в 2024 году,В зачет пойдет результат 2го, 3го и 4го кварталов</t>
  </si>
  <si>
    <t>В зачет идут сделки, оформленные, начиная с 1 января 2025 года по 31 марта 2025 года,Информация обновляется еженедельно на основе отчета по продажам продуктов управления благосостояния</t>
  </si>
  <si>
    <t>В зачет идут сделки, оформленные, начиная с 1 апреля 2025 года по 30 июня 2025 года,Информация обновляется еженедельно на основе отчета по продажам продуктов управления благосостояния</t>
  </si>
  <si>
    <t>В зачет идут сделки, оформленные, начиная с 1 апреля 2025 года,Всего будет выдано 100 бейджей,Информация обновляется еженедельно на основе отчета по продажам продуктов управления благосостояния</t>
  </si>
  <si>
    <t>Комиссия (ЧКД) за конверсию по Индии учитывается накопительно по операция с 01.01.2025 года по 31.12.2025 года,Бейдж можно получить только один раз за год</t>
  </si>
  <si>
    <t>Комиссия (ЧКД) за конверсию по Индии учитывается накопительно по операция с 01.01.2025 года по 31.12.2025 года,Бейдж можно получить только один раз за год,Факт получения бейджа попадает в ленту сообщества</t>
  </si>
  <si>
    <t>Комиссия (ЧКД) за конверсию по Индии учитывается накопительно по операция с 01.01.2025 года по 31.12.2025 года,Бейдж можно получить только один раз за год,Факт получения бейджа попадает в ленту сообщества,Обладателю бейджа будет выпущен цифровой токен в формате NFT</t>
  </si>
  <si>
    <t>Бейдж выдается за каждый проект,Информация об участниках обновляется ежеквартально</t>
  </si>
  <si>
    <t>Бейдж можно получить только один раз за год,Факт получения бейджа попадает в ленту сообщества</t>
  </si>
  <si>
    <t>Учитываются клиенты только в рамках выставленных задач на привлечение,Факт получения бейджа попадает в ленту сообщества</t>
  </si>
  <si>
    <t>В зачёт принимаются клиенты, чьи активные продукты для юридических лиц принесли Банку положительный доход,Инициатива реализуется Корпоративно-инвестиционным блоком совместно с каналом СберПервый</t>
  </si>
  <si>
    <t>{"""feature""": ["""Факт получения бейджа попадает в ленту сообщества""", """Обладателю бейджа будет выпущен цифровой токен в формате NFT"""], """nftFlg""": """Y""", """outstanding""": """N""", """rewardRule""": """""", """rewardAgainGlobal""": """Y""", """rewardAgainTournament""": """N""", """hidden""":"""N""", """fileName""": """SUPERCUP_2023""", """teamNews""": """[n] [amount:менеджер] получили награду «Суперкубок 2023». Их КПК - лучшие из лучших!""", """singleNews""": """[Имя] [gender:1:получил|gender:2:получила] награду “Суперкубок 2023”.  [gender:1:Его|gender:2:Её] КПК - лучшее из лучших!", 2: " получила награду «Суперкубок 2023». Её КПК - лучшее из лучших!""", """businessBlock""": ["""KMKKSB"""], """recommendationLevel""": """BANK""", """priority""": """1""",  """masterBadge""": """Y""", """parentRewardCode""": """REWARD_13_01"""}</t>
  </si>
  <si>
    <t>[n] [amount:менеджер] получили награду «Суперкубок 2023». Их КПК - лучшие из лучших!</t>
  </si>
  <si>
    <t>01_2025-0_18-7_5</t>
  </si>
  <si>
    <t>01_2025-0_18-7_5_BANK</t>
  </si>
  <si>
    <t>01_2025-0_18-7_5_BANK_*</t>
  </si>
  <si>
    <t>01_2025-0_18-7_5_TB</t>
  </si>
  <si>
    <t>01_2025-0_18-7_5_TB_*</t>
  </si>
  <si>
    <t>r_01_2025-0_18-7_5_1</t>
  </si>
  <si>
    <t>01_2025-0_18-7_5_r_01_2025-0_18-7_5_1_BANK</t>
  </si>
  <si>
    <t>r_01_2025-0_18-7_5_2</t>
  </si>
  <si>
    <t>01_2025-0_18-7_5_r_01_2025-0_18-7_5_2_TB</t>
  </si>
  <si>
    <t>{"""feature""": ["""Точную дату визита мы согласуем с руководителями КПК/ГОСБ в рабочем порядке в 3-м квартале"""], """itemFeature""": [], """nftFlg""": """N""", """outstanding""": """N""", """rewardRule""": """Команда проекта свяжется с Вами в 3-м квартале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"""""", """minRatingTB""": """3""", """minRatingGOSB""": """""", """minCrystalEarnedTotal""": """""", """seasonCode""": """SEASON_2025_1"""}}, """itemGroupAmount""": [],  """isGroupingTitle""": """""",  """isGroupingTultip""": """""", """itemAmount""": """3""", """isGrouping""": """N""", """isGroupingName""": """гемба ЦА""", """itemMinShow""": """3""", """itemLimitCount""": """1""", """itemLimitPeriod""": """once""", """seasonItem""": ["""SEASON_2025_1"""], """bookingRequired""": """Y""", """deliveryRequired""": """Y""", """commingSoon""": """Y""", """ignoreConditions""": []}</t>
  </si>
  <si>
    <t>Точную дату визита мы согласуем с руководителями КПК/ГОСБ в рабочем порядке в 3-м квартале</t>
  </si>
  <si>
    <t>{"""feature""": ["""Точную дату визита мы согласуем с руководителями КПК/ГОСБ в рабочем порядке в 1-м квартале"""], """itemFeature""": ["""Точную дату визита мы согласуем с руководителями КПК/ГОСБ в рабочем порядке в 1-м квартале"""], """nftFlg""": """N""", """outstanding""": """N""", """rewardRule""": """Команда проекта свяжется с Вами в начале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["""KMKKSB"""], """getCondition""": {"""rewards""":[], """nonRewards""": [], """employeeRating""": {"""minRatingBANK""": """""", """minRatingTB""": """3""", """minRatingGOSB""": """""", """minCrystalEarnedTotal""": """""", """seasonCode""": """SEASON_2024"""}}, """itemGroupAmount""": [],  """isGroupingTitle""": """""",  """isGroupingTultip""": """""", """itemAmount""": """3""", """isGrouping""": """N""", """isGroupingName""": """гемба ЦА""", """itemMinShow""": """4""", """itemLimitCount""": """1""", """itemLimitPeriod""": """once""", """seasonItem""": ["""SEASON_2024"""], """bookingRequired""": """Y""", """deliveryRequired""": """Y""", """commingSoon""": """N""", """ignoreConditions""": []}</t>
  </si>
  <si>
    <t>Точную дату визита мы согласуем с руководителями КПК/ГОСБ в рабочем порядке в 1-м квартале</t>
  </si>
  <si>
    <t>Золото#по пакетам услуг</t>
  </si>
  <si>
    <t>Бейдж получат ТОП-1 от числа участников турнира в стране</t>
  </si>
  <si>
    <t>Серебро#по пакетам услуг</t>
  </si>
  <si>
    <t>{"""feature""": [], """nftFlg""": """N""", """outstanding""": """N""", """rewardRule""": """Бейдж получат ТОП-1 от числа участников турнира в тербанке""", """rewardAgainGlobal""": """Y""", """rewardAgainTournament""": """N""", """hidden""":"""N""", """fileName""": """""", """teamNews""": """""", """singleNews""": """""", """businessBlock""": ["""KMKKSB"""], """recommendationLevel""": """TB""", """priority""": """2""",  """masterBadge""": """N""", """parentRewardCode""": """r_01_2025-1_00-1_2"""}</t>
  </si>
  <si>
    <t>Бейдж получат ТОП-1 от числа участников турнира в тербанке</t>
  </si>
  <si>
    <t>t_01_2025-0_18-7_5_4001</t>
  </si>
  <si>
    <t>Пакеты услуг. Привлекаем ЛПР на обслуживание в СберПервый</t>
  </si>
  <si>
    <t>2026-01-21</t>
  </si>
  <si>
    <t>Пакеты услуг</t>
  </si>
  <si>
    <t>01_2025-0_18-7_5_t_01_2025-0_18-7_5_4001</t>
  </si>
  <si>
    <t>{"""feature""": ["""Победители получают один максимальный по достоинству бейдж""", """Победители получат возможность принять участие в бизнес-сессии управления благосостояния""", """Информация обновляется еженедельно на основе отчета по продажам продуктов управления благосостояния"""],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</si>
  <si>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["""KMKKSB"""]</t>
  </si>
  <si>
    <t>{"""feature""": [], """vid""": """ПРОМ""", """momentRewarding""": """DURIN""", """minNumber""": 1, """capacity""": """THOUSANDS""",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</si>
  <si>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</si>
  <si>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[], """vid""": """ПРОМ""", """momentRewarding""": """DURIN""", """minNumber""": 1, """capacity""": """""", """accuracy""": 2,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</si>
  <si>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["""Победители получают один максимальный по достоинству бейдж"""],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</si>
  <si>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["""Данные основаны на оперативных кубах MIS""", """Обновление информации просходит 1 раз в неделю""", """Победители получают один максимальный по достоинству бейдж"""],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</si>
  <si>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[{"period_code""": 0, """criterion_mark_type""": """&gt;""", """criterion_mark_value""": 0 }, {"""period_code""": 1, """criterion_mark_type""": """&gt;""", """criterion_mark_value""": 0 }]"</t>
  </si>
  <si>
    <t>{"""feature""": ["""Победители получают один максимальный по достоинству бейдж""", """Данные основаны на оперативных кубах MIS""", """Обновление информации просходит 1 раз в неделю""", """Награда по ГОСБ вручается, если число участников не менее 2х"""],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</si>
  <si>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Участвуют менеджеры сопровождения "Поток". За время турнира необходимо набрать максимальный балл по рейтингу производительности. По итогом турнира ТОП-1 получит золотую награду, а следующие 4 участники разделят серебро и бронзу.</t>
  </si>
  <si>
    <t>{"""feature""": ["""Победители получают один максимальный по достоинству бейдж""", """Обновление информации просходит 1 раз в неделю"""], """vid""": """ПРОМ""", """momentRewarding""": """AFTER""", """minNumber""": 2, """capacity""": """""",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["""KMFACTORING"""], """typeRewarding""": """one"""}</t>
  </si>
  <si>
    <t>["""KMFACTORING"""]</t>
  </si>
  <si>
    <t>{"""feature""": ["""Победители получают один максимальный по достоинству бейдж""", """Обновление информации просходит 1 раз в неделю"""],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["""KMFACTORING"""], """typeRewarding""": """one"""}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</si>
  <si>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["""MNS"""], """typeRewarding""": """one"""}</t>
  </si>
  <si>
    <t>["""MNS"""]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</si>
  <si>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["""SERVICEMEN"""], """typeRewarding""": """one"""}</t>
  </si>
  <si>
    <t>["""SERVICEMEN"""]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</si>
  <si>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["""KMFACTORING"""], """typeRewarding""": """one"""}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</si>
  <si>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["""KMSB1"""], """typeRewarding""": """one"""}</t>
  </si>
  <si>
    <t>["""KMSB1"""]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</si>
  <si>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["""IMUB"""], """typeRewarding""": """one"""}</t>
  </si>
  <si>
    <t>["""IMUB"""]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</si>
  <si>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["""RNUB"""], """typeRewarding""": """one"""}</t>
  </si>
  <si>
    <t>["""RNUB"""]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</si>
  <si>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["""RSB1"""], """typeRewarding""": """one"""}</t>
  </si>
  <si>
    <t>["""RSB1"""]</t>
  </si>
  <si>
    <t>{"""feature""": [], """vid""": """ПРОМ""", """momentRewarding""": """AFTER""", """minNumber""": 1, """capacity""": """""", """accuracy""": 0, """masking""": """N""", """tournamentStartMailing""": """N""", """tournamentEndMailing""": """N""",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[], """typeRewarding""": """all"""}</t>
  </si>
  <si>
    <t>{"""feature""": [], """vid""": """ПРОМ""", """momentRewarding""": """DURIN""", """minNumber""": 1, """capacity""": """THOUSANDS""",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</si>
  <si>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"""AFTER""", """minNumber""": 1, """capacity""": """THOUSANDS""",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</si>
  <si>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[{"period_code""": -1, """criterion_mark_type""": """&gt;""", """criterion_mark_value""": 0}]"</t>
  </si>
  <si>
    <t>{"""feature""": ["""Данные по УС основывается на дешборде по результативности КМ в Qlik Sense""", """Обновление информации просходит по мере обновления дешборда""", """Итоги турнира подводятся в 15-х числах месяца, следующего за месяцем турнира"""], """vid""": """ПРОМ""", """momentRewarding""": """AFTER""", """minNumber""": 1, """capacity""": """""", """accuracy""": 3,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</si>
  <si>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["""Данные по УС основывается на дешборде по результативности КМ в Qlik Sense""", """Обновление информации просходит 2 раза в неделю"""], """vid""": """ПРОМ""", """momentRewarding""": """AFTER""", """minNumber""": 1, """capacity""": """""", """accuracy""": 3,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</si>
  <si>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"""AFTER""", """minNumber""": 1, """capacity""": """""", """accuracy""": 0, """masking""": """N""", """tournamentStartMailing""": """N""", """tournamentEndMailing""": """N""", """tournamentLikeMailing""": """Y""", """tournamentRewardingMailing""": """N""", """tournamentListMailing""": [], """persomanNumberVisible""": ["""01340230""", """00343653""", """91500718"""],  """persomanNumberHidden""": [], """gosbVisible""": [], """gosbHidden""": [], """tbVisible""": [], """tbHidden""": [], """businessBlock""": [], """typeRewarding""": """all"""}</t>
  </si>
  <si>
    <t>{"""feature""": [], """vid""": """ПРОМ""", """momentRewarding""": """AFTER""", """minNumber""": 1, """capacity""": """""", """accuracy""": 0, """masking""": """N""", """tournamentStartMailing""": """N""", """tournamentEndMailing""": """N""",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</si>
  <si>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"""AFTER""",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</si>
  <si>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</si>
  <si>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</si>
  <si>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"""AFTER""", """minNumber""": 1, """capacity""": """THOUSANDS""", """accuracy""": 2,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["""MNS"""], """typeRewarding""": """all"""}</t>
  </si>
  <si>
    <t>{"""feature""": [], """vid""": """ПРОМ""", """momentRewarding""": """AFTER""", """minNumber""": 1, """capacity""": """MILLIONS""", """accuracy""": 3,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</si>
  <si>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["""Данные основаны на оперативных кубах MIS""", """Обновление информации просходит 1 раз в неделю""", """Награда по ГОСБ вручается, если число участников не менее 2х"""],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</si>
  <si>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["""Данные основаны на оперативных кубах MIS""", """Обновление информации просходит 1 раз в неделю"""],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</si>
  <si>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["""Информация обновляется еженедельно на основе отчета страхового брокера""", """Награда по ГОСБ вручается, если число участников не менее 2х"""], """vid""": """ПРОМ""", """momentRewarding""": """AFTER""", """minNumber""": 2,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</si>
  <si>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["""Данные основаны на оперативных кубах MIS""", """Награда по ГОСБ вручается, если число участников не менее 2х"""], """vid""": """ПРОМ""", """momentRewarding""": """AFTER""", """minNumber""": 2,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</si>
  <si>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["""Данные основаны на оперативных кубах MIS""", """Награда по ГОСБ вручается, если число участников не менее 2х"""],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</si>
  <si>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["""Данные основаны на оперативных кубах MIS"""],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</si>
  <si>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["""Обновление информации просходит 1 раз в неделю"""], """vid""": """ПРОМ""", """momentRewarding""": """AFTER""", """minNumber""": 0, """capacity""": """MILLIONS""", """accuracy""": 3,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</si>
  <si>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["""Обновление информации просходит 1 раз в неделю""", """Число заключенных сделок должно быть более 1"""], """vid""": """ПРОМ""", """momentRewarding""": """AFTER""", """minNumber""": 1, """capacity""": """""", """accuracy""": 0,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</si>
  <si>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["""Данные основаны на дешборде динамика интернализации в Qlik Sense""", """Награда по ГОСБ вручается, если число участников не менее 2х"""], """vid""": """ПРОМ""", """momentRewarding""": """AFTER""", """minNumber""": 2, """capacity""": """""",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</si>
  <si>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"""DURIN""", """minNumber""": 1, """capacity""": """""", """accuracy""": 2,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</si>
  <si>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"""AFTER""", """minNumber""": 2,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["""01340230""", """01728325""", """00343653""", """91500718"""],  """persomanNumberHidden""": [], """gosbVisible""": [], """gosbHidden""": [], """tbVisible""": [], """tbHidden""": [], """businessBlock""": ["""KMKKSB"""], """typeRewarding""": """all"""}</t>
  </si>
  <si>
    <t>{"""feature""": ["""Учитываются реализованные сделки, инициированные клиентским менеджером""", """Не учитывается продажи, оформленные клиентом в СББОЛ самостоятельно"""], """vid""": """ПРОМ""", """momentRewarding""": """AFTER""", """minNumber""": 2, """capacity""": """""", """accuracy""": 0,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</si>
  <si>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["""Информация обновляется еженедельно на основе отчета блока страхового брокера"""], """vid""": """ПРОМ""", """momentRewarding""": """AFTER""", """minNumber""": 2, """capacity""": """THOUSANDS""", """accuracy""": 2,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</si>
  <si>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["""Информация обновляется еженедельно на основе отчета страхового брокера""", """Награда по ГОСБ вручается, при числе участников не менее 2х"""], """vid""": """ПРОМ""", """momentRewarding""": """AFTER""", """minNumber""": 2, """capacity""": """THOUSANDS""", """accuracy""": 2,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</si>
  <si>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["""Информация обновляется еженедельно на основе отчета страхового брокера"""], """vid""": """ПРОМ""", """momentRewarding""": """AFTER""", """minNumber""": 2,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</si>
  <si>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</si>
  <si>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{"""feature""": [], """vid""": """ПРОМ""", """momentRewarding""": """AFTER""", """minNumber""": 1, """capacity""": """""", """accuracy""": 0, """masking""": """N""", """tournamentStartMailing""": """N""", """tournamentEndMailing""": """N""", """tournamentLikeMailing""": """Y""", """tournamentRewardingMailing""": """N""", """tournamentListMailing""": [], """persomanNumberVisible""": ["""88888888"""],  """persomanNumberHidden""": [], """gosbVisible""": [], """gosbHidden""": [], """tbVisible""": [], """tbHidden""": [], """businessBlock""": ["""KMKKSB"""], """typeRewarding""": """all"""}</t>
  </si>
  <si>
    <t>{"""feature""": ["""Данные обновляются раз в 2 недели"""], """vid""": """ПРОМ""", """momentRewarding""": """AFTER""", """minNumber""": 1, """capacity""": """""", """accuracy""": 2, """masking""": """N""", """tournamentStartMailing""": """N""", """tournamentEndMailing""": """Y""", """tournamentLikeMailing""": """Y""", """tournamentRewardingMailing""": """N""", """tournamentListMailing""": [], """persomanNumberVisible""": [],  """persomanNumberHidden""": [], """gosbVisible""": [], """gosbHidden""": [], """tbVisible""": [], """tbHidden""": [], """businessBlock""": ["""MNS"""], """typeRewarding""": """all"""}</t>
  </si>
  <si>
    <t>{"""feature""": ["""Данные обновляются раз в 2 недели"""], """vid""": """ПРОМ""", """momentRewarding""": """AFTER""", """minNumber""": 1, """capacity""": """""", """accuracy""": 2, """masking""": """N""", """tournamentStartMailing""": """Y""",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["""MNS"""], """typeRewarding""": """all"""}</t>
  </si>
  <si>
    <t>{"""feature""": ["""Данные обновляются раз в 2 недели"""],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"""all"""}</t>
  </si>
  <si>
    <t>{"""feature""": ["""Данные обновляются раз в 2 недели"""],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"""all"""}</t>
  </si>
  <si>
    <t>{"""feature""": [],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["""MNS"""], """typeRewarding""": """all"""}</t>
  </si>
  <si>
    <t>{"""feature""": [],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["""SERVICEMEN"""], """typeRewarding""": """all"""}</t>
  </si>
  <si>
    <t>{"""feature""": [], """vid""": """ПРОМ""", """momentRewarding""": """AFTER""",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["""SERVICEMEN"""], """typeRewarding""": """all"""}</t>
  </si>
  <si>
    <t>{"""feature""": ["""Победители получают один максимальный по достоинству бейдж""", """При условии выполения всем Сбером нето-притоков по ИДУ в сумме 18 млрд руб. и по ОПИФ в сумме 32 млрд руб. победители турнира получат доступ к наградам от УК Первая.""",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3,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["""KMSB1"""], """typeRewarding""": """one"""}</t>
  </si>
  <si>
    <t>{"""feature""": ["""Победители получают один максимальный по достоинству бейдж""", """При условии выполения личных сборов в сумме не менее 100 млн рублей и общей суммы сборов по всему Сберу на 30.06.2025 год 19,3 млрд руб. победители турнира получат доступ к наградам от фабрики СФН.""",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["""KMSB1"""], """typeRewarding""": """one"""}</t>
  </si>
  <si>
    <t>{"""feature""": ["""Победители получают один максимальный по достоинству бейдж""", """При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["""KMSB1"""], """typeRewarding""": """one"""}</t>
  </si>
  <si>
    <t>{"""feature""": ["""Победители получают один максимальный по достоинству бейдж""", """Обладатели золота и серебра получат доступ к наградам от СБСЖ""",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["""KMSB1"""], """typeRewarding""": """one"""}</t>
  </si>
  <si>
    <t>{"""feature""": ["""Победители получают один максимальный по достоинству бейдж""", """Все путевки должны быть фактически исполнены""", """Призеры турнира смогут получить фирменный мерч от курорта"""],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["""KMSB1"""], """typeRewarding""": """one"""}</t>
  </si>
  <si>
    <t>{"""feature""": ["""Победители получают один максимальный по достоинству бейдж""", """Результат формируется по закрепленной территории""", """При условии выполения всем Сбером нето-притоков по ИДУ в сумме 18 млрд руб. и по ОПИФ в сумме 32 млрд руб. победители турнира получат доступ к наградам от УК Первая.""",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["""IMUB"""], """typeRewarding""": """one"""}</t>
  </si>
  <si>
    <t>{"""feature""": ["""Победители получают один максимальный по достоинству бейдж""", """Результат формируется по закрепленной территории""", """При условии выполения квартального плана по закрепленной территории не менее 110% и общей суммы сборов по всему Сберу на 30.06.2025 год 19,3 млрд руб. победители турнира получат доступ к наградам от фабрики СФН.""",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["""IMUB"""], """typeRewarding""": """one"""}</t>
  </si>
  <si>
    <t>{"""feature""": ["""Победители получают один максимальный по достоинству бейдж""", """Результат формируется по закрепленной территории""", """При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["""IMUB"""], """typeRewarding""": """one"""}</t>
  </si>
  <si>
    <t>{"""feature""": ["""Победители получают один максимальный по достоинству бейдж""", """Результат формируется по закрепленной территории""",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["""IMUB"""], """typeRewarding""": """one"""}</t>
  </si>
  <si>
    <t>{"""feature""": ["""Победители получают один максимальный по достоинству бейдж""", """Результат формируется по своему территориальному банку""", """При условии выполения всем Сбером нето-притоков по ИДУ в сумме 18 млрд руб. и по ОПИФ в сумме 32 млрд руб. и индивидуального ориентира по тербанку победители турнира получат доступ к наградам от УК Первая.""",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["""RNUB"""], """typeRewarding""": """one"""}</t>
  </si>
  <si>
    <t>{"""feature""": ["""Победители получают один максимальный по достоинству бейдж""", """Результат формируется по своему территориальному банку""", """При условии выполения квартального плана тербанка не менее 110% и общей суммы сборов по всему Сберу на 30.06.2025 год 19,3 млрд руб. победители турнира получат доступ к наградам от фабрики СФН.""",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["""RNUB"""], """typeRewarding""": """one"""}</t>
  </si>
  <si>
    <t>{"""feature""": ["""Победители получают один максимальный по достоинству бейдж""", """Обновление информации просходит раз в неделю""",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["""RNUB"""], """typeRewarding""": """one"""}</t>
  </si>
  <si>
    <t>{"""feature""": ["""Победители получают один максимальный по достоинству бейдж""", """Результат формируется по своему территориальному банку""",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["""RNUB"""], """typeRewarding""": """one"""}</t>
  </si>
  <si>
    <t>{"""feature""": ["""Победители получают один максимальный по достоинству бейдж""", """Результат формируется по офису""", """При условии выполения всем Сбером нето-притоков по ИДУ в сумме 18 млрд руб. и по ОПИФ в сумме 32 млрд руб. и индивидуального ориентира по тербанку победители турнира получат доступ к наградам от УК Первая.""",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["""RSB1"""], """typeRewarding""": """one"""}</t>
  </si>
  <si>
    <t>{"""feature""": ["""Победители получают один максимальный по достоинству бейдж""", """Результат формируется по офису""", """При условии выполения квартального плана офиса не менее 110% и общей суммы сборов по всему Сберу на 30.06.2025 год 19,3 млрд руб. победители турнира получат доступ к наградам от фабрики СФН.""",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["""RSB1"""], """typeRewarding""": """one"""}</t>
  </si>
  <si>
    <t>{"""feature""": ["""Победители получают один максимальный по достоинству бейдж""", """Результат формируется по офису""", """При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["""RSB1"""], """typeRewarding""": """one"""}</t>
  </si>
  <si>
    <t>{"""feature""": ["""Победители получают один максимальный по достоинству бейдж""", """Результат формируется по офису""", """Рейтинг формируется без учета критерия нетто выше нуля по всем фабрикам. Условие по нетто будет учитываться в рейтинге с 01.06.25"""],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["""RSB1"""], """typeRewarding""": """one"""}</t>
  </si>
  <si>
    <t>{"""feature""": ["""Победители получают один максимальный по достоинству бейдж""", """Данные основаны на оперативных кубах MIS""", """Награда по ГОСБ вручается, если число участников не менее 2х"""], """vid""": """ПРОМ""", """momentRewarding""": """AFTER""", """minNumber""": 2,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</si>
  <si>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["""Обновление информации просходит 1 раз в неделю"""], """vid""": """ПРОМ""", """momentRewarding""": """AFTER""", """minNumber""": 0, """capacity""": """MILLIONS""", """accuracy""": 3,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</si>
  <si>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["""Победители получают один максимальный по достоинству бейдж""", """Данные основаны на оперативных кубах MIS""", """Обновление информации просходит 1 раз в неделю"""],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</si>
  <si>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["""Победители получают один максимальный по достоинству бейдж"""],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</si>
  <si>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["""Победители получают один максимальный по достоинству бейдж""", """Данные основаны на оперативных кубах MIS""", """Награда по ГОСБ вручается, если число участников не менее 2х"""], """vid""": """ПРОМ""", """momentRewarding""": """AFTER""", """minNumber""": 2,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</si>
  <si>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["""Победители получают один максимальный по достоинству бейдж""", """Информация обновляется еженедельно на основе отчета страхового брокера""", """Награда по ГОСБ вручается, если число участников не менее 2х"""], """vid""": """ПРОМ""", """momentRewarding""": """AFTER""", """minNumber""": 2,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</si>
  <si>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["""Обновление информации просходит раз в неделю"""],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["""KMSB1"""], """typeRewarding""": """one"""}</t>
  </si>
  <si>
    <t>{"""feature""": [],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["""MNS"""], """typeRewarding""": """one"""}</t>
  </si>
  <si>
    <t>{"""feature""": ["""Победители получают один максимальный по достоинству бейдж""", """В текущем турнире могут принять участие менеджеры, кто не занимал призовые места в прошлых периодах""", """При равном количестве баллов побеждает участник, который участвовал в более «весомых» активностях (например, интервью или фокус-группы)""", """Используйте реферальную программу «приведи друга – клиентского менеджера», чтобы получить сразу 100 баллов!"""],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</si>
  <si>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["""В сделку обязательно включена лицензия SPM""", """Договор подписан, оплачен и заактирован клиентом в период проведения турнира""",  """Период учета сделок: с 1 января 2025 года по 18 июля 2025 года"""],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</si>
  <si>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["""Сделка принимается к учету после оплаты клиентов по счету""",  """Период учета сделок: с 1 января 2025 года по 18 июля 2025 года"""],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</si>
  <si>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["""В сделку обязательно включена лицензия SPM""", """Договор подписан, оплачен и заактирован клиентом в период проведения турнира""",  """Период учета сделок: с 1 января 2025 года по 18 июля 2025 года"""],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"""one"""}</t>
  </si>
  <si>
    <t>{"""feature""": ["""Сделка принимается к учету после оплаты клиентов по счету""",  """Период учета сделок: с 1 января 2025 года по 18 июля 2025 года"""],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"""one"""}</t>
  </si>
  <si>
    <t>{"""feature""": ["""Учёт договоров ведется с начала 2025 года""", """Бейдж выдается за каждый заключенный договор"""], """vid""": """ПРОМ""", """momentRewarding""": """DURIN""", """minNumber""": 1, """capacity""": """THOUSANDS""",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</si>
  <si>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["""Учёт договоров ведется с начала 2025 года""", """Бейдж выдается за каждый заключенный договор""", """Факт получения бейджа попадает в лену сообщества"""], """vid""": """ПРОМ""", """momentRewarding""": """DURIN""", """minNumber""": 1, """capacity""": """THOUSANDS""",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</si>
  <si>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{"""feature""": ["""Данные основаны на тестовом источнике""", """Награда по ГОСБ вручается, если число участников не менее 2х"""], """vid""": """ПРОМ""", """momentRewarding""": """AFTER""", """minNumber""": 2, """capacity""": """""", """accuracy""": 2, """masking""": """N""", """tournamentStartMailing""": """N""", """tournamentEndMailing""": """N""", """tournamentLikeMailing""": """N""", """tournamentRewardingMailing""": """N""", """tournamentListMailing""": [], """persomanNumberVisible""": ["""01340230""", """00673892"""],  """persomanNumberHidden""": [], """gosbVisible""": [], """gosbHidden""": [], """tbVisible""": [], """tbHidden""": [], """businessBlock""": ["""KMKKSB"""], """typeRewarding""": """all"""}</t>
  </si>
  <si>
    <t>{"""feature""": ["""Факт получения бейджа попадает в ленту сообщества"""], """nftFlg""": """N""", """outstanding""": """Y""", """rewardRule""": """Бейдж получат ТОП-1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«Пакеты услуг. Привлекаем ЛПР на обслуживание в СберПервый». Они показали лучший результат по подключению премиальных пакетов услуг 4 или 5 уровня для ЛПР своих компаний в рамках турнира во всей стране""", """singleNews""": """Новое достижение! [Имя] [gender:1:стал|gender:2:стала] победителем турнира «Пакеты услуг. Привлекаем ЛПР на обслуживание в СберПервый». [gender:1:Он|gender:2:Она] [gender:1:показал|gender:2:показала] лучший результат по подключению премиальных пакетов услуг 4 или 5 уровня для ЛПР своих компаний в рамках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</si>
  <si>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&lt;span&gt;[Имя_Фамилия]&lt;/span&gt; и еще [n] [amount:менеджер] стали победителями турнира «Пакеты услуг. Привлекаем ЛПР на обслуживание в СберПервый». Они показали лучший результат по подключению премиальных пакетов услуг 4 или 5 уровня для ЛПР своих компаний в рамках турнира во всей стране</t>
  </si>
  <si>
    <t>Новое достижение! [Имя] [gender:1:стал|gender:2:стала] победителем турнира «Пакеты услуг. Привлекаем ЛПР на обслуживание в СберПервый». [gender:1:Он|gender:2:Она] [gender:1:показал|gender:2:показала] лучший результат по подключению премиальных пакетов услуг 4 или 5 уровня для ЛПР своих компаний в рамках турнира во всей стране</t>
  </si>
  <si>
    <t>{"""feature""": ["""Обновление информации просходит раз в неделю"""], """vid""": """ПРОМ""", """momentRewarding""": """DURIN""", """minNumber""": 1, """capacity""": """""", """accuracy""": 0,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"""one"""}</t>
  </si>
  <si>
    <t>Чтобы стать участником турнира, подключайте пакеты услуг СберПервого 4 или 5 уровня ЛПР-ам своих клиентов. Главное условие: на конец календарного месяца ЛПР должен иметь остатки свыше 10 млн. руб. Менеджеры с наибольшим числом действующих пакетов услуг на конец турнира станут победителями турнира: ТОП 1 в тербанке получат серебряные награды, а лучший участник по стране станет обладателем золотой награды!</t>
  </si>
  <si>
    <t>181</t>
  </si>
  <si>
    <t>2025-04-22</t>
  </si>
  <si>
    <t>{"""feature""": ["""Факт получения бейджа попадает в ленту сообщества""", """Обладателю бейджа будет выпущен цифровой токен в формате NFT"""], """nftFlg""": """Y""", """outstanding""": """N""", """rewardRule""": """""", """rewardAgainGlobal""": """N""", """rewardAgainTournament""": """N""", """hidden""":"""N""", """fileName""": """""", """teamNews""": """[n] [amount:менеджер] получили награду «Суперкубок 2024». Их КПК - лучшие из лучших!""", """singleNews""": """[Имя] [gender:1:получил|gender:2:получила] награду «Суперкубок 2024».  [gender:1:Его|gender:2:Её] КПК - лучшее из лучших!""", """businessBlock""": ["""KMKKSB"""], """recommendationLevel""": """BANK""", """priority""": """1""",  """masterBadge""": """Y""", """parentRewardCode""": """REWARD_67_01"""}</t>
  </si>
  <si>
    <t>Продукты СберЗдоровья исключаются из расчета,Победители получают один максимальный по достоинству бейдж,Данные обновляются раз в 2 недели</t>
  </si>
  <si>
    <t>Продукты AI-native исключаются из расчета,Победители получают один максимальный по достоинству бейдж,Данные обновляются раз в 2 недели</t>
  </si>
  <si>
    <t>t_01_2025-1_09-1_1_3051</t>
  </si>
  <si>
    <t>2025-05-31</t>
  </si>
  <si>
    <t>2025-06-20</t>
  </si>
  <si>
    <t>01_2025-1_09-1_1_t_01_2025-1_09-1_1_3051</t>
  </si>
  <si>
    <t>t_01_2025-1_14-1_1_3051</t>
  </si>
  <si>
    <t>01_2025-1_14-1_1_t_01_2025-1_14-1_1_3051</t>
  </si>
  <si>
    <t>t_01_2025-1_05-1_1_3051</t>
  </si>
  <si>
    <t>01_2025-1_05-1_1_t_01_2025-1_05-1_1_3051</t>
  </si>
  <si>
    <t>t_01_2025-1_08-1_1_3051</t>
  </si>
  <si>
    <t>01_2025-1_08-1_1_t_01_2025-1_08-1_1_3051</t>
  </si>
  <si>
    <t>на 29 апреля 2025</t>
  </si>
  <si>
    <t>Турнир проводится среди Старших менеджеров и Менеджеров по нефинансовым сервисам по продуктам категории AI-Native. Чтобы стать участником турнира, необходимо закрыть, как минимум одну сделку в срок до 30 июня 2025 года. Лучшие участники с наибольшим результатами в каждом ТБ станут победителями турнира и получат серебряный, и еще ТОП-2 получат бронзовый бейджи. ТОП-3 менеджера с лучшим результатом по всей стране станут обладателями золотой награды!\\nПродукты категории AI-Native: SberDevices - Умные устройства, АБК - Робот-оператор, Работа.ру - HR-сервисы (ex. Платформа), СберБизнесСофт - СБЕРБизнесБот, СберБизнесСофт - AI сервисы мониторинга и прогнозирования, СберБизнесСофт - СберЛид, ТОТ - Аналитика бизнеса, ТОТ - Аналитика жилой и коммерческой недвижимости, ТОТ - Аналитика потребителя, ЦРТ - Нестор.БРИФ, ЦРТ - Визирь, ЦРР - Платформа СберИнтегро, Эвотор - ИИ-решения  для бизнеса.</t>
  </si>
  <si>
    <t>Турнир проводится среди Старших менеджеров и Менеджеров по нефинансовым сервисам по продуктам HR-направления. Чтобы стать участником турнира, необходимо закрыть, как минимум одну сделку по продуктам HR направления. \\nЛучшие участники с наибольшим результатами в каждом ТБ станут победителями турнира и получат серебряный, и еще ТОП-2 получат бронзовый бейджи. ТОП-3 менеджера с лучшим результатом по всей стране станут обладателями золотой награды! \\nПродукты HR-направления: Деловая среда - Деловой туризм, HURMA.ai - Рейтинг талантов, Интеллектум - Корпоративное обучение, СберРешения - Переход на кадровый ЭДО, СберРешения - Бухгалтерия, зарплата и кадры, Купер - Подарочные сертификаты, СберУниверситет - Кастомизированные программы, СберУниверситет - Готовые образовательные решения, СберУниверситет - Кампус СберУниверситета, ЦПЛ - Подписка СберПрайм</t>
  </si>
  <si>
    <t>Турнир проводится среди Старших менеджеров и Менеджеров по нефинансовым сервисам по продуктам IT-направления. Чтобы стать участником турнира, необходимо закрыть, как минимум одну сделку по продуктам IT направления. \\nЛучшие участники с наибольшим результатами в каждом ТБ станут победителями турнира и получат серебряный, и еще ТОП-2 получат бронзовый бейджи. ТОП-3 менеджера с лучшим результатом по всей стране станут обладателями золотой награды! \\nПродукты IT-направления: VS Robotics - VS Robotics: голосовой робот и речевая аналитика для бизнеса, BI.ZONE - Кибербезопасность, СберМобайл - Цифровой транспорт, Cloud.ru - Облачные Услуги Cloud, СберКорус - Электронный документооборот (ЭДО), СберБанк - Архитектурный консалтинг в ИТ, СберСервис - Автоматизация и аутсорсинг ИТ-сервисов, СберСервис - ИТуслуга.ру – Цифровая платформа ИТ-продуктов для бизнеса, СберТех - Продукты PlatformV, Doma.AI - Умные дома от Doma.ai, SOFT TECH - Amelia 2.0, Современные Технологии - Комплексная эксплуатация недвижимости, TRUCKER - TRUCKER: IT-решения для транспортной логистики, Цифровые технологии - SBERUNITY</t>
  </si>
  <si>
    <t>Турнир проводится среди Старших менеджеров и Менеджеров по нефинансовым сервисам по продуктам COM-направления. Чтобы стать участником турнира, необходимо закрыть, как минимум одну сделку по продуктам COM направления. \\nЛучшие участники с наибольшим результатами в каждом ТБ станут победителями турнира и получат серебряный, и еще ТОП-2 получат бронзовый бейджи. ТОП-3 менеджера с лучшим результатом по всей стране станут обладателями золотой награды! \\nПродукты COM-направления: 2ГИС - Геоконтекстная реклама, 2ГИС - Геоинформационные системы, Сбер А - Сбер А: Тендерная платформа для застройщиков, СберРешения - Комплексные консультации по вопросам поддержки бизнеса, СберРешения - Комплексная поддержка по повышению эффективности бизнеса, СБ Девелопмент - Технический сервейинг, СберКорус - Транспортный ЭДО, Купер - Рекламная платформа, Купер - Подключение ретейлеров, СберБанк - Оплата в кредит, Звук Бизнес - Звук Бизнес, СберМаркетинг - Рекламные услуги, Strategy Partners - Инжиниринг и сопровождение строительства, Strategy Partners - Sbergile и практики консалтинга, Strategy Partners - Структурирование проекта для привлечения финансирования, Strategy Partners - Стратегический Консалтинг, Strategy Partners - Диагностика и определение путей развития организации, СберБизнесСофт - SberCRM, СберАналитика - Аналитика ассортимента</t>
  </si>
  <si>
    <t>2025-05-15</t>
  </si>
  <si>
    <t>2025-05-12</t>
  </si>
  <si>
    <t>{"""feature""": ["""Стажировка пройдёт в 1 полугодии 2025 года""", """Дорога в Москву и проживание в гостинице оплачивается за счёт командировочных расходов""", """Необходимо согласовать отсутствие на период стажировки с непосредственным руководителем""", """Основание для участие и оформление командировки — вызов от ЦА"""], """itemFeature""": ["""Стажировка пройдёт в 1 полугодии 2025 года""", """Дорога в Москву и проживание в гостинице оплачивается за счёт командировочных расходов""", """Необходимо согласовать отсутствие на период стажировки с непосредственным руководителем""", """Основание для участие и оформление командировки — вызов от ЦА"""], """nftFlg""": """N""", """outstanding""": """N""", """rewardRule""": """Команда проекта свяжется с Вами в апреле-мае 2025 года по рабочей почте для подтверждения бронирования и расскажет о дальнейших шагах.""", """rewardAgainGlobal""": """N""", """rewardAgainTournament""": """N""", """hidden""":"""N""", """fileName""": """""", """teamNews""": """""", """singleNews""": """""", """refreshOldNews""": """N""", """businessBlock""": ["""MNS"""], """getCondition""": {"""rewards""":[{"""rewardCode""": """REWARD_23_04""","""amount""": """1"""}], """nonRewards""": [], """employeeRating""": {"""minRatingBANK""": """""", """minRatingTB""": """""", """minRatingGOSB""": """""", """minCrystalEarnedTotal""": """""", """seasonCode""": """SEASON_m_2024"""}}, """itemGroupAmount""": [],  """isGroupingTitle""": """""",  """isGroupingTultip""": """""", """itemAmount""": """10""", """isGrouping""": """N""", """isGroupingName""": """Стажировка Сберздоровье""", """itemMinShow""": """3""", """itemLimitCount""": """1""", """itemLimitPeriod""": """once""", """seasonItem""": ["""SEASON_m_2024"""], """bookingRequired""": """Y""", """deliveryRequired""": """Y""", """commingSoon""": """N""", """ignoreConditions""": []}</t>
  </si>
  <si>
    <t>Победители получат бесплатное премиальное обслуживание 4 уровня сроком на один год,Пакеты услуг могут быть подключены любым способом: по SLA, ФОТ или самостоятельно оплачиваться клиентом,В зачет идут пакеты услуг, подключенные после 1 марта 2025 года вместе с закрытой сделкой в ЕФС,Для победы необходимо минимум 3 действующих пакета услуг и выполнение требования по остаткам на последний день турнира,Если участники имеют одинаковое количество пакетов услуг, то победит менеджер, у которого ЛПР - обладатели пакетов услуг - имеют большую сумму остатков на счетах (AUM),ЛПР - это представители компании, являющиеся ЕИО или бенефициарами</t>
  </si>
  <si>
    <t>ин</t>
  </si>
  <si>
    <t>2025-04-26</t>
  </si>
  <si>
    <t>2025-05-17</t>
  </si>
  <si>
    <t>ПОВТОРЫ</t>
  </si>
  <si>
    <t>CONTEST</t>
  </si>
  <si>
    <t>CONT_DATE CC</t>
  </si>
  <si>
    <t>SHEDULE CC_TC</t>
  </si>
  <si>
    <t>SHEDULE CC_TC _TOURNAMENT_STATUS</t>
  </si>
  <si>
    <t>CONT_DATE CC _BUSINESS_BLOCK</t>
  </si>
  <si>
    <t>INDICATOR CC _INDICATOR_CODE</t>
  </si>
  <si>
    <t>EMPL TN</t>
  </si>
  <si>
    <t>EMPL TN _BUSINESS_BLOCK</t>
  </si>
  <si>
    <t>REWARD CC</t>
  </si>
  <si>
    <t>REW LINK</t>
  </si>
  <si>
    <t>RL_CONTEST_CODE</t>
  </si>
  <si>
    <t>{"""feature""": ["""В зачет идут сделки, оформленные в течение каждого из кварталов 2025 года""","""Информация обновляется еженедельно на основе отчета по продажам продуктов управления благосостояния"""], """nftFlg""": """N""", """outstanding""": """Y""", """rewardRule""": """""", """rewardAgainGlobal""": """Y""", """rewardAgainTournament""": """N""", """hidden""":"""N""", """fileName""": """""", """teamNews""": """&lt;span&gt;[Имя_Фамилия]&lt;/span&gt; и еще [n] [amount:менеджер] собрали комиссионное вознаграждение от продажи страхового продукта «Защита бизнеса 360» на сумму более 500 тыс. рублей. Поздравляем!""", """singleNews""": """Новое достижение! [Имя] [gender:1:собрал|gender:2:собрала] комиссионное вознаграждение от продажи страхового продукта «Защита бизнеса 360» на сумму более 500 тыс. рублей. Поздравляем!""", """refreshOldNews""": """N""", """businessBlock""": ["""KMKKSB"""], """recommendationLevel""": """TB""", """priority""": """1""",  """masterBadge""": """Y""", """parentRewardCode""": """r_01_2025-0_08-2_3"""}</t>
  </si>
  <si>
    <t>В зачет идут сделки, оформленные в течение каждого из кварталов 2025 года,Информация обновляется еженедельно на основе отчета по продажам продуктов управления благосостояния</t>
  </si>
  <si>
    <t>TOURNAMENT_43_2025_Y01</t>
  </si>
  <si>
    <t>CONTEST_43_TOURNAMENT_43_2025_Y01</t>
  </si>
  <si>
    <t>t_01_2025-0_08-2_3_2021</t>
  </si>
  <si>
    <t>01_2025-0_08-2_3_t_01_2025-0_08-2_3_2021</t>
  </si>
  <si>
    <t>2026-01-20</t>
  </si>
  <si>
    <t>Для получения бейджа необходимо в течение квартала получить комиссионное вознаграждение от продажи страхового продукта «Защита бизнеса 360» на сумму не менее 500 тыс. рублей</t>
  </si>
  <si>
    <t>CONT_D CC</t>
  </si>
  <si>
    <t>CONT_D CC _BUSINESS_STATUS</t>
  </si>
  <si>
    <t>{"""feature""": ["""В начале календарного года учет сделок начинается заново""", """Факт получения бейджа попадает в ленту сообщества"""], """nftFlg""": """Y""", """outstanding""": """Y""", """rewardRule""": """Бейдж получат менеджеры, реализовавшие сделок лизинга по сумме договоров купли-продажи 1 миллиард рублей с начала календарного года""", """rewardAgainGlobal""": """Y""", """rewardAgainTournament""": """N""", """hidden""":"""N""", """fileName""": """""", """teamNews""": """&lt;span&gt;[Имя_Фамилия]&lt;/span&gt; и еще [n] [amount:менеджер] реализовали совокупно сделок лизинга на 1 млрд руб. по сумме договоров купли-продажи за 2025 год""", """singleNews""": """Новое достижение! [Имя] [gender:1:реализовал|gender:2:реализовала] сделок лизинга совокупно на 1 млрд руб. по сумме договоров купли-продажи за 2025 год""", """refreshOldNews""": """N""", """businessBlock""": ["""KMKKSB"""], """recommendationLevel""": """BANK""", """priority""": """1""",  """masterBadge""": """Y""", """parentRewardCode""": """REWARD_43_01"""}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</si>
  <si>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«Экосистема. Лидер по числу сделок». Они получили оплаты по сделкам с суммой от 50 тыс. руб. и показали лучший результат в стране""", """singleNews""": """Новое достижение! [Имя] [gender:1:стал|gender:2:стала] победителем турнира «Экосистема. Лидер по числу сделок». [gender:1:Он|gender:2:Она] [gender:1:получил|gender:2:получила] оплаты по сделкам с суммой от 50 тыс. руб. и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</si>
  <si>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«Максимальный полученный доход от продажи продуктов СберЗдоровье». Они показали лучший результат в стране""", """singleNews""": """Новое достижение! [Имя] [gender:1:стал|gender:2:стала] победителем турнира «Максимальный полученный доход от продажи продуктов СберЗдоровье».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</si>
  <si>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«Лидер по продажам продуктов AI-native». Они показали лучший результат в стране""", """singleNews""": """Новое достижение! [Имя] [gender:1:стал|gender:2:стала] победителем турнира «Лидер по продажам продуктов AI-native».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</si>
  <si>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«Лидер по продажам продуктов HR направления». Они показали лучший результат в стране""", """singleNews""": """Новое достижение! [Имя] [gender:1:стал|gender:2:стала] победителем турнира «Лидер по продажам продуктов HR направления».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</si>
  <si>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«Лидер по продажам продуктов IT направления». Они показали лучший результат в стране""", """singleNews""": """Новое достижение! [Имя] [gender:1:стал|gender:2:стала] победителем турнира «Лидер по продажам продуктов IT направления».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</si>
  <si>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сообщества""", """Обладателю бейджа однократно будет выпущен цифровой токен в формате NFT"""], """nftFlg""": """Y""", """outstanding""": """Y""", """rewardRule""": """Бейдж получат ТОП-3 от общего числа участников в турнире""", """rewardAgainGlobal""": """Y""", """rewardAgainTournament""": """N""", """hidden""":"""N""", """fileName""": """""", """teamNews""": """&lt;span&gt;[Имя_Фамилия]&lt;/span&gt; и еще [n] [amount:менеджер] по нефинансовым сервисам стали победителями турнира «Лидер по продажам продуктов COM направления». Они показали лучший результат в стране""", """singleNews""": """Новое достижение! [Имя] [gender:1:стал|gender:2:стала] победителем турнира «Лидер по продажам продуктов COM направления». [gender:1:Он|gender:2:Она] [gender:1:показал|gender:2:показала] лучший результат в стране""", """businessBlock""": ["""MNS"""], """recommendationLevel""": """BANK""", """priority""": """1""",  """masterBadge""": """N""", """parentRewardCode""": """r_02_2025-1_00-1_1"""}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</si>
  <si>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«Первенство КМ хантер по сумме лимитов реализованных сделок». Они реализовали сделки с наибольшими объемами лимитов по итогам турнира в СберФакторинге""", """singleNews""": """Новое достижение! [Имя] [gender:1:стал|gender:2:стала] победителем турнира «Первенство КМ хантер по сумме лимитов реализованных сделок». [gender:1:Он|gender:2:Она] [gender:1:реализовал|gender:2:реализовала] наибольшее количество сделок с объемными лимитами по итогам турнира в СберФакторинге""", """refreshOldNews""": """Y""", """businessBlock""": ["""KMFACTORING"""], """recommendationLevel""": """BANK""", """priority""": """1""",  """masterBadge""": """N""", """parentRewardCode""": """r_04_2025-0_00-1_1"""}</t>
  </si>
  <si>
    <t>{"""feature""": ["""Факт получения бейджа попадает в ленту сообщества"""], """nftFlg""": """N""", """outstanding""": """Y""", """rewardRule""": """Бейдж получит участник с максимальных результатом в турнире""", """rewardAgainGlobal""": """Y""", """rewardAgainTournament""": """N""", """hidden""":"""N""", """fileName""": """""", """teamNews""": """&lt;span&gt;[Имя_Фамилия]&lt;/span&gt; и еще [n] [amount:менеджер] развития бизнеса стали победителями турнира «Новые деньги. Наращиваем СДО (МРБ)». Они показали лучший прирост СДО новых денег по итогам турнира в СберФакторинге""", """singleNews""": """Новое достижение! [Имя] [gender:1:стал|gender:2:стала] победителем турнира «Новые деньги. Наращиваем СДО (МРБ)». [gender:1:Он|gender:2:Она] [gender:1:показал|gender:2:показала] лучший прирост СДО новых денег по итогам турнира в СберФакторинге""", """refreshOldNews""": """Y""", """businessBlock""": ["""KMFACTORING"""], """recommendationLevel""": """BANK""", """priority""": """1""",  """masterBadge""": """N""", """parentRewardCode""": """r_04_2025-0_00-1_1"""}</t>
  </si>
  <si>
    <t>t_01_2025-1_09-1_1_3061</t>
  </si>
  <si>
    <t>2025-06-01</t>
  </si>
  <si>
    <t>01_2025-1_09-1_1_t_01_2025-1_09-1_1_3061</t>
  </si>
  <si>
    <t>t_01_2025-1_14-1_1_3061</t>
  </si>
  <si>
    <t>01_2025-1_14-1_1_t_01_2025-1_14-1_1_3061</t>
  </si>
  <si>
    <t>t_01_2025-1_05-1_1_3061</t>
  </si>
  <si>
    <t>01_2025-1_05-1_1_t_01_2025-1_05-1_1_3061</t>
  </si>
  <si>
    <t>t_01_2025-1_08-1_1_3061</t>
  </si>
  <si>
    <t>01_2025-1_08-1_1_t_01_2025-1_08-1_1_3061</t>
  </si>
  <si>
    <t>{"""feature""": ["""Победители получают один максимальный по достоинству бейдж"""],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["""MNS"""], """typeRewarding""": """one"""}</t>
  </si>
  <si>
    <t>{"""feature""": ["""Победители получают один максимальный по достоинству бейдж""", """Данные обновляются раз в 2 недели"""],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"""one"""}</t>
  </si>
  <si>
    <t>{"""feature""": ["""Победители получают один максимальный по достоинству бейдж""", """Данные обновляются раз в 2 недели"""], """vid""": """ПРОМ""", """momentRewarding""": """AFTER""", """minNumber""": 1, """capacity""": """MILLIONS""", """accuracy""": 2,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"""one"""}</t>
  </si>
  <si>
    <t>{"""feature""": ["""Продукты СберЗдоровья исключаются из расчета""", """Победители получают один максимальный по достоинству бейдж""", """Данные обновляются раз в 2 недели"""],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"""one"""}</t>
  </si>
  <si>
    <t>{"""feature""": ["""Продукты AI-native исключаются из расчета""", """Победители получают один максимальный по достоинству бейдж""", """Данные обновляются раз в 2 недели"""], """vid""": """ПРОМ""", """momentRewarding""": """AFTER""", """minNumber""": 1, """capacity""": """THOUSANDS""", """accuracy""": 2, """masking""": """N""", """tournamentStartMailing""": """Y""", """tournamentEndMailing""": """Y""", """tournamentLikeMailing""": """Y""", """tournamentRewardingMailing""": """Y""", """tournamentListMailing""": [], """persomanNumberVisible""":  [],  """persomanNumberHidden""": [], """gosbVisible""": [], """gosbHidden""": [], """tbVisible""": [], """tbHidden""": [], """businessBlock""": ["""MNS"""], """typeRewarding""": """one"""}</t>
  </si>
  <si>
    <t>{"""feature""": ["""Данные основаны на оперативных кубах MIS""", """Обновление информации просходит 1 раз в месяц""", """Итоговое закрепление за КМ будет обновлено на последнюю дату турнира"""], """vid""": """ПРОМ""", """momentRewarding""": """AFTER""", """minNumber""": 2, """capacity""": """THOUSANDS""", """accuracy""": 2, """masking""": """N""", """tournamentStartMailing""": """N""", """tournamentEndMailing""": """Y""", """tournamentLikeMailing""": """Y""", """tournamentRewardingMailing""": """Y""", """tournamentListMailing""": [], """persomanNumberVisible""": ["""01340230""", """00673892""", """01737312""", """01807213""", """00013701""", """01767368""", """01661250"""], """persomanNumberHidden""": [], """gosbVisible""": [], """gosbHidden""": [], """tbVisible""": [], """tbHidden""": [], """businessBlock""": ["""KMKKSB"""], """typeRewarding""": """one"""}</t>
  </si>
  <si>
    <t>{"""feature""": ["""Победители получат бесплатное премиальное обслуживание 4 уровня сроком на один год""", """Пакеты услуг могут быть подключены любым способом: по SLA, ФОТ или самостоятельно оплачиваться клиентом""", """В зачет идут пакеты услуг, подключенные после 1 марта 2025 года вместе с закрытой сделкой в ЕФС""", """Для победы необходимо минимум 3 действующих пакета услуг и выполнение требования по остаткам на последний день турнира""", """Если участники имеют одинаковое количество пакетов услуг, то победит менеджер, у которого ЛПР - обладатели пакетов услуг - имеют большую сумму остатков на счетах (AUM)""", """ЛПР - это представители компании, являющиеся ЕИО или бенефициарами"""], """vid""": """ПРОМ""", """momentRewarding""": """AFTER""", """minNumber""": 1, """capacity""": """""", """accuracy""": 0, """masking""": """N""", """tournamentStartMailing""": """Y""", """tournamentEndMailing""": """Y""", """tournamentLikeMailing""": """Y""", """tournamentRewardingMailing""": """Y""", """tournamentListMailing""": [], """persomanNumberVisible""": [], """persomanNumberHidden""": [], """gosbVisible""": [], """gosbHidden""": [], """tbVisible""": [], """tbHidden""": [], """businessBlock""": ["""KMKKSB"""], """typeRewarding""": """one"""}</t>
  </si>
  <si>
    <t>{"""feature""": [], """vid""": """ПРОМ""", """momentRewarding""": """DURIN""", """minNumber""": 1, """capacity""": """MILLIONS""", """accuracy""": 2, """masking""": """N""", """tournamentStartMailing""": """N""", """tournamentEndMailing""": """N""", """tournamentLikeMailing""": """Y""", """tournamentRewardingMailing""": """Y""", """tournamentListMailing""": [], """persomanNumberVisible""": [],  """persomanNumberHidden""": [], """gosbVisible""": [], """gosbHidden""": [], """tbVisible""": [], """tbHidden""": [], """businessBlock""": ["""KMKKSB"""], """typeRewarding""": """all"""}</t>
  </si>
  <si>
    <t>ДУБЛЬ</t>
  </si>
  <si>
    <t>REPORT</t>
  </si>
  <si>
    <t>CONT_DATE CC _FULL_NAME</t>
  </si>
  <si>
    <t>CONTEST-DATA (PROM) 2025-05-27 v1</t>
  </si>
  <si>
    <t>REWARD (PROM) 2025-05-27 v1</t>
  </si>
  <si>
    <t>REWARD-LINK (PROM) 2025-05-27 v1</t>
  </si>
  <si>
    <t>GROUP (PROM) 2025-05-27 v1</t>
  </si>
  <si>
    <t>01_2025-1_05-1_2t</t>
  </si>
  <si>
    <t>r_01_2025-1_05-1_2t_1</t>
  </si>
  <si>
    <t>01_2025-1_05-1_2t_r_01_2025-1_05-1_2t_1_BANK</t>
  </si>
  <si>
    <t>01_2025-1_05-1_2t_BANK</t>
  </si>
  <si>
    <t>182</t>
  </si>
  <si>
    <t>r_01_2025-1_05-1_2t_2</t>
  </si>
  <si>
    <t>01_2025-1_05-1_2t_r_01_2025-1_05-1_2t_2_TB</t>
  </si>
  <si>
    <t>01_2025-1_05-1_2t_TB</t>
  </si>
  <si>
    <t>r_01_2025-1_05-1_2t_3</t>
  </si>
  <si>
    <t>01_2025-1_05-1_2t_r_01_2025-1_05-1_2t_3_GOSB</t>
  </si>
  <si>
    <t>01_2025-1_05-1_2t_GOSB</t>
  </si>
  <si>
    <t>01_2025-1_05-1_2t_BANK_*</t>
  </si>
  <si>
    <t>01_2025-1_05-1_2t_GOSB_*</t>
  </si>
  <si>
    <t>01_2025-1_05-1_2t_TB_*</t>
  </si>
  <si>
    <t>Стань ТОП-5 в турнире ФОТ. Прирост объема перечислений на уровне всей страны</t>
  </si>
  <si>
    <t>{"""feature""": ["""Факт получения бейджа попадает в ленту сообщества"""], """nftFlg""": """N""", """outstanding""": """Y""", """rewardRule""": """Бейдж получат ТОП-5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«ФОТ. Прирост объема перечислений». Они показали лучший результат во всей стране""", """singleNews""": """Новое достижение! [Имя] [gender:1:стал|gender:2:стала] победителем турнира «ФОТ. Прирост объема перечислений».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</si>
  <si>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Войди в ТОП-3 участников в турнире ФОТ. Прирост объема перечислений в своем тербанке</t>
  </si>
  <si>
    <t>{"""feature""": [], """nftFlg""": """N""", """outstanding""": """N""", """rewardRule""": """Бейдж получат ТОП-3 от числа участников турнира в своем тербанке""", """rewardAgainGlobal""": """Y""", """rewardAgainTournament""": """N""", """hidden""":"""N""", """fileName""": """""", """teamNews""": """""", """singleNews""": """""", """refreshOldNews""": """N""", """businessBlock""": ["""KMKKSB"""], """recommendationLevel""": """TB""", """priority""": """2""",  """masterBadge""": """N""", """parentRewardCode""": """r_01_2025-1_00-1_2"""}</t>
  </si>
  <si>
    <t>{"""feature""": [], """nftFlg""": """N""", """outstanding""": """N""", """rewardRule""": """Бейдж получат 10% менеджеров от числа участников турнира в каждом подразделении""", """rewardAgainGlobal""": """Y""", """rewardAgainTournament""": """N""", """hidden""":"""N""", """fileName""": """""", """teamNews""": """""", """singleNews""": """""", """refreshOldNews""": """N""", """businessBlock""": ["""KMKKSB"""], """recommendationLevel""": """GOSB""", """priority""": """3""",  """masterBadge""": """N""", """parentRewardCode""": """r_01_2025-1_00-1_3"""}</t>
  </si>
  <si>
    <t>Бейдж получат 10% менеджеров от числа участников турнира в каждом подразделении</t>
  </si>
  <si>
    <t>{"""feature""": ["""Факт получения бейджа попадает в ленту сообщества"""], """nftFlg""": """N""", """outstanding""": """N""", """rewardRule""": """Бейдж получат ТОП-5 от числа участников турнира в стране""", """rewardAgainGlobal""": """Y""", """rewardAgainTournament""": """N""", """hidden""":"""N""", """fileName""": """""", """teamNews""": """&lt;span&gt;[Имя_Фамилия]&lt;/span&gt; и еще [n] [amount:менеджер] стали победителями турнира «ФОТ. Прирост объема перечислений». Они показали лучший результат во всей стране""", """singleNews""": """Новое достижение! [Имя] [gender:1:стал|gender:2:стала] победителем турнира «ФОТ. Прирост объема перечислений». [gender:1:Он|gender:2:Она] [gender:1:показал|gender:2:показала] лучший результат по итогам турнира во всей стране""", """refreshOldNews""": """Y""", """businessBlock""": ["""KMKKSB"""], """recommendationLevel""": """BANK""", """priority""": """1""",  """masterBadge""": """N""", """parentRewardCode""": """r_01_2025-1_00-1_1"""}</t>
  </si>
  <si>
    <t>2025-09-30</t>
  </si>
  <si>
    <t>t_01_2025-1_02-3_1t_3051</t>
  </si>
  <si>
    <t>[{"period_code": 1, "criterion_mark_type": "&gt;", "criterion_mark_value": 0, "start_dt": "2025-04-01" , "end_dt": "2025-04-30"}]</t>
  </si>
  <si>
    <t>01_2025-1_02-3_1t_t_01_2025-1_02-3_1t_3051</t>
  </si>
  <si>
    <t>t_01_2025-1_05-1_2t_3031</t>
  </si>
  <si>
    <t>01_2025-1_05-1_2t_t_01_2025-1_05-1_2t_3031</t>
  </si>
  <si>
    <t>t_01_2025-1_05-1_2t_3041</t>
  </si>
  <si>
    <t>01_2025-1_05-1_2t_t_01_2025-1_05-1_2t_3041</t>
  </si>
  <si>
    <t>t_01_2025-1_05-1_2t_3051</t>
  </si>
  <si>
    <t>01_2025-1_05-1_2t_t_01_2025-1_05-1_2t_3051</t>
  </si>
  <si>
    <t>{"""feature""": ["""Победители получают один максимальный по достоинству бейдж""", """Данные основаны на оперативных кубах MIS""", """Награда по ГОСБ вручается, если число участников не менее 2х"""], """vid""": """ПРОМ""", """momentRewarding""": """AFTER""", """minNumber""": 2, """capacity""": """MILLIONS""", """accuracy""": 2, """masking""": """N""", """tournamentStartMailing""": """N""", """tournamentEndMailing""": """N""", """tournamentLikeMailing""": """N""", """tournamentRewardingMailing""": """N""", """tournamentListMailing""": [], """persomanNumberVisible""": ["""01340230""", """00673892"""],  """persomanNumberHidden""": [], """gosbVisible""": [], """gosbHidden""": [], """tbVisible""": [], """tbHidden""": [], """businessBlock""": ["""KMKKSB"""], """typeRewarding""": """one"""}</t>
  </si>
  <si>
    <t>CC360_CLIENT_VOLUM_FOT_M</t>
  </si>
  <si>
    <t>FACT0-RUN_RATE1_DOWN</t>
  </si>
  <si>
    <t>[{"period_code": 1, "start_dt": "2025-02-01" , "end_dt": "2025-02-28"}]</t>
  </si>
  <si>
    <t>[{"period_code": 1, "start_dt": "2025-03-01" , "end_dt": "2025-03-31"}]</t>
  </si>
  <si>
    <t>[{"period_code": 1, "start_dt": "2025-04-01" , "end_dt": "2025-04-30"}]</t>
  </si>
  <si>
    <t>TOURNAMENT-SCHEDULE (PROM) 2025-05-27 v2</t>
  </si>
  <si>
    <t>INDICATOR (PROM) 2025-05-27 v2</t>
  </si>
  <si>
    <t>REPORT (PROM-KMKKSB) 2025-05-29 v0</t>
  </si>
  <si>
    <t>PROM_USER_ROLE SB 2025-05-30 v1</t>
  </si>
  <si>
    <t>PROM_USER_ROLE 2025-05-30 v1</t>
  </si>
  <si>
    <t>Пол</t>
  </si>
  <si>
    <t>Источник</t>
  </si>
  <si>
    <t>М</t>
  </si>
  <si>
    <t>Отчество</t>
  </si>
  <si>
    <t>employee_PROM_2025-06-02 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</si>
</sst>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_ ;[Red]\-#,##0.0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NumberFormat="1" applyFill="1"/>
    <xf numFmtId="49" fontId="1" fillId="0" borderId="0" xfId="0" applyNumberFormat="1" applyFont="1" applyFill="1" applyBorder="1"/>
    <xf numFmtId="0" fontId="4" fillId="0" borderId="0" xfId="0" applyNumberFormat="1" applyFont="1" applyFill="1"/>
    <xf numFmtId="49" fontId="0" fillId="0" borderId="3" xfId="0" applyNumberFormat="1" applyFont="1" applyFill="1" applyBorder="1"/>
    <xf numFmtId="49" fontId="1" fillId="0" borderId="5" xfId="0" applyNumberFormat="1" applyFont="1" applyFill="1" applyBorder="1"/>
    <xf numFmtId="0" fontId="0" fillId="0" borderId="0" xfId="0" applyNumberFormat="1" applyAlignment="1">
      <alignment horizontal="center"/>
    </xf>
    <xf numFmtId="0" fontId="2" fillId="2" borderId="4" xfId="0" applyFont="1" applyFill="1" applyBorder="1"/>
    <xf numFmtId="164" fontId="0" fillId="0" borderId="0" xfId="0" applyNumberFormat="1"/>
    <xf numFmtId="49" fontId="5" fillId="0" borderId="5" xfId="0" applyNumberFormat="1" applyFont="1" applyFill="1" applyBorder="1"/>
    <xf numFmtId="0" fontId="0" fillId="4" borderId="0" xfId="0" applyNumberFormat="1" applyFill="1"/>
    <xf numFmtId="0" fontId="0" fillId="0" borderId="0" xfId="0" applyNumberFormat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7" xfId="0" applyNumberFormat="1" applyFont="1" applyFill="1" applyBorder="1"/>
    <xf numFmtId="0" fontId="6" fillId="5" borderId="8" xfId="0" applyNumberFormat="1" applyFont="1" applyFill="1" applyBorder="1"/>
    <xf numFmtId="0" fontId="6" fillId="5" borderId="8" xfId="0" applyNumberFormat="1" applyFont="1" applyFill="1" applyBorder="1" applyAlignment="1">
      <alignment horizontal="center" vertical="center"/>
    </xf>
    <xf numFmtId="0" fontId="6" fillId="5" borderId="7" xfId="0" applyNumberFormat="1" applyFont="1" applyFill="1" applyBorder="1" applyAlignment="1">
      <alignment horizontal="center" vertical="center"/>
    </xf>
    <xf numFmtId="0" fontId="6" fillId="5" borderId="7" xfId="0" applyNumberFormat="1" applyFont="1" applyFill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49" fontId="1" fillId="6" borderId="0" xfId="0" applyNumberFormat="1" applyFont="1" applyFill="1" applyBorder="1"/>
    <xf numFmtId="49" fontId="1" fillId="6" borderId="6" xfId="0" applyNumberFormat="1" applyFont="1" applyFill="1" applyBorder="1"/>
    <xf numFmtId="49" fontId="1" fillId="7" borderId="0" xfId="0" applyNumberFormat="1" applyFont="1" applyFill="1" applyBorder="1"/>
    <xf numFmtId="0" fontId="4" fillId="0" borderId="0" xfId="0" applyFont="1" applyFill="1"/>
    <xf numFmtId="0" fontId="0" fillId="0" borderId="0" xfId="0" applyFill="1"/>
    <xf numFmtId="4" fontId="0" fillId="0" borderId="0" xfId="0" applyNumberFormat="1" applyFill="1"/>
    <xf numFmtId="0" fontId="0" fillId="0" borderId="0" xfId="0" applyNumberFormat="1" applyFill="1" applyAlignment="1">
      <alignment horizontal="center" vertical="center" wrapText="1"/>
    </xf>
    <xf numFmtId="4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 wrapText="1"/>
    </xf>
    <xf numFmtId="0" fontId="4" fillId="0" borderId="0" xfId="0" applyNumberFormat="1" applyFont="1" applyFill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NumberFormat="1" applyFill="1" applyAlignment="1">
      <alignment horizontal="center"/>
    </xf>
    <xf numFmtId="49" fontId="1" fillId="0" borderId="6" xfId="0" applyNumberFormat="1" applyFont="1" applyFill="1" applyBorder="1"/>
    <xf numFmtId="4" fontId="0" fillId="3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vertical="center"/>
    </xf>
    <xf numFmtId="0" fontId="0" fillId="8" borderId="0" xfId="0" applyNumberFormat="1" applyFill="1"/>
    <xf numFmtId="0" fontId="0" fillId="9" borderId="0" xfId="0" applyNumberFormat="1" applyFill="1"/>
    <xf numFmtId="4" fontId="0" fillId="0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NumberFormat="1" applyFont="1" applyFill="1"/>
  </cellXfs>
  <cellStyles count="1">
    <cellStyle name="Обычный" xfId="0" builtinId="0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#,##0.000_ ;[Red]\-#,##0.000\ "/>
    </dxf>
    <dxf>
      <numFmt numFmtId="164" formatCode="#,##0.000_ ;[Red]\-#,##0.000\ 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FFFF0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FFFF00"/>
        </patternFill>
      </fill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20">
    <queryTableFields count="19">
      <queryTableField id="1" name="MANAGER_PERSON_NUMBER" tableColumnId="1"/>
      <queryTableField id="2" name="CONTEST_CODE" tableColumnId="2"/>
      <queryTableField id="3" name="TOURNAMENT_CODE" tableColumnId="3"/>
      <queryTableField id="4" name="CONTEST_DATE" tableColumnId="4"/>
      <queryTableField id="5" name="PLAN_VALUE" tableColumnId="5"/>
      <queryTableField id="6" name="FACT_VALUE" tableColumnId="6"/>
      <queryTableField id="7" name="priority_type" tableColumnId="7"/>
      <queryTableField id="8" name="для теста на ДУБЛИ" tableColumnId="8"/>
      <queryTableField id="9" name="ДАТА ДАННЫХ" tableColumnId="9"/>
      <queryTableField id="10" name="PLAN" tableColumnId="10"/>
      <queryTableField id="11" name="FACT" tableColumnId="11"/>
      <queryTableField id="12" name="ТН 8" tableColumnId="12"/>
      <queryTableField id="13" name="источник" tableColumnId="13"/>
      <queryTableField id="14" name="ID_CC_TC" tableColumnId="14"/>
      <queryTableField id="15" name="SHEDULE CC_TC _TOURNAMENT_STATUS" tableColumnId="15"/>
      <queryTableField id="16" name="CONT_DATE CC _BUSINESS_BLOCK" tableColumnId="16"/>
      <queryTableField id="17" name="INDICATOR CC _INDICATOR_CODE" tableColumnId="17"/>
      <queryTableField id="18" name="EMPL TN _BUSINESS_BLOCK" tableColumnId="18"/>
      <queryTableField id="19" name="ПОВТОРЫ" tableColumnId="19"/>
    </queryTableFields>
  </queryTableRefresh>
</queryTable>
</file>

<file path=xl/queryTables/queryTable2.xml><?xml version="1.0" encoding="utf-8"?>
<queryTable xmlns="http://schemas.openxmlformats.org/spreadsheetml/2006/main" name="ExternalData_1" connectionId="16" autoFormatId="0" applyNumberFormats="0" applyBorderFormats="0" applyFontFormats="1" applyPatternFormats="1" applyAlignmentFormats="0" applyWidthHeightFormats="0">
  <queryTableRefresh preserveSortFilterLayout="0" nextId="51">
    <queryTableFields count="50">
      <queryTableField id="1" name="REWARD_CODE" tableColumnId="101"/>
      <queryTableField id="2" name="REWARD_TYPE" tableColumnId="102"/>
      <queryTableField id="3" name="FULL_NAME" tableColumnId="103"/>
      <queryTableField id="4" name="REWARD_DESCRIPTION" tableColumnId="104"/>
      <queryTableField id="5" name="REWARD_CONDITION" tableColumnId="105"/>
      <queryTableField id="6" name="REWARD_COST" tableColumnId="106"/>
      <queryTableField id="7" name="REWARD_ADD_DATA" tableColumnId="107"/>
      <queryTableField id="8" name="LINK.CONTEST_CODE" tableColumnId="108"/>
      <queryTableField id="9" name="feature" tableColumnId="109"/>
      <queryTableField id="10" name="itemFeature" tableColumnId="110"/>
      <queryTableField id="11" name="nftFlg" tableColumnId="111"/>
      <queryTableField id="12" name="outstanding" tableColumnId="112"/>
      <queryTableField id="13" name="rewardRule" tableColumnId="113"/>
      <queryTableField id="14" name="rewardAgainGlobal" tableColumnId="114"/>
      <queryTableField id="15" name="rewardAgainTournament" tableColumnId="115"/>
      <queryTableField id="16" name="hidden" tableColumnId="116"/>
      <queryTableField id="17" name="fileName" tableColumnId="117"/>
      <queryTableField id="18" name="teamNews" tableColumnId="118"/>
      <queryTableField id="19" name="singleNews" tableColumnId="119"/>
      <queryTableField id="20" name="refreshOldNews" tableColumnId="120"/>
      <queryTableField id="21" name="businessBlock" tableColumnId="121"/>
      <queryTableField id="22" name="getCondition.rewards" tableColumnId="122"/>
      <queryTableField id="23" name="getCondition.nonRewards" tableColumnId="123"/>
      <queryTableField id="24" name="getCondition.employeeRating.minRatingBANK" tableColumnId="124"/>
      <queryTableField id="25" name="getCondition.employeeRating.minRatingTB" tableColumnId="125"/>
      <queryTableField id="26" name="getCondition.employeeRating.minRatingGOSB" tableColumnId="126"/>
      <queryTableField id="27" name="getCondition.employeeRating.minCrystalEarnedTotal" tableColumnId="127"/>
      <queryTableField id="28" name="getCondition.employeeRating.seasonCode" tableColumnId="128"/>
      <queryTableField id="29" name="itemGroupAmount" tableColumnId="129"/>
      <queryTableField id="30" name="isGroupingTitle" tableColumnId="130"/>
      <queryTableField id="31" name="isGroupingTultip" tableColumnId="131"/>
      <queryTableField id="32" name="itemAmount" tableColumnId="132"/>
      <queryTableField id="33" name="isGrouping" tableColumnId="133"/>
      <queryTableField id="34" name="isGroupingName" tableColumnId="134"/>
      <queryTableField id="35" name="itemMinShow" tableColumnId="135"/>
      <queryTableField id="36" name="itemLimitCount" tableColumnId="136"/>
      <queryTableField id="37" name="itemLimitPeriod" tableColumnId="137"/>
      <queryTableField id="38" name="seasonItem" tableColumnId="138"/>
      <queryTableField id="39" name="bookingRequired" tableColumnId="139"/>
      <queryTableField id="40" name="deliveryRequired" tableColumnId="140"/>
      <queryTableField id="41" name="commingSoon" tableColumnId="141"/>
      <queryTableField id="42" name="ignoreConditions" tableColumnId="142"/>
      <queryTableField id="43" name="tagColor" tableColumnId="143"/>
      <queryTableField id="44" name="tagEndDT" tableColumnId="144"/>
      <queryTableField id="45" name="recommendationLevel" tableColumnId="145"/>
      <queryTableField id="46" name="priority" tableColumnId="146"/>
      <queryTableField id="47" name="masterBadge" tableColumnId="147"/>
      <queryTableField id="48" name="parentRewardCode" tableColumnId="148"/>
      <queryTableField id="49" name="RL_CONTEST_CODE" tableColumnId="149"/>
      <queryTableField id="50" name="CONT_D CC _BUSINESS_STATUS" tableColumnId="150"/>
    </queryTableFields>
  </queryTableRefresh>
</queryTable>
</file>

<file path=xl/queryTables/queryTable3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CONTEST_CODE" tableColumnId="27"/>
      <queryTableField id="2" name="GROUP_CODE" tableColumnId="28"/>
      <queryTableField id="3" name="GROUP_VALUE" tableColumnId="29"/>
      <queryTableField id="4" name="GET_CALC_METHOD" tableColumnId="30"/>
      <queryTableField id="5" name="GET_CALC_CRITERION" tableColumnId="31"/>
      <queryTableField id="6" name="ADD_CALC_CRITERION" tableColumnId="32"/>
      <queryTableField id="7" name="ADD_CALC_CRITERION_2" tableColumnId="33"/>
      <queryTableField id="8" name="BASE_CALC_CODE" tableColumnId="34"/>
      <queryTableField id="9" name="ИД2" tableColumnId="35"/>
      <queryTableField id="10" name="ИД3" tableColumnId="36"/>
      <queryTableField id="11" name="CONT_DATE CC _BUSINESS_BLOCK" tableColumnId="37"/>
      <queryTableField id="12" name="INDICATOR CC _INDICATOR_CODE" tableColumnId="38"/>
      <queryTableField id="13" name="ПОВТОРЫ" tableColumnId="39"/>
    </queryTableFields>
  </queryTableRefresh>
</queryTable>
</file>

<file path=xl/queryTables/queryTable4.xml><?xml version="1.0" encoding="utf-8"?>
<queryTable xmlns="http://schemas.openxmlformats.org/spreadsheetml/2006/main" name="ExternalData_1" connectionId="18" autoFormatId="0" applyNumberFormats="0" applyBorderFormats="0" applyFontFormats="1" applyPatternFormats="1" applyAlignmentFormats="0" applyWidthHeightFormats="0">
  <queryTableRefresh preserveSortFilterLayout="0" nextId="10" unboundColumnsRight="1">
    <queryTableFields count="9">
      <queryTableField id="1" name="CONTEST_CODE" tableColumnId="19"/>
      <queryTableField id="2" name="GROUP_CODE" tableColumnId="20"/>
      <queryTableField id="3" name="REWARD_CODE" tableColumnId="21"/>
      <queryTableField id="4" name="ИД1" tableColumnId="22"/>
      <queryTableField id="5" name="ИД2" tableColumnId="23"/>
      <queryTableField id="6" name="CONT_DATE CC _FULL_NAME" tableColumnId="24"/>
      <queryTableField id="7" name="INDICATOR CC _INDICATOR_CODE" tableColumnId="25"/>
      <queryTableField id="8" name="ПОВТОРЫ" tableColumnId="26"/>
      <queryTableField id="9" dataBound="0" tableColumnId="27"/>
    </queryTableFields>
  </queryTableRefresh>
</queryTable>
</file>

<file path=xl/queryTables/queryTable5.xml><?xml version="1.0" encoding="utf-8"?>
<queryTable xmlns="http://schemas.openxmlformats.org/spreadsheetml/2006/main" name="ExternalData_1" connectionId="23" autoFormatId="0" applyNumberFormats="0" applyBorderFormats="0" applyFontFormats="1" applyPatternFormats="1" applyAlignmentFormats="0" applyWidthHeightFormats="0">
  <queryTableRefresh preserveSortFilterLayout="0" nextId="23">
    <queryTableFields count="22">
      <queryTableField id="1" name="PERSON_NUMBER" tableColumnId="163"/>
      <queryTableField id="2" name="PERSON_NUMBER_ADD" tableColumnId="164"/>
      <queryTableField id="3" name="SURNAME" tableColumnId="165"/>
      <queryTableField id="4" name="FIRST_NAME" tableColumnId="166"/>
      <queryTableField id="5" name="MIDDLE_NAME" tableColumnId="167"/>
      <queryTableField id="6" name="MANAGER_FULL_NAME" tableColumnId="168"/>
      <queryTableField id="7" name="POSITION_NAME" tableColumnId="169"/>
      <queryTableField id="8" name="TB_CODE" tableColumnId="170"/>
      <queryTableField id="9" name="GOSB_CODE" tableColumnId="171"/>
      <queryTableField id="10" name="BUSINESS_BLOCK" tableColumnId="172"/>
      <queryTableField id="11" name="PRIORITY_TYPE" tableColumnId="173"/>
      <queryTableField id="12" name="KPK_CODE" tableColumnId="174"/>
      <queryTableField id="13" name="KPK_NAME" tableColumnId="175"/>
      <queryTableField id="14" name="ROLE_CODE" tableColumnId="176"/>
      <queryTableField id="15" name="UCH_CODE" tableColumnId="177"/>
      <queryTableField id="16" name="GENDER" tableColumnId="178"/>
      <queryTableField id="17" name="ORG_UNIT_CODE" tableColumnId="179"/>
      <queryTableField id="18" name="Id" tableColumnId="180"/>
      <queryTableField id="19" name="TB_GOSB" tableColumnId="181"/>
      <queryTableField id="20" name="ПОВТОРЫ" tableColumnId="182"/>
      <queryTableField id="21" name="Пол" tableColumnId="183"/>
      <queryTableField id="22" name="Источник" tableColumnId="184"/>
    </queryTableFields>
  </queryTableRefresh>
</queryTable>
</file>

<file path=xl/queryTables/queryTable6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15" unboundColumnsRight="1">
    <queryTableFields count="14">
      <queryTableField id="1" name="TB_CODE" tableColumnId="29"/>
      <queryTableField id="2" name="TB_FULL_NAME" tableColumnId="30"/>
      <queryTableField id="3" name="TB_SHORT_NAME" tableColumnId="31"/>
      <queryTableField id="4" name="GOSB_CODE" tableColumnId="32"/>
      <queryTableField id="5" name="GOSB_NAME" tableColumnId="33"/>
      <queryTableField id="6" name="GOSB_SHORT_NAME" tableColumnId="34"/>
      <queryTableField id="7" name="CLUSTER_CODE" tableColumnId="35"/>
      <queryTableField id="8" name="GROUPING_CODE" tableColumnId="36"/>
      <queryTableField id="9" name="GOSB_CNT" tableColumnId="37"/>
      <queryTableField id="10" name="GROUPING_CNT" tableColumnId="38"/>
      <queryTableField id="11" name="DIV_LEVEL_1_CODE" tableColumnId="39"/>
      <queryTableField id="12" name="MOTIV_GOSB_CODE" tableColumnId="40"/>
      <queryTableField id="13" name="TB_GOSB" tableColumnId="41"/>
      <queryTableField id="14" dataBound="0" tableColumnId="42"/>
    </queryTableFields>
  </queryTableRefresh>
</queryTable>
</file>

<file path=xl/queryTables/queryTable7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15" unboundColumnsRight="2">
    <queryTableFields count="14">
      <queryTableField id="1" name="TB_CODE" tableColumnId="29"/>
      <queryTableField id="2" name="TB_FULL_NAME" tableColumnId="30"/>
      <queryTableField id="3" name="TB_SHORT_NAME" tableColumnId="31"/>
      <queryTableField id="4" name="GOSB_CODE" tableColumnId="32"/>
      <queryTableField id="5" name="GOSB_NAME" tableColumnId="33"/>
      <queryTableField id="6" name="GOSB_SHORT_NAME" tableColumnId="34"/>
      <queryTableField id="7" name="CLUSTER_CODE" tableColumnId="35"/>
      <queryTableField id="8" name="GROUPING_CODE" tableColumnId="36"/>
      <queryTableField id="9" name="GOSB_CNT" tableColumnId="37"/>
      <queryTableField id="10" name="GROUPING_CNT" tableColumnId="38"/>
      <queryTableField id="11" name="ORG_UNIT_CODE" tableColumnId="39"/>
      <queryTableField id="12" name="TB_GOSB" tableColumnId="40"/>
      <queryTableField id="14" dataBound="0" tableColumnId="41"/>
      <queryTableField id="13" dataBound="0" tableColumnId="42"/>
    </queryTableFields>
  </queryTableRefresh>
</queryTable>
</file>

<file path=xl/queryTables/queryTable8.xml><?xml version="1.0" encoding="utf-8"?>
<queryTable xmlns="http://schemas.openxmlformats.org/spreadsheetml/2006/main" name="ExternalData_1" connectionId="21" autoFormatId="0" applyNumberFormats="0" applyBorderFormats="0" applyFontFormats="1" applyPatternFormats="1" applyAlignmentFormats="0" applyWidthHeightFormats="0">
  <queryTableRefresh preserveSortFilterLayout="0" nextId="28" unboundColumnsRight="11">
    <queryTableFields count="27">
      <queryTableField id="1" name="TOURNAMENT_CODE" tableColumnId="1"/>
      <queryTableField id="2" name="PERIOD_TYPE" tableColumnId="2"/>
      <queryTableField id="3" name="START_DT" tableColumnId="3"/>
      <queryTableField id="4" name="END_DT" tableColumnId="4"/>
      <queryTableField id="5" name="RESULT_DT" tableColumnId="5"/>
      <queryTableField id="6" name="PLAN_PERIOD_START_DT" tableColumnId="6"/>
      <queryTableField id="7" name="PLAN_PERIOD_END_DT" tableColumnId="7"/>
      <queryTableField id="8" name="CRITERION_MARK_TYPE" tableColumnId="8"/>
      <queryTableField id="9" name="CRITERION_MARK_VALUE" tableColumnId="9"/>
      <queryTableField id="10" name="FILTER_PERIOD_ARR" tableColumnId="10"/>
      <queryTableField id="11" name="TOURNAMENT_STATUS" tableColumnId="11"/>
      <queryTableField id="12" name="CONTEST_CODE" tableColumnId="12"/>
      <queryTableField id="13" name="TARGET_TYPE" tableColumnId="13"/>
      <queryTableField id="14" name="CALC_TYPE" tableColumnId="14"/>
      <queryTableField id="15" name="id_CC_TC" tableColumnId="15"/>
      <queryTableField id="16" name="ПОВТОРЫ" tableColumnId="16"/>
      <queryTableField id="27" dataBound="0" tableColumnId="17"/>
      <queryTableField id="26" dataBound="0" tableColumnId="18"/>
      <queryTableField id="25" dataBound="0" tableColumnId="19"/>
      <queryTableField id="24" dataBound="0" tableColumnId="20"/>
      <queryTableField id="23" dataBound="0" tableColumnId="21"/>
      <queryTableField id="22" dataBound="0" tableColumnId="22"/>
      <queryTableField id="21" dataBound="0" tableColumnId="23"/>
      <queryTableField id="20" dataBound="0" tableColumnId="24"/>
      <queryTableField id="19" dataBound="0" tableColumnId="25"/>
      <queryTableField id="18" dataBound="0" tableColumnId="26"/>
      <queryTableField id="17" dataBound="0" tableColumnId="27"/>
    </queryTableFields>
  </queryTableRefresh>
</queryTable>
</file>

<file path=xl/queryTables/queryTable9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45">
    <queryTableFields count="44">
      <queryTableField id="1" name="CONTEST_CODE" tableColumnId="89"/>
      <queryTableField id="2" name="FULL_NAME" tableColumnId="90"/>
      <queryTableField id="3" name="CREATE_DT" tableColumnId="91"/>
      <queryTableField id="4" name="CLOSE_DT" tableColumnId="92"/>
      <queryTableField id="5" name="BUSINESS_STATUS" tableColumnId="93"/>
      <queryTableField id="6" name="CONTEST_TYPE" tableColumnId="94"/>
      <queryTableField id="7" name="CONTEST_DESCRIPTION" tableColumnId="95"/>
      <queryTableField id="8" name="CONTEST_FEATURE" tableColumnId="96"/>
      <queryTableField id="9" name="SHOW_INDICATOR" tableColumnId="97"/>
      <queryTableField id="10" name="PRODUCT_GROUP" tableColumnId="98"/>
      <queryTableField id="11" name="PRODUCT" tableColumnId="99"/>
      <queryTableField id="12" name="CONTEST_SUBJECT" tableColumnId="100"/>
      <queryTableField id="13" name="FACTOR_MARK_TYPE" tableColumnId="101"/>
      <queryTableField id="14" name="CONTEST_INDICATOR_METHOD" tableColumnId="102"/>
      <queryTableField id="15" name="CONTEST_FACTOR_METHOD" tableColumnId="103"/>
      <queryTableField id="16" name="PLAN_METHOD_CODE" tableColumnId="104"/>
      <queryTableField id="17" name="PLAN_MOD_METOD" tableColumnId="105"/>
      <queryTableField id="18" name="PLAN_MOD_VALUE" tableColumnId="106"/>
      <queryTableField id="19" name="FACTOR_MATCH" tableColumnId="107"/>
      <queryTableField id="20" name="CONTEST_PERIOD" tableColumnId="108"/>
      <queryTableField id="21" name="TARGET_TYPE" tableColumnId="109"/>
      <queryTableField id="22" name="SOURCE_UPD_FREQUENCY" tableColumnId="110"/>
      <queryTableField id="23" name="CALC_TYPE" tableColumnId="111"/>
      <queryTableField id="24" name="BUSINESS_BLOCK" tableColumnId="112"/>
      <queryTableField id="25" name="feature" tableColumnId="113"/>
      <queryTableField id="26" name="vid" tableColumnId="114"/>
      <queryTableField id="27" name="momentRewarding" tableColumnId="115"/>
      <queryTableField id="28" name="minNumber" tableColumnId="116"/>
      <queryTableField id="29" name="capacity" tableColumnId="117"/>
      <queryTableField id="30" name="accuracy" tableColumnId="118"/>
      <queryTableField id="31" name="masking" tableColumnId="119"/>
      <queryTableField id="32" name="tournamentStartMailing" tableColumnId="120"/>
      <queryTableField id="33" name="tournamentEndMailing" tableColumnId="121"/>
      <queryTableField id="34" name="tournamentLikeMailing" tableColumnId="122"/>
      <queryTableField id="35" name="tournamentRewardingMailing" tableColumnId="123"/>
      <queryTableField id="36" name="tournamentListMailing" tableColumnId="124"/>
      <queryTableField id="37" name="persomanNumberVisible" tableColumnId="125"/>
      <queryTableField id="38" name="persomanNumberHidden" tableColumnId="126"/>
      <queryTableField id="39" name="gosbVisible" tableColumnId="127"/>
      <queryTableField id="40" name="gosbHidden" tableColumnId="128"/>
      <queryTableField id="41" name="tbVisible" tableColumnId="129"/>
      <queryTableField id="42" name="tbHidden" tableColumnId="130"/>
      <queryTableField id="43" name="businessBlock" tableColumnId="131"/>
      <queryTableField id="44" name="typeRewarding" tableColumnId="132"/>
    </queryTableFields>
  </queryTableRefresh>
</queryTable>
</file>

<file path=xl/queryTables/queryTable10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23" unboundColumnsRight="6">
    <queryTableFields count="22">
      <queryTableField id="1" name="CONTEST_CODE" tableColumnId="1"/>
      <queryTableField id="2" name="INDICATOR_CALC_TYPE" tableColumnId="2"/>
      <queryTableField id="3" name="INDICATOR_ADD_CALC_TYPE" tableColumnId="3"/>
      <queryTableField id="4" name="FULL_NAME" tableColumnId="4"/>
      <queryTableField id="5" name="INDICATOR_CODE" tableColumnId="5"/>
      <queryTableField id="6" name="INDICATOR_AGG_FUNCTION" tableColumnId="6"/>
      <queryTableField id="7" name="INDICATOR_WEIGHT" tableColumnId="7"/>
      <queryTableField id="8" name="INDICATOR_OBJECT" tableColumnId="8"/>
      <queryTableField id="9" name="INDICATOR_MARK_TYPE" tableColumnId="9"/>
      <queryTableField id="10" name="INDICATOR_MATCH" tableColumnId="10"/>
      <queryTableField id="11" name="INDICATOR_VALUE" tableColumnId="11"/>
      <queryTableField id="12" name="CONTEST_CRITERION" tableColumnId="12"/>
      <queryTableField id="13" name="INDICATOR_FILTER" tableColumnId="13"/>
      <queryTableField id="14" name="CONTESTANT_SELECTION" tableColumnId="14"/>
      <queryTableField id="15" name="CALC_TYPE" tableColumnId="15"/>
      <queryTableField id="16" name="N" tableColumnId="16"/>
      <queryTableField id="22" dataBound="0" tableColumnId="17"/>
      <queryTableField id="21" dataBound="0" tableColumnId="18"/>
      <queryTableField id="20" dataBound="0" tableColumnId="19"/>
      <queryTableField id="19" dataBound="0" tableColumnId="20"/>
      <queryTableField id="18" dataBound="0" tableColumnId="21"/>
      <queryTableField id="17" dataBound="0" tableColumnId="22"/>
    </queryTableFields>
  </queryTableRefresh>
</queryTable>
</file>

<file path=xl/queryTables/queryTable11.xml><?xml version="1.0" encoding="utf-8"?>
<queryTable xmlns="http://schemas.openxmlformats.org/spreadsheetml/2006/main" name="ExternalData_1" connectionId="19" autoFormatId="0" applyNumberFormats="0" applyBorderFormats="0" applyFontFormats="1" applyPatternFormats="1" applyAlignmentFormats="0" applyWidthHeightFormats="0">
  <queryTableRefresh preserveSortFilterLayout="0" nextId="15" unboundColumnsRight="1">
    <queryTableFields count="14">
      <queryTableField id="1" name="RULE_NUM" tableColumnId="1"/>
      <queryTableField id="2" name="ROLE_CODE" tableColumnId="2"/>
      <queryTableField id="3" name="ROLE_NAME" tableColumnId="3"/>
      <queryTableField id="4" name="PERSON_NUMBER_ARR" tableColumnId="4"/>
      <queryTableField id="5" name="STAGE_ETALONE_CODE_ARR" tableColumnId="5"/>
      <queryTableField id="6" name="POST_ETALONE_CODE_ARR" tableColumnId="6"/>
      <queryTableField id="7" name="DIV_CODE_ARR" tableColumnId="7"/>
      <queryTableField id="8" name="EXCLUDE_DIV_CODE_ARR" tableColumnId="8"/>
      <queryTableField id="9" name="BUSINESS_BLOCK" tableColumnId="9"/>
      <queryTableField id="10" name="UCH_CODE" tableColumnId="10"/>
      <queryTableField id="11" name="ORG_UNIT_CODE" tableColumnId="11"/>
      <queryTableField id="12" name="TB_CODE" tableColumnId="12"/>
      <queryTableField id="13" name="GOSB_CODE" tableColumnId="13"/>
      <queryTableField id="14" dataBound="0" tableColumnId="14"/>
    </queryTableFields>
  </queryTableRefresh>
</queryTable>
</file>

<file path=xl/queryTables/queryTable12.xml><?xml version="1.0" encoding="utf-8"?>
<queryTable xmlns="http://schemas.openxmlformats.org/spreadsheetml/2006/main" name="ExternalData_1" connectionId="20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RULE_NUM" tableColumnId="1"/>
      <queryTableField id="2" name="ROLE_CODE" tableColumnId="2"/>
      <queryTableField id="3" name="ROLE_NAME" tableColumnId="3"/>
      <queryTableField id="4" name="PERSON_NUMBER_ARR" tableColumnId="4"/>
      <queryTableField id="5" name="STAGE_ETALONE_CODE_ARR" tableColumnId="5"/>
      <queryTableField id="6" name="POST_ETALONE_CODE_ARR" tableColumnId="6"/>
      <queryTableField id="7" name="DIV_CODE_ARR" tableColumnId="7"/>
      <queryTableField id="8" name="EXCLUDE_DIV_CODE_ARR" tableColumnId="8"/>
      <queryTableField id="9" name="BUSINESS_BLOCK" tableColumnId="9"/>
      <queryTableField id="10" name="UCH_CODE" tableColumnId="10"/>
      <queryTableField id="11" name="ORG_UNIT_CODE" tableColumnId="11"/>
      <queryTableField id="12" name="TB_CODE" tableColumnId="12"/>
      <queryTableField id="13" name="GOSB_CODE" tableColumnId="13"/>
    </queryTableFields>
  </queryTableRefresh>
</queryTable>
</file>

<file path=xl/queryTables/queryTable13.xml><?xml version="1.0" encoding="utf-8"?>
<queryTable xmlns="http://schemas.openxmlformats.org/spreadsheetml/2006/main" name="ExternalData_1" connectionId="25" autoFormatId="0" applyNumberFormats="0" applyBorderFormats="0" applyFontFormats="1" applyPatternFormats="1" applyAlignmentFormats="0" applyWidthHeightFormats="0">
  <queryTableRefresh preserveSortFilterLayout="0" nextId="31" unboundColumnsRight="15">
    <queryTableFields count="30">
      <queryTableField id="1" name="CONTEST_CODE" tableColumnId="31"/>
      <queryTableField id="2" name="TOURNAMENT_CODE" tableColumnId="32"/>
      <queryTableField id="3" name="REWARD_CODE" tableColumnId="33"/>
      <queryTableField id="4" name="GROUP_CODE" tableColumnId="34"/>
      <queryTableField id="5" name="FULL_NAME" tableColumnId="35"/>
      <queryTableField id="6" name="CREATE_DT" tableColumnId="36"/>
      <queryTableField id="7" name="CLOSE_DT" tableColumnId="37"/>
      <queryTableField id="8" name="BUSINESS_STATUS" tableColumnId="38"/>
      <queryTableField id="9" name="CONTEST_TYPE" tableColumnId="39"/>
      <queryTableField id="10" name="START_DT" tableColumnId="40"/>
      <queryTableField id="11" name="END_DT" tableColumnId="41"/>
      <queryTableField id="12" name="RESULT_DT" tableColumnId="42"/>
      <queryTableField id="13" name="TOURNAMENT_STATUS" tableColumnId="43"/>
      <queryTableField id="14" name="REWARD_TYPE" tableColumnId="44"/>
      <queryTableField id="15" name="FULL_NAME.1" tableColumnId="45"/>
      <queryTableField id="30" dataBound="0" tableColumnId="46"/>
      <queryTableField id="29" dataBound="0" tableColumnId="47"/>
      <queryTableField id="28" dataBound="0" tableColumnId="48"/>
      <queryTableField id="27" dataBound="0" tableColumnId="49"/>
      <queryTableField id="26" dataBound="0" tableColumnId="50"/>
      <queryTableField id="25" dataBound="0" tableColumnId="51"/>
      <queryTableField id="24" dataBound="0" tableColumnId="52"/>
      <queryTableField id="23" dataBound="0" tableColumnId="53"/>
      <queryTableField id="22" dataBound="0" tableColumnId="54"/>
      <queryTableField id="21" dataBound="0" tableColumnId="55"/>
      <queryTableField id="20" dataBound="0" tableColumnId="56"/>
      <queryTableField id="19" dataBound="0" tableColumnId="57"/>
      <queryTableField id="18" dataBound="0" tableColumnId="58"/>
      <queryTableField id="17" dataBound="0" tableColumnId="59"/>
      <queryTableField id="16" dataBound="0" tableColumnId="6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id="1" name="sPatch" displayName="sPatch" ref="A1:F17" headerRowDxfId="312">
  <autoFilter ref="A1:F17"/>
  <tableColumns count="6">
    <tableColumn id="1" name="Путь" totalsRowFunction="custom" totalsRowDxfId="311">
      <calculatedColumnFormula>MID(CELL("имяфайла",$A$1),1,SEARCH("[",CELL("имяфайла",$A$1))-1)</calculatedColumnFormula>
      <totalsRowFormula array="1">MID(CELL("имяфайла",A3),1,SEARCH("[",CELL("имяфайла",A3))-1)</totalsRowFormula>
    </tableColumn>
    <tableColumn id="2" name="Файл" totalsRowDxfId="310">
      <calculatedColumnFormula>MID(CELL("имяфайла",$B$1),SEARCH("[",CELL("имяфайла",$B$1))+1,SEARCH("]",CELL("имяфайла",$B$1))-SEARCH("[",CELL("имяфайла",$B$1))-1)</calculatedColumnFormula>
    </tableColumn>
    <tableColumn id="6" name="Папка" totalsRowDxfId="309"/>
    <tableColumn id="3" name="Данные" dataDxfId="308"/>
    <tableColumn id="8" name="ТИП" dataDxfId="307" totalsRowDxfId="306"/>
    <tableColumn id="5" name="строка" totalsRowFunction="sum" dataDxfId="305" totalsRowDxfId="304">
      <calculatedColumnFormula>ROW(sPatch[[#This Row],[Файл]])-2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0" name="_report" displayName="_report" ref="A5:S6" tableType="queryTable" totalsRowShown="0" headerRowDxfId="303">
  <autoFilter ref="A5:S6"/>
  <tableColumns count="19">
    <tableColumn id="1" uniqueName="1" name="MANAGER_PERSON_NUMBER" queryTableFieldId="1" dataDxfId="302"/>
    <tableColumn id="2" uniqueName="2" name="CONTEST_CODE" queryTableFieldId="2" dataDxfId="301"/>
    <tableColumn id="3" uniqueName="3" name="TOURNAMENT_CODE" queryTableFieldId="3" dataDxfId="300"/>
    <tableColumn id="4" uniqueName="4" name="CONTEST_DATE" queryTableFieldId="4" dataDxfId="299"/>
    <tableColumn id="5" uniqueName="5" name="PLAN_VALUE" queryTableFieldId="5" dataDxfId="298"/>
    <tableColumn id="6" uniqueName="6" name="FACT_VALUE" queryTableFieldId="6" dataDxfId="297"/>
    <tableColumn id="7" uniqueName="7" name="priority_type" queryTableFieldId="7" dataDxfId="296"/>
    <tableColumn id="8" uniqueName="8" name="для теста на ДУБЛИ" queryTableFieldId="8" dataDxfId="295"/>
    <tableColumn id="9" uniqueName="9" name="ДАТА ДАННЫХ" queryTableFieldId="9" dataDxfId="294"/>
    <tableColumn id="10" uniqueName="10" name="PLAN" queryTableFieldId="10" dataDxfId="293"/>
    <tableColumn id="11" uniqueName="11" name="FACT" queryTableFieldId="11" dataDxfId="292"/>
    <tableColumn id="12" uniqueName="12" name="ТН 8" queryTableFieldId="12" dataDxfId="291"/>
    <tableColumn id="13" uniqueName="13" name="источник" queryTableFieldId="13" dataDxfId="290"/>
    <tableColumn id="14" uniqueName="14" name="ID_CC_TC" queryTableFieldId="14" dataDxfId="289"/>
    <tableColumn id="15" uniqueName="15" name="SHEDULE CC_TC _TOURNAMENT_STATUS" queryTableFieldId="15" dataDxfId="288"/>
    <tableColumn id="16" uniqueName="16" name="CONT_DATE CC _BUSINESS_BLOCK" queryTableFieldId="16" dataDxfId="287"/>
    <tableColumn id="17" uniqueName="17" name="INDICATOR CC _INDICATOR_CODE" queryTableFieldId="17" dataDxfId="286"/>
    <tableColumn id="18" uniqueName="18" name="EMPL TN _BUSINESS_BLOCK" queryTableFieldId="18" dataDxfId="285"/>
    <tableColumn id="19" uniqueName="19" name="ПОВТОРЫ" queryTableFieldId="19" dataDxfId="28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6" name="_base_t1" displayName="_base_t1" ref="O1:S3" totalsRowShown="0" headerRowDxfId="283" dataDxfId="282">
  <autoFilter ref="O1:S3"/>
  <tableColumns count="5">
    <tableColumn id="1" name="SHEDULE" dataDxfId="281"/>
    <tableColumn id="2" name="CONTEST" dataDxfId="280"/>
    <tableColumn id="3" name="INDICATOR" dataDxfId="279"/>
    <tableColumn id="4" name="EMPLOEE" dataDxfId="278"/>
    <tableColumn id="5" name="REWARD" dataDxfId="27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_reward_" displayName="_reward_" ref="A5:AX404" tableType="queryTable" totalsRowShown="0" headerRowDxfId="276" dataDxfId="275">
  <autoFilter ref="A5:AX404"/>
  <tableColumns count="50">
    <tableColumn id="101" uniqueName="101" name="REWARD_CODE" queryTableFieldId="1" dataDxfId="274"/>
    <tableColumn id="102" uniqueName="102" name="REWARD_TYPE" queryTableFieldId="2" dataDxfId="273"/>
    <tableColumn id="103" uniqueName="103" name="FULL_NAME" queryTableFieldId="3" dataDxfId="272"/>
    <tableColumn id="104" uniqueName="104" name="REWARD_DESCRIPTION" queryTableFieldId="4" dataDxfId="271"/>
    <tableColumn id="105" uniqueName="105" name="REWARD_CONDITION" queryTableFieldId="5" dataDxfId="270"/>
    <tableColumn id="106" uniqueName="106" name="REWARD_COST" queryTableFieldId="6" dataDxfId="269"/>
    <tableColumn id="107" uniqueName="107" name="REWARD_ADD_DATA" queryTableFieldId="7" dataDxfId="268"/>
    <tableColumn id="108" uniqueName="108" name="LINK.CONTEST_CODE" queryTableFieldId="8" dataDxfId="267"/>
    <tableColumn id="109" uniqueName="109" name="feature" queryTableFieldId="9" dataDxfId="266"/>
    <tableColumn id="110" uniqueName="110" name="itemFeature" queryTableFieldId="10" dataDxfId="265"/>
    <tableColumn id="111" uniqueName="111" name="nftFlg" queryTableFieldId="11" dataDxfId="264"/>
    <tableColumn id="112" uniqueName="112" name="outstanding" queryTableFieldId="12" dataDxfId="263"/>
    <tableColumn id="113" uniqueName="113" name="rewardRule" queryTableFieldId="13" dataDxfId="262"/>
    <tableColumn id="114" uniqueName="114" name="rewardAgainGlobal" queryTableFieldId="14" dataDxfId="261"/>
    <tableColumn id="115" uniqueName="115" name="rewardAgainTournament" queryTableFieldId="15" dataDxfId="260"/>
    <tableColumn id="116" uniqueName="116" name="hidden" queryTableFieldId="16" dataDxfId="259"/>
    <tableColumn id="117" uniqueName="117" name="fileName" queryTableFieldId="17" dataDxfId="258"/>
    <tableColumn id="118" uniqueName="118" name="teamNews" queryTableFieldId="18" dataDxfId="257"/>
    <tableColumn id="119" uniqueName="119" name="singleNews" queryTableFieldId="19" dataDxfId="256"/>
    <tableColumn id="120" uniqueName="120" name="refreshOldNews" queryTableFieldId="20" dataDxfId="255"/>
    <tableColumn id="121" uniqueName="121" name="businessBlock" queryTableFieldId="21" dataDxfId="254"/>
    <tableColumn id="122" uniqueName="122" name="getCondition.rewards" queryTableFieldId="22" dataDxfId="253"/>
    <tableColumn id="123" uniqueName="123" name="getCondition.nonRewards" queryTableFieldId="23" dataDxfId="252"/>
    <tableColumn id="124" uniqueName="124" name="getCondition.employeeRating.minRatingBANK" queryTableFieldId="24" dataDxfId="251"/>
    <tableColumn id="125" uniqueName="125" name="getCondition.employeeRating.minRatingTB" queryTableFieldId="25" dataDxfId="250"/>
    <tableColumn id="126" uniqueName="126" name="getCondition.employeeRating.minRatingGOSB" queryTableFieldId="26" dataDxfId="249"/>
    <tableColumn id="127" uniqueName="127" name="getCondition.employeeRating.minCrystalEarnedTotal" queryTableFieldId="27" dataDxfId="248"/>
    <tableColumn id="128" uniqueName="128" name="getCondition.employeeRating.seasonCode" queryTableFieldId="28" dataDxfId="247"/>
    <tableColumn id="129" uniqueName="129" name="itemGroupAmount" queryTableFieldId="29" dataDxfId="246"/>
    <tableColumn id="130" uniqueName="130" name="isGroupingTitle" queryTableFieldId="30" dataDxfId="245"/>
    <tableColumn id="131" uniqueName="131" name="isGroupingTultip" queryTableFieldId="31" dataDxfId="244"/>
    <tableColumn id="132" uniqueName="132" name="itemAmount" queryTableFieldId="32" dataDxfId="243"/>
    <tableColumn id="133" uniqueName="133" name="isGrouping" queryTableFieldId="33" dataDxfId="242"/>
    <tableColumn id="134" uniqueName="134" name="isGroupingName" queryTableFieldId="34" dataDxfId="241"/>
    <tableColumn id="135" uniqueName="135" name="itemMinShow" queryTableFieldId="35" dataDxfId="240"/>
    <tableColumn id="136" uniqueName="136" name="itemLimitCount" queryTableFieldId="36" dataDxfId="239"/>
    <tableColumn id="137" uniqueName="137" name="itemLimitPeriod" queryTableFieldId="37" dataDxfId="238"/>
    <tableColumn id="138" uniqueName="138" name="seasonItem" queryTableFieldId="38" dataDxfId="237"/>
    <tableColumn id="139" uniqueName="139" name="bookingRequired" queryTableFieldId="39" dataDxfId="236"/>
    <tableColumn id="140" uniqueName="140" name="deliveryRequired" queryTableFieldId="40" dataDxfId="235"/>
    <tableColumn id="141" uniqueName="141" name="commingSoon" queryTableFieldId="41" dataDxfId="234"/>
    <tableColumn id="142" uniqueName="142" name="ignoreConditions" queryTableFieldId="42" dataDxfId="233"/>
    <tableColumn id="143" uniqueName="143" name="tagColor" queryTableFieldId="43" dataDxfId="232"/>
    <tableColumn id="144" uniqueName="144" name="tagEndDT" queryTableFieldId="44" dataDxfId="231"/>
    <tableColumn id="145" uniqueName="145" name="recommendationLevel" queryTableFieldId="45" dataDxfId="230"/>
    <tableColumn id="146" uniqueName="146" name="priority" queryTableFieldId="46" dataDxfId="229"/>
    <tableColumn id="147" uniqueName="147" name="masterBadge" queryTableFieldId="47" dataDxfId="228"/>
    <tableColumn id="148" uniqueName="148" name="parentRewardCode" queryTableFieldId="48" dataDxfId="227"/>
    <tableColumn id="149" uniqueName="149" name="RL_CONTEST_CODE" queryTableFieldId="49" dataDxfId="226"/>
    <tableColumn id="150" uniqueName="150" name="CONT_D CC _BUSINESS_STATUS" queryTableFieldId="50" dataDxfId="2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19" name="_base_t2" displayName="_base_t2" ref="AW1:AX3" totalsRowShown="0" headerRowDxfId="224" dataDxfId="223">
  <autoFilter ref="AW1:AX3"/>
  <tableColumns count="2">
    <tableColumn id="1" name="REWARD_LINK" dataDxfId="222"/>
    <tableColumn id="3" name="CONTEST" dataDxfId="2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_group_" displayName="_group_" ref="A5:M253" tableType="queryTable" totalsRowShown="0">
  <autoFilter ref="A5:M253"/>
  <tableColumns count="13">
    <tableColumn id="27" uniqueName="27" name="CONTEST_CODE" queryTableFieldId="1" dataDxfId="220"/>
    <tableColumn id="28" uniqueName="28" name="GROUP_CODE" queryTableFieldId="2" dataDxfId="219"/>
    <tableColumn id="29" uniqueName="29" name="GROUP_VALUE" queryTableFieldId="3" dataDxfId="218"/>
    <tableColumn id="30" uniqueName="30" name="GET_CALC_METHOD" queryTableFieldId="4" dataDxfId="217"/>
    <tableColumn id="31" uniqueName="31" name="GET_CALC_CRITERION" queryTableFieldId="5" dataDxfId="216"/>
    <tableColumn id="32" uniqueName="32" name="ADD_CALC_CRITERION" queryTableFieldId="6" dataDxfId="215"/>
    <tableColumn id="33" uniqueName="33" name="ADD_CALC_CRITERION_2" queryTableFieldId="7" dataDxfId="214"/>
    <tableColumn id="34" uniqueName="34" name="BASE_CALC_CODE" queryTableFieldId="8" dataDxfId="213"/>
    <tableColumn id="35" uniqueName="35" name="ИД2" queryTableFieldId="9" dataDxfId="212"/>
    <tableColumn id="36" uniqueName="36" name="ИД3" queryTableFieldId="10" dataDxfId="211"/>
    <tableColumn id="37" uniqueName="37" name="CONT_DATE CC _BUSINESS_BLOCK" queryTableFieldId="11" dataDxfId="210"/>
    <tableColumn id="38" uniqueName="38" name="INDICATOR CC _INDICATOR_CODE" queryTableFieldId="12" dataDxfId="209"/>
    <tableColumn id="39" uniqueName="39" name="ПОВТОРЫ" queryTableFieldId="13" dataDxfId="20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18" name="_base_t3" displayName="_base_t3" ref="K1:L3" totalsRowShown="0" headerRowDxfId="207" dataDxfId="206">
  <autoFilter ref="K1:L3"/>
  <tableColumns count="2">
    <tableColumn id="2" name="CONTEST" dataDxfId="205"/>
    <tableColumn id="3" name="INDICATOR" dataDxfId="20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_reward_link_" displayName="_reward_link_" ref="A7:I336" tableType="queryTable" totalsRowShown="0" headerRowDxfId="203">
  <autoFilter ref="A7:I336">
    <filterColumn colId="0">
      <filters>
        <filter val="01_2025-1_05-1_2t"/>
      </filters>
    </filterColumn>
  </autoFilter>
  <tableColumns count="9">
    <tableColumn id="19" uniqueName="19" name="CONTEST_CODE" queryTableFieldId="1" dataDxfId="202"/>
    <tableColumn id="20" uniqueName="20" name="GROUP_CODE" queryTableFieldId="2" dataDxfId="201"/>
    <tableColumn id="21" uniqueName="21" name="REWARD_CODE" queryTableFieldId="3" dataDxfId="200"/>
    <tableColumn id="22" uniqueName="22" name="ИД1" queryTableFieldId="4" dataDxfId="199"/>
    <tableColumn id="23" uniqueName="23" name="ИД2" queryTableFieldId="5" dataDxfId="198"/>
    <tableColumn id="24" uniqueName="24" name="CONT_DATE CC _FULL_NAME" queryTableFieldId="6" dataDxfId="197"/>
    <tableColumn id="25" uniqueName="25" name="INDICATOR CC _INDICATOR_CODE" queryTableFieldId="7" dataDxfId="196"/>
    <tableColumn id="26" uniqueName="26" name="ПОВТОРЫ" queryTableFieldId="8" dataDxfId="195"/>
    <tableColumn id="27" uniqueName="27" name="Столбец1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20" name="_base_t4" displayName="_base_t4" ref="E1:I3" totalsRowShown="0" headerRowDxfId="194" dataDxfId="193">
  <autoFilter ref="E1:I3"/>
  <tableColumns count="5">
    <tableColumn id="1" name="SHEDULE" dataDxfId="192"/>
    <tableColumn id="2" name="CONTEST" dataDxfId="191"/>
    <tableColumn id="7" name="INDICATOR" dataDxfId="190"/>
    <tableColumn id="6" name="REWARD" dataDxfId="189"/>
    <tableColumn id="4" name="REPORT" dataDxfId="18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employee_" displayName="employee_" ref="A2:V3" tableType="queryTable" totalsRowShown="0">
  <autoFilter ref="A2:V3"/>
  <tableColumns count="22">
    <tableColumn id="163" uniqueName="163" name="PERSON_NUMBER" queryTableFieldId="1" dataDxfId="187"/>
    <tableColumn id="164" uniqueName="164" name="PERSON_NUMBER_ADD" queryTableFieldId="2" dataDxfId="186"/>
    <tableColumn id="165" uniqueName="165" name="SURNAME" queryTableFieldId="3" dataDxfId="185"/>
    <tableColumn id="166" uniqueName="166" name="FIRST_NAME" queryTableFieldId="4" dataDxfId="184"/>
    <tableColumn id="167" uniqueName="167" name="MIDDLE_NAME" queryTableFieldId="5" dataDxfId="183"/>
    <tableColumn id="168" uniqueName="168" name="MANAGER_FULL_NAME" queryTableFieldId="6" dataDxfId="182"/>
    <tableColumn id="169" uniqueName="169" name="POSITION_NAME" queryTableFieldId="7" dataDxfId="181"/>
    <tableColumn id="170" uniqueName="170" name="TB_CODE" queryTableFieldId="8" dataDxfId="180"/>
    <tableColumn id="171" uniqueName="171" name="GOSB_CODE" queryTableFieldId="9" dataDxfId="179"/>
    <tableColumn id="172" uniqueName="172" name="BUSINESS_BLOCK" queryTableFieldId="10" dataDxfId="178"/>
    <tableColumn id="173" uniqueName="173" name="PRIORITY_TYPE" queryTableFieldId="11" dataDxfId="177"/>
    <tableColumn id="174" uniqueName="174" name="KPK_CODE" queryTableFieldId="12" dataDxfId="176"/>
    <tableColumn id="175" uniqueName="175" name="KPK_NAME" queryTableFieldId="13" dataDxfId="175"/>
    <tableColumn id="176" uniqueName="176" name="ROLE_CODE" queryTableFieldId="14" dataDxfId="174"/>
    <tableColumn id="177" uniqueName="177" name="UCH_CODE" queryTableFieldId="15" dataDxfId="173"/>
    <tableColumn id="178" uniqueName="178" name="GENDER" queryTableFieldId="16" dataDxfId="172"/>
    <tableColumn id="179" uniqueName="179" name="ORG_UNIT_CODE" queryTableFieldId="17" dataDxfId="171"/>
    <tableColumn id="180" uniqueName="180" name="Id" queryTableFieldId="18" dataDxfId="170"/>
    <tableColumn id="181" uniqueName="181" name="TB_GOSB" queryTableFieldId="19" dataDxfId="169"/>
    <tableColumn id="182" uniqueName="182" name="ПОВТОРЫ" queryTableFieldId="20" dataDxfId="168"/>
    <tableColumn id="183" uniqueName="183" name="Пол" queryTableFieldId="21" dataDxfId="167"/>
    <tableColumn id="184" uniqueName="184" name="Источник" queryTableFieldId="22" dataDxfId="16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2" name="_org_unit_" displayName="_org_unit_" ref="A1:N122" tableType="queryTable" totalsRowShown="0">
  <autoFilter ref="A1:N122"/>
  <tableColumns count="14">
    <tableColumn id="29" uniqueName="29" name="TB_CODE" queryTableFieldId="1" dataDxfId="165"/>
    <tableColumn id="30" uniqueName="30" name="TB_FULL_NAME" queryTableFieldId="2" dataDxfId="164"/>
    <tableColumn id="31" uniqueName="31" name="TB_SHORT_NAME" queryTableFieldId="3" dataDxfId="163"/>
    <tableColumn id="32" uniqueName="32" name="GOSB_CODE" queryTableFieldId="4" dataDxfId="162"/>
    <tableColumn id="33" uniqueName="33" name="GOSB_NAME" queryTableFieldId="5" dataDxfId="161"/>
    <tableColumn id="34" uniqueName="34" name="GOSB_SHORT_NAME" queryTableFieldId="6" dataDxfId="160"/>
    <tableColumn id="35" uniqueName="35" name="CLUSTER_CODE" queryTableFieldId="7" dataDxfId="159"/>
    <tableColumn id="36" uniqueName="36" name="GROUPING_CODE" queryTableFieldId="8" dataDxfId="158"/>
    <tableColumn id="37" uniqueName="37" name="GOSB_CNT" queryTableFieldId="9" dataDxfId="157"/>
    <tableColumn id="38" uniqueName="38" name="GROUPING_CNT" queryTableFieldId="10" dataDxfId="156"/>
    <tableColumn id="39" uniqueName="39" name="DIV_LEVEL_1_CODE" queryTableFieldId="11" dataDxfId="155"/>
    <tableColumn id="40" uniqueName="40" name="MOTIV_GOSB_CODE" queryTableFieldId="12" dataDxfId="154"/>
    <tableColumn id="41" uniqueName="41" name="TB_GOSB" queryTableFieldId="13" dataDxfId="153"/>
    <tableColumn id="42" uniqueName="42" name="1" queryTableFieldId="14" dataDxfId="15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1" name="_org_unit___v20" displayName="_org_unit___v20" ref="A1:N121" tableType="queryTable" totalsRowShown="0">
  <autoFilter ref="A1:N121"/>
  <tableColumns count="14">
    <tableColumn id="29" uniqueName="29" name="TB_CODE" queryTableFieldId="1" dataDxfId="151"/>
    <tableColumn id="30" uniqueName="30" name="TB_FULL_NAME" queryTableFieldId="2" dataDxfId="150"/>
    <tableColumn id="31" uniqueName="31" name="TB_SHORT_NAME" queryTableFieldId="3" dataDxfId="149"/>
    <tableColumn id="32" uniqueName="32" name="GOSB_CODE" queryTableFieldId="4" dataDxfId="148"/>
    <tableColumn id="33" uniqueName="33" name="GOSB_NAME" queryTableFieldId="5" dataDxfId="147"/>
    <tableColumn id="34" uniqueName="34" name="GOSB_SHORT_NAME" queryTableFieldId="6" dataDxfId="146"/>
    <tableColumn id="35" uniqueName="35" name="CLUSTER_CODE" queryTableFieldId="7" dataDxfId="145"/>
    <tableColumn id="36" uniqueName="36" name="GROUPING_CODE" queryTableFieldId="8" dataDxfId="144"/>
    <tableColumn id="37" uniqueName="37" name="GOSB_CNT" queryTableFieldId="9" dataDxfId="143"/>
    <tableColumn id="38" uniqueName="38" name="GROUPING_CNT" queryTableFieldId="10" dataDxfId="142"/>
    <tableColumn id="39" uniqueName="39" name="ORG_UNIT_CODE" queryTableFieldId="11" dataDxfId="141"/>
    <tableColumn id="40" uniqueName="40" name="TB_GOSB" queryTableFieldId="12" dataDxfId="140"/>
    <tableColumn id="41" uniqueName="41" name="1" queryTableFieldId="14" dataDxfId="139"/>
    <tableColumn id="42" uniqueName="42" name="2" queryTableFieldId="13" dataDxfId="13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SCHEDULE_" displayName="_SCHEDULE_" ref="A3:AA355" tableType="queryTable" totalsRowShown="0" headerRowDxfId="137" dataDxfId="136">
  <autoFilter ref="A3:AA355">
    <filterColumn colId="10">
      <filters>
        <filter val="АКТИВНЫЙ"/>
        <filter val="ПОДВЕДЕНИЕ ИТОГОВ"/>
      </filters>
    </filterColumn>
  </autoFilter>
  <tableColumns count="27">
    <tableColumn id="1" uniqueName="1" name="TOURNAMENT_CODE" queryTableFieldId="1" dataDxfId="135"/>
    <tableColumn id="2" uniqueName="2" name="PERIOD_TYPE" queryTableFieldId="2" dataDxfId="134"/>
    <tableColumn id="3" uniqueName="3" name="START_DT" queryTableFieldId="3" dataDxfId="133"/>
    <tableColumn id="4" uniqueName="4" name="END_DT" queryTableFieldId="4" dataDxfId="132"/>
    <tableColumn id="5" uniqueName="5" name="RESULT_DT" queryTableFieldId="5" dataDxfId="131"/>
    <tableColumn id="6" uniqueName="6" name="PLAN_PERIOD_START_DT" queryTableFieldId="6" dataDxfId="130"/>
    <tableColumn id="7" uniqueName="7" name="PLAN_PERIOD_END_DT" queryTableFieldId="7" dataDxfId="129"/>
    <tableColumn id="8" uniqueName="8" name="CRITERION_MARK_TYPE" queryTableFieldId="8" dataDxfId="128"/>
    <tableColumn id="9" uniqueName="9" name="CRITERION_MARK_VALUE" queryTableFieldId="9" dataDxfId="127"/>
    <tableColumn id="10" uniqueName="10" name="FILTER_PERIOD_ARR" queryTableFieldId="10" dataDxfId="126"/>
    <tableColumn id="11" uniqueName="11" name="TOURNAMENT_STATUS" queryTableFieldId="11" dataDxfId="125"/>
    <tableColumn id="12" uniqueName="12" name="CONTEST_CODE" queryTableFieldId="12" dataDxfId="124"/>
    <tableColumn id="13" uniqueName="13" name="TARGET_TYPE" queryTableFieldId="13" dataDxfId="123"/>
    <tableColumn id="14" uniqueName="14" name="CALC_TYPE" queryTableFieldId="14" dataDxfId="122"/>
    <tableColumn id="15" uniqueName="15" name="id_CC_TC" queryTableFieldId="15" dataDxfId="121"/>
    <tableColumn id="16" uniqueName="16" name="ПОВТОРЫ" queryTableFieldId="16" dataDxfId="120"/>
    <tableColumn id="17" uniqueName="17" name="Столбец1" queryTableFieldId="27" dataDxfId="119"/>
    <tableColumn id="18" uniqueName="18" name="к-во REPORT" queryTableFieldId="26" dataDxfId="118"/>
    <tableColumn id="19" uniqueName="19" name="BANK" queryTableFieldId="25" dataDxfId="117"/>
    <tableColumn id="20" uniqueName="20" name="TB" queryTableFieldId="24" dataDxfId="116"/>
    <tableColumn id="21" uniqueName="21" name="GOSB" queryTableFieldId="23" dataDxfId="115"/>
    <tableColumn id="22" uniqueName="22" name="GROUPING" queryTableFieldId="22" dataDxfId="114"/>
    <tableColumn id="23" uniqueName="23" name="INDICATOR CC" queryTableFieldId="21" dataDxfId="113"/>
    <tableColumn id="24" uniqueName="24" name="GROUP CC" queryTableFieldId="20" dataDxfId="112"/>
    <tableColumn id="25" uniqueName="25" name="CONT DATE CC" queryTableFieldId="19" dataDxfId="111"/>
    <tableColumn id="26" uniqueName="26" name="REW LINK CC" queryTableFieldId="18" dataDxfId="110"/>
    <tableColumn id="27" uniqueName="27" name="REPORT CC" queryTableFieldId="17" dataDxfId="10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4" name="_DATA_" displayName="_DATA_" ref="A3:AR182" tableType="queryTable" totalsRowShown="0">
  <autoFilter ref="A3:AR182">
    <filterColumn colId="0">
      <filters>
        <filter val="01_2025-1_05-1_2t"/>
      </filters>
    </filterColumn>
  </autoFilter>
  <tableColumns count="44">
    <tableColumn id="89" uniqueName="89" name="CONTEST_CODE" queryTableFieldId="1" dataDxfId="108"/>
    <tableColumn id="90" uniqueName="90" name="FULL_NAME" queryTableFieldId="2" dataDxfId="107"/>
    <tableColumn id="91" uniqueName="91" name="CREATE_DT" queryTableFieldId="3" dataDxfId="106"/>
    <tableColumn id="92" uniqueName="92" name="CLOSE_DT" queryTableFieldId="4" dataDxfId="105"/>
    <tableColumn id="93" uniqueName="93" name="BUSINESS_STATUS" queryTableFieldId="5" dataDxfId="104"/>
    <tableColumn id="94" uniqueName="94" name="CONTEST_TYPE" queryTableFieldId="6" dataDxfId="103"/>
    <tableColumn id="95" uniqueName="95" name="CONTEST_DESCRIPTION" queryTableFieldId="7" dataDxfId="102"/>
    <tableColumn id="96" uniqueName="96" name="CONTEST_FEATURE" queryTableFieldId="8" dataDxfId="101"/>
    <tableColumn id="97" uniqueName="97" name="SHOW_INDICATOR" queryTableFieldId="9" dataDxfId="100"/>
    <tableColumn id="98" uniqueName="98" name="PRODUCT_GROUP" queryTableFieldId="10" dataDxfId="99"/>
    <tableColumn id="99" uniqueName="99" name="PRODUCT" queryTableFieldId="11" dataDxfId="98"/>
    <tableColumn id="100" uniqueName="100" name="CONTEST_SUBJECT" queryTableFieldId="12" dataDxfId="97"/>
    <tableColumn id="101" uniqueName="101" name="FACTOR_MARK_TYPE" queryTableFieldId="13" dataDxfId="96"/>
    <tableColumn id="102" uniqueName="102" name="CONTEST_INDICATOR_METHOD" queryTableFieldId="14" dataDxfId="95"/>
    <tableColumn id="103" uniqueName="103" name="CONTEST_FACTOR_METHOD" queryTableFieldId="15" dataDxfId="94"/>
    <tableColumn id="104" uniqueName="104" name="PLAN_METHOD_CODE" queryTableFieldId="16" dataDxfId="93"/>
    <tableColumn id="105" uniqueName="105" name="PLAN_MOD_METOD" queryTableFieldId="17" dataDxfId="92"/>
    <tableColumn id="106" uniqueName="106" name="PLAN_MOD_VALUE" queryTableFieldId="18" dataDxfId="91"/>
    <tableColumn id="107" uniqueName="107" name="FACTOR_MATCH" queryTableFieldId="19" dataDxfId="90"/>
    <tableColumn id="108" uniqueName="108" name="CONTEST_PERIOD" queryTableFieldId="20" dataDxfId="89"/>
    <tableColumn id="109" uniqueName="109" name="TARGET_TYPE" queryTableFieldId="21" dataDxfId="88"/>
    <tableColumn id="110" uniqueName="110" name="SOURCE_UPD_FREQUENCY" queryTableFieldId="22" dataDxfId="87"/>
    <tableColumn id="111" uniqueName="111" name="CALC_TYPE" queryTableFieldId="23" dataDxfId="86"/>
    <tableColumn id="112" uniqueName="112" name="BUSINESS_BLOCK" queryTableFieldId="24" dataDxfId="85"/>
    <tableColumn id="113" uniqueName="113" name="feature" queryTableFieldId="25" dataDxfId="84"/>
    <tableColumn id="114" uniqueName="114" name="vid" queryTableFieldId="26" dataDxfId="83"/>
    <tableColumn id="115" uniqueName="115" name="momentRewarding" queryTableFieldId="27" dataDxfId="82"/>
    <tableColumn id="116" uniqueName="116" name="minNumber" queryTableFieldId="28" dataDxfId="81"/>
    <tableColumn id="117" uniqueName="117" name="capacity" queryTableFieldId="29" dataDxfId="80"/>
    <tableColumn id="118" uniqueName="118" name="accuracy" queryTableFieldId="30" dataDxfId="79"/>
    <tableColumn id="119" uniqueName="119" name="masking" queryTableFieldId="31" dataDxfId="78"/>
    <tableColumn id="120" uniqueName="120" name="tournamentStartMailing" queryTableFieldId="32" dataDxfId="77"/>
    <tableColumn id="121" uniqueName="121" name="tournamentEndMailing" queryTableFieldId="33" dataDxfId="76"/>
    <tableColumn id="122" uniqueName="122" name="tournamentLikeMailing" queryTableFieldId="34" dataDxfId="75"/>
    <tableColumn id="123" uniqueName="123" name="tournamentRewardingMailing" queryTableFieldId="35" dataDxfId="74"/>
    <tableColumn id="124" uniqueName="124" name="tournamentListMailing" queryTableFieldId="36" dataDxfId="73"/>
    <tableColumn id="125" uniqueName="125" name="persomanNumberVisible" queryTableFieldId="37" dataDxfId="72"/>
    <tableColumn id="126" uniqueName="126" name="persomanNumberHidden" queryTableFieldId="38" dataDxfId="71"/>
    <tableColumn id="127" uniqueName="127" name="gosbVisible" queryTableFieldId="39" dataDxfId="70"/>
    <tableColumn id="128" uniqueName="128" name="gosbHidden" queryTableFieldId="40" dataDxfId="69"/>
    <tableColumn id="129" uniqueName="129" name="tbVisible" queryTableFieldId="41" dataDxfId="68"/>
    <tableColumn id="130" uniqueName="130" name="tbHidden" queryTableFieldId="42" dataDxfId="67"/>
    <tableColumn id="131" uniqueName="131" name="businessBlock" queryTableFieldId="43" dataDxfId="66"/>
    <tableColumn id="132" uniqueName="132" name="typeRewarding" queryTableFieldId="44" dataDxfId="6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INDICATOR_" displayName="_INDICATOR_" ref="A2:V171" tableType="queryTable" totalsRowShown="0">
  <autoFilter ref="A2:V171">
    <filterColumn colId="13">
      <customFilters>
        <customFilter operator="notEqual" val=" "/>
      </customFilters>
    </filterColumn>
  </autoFilter>
  <tableColumns count="22">
    <tableColumn id="1" uniqueName="1" name="CONTEST_CODE" queryTableFieldId="1" dataDxfId="64"/>
    <tableColumn id="2" uniqueName="2" name="INDICATOR_CALC_TYPE" queryTableFieldId="2" dataDxfId="63"/>
    <tableColumn id="3" uniqueName="3" name="INDICATOR_ADD_CALC_TYPE" queryTableFieldId="3" dataDxfId="62"/>
    <tableColumn id="4" uniqueName="4" name="FULL_NAME" queryTableFieldId="4" dataDxfId="61"/>
    <tableColumn id="5" uniqueName="5" name="INDICATOR_CODE" queryTableFieldId="5" dataDxfId="60"/>
    <tableColumn id="6" uniqueName="6" name="INDICATOR_AGG_FUNCTION" queryTableFieldId="6" dataDxfId="59"/>
    <tableColumn id="7" uniqueName="7" name="INDICATOR_WEIGHT" queryTableFieldId="7" dataDxfId="58"/>
    <tableColumn id="8" uniqueName="8" name="INDICATOR_OBJECT" queryTableFieldId="8" dataDxfId="57"/>
    <tableColumn id="9" uniqueName="9" name="INDICATOR_MARK_TYPE" queryTableFieldId="9" dataDxfId="56"/>
    <tableColumn id="10" uniqueName="10" name="INDICATOR_MATCH" queryTableFieldId="10" dataDxfId="55"/>
    <tableColumn id="11" uniqueName="11" name="INDICATOR_VALUE" queryTableFieldId="11" dataDxfId="54"/>
    <tableColumn id="12" uniqueName="12" name="CONTEST_CRITERION" queryTableFieldId="12" dataDxfId="53"/>
    <tableColumn id="13" uniqueName="13" name="INDICATOR_FILTER" queryTableFieldId="13" dataDxfId="52"/>
    <tableColumn id="14" uniqueName="14" name="CONTESTANT_SELECTION" queryTableFieldId="14" dataDxfId="51"/>
    <tableColumn id="15" uniqueName="15" name="CALC_TYPE" queryTableFieldId="15" dataDxfId="50"/>
    <tableColumn id="16" uniqueName="16" name="N" queryTableFieldId="16" dataDxfId="49"/>
    <tableColumn id="17" uniqueName="17" name="Столбец2" queryTableFieldId="22"/>
    <tableColumn id="18" uniqueName="18" name="Столбец1" queryTableFieldId="21"/>
    <tableColumn id="19" uniqueName="19" name="SHEDULE CC" queryTableFieldId="20"/>
    <tableColumn id="20" uniqueName="20" name="GROUP CC" queryTableFieldId="19"/>
    <tableColumn id="21" uniqueName="21" name="CONT DATE CC" queryTableFieldId="18"/>
    <tableColumn id="22" uniqueName="22" name="REW LINK CC" queryTableFieldId="1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6" name="_ROLE_" displayName="_ROLE_" ref="A1:N2" tableType="queryTable" insertRow="1" totalsRowShown="0">
  <autoFilter ref="A1:N2"/>
  <tableColumns count="14">
    <tableColumn id="1" uniqueName="1" name="RULE_NUM" queryTableFieldId="1" dataDxfId="48"/>
    <tableColumn id="2" uniqueName="2" name="ROLE_CODE" queryTableFieldId="2" dataDxfId="47"/>
    <tableColumn id="3" uniqueName="3" name="ROLE_NAME" queryTableFieldId="3" dataDxfId="46"/>
    <tableColumn id="4" uniqueName="4" name="PERSON_NUMBER_ARR" queryTableFieldId="4" dataDxfId="45"/>
    <tableColumn id="5" uniqueName="5" name="STAGE_ETALONE_CODE_ARR" queryTableFieldId="5" dataDxfId="44"/>
    <tableColumn id="6" uniqueName="6" name="POST_ETALONE_CODE_ARR" queryTableFieldId="6" dataDxfId="43"/>
    <tableColumn id="7" uniqueName="7" name="DIV_CODE_ARR" queryTableFieldId="7" dataDxfId="42"/>
    <tableColumn id="8" uniqueName="8" name="EXCLUDE_DIV_CODE_ARR" queryTableFieldId="8" dataDxfId="41"/>
    <tableColumn id="9" uniqueName="9" name="BUSINESS_BLOCK" queryTableFieldId="9" dataDxfId="40"/>
    <tableColumn id="10" uniqueName="10" name="UCH_CODE" queryTableFieldId="10" dataDxfId="39"/>
    <tableColumn id="11" uniqueName="11" name="ORG_UNIT_CODE" queryTableFieldId="11" dataDxfId="38"/>
    <tableColumn id="12" uniqueName="12" name="TB_CODE" queryTableFieldId="12" dataDxfId="37"/>
    <tableColumn id="13" uniqueName="13" name="GOSB_CODE" queryTableFieldId="13" dataDxfId="36"/>
    <tableColumn id="14" uniqueName="14" name="1" queryTableFieldId="1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4" name="_ROLE___test" displayName="_ROLE___test" ref="A1:M2" tableType="queryTable" insertRow="1" totalsRowShown="0">
  <autoFilter ref="A1:M2"/>
  <tableColumns count="13">
    <tableColumn id="1" uniqueName="1" name="RULE_NUM" queryTableFieldId="1" dataDxfId="35"/>
    <tableColumn id="2" uniqueName="2" name="ROLE_CODE" queryTableFieldId="2" dataDxfId="34"/>
    <tableColumn id="3" uniqueName="3" name="ROLE_NAME" queryTableFieldId="3" dataDxfId="33"/>
    <tableColumn id="4" uniqueName="4" name="PERSON_NUMBER_ARR" queryTableFieldId="4" dataDxfId="32"/>
    <tableColumn id="5" uniqueName="5" name="STAGE_ETALONE_CODE_ARR" queryTableFieldId="5" dataDxfId="31"/>
    <tableColumn id="6" uniqueName="6" name="POST_ETALONE_CODE_ARR" queryTableFieldId="6" dataDxfId="30"/>
    <tableColumn id="7" uniqueName="7" name="DIV_CODE_ARR" queryTableFieldId="7" dataDxfId="29"/>
    <tableColumn id="8" uniqueName="8" name="EXCLUDE_DIV_CODE_ARR" queryTableFieldId="8" dataDxfId="28"/>
    <tableColumn id="9" uniqueName="9" name="BUSINESS_BLOCK" queryTableFieldId="9" dataDxfId="27"/>
    <tableColumn id="10" uniqueName="10" name="UCH_CODE" queryTableFieldId="10" dataDxfId="26"/>
    <tableColumn id="11" uniqueName="11" name="ORG_UNIT_CODE" queryTableFieldId="11" dataDxfId="25"/>
    <tableColumn id="12" uniqueName="12" name="TB_CODE" queryTableFieldId="12" dataDxfId="24"/>
    <tableColumn id="13" uniqueName="13" name="GOSB_CODE" queryTableFieldId="13" dataDxfId="23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3" name="ВСЕ_КОДЫ" displayName="ВСЕ_КОДЫ" ref="A3:AD831" tableType="queryTable" totalsRowShown="0">
  <autoFilter ref="A3:AD831">
    <filterColumn colId="0">
      <filters>
        <filter val="04_2025-0_00-1"/>
        <filter val="04_2025-0_15-1_1"/>
        <filter val="04_2025-0_15-1_2"/>
        <filter val="04_2025-0_15-1_3"/>
        <filter val="04_2025-0_15-2_1"/>
        <filter val="04_2025-0_15-2_2"/>
        <filter val="04_2025-0_15-2_3"/>
      </filters>
    </filterColumn>
    <filterColumn colId="4">
      <filters>
        <filter val="Новые деньги. Наращиваем СДО (КМ с портфелем)"/>
        <filter val="Новые деньги. Наращиваем СДО (МРБ)"/>
        <filter val="Первенство КМ хантер по сумме лимитов реализованных сделок"/>
        <filter val="Производительность. Индивидуальные сделки (МС)"/>
        <filter val="Производительность. Потоковые сделки (МС)"/>
        <filter val="Производительность. Сделки изменений (МС)"/>
      </filters>
    </filterColumn>
    <filterColumn colId="12">
      <filters>
        <filter val="АКТИВНЫЙ"/>
      </filters>
    </filterColumn>
  </autoFilter>
  <tableColumns count="30">
    <tableColumn id="31" uniqueName="31" name="CONTEST_CODE" queryTableFieldId="1" dataDxfId="22"/>
    <tableColumn id="32" uniqueName="32" name="TOURNAMENT_CODE" queryTableFieldId="2" dataDxfId="21"/>
    <tableColumn id="33" uniqueName="33" name="REWARD_CODE" queryTableFieldId="3" dataDxfId="20"/>
    <tableColumn id="34" uniqueName="34" name="GROUP_CODE" queryTableFieldId="4" dataDxfId="19"/>
    <tableColumn id="35" uniqueName="35" name="FULL_NAME" queryTableFieldId="5" dataDxfId="18"/>
    <tableColumn id="36" uniqueName="36" name="CREATE_DT" queryTableFieldId="6" dataDxfId="17"/>
    <tableColumn id="37" uniqueName="37" name="CLOSE_DT" queryTableFieldId="7" dataDxfId="16"/>
    <tableColumn id="38" uniqueName="38" name="BUSINESS_STATUS" queryTableFieldId="8" dataDxfId="15"/>
    <tableColumn id="39" uniqueName="39" name="CONTEST_TYPE" queryTableFieldId="9" dataDxfId="14"/>
    <tableColumn id="40" uniqueName="40" name="START_DT" queryTableFieldId="10" dataDxfId="13"/>
    <tableColumn id="41" uniqueName="41" name="END_DT" queryTableFieldId="11" dataDxfId="12"/>
    <tableColumn id="42" uniqueName="42" name="RESULT_DT" queryTableFieldId="12" dataDxfId="11"/>
    <tableColumn id="43" uniqueName="43" name="TOURNAMENT_STATUS" queryTableFieldId="13" dataDxfId="10"/>
    <tableColumn id="44" uniqueName="44" name="REWARD_TYPE" queryTableFieldId="14" dataDxfId="9"/>
    <tableColumn id="45" uniqueName="45" name="FULL_NAME.1" queryTableFieldId="15" dataDxfId="8"/>
    <tableColumn id="46" uniqueName="46" name="&gt;" queryTableFieldId="30"/>
    <tableColumn id="47" uniqueName="47" name="к-во REPORT" queryTableFieldId="29"/>
    <tableColumn id="48" uniqueName="48" name="SHEDULE CC" queryTableFieldId="28"/>
    <tableColumn id="49" uniqueName="49" name="GROUP CC" queryTableFieldId="27"/>
    <tableColumn id="50" uniqueName="50" name="INDICATOR CC" queryTableFieldId="26"/>
    <tableColumn id="51" uniqueName="51" name="REW LINK CC" queryTableFieldId="25"/>
    <tableColumn id="52" uniqueName="52" name="REPORT CC" queryTableFieldId="24"/>
    <tableColumn id="53" uniqueName="53" name="REWARD RC" queryTableFieldId="23"/>
    <tableColumn id="54" uniqueName="54" name="GROUP CC BANK" queryTableFieldId="22"/>
    <tableColumn id="55" uniqueName="55" name="GROUP CC TB" queryTableFieldId="21"/>
    <tableColumn id="56" uniqueName="56" name="GROUP CC GOSB" queryTableFieldId="20"/>
    <tableColumn id="57" uniqueName="57" name="GROUP CC GROUPING" queryTableFieldId="19"/>
    <tableColumn id="58" uniqueName="58" name="CONT DATE CC" queryTableFieldId="18"/>
    <tableColumn id="59" uniqueName="59" name="ин" queryTableFieldId="17"/>
    <tableColumn id="60" uniqueName="60" name="2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D8" sqref="D8"/>
    </sheetView>
  </sheetViews>
  <sheetFormatPr defaultRowHeight="15" x14ac:dyDescent="0.25"/>
  <cols>
    <col min="1" max="1" width="69.42578125" bestFit="1" customWidth="1"/>
    <col min="2" max="2" width="17.42578125" bestFit="1" customWidth="1"/>
    <col min="3" max="3" width="47.42578125" bestFit="1" customWidth="1"/>
    <col min="4" max="4" width="68" bestFit="1" customWidth="1"/>
    <col min="5" max="5" width="16.28515625" bestFit="1" customWidth="1"/>
    <col min="6" max="6" width="11.5703125" style="6" bestFit="1" customWidth="1"/>
    <col min="9" max="9" width="15" bestFit="1" customWidth="1"/>
    <col min="10" max="10" width="22.5703125" bestFit="1" customWidth="1"/>
    <col min="11" max="11" width="23.42578125" bestFit="1" customWidth="1"/>
    <col min="12" max="12" width="27" bestFit="1" customWidth="1"/>
    <col min="13" max="13" width="29.28515625" bestFit="1" customWidth="1"/>
    <col min="14" max="14" width="21" bestFit="1" customWidth="1"/>
    <col min="15" max="15" width="28.140625" bestFit="1" customWidth="1"/>
  </cols>
  <sheetData>
    <row r="1" spans="1:16" x14ac:dyDescent="0.25">
      <c r="A1" s="2" t="s">
        <v>3</v>
      </c>
      <c r="B1" s="3" t="s">
        <v>4</v>
      </c>
      <c r="C1" s="3" t="s">
        <v>1292</v>
      </c>
      <c r="D1" s="4" t="s">
        <v>5</v>
      </c>
      <c r="E1" s="20" t="s">
        <v>1169</v>
      </c>
      <c r="F1" s="5" t="s">
        <v>7</v>
      </c>
      <c r="I1" t="s">
        <v>1628</v>
      </c>
      <c r="J1" t="s">
        <v>1470</v>
      </c>
      <c r="K1" t="s">
        <v>1471</v>
      </c>
      <c r="L1" t="s">
        <v>1624</v>
      </c>
      <c r="M1" t="s">
        <v>1627</v>
      </c>
      <c r="N1" t="s">
        <v>1629</v>
      </c>
      <c r="O1" t="s">
        <v>1633</v>
      </c>
      <c r="P1" t="s">
        <v>1634</v>
      </c>
    </row>
    <row r="2" spans="1:16" x14ac:dyDescent="0.25">
      <c r="A2" t="str">
        <f ca="1">MID(CELL("имяфайла",$A$1),1,SEARCH("[",CELL("имяфайла",$A$1))-1)</f>
        <v>C:\Users\01803187\Documents\Загрузка СПОД\ПРОМ\НОВАЯ СТРУКТУРА\СПОД 1\</v>
      </c>
      <c r="B2" t="str">
        <f ca="1">MID(CELL("имяфайла",$B$1),SEARCH("[",CELL("имяфайла",$B$1))+1,SEARCH("]",CELL("имяфайла",$B$1))-SEARCH("[",CELL("имяфайла",$B$1))-1)</f>
        <v>СПОД ПАРСИНГ ПРОМ LOAD (2025) v5.4.xlsx</v>
      </c>
      <c r="C2" s="7" t="s">
        <v>1297</v>
      </c>
      <c r="D2" s="17"/>
      <c r="E2" s="15"/>
      <c r="F2" s="6">
        <f>ROW(sPatch[[#This Row],[Файл]])-2</f>
        <v>0</v>
      </c>
      <c r="I2" s="29" t="s">
        <v>0</v>
      </c>
      <c r="J2" s="28" t="s">
        <v>591</v>
      </c>
      <c r="K2" s="28" t="s">
        <v>1</v>
      </c>
      <c r="L2" s="28" t="s">
        <v>0</v>
      </c>
      <c r="M2" s="28" t="s">
        <v>0</v>
      </c>
      <c r="N2" s="28" t="s">
        <v>0</v>
      </c>
      <c r="O2" s="28" t="s">
        <v>627</v>
      </c>
      <c r="P2" s="28" t="s">
        <v>298</v>
      </c>
    </row>
    <row r="3" spans="1:16" x14ac:dyDescent="0.25">
      <c r="A3" t="str">
        <f t="shared" ref="A3:A14" ca="1" si="0">MID(CELL("имяфайла",$A$1),1,SEARCH("[",CELL("имяфайла",$A$1))-1)</f>
        <v>C:\Users\01803187\Documents\Загрузка СПОД\ПРОМ\НОВАЯ СТРУКТУРА\СПОД 1\</v>
      </c>
      <c r="B3" t="str">
        <f t="shared" ref="B3:B14" ca="1" si="1">MID(CELL("имяфайла",$B$1),SEARCH("[",CELL("имяфайла",$B$1))+1,SEARCH("]",CELL("имяфайла",$B$1))-SEARCH("[",CELL("имяфайла",$B$1))-1)</f>
        <v>СПОД ПАРСИНГ ПРОМ LOAD (2025) v5.4.xlsx</v>
      </c>
      <c r="C3" t="s">
        <v>3593</v>
      </c>
      <c r="D3" s="17" t="s">
        <v>4872</v>
      </c>
      <c r="E3" t="s">
        <v>3594</v>
      </c>
      <c r="F3" s="6">
        <f>ROW(sPatch[[#This Row],[Файл]])-2</f>
        <v>1</v>
      </c>
      <c r="I3" s="30" t="s">
        <v>577</v>
      </c>
      <c r="J3" s="27" t="s">
        <v>592</v>
      </c>
      <c r="K3" s="27" t="s">
        <v>140</v>
      </c>
      <c r="L3" s="27" t="s">
        <v>554</v>
      </c>
      <c r="M3" s="27" t="s">
        <v>11</v>
      </c>
      <c r="N3" s="27" t="s">
        <v>577</v>
      </c>
      <c r="O3" s="27" t="s">
        <v>0</v>
      </c>
      <c r="P3" s="27" t="s">
        <v>299</v>
      </c>
    </row>
    <row r="4" spans="1:16" x14ac:dyDescent="0.25">
      <c r="A4" t="str">
        <f t="shared" ca="1" si="0"/>
        <v>C:\Users\01803187\Documents\Загрузка СПОД\ПРОМ\НОВАЯ СТРУКТУРА\СПОД 1\</v>
      </c>
      <c r="B4" t="str">
        <f t="shared" ca="1" si="1"/>
        <v>СПОД ПАРСИНГ ПРОМ LOAD (2025) v5.4.xlsx</v>
      </c>
      <c r="C4" t="s">
        <v>1302</v>
      </c>
      <c r="D4" s="17" t="s">
        <v>4829</v>
      </c>
      <c r="E4" t="s">
        <v>1792</v>
      </c>
      <c r="F4" s="6">
        <f>ROW(sPatch[[#This Row],[Файл]])-2</f>
        <v>2</v>
      </c>
      <c r="I4" s="30" t="s">
        <v>298</v>
      </c>
      <c r="J4" s="27" t="s">
        <v>593</v>
      </c>
      <c r="K4" s="27" t="s">
        <v>141</v>
      </c>
      <c r="L4" s="27" t="s">
        <v>555</v>
      </c>
      <c r="M4" s="27" t="s">
        <v>12</v>
      </c>
      <c r="N4" s="27" t="s">
        <v>578</v>
      </c>
      <c r="O4" s="27" t="s">
        <v>1</v>
      </c>
      <c r="P4" s="27" t="s">
        <v>11</v>
      </c>
    </row>
    <row r="5" spans="1:16" ht="45" x14ac:dyDescent="0.25">
      <c r="A5" t="str">
        <f t="shared" ca="1" si="0"/>
        <v>C:\Users\01803187\Documents\Загрузка СПОД\ПРОМ\НОВАЯ СТРУКТУРА\СПОД 1\</v>
      </c>
      <c r="B5" t="str">
        <f t="shared" ca="1" si="1"/>
        <v>СПОД ПАРСИНГ ПРОМ LOAD (2025) v5.4.xlsx</v>
      </c>
      <c r="C5" t="s">
        <v>2880</v>
      </c>
      <c r="D5" s="17" t="s">
        <v>4873</v>
      </c>
      <c r="E5" t="s">
        <v>3086</v>
      </c>
      <c r="F5" s="6">
        <f>ROW(sPatch[[#This Row],[Файл]])-2</f>
        <v>3</v>
      </c>
      <c r="J5" s="27" t="s">
        <v>597</v>
      </c>
      <c r="K5" s="27" t="s">
        <v>142</v>
      </c>
      <c r="L5" s="27" t="s">
        <v>11</v>
      </c>
      <c r="M5" s="27" t="s">
        <v>13</v>
      </c>
      <c r="N5" s="27" t="s">
        <v>579</v>
      </c>
      <c r="O5" s="27" t="s">
        <v>628</v>
      </c>
      <c r="P5" s="31" t="s">
        <v>300</v>
      </c>
    </row>
    <row r="6" spans="1:16" x14ac:dyDescent="0.25">
      <c r="A6" t="str">
        <f t="shared" ca="1" si="0"/>
        <v>C:\Users\01803187\Documents\Загрузка СПОД\ПРОМ\НОВАЯ СТРУКТУРА\СПОД 1\</v>
      </c>
      <c r="B6" t="str">
        <f t="shared" ca="1" si="1"/>
        <v>СПОД ПАРСИНГ ПРОМ LOAD (2025) v5.4.xlsx</v>
      </c>
      <c r="C6" s="7" t="s">
        <v>1301</v>
      </c>
      <c r="D6" s="18" t="s">
        <v>4831</v>
      </c>
      <c r="E6" s="15" t="s">
        <v>1793</v>
      </c>
      <c r="F6" s="10">
        <f>ROW(sPatch[[#This Row],[Файл]])-2</f>
        <v>4</v>
      </c>
      <c r="J6" s="27" t="s">
        <v>598</v>
      </c>
      <c r="K6" s="27" t="s">
        <v>143</v>
      </c>
      <c r="L6" s="27" t="s">
        <v>1309</v>
      </c>
      <c r="M6" s="27" t="s">
        <v>14</v>
      </c>
      <c r="N6" s="27" t="s">
        <v>580</v>
      </c>
      <c r="O6" s="27" t="s">
        <v>629</v>
      </c>
      <c r="P6" s="27" t="s">
        <v>301</v>
      </c>
    </row>
    <row r="7" spans="1:16" x14ac:dyDescent="0.25">
      <c r="A7" t="str">
        <f t="shared" ca="1" si="0"/>
        <v>C:\Users\01803187\Documents\Загрузка СПОД\ПРОМ\НОВАЯ СТРУКТУРА\СПОД 1\</v>
      </c>
      <c r="B7" t="str">
        <f t="shared" ca="1" si="1"/>
        <v>СПОД ПАРСИНГ ПРОМ LOAD (2025) v5.4.xlsx</v>
      </c>
      <c r="C7" s="7" t="s">
        <v>1303</v>
      </c>
      <c r="D7" s="18" t="s">
        <v>4830</v>
      </c>
      <c r="E7" s="15" t="s">
        <v>1794</v>
      </c>
      <c r="F7" s="10">
        <f>ROW(sPatch[[#This Row],[Файл]])-2</f>
        <v>5</v>
      </c>
      <c r="J7" s="27" t="s">
        <v>599</v>
      </c>
      <c r="K7" s="27" t="s">
        <v>1305</v>
      </c>
      <c r="L7" s="27" t="s">
        <v>1310</v>
      </c>
      <c r="M7" s="27" t="s">
        <v>15</v>
      </c>
      <c r="N7" s="27" t="s">
        <v>581</v>
      </c>
      <c r="O7" s="27" t="s">
        <v>630</v>
      </c>
      <c r="P7" s="27" t="s">
        <v>302</v>
      </c>
    </row>
    <row r="8" spans="1:16" x14ac:dyDescent="0.25">
      <c r="A8" t="str">
        <f t="shared" ca="1" si="0"/>
        <v>C:\Users\01803187\Documents\Загрузка СПОД\ПРОМ\НОВАЯ СТРУКТУРА\СПОД 1\</v>
      </c>
      <c r="B8" t="str">
        <f t="shared" ca="1" si="1"/>
        <v>СПОД ПАРСИНГ ПРОМ LOAD (2025) v5.4.xlsx</v>
      </c>
      <c r="C8" s="7" t="s">
        <v>1297</v>
      </c>
      <c r="D8" s="18" t="s">
        <v>4878</v>
      </c>
      <c r="E8" s="15" t="s">
        <v>1795</v>
      </c>
      <c r="F8" s="10">
        <f>ROW(sPatch[[#This Row],[Файл]])-2</f>
        <v>6</v>
      </c>
      <c r="J8" s="27" t="s">
        <v>600</v>
      </c>
      <c r="K8" s="27" t="s">
        <v>1306</v>
      </c>
      <c r="L8" s="27" t="s">
        <v>1311</v>
      </c>
      <c r="M8" s="27" t="s">
        <v>16</v>
      </c>
      <c r="N8" s="27" t="s">
        <v>582</v>
      </c>
      <c r="O8" s="27" t="s">
        <v>631</v>
      </c>
      <c r="P8" s="27" t="s">
        <v>303</v>
      </c>
    </row>
    <row r="9" spans="1:16" x14ac:dyDescent="0.25">
      <c r="A9" t="str">
        <f t="shared" ca="1" si="0"/>
        <v>C:\Users\01803187\Documents\Загрузка СПОД\ПРОМ\НОВАЯ СТРУКТУРА\СПОД 1\</v>
      </c>
      <c r="B9" t="str">
        <f t="shared" ca="1" si="1"/>
        <v>СПОД ПАРСИНГ ПРОМ LOAD (2025) v5.4.xlsx</v>
      </c>
      <c r="C9" s="7" t="s">
        <v>1294</v>
      </c>
      <c r="D9" s="22" t="s">
        <v>3608</v>
      </c>
      <c r="E9" s="34" t="s">
        <v>606</v>
      </c>
      <c r="F9" s="10">
        <f>ROW(sPatch[[#This Row],[Файл]])-2</f>
        <v>7</v>
      </c>
      <c r="J9" s="27" t="s">
        <v>601</v>
      </c>
      <c r="K9" s="27" t="s">
        <v>1307</v>
      </c>
      <c r="L9" s="27" t="s">
        <v>556</v>
      </c>
      <c r="M9" s="27" t="s">
        <v>17</v>
      </c>
    </row>
    <row r="10" spans="1:16" x14ac:dyDescent="0.25">
      <c r="A10" t="str">
        <f t="shared" ca="1" si="0"/>
        <v>C:\Users\01803187\Documents\Загрузка СПОД\ПРОМ\НОВАЯ СТРУКТУРА\СПОД 1\</v>
      </c>
      <c r="B10" t="str">
        <f t="shared" ca="1" si="1"/>
        <v>СПОД ПАРСИНГ ПРОМ LOAD (2025) v5.4.xlsx</v>
      </c>
      <c r="C10" s="7" t="s">
        <v>1295</v>
      </c>
      <c r="D10" s="18" t="s">
        <v>4871</v>
      </c>
      <c r="E10" s="36" t="s">
        <v>1165</v>
      </c>
      <c r="F10" s="10">
        <f>ROW(sPatch[[#This Row],[Файл]])-2</f>
        <v>8</v>
      </c>
      <c r="J10" s="27" t="s">
        <v>602</v>
      </c>
      <c r="K10" s="27" t="s">
        <v>144</v>
      </c>
      <c r="L10" s="27" t="s">
        <v>557</v>
      </c>
      <c r="M10" s="27" t="s">
        <v>18</v>
      </c>
    </row>
    <row r="11" spans="1:16" x14ac:dyDescent="0.25">
      <c r="A11" t="str">
        <f t="shared" ca="1" si="0"/>
        <v>C:\Users\01803187\Documents\Загрузка СПОД\ПРОМ\НОВАЯ СТРУКТУРА\СПОД 1\</v>
      </c>
      <c r="B11" t="str">
        <f t="shared" ca="1" si="1"/>
        <v>СПОД ПАРСИНГ ПРОМ LOAD (2025) v5.4.xlsx</v>
      </c>
      <c r="C11" s="7" t="s">
        <v>2972</v>
      </c>
      <c r="D11" s="18" t="s">
        <v>3609</v>
      </c>
      <c r="E11" s="15" t="s">
        <v>3085</v>
      </c>
      <c r="F11" s="10">
        <f>ROW(sPatch[[#This Row],[Файл]])-2</f>
        <v>9</v>
      </c>
      <c r="J11" s="27" t="s">
        <v>603</v>
      </c>
      <c r="K11" s="27" t="s">
        <v>0</v>
      </c>
      <c r="L11" s="27" t="s">
        <v>558</v>
      </c>
      <c r="M11" s="27" t="s">
        <v>19</v>
      </c>
    </row>
    <row r="12" spans="1:16" x14ac:dyDescent="0.25">
      <c r="A12" t="str">
        <f t="shared" ca="1" si="0"/>
        <v>C:\Users\01803187\Documents\Загрузка СПОД\ПРОМ\НОВАЯ СТРУКТУРА\СПОД 1\</v>
      </c>
      <c r="B12" t="str">
        <f t="shared" ca="1" si="1"/>
        <v>СПОД ПАРСИНГ ПРОМ LOAD (2025) v5.4.xlsx</v>
      </c>
      <c r="C12" s="7" t="s">
        <v>1296</v>
      </c>
      <c r="D12" s="18" t="s">
        <v>3610</v>
      </c>
      <c r="E12" s="15" t="s">
        <v>2841</v>
      </c>
      <c r="F12" s="10">
        <f>ROW(sPatch[[#This Row],[Файл]])-2</f>
        <v>10</v>
      </c>
      <c r="J12" s="27" t="s">
        <v>604</v>
      </c>
      <c r="K12" s="27" t="s">
        <v>21</v>
      </c>
      <c r="L12" s="27" t="s">
        <v>559</v>
      </c>
      <c r="M12" s="27" t="s">
        <v>20</v>
      </c>
    </row>
    <row r="13" spans="1:16" x14ac:dyDescent="0.25">
      <c r="A13" t="str">
        <f t="shared" ca="1" si="0"/>
        <v>C:\Users\01803187\Documents\Загрузка СПОД\ПРОМ\НОВАЯ СТРУКТУРА\СПОД 1\</v>
      </c>
      <c r="B13" t="str">
        <f t="shared" ca="1" si="1"/>
        <v>СПОД ПАРСИНГ ПРОМ LOAD (2025) v5.4.xlsx</v>
      </c>
      <c r="C13" s="7" t="s">
        <v>1304</v>
      </c>
      <c r="D13" s="18" t="s">
        <v>3612</v>
      </c>
      <c r="E13" s="34" t="s">
        <v>1166</v>
      </c>
      <c r="F13" s="10">
        <f>ROW(sPatch[[#This Row],[Файл]])-2</f>
        <v>11</v>
      </c>
      <c r="K13" s="27" t="s">
        <v>23</v>
      </c>
      <c r="L13" s="27" t="s">
        <v>560</v>
      </c>
      <c r="M13" s="27" t="s">
        <v>1326</v>
      </c>
    </row>
    <row r="14" spans="1:16" x14ac:dyDescent="0.25">
      <c r="A14" t="str">
        <f t="shared" ca="1" si="0"/>
        <v>C:\Users\01803187\Documents\Загрузка СПОД\ПРОМ\НОВАЯ СТРУКТУРА\СПОД 1\</v>
      </c>
      <c r="B14" t="str">
        <f t="shared" ca="1" si="1"/>
        <v>СПОД ПАРСИНГ ПРОМ LOAD (2025) v5.4.xlsx</v>
      </c>
      <c r="C14" s="7" t="s">
        <v>1293</v>
      </c>
      <c r="D14" s="18" t="s">
        <v>3611</v>
      </c>
      <c r="E14" s="35" t="s">
        <v>1167</v>
      </c>
      <c r="F14" s="10">
        <f>ROW(sPatch[[#This Row],[Файл]])-2</f>
        <v>12</v>
      </c>
      <c r="L14" s="27" t="s">
        <v>1312</v>
      </c>
      <c r="M14" s="27" t="s">
        <v>1327</v>
      </c>
    </row>
    <row r="15" spans="1:16" x14ac:dyDescent="0.25">
      <c r="A15" s="7" t="str">
        <f ca="1">MID(CELL("имяфайла",$A$1),1,SEARCH("[",CELL("имяфайла",$A$1))-1)</f>
        <v>C:\Users\01803187\Documents\Загрузка СПОД\ПРОМ\НОВАЯ СТРУКТУРА\СПОД 1\</v>
      </c>
      <c r="B15" s="7" t="str">
        <f ca="1">MID(CELL("имяфайла",$B$1),SEARCH("[",CELL("имяфайла",$B$1))+1,SEARCH("]",CELL("имяфайла",$B$1))-SEARCH("[",CELL("имяфайла",$B$1))-1)</f>
        <v>СПОД ПАРСИНГ ПРОМ LOAD (2025) v5.4.xlsx</v>
      </c>
      <c r="C15" s="7" t="s">
        <v>1298</v>
      </c>
      <c r="D15" s="17" t="s">
        <v>4869</v>
      </c>
      <c r="E15" s="56" t="s">
        <v>1798</v>
      </c>
      <c r="F15" s="24">
        <f>ROW(sPatch[[#This Row],[Файл]])-2</f>
        <v>13</v>
      </c>
      <c r="L15" s="27" t="s">
        <v>23</v>
      </c>
      <c r="M15" s="27" t="s">
        <v>1328</v>
      </c>
    </row>
    <row r="16" spans="1:16" x14ac:dyDescent="0.25">
      <c r="A16" s="7" t="str">
        <f ca="1">MID(CELL("имяфайла",$A$1),1,SEARCH("[",CELL("имяфайла",$A$1))-1)</f>
        <v>C:\Users\01803187\Documents\Загрузка СПОД\ПРОМ\НОВАЯ СТРУКТУРА\СПОД 1\</v>
      </c>
      <c r="B16" s="7" t="str">
        <f ca="1">MID(CELL("имяфайла",$B$1),SEARCH("[",CELL("имяфайла",$B$1))+1,SEARCH("]",CELL("имяфайла",$B$1))-SEARCH("[",CELL("имяфайла",$B$1))-1)</f>
        <v>СПОД ПАРСИНГ ПРОМ LOAD (2025) v5.4.xlsx</v>
      </c>
      <c r="C16" s="7" t="s">
        <v>1300</v>
      </c>
      <c r="D16" s="17" t="s">
        <v>4870</v>
      </c>
      <c r="E16" s="56" t="s">
        <v>1797</v>
      </c>
      <c r="F16" s="24">
        <f>ROW(sPatch[[#This Row],[Файл]])-2</f>
        <v>14</v>
      </c>
      <c r="L16" s="27" t="s">
        <v>626</v>
      </c>
      <c r="M16" s="27" t="s">
        <v>1333</v>
      </c>
    </row>
    <row r="17" spans="1:13" x14ac:dyDescent="0.25">
      <c r="A17" s="7" t="str">
        <f ca="1">MID(CELL("имяфайла",$A$1),1,SEARCH("[",CELL("имяфайла",$A$1))-1)</f>
        <v>C:\Users\01803187\Documents\Загрузка СПОД\ПРОМ\НОВАЯ СТРУКТУРА\СПОД 1\</v>
      </c>
      <c r="B17" s="7" t="str">
        <f ca="1">MID(CELL("имяфайла",$B$1),SEARCH("[",CELL("имяфайла",$B$1))+1,SEARCH("]",CELL("имяфайла",$B$1))-SEARCH("[",CELL("имяфайла",$B$1))-1)</f>
        <v>СПОД ПАРСИНГ ПРОМ LOAD (2025) v5.4.xlsx</v>
      </c>
      <c r="C17" s="7" t="s">
        <v>1299</v>
      </c>
      <c r="D17" s="17" t="s">
        <v>4828</v>
      </c>
      <c r="E17" s="56" t="s">
        <v>1796</v>
      </c>
      <c r="F17" s="24">
        <f>ROW(sPatch[[#This Row],[Файл]])-2</f>
        <v>15</v>
      </c>
      <c r="M17" s="27" t="s">
        <v>1334</v>
      </c>
    </row>
    <row r="18" spans="1:13" x14ac:dyDescent="0.25">
      <c r="M18" s="27" t="s">
        <v>1335</v>
      </c>
    </row>
    <row r="19" spans="1:13" x14ac:dyDescent="0.25">
      <c r="M19" s="27" t="s">
        <v>1336</v>
      </c>
    </row>
    <row r="20" spans="1:13" x14ac:dyDescent="0.25">
      <c r="M20" s="27" t="s">
        <v>1337</v>
      </c>
    </row>
    <row r="21" spans="1:13" x14ac:dyDescent="0.25">
      <c r="M21" s="27" t="s">
        <v>1338</v>
      </c>
    </row>
    <row r="22" spans="1:13" x14ac:dyDescent="0.25">
      <c r="M22" s="27" t="s">
        <v>21</v>
      </c>
    </row>
    <row r="23" spans="1:13" x14ac:dyDescent="0.25">
      <c r="M23" s="27" t="s">
        <v>22</v>
      </c>
    </row>
    <row r="24" spans="1:13" x14ac:dyDescent="0.25">
      <c r="M24" s="27" t="s">
        <v>23</v>
      </c>
    </row>
    <row r="25" spans="1:13" x14ac:dyDescent="0.25">
      <c r="A25" s="8"/>
      <c r="B25" s="9"/>
      <c r="C25" s="9"/>
      <c r="M25" s="27" t="s">
        <v>602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zoomScale="85" zoomScaleNormal="85" workbookViewId="0">
      <selection activeCell="D28" sqref="D28"/>
    </sheetView>
  </sheetViews>
  <sheetFormatPr defaultRowHeight="15" x14ac:dyDescent="0.25"/>
  <cols>
    <col min="1" max="1" width="32.7109375" customWidth="1"/>
    <col min="2" max="2" width="20.140625" customWidth="1"/>
    <col min="3" max="3" width="29" customWidth="1"/>
    <col min="4" max="4" width="20" customWidth="1"/>
    <col min="5" max="5" width="17.42578125" customWidth="1"/>
    <col min="6" max="6" width="17.85546875" customWidth="1"/>
    <col min="7" max="7" width="17.28515625" customWidth="1"/>
    <col min="8" max="8" width="51.28515625" customWidth="1"/>
    <col min="9" max="9" width="20" customWidth="1"/>
    <col min="10" max="10" width="17" customWidth="1"/>
    <col min="11" max="11" width="17.85546875" customWidth="1"/>
    <col min="12" max="12" width="10.42578125" customWidth="1"/>
    <col min="13" max="13" width="14.7109375" customWidth="1"/>
    <col min="14" max="14" width="44.28515625" customWidth="1"/>
    <col min="15" max="15" width="42.42578125" customWidth="1"/>
    <col min="16" max="16" width="36.5703125" customWidth="1"/>
    <col min="17" max="17" width="36" customWidth="1"/>
    <col min="18" max="18" width="30.85546875" customWidth="1"/>
    <col min="19" max="19" width="15.42578125" customWidth="1"/>
  </cols>
  <sheetData>
    <row r="1" spans="1:19" ht="16.5" customHeight="1" x14ac:dyDescent="0.25">
      <c r="O1" s="6" t="s">
        <v>1798</v>
      </c>
      <c r="P1" s="6" t="s">
        <v>4778</v>
      </c>
      <c r="Q1" s="6" t="s">
        <v>1797</v>
      </c>
      <c r="R1" s="6" t="s">
        <v>1795</v>
      </c>
      <c r="S1" s="6" t="s">
        <v>1792</v>
      </c>
    </row>
    <row r="2" spans="1:19" ht="16.5" customHeight="1" x14ac:dyDescent="0.25">
      <c r="O2" s="51" t="s">
        <v>144</v>
      </c>
      <c r="P2" s="64" t="s">
        <v>602</v>
      </c>
      <c r="Q2" s="64" t="s">
        <v>1309</v>
      </c>
      <c r="R2" s="64" t="s">
        <v>602</v>
      </c>
      <c r="S2" s="64" t="s">
        <v>299</v>
      </c>
    </row>
    <row r="3" spans="1:19" x14ac:dyDescent="0.25">
      <c r="O3" s="64" t="s">
        <v>4780</v>
      </c>
      <c r="P3" s="64" t="s">
        <v>4779</v>
      </c>
      <c r="Q3" s="64" t="s">
        <v>1625</v>
      </c>
      <c r="R3" s="64" t="s">
        <v>4784</v>
      </c>
      <c r="S3" s="64" t="s">
        <v>4786</v>
      </c>
    </row>
    <row r="4" spans="1:19" s="51" customFormat="1" ht="11.25" x14ac:dyDescent="0.25"/>
    <row r="5" spans="1:19" s="54" customFormat="1" x14ac:dyDescent="0.25">
      <c r="A5" s="53" t="s">
        <v>627</v>
      </c>
      <c r="B5" s="53" t="s">
        <v>0</v>
      </c>
      <c r="C5" s="53" t="s">
        <v>1</v>
      </c>
      <c r="D5" s="53" t="s">
        <v>628</v>
      </c>
      <c r="E5" s="53" t="s">
        <v>629</v>
      </c>
      <c r="F5" s="53" t="s">
        <v>630</v>
      </c>
      <c r="G5" s="53" t="s">
        <v>631</v>
      </c>
      <c r="H5" s="53" t="s">
        <v>1156</v>
      </c>
      <c r="I5" s="53" t="s">
        <v>1157</v>
      </c>
      <c r="J5" s="53" t="s">
        <v>1163</v>
      </c>
      <c r="K5" s="53" t="s">
        <v>1164</v>
      </c>
      <c r="L5" s="53" t="s">
        <v>1291</v>
      </c>
      <c r="M5" s="53" t="s">
        <v>1168</v>
      </c>
      <c r="N5" s="53" t="s">
        <v>1623</v>
      </c>
      <c r="O5" s="53" t="s">
        <v>4781</v>
      </c>
      <c r="P5" s="53" t="s">
        <v>4782</v>
      </c>
      <c r="Q5" s="53" t="s">
        <v>4783</v>
      </c>
      <c r="R5" s="53" t="s">
        <v>4785</v>
      </c>
      <c r="S5" s="53" t="s">
        <v>4777</v>
      </c>
    </row>
    <row r="6" spans="1:19" x14ac:dyDescent="0.25">
      <c r="A6" s="1"/>
      <c r="B6" s="1"/>
      <c r="C6" s="1"/>
      <c r="D6" s="1"/>
      <c r="E6" s="1"/>
      <c r="F6" s="1"/>
      <c r="G6" s="1"/>
      <c r="H6" s="1"/>
      <c r="I6" s="13"/>
      <c r="J6" s="21"/>
      <c r="K6" s="21"/>
      <c r="L6" s="19"/>
      <c r="M6" s="19"/>
      <c r="N6" s="19"/>
      <c r="O6" s="19"/>
      <c r="P6" s="19"/>
      <c r="Q6" s="19"/>
      <c r="R6" s="19"/>
      <c r="S6" s="19"/>
    </row>
  </sheetData>
  <dataValidations count="5">
    <dataValidation type="list" allowBlank="1" showInputMessage="1" showErrorMessage="1" sqref="R2">
      <formula1>_sp_emploee</formula1>
    </dataValidation>
    <dataValidation type="list" allowBlank="1" showInputMessage="1" showErrorMessage="1" sqref="Q2">
      <formula1>_sp_indicator</formula1>
    </dataValidation>
    <dataValidation type="list" allowBlank="1" showInputMessage="1" showErrorMessage="1" sqref="P2">
      <formula1>_sp_date</formula1>
    </dataValidation>
    <dataValidation type="list" allowBlank="1" showInputMessage="1" showErrorMessage="1" sqref="O2">
      <formula1>_sp_shedule</formula1>
    </dataValidation>
    <dataValidation type="list" allowBlank="1" showInputMessage="1" showErrorMessage="1" sqref="S2">
      <formula1>_sp_reward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404"/>
  <sheetViews>
    <sheetView zoomScale="70" zoomScaleNormal="70" workbookViewId="0">
      <selection activeCell="A5" sqref="A5:AX404"/>
    </sheetView>
  </sheetViews>
  <sheetFormatPr defaultRowHeight="15" outlineLevelCol="1" x14ac:dyDescent="0.25"/>
  <cols>
    <col min="1" max="1" width="21.5703125" style="8" customWidth="1"/>
    <col min="2" max="2" width="17.7109375" style="8" customWidth="1"/>
    <col min="3" max="3" width="92.42578125" style="8" customWidth="1"/>
    <col min="4" max="4" width="115.85546875" style="44" customWidth="1" outlineLevel="1"/>
    <col min="5" max="5" width="27.28515625" style="26" customWidth="1" outlineLevel="1"/>
    <col min="6" max="6" width="21.42578125" style="26" customWidth="1" outlineLevel="1"/>
    <col min="7" max="7" width="115.85546875" style="8" customWidth="1" outlineLevel="1"/>
    <col min="8" max="8" width="23.140625" style="8" customWidth="1" outlineLevel="1"/>
    <col min="9" max="9" width="115.85546875" style="8" customWidth="1" outlineLevel="1"/>
    <col min="10" max="10" width="115.42578125" style="8" customWidth="1" outlineLevel="1"/>
    <col min="11" max="11" width="9.28515625" style="8" customWidth="1" outlineLevel="1"/>
    <col min="12" max="12" width="14.28515625" style="8" customWidth="1" outlineLevel="1"/>
    <col min="13" max="13" width="115.42578125" style="8" customWidth="1" outlineLevel="1"/>
    <col min="14" max="14" width="20.7109375" style="8" customWidth="1" outlineLevel="1"/>
    <col min="15" max="15" width="26.28515625" style="8" customWidth="1" outlineLevel="1"/>
    <col min="16" max="16" width="10.140625" style="8" customWidth="1" outlineLevel="1"/>
    <col min="17" max="17" width="40.5703125" style="8" customWidth="1" outlineLevel="1"/>
    <col min="18" max="19" width="115.85546875" style="8" customWidth="1"/>
    <col min="20" max="20" width="18.5703125" style="8" customWidth="1"/>
    <col min="21" max="21" width="16" style="8" customWidth="1"/>
    <col min="22" max="22" width="22.85546875" style="8" customWidth="1"/>
    <col min="23" max="23" width="26.85546875" style="8" customWidth="1"/>
    <col min="24" max="24" width="45.7109375" style="8" customWidth="1"/>
    <col min="25" max="25" width="42.7109375" style="8" customWidth="1"/>
    <col min="26" max="26" width="45.7109375" style="8" customWidth="1"/>
    <col min="27" max="27" width="51.85546875" style="8" customWidth="1"/>
    <col min="28" max="28" width="42.28515625" style="8" customWidth="1"/>
    <col min="29" max="29" width="20.42578125" style="8" customWidth="1"/>
    <col min="30" max="30" width="17.140625" style="8" customWidth="1"/>
    <col min="31" max="31" width="18.28515625" style="8" customWidth="1"/>
    <col min="32" max="32" width="14.85546875" style="8" customWidth="1"/>
    <col min="33" max="33" width="13.42578125" style="8" customWidth="1"/>
    <col min="34" max="34" width="26" style="8" bestFit="1" customWidth="1"/>
    <col min="35" max="35" width="16" style="8" customWidth="1"/>
    <col min="36" max="36" width="17.28515625" style="8" customWidth="1"/>
    <col min="37" max="37" width="17.85546875" style="8" customWidth="1"/>
    <col min="38" max="38" width="20.28515625" style="8" customWidth="1"/>
    <col min="39" max="39" width="18.85546875" style="8" customWidth="1"/>
    <col min="40" max="40" width="19.140625" style="8" customWidth="1"/>
    <col min="41" max="41" width="16.28515625" style="8" customWidth="1"/>
    <col min="42" max="42" width="18.7109375" style="8" customWidth="1"/>
    <col min="43" max="43" width="11.5703125" style="8" customWidth="1"/>
    <col min="44" max="44" width="12.5703125" style="8" customWidth="1"/>
    <col min="45" max="45" width="23.7109375" style="8" customWidth="1"/>
    <col min="46" max="46" width="10.7109375" style="8" customWidth="1"/>
    <col min="47" max="47" width="15.85546875" style="8" customWidth="1"/>
    <col min="48" max="48" width="21.5703125" style="8" customWidth="1"/>
    <col min="49" max="49" width="21.7109375" style="8" customWidth="1"/>
    <col min="50" max="50" width="33" style="8" customWidth="1"/>
    <col min="51" max="51" width="15.85546875" style="8" customWidth="1"/>
    <col min="52" max="52" width="8.5703125" style="8" bestFit="1" customWidth="1"/>
    <col min="53" max="60" width="12.85546875" style="8" customWidth="1"/>
    <col min="61" max="75" width="13.85546875" style="8" customWidth="1"/>
    <col min="76" max="16384" width="9.140625" style="8"/>
  </cols>
  <sheetData>
    <row r="1" spans="1:75" x14ac:dyDescent="0.25">
      <c r="AW1" s="8" t="s">
        <v>1794</v>
      </c>
      <c r="AX1" s="8" t="s">
        <v>4778</v>
      </c>
    </row>
    <row r="2" spans="1:75" x14ac:dyDescent="0.25">
      <c r="AW2" s="8" t="s">
        <v>0</v>
      </c>
      <c r="AX2" s="8" t="s">
        <v>14</v>
      </c>
    </row>
    <row r="3" spans="1:75" x14ac:dyDescent="0.25">
      <c r="AW3" s="8" t="s">
        <v>4787</v>
      </c>
      <c r="AX3" s="8" t="s">
        <v>4797</v>
      </c>
    </row>
    <row r="5" spans="1:75" x14ac:dyDescent="0.25">
      <c r="A5" s="45" t="s">
        <v>298</v>
      </c>
      <c r="B5" s="45" t="s">
        <v>299</v>
      </c>
      <c r="C5" s="45" t="s">
        <v>11</v>
      </c>
      <c r="D5" s="46" t="s">
        <v>300</v>
      </c>
      <c r="E5" s="25" t="s">
        <v>301</v>
      </c>
      <c r="F5" s="25" t="s">
        <v>302</v>
      </c>
      <c r="G5" s="45" t="s">
        <v>303</v>
      </c>
      <c r="H5" s="45" t="s">
        <v>4078</v>
      </c>
      <c r="I5" s="45" t="s">
        <v>4163</v>
      </c>
      <c r="J5" s="45" t="s">
        <v>4164</v>
      </c>
      <c r="K5" s="45" t="s">
        <v>4165</v>
      </c>
      <c r="L5" s="45" t="s">
        <v>4166</v>
      </c>
      <c r="M5" s="45" t="s">
        <v>4167</v>
      </c>
      <c r="N5" s="45" t="s">
        <v>4168</v>
      </c>
      <c r="O5" s="45" t="s">
        <v>4169</v>
      </c>
      <c r="P5" s="45" t="s">
        <v>4170</v>
      </c>
      <c r="Q5" s="45" t="s">
        <v>4171</v>
      </c>
      <c r="R5" s="45" t="s">
        <v>4137</v>
      </c>
      <c r="S5" s="45" t="s">
        <v>4138</v>
      </c>
      <c r="T5" s="45" t="s">
        <v>4172</v>
      </c>
      <c r="U5" s="45" t="s">
        <v>4139</v>
      </c>
      <c r="V5" s="45" t="s">
        <v>4562</v>
      </c>
      <c r="W5" s="45" t="s">
        <v>4563</v>
      </c>
      <c r="X5" s="45" t="s">
        <v>4564</v>
      </c>
      <c r="Y5" s="45" t="s">
        <v>4565</v>
      </c>
      <c r="Z5" s="45" t="s">
        <v>4566</v>
      </c>
      <c r="AA5" s="45" t="s">
        <v>4567</v>
      </c>
      <c r="AB5" s="45" t="s">
        <v>4568</v>
      </c>
      <c r="AC5" s="45" t="s">
        <v>4173</v>
      </c>
      <c r="AD5" s="45" t="s">
        <v>4174</v>
      </c>
      <c r="AE5" s="45" t="s">
        <v>4175</v>
      </c>
      <c r="AF5" s="45" t="s">
        <v>4176</v>
      </c>
      <c r="AG5" s="45" t="s">
        <v>4177</v>
      </c>
      <c r="AH5" s="45" t="s">
        <v>4178</v>
      </c>
      <c r="AI5" s="45" t="s">
        <v>4179</v>
      </c>
      <c r="AJ5" s="45" t="s">
        <v>4180</v>
      </c>
      <c r="AK5" s="45" t="s">
        <v>4181</v>
      </c>
      <c r="AL5" s="45" t="s">
        <v>4182</v>
      </c>
      <c r="AM5" s="45" t="s">
        <v>4183</v>
      </c>
      <c r="AN5" s="45" t="s">
        <v>4184</v>
      </c>
      <c r="AO5" s="45" t="s">
        <v>4185</v>
      </c>
      <c r="AP5" s="45" t="s">
        <v>4186</v>
      </c>
      <c r="AQ5" s="45" t="s">
        <v>4569</v>
      </c>
      <c r="AR5" s="45" t="s">
        <v>4570</v>
      </c>
      <c r="AS5" s="45" t="s">
        <v>4482</v>
      </c>
      <c r="AT5" s="45" t="s">
        <v>4465</v>
      </c>
      <c r="AU5" s="45" t="s">
        <v>4161</v>
      </c>
      <c r="AV5" s="45" t="s">
        <v>4162</v>
      </c>
      <c r="AW5" s="45" t="s">
        <v>4788</v>
      </c>
      <c r="AX5" s="45" t="s">
        <v>4798</v>
      </c>
      <c r="AY5" s="45"/>
      <c r="AZ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</row>
    <row r="6" spans="1:75" ht="270" x14ac:dyDescent="0.25">
      <c r="A6" s="47" t="s">
        <v>1732</v>
      </c>
      <c r="B6" s="45" t="s">
        <v>1759</v>
      </c>
      <c r="C6" s="45" t="s">
        <v>1760</v>
      </c>
      <c r="D6" s="46" t="s">
        <v>1761</v>
      </c>
      <c r="E6" s="25" t="s">
        <v>2</v>
      </c>
      <c r="F6" s="48" t="s">
        <v>32</v>
      </c>
      <c r="G6" s="62" t="s">
        <v>1988</v>
      </c>
      <c r="H6" s="63" t="s">
        <v>1702</v>
      </c>
      <c r="I6" s="46" t="s">
        <v>4571</v>
      </c>
      <c r="J6" s="46" t="s">
        <v>4571</v>
      </c>
      <c r="K6" s="46" t="s">
        <v>626</v>
      </c>
      <c r="L6" s="46" t="s">
        <v>626</v>
      </c>
      <c r="M6" s="46" t="s">
        <v>4187</v>
      </c>
      <c r="N6" s="46" t="s">
        <v>626</v>
      </c>
      <c r="O6" s="46" t="s">
        <v>626</v>
      </c>
      <c r="P6" s="46" t="s">
        <v>626</v>
      </c>
      <c r="Q6" s="46" t="s">
        <v>194</v>
      </c>
      <c r="R6" s="46" t="s">
        <v>194</v>
      </c>
      <c r="S6" s="46" t="s">
        <v>194</v>
      </c>
      <c r="T6" s="46" t="s">
        <v>626</v>
      </c>
      <c r="U6" s="46" t="s">
        <v>2890</v>
      </c>
      <c r="V6" s="46" t="s">
        <v>194</v>
      </c>
      <c r="W6" s="46" t="s">
        <v>1064</v>
      </c>
      <c r="X6" s="46" t="s">
        <v>36</v>
      </c>
      <c r="Y6" s="46" t="s">
        <v>194</v>
      </c>
      <c r="Z6" s="46" t="s">
        <v>194</v>
      </c>
      <c r="AA6" s="46" t="s">
        <v>194</v>
      </c>
      <c r="AB6" s="46" t="s">
        <v>4188</v>
      </c>
      <c r="AC6" s="46" t="s">
        <v>194</v>
      </c>
      <c r="AD6" s="46" t="s">
        <v>194</v>
      </c>
      <c r="AE6" s="46" t="s">
        <v>194</v>
      </c>
      <c r="AF6" s="46" t="s">
        <v>36</v>
      </c>
      <c r="AG6" s="46" t="s">
        <v>626</v>
      </c>
      <c r="AH6" s="46" t="s">
        <v>4189</v>
      </c>
      <c r="AI6" s="46" t="s">
        <v>549</v>
      </c>
      <c r="AJ6" s="46" t="s">
        <v>2</v>
      </c>
      <c r="AK6" s="46" t="s">
        <v>4190</v>
      </c>
      <c r="AL6" s="46" t="s">
        <v>4188</v>
      </c>
      <c r="AM6" s="46" t="s">
        <v>4191</v>
      </c>
      <c r="AN6" s="46" t="s">
        <v>4191</v>
      </c>
      <c r="AO6" s="46" t="s">
        <v>626</v>
      </c>
      <c r="AP6" s="46" t="s">
        <v>194</v>
      </c>
      <c r="AQ6" s="46"/>
      <c r="AR6" s="46"/>
      <c r="AS6" s="46"/>
      <c r="AT6" s="46"/>
      <c r="AU6" s="46"/>
      <c r="AV6" s="46"/>
      <c r="AW6" s="46" t="s">
        <v>1702</v>
      </c>
      <c r="AX6" s="46" t="s">
        <v>34</v>
      </c>
      <c r="AY6" s="46"/>
      <c r="AZ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</row>
    <row r="7" spans="1:75" ht="255" x14ac:dyDescent="0.25">
      <c r="A7" s="47" t="s">
        <v>3613</v>
      </c>
      <c r="B7" s="45" t="s">
        <v>1759</v>
      </c>
      <c r="C7" s="45" t="s">
        <v>1760</v>
      </c>
      <c r="D7" s="46" t="s">
        <v>3635</v>
      </c>
      <c r="E7" s="25" t="s">
        <v>2</v>
      </c>
      <c r="F7" s="48" t="s">
        <v>32</v>
      </c>
      <c r="G7" s="62" t="s">
        <v>3735</v>
      </c>
      <c r="H7" s="63" t="s">
        <v>1702</v>
      </c>
      <c r="I7" s="46" t="s">
        <v>4192</v>
      </c>
      <c r="J7" s="46" t="s">
        <v>4572</v>
      </c>
      <c r="K7" s="46" t="s">
        <v>626</v>
      </c>
      <c r="L7" s="46" t="s">
        <v>626</v>
      </c>
      <c r="M7" s="46" t="s">
        <v>4193</v>
      </c>
      <c r="N7" s="46" t="s">
        <v>626</v>
      </c>
      <c r="O7" s="46" t="s">
        <v>626</v>
      </c>
      <c r="P7" s="46" t="s">
        <v>626</v>
      </c>
      <c r="Q7" s="46" t="s">
        <v>194</v>
      </c>
      <c r="R7" s="46" t="s">
        <v>194</v>
      </c>
      <c r="S7" s="46" t="s">
        <v>194</v>
      </c>
      <c r="T7" s="46" t="s">
        <v>626</v>
      </c>
      <c r="U7" s="46" t="s">
        <v>2890</v>
      </c>
      <c r="V7" s="46" t="s">
        <v>194</v>
      </c>
      <c r="W7" s="46" t="s">
        <v>1064</v>
      </c>
      <c r="X7" s="46" t="s">
        <v>36</v>
      </c>
      <c r="Y7" s="46" t="s">
        <v>194</v>
      </c>
      <c r="Z7" s="46" t="s">
        <v>194</v>
      </c>
      <c r="AA7" s="46" t="s">
        <v>194</v>
      </c>
      <c r="AB7" s="46" t="s">
        <v>4194</v>
      </c>
      <c r="AC7" s="46" t="s">
        <v>194</v>
      </c>
      <c r="AD7" s="46" t="s">
        <v>194</v>
      </c>
      <c r="AE7" s="46" t="s">
        <v>194</v>
      </c>
      <c r="AF7" s="46" t="s">
        <v>36</v>
      </c>
      <c r="AG7" s="46" t="s">
        <v>626</v>
      </c>
      <c r="AH7" s="46" t="s">
        <v>4189</v>
      </c>
      <c r="AI7" s="46" t="s">
        <v>549</v>
      </c>
      <c r="AJ7" s="46" t="s">
        <v>2</v>
      </c>
      <c r="AK7" s="46" t="s">
        <v>4190</v>
      </c>
      <c r="AL7" s="46" t="s">
        <v>4194</v>
      </c>
      <c r="AM7" s="46" t="s">
        <v>4191</v>
      </c>
      <c r="AN7" s="46" t="s">
        <v>4191</v>
      </c>
      <c r="AO7" s="46" t="s">
        <v>4191</v>
      </c>
      <c r="AP7" s="46" t="s">
        <v>194</v>
      </c>
      <c r="AQ7" s="46"/>
      <c r="AR7" s="46"/>
      <c r="AS7" s="46"/>
      <c r="AT7" s="46"/>
      <c r="AU7" s="46"/>
      <c r="AV7" s="46"/>
      <c r="AW7" s="46" t="s">
        <v>1702</v>
      </c>
      <c r="AX7" s="46" t="s">
        <v>34</v>
      </c>
      <c r="AY7" s="46"/>
      <c r="AZ7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</row>
    <row r="8" spans="1:75" ht="225" x14ac:dyDescent="0.25">
      <c r="A8" s="47" t="s">
        <v>3615</v>
      </c>
      <c r="B8" s="45" t="s">
        <v>1759</v>
      </c>
      <c r="C8" s="45" t="s">
        <v>3633</v>
      </c>
      <c r="D8" s="46" t="s">
        <v>3636</v>
      </c>
      <c r="E8" s="25" t="s">
        <v>2</v>
      </c>
      <c r="F8" s="48" t="s">
        <v>32</v>
      </c>
      <c r="G8" s="62" t="s">
        <v>3736</v>
      </c>
      <c r="H8" s="63" t="s">
        <v>1702</v>
      </c>
      <c r="I8" s="46" t="s">
        <v>194</v>
      </c>
      <c r="J8" s="46" t="s">
        <v>4573</v>
      </c>
      <c r="K8" s="46" t="s">
        <v>626</v>
      </c>
      <c r="L8" s="46" t="s">
        <v>626</v>
      </c>
      <c r="M8" s="46" t="s">
        <v>4193</v>
      </c>
      <c r="N8" s="46" t="s">
        <v>626</v>
      </c>
      <c r="O8" s="46" t="s">
        <v>626</v>
      </c>
      <c r="P8" s="46" t="s">
        <v>626</v>
      </c>
      <c r="Q8" s="46" t="s">
        <v>194</v>
      </c>
      <c r="R8" s="46" t="s">
        <v>194</v>
      </c>
      <c r="S8" s="46" t="s">
        <v>194</v>
      </c>
      <c r="T8" s="46" t="s">
        <v>626</v>
      </c>
      <c r="U8" s="46" t="s">
        <v>2890</v>
      </c>
      <c r="V8" s="46" t="s">
        <v>194</v>
      </c>
      <c r="W8" s="46" t="s">
        <v>1064</v>
      </c>
      <c r="X8" s="46" t="s">
        <v>1316</v>
      </c>
      <c r="Y8" s="46" t="s">
        <v>194</v>
      </c>
      <c r="Z8" s="46" t="s">
        <v>194</v>
      </c>
      <c r="AA8" s="46" t="s">
        <v>194</v>
      </c>
      <c r="AB8" s="46" t="s">
        <v>4194</v>
      </c>
      <c r="AC8" s="46" t="s">
        <v>194</v>
      </c>
      <c r="AD8" s="46" t="s">
        <v>194</v>
      </c>
      <c r="AE8" s="46" t="s">
        <v>194</v>
      </c>
      <c r="AF8" s="46" t="s">
        <v>317</v>
      </c>
      <c r="AG8" s="46" t="s">
        <v>626</v>
      </c>
      <c r="AH8" s="46" t="s">
        <v>4189</v>
      </c>
      <c r="AI8" s="46" t="s">
        <v>549</v>
      </c>
      <c r="AJ8" s="46" t="s">
        <v>2</v>
      </c>
      <c r="AK8" s="46" t="s">
        <v>4190</v>
      </c>
      <c r="AL8" s="46" t="s">
        <v>4194</v>
      </c>
      <c r="AM8" s="46" t="s">
        <v>4191</v>
      </c>
      <c r="AN8" s="46" t="s">
        <v>4191</v>
      </c>
      <c r="AO8" s="46" t="s">
        <v>4191</v>
      </c>
      <c r="AP8" s="46" t="s">
        <v>194</v>
      </c>
      <c r="AQ8" s="46"/>
      <c r="AR8" s="46"/>
      <c r="AS8" s="46"/>
      <c r="AT8" s="46"/>
      <c r="AU8" s="46"/>
      <c r="AV8" s="46"/>
      <c r="AW8" s="46" t="s">
        <v>1702</v>
      </c>
      <c r="AX8" s="46" t="s">
        <v>34</v>
      </c>
      <c r="AY8" s="46"/>
      <c r="AZ8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</row>
    <row r="9" spans="1:75" ht="255" x14ac:dyDescent="0.25">
      <c r="A9" s="47" t="s">
        <v>3617</v>
      </c>
      <c r="B9" s="45" t="s">
        <v>1759</v>
      </c>
      <c r="C9" s="45" t="s">
        <v>1764</v>
      </c>
      <c r="D9" s="46" t="s">
        <v>3637</v>
      </c>
      <c r="E9" s="25" t="s">
        <v>2</v>
      </c>
      <c r="F9" s="48" t="s">
        <v>32</v>
      </c>
      <c r="G9" s="62" t="s">
        <v>3737</v>
      </c>
      <c r="H9" s="63" t="s">
        <v>1702</v>
      </c>
      <c r="I9" s="46" t="s">
        <v>4574</v>
      </c>
      <c r="J9" s="46" t="s">
        <v>4575</v>
      </c>
      <c r="K9" s="46" t="s">
        <v>626</v>
      </c>
      <c r="L9" s="46" t="s">
        <v>626</v>
      </c>
      <c r="M9" s="46" t="s">
        <v>4193</v>
      </c>
      <c r="N9" s="46" t="s">
        <v>626</v>
      </c>
      <c r="O9" s="46" t="s">
        <v>626</v>
      </c>
      <c r="P9" s="46" t="s">
        <v>626</v>
      </c>
      <c r="Q9" s="46" t="s">
        <v>194</v>
      </c>
      <c r="R9" s="46" t="s">
        <v>194</v>
      </c>
      <c r="S9" s="46" t="s">
        <v>194</v>
      </c>
      <c r="T9" s="46" t="s">
        <v>626</v>
      </c>
      <c r="U9" s="46" t="s">
        <v>2890</v>
      </c>
      <c r="V9" s="46" t="s">
        <v>194</v>
      </c>
      <c r="W9" s="46" t="s">
        <v>1064</v>
      </c>
      <c r="X9" s="46" t="s">
        <v>1316</v>
      </c>
      <c r="Y9" s="46" t="s">
        <v>194</v>
      </c>
      <c r="Z9" s="46" t="s">
        <v>194</v>
      </c>
      <c r="AA9" s="46" t="s">
        <v>194</v>
      </c>
      <c r="AB9" s="46" t="s">
        <v>4194</v>
      </c>
      <c r="AC9" s="46" t="s">
        <v>194</v>
      </c>
      <c r="AD9" s="46" t="s">
        <v>194</v>
      </c>
      <c r="AE9" s="46" t="s">
        <v>194</v>
      </c>
      <c r="AF9" s="46" t="s">
        <v>932</v>
      </c>
      <c r="AG9" s="46" t="s">
        <v>626</v>
      </c>
      <c r="AH9" s="46" t="s">
        <v>4189</v>
      </c>
      <c r="AI9" s="46" t="s">
        <v>549</v>
      </c>
      <c r="AJ9" s="46" t="s">
        <v>2</v>
      </c>
      <c r="AK9" s="46" t="s">
        <v>4190</v>
      </c>
      <c r="AL9" s="46" t="s">
        <v>4194</v>
      </c>
      <c r="AM9" s="46" t="s">
        <v>4191</v>
      </c>
      <c r="AN9" s="46" t="s">
        <v>4191</v>
      </c>
      <c r="AO9" s="46" t="s">
        <v>4191</v>
      </c>
      <c r="AP9" s="46" t="s">
        <v>194</v>
      </c>
      <c r="AQ9" s="46"/>
      <c r="AR9" s="46"/>
      <c r="AS9" s="46"/>
      <c r="AT9" s="46"/>
      <c r="AU9" s="46"/>
      <c r="AV9" s="46"/>
      <c r="AW9" s="46" t="s">
        <v>1702</v>
      </c>
      <c r="AX9" s="46" t="s">
        <v>34</v>
      </c>
      <c r="AY9" s="46"/>
      <c r="AZ9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</row>
    <row r="10" spans="1:75" ht="195" x14ac:dyDescent="0.25">
      <c r="A10" s="47" t="s">
        <v>3619</v>
      </c>
      <c r="B10" s="45" t="s">
        <v>1759</v>
      </c>
      <c r="C10" s="45" t="s">
        <v>1770</v>
      </c>
      <c r="D10" s="46" t="s">
        <v>3638</v>
      </c>
      <c r="E10" s="25" t="s">
        <v>2</v>
      </c>
      <c r="F10" s="48" t="s">
        <v>32</v>
      </c>
      <c r="G10" s="62" t="s">
        <v>3738</v>
      </c>
      <c r="H10" s="63" t="s">
        <v>1702</v>
      </c>
      <c r="I10" s="46" t="s">
        <v>4195</v>
      </c>
      <c r="J10" s="46" t="s">
        <v>4576</v>
      </c>
      <c r="K10" s="46" t="s">
        <v>626</v>
      </c>
      <c r="L10" s="46" t="s">
        <v>626</v>
      </c>
      <c r="M10" s="46" t="s">
        <v>4196</v>
      </c>
      <c r="N10" s="46" t="s">
        <v>626</v>
      </c>
      <c r="O10" s="46" t="s">
        <v>626</v>
      </c>
      <c r="P10" s="46" t="s">
        <v>626</v>
      </c>
      <c r="Q10" s="46" t="s">
        <v>194</v>
      </c>
      <c r="R10" s="46" t="s">
        <v>194</v>
      </c>
      <c r="S10" s="46" t="s">
        <v>194</v>
      </c>
      <c r="T10" s="46" t="s">
        <v>626</v>
      </c>
      <c r="U10" s="46" t="s">
        <v>2890</v>
      </c>
      <c r="V10" s="46" t="s">
        <v>194</v>
      </c>
      <c r="W10" s="46" t="s">
        <v>194</v>
      </c>
      <c r="X10" s="46" t="s">
        <v>194</v>
      </c>
      <c r="Y10" s="46" t="s">
        <v>194</v>
      </c>
      <c r="Z10" s="46" t="s">
        <v>2</v>
      </c>
      <c r="AA10" s="46" t="s">
        <v>194</v>
      </c>
      <c r="AB10" s="46" t="s">
        <v>4194</v>
      </c>
      <c r="AC10" s="46" t="s">
        <v>194</v>
      </c>
      <c r="AD10" s="46" t="s">
        <v>194</v>
      </c>
      <c r="AE10" s="46" t="s">
        <v>194</v>
      </c>
      <c r="AF10" s="46" t="s">
        <v>2821</v>
      </c>
      <c r="AG10" s="46" t="s">
        <v>626</v>
      </c>
      <c r="AH10" s="46" t="s">
        <v>4197</v>
      </c>
      <c r="AI10" s="46" t="s">
        <v>549</v>
      </c>
      <c r="AJ10" s="46" t="s">
        <v>2</v>
      </c>
      <c r="AK10" s="46" t="s">
        <v>4190</v>
      </c>
      <c r="AL10" s="46" t="s">
        <v>4194</v>
      </c>
      <c r="AM10" s="46" t="s">
        <v>4191</v>
      </c>
      <c r="AN10" s="46" t="s">
        <v>4191</v>
      </c>
      <c r="AO10" s="46" t="s">
        <v>4191</v>
      </c>
      <c r="AP10" s="46" t="s">
        <v>194</v>
      </c>
      <c r="AQ10" s="46"/>
      <c r="AR10" s="46"/>
      <c r="AS10" s="46"/>
      <c r="AT10" s="46"/>
      <c r="AU10" s="46"/>
      <c r="AV10" s="46"/>
      <c r="AW10" s="46" t="s">
        <v>1702</v>
      </c>
      <c r="AX10" s="46" t="s">
        <v>34</v>
      </c>
      <c r="AY10" s="46"/>
      <c r="AZ10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</row>
    <row r="11" spans="1:75" ht="165" x14ac:dyDescent="0.25">
      <c r="A11" s="47" t="s">
        <v>3621</v>
      </c>
      <c r="B11" s="45" t="s">
        <v>1759</v>
      </c>
      <c r="C11" s="45" t="s">
        <v>1772</v>
      </c>
      <c r="D11" s="46" t="s">
        <v>1773</v>
      </c>
      <c r="E11" s="25" t="s">
        <v>2</v>
      </c>
      <c r="F11" s="48" t="s">
        <v>32</v>
      </c>
      <c r="G11" s="62" t="s">
        <v>3739</v>
      </c>
      <c r="H11" s="63" t="s">
        <v>1702</v>
      </c>
      <c r="I11" s="46" t="s">
        <v>4198</v>
      </c>
      <c r="J11" s="46" t="s">
        <v>194</v>
      </c>
      <c r="K11" s="46" t="s">
        <v>626</v>
      </c>
      <c r="L11" s="46" t="s">
        <v>626</v>
      </c>
      <c r="M11" s="46" t="s">
        <v>4199</v>
      </c>
      <c r="N11" s="46" t="s">
        <v>626</v>
      </c>
      <c r="O11" s="46" t="s">
        <v>626</v>
      </c>
      <c r="P11" s="46" t="s">
        <v>626</v>
      </c>
      <c r="Q11" s="46" t="s">
        <v>194</v>
      </c>
      <c r="R11" s="46" t="s">
        <v>194</v>
      </c>
      <c r="S11" s="46" t="s">
        <v>194</v>
      </c>
      <c r="T11" s="46" t="s">
        <v>626</v>
      </c>
      <c r="U11" s="46" t="s">
        <v>2890</v>
      </c>
      <c r="V11" s="46" t="s">
        <v>194</v>
      </c>
      <c r="W11" s="46" t="s">
        <v>1064</v>
      </c>
      <c r="X11" s="46" t="s">
        <v>1324</v>
      </c>
      <c r="Y11" s="46" t="s">
        <v>194</v>
      </c>
      <c r="Z11" s="46" t="s">
        <v>194</v>
      </c>
      <c r="AA11" s="46" t="s">
        <v>194</v>
      </c>
      <c r="AB11" s="46" t="s">
        <v>4194</v>
      </c>
      <c r="AC11" s="46" t="s">
        <v>194</v>
      </c>
      <c r="AD11" s="46" t="s">
        <v>194</v>
      </c>
      <c r="AE11" s="46" t="s">
        <v>194</v>
      </c>
      <c r="AF11" s="46" t="s">
        <v>611</v>
      </c>
      <c r="AG11" s="46" t="s">
        <v>626</v>
      </c>
      <c r="AH11" s="46" t="s">
        <v>4200</v>
      </c>
      <c r="AI11" s="46" t="s">
        <v>36</v>
      </c>
      <c r="AJ11" s="46" t="s">
        <v>2</v>
      </c>
      <c r="AK11" s="46" t="s">
        <v>4190</v>
      </c>
      <c r="AL11" s="46" t="s">
        <v>4194</v>
      </c>
      <c r="AM11" s="46" t="s">
        <v>4191</v>
      </c>
      <c r="AN11" s="46" t="s">
        <v>4191</v>
      </c>
      <c r="AO11" s="46" t="s">
        <v>4191</v>
      </c>
      <c r="AP11" s="46" t="s">
        <v>194</v>
      </c>
      <c r="AQ11" s="46"/>
      <c r="AR11" s="46"/>
      <c r="AS11" s="46"/>
      <c r="AT11" s="46"/>
      <c r="AU11" s="46"/>
      <c r="AV11" s="46"/>
      <c r="AW11" s="46" t="s">
        <v>1702</v>
      </c>
      <c r="AX11" s="46" t="s">
        <v>34</v>
      </c>
      <c r="AY11" s="46"/>
      <c r="AZ11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</row>
    <row r="12" spans="1:75" ht="195" x14ac:dyDescent="0.25">
      <c r="A12" s="47" t="s">
        <v>3623</v>
      </c>
      <c r="B12" s="45" t="s">
        <v>1759</v>
      </c>
      <c r="C12" s="45" t="s">
        <v>1774</v>
      </c>
      <c r="D12" s="46" t="s">
        <v>1775</v>
      </c>
      <c r="E12" s="25" t="s">
        <v>2</v>
      </c>
      <c r="F12" s="48" t="s">
        <v>32</v>
      </c>
      <c r="G12" s="62" t="s">
        <v>3740</v>
      </c>
      <c r="H12" s="63" t="s">
        <v>1702</v>
      </c>
      <c r="I12" s="46" t="s">
        <v>4577</v>
      </c>
      <c r="J12" s="46" t="s">
        <v>4201</v>
      </c>
      <c r="K12" s="46" t="s">
        <v>626</v>
      </c>
      <c r="L12" s="46" t="s">
        <v>626</v>
      </c>
      <c r="M12" s="46" t="s">
        <v>4193</v>
      </c>
      <c r="N12" s="46" t="s">
        <v>626</v>
      </c>
      <c r="O12" s="46" t="s">
        <v>626</v>
      </c>
      <c r="P12" s="46" t="s">
        <v>626</v>
      </c>
      <c r="Q12" s="46" t="s">
        <v>194</v>
      </c>
      <c r="R12" s="46" t="s">
        <v>194</v>
      </c>
      <c r="S12" s="46" t="s">
        <v>194</v>
      </c>
      <c r="T12" s="46" t="s">
        <v>626</v>
      </c>
      <c r="U12" s="46" t="s">
        <v>2890</v>
      </c>
      <c r="V12" s="46" t="s">
        <v>194</v>
      </c>
      <c r="W12" s="46" t="s">
        <v>1064</v>
      </c>
      <c r="X12" s="46" t="s">
        <v>1316</v>
      </c>
      <c r="Y12" s="46" t="s">
        <v>194</v>
      </c>
      <c r="Z12" s="46" t="s">
        <v>194</v>
      </c>
      <c r="AA12" s="46" t="s">
        <v>194</v>
      </c>
      <c r="AB12" s="46" t="s">
        <v>4194</v>
      </c>
      <c r="AC12" s="46" t="s">
        <v>194</v>
      </c>
      <c r="AD12" s="46" t="s">
        <v>194</v>
      </c>
      <c r="AE12" s="46" t="s">
        <v>194</v>
      </c>
      <c r="AF12" s="46" t="s">
        <v>317</v>
      </c>
      <c r="AG12" s="46" t="s">
        <v>626</v>
      </c>
      <c r="AH12" s="46" t="s">
        <v>4202</v>
      </c>
      <c r="AI12" s="46" t="s">
        <v>549</v>
      </c>
      <c r="AJ12" s="46" t="s">
        <v>2</v>
      </c>
      <c r="AK12" s="46" t="s">
        <v>4190</v>
      </c>
      <c r="AL12" s="46" t="s">
        <v>4194</v>
      </c>
      <c r="AM12" s="46" t="s">
        <v>4191</v>
      </c>
      <c r="AN12" s="46" t="s">
        <v>4191</v>
      </c>
      <c r="AO12" s="46" t="s">
        <v>4191</v>
      </c>
      <c r="AP12" s="46" t="s">
        <v>194</v>
      </c>
      <c r="AQ12" s="46"/>
      <c r="AR12" s="46"/>
      <c r="AS12" s="46"/>
      <c r="AT12" s="46"/>
      <c r="AU12" s="46"/>
      <c r="AV12" s="46"/>
      <c r="AW12" s="46" t="s">
        <v>1702</v>
      </c>
      <c r="AX12" s="46" t="s">
        <v>34</v>
      </c>
      <c r="AY12" s="46"/>
      <c r="AZ12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</row>
    <row r="13" spans="1:75" ht="255" x14ac:dyDescent="0.25">
      <c r="A13" s="47" t="s">
        <v>3625</v>
      </c>
      <c r="B13" s="45" t="s">
        <v>1759</v>
      </c>
      <c r="C13" s="45" t="s">
        <v>1776</v>
      </c>
      <c r="D13" s="46" t="s">
        <v>1789</v>
      </c>
      <c r="E13" s="25" t="s">
        <v>2</v>
      </c>
      <c r="F13" s="48" t="s">
        <v>32</v>
      </c>
      <c r="G13" s="62" t="s">
        <v>3741</v>
      </c>
      <c r="H13" s="63" t="s">
        <v>1702</v>
      </c>
      <c r="I13" s="46" t="s">
        <v>4578</v>
      </c>
      <c r="J13" s="46" t="s">
        <v>4579</v>
      </c>
      <c r="K13" s="46" t="s">
        <v>626</v>
      </c>
      <c r="L13" s="46" t="s">
        <v>626</v>
      </c>
      <c r="M13" s="46" t="s">
        <v>4203</v>
      </c>
      <c r="N13" s="46" t="s">
        <v>626</v>
      </c>
      <c r="O13" s="46" t="s">
        <v>626</v>
      </c>
      <c r="P13" s="46" t="s">
        <v>626</v>
      </c>
      <c r="Q13" s="46" t="s">
        <v>194</v>
      </c>
      <c r="R13" s="46" t="s">
        <v>194</v>
      </c>
      <c r="S13" s="46" t="s">
        <v>194</v>
      </c>
      <c r="T13" s="46" t="s">
        <v>626</v>
      </c>
      <c r="U13" s="46" t="s">
        <v>2890</v>
      </c>
      <c r="V13" s="46" t="s">
        <v>194</v>
      </c>
      <c r="W13" s="46" t="s">
        <v>194</v>
      </c>
      <c r="X13" s="46" t="s">
        <v>783</v>
      </c>
      <c r="Y13" s="46" t="s">
        <v>194</v>
      </c>
      <c r="Z13" s="46" t="s">
        <v>194</v>
      </c>
      <c r="AA13" s="46" t="s">
        <v>194</v>
      </c>
      <c r="AB13" s="46" t="s">
        <v>4194</v>
      </c>
      <c r="AC13" s="46" t="s">
        <v>1064</v>
      </c>
      <c r="AD13" s="46" t="s">
        <v>194</v>
      </c>
      <c r="AE13" s="46" t="s">
        <v>194</v>
      </c>
      <c r="AF13" s="46" t="s">
        <v>194</v>
      </c>
      <c r="AG13" s="46" t="s">
        <v>4191</v>
      </c>
      <c r="AH13" s="46" t="s">
        <v>4204</v>
      </c>
      <c r="AI13" s="46" t="s">
        <v>549</v>
      </c>
      <c r="AJ13" s="46" t="s">
        <v>2</v>
      </c>
      <c r="AK13" s="46" t="s">
        <v>4190</v>
      </c>
      <c r="AL13" s="46" t="s">
        <v>4194</v>
      </c>
      <c r="AM13" s="46" t="s">
        <v>4191</v>
      </c>
      <c r="AN13" s="46" t="s">
        <v>4191</v>
      </c>
      <c r="AO13" s="46" t="s">
        <v>4191</v>
      </c>
      <c r="AP13" s="46" t="s">
        <v>194</v>
      </c>
      <c r="AQ13" s="46"/>
      <c r="AR13" s="46"/>
      <c r="AS13" s="46"/>
      <c r="AT13" s="46"/>
      <c r="AU13" s="46"/>
      <c r="AV13" s="46"/>
      <c r="AW13" s="46" t="s">
        <v>1702</v>
      </c>
      <c r="AX13" s="46" t="s">
        <v>34</v>
      </c>
      <c r="AY13" s="46"/>
      <c r="AZ13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</row>
    <row r="14" spans="1:75" ht="150" x14ac:dyDescent="0.25">
      <c r="A14" s="47" t="s">
        <v>3627</v>
      </c>
      <c r="B14" s="45" t="s">
        <v>1759</v>
      </c>
      <c r="C14" s="45" t="s">
        <v>3634</v>
      </c>
      <c r="D14" s="46" t="s">
        <v>3639</v>
      </c>
      <c r="E14" s="25" t="s">
        <v>2</v>
      </c>
      <c r="F14" s="48" t="s">
        <v>32</v>
      </c>
      <c r="G14" s="62" t="s">
        <v>3742</v>
      </c>
      <c r="H14" s="63" t="s">
        <v>1702</v>
      </c>
      <c r="I14" s="46" t="s">
        <v>194</v>
      </c>
      <c r="J14" s="46" t="s">
        <v>194</v>
      </c>
      <c r="K14" s="46" t="s">
        <v>626</v>
      </c>
      <c r="L14" s="46" t="s">
        <v>626</v>
      </c>
      <c r="M14" s="46" t="s">
        <v>4205</v>
      </c>
      <c r="N14" s="46" t="s">
        <v>626</v>
      </c>
      <c r="O14" s="46" t="s">
        <v>626</v>
      </c>
      <c r="P14" s="46" t="s">
        <v>626</v>
      </c>
      <c r="Q14" s="46" t="s">
        <v>194</v>
      </c>
      <c r="R14" s="46" t="s">
        <v>194</v>
      </c>
      <c r="S14" s="46" t="s">
        <v>194</v>
      </c>
      <c r="T14" s="46" t="s">
        <v>626</v>
      </c>
      <c r="U14" s="46" t="s">
        <v>2890</v>
      </c>
      <c r="V14" s="46" t="s">
        <v>194</v>
      </c>
      <c r="W14" s="46" t="s">
        <v>194</v>
      </c>
      <c r="X14" s="46" t="s">
        <v>322</v>
      </c>
      <c r="Y14" s="46" t="s">
        <v>194</v>
      </c>
      <c r="Z14" s="46" t="s">
        <v>194</v>
      </c>
      <c r="AA14" s="46" t="s">
        <v>194</v>
      </c>
      <c r="AB14" s="46" t="s">
        <v>4194</v>
      </c>
      <c r="AC14" s="46" t="s">
        <v>194</v>
      </c>
      <c r="AD14" s="46" t="s">
        <v>194</v>
      </c>
      <c r="AE14" s="46" t="s">
        <v>194</v>
      </c>
      <c r="AF14" s="46" t="s">
        <v>322</v>
      </c>
      <c r="AG14" s="46" t="s">
        <v>626</v>
      </c>
      <c r="AH14" s="46" t="s">
        <v>4206</v>
      </c>
      <c r="AI14" s="46" t="s">
        <v>317</v>
      </c>
      <c r="AJ14" s="46" t="s">
        <v>2</v>
      </c>
      <c r="AK14" s="46" t="s">
        <v>4190</v>
      </c>
      <c r="AL14" s="46" t="s">
        <v>4194</v>
      </c>
      <c r="AM14" s="46" t="s">
        <v>4191</v>
      </c>
      <c r="AN14" s="46" t="s">
        <v>4191</v>
      </c>
      <c r="AO14" s="46" t="s">
        <v>4191</v>
      </c>
      <c r="AP14" s="46" t="s">
        <v>194</v>
      </c>
      <c r="AQ14" s="46"/>
      <c r="AR14" s="46"/>
      <c r="AS14" s="46"/>
      <c r="AT14" s="46"/>
      <c r="AU14" s="46"/>
      <c r="AV14" s="46"/>
      <c r="AW14" s="46" t="s">
        <v>1702</v>
      </c>
      <c r="AX14" s="46" t="s">
        <v>34</v>
      </c>
      <c r="AY14" s="46"/>
      <c r="AZ14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</row>
    <row r="15" spans="1:75" ht="165" x14ac:dyDescent="0.25">
      <c r="A15" s="47" t="s">
        <v>3629</v>
      </c>
      <c r="B15" s="45" t="s">
        <v>1759</v>
      </c>
      <c r="C15" s="45" t="s">
        <v>1779</v>
      </c>
      <c r="D15" s="46" t="s">
        <v>1780</v>
      </c>
      <c r="E15" s="25" t="s">
        <v>2</v>
      </c>
      <c r="F15" s="48" t="s">
        <v>32</v>
      </c>
      <c r="G15" s="62" t="s">
        <v>4635</v>
      </c>
      <c r="H15" s="63" t="s">
        <v>1702</v>
      </c>
      <c r="I15" s="46" t="s">
        <v>4636</v>
      </c>
      <c r="J15" s="46" t="s">
        <v>194</v>
      </c>
      <c r="K15" s="46" t="s">
        <v>626</v>
      </c>
      <c r="L15" s="46" t="s">
        <v>626</v>
      </c>
      <c r="M15" s="46" t="s">
        <v>4207</v>
      </c>
      <c r="N15" s="46" t="s">
        <v>626</v>
      </c>
      <c r="O15" s="46" t="s">
        <v>626</v>
      </c>
      <c r="P15" s="46" t="s">
        <v>626</v>
      </c>
      <c r="Q15" s="46" t="s">
        <v>194</v>
      </c>
      <c r="R15" s="46" t="s">
        <v>194</v>
      </c>
      <c r="S15" s="46" t="s">
        <v>194</v>
      </c>
      <c r="T15" s="46" t="s">
        <v>626</v>
      </c>
      <c r="U15" s="46" t="s">
        <v>2890</v>
      </c>
      <c r="V15" s="46" t="s">
        <v>194</v>
      </c>
      <c r="W15" s="46" t="s">
        <v>194</v>
      </c>
      <c r="X15" s="46" t="s">
        <v>194</v>
      </c>
      <c r="Y15" s="46" t="s">
        <v>314</v>
      </c>
      <c r="Z15" s="46" t="s">
        <v>194</v>
      </c>
      <c r="AA15" s="46" t="s">
        <v>194</v>
      </c>
      <c r="AB15" s="46" t="s">
        <v>4194</v>
      </c>
      <c r="AC15" s="46" t="s">
        <v>194</v>
      </c>
      <c r="AD15" s="46" t="s">
        <v>194</v>
      </c>
      <c r="AE15" s="46" t="s">
        <v>194</v>
      </c>
      <c r="AF15" s="46" t="s">
        <v>314</v>
      </c>
      <c r="AG15" s="46" t="s">
        <v>626</v>
      </c>
      <c r="AH15" s="46" t="s">
        <v>4208</v>
      </c>
      <c r="AI15" s="46" t="s">
        <v>314</v>
      </c>
      <c r="AJ15" s="46" t="s">
        <v>2</v>
      </c>
      <c r="AK15" s="46" t="s">
        <v>4190</v>
      </c>
      <c r="AL15" s="46" t="s">
        <v>4194</v>
      </c>
      <c r="AM15" s="46" t="s">
        <v>4191</v>
      </c>
      <c r="AN15" s="46" t="s">
        <v>4191</v>
      </c>
      <c r="AO15" s="46" t="s">
        <v>4191</v>
      </c>
      <c r="AP15" s="46" t="s">
        <v>194</v>
      </c>
      <c r="AQ15" s="46"/>
      <c r="AR15" s="46"/>
      <c r="AS15" s="46"/>
      <c r="AT15" s="46"/>
      <c r="AU15" s="46"/>
      <c r="AV15" s="46"/>
      <c r="AW15" s="46" t="s">
        <v>1702</v>
      </c>
      <c r="AX15" s="46" t="s">
        <v>34</v>
      </c>
      <c r="AY15" s="46"/>
      <c r="AZ15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</row>
    <row r="16" spans="1:75" ht="195" x14ac:dyDescent="0.25">
      <c r="A16" s="47" t="s">
        <v>3631</v>
      </c>
      <c r="B16" s="45" t="s">
        <v>1759</v>
      </c>
      <c r="C16" s="45" t="s">
        <v>1790</v>
      </c>
      <c r="D16" s="46" t="s">
        <v>1791</v>
      </c>
      <c r="E16" s="25" t="s">
        <v>2</v>
      </c>
      <c r="F16" s="48" t="s">
        <v>32</v>
      </c>
      <c r="G16" s="62" t="s">
        <v>3743</v>
      </c>
      <c r="H16" s="63" t="s">
        <v>1702</v>
      </c>
      <c r="I16" s="46" t="s">
        <v>4580</v>
      </c>
      <c r="J16" s="46" t="s">
        <v>4580</v>
      </c>
      <c r="K16" s="46" t="s">
        <v>626</v>
      </c>
      <c r="L16" s="46" t="s">
        <v>626</v>
      </c>
      <c r="M16" s="46" t="s">
        <v>4209</v>
      </c>
      <c r="N16" s="46" t="s">
        <v>626</v>
      </c>
      <c r="O16" s="46" t="s">
        <v>626</v>
      </c>
      <c r="P16" s="46" t="s">
        <v>626</v>
      </c>
      <c r="Q16" s="46" t="s">
        <v>194</v>
      </c>
      <c r="R16" s="46" t="s">
        <v>194</v>
      </c>
      <c r="S16" s="46" t="s">
        <v>194</v>
      </c>
      <c r="T16" s="46" t="s">
        <v>626</v>
      </c>
      <c r="U16" s="46" t="s">
        <v>2890</v>
      </c>
      <c r="V16" s="46" t="s">
        <v>194</v>
      </c>
      <c r="W16" s="46" t="s">
        <v>194</v>
      </c>
      <c r="X16" s="46" t="s">
        <v>194</v>
      </c>
      <c r="Y16" s="46" t="s">
        <v>314</v>
      </c>
      <c r="Z16" s="46" t="s">
        <v>194</v>
      </c>
      <c r="AA16" s="46" t="s">
        <v>194</v>
      </c>
      <c r="AB16" s="46" t="s">
        <v>4194</v>
      </c>
      <c r="AC16" s="46" t="s">
        <v>194</v>
      </c>
      <c r="AD16" s="46" t="s">
        <v>194</v>
      </c>
      <c r="AE16" s="46" t="s">
        <v>194</v>
      </c>
      <c r="AF16" s="46" t="s">
        <v>36</v>
      </c>
      <c r="AG16" s="46" t="s">
        <v>626</v>
      </c>
      <c r="AH16" s="46" t="s">
        <v>4210</v>
      </c>
      <c r="AI16" s="46" t="s">
        <v>549</v>
      </c>
      <c r="AJ16" s="46" t="s">
        <v>2</v>
      </c>
      <c r="AK16" s="46" t="s">
        <v>4190</v>
      </c>
      <c r="AL16" s="46" t="s">
        <v>4194</v>
      </c>
      <c r="AM16" s="46" t="s">
        <v>4191</v>
      </c>
      <c r="AN16" s="46" t="s">
        <v>4191</v>
      </c>
      <c r="AO16" s="46" t="s">
        <v>4191</v>
      </c>
      <c r="AP16" s="46" t="s">
        <v>194</v>
      </c>
      <c r="AQ16" s="46"/>
      <c r="AR16" s="46"/>
      <c r="AS16" s="46"/>
      <c r="AT16" s="46"/>
      <c r="AU16" s="46"/>
      <c r="AV16" s="46"/>
      <c r="AW16" s="46" t="s">
        <v>1702</v>
      </c>
      <c r="AX16" s="46" t="s">
        <v>34</v>
      </c>
      <c r="AY16" s="46"/>
      <c r="AZ1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</row>
    <row r="17" spans="1:75" ht="255" x14ac:dyDescent="0.25">
      <c r="A17" s="47" t="s">
        <v>1735</v>
      </c>
      <c r="B17" s="45" t="s">
        <v>1759</v>
      </c>
      <c r="C17" s="45" t="s">
        <v>1762</v>
      </c>
      <c r="D17" s="46" t="s">
        <v>1763</v>
      </c>
      <c r="E17" s="25" t="s">
        <v>2</v>
      </c>
      <c r="F17" s="48" t="s">
        <v>32</v>
      </c>
      <c r="G17" s="62" t="s">
        <v>1989</v>
      </c>
      <c r="H17" s="63" t="s">
        <v>1702</v>
      </c>
      <c r="I17" s="46" t="s">
        <v>4581</v>
      </c>
      <c r="J17" s="46" t="s">
        <v>4581</v>
      </c>
      <c r="K17" s="46" t="s">
        <v>626</v>
      </c>
      <c r="L17" s="46" t="s">
        <v>626</v>
      </c>
      <c r="M17" s="46" t="s">
        <v>4187</v>
      </c>
      <c r="N17" s="46" t="s">
        <v>626</v>
      </c>
      <c r="O17" s="46" t="s">
        <v>626</v>
      </c>
      <c r="P17" s="46" t="s">
        <v>626</v>
      </c>
      <c r="Q17" s="46" t="s">
        <v>194</v>
      </c>
      <c r="R17" s="46" t="s">
        <v>194</v>
      </c>
      <c r="S17" s="46" t="s">
        <v>194</v>
      </c>
      <c r="T17" s="46" t="s">
        <v>626</v>
      </c>
      <c r="U17" s="46" t="s">
        <v>2890</v>
      </c>
      <c r="V17" s="46" t="s">
        <v>194</v>
      </c>
      <c r="W17" s="46" t="s">
        <v>1064</v>
      </c>
      <c r="X17" s="46" t="s">
        <v>1316</v>
      </c>
      <c r="Y17" s="46" t="s">
        <v>194</v>
      </c>
      <c r="Z17" s="46" t="s">
        <v>194</v>
      </c>
      <c r="AA17" s="46" t="s">
        <v>194</v>
      </c>
      <c r="AB17" s="46" t="s">
        <v>4188</v>
      </c>
      <c r="AC17" s="46" t="s">
        <v>194</v>
      </c>
      <c r="AD17" s="46" t="s">
        <v>194</v>
      </c>
      <c r="AE17" s="46" t="s">
        <v>194</v>
      </c>
      <c r="AF17" s="46" t="s">
        <v>317</v>
      </c>
      <c r="AG17" s="46" t="s">
        <v>626</v>
      </c>
      <c r="AH17" s="46" t="s">
        <v>4189</v>
      </c>
      <c r="AI17" s="46" t="s">
        <v>549</v>
      </c>
      <c r="AJ17" s="46" t="s">
        <v>2</v>
      </c>
      <c r="AK17" s="46" t="s">
        <v>4190</v>
      </c>
      <c r="AL17" s="46" t="s">
        <v>4188</v>
      </c>
      <c r="AM17" s="46" t="s">
        <v>4191</v>
      </c>
      <c r="AN17" s="46" t="s">
        <v>4191</v>
      </c>
      <c r="AO17" s="46" t="s">
        <v>626</v>
      </c>
      <c r="AP17" s="46" t="s">
        <v>194</v>
      </c>
      <c r="AQ17" s="46"/>
      <c r="AR17" s="46"/>
      <c r="AS17" s="46"/>
      <c r="AT17" s="46"/>
      <c r="AU17" s="46"/>
      <c r="AV17" s="46"/>
      <c r="AW17" s="46" t="s">
        <v>1702</v>
      </c>
      <c r="AX17" s="46" t="s">
        <v>34</v>
      </c>
      <c r="AY17" s="46"/>
      <c r="AZ17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</row>
    <row r="18" spans="1:75" ht="285" x14ac:dyDescent="0.25">
      <c r="A18" s="47" t="s">
        <v>1737</v>
      </c>
      <c r="B18" s="45" t="s">
        <v>1759</v>
      </c>
      <c r="C18" s="45" t="s">
        <v>1764</v>
      </c>
      <c r="D18" s="46" t="s">
        <v>1765</v>
      </c>
      <c r="E18" s="25" t="s">
        <v>2</v>
      </c>
      <c r="F18" s="48" t="s">
        <v>32</v>
      </c>
      <c r="G18" s="62" t="s">
        <v>1990</v>
      </c>
      <c r="H18" s="63" t="s">
        <v>1702</v>
      </c>
      <c r="I18" s="46" t="s">
        <v>4582</v>
      </c>
      <c r="J18" s="46" t="s">
        <v>4582</v>
      </c>
      <c r="K18" s="46" t="s">
        <v>626</v>
      </c>
      <c r="L18" s="46" t="s">
        <v>626</v>
      </c>
      <c r="M18" s="46" t="s">
        <v>4187</v>
      </c>
      <c r="N18" s="46" t="s">
        <v>626</v>
      </c>
      <c r="O18" s="46" t="s">
        <v>626</v>
      </c>
      <c r="P18" s="46" t="s">
        <v>626</v>
      </c>
      <c r="Q18" s="46" t="s">
        <v>194</v>
      </c>
      <c r="R18" s="46" t="s">
        <v>194</v>
      </c>
      <c r="S18" s="46" t="s">
        <v>194</v>
      </c>
      <c r="T18" s="46" t="s">
        <v>626</v>
      </c>
      <c r="U18" s="46" t="s">
        <v>2890</v>
      </c>
      <c r="V18" s="46" t="s">
        <v>194</v>
      </c>
      <c r="W18" s="46" t="s">
        <v>1064</v>
      </c>
      <c r="X18" s="46" t="s">
        <v>1316</v>
      </c>
      <c r="Y18" s="46" t="s">
        <v>194</v>
      </c>
      <c r="Z18" s="46" t="s">
        <v>194</v>
      </c>
      <c r="AA18" s="46" t="s">
        <v>194</v>
      </c>
      <c r="AB18" s="46" t="s">
        <v>4188</v>
      </c>
      <c r="AC18" s="46" t="s">
        <v>194</v>
      </c>
      <c r="AD18" s="46" t="s">
        <v>194</v>
      </c>
      <c r="AE18" s="46" t="s">
        <v>194</v>
      </c>
      <c r="AF18" s="46" t="s">
        <v>932</v>
      </c>
      <c r="AG18" s="46" t="s">
        <v>626</v>
      </c>
      <c r="AH18" s="46" t="s">
        <v>4189</v>
      </c>
      <c r="AI18" s="46" t="s">
        <v>549</v>
      </c>
      <c r="AJ18" s="46" t="s">
        <v>2</v>
      </c>
      <c r="AK18" s="46" t="s">
        <v>4190</v>
      </c>
      <c r="AL18" s="46" t="s">
        <v>4188</v>
      </c>
      <c r="AM18" s="46" t="s">
        <v>4191</v>
      </c>
      <c r="AN18" s="46" t="s">
        <v>4191</v>
      </c>
      <c r="AO18" s="46" t="s">
        <v>626</v>
      </c>
      <c r="AP18" s="46" t="s">
        <v>194</v>
      </c>
      <c r="AQ18" s="46"/>
      <c r="AR18" s="46"/>
      <c r="AS18" s="46"/>
      <c r="AT18" s="46"/>
      <c r="AU18" s="46"/>
      <c r="AV18" s="46"/>
      <c r="AW18" s="46" t="s">
        <v>1702</v>
      </c>
      <c r="AX18" s="46" t="s">
        <v>34</v>
      </c>
      <c r="AY18" s="46"/>
      <c r="AZ18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</row>
    <row r="19" spans="1:75" ht="225" x14ac:dyDescent="0.25">
      <c r="A19" s="47" t="s">
        <v>1739</v>
      </c>
      <c r="B19" s="45" t="s">
        <v>1759</v>
      </c>
      <c r="C19" s="45" t="s">
        <v>1766</v>
      </c>
      <c r="D19" s="46" t="s">
        <v>1767</v>
      </c>
      <c r="E19" s="25" t="s">
        <v>2</v>
      </c>
      <c r="F19" s="48" t="s">
        <v>32</v>
      </c>
      <c r="G19" s="62" t="s">
        <v>1991</v>
      </c>
      <c r="H19" s="63" t="s">
        <v>1702</v>
      </c>
      <c r="I19" s="46" t="s">
        <v>4583</v>
      </c>
      <c r="J19" s="46" t="s">
        <v>4583</v>
      </c>
      <c r="K19" s="46" t="s">
        <v>626</v>
      </c>
      <c r="L19" s="46" t="s">
        <v>626</v>
      </c>
      <c r="M19" s="46" t="s">
        <v>4211</v>
      </c>
      <c r="N19" s="46" t="s">
        <v>626</v>
      </c>
      <c r="O19" s="46" t="s">
        <v>626</v>
      </c>
      <c r="P19" s="46" t="s">
        <v>626</v>
      </c>
      <c r="Q19" s="46" t="s">
        <v>194</v>
      </c>
      <c r="R19" s="46" t="s">
        <v>194</v>
      </c>
      <c r="S19" s="46" t="s">
        <v>194</v>
      </c>
      <c r="T19" s="46" t="s">
        <v>626</v>
      </c>
      <c r="U19" s="46" t="s">
        <v>2890</v>
      </c>
      <c r="V19" s="46" t="s">
        <v>194</v>
      </c>
      <c r="W19" s="46" t="s">
        <v>1064</v>
      </c>
      <c r="X19" s="46" t="s">
        <v>317</v>
      </c>
      <c r="Y19" s="46" t="s">
        <v>194</v>
      </c>
      <c r="Z19" s="46" t="s">
        <v>194</v>
      </c>
      <c r="AA19" s="46" t="s">
        <v>194</v>
      </c>
      <c r="AB19" s="46" t="s">
        <v>4188</v>
      </c>
      <c r="AC19" s="46" t="s">
        <v>194</v>
      </c>
      <c r="AD19" s="46" t="s">
        <v>194</v>
      </c>
      <c r="AE19" s="46" t="s">
        <v>194</v>
      </c>
      <c r="AF19" s="46" t="s">
        <v>317</v>
      </c>
      <c r="AG19" s="46" t="s">
        <v>626</v>
      </c>
      <c r="AH19" s="46" t="s">
        <v>4197</v>
      </c>
      <c r="AI19" s="46" t="s">
        <v>549</v>
      </c>
      <c r="AJ19" s="46" t="s">
        <v>2</v>
      </c>
      <c r="AK19" s="46" t="s">
        <v>4190</v>
      </c>
      <c r="AL19" s="46" t="s">
        <v>4188</v>
      </c>
      <c r="AM19" s="46" t="s">
        <v>4191</v>
      </c>
      <c r="AN19" s="46" t="s">
        <v>4191</v>
      </c>
      <c r="AO19" s="46" t="s">
        <v>626</v>
      </c>
      <c r="AP19" s="46" t="s">
        <v>194</v>
      </c>
      <c r="AQ19" s="46"/>
      <c r="AR19" s="46"/>
      <c r="AS19" s="46"/>
      <c r="AT19" s="46"/>
      <c r="AU19" s="46"/>
      <c r="AV19" s="46"/>
      <c r="AW19" s="46" t="s">
        <v>1702</v>
      </c>
      <c r="AX19" s="46" t="s">
        <v>34</v>
      </c>
      <c r="AY19" s="46"/>
      <c r="AZ19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</row>
    <row r="20" spans="1:75" ht="225" x14ac:dyDescent="0.25">
      <c r="A20" s="47" t="s">
        <v>1741</v>
      </c>
      <c r="B20" s="45" t="s">
        <v>1759</v>
      </c>
      <c r="C20" s="45" t="s">
        <v>1768</v>
      </c>
      <c r="D20" s="46" t="s">
        <v>1769</v>
      </c>
      <c r="E20" s="25" t="s">
        <v>2</v>
      </c>
      <c r="F20" s="48" t="s">
        <v>32</v>
      </c>
      <c r="G20" s="62" t="s">
        <v>1992</v>
      </c>
      <c r="H20" s="63" t="s">
        <v>1702</v>
      </c>
      <c r="I20" s="46" t="s">
        <v>4583</v>
      </c>
      <c r="J20" s="46" t="s">
        <v>4583</v>
      </c>
      <c r="K20" s="46" t="s">
        <v>626</v>
      </c>
      <c r="L20" s="46" t="s">
        <v>626</v>
      </c>
      <c r="M20" s="46" t="s">
        <v>4212</v>
      </c>
      <c r="N20" s="46" t="s">
        <v>626</v>
      </c>
      <c r="O20" s="46" t="s">
        <v>626</v>
      </c>
      <c r="P20" s="46" t="s">
        <v>626</v>
      </c>
      <c r="Q20" s="46" t="s">
        <v>194</v>
      </c>
      <c r="R20" s="46" t="s">
        <v>194</v>
      </c>
      <c r="S20" s="46" t="s">
        <v>194</v>
      </c>
      <c r="T20" s="46" t="s">
        <v>626</v>
      </c>
      <c r="U20" s="46" t="s">
        <v>2890</v>
      </c>
      <c r="V20" s="46" t="s">
        <v>194</v>
      </c>
      <c r="W20" s="46" t="s">
        <v>1064</v>
      </c>
      <c r="X20" s="46" t="s">
        <v>322</v>
      </c>
      <c r="Y20" s="46" t="s">
        <v>194</v>
      </c>
      <c r="Z20" s="46" t="s">
        <v>194</v>
      </c>
      <c r="AA20" s="46" t="s">
        <v>194</v>
      </c>
      <c r="AB20" s="46" t="s">
        <v>4188</v>
      </c>
      <c r="AC20" s="46" t="s">
        <v>194</v>
      </c>
      <c r="AD20" s="46" t="s">
        <v>194</v>
      </c>
      <c r="AE20" s="46" t="s">
        <v>194</v>
      </c>
      <c r="AF20" s="46" t="s">
        <v>36</v>
      </c>
      <c r="AG20" s="46" t="s">
        <v>626</v>
      </c>
      <c r="AH20" s="46" t="s">
        <v>4197</v>
      </c>
      <c r="AI20" s="46" t="s">
        <v>549</v>
      </c>
      <c r="AJ20" s="46" t="s">
        <v>2</v>
      </c>
      <c r="AK20" s="46" t="s">
        <v>4190</v>
      </c>
      <c r="AL20" s="46" t="s">
        <v>4188</v>
      </c>
      <c r="AM20" s="46" t="s">
        <v>4191</v>
      </c>
      <c r="AN20" s="46" t="s">
        <v>4191</v>
      </c>
      <c r="AO20" s="46" t="s">
        <v>626</v>
      </c>
      <c r="AP20" s="46" t="s">
        <v>194</v>
      </c>
      <c r="AQ20" s="46"/>
      <c r="AR20" s="46"/>
      <c r="AS20" s="46"/>
      <c r="AT20" s="46"/>
      <c r="AU20" s="46"/>
      <c r="AV20" s="46"/>
      <c r="AW20" s="46" t="s">
        <v>1702</v>
      </c>
      <c r="AX20" s="46" t="s">
        <v>34</v>
      </c>
      <c r="AY20" s="46"/>
      <c r="AZ20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</row>
    <row r="21" spans="1:75" ht="225" x14ac:dyDescent="0.25">
      <c r="A21" s="47" t="s">
        <v>1743</v>
      </c>
      <c r="B21" s="45" t="s">
        <v>1759</v>
      </c>
      <c r="C21" s="45" t="s">
        <v>1770</v>
      </c>
      <c r="D21" s="46" t="s">
        <v>1771</v>
      </c>
      <c r="E21" s="25" t="s">
        <v>2</v>
      </c>
      <c r="F21" s="48" t="s">
        <v>32</v>
      </c>
      <c r="G21" s="62" t="s">
        <v>3329</v>
      </c>
      <c r="H21" s="63" t="s">
        <v>1702</v>
      </c>
      <c r="I21" s="46" t="s">
        <v>4583</v>
      </c>
      <c r="J21" s="46" t="s">
        <v>4583</v>
      </c>
      <c r="K21" s="46" t="s">
        <v>626</v>
      </c>
      <c r="L21" s="46" t="s">
        <v>626</v>
      </c>
      <c r="M21" s="46" t="s">
        <v>4212</v>
      </c>
      <c r="N21" s="46" t="s">
        <v>626</v>
      </c>
      <c r="O21" s="46" t="s">
        <v>626</v>
      </c>
      <c r="P21" s="46" t="s">
        <v>626</v>
      </c>
      <c r="Q21" s="46" t="s">
        <v>194</v>
      </c>
      <c r="R21" s="46" t="s">
        <v>194</v>
      </c>
      <c r="S21" s="46" t="s">
        <v>194</v>
      </c>
      <c r="T21" s="46" t="s">
        <v>626</v>
      </c>
      <c r="U21" s="46" t="s">
        <v>2890</v>
      </c>
      <c r="V21" s="46" t="s">
        <v>194</v>
      </c>
      <c r="W21" s="46" t="s">
        <v>1064</v>
      </c>
      <c r="X21" s="46" t="s">
        <v>194</v>
      </c>
      <c r="Y21" s="46" t="s">
        <v>194</v>
      </c>
      <c r="Z21" s="46" t="s">
        <v>2</v>
      </c>
      <c r="AA21" s="46" t="s">
        <v>194</v>
      </c>
      <c r="AB21" s="46" t="s">
        <v>4188</v>
      </c>
      <c r="AC21" s="46" t="s">
        <v>194</v>
      </c>
      <c r="AD21" s="46" t="s">
        <v>194</v>
      </c>
      <c r="AE21" s="46" t="s">
        <v>194</v>
      </c>
      <c r="AF21" s="46" t="s">
        <v>2821</v>
      </c>
      <c r="AG21" s="46" t="s">
        <v>626</v>
      </c>
      <c r="AH21" s="46" t="s">
        <v>4197</v>
      </c>
      <c r="AI21" s="46" t="s">
        <v>549</v>
      </c>
      <c r="AJ21" s="46" t="s">
        <v>2</v>
      </c>
      <c r="AK21" s="46" t="s">
        <v>4190</v>
      </c>
      <c r="AL21" s="46" t="s">
        <v>4188</v>
      </c>
      <c r="AM21" s="46" t="s">
        <v>4191</v>
      </c>
      <c r="AN21" s="46" t="s">
        <v>4191</v>
      </c>
      <c r="AO21" s="46" t="s">
        <v>626</v>
      </c>
      <c r="AP21" s="46" t="s">
        <v>194</v>
      </c>
      <c r="AQ21" s="46"/>
      <c r="AR21" s="46"/>
      <c r="AS21" s="46"/>
      <c r="AT21" s="46"/>
      <c r="AU21" s="46"/>
      <c r="AV21" s="46"/>
      <c r="AW21" s="46" t="s">
        <v>1702</v>
      </c>
      <c r="AX21" s="46" t="s">
        <v>34</v>
      </c>
      <c r="AY21" s="46"/>
      <c r="AZ21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</row>
    <row r="22" spans="1:75" ht="165" x14ac:dyDescent="0.25">
      <c r="A22" s="47" t="s">
        <v>1745</v>
      </c>
      <c r="B22" s="45" t="s">
        <v>1759</v>
      </c>
      <c r="C22" s="45" t="s">
        <v>1772</v>
      </c>
      <c r="D22" s="46" t="s">
        <v>1773</v>
      </c>
      <c r="E22" s="25" t="s">
        <v>2</v>
      </c>
      <c r="F22" s="48" t="s">
        <v>32</v>
      </c>
      <c r="G22" s="62" t="s">
        <v>1993</v>
      </c>
      <c r="H22" s="63" t="s">
        <v>1702</v>
      </c>
      <c r="I22" s="46" t="s">
        <v>4213</v>
      </c>
      <c r="J22" s="46" t="s">
        <v>4213</v>
      </c>
      <c r="K22" s="46" t="s">
        <v>626</v>
      </c>
      <c r="L22" s="46" t="s">
        <v>626</v>
      </c>
      <c r="M22" s="46" t="s">
        <v>4214</v>
      </c>
      <c r="N22" s="46" t="s">
        <v>626</v>
      </c>
      <c r="O22" s="46" t="s">
        <v>626</v>
      </c>
      <c r="P22" s="46" t="s">
        <v>626</v>
      </c>
      <c r="Q22" s="46" t="s">
        <v>194</v>
      </c>
      <c r="R22" s="46" t="s">
        <v>194</v>
      </c>
      <c r="S22" s="46" t="s">
        <v>194</v>
      </c>
      <c r="T22" s="46" t="s">
        <v>626</v>
      </c>
      <c r="U22" s="46" t="s">
        <v>2890</v>
      </c>
      <c r="V22" s="46" t="s">
        <v>194</v>
      </c>
      <c r="W22" s="46" t="s">
        <v>194</v>
      </c>
      <c r="X22" s="46" t="s">
        <v>1324</v>
      </c>
      <c r="Y22" s="46" t="s">
        <v>194</v>
      </c>
      <c r="Z22" s="46" t="s">
        <v>194</v>
      </c>
      <c r="AA22" s="46" t="s">
        <v>194</v>
      </c>
      <c r="AB22" s="46" t="s">
        <v>4188</v>
      </c>
      <c r="AC22" s="46" t="s">
        <v>194</v>
      </c>
      <c r="AD22" s="46" t="s">
        <v>194</v>
      </c>
      <c r="AE22" s="46" t="s">
        <v>194</v>
      </c>
      <c r="AF22" s="46" t="s">
        <v>611</v>
      </c>
      <c r="AG22" s="46" t="s">
        <v>626</v>
      </c>
      <c r="AH22" s="46" t="s">
        <v>4200</v>
      </c>
      <c r="AI22" s="46" t="s">
        <v>36</v>
      </c>
      <c r="AJ22" s="46" t="s">
        <v>2</v>
      </c>
      <c r="AK22" s="46" t="s">
        <v>4190</v>
      </c>
      <c r="AL22" s="46" t="s">
        <v>4188</v>
      </c>
      <c r="AM22" s="46" t="s">
        <v>4191</v>
      </c>
      <c r="AN22" s="46" t="s">
        <v>4191</v>
      </c>
      <c r="AO22" s="46" t="s">
        <v>626</v>
      </c>
      <c r="AP22" s="46" t="s">
        <v>194</v>
      </c>
      <c r="AQ22" s="46"/>
      <c r="AR22" s="46"/>
      <c r="AS22" s="46"/>
      <c r="AT22" s="46"/>
      <c r="AU22" s="46"/>
      <c r="AV22" s="46"/>
      <c r="AW22" s="46" t="s">
        <v>1702</v>
      </c>
      <c r="AX22" s="46" t="s">
        <v>34</v>
      </c>
      <c r="AY22" s="46"/>
      <c r="AZ22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</row>
    <row r="23" spans="1:75" ht="195" x14ac:dyDescent="0.25">
      <c r="A23" s="47" t="s">
        <v>1747</v>
      </c>
      <c r="B23" s="45" t="s">
        <v>1759</v>
      </c>
      <c r="C23" s="45" t="s">
        <v>1774</v>
      </c>
      <c r="D23" s="46" t="s">
        <v>1775</v>
      </c>
      <c r="E23" s="25" t="s">
        <v>2</v>
      </c>
      <c r="F23" s="48" t="s">
        <v>32</v>
      </c>
      <c r="G23" s="62" t="s">
        <v>1994</v>
      </c>
      <c r="H23" s="63" t="s">
        <v>1702</v>
      </c>
      <c r="I23" s="46" t="s">
        <v>4584</v>
      </c>
      <c r="J23" s="46" t="s">
        <v>4584</v>
      </c>
      <c r="K23" s="46" t="s">
        <v>626</v>
      </c>
      <c r="L23" s="46" t="s">
        <v>626</v>
      </c>
      <c r="M23" s="46" t="s">
        <v>4187</v>
      </c>
      <c r="N23" s="46" t="s">
        <v>626</v>
      </c>
      <c r="O23" s="46" t="s">
        <v>626</v>
      </c>
      <c r="P23" s="46" t="s">
        <v>626</v>
      </c>
      <c r="Q23" s="46" t="s">
        <v>194</v>
      </c>
      <c r="R23" s="46" t="s">
        <v>194</v>
      </c>
      <c r="S23" s="46" t="s">
        <v>194</v>
      </c>
      <c r="T23" s="46" t="s">
        <v>626</v>
      </c>
      <c r="U23" s="46" t="s">
        <v>2890</v>
      </c>
      <c r="V23" s="46" t="s">
        <v>194</v>
      </c>
      <c r="W23" s="46" t="s">
        <v>194</v>
      </c>
      <c r="X23" s="46" t="s">
        <v>1316</v>
      </c>
      <c r="Y23" s="46" t="s">
        <v>194</v>
      </c>
      <c r="Z23" s="46" t="s">
        <v>194</v>
      </c>
      <c r="AA23" s="46" t="s">
        <v>194</v>
      </c>
      <c r="AB23" s="46" t="s">
        <v>4188</v>
      </c>
      <c r="AC23" s="46" t="s">
        <v>194</v>
      </c>
      <c r="AD23" s="46" t="s">
        <v>194</v>
      </c>
      <c r="AE23" s="46" t="s">
        <v>194</v>
      </c>
      <c r="AF23" s="46" t="s">
        <v>317</v>
      </c>
      <c r="AG23" s="46" t="s">
        <v>626</v>
      </c>
      <c r="AH23" s="46" t="s">
        <v>4202</v>
      </c>
      <c r="AI23" s="46" t="s">
        <v>549</v>
      </c>
      <c r="AJ23" s="46" t="s">
        <v>2</v>
      </c>
      <c r="AK23" s="46" t="s">
        <v>4190</v>
      </c>
      <c r="AL23" s="46" t="s">
        <v>4188</v>
      </c>
      <c r="AM23" s="46" t="s">
        <v>4191</v>
      </c>
      <c r="AN23" s="46" t="s">
        <v>4191</v>
      </c>
      <c r="AO23" s="46" t="s">
        <v>626</v>
      </c>
      <c r="AP23" s="46" t="s">
        <v>194</v>
      </c>
      <c r="AQ23" s="46"/>
      <c r="AR23" s="46"/>
      <c r="AS23" s="46"/>
      <c r="AT23" s="46"/>
      <c r="AU23" s="46"/>
      <c r="AV23" s="46"/>
      <c r="AW23" s="46" t="s">
        <v>1702</v>
      </c>
      <c r="AX23" s="46" t="s">
        <v>34</v>
      </c>
      <c r="AY23" s="46"/>
      <c r="AZ23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</row>
    <row r="24" spans="1:75" ht="330" x14ac:dyDescent="0.25">
      <c r="A24" s="47" t="s">
        <v>1749</v>
      </c>
      <c r="B24" s="45" t="s">
        <v>1759</v>
      </c>
      <c r="C24" s="45" t="s">
        <v>1776</v>
      </c>
      <c r="D24" s="46" t="s">
        <v>1789</v>
      </c>
      <c r="E24" s="25" t="s">
        <v>2</v>
      </c>
      <c r="F24" s="48" t="s">
        <v>32</v>
      </c>
      <c r="G24" s="62" t="s">
        <v>1995</v>
      </c>
      <c r="H24" s="63" t="s">
        <v>1702</v>
      </c>
      <c r="I24" s="46" t="s">
        <v>4585</v>
      </c>
      <c r="J24" s="46" t="s">
        <v>4585</v>
      </c>
      <c r="K24" s="46" t="s">
        <v>626</v>
      </c>
      <c r="L24" s="46" t="s">
        <v>626</v>
      </c>
      <c r="M24" s="46" t="s">
        <v>4215</v>
      </c>
      <c r="N24" s="46" t="s">
        <v>626</v>
      </c>
      <c r="O24" s="46" t="s">
        <v>626</v>
      </c>
      <c r="P24" s="46" t="s">
        <v>626</v>
      </c>
      <c r="Q24" s="46" t="s">
        <v>194</v>
      </c>
      <c r="R24" s="46" t="s">
        <v>194</v>
      </c>
      <c r="S24" s="46" t="s">
        <v>194</v>
      </c>
      <c r="T24" s="46" t="s">
        <v>626</v>
      </c>
      <c r="U24" s="46" t="s">
        <v>2890</v>
      </c>
      <c r="V24" s="46" t="s">
        <v>194</v>
      </c>
      <c r="W24" s="46" t="s">
        <v>194</v>
      </c>
      <c r="X24" s="46" t="s">
        <v>783</v>
      </c>
      <c r="Y24" s="46" t="s">
        <v>194</v>
      </c>
      <c r="Z24" s="46" t="s">
        <v>194</v>
      </c>
      <c r="AA24" s="46" t="s">
        <v>194</v>
      </c>
      <c r="AB24" s="46" t="s">
        <v>4188</v>
      </c>
      <c r="AC24" s="46" t="s">
        <v>1064</v>
      </c>
      <c r="AD24" s="46" t="s">
        <v>194</v>
      </c>
      <c r="AE24" s="46" t="s">
        <v>194</v>
      </c>
      <c r="AF24" s="46" t="s">
        <v>194</v>
      </c>
      <c r="AG24" s="46" t="s">
        <v>4191</v>
      </c>
      <c r="AH24" s="46" t="s">
        <v>4204</v>
      </c>
      <c r="AI24" s="46" t="s">
        <v>549</v>
      </c>
      <c r="AJ24" s="46" t="s">
        <v>2</v>
      </c>
      <c r="AK24" s="46" t="s">
        <v>4190</v>
      </c>
      <c r="AL24" s="46" t="s">
        <v>4188</v>
      </c>
      <c r="AM24" s="46" t="s">
        <v>4191</v>
      </c>
      <c r="AN24" s="46" t="s">
        <v>4191</v>
      </c>
      <c r="AO24" s="46" t="s">
        <v>626</v>
      </c>
      <c r="AP24" s="46" t="s">
        <v>194</v>
      </c>
      <c r="AQ24" s="46"/>
      <c r="AR24" s="46"/>
      <c r="AS24" s="46"/>
      <c r="AT24" s="46"/>
      <c r="AU24" s="46"/>
      <c r="AV24" s="46"/>
      <c r="AW24" s="46" t="s">
        <v>1702</v>
      </c>
      <c r="AX24" s="46" t="s">
        <v>34</v>
      </c>
      <c r="AY24" s="46"/>
      <c r="AZ24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</row>
    <row r="25" spans="1:75" ht="165" x14ac:dyDescent="0.25">
      <c r="A25" s="47" t="s">
        <v>1751</v>
      </c>
      <c r="B25" s="45" t="s">
        <v>1759</v>
      </c>
      <c r="C25" s="45" t="s">
        <v>1777</v>
      </c>
      <c r="D25" s="46" t="s">
        <v>1778</v>
      </c>
      <c r="E25" s="25" t="s">
        <v>2</v>
      </c>
      <c r="F25" s="48" t="s">
        <v>32</v>
      </c>
      <c r="G25" s="62" t="s">
        <v>3330</v>
      </c>
      <c r="H25" s="63" t="s">
        <v>1702</v>
      </c>
      <c r="I25" s="46" t="s">
        <v>194</v>
      </c>
      <c r="J25" s="46" t="s">
        <v>194</v>
      </c>
      <c r="K25" s="46" t="s">
        <v>626</v>
      </c>
      <c r="L25" s="46" t="s">
        <v>626</v>
      </c>
      <c r="M25" s="46" t="s">
        <v>4216</v>
      </c>
      <c r="N25" s="46" t="s">
        <v>626</v>
      </c>
      <c r="O25" s="46" t="s">
        <v>626</v>
      </c>
      <c r="P25" s="46" t="s">
        <v>626</v>
      </c>
      <c r="Q25" s="46" t="s">
        <v>194</v>
      </c>
      <c r="R25" s="46" t="s">
        <v>194</v>
      </c>
      <c r="S25" s="46" t="s">
        <v>194</v>
      </c>
      <c r="T25" s="46" t="s">
        <v>626</v>
      </c>
      <c r="U25" s="46" t="s">
        <v>2890</v>
      </c>
      <c r="V25" s="46" t="s">
        <v>1064</v>
      </c>
      <c r="W25" s="46" t="s">
        <v>194</v>
      </c>
      <c r="X25" s="46" t="s">
        <v>194</v>
      </c>
      <c r="Y25" s="46" t="s">
        <v>194</v>
      </c>
      <c r="Z25" s="46" t="s">
        <v>194</v>
      </c>
      <c r="AA25" s="46" t="s">
        <v>36</v>
      </c>
      <c r="AB25" s="46" t="s">
        <v>4188</v>
      </c>
      <c r="AC25" s="46" t="s">
        <v>194</v>
      </c>
      <c r="AD25" s="46" t="s">
        <v>194</v>
      </c>
      <c r="AE25" s="46" t="s">
        <v>194</v>
      </c>
      <c r="AF25" s="46" t="s">
        <v>2814</v>
      </c>
      <c r="AG25" s="46" t="s">
        <v>626</v>
      </c>
      <c r="AH25" s="46" t="s">
        <v>4206</v>
      </c>
      <c r="AI25" s="46" t="s">
        <v>317</v>
      </c>
      <c r="AJ25" s="46" t="s">
        <v>2</v>
      </c>
      <c r="AK25" s="46" t="s">
        <v>4190</v>
      </c>
      <c r="AL25" s="46" t="s">
        <v>194</v>
      </c>
      <c r="AM25" s="46" t="s">
        <v>4191</v>
      </c>
      <c r="AN25" s="46" t="s">
        <v>4191</v>
      </c>
      <c r="AO25" s="46" t="s">
        <v>626</v>
      </c>
      <c r="AP25" s="46" t="s">
        <v>194</v>
      </c>
      <c r="AQ25" s="46"/>
      <c r="AR25" s="46"/>
      <c r="AS25" s="46"/>
      <c r="AT25" s="46"/>
      <c r="AU25" s="46"/>
      <c r="AV25" s="46"/>
      <c r="AW25" s="46" t="s">
        <v>1702</v>
      </c>
      <c r="AX25" s="46" t="s">
        <v>34</v>
      </c>
      <c r="AY25" s="46"/>
      <c r="AZ25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</row>
    <row r="26" spans="1:75" ht="180" x14ac:dyDescent="0.25">
      <c r="A26" s="47" t="s">
        <v>1753</v>
      </c>
      <c r="B26" s="45" t="s">
        <v>1759</v>
      </c>
      <c r="C26" s="45" t="s">
        <v>1779</v>
      </c>
      <c r="D26" s="46" t="s">
        <v>1780</v>
      </c>
      <c r="E26" s="25" t="s">
        <v>2</v>
      </c>
      <c r="F26" s="48" t="s">
        <v>32</v>
      </c>
      <c r="G26" s="62" t="s">
        <v>4637</v>
      </c>
      <c r="H26" s="63" t="s">
        <v>1702</v>
      </c>
      <c r="I26" s="46" t="s">
        <v>4638</v>
      </c>
      <c r="J26" s="46" t="s">
        <v>4638</v>
      </c>
      <c r="K26" s="46" t="s">
        <v>626</v>
      </c>
      <c r="L26" s="46" t="s">
        <v>626</v>
      </c>
      <c r="M26" s="46" t="s">
        <v>4215</v>
      </c>
      <c r="N26" s="46" t="s">
        <v>626</v>
      </c>
      <c r="O26" s="46" t="s">
        <v>626</v>
      </c>
      <c r="P26" s="46" t="s">
        <v>626</v>
      </c>
      <c r="Q26" s="46" t="s">
        <v>194</v>
      </c>
      <c r="R26" s="46" t="s">
        <v>194</v>
      </c>
      <c r="S26" s="46" t="s">
        <v>194</v>
      </c>
      <c r="T26" s="46" t="s">
        <v>626</v>
      </c>
      <c r="U26" s="46" t="s">
        <v>2890</v>
      </c>
      <c r="V26" s="46" t="s">
        <v>194</v>
      </c>
      <c r="W26" s="46" t="s">
        <v>194</v>
      </c>
      <c r="X26" s="46" t="s">
        <v>194</v>
      </c>
      <c r="Y26" s="46" t="s">
        <v>314</v>
      </c>
      <c r="Z26" s="46" t="s">
        <v>194</v>
      </c>
      <c r="AA26" s="46" t="s">
        <v>194</v>
      </c>
      <c r="AB26" s="46" t="s">
        <v>4188</v>
      </c>
      <c r="AC26" s="46" t="s">
        <v>194</v>
      </c>
      <c r="AD26" s="46" t="s">
        <v>194</v>
      </c>
      <c r="AE26" s="46" t="s">
        <v>194</v>
      </c>
      <c r="AF26" s="46" t="s">
        <v>314</v>
      </c>
      <c r="AG26" s="46" t="s">
        <v>626</v>
      </c>
      <c r="AH26" s="46" t="s">
        <v>4208</v>
      </c>
      <c r="AI26" s="46" t="s">
        <v>549</v>
      </c>
      <c r="AJ26" s="46" t="s">
        <v>2</v>
      </c>
      <c r="AK26" s="46" t="s">
        <v>4190</v>
      </c>
      <c r="AL26" s="46" t="s">
        <v>4188</v>
      </c>
      <c r="AM26" s="46" t="s">
        <v>4191</v>
      </c>
      <c r="AN26" s="46" t="s">
        <v>4191</v>
      </c>
      <c r="AO26" s="46" t="s">
        <v>626</v>
      </c>
      <c r="AP26" s="46" t="s">
        <v>194</v>
      </c>
      <c r="AQ26" s="46"/>
      <c r="AR26" s="46"/>
      <c r="AS26" s="46"/>
      <c r="AT26" s="46"/>
      <c r="AU26" s="46"/>
      <c r="AV26" s="46"/>
      <c r="AW26" s="46" t="s">
        <v>1702</v>
      </c>
      <c r="AX26" s="46" t="s">
        <v>34</v>
      </c>
      <c r="AY26" s="46"/>
      <c r="AZ2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</row>
    <row r="27" spans="1:75" ht="195" x14ac:dyDescent="0.25">
      <c r="A27" s="47" t="s">
        <v>1755</v>
      </c>
      <c r="B27" s="45" t="s">
        <v>1759</v>
      </c>
      <c r="C27" s="45" t="s">
        <v>1781</v>
      </c>
      <c r="D27" s="46" t="s">
        <v>1782</v>
      </c>
      <c r="E27" s="25" t="s">
        <v>2</v>
      </c>
      <c r="F27" s="48" t="s">
        <v>32</v>
      </c>
      <c r="G27" s="62" t="s">
        <v>1996</v>
      </c>
      <c r="H27" s="63" t="s">
        <v>1702</v>
      </c>
      <c r="I27" s="46" t="s">
        <v>4586</v>
      </c>
      <c r="J27" s="46" t="s">
        <v>4586</v>
      </c>
      <c r="K27" s="46" t="s">
        <v>626</v>
      </c>
      <c r="L27" s="46" t="s">
        <v>626</v>
      </c>
      <c r="M27" s="46" t="s">
        <v>4187</v>
      </c>
      <c r="N27" s="46" t="s">
        <v>626</v>
      </c>
      <c r="O27" s="46" t="s">
        <v>626</v>
      </c>
      <c r="P27" s="46" t="s">
        <v>626</v>
      </c>
      <c r="Q27" s="46" t="s">
        <v>194</v>
      </c>
      <c r="R27" s="46" t="s">
        <v>194</v>
      </c>
      <c r="S27" s="46" t="s">
        <v>194</v>
      </c>
      <c r="T27" s="46" t="s">
        <v>626</v>
      </c>
      <c r="U27" s="46" t="s">
        <v>2890</v>
      </c>
      <c r="V27" s="46" t="s">
        <v>194</v>
      </c>
      <c r="W27" s="46" t="s">
        <v>194</v>
      </c>
      <c r="X27" s="46" t="s">
        <v>194</v>
      </c>
      <c r="Y27" s="46" t="s">
        <v>314</v>
      </c>
      <c r="Z27" s="46" t="s">
        <v>194</v>
      </c>
      <c r="AA27" s="46" t="s">
        <v>194</v>
      </c>
      <c r="AB27" s="46" t="s">
        <v>4188</v>
      </c>
      <c r="AC27" s="46" t="s">
        <v>194</v>
      </c>
      <c r="AD27" s="46" t="s">
        <v>194</v>
      </c>
      <c r="AE27" s="46" t="s">
        <v>194</v>
      </c>
      <c r="AF27" s="46" t="s">
        <v>317</v>
      </c>
      <c r="AG27" s="46" t="s">
        <v>626</v>
      </c>
      <c r="AH27" s="46" t="s">
        <v>4217</v>
      </c>
      <c r="AI27" s="46" t="s">
        <v>549</v>
      </c>
      <c r="AJ27" s="46" t="s">
        <v>2</v>
      </c>
      <c r="AK27" s="46" t="s">
        <v>4190</v>
      </c>
      <c r="AL27" s="46" t="s">
        <v>4188</v>
      </c>
      <c r="AM27" s="46" t="s">
        <v>4191</v>
      </c>
      <c r="AN27" s="46" t="s">
        <v>4191</v>
      </c>
      <c r="AO27" s="46" t="s">
        <v>626</v>
      </c>
      <c r="AP27" s="46" t="s">
        <v>194</v>
      </c>
      <c r="AQ27" s="46"/>
      <c r="AR27" s="46"/>
      <c r="AS27" s="46"/>
      <c r="AT27" s="46"/>
      <c r="AU27" s="46"/>
      <c r="AV27" s="46"/>
      <c r="AW27" s="46" t="s">
        <v>1702</v>
      </c>
      <c r="AX27" s="46" t="s">
        <v>34</v>
      </c>
      <c r="AY27" s="46"/>
      <c r="AZ27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</row>
    <row r="28" spans="1:75" ht="195" x14ac:dyDescent="0.25">
      <c r="A28" s="47" t="s">
        <v>1757</v>
      </c>
      <c r="B28" s="45" t="s">
        <v>1759</v>
      </c>
      <c r="C28" s="45" t="s">
        <v>1790</v>
      </c>
      <c r="D28" s="46" t="s">
        <v>1791</v>
      </c>
      <c r="E28" s="25" t="s">
        <v>2</v>
      </c>
      <c r="F28" s="48" t="s">
        <v>32</v>
      </c>
      <c r="G28" s="62" t="s">
        <v>1997</v>
      </c>
      <c r="H28" s="63" t="s">
        <v>1702</v>
      </c>
      <c r="I28" s="46" t="s">
        <v>4580</v>
      </c>
      <c r="J28" s="46" t="s">
        <v>4580</v>
      </c>
      <c r="K28" s="46" t="s">
        <v>626</v>
      </c>
      <c r="L28" s="46" t="s">
        <v>626</v>
      </c>
      <c r="M28" s="46" t="s">
        <v>4209</v>
      </c>
      <c r="N28" s="46" t="s">
        <v>626</v>
      </c>
      <c r="O28" s="46" t="s">
        <v>626</v>
      </c>
      <c r="P28" s="46" t="s">
        <v>626</v>
      </c>
      <c r="Q28" s="46" t="s">
        <v>194</v>
      </c>
      <c r="R28" s="46" t="s">
        <v>194</v>
      </c>
      <c r="S28" s="46" t="s">
        <v>194</v>
      </c>
      <c r="T28" s="46" t="s">
        <v>626</v>
      </c>
      <c r="U28" s="46" t="s">
        <v>2890</v>
      </c>
      <c r="V28" s="46" t="s">
        <v>194</v>
      </c>
      <c r="W28" s="46" t="s">
        <v>194</v>
      </c>
      <c r="X28" s="46" t="s">
        <v>194</v>
      </c>
      <c r="Y28" s="46" t="s">
        <v>314</v>
      </c>
      <c r="Z28" s="46" t="s">
        <v>194</v>
      </c>
      <c r="AA28" s="46" t="s">
        <v>194</v>
      </c>
      <c r="AB28" s="46" t="s">
        <v>4188</v>
      </c>
      <c r="AC28" s="46" t="s">
        <v>194</v>
      </c>
      <c r="AD28" s="46" t="s">
        <v>194</v>
      </c>
      <c r="AE28" s="46" t="s">
        <v>194</v>
      </c>
      <c r="AF28" s="46" t="s">
        <v>36</v>
      </c>
      <c r="AG28" s="46" t="s">
        <v>626</v>
      </c>
      <c r="AH28" s="46" t="s">
        <v>4210</v>
      </c>
      <c r="AI28" s="46" t="s">
        <v>549</v>
      </c>
      <c r="AJ28" s="46" t="s">
        <v>2</v>
      </c>
      <c r="AK28" s="46" t="s">
        <v>4190</v>
      </c>
      <c r="AL28" s="46" t="s">
        <v>4188</v>
      </c>
      <c r="AM28" s="46" t="s">
        <v>4191</v>
      </c>
      <c r="AN28" s="46" t="s">
        <v>4191</v>
      </c>
      <c r="AO28" s="46" t="s">
        <v>626</v>
      </c>
      <c r="AP28" s="46" t="s">
        <v>194</v>
      </c>
      <c r="AQ28" s="46"/>
      <c r="AR28" s="46"/>
      <c r="AS28" s="46"/>
      <c r="AT28" s="46"/>
      <c r="AU28" s="46"/>
      <c r="AV28" s="46"/>
      <c r="AW28" s="46" t="s">
        <v>1702</v>
      </c>
      <c r="AX28" s="46" t="s">
        <v>34</v>
      </c>
      <c r="AY28" s="46"/>
      <c r="AZ28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</row>
    <row r="29" spans="1:75" ht="255" x14ac:dyDescent="0.25">
      <c r="A29" s="47" t="s">
        <v>1783</v>
      </c>
      <c r="B29" s="45" t="s">
        <v>1759</v>
      </c>
      <c r="C29" s="45" t="s">
        <v>1784</v>
      </c>
      <c r="D29" s="46" t="s">
        <v>1785</v>
      </c>
      <c r="E29" s="25" t="s">
        <v>2</v>
      </c>
      <c r="F29" s="48" t="s">
        <v>32</v>
      </c>
      <c r="G29" s="62" t="s">
        <v>1998</v>
      </c>
      <c r="H29" s="63" t="s">
        <v>1702</v>
      </c>
      <c r="I29" s="46" t="s">
        <v>4587</v>
      </c>
      <c r="J29" s="46" t="s">
        <v>4587</v>
      </c>
      <c r="K29" s="46" t="s">
        <v>626</v>
      </c>
      <c r="L29" s="46" t="s">
        <v>626</v>
      </c>
      <c r="M29" s="46" t="s">
        <v>4215</v>
      </c>
      <c r="N29" s="46" t="s">
        <v>626</v>
      </c>
      <c r="O29" s="46" t="s">
        <v>626</v>
      </c>
      <c r="P29" s="46" t="s">
        <v>626</v>
      </c>
      <c r="Q29" s="46" t="s">
        <v>194</v>
      </c>
      <c r="R29" s="46" t="s">
        <v>194</v>
      </c>
      <c r="S29" s="46" t="s">
        <v>194</v>
      </c>
      <c r="T29" s="46" t="s">
        <v>626</v>
      </c>
      <c r="U29" s="46" t="s">
        <v>2890</v>
      </c>
      <c r="V29" s="46" t="s">
        <v>1064</v>
      </c>
      <c r="W29" s="46" t="s">
        <v>194</v>
      </c>
      <c r="X29" s="46" t="s">
        <v>194</v>
      </c>
      <c r="Y29" s="46" t="s">
        <v>194</v>
      </c>
      <c r="Z29" s="46" t="s">
        <v>194</v>
      </c>
      <c r="AA29" s="46" t="s">
        <v>194</v>
      </c>
      <c r="AB29" s="46" t="s">
        <v>4188</v>
      </c>
      <c r="AC29" s="46" t="s">
        <v>194</v>
      </c>
      <c r="AD29" s="46" t="s">
        <v>194</v>
      </c>
      <c r="AE29" s="46" t="s">
        <v>194</v>
      </c>
      <c r="AF29" s="46" t="s">
        <v>783</v>
      </c>
      <c r="AG29" s="46" t="s">
        <v>626</v>
      </c>
      <c r="AH29" s="46" t="s">
        <v>4218</v>
      </c>
      <c r="AI29" s="46" t="s">
        <v>2</v>
      </c>
      <c r="AJ29" s="46" t="s">
        <v>2</v>
      </c>
      <c r="AK29" s="46" t="s">
        <v>4190</v>
      </c>
      <c r="AL29" s="46" t="s">
        <v>194</v>
      </c>
      <c r="AM29" s="46" t="s">
        <v>4191</v>
      </c>
      <c r="AN29" s="46" t="s">
        <v>4191</v>
      </c>
      <c r="AO29" s="46" t="s">
        <v>626</v>
      </c>
      <c r="AP29" s="46" t="s">
        <v>194</v>
      </c>
      <c r="AQ29" s="46"/>
      <c r="AR29" s="46"/>
      <c r="AS29" s="46"/>
      <c r="AT29" s="46"/>
      <c r="AU29" s="46"/>
      <c r="AV29" s="46"/>
      <c r="AW29" s="46" t="s">
        <v>1702</v>
      </c>
      <c r="AX29" s="46" t="s">
        <v>34</v>
      </c>
      <c r="AY29" s="46"/>
      <c r="AZ29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</row>
    <row r="30" spans="1:75" ht="300" x14ac:dyDescent="0.25">
      <c r="A30" s="47" t="s">
        <v>1968</v>
      </c>
      <c r="B30" s="45" t="s">
        <v>1759</v>
      </c>
      <c r="C30" s="45" t="s">
        <v>1760</v>
      </c>
      <c r="D30" s="46" t="s">
        <v>1969</v>
      </c>
      <c r="E30" s="25" t="s">
        <v>2</v>
      </c>
      <c r="F30" s="48" t="s">
        <v>32</v>
      </c>
      <c r="G30" s="62" t="s">
        <v>3584</v>
      </c>
      <c r="H30" s="63" t="s">
        <v>1702</v>
      </c>
      <c r="I30" s="46" t="s">
        <v>4588</v>
      </c>
      <c r="J30" s="46" t="s">
        <v>4588</v>
      </c>
      <c r="K30" s="46" t="s">
        <v>626</v>
      </c>
      <c r="L30" s="46" t="s">
        <v>626</v>
      </c>
      <c r="M30" s="46" t="s">
        <v>4187</v>
      </c>
      <c r="N30" s="46" t="s">
        <v>626</v>
      </c>
      <c r="O30" s="46" t="s">
        <v>626</v>
      </c>
      <c r="P30" s="46" t="s">
        <v>626</v>
      </c>
      <c r="Q30" s="46" t="s">
        <v>194</v>
      </c>
      <c r="R30" s="46" t="s">
        <v>194</v>
      </c>
      <c r="S30" s="46" t="s">
        <v>194</v>
      </c>
      <c r="T30" s="46" t="s">
        <v>626</v>
      </c>
      <c r="U30" s="46" t="s">
        <v>606</v>
      </c>
      <c r="V30" s="46" t="s">
        <v>194</v>
      </c>
      <c r="W30" s="46" t="s">
        <v>1064</v>
      </c>
      <c r="X30" s="46" t="s">
        <v>314</v>
      </c>
      <c r="Y30" s="46" t="s">
        <v>194</v>
      </c>
      <c r="Z30" s="46" t="s">
        <v>194</v>
      </c>
      <c r="AA30" s="46" t="s">
        <v>194</v>
      </c>
      <c r="AB30" s="46" t="s">
        <v>4219</v>
      </c>
      <c r="AC30" s="46" t="s">
        <v>194</v>
      </c>
      <c r="AD30" s="46" t="s">
        <v>194</v>
      </c>
      <c r="AE30" s="46" t="s">
        <v>194</v>
      </c>
      <c r="AF30" s="46" t="s">
        <v>314</v>
      </c>
      <c r="AG30" s="46" t="s">
        <v>626</v>
      </c>
      <c r="AH30" s="46" t="s">
        <v>4189</v>
      </c>
      <c r="AI30" s="46" t="s">
        <v>314</v>
      </c>
      <c r="AJ30" s="46" t="s">
        <v>2</v>
      </c>
      <c r="AK30" s="46" t="s">
        <v>4190</v>
      </c>
      <c r="AL30" s="46" t="s">
        <v>4219</v>
      </c>
      <c r="AM30" s="46" t="s">
        <v>4191</v>
      </c>
      <c r="AN30" s="46" t="s">
        <v>4191</v>
      </c>
      <c r="AO30" s="46" t="s">
        <v>626</v>
      </c>
      <c r="AP30" s="46" t="s">
        <v>194</v>
      </c>
      <c r="AQ30" s="46"/>
      <c r="AR30" s="46"/>
      <c r="AS30" s="46"/>
      <c r="AT30" s="46"/>
      <c r="AU30" s="46"/>
      <c r="AV30" s="46"/>
      <c r="AW30" s="46" t="s">
        <v>1702</v>
      </c>
      <c r="AX30" s="46" t="s">
        <v>34</v>
      </c>
      <c r="AY30" s="46"/>
      <c r="AZ30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</row>
    <row r="31" spans="1:75" ht="270" x14ac:dyDescent="0.25">
      <c r="A31" s="47" t="s">
        <v>1970</v>
      </c>
      <c r="B31" s="45" t="s">
        <v>1759</v>
      </c>
      <c r="C31" s="45" t="s">
        <v>1762</v>
      </c>
      <c r="D31" s="46" t="s">
        <v>1971</v>
      </c>
      <c r="E31" s="25" t="s">
        <v>2</v>
      </c>
      <c r="F31" s="48" t="s">
        <v>32</v>
      </c>
      <c r="G31" s="62" t="s">
        <v>3585</v>
      </c>
      <c r="H31" s="63" t="s">
        <v>1702</v>
      </c>
      <c r="I31" s="46" t="s">
        <v>4589</v>
      </c>
      <c r="J31" s="46" t="s">
        <v>4589</v>
      </c>
      <c r="K31" s="46" t="s">
        <v>626</v>
      </c>
      <c r="L31" s="46" t="s">
        <v>626</v>
      </c>
      <c r="M31" s="46" t="s">
        <v>4187</v>
      </c>
      <c r="N31" s="46" t="s">
        <v>626</v>
      </c>
      <c r="O31" s="46" t="s">
        <v>626</v>
      </c>
      <c r="P31" s="46" t="s">
        <v>626</v>
      </c>
      <c r="Q31" s="46" t="s">
        <v>194</v>
      </c>
      <c r="R31" s="46" t="s">
        <v>194</v>
      </c>
      <c r="S31" s="46" t="s">
        <v>194</v>
      </c>
      <c r="T31" s="46" t="s">
        <v>626</v>
      </c>
      <c r="U31" s="46" t="s">
        <v>606</v>
      </c>
      <c r="V31" s="46" t="s">
        <v>194</v>
      </c>
      <c r="W31" s="46" t="s">
        <v>1064</v>
      </c>
      <c r="X31" s="46" t="s">
        <v>314</v>
      </c>
      <c r="Y31" s="46" t="s">
        <v>194</v>
      </c>
      <c r="Z31" s="46" t="s">
        <v>194</v>
      </c>
      <c r="AA31" s="46" t="s">
        <v>194</v>
      </c>
      <c r="AB31" s="46" t="s">
        <v>4219</v>
      </c>
      <c r="AC31" s="46" t="s">
        <v>194</v>
      </c>
      <c r="AD31" s="46" t="s">
        <v>194</v>
      </c>
      <c r="AE31" s="46" t="s">
        <v>194</v>
      </c>
      <c r="AF31" s="46" t="s">
        <v>2</v>
      </c>
      <c r="AG31" s="46" t="s">
        <v>626</v>
      </c>
      <c r="AH31" s="46" t="s">
        <v>4189</v>
      </c>
      <c r="AI31" s="46" t="s">
        <v>2</v>
      </c>
      <c r="AJ31" s="46" t="s">
        <v>2</v>
      </c>
      <c r="AK31" s="46" t="s">
        <v>4190</v>
      </c>
      <c r="AL31" s="46" t="s">
        <v>4219</v>
      </c>
      <c r="AM31" s="46" t="s">
        <v>4191</v>
      </c>
      <c r="AN31" s="46" t="s">
        <v>4191</v>
      </c>
      <c r="AO31" s="46" t="s">
        <v>626</v>
      </c>
      <c r="AP31" s="46" t="s">
        <v>194</v>
      </c>
      <c r="AQ31" s="46"/>
      <c r="AR31" s="46"/>
      <c r="AS31" s="46"/>
      <c r="AT31" s="46"/>
      <c r="AU31" s="46"/>
      <c r="AV31" s="46"/>
      <c r="AW31" s="46" t="s">
        <v>1702</v>
      </c>
      <c r="AX31" s="46" t="s">
        <v>34</v>
      </c>
      <c r="AY31" s="46"/>
      <c r="AZ31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</row>
    <row r="32" spans="1:75" ht="210" x14ac:dyDescent="0.25">
      <c r="A32" s="47" t="s">
        <v>1972</v>
      </c>
      <c r="B32" s="45" t="s">
        <v>1759</v>
      </c>
      <c r="C32" s="45" t="s">
        <v>1973</v>
      </c>
      <c r="D32" s="46" t="s">
        <v>1974</v>
      </c>
      <c r="E32" s="25" t="s">
        <v>2</v>
      </c>
      <c r="F32" s="48" t="s">
        <v>32</v>
      </c>
      <c r="G32" s="62" t="s">
        <v>3591</v>
      </c>
      <c r="H32" s="63" t="s">
        <v>1702</v>
      </c>
      <c r="I32" s="46" t="s">
        <v>4590</v>
      </c>
      <c r="J32" s="46" t="s">
        <v>4590</v>
      </c>
      <c r="K32" s="46" t="s">
        <v>626</v>
      </c>
      <c r="L32" s="46" t="s">
        <v>626</v>
      </c>
      <c r="M32" s="46" t="s">
        <v>4187</v>
      </c>
      <c r="N32" s="46" t="s">
        <v>626</v>
      </c>
      <c r="O32" s="46" t="s">
        <v>626</v>
      </c>
      <c r="P32" s="46" t="s">
        <v>626</v>
      </c>
      <c r="Q32" s="46" t="s">
        <v>194</v>
      </c>
      <c r="R32" s="46" t="s">
        <v>194</v>
      </c>
      <c r="S32" s="46" t="s">
        <v>194</v>
      </c>
      <c r="T32" s="46" t="s">
        <v>626</v>
      </c>
      <c r="U32" s="46" t="s">
        <v>606</v>
      </c>
      <c r="V32" s="46" t="s">
        <v>1064</v>
      </c>
      <c r="W32" s="46" t="s">
        <v>194</v>
      </c>
      <c r="X32" s="46" t="s">
        <v>322</v>
      </c>
      <c r="Y32" s="46" t="s">
        <v>194</v>
      </c>
      <c r="Z32" s="46" t="s">
        <v>194</v>
      </c>
      <c r="AA32" s="46" t="s">
        <v>194</v>
      </c>
      <c r="AB32" s="46" t="s">
        <v>4219</v>
      </c>
      <c r="AC32" s="46" t="s">
        <v>194</v>
      </c>
      <c r="AD32" s="46" t="s">
        <v>194</v>
      </c>
      <c r="AE32" s="46" t="s">
        <v>194</v>
      </c>
      <c r="AF32" s="46" t="s">
        <v>314</v>
      </c>
      <c r="AG32" s="46" t="s">
        <v>626</v>
      </c>
      <c r="AH32" s="46" t="s">
        <v>4220</v>
      </c>
      <c r="AI32" s="46" t="s">
        <v>2</v>
      </c>
      <c r="AJ32" s="46" t="s">
        <v>2</v>
      </c>
      <c r="AK32" s="46" t="s">
        <v>4190</v>
      </c>
      <c r="AL32" s="46" t="s">
        <v>4219</v>
      </c>
      <c r="AM32" s="46" t="s">
        <v>4191</v>
      </c>
      <c r="AN32" s="46" t="s">
        <v>4191</v>
      </c>
      <c r="AO32" s="46" t="s">
        <v>626</v>
      </c>
      <c r="AP32" s="46" t="s">
        <v>194</v>
      </c>
      <c r="AQ32" s="46"/>
      <c r="AR32" s="46"/>
      <c r="AS32" s="46"/>
      <c r="AT32" s="46"/>
      <c r="AU32" s="46"/>
      <c r="AV32" s="46"/>
      <c r="AW32" s="46" t="s">
        <v>1702</v>
      </c>
      <c r="AX32" s="46" t="s">
        <v>34</v>
      </c>
      <c r="AY32" s="46"/>
      <c r="AZ32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</row>
    <row r="33" spans="1:75" ht="240" x14ac:dyDescent="0.25">
      <c r="A33" s="47" t="s">
        <v>1975</v>
      </c>
      <c r="B33" s="45" t="s">
        <v>1759</v>
      </c>
      <c r="C33" s="45" t="s">
        <v>1766</v>
      </c>
      <c r="D33" s="46" t="s">
        <v>1767</v>
      </c>
      <c r="E33" s="25" t="s">
        <v>2</v>
      </c>
      <c r="F33" s="48" t="s">
        <v>32</v>
      </c>
      <c r="G33" s="62" t="s">
        <v>3586</v>
      </c>
      <c r="H33" s="63" t="s">
        <v>1702</v>
      </c>
      <c r="I33" s="46" t="s">
        <v>4591</v>
      </c>
      <c r="J33" s="46" t="s">
        <v>4591</v>
      </c>
      <c r="K33" s="46" t="s">
        <v>626</v>
      </c>
      <c r="L33" s="46" t="s">
        <v>626</v>
      </c>
      <c r="M33" s="46" t="s">
        <v>4211</v>
      </c>
      <c r="N33" s="46" t="s">
        <v>626</v>
      </c>
      <c r="O33" s="46" t="s">
        <v>626</v>
      </c>
      <c r="P33" s="46" t="s">
        <v>626</v>
      </c>
      <c r="Q33" s="46" t="s">
        <v>194</v>
      </c>
      <c r="R33" s="46" t="s">
        <v>194</v>
      </c>
      <c r="S33" s="46" t="s">
        <v>194</v>
      </c>
      <c r="T33" s="46" t="s">
        <v>626</v>
      </c>
      <c r="U33" s="46" t="s">
        <v>606</v>
      </c>
      <c r="V33" s="46" t="s">
        <v>194</v>
      </c>
      <c r="W33" s="46" t="s">
        <v>1064</v>
      </c>
      <c r="X33" s="46" t="s">
        <v>2</v>
      </c>
      <c r="Y33" s="46" t="s">
        <v>194</v>
      </c>
      <c r="Z33" s="46" t="s">
        <v>194</v>
      </c>
      <c r="AA33" s="46" t="s">
        <v>194</v>
      </c>
      <c r="AB33" s="46" t="s">
        <v>4219</v>
      </c>
      <c r="AC33" s="46" t="s">
        <v>194</v>
      </c>
      <c r="AD33" s="46" t="s">
        <v>194</v>
      </c>
      <c r="AE33" s="46" t="s">
        <v>194</v>
      </c>
      <c r="AF33" s="46" t="s">
        <v>2</v>
      </c>
      <c r="AG33" s="46" t="s">
        <v>626</v>
      </c>
      <c r="AH33" s="46" t="s">
        <v>4197</v>
      </c>
      <c r="AI33" s="46" t="s">
        <v>2</v>
      </c>
      <c r="AJ33" s="46" t="s">
        <v>2</v>
      </c>
      <c r="AK33" s="46" t="s">
        <v>4190</v>
      </c>
      <c r="AL33" s="46" t="s">
        <v>4219</v>
      </c>
      <c r="AM33" s="46" t="s">
        <v>4191</v>
      </c>
      <c r="AN33" s="46" t="s">
        <v>4191</v>
      </c>
      <c r="AO33" s="46" t="s">
        <v>626</v>
      </c>
      <c r="AP33" s="46" t="s">
        <v>194</v>
      </c>
      <c r="AQ33" s="46"/>
      <c r="AR33" s="46"/>
      <c r="AS33" s="46"/>
      <c r="AT33" s="46"/>
      <c r="AU33" s="46"/>
      <c r="AV33" s="46"/>
      <c r="AW33" s="46" t="s">
        <v>1702</v>
      </c>
      <c r="AX33" s="46" t="s">
        <v>34</v>
      </c>
      <c r="AY33" s="46"/>
      <c r="AZ33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</row>
    <row r="34" spans="1:75" ht="240" x14ac:dyDescent="0.25">
      <c r="A34" s="47" t="s">
        <v>1976</v>
      </c>
      <c r="B34" s="45" t="s">
        <v>1759</v>
      </c>
      <c r="C34" s="45" t="s">
        <v>1768</v>
      </c>
      <c r="D34" s="46" t="s">
        <v>1769</v>
      </c>
      <c r="E34" s="25" t="s">
        <v>2</v>
      </c>
      <c r="F34" s="48" t="s">
        <v>32</v>
      </c>
      <c r="G34" s="62" t="s">
        <v>3587</v>
      </c>
      <c r="H34" s="63" t="s">
        <v>1702</v>
      </c>
      <c r="I34" s="46" t="s">
        <v>4591</v>
      </c>
      <c r="J34" s="46" t="s">
        <v>4591</v>
      </c>
      <c r="K34" s="46" t="s">
        <v>626</v>
      </c>
      <c r="L34" s="46" t="s">
        <v>626</v>
      </c>
      <c r="M34" s="46" t="s">
        <v>4221</v>
      </c>
      <c r="N34" s="46" t="s">
        <v>626</v>
      </c>
      <c r="O34" s="46" t="s">
        <v>626</v>
      </c>
      <c r="P34" s="46" t="s">
        <v>626</v>
      </c>
      <c r="Q34" s="46" t="s">
        <v>194</v>
      </c>
      <c r="R34" s="46" t="s">
        <v>194</v>
      </c>
      <c r="S34" s="46" t="s">
        <v>194</v>
      </c>
      <c r="T34" s="46" t="s">
        <v>626</v>
      </c>
      <c r="U34" s="46" t="s">
        <v>606</v>
      </c>
      <c r="V34" s="46" t="s">
        <v>194</v>
      </c>
      <c r="W34" s="46" t="s">
        <v>1064</v>
      </c>
      <c r="X34" s="46" t="s">
        <v>314</v>
      </c>
      <c r="Y34" s="46" t="s">
        <v>194</v>
      </c>
      <c r="Z34" s="46" t="s">
        <v>194</v>
      </c>
      <c r="AA34" s="46" t="s">
        <v>194</v>
      </c>
      <c r="AB34" s="46" t="s">
        <v>4219</v>
      </c>
      <c r="AC34" s="46" t="s">
        <v>194</v>
      </c>
      <c r="AD34" s="46" t="s">
        <v>194</v>
      </c>
      <c r="AE34" s="46" t="s">
        <v>194</v>
      </c>
      <c r="AF34" s="46" t="s">
        <v>308</v>
      </c>
      <c r="AG34" s="46" t="s">
        <v>626</v>
      </c>
      <c r="AH34" s="46" t="s">
        <v>4197</v>
      </c>
      <c r="AI34" s="46" t="s">
        <v>2</v>
      </c>
      <c r="AJ34" s="46" t="s">
        <v>2</v>
      </c>
      <c r="AK34" s="46" t="s">
        <v>4190</v>
      </c>
      <c r="AL34" s="46" t="s">
        <v>4219</v>
      </c>
      <c r="AM34" s="46" t="s">
        <v>4191</v>
      </c>
      <c r="AN34" s="46" t="s">
        <v>4191</v>
      </c>
      <c r="AO34" s="46" t="s">
        <v>626</v>
      </c>
      <c r="AP34" s="46" t="s">
        <v>194</v>
      </c>
      <c r="AQ34" s="46"/>
      <c r="AR34" s="46"/>
      <c r="AS34" s="46"/>
      <c r="AT34" s="46"/>
      <c r="AU34" s="46"/>
      <c r="AV34" s="46"/>
      <c r="AW34" s="46" t="s">
        <v>1702</v>
      </c>
      <c r="AX34" s="46" t="s">
        <v>34</v>
      </c>
      <c r="AY34" s="46"/>
      <c r="AZ34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</row>
    <row r="35" spans="1:75" ht="240" x14ac:dyDescent="0.25">
      <c r="A35" s="47" t="s">
        <v>1977</v>
      </c>
      <c r="B35" s="45" t="s">
        <v>1759</v>
      </c>
      <c r="C35" s="45" t="s">
        <v>1770</v>
      </c>
      <c r="D35" s="46" t="s">
        <v>1771</v>
      </c>
      <c r="E35" s="25" t="s">
        <v>2</v>
      </c>
      <c r="F35" s="48" t="s">
        <v>32</v>
      </c>
      <c r="G35" s="62" t="s">
        <v>3588</v>
      </c>
      <c r="H35" s="63" t="s">
        <v>1702</v>
      </c>
      <c r="I35" s="46" t="s">
        <v>4591</v>
      </c>
      <c r="J35" s="46" t="s">
        <v>4591</v>
      </c>
      <c r="K35" s="46" t="s">
        <v>626</v>
      </c>
      <c r="L35" s="46" t="s">
        <v>626</v>
      </c>
      <c r="M35" s="46" t="s">
        <v>4221</v>
      </c>
      <c r="N35" s="46" t="s">
        <v>626</v>
      </c>
      <c r="O35" s="46" t="s">
        <v>626</v>
      </c>
      <c r="P35" s="46" t="s">
        <v>626</v>
      </c>
      <c r="Q35" s="46" t="s">
        <v>194</v>
      </c>
      <c r="R35" s="46" t="s">
        <v>194</v>
      </c>
      <c r="S35" s="46" t="s">
        <v>194</v>
      </c>
      <c r="T35" s="46" t="s">
        <v>626</v>
      </c>
      <c r="U35" s="46" t="s">
        <v>606</v>
      </c>
      <c r="V35" s="46" t="s">
        <v>194</v>
      </c>
      <c r="W35" s="46" t="s">
        <v>1064</v>
      </c>
      <c r="X35" s="46" t="s">
        <v>194</v>
      </c>
      <c r="Y35" s="46" t="s">
        <v>2</v>
      </c>
      <c r="Z35" s="46" t="s">
        <v>194</v>
      </c>
      <c r="AA35" s="46" t="s">
        <v>194</v>
      </c>
      <c r="AB35" s="46" t="s">
        <v>4219</v>
      </c>
      <c r="AC35" s="46" t="s">
        <v>194</v>
      </c>
      <c r="AD35" s="46" t="s">
        <v>194</v>
      </c>
      <c r="AE35" s="46" t="s">
        <v>194</v>
      </c>
      <c r="AF35" s="46" t="s">
        <v>940</v>
      </c>
      <c r="AG35" s="46" t="s">
        <v>626</v>
      </c>
      <c r="AH35" s="46" t="s">
        <v>4197</v>
      </c>
      <c r="AI35" s="46" t="s">
        <v>2</v>
      </c>
      <c r="AJ35" s="46" t="s">
        <v>2</v>
      </c>
      <c r="AK35" s="46" t="s">
        <v>4190</v>
      </c>
      <c r="AL35" s="46" t="s">
        <v>4219</v>
      </c>
      <c r="AM35" s="46" t="s">
        <v>4191</v>
      </c>
      <c r="AN35" s="46" t="s">
        <v>4191</v>
      </c>
      <c r="AO35" s="46" t="s">
        <v>626</v>
      </c>
      <c r="AP35" s="46" t="s">
        <v>194</v>
      </c>
      <c r="AQ35" s="46"/>
      <c r="AR35" s="46"/>
      <c r="AS35" s="46"/>
      <c r="AT35" s="46"/>
      <c r="AU35" s="46"/>
      <c r="AV35" s="46"/>
      <c r="AW35" s="46" t="s">
        <v>1702</v>
      </c>
      <c r="AX35" s="46" t="s">
        <v>34</v>
      </c>
      <c r="AY35" s="46"/>
      <c r="AZ35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</row>
    <row r="36" spans="1:75" ht="195" x14ac:dyDescent="0.25">
      <c r="A36" s="47" t="s">
        <v>1978</v>
      </c>
      <c r="B36" s="45" t="s">
        <v>1759</v>
      </c>
      <c r="C36" s="45" t="s">
        <v>1774</v>
      </c>
      <c r="D36" s="46" t="s">
        <v>1775</v>
      </c>
      <c r="E36" s="25" t="s">
        <v>2</v>
      </c>
      <c r="F36" s="48" t="s">
        <v>32</v>
      </c>
      <c r="G36" s="62" t="s">
        <v>3589</v>
      </c>
      <c r="H36" s="63" t="s">
        <v>1702</v>
      </c>
      <c r="I36" s="46" t="s">
        <v>4592</v>
      </c>
      <c r="J36" s="46" t="s">
        <v>4592</v>
      </c>
      <c r="K36" s="46" t="s">
        <v>626</v>
      </c>
      <c r="L36" s="46" t="s">
        <v>626</v>
      </c>
      <c r="M36" s="46" t="s">
        <v>4187</v>
      </c>
      <c r="N36" s="46" t="s">
        <v>626</v>
      </c>
      <c r="O36" s="46" t="s">
        <v>626</v>
      </c>
      <c r="P36" s="46" t="s">
        <v>626</v>
      </c>
      <c r="Q36" s="46" t="s">
        <v>194</v>
      </c>
      <c r="R36" s="46" t="s">
        <v>194</v>
      </c>
      <c r="S36" s="46" t="s">
        <v>194</v>
      </c>
      <c r="T36" s="46" t="s">
        <v>626</v>
      </c>
      <c r="U36" s="46" t="s">
        <v>606</v>
      </c>
      <c r="V36" s="46" t="s">
        <v>194</v>
      </c>
      <c r="W36" s="46" t="s">
        <v>194</v>
      </c>
      <c r="X36" s="46" t="s">
        <v>1316</v>
      </c>
      <c r="Y36" s="46" t="s">
        <v>194</v>
      </c>
      <c r="Z36" s="46" t="s">
        <v>194</v>
      </c>
      <c r="AA36" s="46" t="s">
        <v>194</v>
      </c>
      <c r="AB36" s="46" t="s">
        <v>4219</v>
      </c>
      <c r="AC36" s="46" t="s">
        <v>194</v>
      </c>
      <c r="AD36" s="46" t="s">
        <v>194</v>
      </c>
      <c r="AE36" s="46" t="s">
        <v>194</v>
      </c>
      <c r="AF36" s="46" t="s">
        <v>314</v>
      </c>
      <c r="AG36" s="46" t="s">
        <v>626</v>
      </c>
      <c r="AH36" s="46" t="s">
        <v>4202</v>
      </c>
      <c r="AI36" s="46" t="s">
        <v>2</v>
      </c>
      <c r="AJ36" s="46" t="s">
        <v>2</v>
      </c>
      <c r="AK36" s="46" t="s">
        <v>4190</v>
      </c>
      <c r="AL36" s="46" t="s">
        <v>4219</v>
      </c>
      <c r="AM36" s="46" t="s">
        <v>4191</v>
      </c>
      <c r="AN36" s="46" t="s">
        <v>4191</v>
      </c>
      <c r="AO36" s="46" t="s">
        <v>626</v>
      </c>
      <c r="AP36" s="46" t="s">
        <v>194</v>
      </c>
      <c r="AQ36" s="46"/>
      <c r="AR36" s="46"/>
      <c r="AS36" s="46"/>
      <c r="AT36" s="46"/>
      <c r="AU36" s="46"/>
      <c r="AV36" s="46"/>
      <c r="AW36" s="46" t="s">
        <v>1702</v>
      </c>
      <c r="AX36" s="46" t="s">
        <v>34</v>
      </c>
      <c r="AY36" s="46"/>
      <c r="AZ3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</row>
    <row r="37" spans="1:75" ht="180" x14ac:dyDescent="0.25">
      <c r="A37" s="47" t="s">
        <v>1979</v>
      </c>
      <c r="B37" s="45" t="s">
        <v>1759</v>
      </c>
      <c r="C37" s="45" t="s">
        <v>1790</v>
      </c>
      <c r="D37" s="46" t="s">
        <v>1791</v>
      </c>
      <c r="E37" s="25" t="s">
        <v>2</v>
      </c>
      <c r="F37" s="48" t="s">
        <v>32</v>
      </c>
      <c r="G37" s="62" t="s">
        <v>3590</v>
      </c>
      <c r="H37" s="63" t="s">
        <v>1702</v>
      </c>
      <c r="I37" s="46" t="s">
        <v>4580</v>
      </c>
      <c r="J37" s="46" t="s">
        <v>1064</v>
      </c>
      <c r="K37" s="46" t="s">
        <v>626</v>
      </c>
      <c r="L37" s="46" t="s">
        <v>626</v>
      </c>
      <c r="M37" s="46" t="s">
        <v>4209</v>
      </c>
      <c r="N37" s="46" t="s">
        <v>626</v>
      </c>
      <c r="O37" s="46" t="s">
        <v>626</v>
      </c>
      <c r="P37" s="46" t="s">
        <v>626</v>
      </c>
      <c r="Q37" s="46" t="s">
        <v>194</v>
      </c>
      <c r="R37" s="46" t="s">
        <v>194</v>
      </c>
      <c r="S37" s="46" t="s">
        <v>194</v>
      </c>
      <c r="T37" s="46" t="s">
        <v>626</v>
      </c>
      <c r="U37" s="46" t="s">
        <v>606</v>
      </c>
      <c r="V37" s="46" t="s">
        <v>194</v>
      </c>
      <c r="W37" s="46" t="s">
        <v>194</v>
      </c>
      <c r="X37" s="46" t="s">
        <v>194</v>
      </c>
      <c r="Y37" s="46" t="s">
        <v>314</v>
      </c>
      <c r="Z37" s="46" t="s">
        <v>194</v>
      </c>
      <c r="AA37" s="46" t="s">
        <v>194</v>
      </c>
      <c r="AB37" s="46" t="s">
        <v>4219</v>
      </c>
      <c r="AC37" s="46" t="s">
        <v>194</v>
      </c>
      <c r="AD37" s="46" t="s">
        <v>194</v>
      </c>
      <c r="AE37" s="46" t="s">
        <v>194</v>
      </c>
      <c r="AF37" s="46" t="s">
        <v>317</v>
      </c>
      <c r="AG37" s="46" t="s">
        <v>626</v>
      </c>
      <c r="AH37" s="46" t="s">
        <v>4210</v>
      </c>
      <c r="AI37" s="46" t="s">
        <v>308</v>
      </c>
      <c r="AJ37" s="46" t="s">
        <v>2</v>
      </c>
      <c r="AK37" s="46" t="s">
        <v>4190</v>
      </c>
      <c r="AL37" s="46" t="s">
        <v>4219</v>
      </c>
      <c r="AM37" s="46" t="s">
        <v>4191</v>
      </c>
      <c r="AN37" s="46" t="s">
        <v>4191</v>
      </c>
      <c r="AO37" s="46" t="s">
        <v>626</v>
      </c>
      <c r="AP37" s="46" t="s">
        <v>194</v>
      </c>
      <c r="AQ37" s="46"/>
      <c r="AR37" s="46"/>
      <c r="AS37" s="46"/>
      <c r="AT37" s="46"/>
      <c r="AU37" s="46"/>
      <c r="AV37" s="46"/>
      <c r="AW37" s="46" t="s">
        <v>1702</v>
      </c>
      <c r="AX37" s="46" t="s">
        <v>34</v>
      </c>
      <c r="AY37" s="46"/>
      <c r="AZ37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</row>
    <row r="38" spans="1:75" ht="255" x14ac:dyDescent="0.25">
      <c r="A38" s="47" t="s">
        <v>1980</v>
      </c>
      <c r="B38" s="45" t="s">
        <v>1759</v>
      </c>
      <c r="C38" s="45" t="s">
        <v>1981</v>
      </c>
      <c r="D38" s="46" t="s">
        <v>1982</v>
      </c>
      <c r="E38" s="25" t="s">
        <v>2</v>
      </c>
      <c r="F38" s="48" t="s">
        <v>32</v>
      </c>
      <c r="G38" s="62" t="s">
        <v>4772</v>
      </c>
      <c r="H38" s="63" t="s">
        <v>1702</v>
      </c>
      <c r="I38" s="46" t="s">
        <v>4593</v>
      </c>
      <c r="J38" s="46" t="s">
        <v>4593</v>
      </c>
      <c r="K38" s="46" t="s">
        <v>626</v>
      </c>
      <c r="L38" s="46" t="s">
        <v>626</v>
      </c>
      <c r="M38" s="46" t="s">
        <v>4222</v>
      </c>
      <c r="N38" s="46" t="s">
        <v>626</v>
      </c>
      <c r="O38" s="46" t="s">
        <v>626</v>
      </c>
      <c r="P38" s="46" t="s">
        <v>626</v>
      </c>
      <c r="Q38" s="46" t="s">
        <v>194</v>
      </c>
      <c r="R38" s="46" t="s">
        <v>194</v>
      </c>
      <c r="S38" s="46" t="s">
        <v>194</v>
      </c>
      <c r="T38" s="46" t="s">
        <v>626</v>
      </c>
      <c r="U38" s="46" t="s">
        <v>606</v>
      </c>
      <c r="V38" s="46" t="s">
        <v>1064</v>
      </c>
      <c r="W38" s="46" t="s">
        <v>194</v>
      </c>
      <c r="X38" s="46" t="s">
        <v>194</v>
      </c>
      <c r="Y38" s="46" t="s">
        <v>194</v>
      </c>
      <c r="Z38" s="46" t="s">
        <v>194</v>
      </c>
      <c r="AA38" s="46" t="s">
        <v>194</v>
      </c>
      <c r="AB38" s="46" t="s">
        <v>4219</v>
      </c>
      <c r="AC38" s="46" t="s">
        <v>194</v>
      </c>
      <c r="AD38" s="46" t="s">
        <v>194</v>
      </c>
      <c r="AE38" s="46" t="s">
        <v>194</v>
      </c>
      <c r="AF38" s="46" t="s">
        <v>36</v>
      </c>
      <c r="AG38" s="46" t="s">
        <v>626</v>
      </c>
      <c r="AH38" s="46" t="s">
        <v>4223</v>
      </c>
      <c r="AI38" s="46" t="s">
        <v>314</v>
      </c>
      <c r="AJ38" s="46" t="s">
        <v>2</v>
      </c>
      <c r="AK38" s="46" t="s">
        <v>4190</v>
      </c>
      <c r="AL38" s="46" t="s">
        <v>4219</v>
      </c>
      <c r="AM38" s="46" t="s">
        <v>4191</v>
      </c>
      <c r="AN38" s="46" t="s">
        <v>4191</v>
      </c>
      <c r="AO38" s="46" t="s">
        <v>626</v>
      </c>
      <c r="AP38" s="46" t="s">
        <v>194</v>
      </c>
      <c r="AQ38" s="46"/>
      <c r="AR38" s="46"/>
      <c r="AS38" s="46"/>
      <c r="AT38" s="46"/>
      <c r="AU38" s="46"/>
      <c r="AV38" s="46"/>
      <c r="AW38" s="46" t="s">
        <v>1702</v>
      </c>
      <c r="AX38" s="46" t="s">
        <v>34</v>
      </c>
      <c r="AY38" s="46"/>
      <c r="AZ38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</row>
    <row r="39" spans="1:75" ht="75" x14ac:dyDescent="0.25">
      <c r="A39" s="47" t="s">
        <v>526</v>
      </c>
      <c r="B39" s="45" t="s">
        <v>527</v>
      </c>
      <c r="C39" s="45" t="s">
        <v>653</v>
      </c>
      <c r="D39" s="46" t="s">
        <v>2651</v>
      </c>
      <c r="E39" s="25" t="s">
        <v>2</v>
      </c>
      <c r="F39" s="48" t="s">
        <v>32</v>
      </c>
      <c r="G39" s="62" t="s">
        <v>676</v>
      </c>
      <c r="H39" s="63" t="s">
        <v>112</v>
      </c>
      <c r="I39" s="46" t="s">
        <v>194</v>
      </c>
      <c r="J39" s="46" t="s">
        <v>1064</v>
      </c>
      <c r="K39" s="46" t="s">
        <v>626</v>
      </c>
      <c r="L39" s="46" t="s">
        <v>626</v>
      </c>
      <c r="M39" s="46" t="s">
        <v>194</v>
      </c>
      <c r="N39" s="46" t="s">
        <v>626</v>
      </c>
      <c r="O39" s="46" t="s">
        <v>626</v>
      </c>
      <c r="P39" s="46" t="s">
        <v>626</v>
      </c>
      <c r="Q39" s="46" t="s">
        <v>194</v>
      </c>
      <c r="R39" s="46" t="s">
        <v>194</v>
      </c>
      <c r="S39" s="46" t="s">
        <v>194</v>
      </c>
      <c r="T39" s="46" t="s">
        <v>626</v>
      </c>
      <c r="U39" s="46" t="s">
        <v>1064</v>
      </c>
      <c r="V39" s="46" t="s">
        <v>1064</v>
      </c>
      <c r="W39" s="46" t="s">
        <v>1064</v>
      </c>
      <c r="X39" s="46"/>
      <c r="Y39" s="46"/>
      <c r="Z39" s="46"/>
      <c r="AA39" s="46"/>
      <c r="AB39" s="46"/>
      <c r="AC39" s="46" t="s">
        <v>1064</v>
      </c>
      <c r="AD39" s="46"/>
      <c r="AE39" s="46"/>
      <c r="AF39" s="46"/>
      <c r="AG39" s="46"/>
      <c r="AH39" s="46"/>
      <c r="AI39" s="46"/>
      <c r="AJ39" s="46"/>
      <c r="AK39" s="46"/>
      <c r="AL39" s="46" t="s">
        <v>1064</v>
      </c>
      <c r="AM39" s="46"/>
      <c r="AN39" s="46"/>
      <c r="AO39" s="46"/>
      <c r="AP39" s="46" t="s">
        <v>1064</v>
      </c>
      <c r="AQ39" s="46" t="s">
        <v>4594</v>
      </c>
      <c r="AR39" s="46" t="s">
        <v>642</v>
      </c>
      <c r="AS39" s="46"/>
      <c r="AT39" s="46"/>
      <c r="AU39" s="46"/>
      <c r="AV39" s="46"/>
      <c r="AW39" s="46" t="s">
        <v>112</v>
      </c>
      <c r="AX39" s="46" t="s">
        <v>34</v>
      </c>
      <c r="AY39" s="46"/>
      <c r="AZ39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</row>
    <row r="40" spans="1:75" ht="90" x14ac:dyDescent="0.25">
      <c r="A40" s="47" t="s">
        <v>654</v>
      </c>
      <c r="B40" s="45" t="s">
        <v>527</v>
      </c>
      <c r="C40" s="45" t="s">
        <v>113</v>
      </c>
      <c r="D40" s="46" t="s">
        <v>2652</v>
      </c>
      <c r="E40" s="25" t="s">
        <v>2</v>
      </c>
      <c r="F40" s="48" t="s">
        <v>32</v>
      </c>
      <c r="G40" s="62" t="s">
        <v>677</v>
      </c>
      <c r="H40" s="63" t="s">
        <v>648</v>
      </c>
      <c r="I40" s="46" t="s">
        <v>194</v>
      </c>
      <c r="J40" s="46" t="s">
        <v>1064</v>
      </c>
      <c r="K40" s="46" t="s">
        <v>626</v>
      </c>
      <c r="L40" s="46" t="s">
        <v>626</v>
      </c>
      <c r="M40" s="46" t="s">
        <v>194</v>
      </c>
      <c r="N40" s="46" t="s">
        <v>626</v>
      </c>
      <c r="O40" s="46" t="s">
        <v>626</v>
      </c>
      <c r="P40" s="46" t="s">
        <v>626</v>
      </c>
      <c r="Q40" s="46" t="s">
        <v>194</v>
      </c>
      <c r="R40" s="46" t="s">
        <v>194</v>
      </c>
      <c r="S40" s="46" t="s">
        <v>194</v>
      </c>
      <c r="T40" s="46" t="s">
        <v>626</v>
      </c>
      <c r="U40" s="46" t="s">
        <v>1064</v>
      </c>
      <c r="V40" s="46" t="s">
        <v>1064</v>
      </c>
      <c r="W40" s="46" t="s">
        <v>1064</v>
      </c>
      <c r="X40" s="46"/>
      <c r="Y40" s="46"/>
      <c r="Z40" s="46"/>
      <c r="AA40" s="46"/>
      <c r="AB40" s="46"/>
      <c r="AC40" s="46" t="s">
        <v>1064</v>
      </c>
      <c r="AD40" s="46"/>
      <c r="AE40" s="46"/>
      <c r="AF40" s="46"/>
      <c r="AG40" s="46"/>
      <c r="AH40" s="46"/>
      <c r="AI40" s="46"/>
      <c r="AJ40" s="46"/>
      <c r="AK40" s="46"/>
      <c r="AL40" s="46" t="s">
        <v>1064</v>
      </c>
      <c r="AM40" s="46"/>
      <c r="AN40" s="46"/>
      <c r="AO40" s="46"/>
      <c r="AP40" s="46" t="s">
        <v>1064</v>
      </c>
      <c r="AQ40" s="46" t="s">
        <v>4595</v>
      </c>
      <c r="AR40" s="46" t="s">
        <v>642</v>
      </c>
      <c r="AS40" s="46"/>
      <c r="AT40" s="46"/>
      <c r="AU40" s="46"/>
      <c r="AV40" s="46"/>
      <c r="AW40" s="46" t="s">
        <v>648</v>
      </c>
      <c r="AX40" s="46" t="s">
        <v>34</v>
      </c>
      <c r="AY40" s="46"/>
      <c r="AZ40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</row>
    <row r="41" spans="1:75" ht="45" x14ac:dyDescent="0.25">
      <c r="A41" s="47" t="s">
        <v>678</v>
      </c>
      <c r="B41" s="45" t="s">
        <v>527</v>
      </c>
      <c r="C41" s="45" t="s">
        <v>679</v>
      </c>
      <c r="D41" s="46" t="s">
        <v>680</v>
      </c>
      <c r="E41" s="25" t="s">
        <v>2</v>
      </c>
      <c r="F41" s="48" t="s">
        <v>32</v>
      </c>
      <c r="G41" s="62" t="s">
        <v>1258</v>
      </c>
      <c r="H41" s="63" t="s">
        <v>692</v>
      </c>
      <c r="I41" s="46" t="s">
        <v>194</v>
      </c>
      <c r="J41" s="46" t="s">
        <v>1064</v>
      </c>
      <c r="K41" s="46" t="s">
        <v>626</v>
      </c>
      <c r="L41" s="46" t="s">
        <v>626</v>
      </c>
      <c r="M41" s="46" t="s">
        <v>194</v>
      </c>
      <c r="N41" s="46" t="s">
        <v>626</v>
      </c>
      <c r="O41" s="46" t="s">
        <v>626</v>
      </c>
      <c r="P41" s="46" t="s">
        <v>626</v>
      </c>
      <c r="Q41" s="46" t="s">
        <v>194</v>
      </c>
      <c r="R41" s="46" t="s">
        <v>194</v>
      </c>
      <c r="S41" s="46" t="s">
        <v>194</v>
      </c>
      <c r="T41" s="46" t="s">
        <v>626</v>
      </c>
      <c r="U41" s="46" t="s">
        <v>1064</v>
      </c>
      <c r="V41" s="46" t="s">
        <v>1064</v>
      </c>
      <c r="W41" s="46" t="s">
        <v>1064</v>
      </c>
      <c r="X41" s="46"/>
      <c r="Y41" s="46"/>
      <c r="Z41" s="46"/>
      <c r="AA41" s="46"/>
      <c r="AB41" s="46"/>
      <c r="AC41" s="46" t="s">
        <v>1064</v>
      </c>
      <c r="AD41" s="46"/>
      <c r="AE41" s="46"/>
      <c r="AF41" s="46"/>
      <c r="AG41" s="46"/>
      <c r="AH41" s="46"/>
      <c r="AI41" s="46"/>
      <c r="AJ41" s="46"/>
      <c r="AK41" s="46"/>
      <c r="AL41" s="46" t="s">
        <v>1064</v>
      </c>
      <c r="AM41" s="46"/>
      <c r="AN41" s="46"/>
      <c r="AO41" s="46"/>
      <c r="AP41" s="46" t="s">
        <v>1064</v>
      </c>
      <c r="AQ41" s="46" t="s">
        <v>4596</v>
      </c>
      <c r="AR41" s="46" t="s">
        <v>642</v>
      </c>
      <c r="AS41" s="46"/>
      <c r="AT41" s="46"/>
      <c r="AU41" s="46"/>
      <c r="AV41" s="46"/>
      <c r="AW41" s="46" t="s">
        <v>692</v>
      </c>
      <c r="AX41" s="46" t="s">
        <v>34</v>
      </c>
      <c r="AY41" s="46"/>
      <c r="AZ41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</row>
    <row r="42" spans="1:75" ht="45" x14ac:dyDescent="0.25">
      <c r="A42" s="47" t="s">
        <v>1220</v>
      </c>
      <c r="B42" s="45" t="s">
        <v>527</v>
      </c>
      <c r="C42" s="45" t="s">
        <v>1217</v>
      </c>
      <c r="D42" s="46" t="s">
        <v>1218</v>
      </c>
      <c r="E42" s="25" t="s">
        <v>2</v>
      </c>
      <c r="F42" s="48" t="s">
        <v>32</v>
      </c>
      <c r="G42" s="62" t="s">
        <v>1223</v>
      </c>
      <c r="H42" s="63" t="s">
        <v>1216</v>
      </c>
      <c r="I42" s="46" t="s">
        <v>194</v>
      </c>
      <c r="J42" s="46" t="s">
        <v>1064</v>
      </c>
      <c r="K42" s="46" t="s">
        <v>626</v>
      </c>
      <c r="L42" s="46" t="s">
        <v>626</v>
      </c>
      <c r="M42" s="46" t="s">
        <v>194</v>
      </c>
      <c r="N42" s="46" t="s">
        <v>626</v>
      </c>
      <c r="O42" s="46" t="s">
        <v>626</v>
      </c>
      <c r="P42" s="46" t="s">
        <v>626</v>
      </c>
      <c r="Q42" s="46" t="s">
        <v>194</v>
      </c>
      <c r="R42" s="46" t="s">
        <v>194</v>
      </c>
      <c r="S42" s="46" t="s">
        <v>194</v>
      </c>
      <c r="T42" s="46" t="s">
        <v>626</v>
      </c>
      <c r="U42" s="46" t="s">
        <v>1064</v>
      </c>
      <c r="V42" s="46" t="s">
        <v>1064</v>
      </c>
      <c r="W42" s="46" t="s">
        <v>1064</v>
      </c>
      <c r="X42" s="46"/>
      <c r="Y42" s="46"/>
      <c r="Z42" s="46"/>
      <c r="AA42" s="46"/>
      <c r="AB42" s="46"/>
      <c r="AC42" s="46" t="s">
        <v>1064</v>
      </c>
      <c r="AD42" s="46"/>
      <c r="AE42" s="46"/>
      <c r="AF42" s="46"/>
      <c r="AG42" s="46"/>
      <c r="AH42" s="46"/>
      <c r="AI42" s="46"/>
      <c r="AJ42" s="46"/>
      <c r="AK42" s="46"/>
      <c r="AL42" s="46" t="s">
        <v>1064</v>
      </c>
      <c r="AM42" s="46"/>
      <c r="AN42" s="46"/>
      <c r="AO42" s="46"/>
      <c r="AP42" s="46" t="s">
        <v>1064</v>
      </c>
      <c r="AQ42" s="46" t="s">
        <v>4597</v>
      </c>
      <c r="AR42" s="46" t="s">
        <v>27</v>
      </c>
      <c r="AS42" s="46"/>
      <c r="AT42" s="46"/>
      <c r="AU42" s="46"/>
      <c r="AV42" s="46"/>
      <c r="AW42" s="46" t="s">
        <v>1216</v>
      </c>
      <c r="AX42" s="46" t="s">
        <v>34</v>
      </c>
      <c r="AY42" s="46"/>
      <c r="AZ42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</row>
    <row r="43" spans="1:75" ht="60" x14ac:dyDescent="0.25">
      <c r="A43" s="47" t="s">
        <v>304</v>
      </c>
      <c r="B43" s="45" t="s">
        <v>305</v>
      </c>
      <c r="C43" s="45" t="s">
        <v>306</v>
      </c>
      <c r="D43" s="46" t="s">
        <v>307</v>
      </c>
      <c r="E43" s="25" t="s">
        <v>2</v>
      </c>
      <c r="F43" s="48" t="s">
        <v>1411</v>
      </c>
      <c r="G43" s="62" t="s">
        <v>1999</v>
      </c>
      <c r="H43" s="63" t="s">
        <v>24</v>
      </c>
      <c r="I43" s="46" t="s">
        <v>194</v>
      </c>
      <c r="J43" s="46" t="s">
        <v>1064</v>
      </c>
      <c r="K43" s="46" t="s">
        <v>626</v>
      </c>
      <c r="L43" s="46" t="s">
        <v>626</v>
      </c>
      <c r="M43" s="46" t="s">
        <v>194</v>
      </c>
      <c r="N43" s="46" t="s">
        <v>626</v>
      </c>
      <c r="O43" s="46" t="s">
        <v>626</v>
      </c>
      <c r="P43" s="46" t="s">
        <v>4191</v>
      </c>
      <c r="Q43" s="46" t="s">
        <v>4224</v>
      </c>
      <c r="R43" s="46" t="s">
        <v>194</v>
      </c>
      <c r="S43" s="46" t="s">
        <v>194</v>
      </c>
      <c r="T43" s="46"/>
      <c r="U43" s="46" t="s">
        <v>2890</v>
      </c>
      <c r="V43" s="46" t="s">
        <v>1064</v>
      </c>
      <c r="W43" s="46" t="s">
        <v>1064</v>
      </c>
      <c r="X43" s="46"/>
      <c r="Y43" s="46"/>
      <c r="Z43" s="46"/>
      <c r="AA43" s="46"/>
      <c r="AB43" s="46"/>
      <c r="AC43" s="46" t="s">
        <v>1064</v>
      </c>
      <c r="AD43" s="46"/>
      <c r="AE43" s="46"/>
      <c r="AF43" s="46"/>
      <c r="AG43" s="46"/>
      <c r="AH43" s="46"/>
      <c r="AI43" s="46"/>
      <c r="AJ43" s="46"/>
      <c r="AK43" s="46"/>
      <c r="AL43" s="46" t="s">
        <v>1064</v>
      </c>
      <c r="AM43" s="46"/>
      <c r="AN43" s="46"/>
      <c r="AO43" s="46"/>
      <c r="AP43" s="46" t="s">
        <v>1064</v>
      </c>
      <c r="AQ43" s="46"/>
      <c r="AR43" s="46"/>
      <c r="AS43" s="46" t="s">
        <v>583</v>
      </c>
      <c r="AT43" s="46" t="s">
        <v>2</v>
      </c>
      <c r="AU43" s="46" t="s">
        <v>4191</v>
      </c>
      <c r="AV43" s="46" t="s">
        <v>304</v>
      </c>
      <c r="AW43" s="46" t="s">
        <v>24</v>
      </c>
      <c r="AX43" s="46" t="s">
        <v>28</v>
      </c>
      <c r="AY43" s="46"/>
      <c r="AZ43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</row>
    <row r="44" spans="1:75" ht="60" x14ac:dyDescent="0.25">
      <c r="A44" s="47" t="s">
        <v>309</v>
      </c>
      <c r="B44" s="45" t="s">
        <v>305</v>
      </c>
      <c r="C44" s="45" t="s">
        <v>310</v>
      </c>
      <c r="D44" s="46" t="s">
        <v>311</v>
      </c>
      <c r="E44" s="25" t="s">
        <v>2</v>
      </c>
      <c r="F44" s="48" t="s">
        <v>32</v>
      </c>
      <c r="G44" s="62" t="s">
        <v>2000</v>
      </c>
      <c r="H44" s="63" t="s">
        <v>24</v>
      </c>
      <c r="I44" s="46" t="s">
        <v>194</v>
      </c>
      <c r="J44" s="46" t="s">
        <v>1064</v>
      </c>
      <c r="K44" s="46" t="s">
        <v>626</v>
      </c>
      <c r="L44" s="46" t="s">
        <v>626</v>
      </c>
      <c r="M44" s="46" t="s">
        <v>194</v>
      </c>
      <c r="N44" s="46" t="s">
        <v>626</v>
      </c>
      <c r="O44" s="46" t="s">
        <v>626</v>
      </c>
      <c r="P44" s="46" t="s">
        <v>626</v>
      </c>
      <c r="Q44" s="46" t="s">
        <v>4225</v>
      </c>
      <c r="R44" s="46" t="s">
        <v>194</v>
      </c>
      <c r="S44" s="46" t="s">
        <v>194</v>
      </c>
      <c r="T44" s="46"/>
      <c r="U44" s="46" t="s">
        <v>2890</v>
      </c>
      <c r="V44" s="46" t="s">
        <v>1064</v>
      </c>
      <c r="W44" s="46" t="s">
        <v>1064</v>
      </c>
      <c r="X44" s="46"/>
      <c r="Y44" s="46"/>
      <c r="Z44" s="46"/>
      <c r="AA44" s="46"/>
      <c r="AB44" s="46"/>
      <c r="AC44" s="46" t="s">
        <v>1064</v>
      </c>
      <c r="AD44" s="46"/>
      <c r="AE44" s="46"/>
      <c r="AF44" s="46"/>
      <c r="AG44" s="46"/>
      <c r="AH44" s="46"/>
      <c r="AI44" s="46"/>
      <c r="AJ44" s="46"/>
      <c r="AK44" s="46"/>
      <c r="AL44" s="46" t="s">
        <v>1064</v>
      </c>
      <c r="AM44" s="46"/>
      <c r="AN44" s="46"/>
      <c r="AO44" s="46"/>
      <c r="AP44" s="46" t="s">
        <v>1064</v>
      </c>
      <c r="AQ44" s="46"/>
      <c r="AR44" s="46"/>
      <c r="AS44" s="46" t="s">
        <v>583</v>
      </c>
      <c r="AT44" s="46" t="s">
        <v>2</v>
      </c>
      <c r="AU44" s="46" t="s">
        <v>4191</v>
      </c>
      <c r="AV44" s="46" t="s">
        <v>309</v>
      </c>
      <c r="AW44" s="46" t="s">
        <v>24</v>
      </c>
      <c r="AX44" s="46" t="s">
        <v>28</v>
      </c>
      <c r="AY44" s="46"/>
      <c r="AZ44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</row>
    <row r="45" spans="1:75" ht="90" x14ac:dyDescent="0.25">
      <c r="A45" s="47" t="s">
        <v>312</v>
      </c>
      <c r="B45" s="45" t="s">
        <v>305</v>
      </c>
      <c r="C45" s="45" t="s">
        <v>313</v>
      </c>
      <c r="D45" s="46" t="s">
        <v>2001</v>
      </c>
      <c r="E45" s="25" t="s">
        <v>2</v>
      </c>
      <c r="F45" s="48" t="s">
        <v>549</v>
      </c>
      <c r="G45" s="62" t="s">
        <v>2002</v>
      </c>
      <c r="H45" s="63" t="s">
        <v>33</v>
      </c>
      <c r="I45" s="46" t="s">
        <v>4598</v>
      </c>
      <c r="J45" s="46" t="s">
        <v>1064</v>
      </c>
      <c r="K45" s="46" t="s">
        <v>626</v>
      </c>
      <c r="L45" s="46" t="s">
        <v>626</v>
      </c>
      <c r="M45" s="46" t="s">
        <v>194</v>
      </c>
      <c r="N45" s="46" t="s">
        <v>626</v>
      </c>
      <c r="O45" s="46" t="s">
        <v>626</v>
      </c>
      <c r="P45" s="46" t="s">
        <v>626</v>
      </c>
      <c r="Q45" s="46" t="s">
        <v>4226</v>
      </c>
      <c r="R45" s="46" t="s">
        <v>194</v>
      </c>
      <c r="S45" s="46" t="s">
        <v>194</v>
      </c>
      <c r="T45" s="46"/>
      <c r="U45" s="46" t="s">
        <v>2890</v>
      </c>
      <c r="V45" s="46" t="s">
        <v>1064</v>
      </c>
      <c r="W45" s="46" t="s">
        <v>1064</v>
      </c>
      <c r="X45" s="46"/>
      <c r="Y45" s="46"/>
      <c r="Z45" s="46"/>
      <c r="AA45" s="46"/>
      <c r="AB45" s="46"/>
      <c r="AC45" s="46" t="s">
        <v>1064</v>
      </c>
      <c r="AD45" s="46"/>
      <c r="AE45" s="46"/>
      <c r="AF45" s="46"/>
      <c r="AG45" s="46"/>
      <c r="AH45" s="46"/>
      <c r="AI45" s="46"/>
      <c r="AJ45" s="46"/>
      <c r="AK45" s="46"/>
      <c r="AL45" s="46" t="s">
        <v>1064</v>
      </c>
      <c r="AM45" s="46"/>
      <c r="AN45" s="46"/>
      <c r="AO45" s="46"/>
      <c r="AP45" s="46" t="s">
        <v>1064</v>
      </c>
      <c r="AQ45" s="46"/>
      <c r="AR45" s="46"/>
      <c r="AS45" s="46" t="s">
        <v>584</v>
      </c>
      <c r="AT45" s="46" t="s">
        <v>2</v>
      </c>
      <c r="AU45" s="46" t="s">
        <v>4191</v>
      </c>
      <c r="AV45" s="46" t="s">
        <v>312</v>
      </c>
      <c r="AW45" s="46" t="s">
        <v>33</v>
      </c>
      <c r="AX45" s="46" t="s">
        <v>28</v>
      </c>
      <c r="AY45" s="46"/>
      <c r="AZ45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</row>
    <row r="46" spans="1:75" ht="90" x14ac:dyDescent="0.25">
      <c r="A46" s="47" t="s">
        <v>315</v>
      </c>
      <c r="B46" s="45" t="s">
        <v>305</v>
      </c>
      <c r="C46" s="45" t="s">
        <v>316</v>
      </c>
      <c r="D46" s="46" t="s">
        <v>2003</v>
      </c>
      <c r="E46" s="25" t="s">
        <v>2</v>
      </c>
      <c r="F46" s="48" t="s">
        <v>836</v>
      </c>
      <c r="G46" s="62" t="s">
        <v>2004</v>
      </c>
      <c r="H46" s="63" t="s">
        <v>37</v>
      </c>
      <c r="I46" s="46" t="s">
        <v>4598</v>
      </c>
      <c r="J46" s="46" t="s">
        <v>1064</v>
      </c>
      <c r="K46" s="46" t="s">
        <v>626</v>
      </c>
      <c r="L46" s="46" t="s">
        <v>626</v>
      </c>
      <c r="M46" s="46" t="s">
        <v>194</v>
      </c>
      <c r="N46" s="46" t="s">
        <v>626</v>
      </c>
      <c r="O46" s="46" t="s">
        <v>626</v>
      </c>
      <c r="P46" s="46" t="s">
        <v>626</v>
      </c>
      <c r="Q46" s="46" t="s">
        <v>4227</v>
      </c>
      <c r="R46" s="46" t="s">
        <v>194</v>
      </c>
      <c r="S46" s="46" t="s">
        <v>194</v>
      </c>
      <c r="T46" s="46"/>
      <c r="U46" s="46" t="s">
        <v>2890</v>
      </c>
      <c r="V46" s="46" t="s">
        <v>1064</v>
      </c>
      <c r="W46" s="46" t="s">
        <v>1064</v>
      </c>
      <c r="X46" s="46"/>
      <c r="Y46" s="46"/>
      <c r="Z46" s="46"/>
      <c r="AA46" s="46"/>
      <c r="AB46" s="46"/>
      <c r="AC46" s="46" t="s">
        <v>1064</v>
      </c>
      <c r="AD46" s="46"/>
      <c r="AE46" s="46"/>
      <c r="AF46" s="46"/>
      <c r="AG46" s="46"/>
      <c r="AH46" s="46"/>
      <c r="AI46" s="46"/>
      <c r="AJ46" s="46"/>
      <c r="AK46" s="46"/>
      <c r="AL46" s="46" t="s">
        <v>1064</v>
      </c>
      <c r="AM46" s="46"/>
      <c r="AN46" s="46"/>
      <c r="AO46" s="46"/>
      <c r="AP46" s="46" t="s">
        <v>1064</v>
      </c>
      <c r="AQ46" s="46"/>
      <c r="AR46" s="46"/>
      <c r="AS46" s="46" t="s">
        <v>584</v>
      </c>
      <c r="AT46" s="46" t="s">
        <v>2</v>
      </c>
      <c r="AU46" s="46" t="s">
        <v>4191</v>
      </c>
      <c r="AV46" s="46" t="s">
        <v>315</v>
      </c>
      <c r="AW46" s="46" t="s">
        <v>37</v>
      </c>
      <c r="AX46" s="46" t="s">
        <v>28</v>
      </c>
      <c r="AY46" s="46"/>
      <c r="AZ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</row>
    <row r="47" spans="1:75" ht="135" x14ac:dyDescent="0.25">
      <c r="A47" s="47" t="s">
        <v>318</v>
      </c>
      <c r="B47" s="45" t="s">
        <v>305</v>
      </c>
      <c r="C47" s="45" t="s">
        <v>319</v>
      </c>
      <c r="D47" s="46" t="s">
        <v>2005</v>
      </c>
      <c r="E47" s="25" t="s">
        <v>2</v>
      </c>
      <c r="F47" s="48" t="s">
        <v>36</v>
      </c>
      <c r="G47" s="62" t="s">
        <v>2006</v>
      </c>
      <c r="H47" s="63" t="s">
        <v>39</v>
      </c>
      <c r="I47" s="46" t="s">
        <v>4599</v>
      </c>
      <c r="J47" s="46" t="s">
        <v>1064</v>
      </c>
      <c r="K47" s="46" t="s">
        <v>626</v>
      </c>
      <c r="L47" s="46" t="s">
        <v>4191</v>
      </c>
      <c r="M47" s="46" t="s">
        <v>194</v>
      </c>
      <c r="N47" s="46" t="s">
        <v>626</v>
      </c>
      <c r="O47" s="46" t="s">
        <v>626</v>
      </c>
      <c r="P47" s="46" t="s">
        <v>626</v>
      </c>
      <c r="Q47" s="46" t="s">
        <v>4228</v>
      </c>
      <c r="R47" s="46" t="s">
        <v>4229</v>
      </c>
      <c r="S47" s="46" t="s">
        <v>4230</v>
      </c>
      <c r="T47" s="46"/>
      <c r="U47" s="46" t="s">
        <v>2890</v>
      </c>
      <c r="V47" s="46" t="s">
        <v>1064</v>
      </c>
      <c r="W47" s="46" t="s">
        <v>1064</v>
      </c>
      <c r="X47" s="46"/>
      <c r="Y47" s="46"/>
      <c r="Z47" s="46"/>
      <c r="AA47" s="46"/>
      <c r="AB47" s="46"/>
      <c r="AC47" s="46" t="s">
        <v>1064</v>
      </c>
      <c r="AD47" s="46"/>
      <c r="AE47" s="46"/>
      <c r="AF47" s="46"/>
      <c r="AG47" s="46"/>
      <c r="AH47" s="46"/>
      <c r="AI47" s="46"/>
      <c r="AJ47" s="46"/>
      <c r="AK47" s="46"/>
      <c r="AL47" s="46" t="s">
        <v>1064</v>
      </c>
      <c r="AM47" s="46"/>
      <c r="AN47" s="46"/>
      <c r="AO47" s="46"/>
      <c r="AP47" s="46" t="s">
        <v>1064</v>
      </c>
      <c r="AQ47" s="46"/>
      <c r="AR47" s="46"/>
      <c r="AS47" s="46" t="s">
        <v>586</v>
      </c>
      <c r="AT47" s="46" t="s">
        <v>2</v>
      </c>
      <c r="AU47" s="46" t="s">
        <v>4191</v>
      </c>
      <c r="AV47" s="46" t="s">
        <v>318</v>
      </c>
      <c r="AW47" s="46" t="s">
        <v>39</v>
      </c>
      <c r="AX47" s="46" t="s">
        <v>28</v>
      </c>
      <c r="AY47" s="46"/>
      <c r="AZ47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</row>
    <row r="48" spans="1:75" ht="150" x14ac:dyDescent="0.25">
      <c r="A48" s="47" t="s">
        <v>320</v>
      </c>
      <c r="B48" s="45" t="s">
        <v>305</v>
      </c>
      <c r="C48" s="45" t="s">
        <v>321</v>
      </c>
      <c r="D48" s="46" t="s">
        <v>2007</v>
      </c>
      <c r="E48" s="25" t="s">
        <v>2</v>
      </c>
      <c r="F48" s="48" t="s">
        <v>932</v>
      </c>
      <c r="G48" s="62" t="s">
        <v>2008</v>
      </c>
      <c r="H48" s="63" t="s">
        <v>41</v>
      </c>
      <c r="I48" s="46" t="s">
        <v>4600</v>
      </c>
      <c r="J48" s="46" t="s">
        <v>1064</v>
      </c>
      <c r="K48" s="46" t="s">
        <v>4191</v>
      </c>
      <c r="L48" s="46" t="s">
        <v>4191</v>
      </c>
      <c r="M48" s="46" t="s">
        <v>194</v>
      </c>
      <c r="N48" s="46" t="s">
        <v>626</v>
      </c>
      <c r="O48" s="46" t="s">
        <v>626</v>
      </c>
      <c r="P48" s="46" t="s">
        <v>626</v>
      </c>
      <c r="Q48" s="46" t="s">
        <v>4228</v>
      </c>
      <c r="R48" s="46" t="s">
        <v>4231</v>
      </c>
      <c r="S48" s="46" t="s">
        <v>4232</v>
      </c>
      <c r="T48" s="46"/>
      <c r="U48" s="46" t="s">
        <v>2890</v>
      </c>
      <c r="V48" s="46" t="s">
        <v>1064</v>
      </c>
      <c r="W48" s="46" t="s">
        <v>1064</v>
      </c>
      <c r="X48" s="46"/>
      <c r="Y48" s="46"/>
      <c r="Z48" s="46"/>
      <c r="AA48" s="46"/>
      <c r="AB48" s="46"/>
      <c r="AC48" s="46" t="s">
        <v>1064</v>
      </c>
      <c r="AD48" s="46"/>
      <c r="AE48" s="46"/>
      <c r="AF48" s="46"/>
      <c r="AG48" s="46"/>
      <c r="AH48" s="46"/>
      <c r="AI48" s="46"/>
      <c r="AJ48" s="46"/>
      <c r="AK48" s="46"/>
      <c r="AL48" s="46" t="s">
        <v>1064</v>
      </c>
      <c r="AM48" s="46"/>
      <c r="AN48" s="46"/>
      <c r="AO48" s="46"/>
      <c r="AP48" s="46" t="s">
        <v>1064</v>
      </c>
      <c r="AQ48" s="46"/>
      <c r="AR48" s="46"/>
      <c r="AS48" s="46" t="s">
        <v>583</v>
      </c>
      <c r="AT48" s="46" t="s">
        <v>2</v>
      </c>
      <c r="AU48" s="46" t="s">
        <v>4191</v>
      </c>
      <c r="AV48" s="46" t="s">
        <v>320</v>
      </c>
      <c r="AW48" s="46" t="s">
        <v>41</v>
      </c>
      <c r="AX48" s="46" t="s">
        <v>28</v>
      </c>
      <c r="AY48" s="46"/>
      <c r="AZ48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</row>
    <row r="49" spans="1:75" ht="165" x14ac:dyDescent="0.25">
      <c r="A49" s="47" t="s">
        <v>323</v>
      </c>
      <c r="B49" s="45" t="s">
        <v>305</v>
      </c>
      <c r="C49" s="45" t="s">
        <v>324</v>
      </c>
      <c r="D49" s="46" t="s">
        <v>325</v>
      </c>
      <c r="E49" s="25" t="s">
        <v>2</v>
      </c>
      <c r="F49" s="48" t="s">
        <v>549</v>
      </c>
      <c r="G49" s="62" t="s">
        <v>2009</v>
      </c>
      <c r="H49" s="63" t="s">
        <v>43</v>
      </c>
      <c r="I49" s="46" t="s">
        <v>4601</v>
      </c>
      <c r="J49" s="46" t="s">
        <v>1064</v>
      </c>
      <c r="K49" s="46" t="s">
        <v>626</v>
      </c>
      <c r="L49" s="46" t="s">
        <v>4191</v>
      </c>
      <c r="M49" s="46" t="s">
        <v>194</v>
      </c>
      <c r="N49" s="46" t="s">
        <v>4191</v>
      </c>
      <c r="O49" s="46" t="s">
        <v>626</v>
      </c>
      <c r="P49" s="46" t="s">
        <v>626</v>
      </c>
      <c r="Q49" s="46" t="s">
        <v>4233</v>
      </c>
      <c r="R49" s="46" t="s">
        <v>4234</v>
      </c>
      <c r="S49" s="46" t="s">
        <v>4235</v>
      </c>
      <c r="T49" s="46"/>
      <c r="U49" s="46" t="s">
        <v>2890</v>
      </c>
      <c r="V49" s="46" t="s">
        <v>1064</v>
      </c>
      <c r="W49" s="46" t="s">
        <v>1064</v>
      </c>
      <c r="X49" s="46"/>
      <c r="Y49" s="46"/>
      <c r="Z49" s="46"/>
      <c r="AA49" s="46"/>
      <c r="AB49" s="46"/>
      <c r="AC49" s="46" t="s">
        <v>1064</v>
      </c>
      <c r="AD49" s="46"/>
      <c r="AE49" s="46"/>
      <c r="AF49" s="46"/>
      <c r="AG49" s="46"/>
      <c r="AH49" s="46"/>
      <c r="AI49" s="46"/>
      <c r="AJ49" s="46"/>
      <c r="AK49" s="46"/>
      <c r="AL49" s="46" t="s">
        <v>1064</v>
      </c>
      <c r="AM49" s="46"/>
      <c r="AN49" s="46"/>
      <c r="AO49" s="46"/>
      <c r="AP49" s="46" t="s">
        <v>1064</v>
      </c>
      <c r="AQ49" s="46"/>
      <c r="AR49" s="46"/>
      <c r="AS49" s="46" t="s">
        <v>586</v>
      </c>
      <c r="AT49" s="46" t="s">
        <v>2</v>
      </c>
      <c r="AU49" s="46" t="s">
        <v>4191</v>
      </c>
      <c r="AV49" s="46" t="s">
        <v>323</v>
      </c>
      <c r="AW49" s="46" t="s">
        <v>43</v>
      </c>
      <c r="AX49" s="46" t="s">
        <v>28</v>
      </c>
      <c r="AY49" s="46"/>
      <c r="AZ49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</row>
    <row r="50" spans="1:75" ht="165" x14ac:dyDescent="0.25">
      <c r="A50" s="47" t="s">
        <v>326</v>
      </c>
      <c r="B50" s="45" t="s">
        <v>305</v>
      </c>
      <c r="C50" s="45" t="s">
        <v>327</v>
      </c>
      <c r="D50" s="46" t="s">
        <v>328</v>
      </c>
      <c r="E50" s="25" t="s">
        <v>2</v>
      </c>
      <c r="F50" s="48" t="s">
        <v>32</v>
      </c>
      <c r="G50" s="62" t="s">
        <v>2010</v>
      </c>
      <c r="H50" s="63" t="s">
        <v>45</v>
      </c>
      <c r="I50" s="46" t="s">
        <v>4602</v>
      </c>
      <c r="J50" s="46" t="s">
        <v>1064</v>
      </c>
      <c r="K50" s="46" t="s">
        <v>626</v>
      </c>
      <c r="L50" s="46" t="s">
        <v>4191</v>
      </c>
      <c r="M50" s="46" t="s">
        <v>194</v>
      </c>
      <c r="N50" s="46" t="s">
        <v>4191</v>
      </c>
      <c r="O50" s="46" t="s">
        <v>626</v>
      </c>
      <c r="P50" s="46" t="s">
        <v>626</v>
      </c>
      <c r="Q50" s="46" t="s">
        <v>4236</v>
      </c>
      <c r="R50" s="46" t="s">
        <v>4237</v>
      </c>
      <c r="S50" s="46" t="s">
        <v>4238</v>
      </c>
      <c r="T50" s="46"/>
      <c r="U50" s="46" t="s">
        <v>2890</v>
      </c>
      <c r="V50" s="46" t="s">
        <v>1064</v>
      </c>
      <c r="W50" s="46" t="s">
        <v>1064</v>
      </c>
      <c r="X50" s="46"/>
      <c r="Y50" s="46"/>
      <c r="Z50" s="46"/>
      <c r="AA50" s="46"/>
      <c r="AB50" s="46"/>
      <c r="AC50" s="46" t="s">
        <v>1064</v>
      </c>
      <c r="AD50" s="46"/>
      <c r="AE50" s="46"/>
      <c r="AF50" s="46"/>
      <c r="AG50" s="46"/>
      <c r="AH50" s="46"/>
      <c r="AI50" s="46"/>
      <c r="AJ50" s="46"/>
      <c r="AK50" s="46"/>
      <c r="AL50" s="46" t="s">
        <v>1064</v>
      </c>
      <c r="AM50" s="46"/>
      <c r="AN50" s="46"/>
      <c r="AO50" s="46"/>
      <c r="AP50" s="46" t="s">
        <v>1064</v>
      </c>
      <c r="AQ50" s="46"/>
      <c r="AR50" s="46"/>
      <c r="AS50" s="46" t="s">
        <v>583</v>
      </c>
      <c r="AT50" s="46" t="s">
        <v>2</v>
      </c>
      <c r="AU50" s="46" t="s">
        <v>4191</v>
      </c>
      <c r="AV50" s="46" t="s">
        <v>326</v>
      </c>
      <c r="AW50" s="46" t="s">
        <v>45</v>
      </c>
      <c r="AX50" s="46" t="s">
        <v>28</v>
      </c>
      <c r="AY50" s="46"/>
      <c r="AZ50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</row>
    <row r="51" spans="1:75" ht="165" x14ac:dyDescent="0.25">
      <c r="A51" s="47" t="s">
        <v>329</v>
      </c>
      <c r="B51" s="45" t="s">
        <v>305</v>
      </c>
      <c r="C51" s="45" t="s">
        <v>330</v>
      </c>
      <c r="D51" s="46" t="s">
        <v>331</v>
      </c>
      <c r="E51" s="25" t="s">
        <v>2</v>
      </c>
      <c r="F51" s="48" t="s">
        <v>32</v>
      </c>
      <c r="G51" s="62" t="s">
        <v>2011</v>
      </c>
      <c r="H51" s="63" t="s">
        <v>47</v>
      </c>
      <c r="I51" s="46" t="s">
        <v>4603</v>
      </c>
      <c r="J51" s="46" t="s">
        <v>1064</v>
      </c>
      <c r="K51" s="46" t="s">
        <v>626</v>
      </c>
      <c r="L51" s="46" t="s">
        <v>4191</v>
      </c>
      <c r="M51" s="46" t="s">
        <v>194</v>
      </c>
      <c r="N51" s="46" t="s">
        <v>4191</v>
      </c>
      <c r="O51" s="46" t="s">
        <v>626</v>
      </c>
      <c r="P51" s="46" t="s">
        <v>626</v>
      </c>
      <c r="Q51" s="46" t="s">
        <v>4239</v>
      </c>
      <c r="R51" s="46" t="s">
        <v>4240</v>
      </c>
      <c r="S51" s="46" t="s">
        <v>4241</v>
      </c>
      <c r="T51" s="46"/>
      <c r="U51" s="46" t="s">
        <v>2890</v>
      </c>
      <c r="V51" s="46" t="s">
        <v>1064</v>
      </c>
      <c r="W51" s="46" t="s">
        <v>1064</v>
      </c>
      <c r="X51" s="46"/>
      <c r="Y51" s="46"/>
      <c r="Z51" s="46"/>
      <c r="AA51" s="46"/>
      <c r="AB51" s="46"/>
      <c r="AC51" s="46" t="s">
        <v>1064</v>
      </c>
      <c r="AD51" s="46"/>
      <c r="AE51" s="46"/>
      <c r="AF51" s="46"/>
      <c r="AG51" s="46"/>
      <c r="AH51" s="46"/>
      <c r="AI51" s="46"/>
      <c r="AJ51" s="46"/>
      <c r="AK51" s="46"/>
      <c r="AL51" s="46" t="s">
        <v>1064</v>
      </c>
      <c r="AM51" s="46"/>
      <c r="AN51" s="46"/>
      <c r="AO51" s="46"/>
      <c r="AP51" s="46" t="s">
        <v>1064</v>
      </c>
      <c r="AQ51" s="46"/>
      <c r="AR51" s="46"/>
      <c r="AS51" s="46" t="s">
        <v>583</v>
      </c>
      <c r="AT51" s="46" t="s">
        <v>2</v>
      </c>
      <c r="AU51" s="46" t="s">
        <v>4191</v>
      </c>
      <c r="AV51" s="46" t="s">
        <v>329</v>
      </c>
      <c r="AW51" s="46" t="s">
        <v>47</v>
      </c>
      <c r="AX51" s="46" t="s">
        <v>28</v>
      </c>
      <c r="AY51" s="46"/>
      <c r="AZ51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</row>
    <row r="52" spans="1:75" ht="75" x14ac:dyDescent="0.25">
      <c r="A52" s="47" t="s">
        <v>340</v>
      </c>
      <c r="B52" s="45" t="s">
        <v>305</v>
      </c>
      <c r="C52" s="45" t="s">
        <v>332</v>
      </c>
      <c r="D52" s="46" t="s">
        <v>333</v>
      </c>
      <c r="E52" s="25" t="s">
        <v>2</v>
      </c>
      <c r="F52" s="48" t="s">
        <v>308</v>
      </c>
      <c r="G52" s="62" t="s">
        <v>2012</v>
      </c>
      <c r="H52" s="63" t="s">
        <v>78</v>
      </c>
      <c r="I52" s="46" t="s">
        <v>194</v>
      </c>
      <c r="J52" s="46" t="s">
        <v>1064</v>
      </c>
      <c r="K52" s="46" t="s">
        <v>626</v>
      </c>
      <c r="L52" s="46" t="s">
        <v>626</v>
      </c>
      <c r="M52" s="46" t="s">
        <v>4242</v>
      </c>
      <c r="N52" s="46" t="s">
        <v>4191</v>
      </c>
      <c r="O52" s="46" t="s">
        <v>626</v>
      </c>
      <c r="P52" s="46" t="s">
        <v>626</v>
      </c>
      <c r="Q52" s="46" t="s">
        <v>4243</v>
      </c>
      <c r="R52" s="46" t="s">
        <v>194</v>
      </c>
      <c r="S52" s="46" t="s">
        <v>194</v>
      </c>
      <c r="T52" s="46"/>
      <c r="U52" s="46" t="s">
        <v>2890</v>
      </c>
      <c r="V52" s="46" t="s">
        <v>1064</v>
      </c>
      <c r="W52" s="46" t="s">
        <v>1064</v>
      </c>
      <c r="X52" s="46"/>
      <c r="Y52" s="46"/>
      <c r="Z52" s="46"/>
      <c r="AA52" s="46"/>
      <c r="AB52" s="46"/>
      <c r="AC52" s="46" t="s">
        <v>1064</v>
      </c>
      <c r="AD52" s="46"/>
      <c r="AE52" s="46"/>
      <c r="AF52" s="46"/>
      <c r="AG52" s="46"/>
      <c r="AH52" s="46"/>
      <c r="AI52" s="46"/>
      <c r="AJ52" s="46"/>
      <c r="AK52" s="46"/>
      <c r="AL52" s="46" t="s">
        <v>1064</v>
      </c>
      <c r="AM52" s="46"/>
      <c r="AN52" s="46"/>
      <c r="AO52" s="46"/>
      <c r="AP52" s="46" t="s">
        <v>1064</v>
      </c>
      <c r="AQ52" s="46"/>
      <c r="AR52" s="46"/>
      <c r="AS52" s="46" t="s">
        <v>584</v>
      </c>
      <c r="AT52" s="46" t="s">
        <v>314</v>
      </c>
      <c r="AU52" s="46" t="s">
        <v>4191</v>
      </c>
      <c r="AV52" s="46" t="s">
        <v>340</v>
      </c>
      <c r="AW52" s="46" t="s">
        <v>78</v>
      </c>
      <c r="AX52" s="46" t="s">
        <v>28</v>
      </c>
      <c r="AY52" s="46"/>
      <c r="AZ52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</row>
    <row r="53" spans="1:75" ht="75" x14ac:dyDescent="0.25">
      <c r="A53" s="47" t="s">
        <v>341</v>
      </c>
      <c r="B53" s="45" t="s">
        <v>305</v>
      </c>
      <c r="C53" s="45" t="s">
        <v>334</v>
      </c>
      <c r="D53" s="46" t="s">
        <v>335</v>
      </c>
      <c r="E53" s="25" t="s">
        <v>2</v>
      </c>
      <c r="F53" s="48" t="s">
        <v>32</v>
      </c>
      <c r="G53" s="62" t="s">
        <v>2013</v>
      </c>
      <c r="H53" s="63"/>
      <c r="I53" s="46" t="s">
        <v>194</v>
      </c>
      <c r="J53" s="46" t="s">
        <v>1064</v>
      </c>
      <c r="K53" s="46" t="s">
        <v>626</v>
      </c>
      <c r="L53" s="46" t="s">
        <v>626</v>
      </c>
      <c r="M53" s="46" t="s">
        <v>4244</v>
      </c>
      <c r="N53" s="46" t="s">
        <v>4191</v>
      </c>
      <c r="O53" s="46" t="s">
        <v>626</v>
      </c>
      <c r="P53" s="46" t="s">
        <v>626</v>
      </c>
      <c r="Q53" s="46" t="s">
        <v>4245</v>
      </c>
      <c r="R53" s="46" t="s">
        <v>194</v>
      </c>
      <c r="S53" s="46" t="s">
        <v>194</v>
      </c>
      <c r="T53" s="46"/>
      <c r="U53" s="46" t="s">
        <v>2890</v>
      </c>
      <c r="V53" s="46" t="s">
        <v>1064</v>
      </c>
      <c r="W53" s="46" t="s">
        <v>1064</v>
      </c>
      <c r="X53" s="46"/>
      <c r="Y53" s="46"/>
      <c r="Z53" s="46"/>
      <c r="AA53" s="46"/>
      <c r="AB53" s="46"/>
      <c r="AC53" s="46" t="s">
        <v>1064</v>
      </c>
      <c r="AD53" s="46"/>
      <c r="AE53" s="46"/>
      <c r="AF53" s="46"/>
      <c r="AG53" s="46"/>
      <c r="AH53" s="46"/>
      <c r="AI53" s="46"/>
      <c r="AJ53" s="46"/>
      <c r="AK53" s="46"/>
      <c r="AL53" s="46" t="s">
        <v>1064</v>
      </c>
      <c r="AM53" s="46"/>
      <c r="AN53" s="46"/>
      <c r="AO53" s="46"/>
      <c r="AP53" s="46" t="s">
        <v>1064</v>
      </c>
      <c r="AQ53" s="46"/>
      <c r="AR53" s="46"/>
      <c r="AS53" s="46" t="s">
        <v>584</v>
      </c>
      <c r="AT53" s="46" t="s">
        <v>308</v>
      </c>
      <c r="AU53" s="46" t="s">
        <v>4191</v>
      </c>
      <c r="AV53" s="46" t="s">
        <v>341</v>
      </c>
      <c r="AW53" s="46"/>
      <c r="AX53" s="46"/>
      <c r="AY53" s="46"/>
      <c r="AZ53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</row>
    <row r="54" spans="1:75" ht="75" x14ac:dyDescent="0.25">
      <c r="A54" s="47" t="s">
        <v>342</v>
      </c>
      <c r="B54" s="45" t="s">
        <v>305</v>
      </c>
      <c r="C54" s="45" t="s">
        <v>336</v>
      </c>
      <c r="D54" s="46" t="s">
        <v>337</v>
      </c>
      <c r="E54" s="25" t="s">
        <v>2</v>
      </c>
      <c r="F54" s="48" t="s">
        <v>314</v>
      </c>
      <c r="G54" s="62" t="s">
        <v>2014</v>
      </c>
      <c r="H54" s="63" t="s">
        <v>78</v>
      </c>
      <c r="I54" s="46" t="s">
        <v>194</v>
      </c>
      <c r="J54" s="46" t="s">
        <v>1064</v>
      </c>
      <c r="K54" s="46" t="s">
        <v>626</v>
      </c>
      <c r="L54" s="46" t="s">
        <v>626</v>
      </c>
      <c r="M54" s="46" t="s">
        <v>4246</v>
      </c>
      <c r="N54" s="46" t="s">
        <v>4191</v>
      </c>
      <c r="O54" s="46" t="s">
        <v>626</v>
      </c>
      <c r="P54" s="46" t="s">
        <v>626</v>
      </c>
      <c r="Q54" s="46" t="s">
        <v>4245</v>
      </c>
      <c r="R54" s="46" t="s">
        <v>194</v>
      </c>
      <c r="S54" s="46" t="s">
        <v>194</v>
      </c>
      <c r="T54" s="46"/>
      <c r="U54" s="46" t="s">
        <v>2890</v>
      </c>
      <c r="V54" s="46" t="s">
        <v>1064</v>
      </c>
      <c r="W54" s="46" t="s">
        <v>1064</v>
      </c>
      <c r="X54" s="46"/>
      <c r="Y54" s="46"/>
      <c r="Z54" s="46"/>
      <c r="AA54" s="46"/>
      <c r="AB54" s="46"/>
      <c r="AC54" s="46" t="s">
        <v>1064</v>
      </c>
      <c r="AD54" s="46"/>
      <c r="AE54" s="46"/>
      <c r="AF54" s="46"/>
      <c r="AG54" s="46"/>
      <c r="AH54" s="46"/>
      <c r="AI54" s="46"/>
      <c r="AJ54" s="46"/>
      <c r="AK54" s="46"/>
      <c r="AL54" s="46" t="s">
        <v>1064</v>
      </c>
      <c r="AM54" s="46"/>
      <c r="AN54" s="46"/>
      <c r="AO54" s="46"/>
      <c r="AP54" s="46" t="s">
        <v>1064</v>
      </c>
      <c r="AQ54" s="46"/>
      <c r="AR54" s="46"/>
      <c r="AS54" s="46" t="s">
        <v>586</v>
      </c>
      <c r="AT54" s="46" t="s">
        <v>308</v>
      </c>
      <c r="AU54" s="46" t="s">
        <v>4191</v>
      </c>
      <c r="AV54" s="46" t="s">
        <v>342</v>
      </c>
      <c r="AW54" s="46" t="s">
        <v>78</v>
      </c>
      <c r="AX54" s="46" t="s">
        <v>28</v>
      </c>
      <c r="AY54" s="46"/>
      <c r="AZ54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</row>
    <row r="55" spans="1:75" ht="150" x14ac:dyDescent="0.25">
      <c r="A55" s="47" t="s">
        <v>343</v>
      </c>
      <c r="B55" s="45" t="s">
        <v>305</v>
      </c>
      <c r="C55" s="45" t="s">
        <v>338</v>
      </c>
      <c r="D55" s="46" t="s">
        <v>339</v>
      </c>
      <c r="E55" s="25" t="s">
        <v>2</v>
      </c>
      <c r="F55" s="48" t="s">
        <v>836</v>
      </c>
      <c r="G55" s="62" t="s">
        <v>2015</v>
      </c>
      <c r="H55" s="63" t="s">
        <v>78</v>
      </c>
      <c r="I55" s="46" t="s">
        <v>4604</v>
      </c>
      <c r="J55" s="46" t="s">
        <v>1064</v>
      </c>
      <c r="K55" s="46" t="s">
        <v>4191</v>
      </c>
      <c r="L55" s="46" t="s">
        <v>4191</v>
      </c>
      <c r="M55" s="46" t="s">
        <v>4247</v>
      </c>
      <c r="N55" s="46" t="s">
        <v>4191</v>
      </c>
      <c r="O55" s="46" t="s">
        <v>626</v>
      </c>
      <c r="P55" s="46" t="s">
        <v>626</v>
      </c>
      <c r="Q55" s="46" t="s">
        <v>4248</v>
      </c>
      <c r="R55" s="46" t="s">
        <v>4249</v>
      </c>
      <c r="S55" s="46" t="s">
        <v>4250</v>
      </c>
      <c r="T55" s="46"/>
      <c r="U55" s="46" t="s">
        <v>2890</v>
      </c>
      <c r="V55" s="46" t="s">
        <v>1064</v>
      </c>
      <c r="W55" s="46" t="s">
        <v>1064</v>
      </c>
      <c r="X55" s="46"/>
      <c r="Y55" s="46"/>
      <c r="Z55" s="46"/>
      <c r="AA55" s="46"/>
      <c r="AB55" s="46"/>
      <c r="AC55" s="46" t="s">
        <v>1064</v>
      </c>
      <c r="AD55" s="46"/>
      <c r="AE55" s="46"/>
      <c r="AF55" s="46"/>
      <c r="AG55" s="46"/>
      <c r="AH55" s="46"/>
      <c r="AI55" s="46"/>
      <c r="AJ55" s="46"/>
      <c r="AK55" s="46"/>
      <c r="AL55" s="46" t="s">
        <v>1064</v>
      </c>
      <c r="AM55" s="46"/>
      <c r="AN55" s="46"/>
      <c r="AO55" s="46"/>
      <c r="AP55" s="46" t="s">
        <v>1064</v>
      </c>
      <c r="AQ55" s="46"/>
      <c r="AR55" s="46"/>
      <c r="AS55" s="46" t="s">
        <v>583</v>
      </c>
      <c r="AT55" s="46" t="s">
        <v>2</v>
      </c>
      <c r="AU55" s="46" t="s">
        <v>4191</v>
      </c>
      <c r="AV55" s="46" t="s">
        <v>343</v>
      </c>
      <c r="AW55" s="46" t="s">
        <v>78</v>
      </c>
      <c r="AX55" s="46" t="s">
        <v>28</v>
      </c>
      <c r="AY55" s="46"/>
      <c r="AZ55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</row>
    <row r="56" spans="1:75" ht="45" x14ac:dyDescent="0.25">
      <c r="A56" s="47" t="s">
        <v>529</v>
      </c>
      <c r="B56" s="45" t="s">
        <v>530</v>
      </c>
      <c r="C56" s="45" t="s">
        <v>531</v>
      </c>
      <c r="D56" s="46" t="s">
        <v>532</v>
      </c>
      <c r="E56" s="25" t="s">
        <v>308</v>
      </c>
      <c r="F56" s="48" t="s">
        <v>2</v>
      </c>
      <c r="G56" s="62" t="s">
        <v>533</v>
      </c>
      <c r="H56" s="63" t="s">
        <v>114</v>
      </c>
      <c r="I56" s="46" t="s">
        <v>194</v>
      </c>
      <c r="J56" s="46" t="s">
        <v>1064</v>
      </c>
      <c r="K56" s="46" t="s">
        <v>626</v>
      </c>
      <c r="L56" s="46" t="s">
        <v>626</v>
      </c>
      <c r="M56" s="46" t="s">
        <v>194</v>
      </c>
      <c r="N56" s="46" t="s">
        <v>626</v>
      </c>
      <c r="O56" s="46" t="s">
        <v>626</v>
      </c>
      <c r="P56" s="46" t="s">
        <v>4191</v>
      </c>
      <c r="Q56" s="46" t="s">
        <v>194</v>
      </c>
      <c r="R56" s="46" t="s">
        <v>194</v>
      </c>
      <c r="S56" s="46" t="s">
        <v>194</v>
      </c>
      <c r="T56" s="46"/>
      <c r="U56" s="46" t="s">
        <v>1064</v>
      </c>
      <c r="V56" s="46" t="s">
        <v>1064</v>
      </c>
      <c r="W56" s="46" t="s">
        <v>1064</v>
      </c>
      <c r="X56" s="46"/>
      <c r="Y56" s="46"/>
      <c r="Z56" s="46"/>
      <c r="AA56" s="46"/>
      <c r="AB56" s="46"/>
      <c r="AC56" s="46" t="s">
        <v>1064</v>
      </c>
      <c r="AD56" s="46"/>
      <c r="AE56" s="46"/>
      <c r="AF56" s="46"/>
      <c r="AG56" s="46"/>
      <c r="AH56" s="46"/>
      <c r="AI56" s="46"/>
      <c r="AJ56" s="46"/>
      <c r="AK56" s="46"/>
      <c r="AL56" s="46" t="s">
        <v>1064</v>
      </c>
      <c r="AM56" s="46"/>
      <c r="AN56" s="46"/>
      <c r="AO56" s="46"/>
      <c r="AP56" s="46" t="s">
        <v>1064</v>
      </c>
      <c r="AQ56" s="46"/>
      <c r="AR56" s="46"/>
      <c r="AS56" s="46"/>
      <c r="AT56" s="46"/>
      <c r="AU56" s="46"/>
      <c r="AV56" s="46"/>
      <c r="AW56" s="46" t="s">
        <v>114</v>
      </c>
      <c r="AX56" s="46" t="s">
        <v>34</v>
      </c>
      <c r="AY56" s="46"/>
      <c r="AZ5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</row>
    <row r="57" spans="1:75" ht="45" x14ac:dyDescent="0.25">
      <c r="A57" s="47" t="s">
        <v>534</v>
      </c>
      <c r="B57" s="45" t="s">
        <v>530</v>
      </c>
      <c r="C57" s="45" t="s">
        <v>531</v>
      </c>
      <c r="D57" s="46" t="s">
        <v>532</v>
      </c>
      <c r="E57" s="25" t="s">
        <v>308</v>
      </c>
      <c r="F57" s="48" t="s">
        <v>308</v>
      </c>
      <c r="G57" s="62" t="s">
        <v>533</v>
      </c>
      <c r="H57" s="63" t="s">
        <v>114</v>
      </c>
      <c r="I57" s="46" t="s">
        <v>194</v>
      </c>
      <c r="J57" s="46" t="s">
        <v>1064</v>
      </c>
      <c r="K57" s="46" t="s">
        <v>626</v>
      </c>
      <c r="L57" s="46" t="s">
        <v>626</v>
      </c>
      <c r="M57" s="46" t="s">
        <v>194</v>
      </c>
      <c r="N57" s="46" t="s">
        <v>626</v>
      </c>
      <c r="O57" s="46" t="s">
        <v>626</v>
      </c>
      <c r="P57" s="46" t="s">
        <v>4191</v>
      </c>
      <c r="Q57" s="46" t="s">
        <v>194</v>
      </c>
      <c r="R57" s="46" t="s">
        <v>194</v>
      </c>
      <c r="S57" s="46" t="s">
        <v>194</v>
      </c>
      <c r="T57" s="46"/>
      <c r="U57" s="46" t="s">
        <v>1064</v>
      </c>
      <c r="V57" s="46" t="s">
        <v>1064</v>
      </c>
      <c r="W57" s="46" t="s">
        <v>1064</v>
      </c>
      <c r="X57" s="46"/>
      <c r="Y57" s="46"/>
      <c r="Z57" s="46"/>
      <c r="AA57" s="46"/>
      <c r="AB57" s="46"/>
      <c r="AC57" s="46" t="s">
        <v>1064</v>
      </c>
      <c r="AD57" s="46"/>
      <c r="AE57" s="46"/>
      <c r="AF57" s="46"/>
      <c r="AG57" s="46"/>
      <c r="AH57" s="46"/>
      <c r="AI57" s="46"/>
      <c r="AJ57" s="46"/>
      <c r="AK57" s="46"/>
      <c r="AL57" s="46" t="s">
        <v>1064</v>
      </c>
      <c r="AM57" s="46"/>
      <c r="AN57" s="46"/>
      <c r="AO57" s="46"/>
      <c r="AP57" s="46" t="s">
        <v>1064</v>
      </c>
      <c r="AQ57" s="46"/>
      <c r="AR57" s="46"/>
      <c r="AS57" s="46"/>
      <c r="AT57" s="46"/>
      <c r="AU57" s="46"/>
      <c r="AV57" s="46"/>
      <c r="AW57" s="46" t="s">
        <v>114</v>
      </c>
      <c r="AX57" s="46" t="s">
        <v>34</v>
      </c>
      <c r="AY57" s="46"/>
      <c r="AZ57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</row>
    <row r="58" spans="1:75" ht="75" x14ac:dyDescent="0.25">
      <c r="A58" s="47" t="s">
        <v>344</v>
      </c>
      <c r="B58" s="45" t="s">
        <v>305</v>
      </c>
      <c r="C58" s="45" t="s">
        <v>345</v>
      </c>
      <c r="D58" s="46" t="s">
        <v>346</v>
      </c>
      <c r="E58" s="25" t="s">
        <v>2</v>
      </c>
      <c r="F58" s="48" t="s">
        <v>32</v>
      </c>
      <c r="G58" s="62" t="s">
        <v>2016</v>
      </c>
      <c r="H58" s="63"/>
      <c r="I58" s="46" t="s">
        <v>194</v>
      </c>
      <c r="J58" s="46" t="s">
        <v>1064</v>
      </c>
      <c r="K58" s="46" t="s">
        <v>626</v>
      </c>
      <c r="L58" s="46" t="s">
        <v>626</v>
      </c>
      <c r="M58" s="46" t="s">
        <v>4251</v>
      </c>
      <c r="N58" s="46" t="s">
        <v>4191</v>
      </c>
      <c r="O58" s="46" t="s">
        <v>626</v>
      </c>
      <c r="P58" s="46" t="s">
        <v>626</v>
      </c>
      <c r="Q58" s="46" t="s">
        <v>194</v>
      </c>
      <c r="R58" s="46" t="s">
        <v>194</v>
      </c>
      <c r="S58" s="46" t="s">
        <v>194</v>
      </c>
      <c r="T58" s="46"/>
      <c r="U58" s="46" t="s">
        <v>2890</v>
      </c>
      <c r="V58" s="46" t="s">
        <v>1064</v>
      </c>
      <c r="W58" s="46" t="s">
        <v>1064</v>
      </c>
      <c r="X58" s="46"/>
      <c r="Y58" s="46"/>
      <c r="Z58" s="46"/>
      <c r="AA58" s="46"/>
      <c r="AB58" s="46"/>
      <c r="AC58" s="46" t="s">
        <v>1064</v>
      </c>
      <c r="AD58" s="46"/>
      <c r="AE58" s="46"/>
      <c r="AF58" s="46"/>
      <c r="AG58" s="46"/>
      <c r="AH58" s="46"/>
      <c r="AI58" s="46"/>
      <c r="AJ58" s="46"/>
      <c r="AK58" s="46"/>
      <c r="AL58" s="46" t="s">
        <v>1064</v>
      </c>
      <c r="AM58" s="46"/>
      <c r="AN58" s="46"/>
      <c r="AO58" s="46"/>
      <c r="AP58" s="46" t="s">
        <v>1064</v>
      </c>
      <c r="AQ58" s="46"/>
      <c r="AR58" s="46"/>
      <c r="AS58" s="46" t="s">
        <v>584</v>
      </c>
      <c r="AT58" s="46" t="s">
        <v>314</v>
      </c>
      <c r="AU58" s="46" t="s">
        <v>4191</v>
      </c>
      <c r="AV58" s="46" t="s">
        <v>344</v>
      </c>
      <c r="AW58" s="46"/>
      <c r="AX58" s="46"/>
      <c r="AY58" s="46"/>
      <c r="AZ58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</row>
    <row r="59" spans="1:75" ht="75" x14ac:dyDescent="0.25">
      <c r="A59" s="47" t="s">
        <v>347</v>
      </c>
      <c r="B59" s="45" t="s">
        <v>305</v>
      </c>
      <c r="C59" s="45" t="s">
        <v>348</v>
      </c>
      <c r="D59" s="46" t="s">
        <v>349</v>
      </c>
      <c r="E59" s="25" t="s">
        <v>2</v>
      </c>
      <c r="F59" s="48" t="s">
        <v>32</v>
      </c>
      <c r="G59" s="62" t="s">
        <v>2017</v>
      </c>
      <c r="H59" s="63"/>
      <c r="I59" s="46" t="s">
        <v>194</v>
      </c>
      <c r="J59" s="46" t="s">
        <v>1064</v>
      </c>
      <c r="K59" s="46" t="s">
        <v>626</v>
      </c>
      <c r="L59" s="46" t="s">
        <v>626</v>
      </c>
      <c r="M59" s="46" t="s">
        <v>4252</v>
      </c>
      <c r="N59" s="46" t="s">
        <v>4191</v>
      </c>
      <c r="O59" s="46" t="s">
        <v>626</v>
      </c>
      <c r="P59" s="46" t="s">
        <v>626</v>
      </c>
      <c r="Q59" s="46" t="s">
        <v>194</v>
      </c>
      <c r="R59" s="46" t="s">
        <v>194</v>
      </c>
      <c r="S59" s="46" t="s">
        <v>194</v>
      </c>
      <c r="T59" s="46"/>
      <c r="U59" s="46" t="s">
        <v>2890</v>
      </c>
      <c r="V59" s="46" t="s">
        <v>1064</v>
      </c>
      <c r="W59" s="46" t="s">
        <v>1064</v>
      </c>
      <c r="X59" s="46"/>
      <c r="Y59" s="46"/>
      <c r="Z59" s="46"/>
      <c r="AA59" s="46"/>
      <c r="AB59" s="46"/>
      <c r="AC59" s="46" t="s">
        <v>1064</v>
      </c>
      <c r="AD59" s="46"/>
      <c r="AE59" s="46"/>
      <c r="AF59" s="46"/>
      <c r="AG59" s="46"/>
      <c r="AH59" s="46"/>
      <c r="AI59" s="46"/>
      <c r="AJ59" s="46"/>
      <c r="AK59" s="46"/>
      <c r="AL59" s="46" t="s">
        <v>1064</v>
      </c>
      <c r="AM59" s="46"/>
      <c r="AN59" s="46"/>
      <c r="AO59" s="46"/>
      <c r="AP59" s="46" t="s">
        <v>1064</v>
      </c>
      <c r="AQ59" s="46"/>
      <c r="AR59" s="46"/>
      <c r="AS59" s="46" t="s">
        <v>584</v>
      </c>
      <c r="AT59" s="46" t="s">
        <v>308</v>
      </c>
      <c r="AU59" s="46" t="s">
        <v>4191</v>
      </c>
      <c r="AV59" s="46" t="s">
        <v>347</v>
      </c>
      <c r="AW59" s="46"/>
      <c r="AX59" s="46"/>
      <c r="AY59" s="46"/>
      <c r="AZ59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</row>
    <row r="60" spans="1:75" ht="150" x14ac:dyDescent="0.25">
      <c r="A60" s="47" t="s">
        <v>350</v>
      </c>
      <c r="B60" s="45" t="s">
        <v>305</v>
      </c>
      <c r="C60" s="45" t="s">
        <v>351</v>
      </c>
      <c r="D60" s="46" t="s">
        <v>352</v>
      </c>
      <c r="E60" s="25" t="s">
        <v>2</v>
      </c>
      <c r="F60" s="48" t="s">
        <v>549</v>
      </c>
      <c r="G60" s="62" t="s">
        <v>2018</v>
      </c>
      <c r="H60" s="63" t="s">
        <v>53</v>
      </c>
      <c r="I60" s="46" t="s">
        <v>4253</v>
      </c>
      <c r="J60" s="46" t="s">
        <v>1064</v>
      </c>
      <c r="K60" s="46" t="s">
        <v>626</v>
      </c>
      <c r="L60" s="46" t="s">
        <v>4191</v>
      </c>
      <c r="M60" s="46" t="s">
        <v>4254</v>
      </c>
      <c r="N60" s="46" t="s">
        <v>4191</v>
      </c>
      <c r="O60" s="46" t="s">
        <v>626</v>
      </c>
      <c r="P60" s="46" t="s">
        <v>626</v>
      </c>
      <c r="Q60" s="46" t="s">
        <v>194</v>
      </c>
      <c r="R60" s="46" t="s">
        <v>4255</v>
      </c>
      <c r="S60" s="46" t="s">
        <v>4256</v>
      </c>
      <c r="T60" s="46"/>
      <c r="U60" s="46" t="s">
        <v>2890</v>
      </c>
      <c r="V60" s="46" t="s">
        <v>1064</v>
      </c>
      <c r="W60" s="46" t="s">
        <v>1064</v>
      </c>
      <c r="X60" s="46"/>
      <c r="Y60" s="46"/>
      <c r="Z60" s="46"/>
      <c r="AA60" s="46"/>
      <c r="AB60" s="46"/>
      <c r="AC60" s="46" t="s">
        <v>1064</v>
      </c>
      <c r="AD60" s="46"/>
      <c r="AE60" s="46"/>
      <c r="AF60" s="46"/>
      <c r="AG60" s="46"/>
      <c r="AH60" s="46"/>
      <c r="AI60" s="46"/>
      <c r="AJ60" s="46"/>
      <c r="AK60" s="46"/>
      <c r="AL60" s="46" t="s">
        <v>1064</v>
      </c>
      <c r="AM60" s="46"/>
      <c r="AN60" s="46"/>
      <c r="AO60" s="46"/>
      <c r="AP60" s="46" t="s">
        <v>1064</v>
      </c>
      <c r="AQ60" s="46"/>
      <c r="AR60" s="46"/>
      <c r="AS60" s="46" t="s">
        <v>586</v>
      </c>
      <c r="AT60" s="46" t="s">
        <v>308</v>
      </c>
      <c r="AU60" s="46" t="s">
        <v>4191</v>
      </c>
      <c r="AV60" s="46" t="s">
        <v>350</v>
      </c>
      <c r="AW60" s="46" t="s">
        <v>53</v>
      </c>
      <c r="AX60" s="46" t="s">
        <v>28</v>
      </c>
      <c r="AY60" s="46"/>
      <c r="AZ60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</row>
    <row r="61" spans="1:75" ht="150" x14ac:dyDescent="0.25">
      <c r="A61" s="47" t="s">
        <v>356</v>
      </c>
      <c r="B61" s="45" t="s">
        <v>305</v>
      </c>
      <c r="C61" s="45" t="s">
        <v>351</v>
      </c>
      <c r="D61" s="46" t="s">
        <v>352</v>
      </c>
      <c r="E61" s="25" t="s">
        <v>2</v>
      </c>
      <c r="F61" s="48" t="s">
        <v>32</v>
      </c>
      <c r="G61" s="62" t="s">
        <v>2019</v>
      </c>
      <c r="H61" s="63"/>
      <c r="I61" s="46" t="s">
        <v>4253</v>
      </c>
      <c r="J61" s="46" t="s">
        <v>1064</v>
      </c>
      <c r="K61" s="46" t="s">
        <v>626</v>
      </c>
      <c r="L61" s="46" t="s">
        <v>4191</v>
      </c>
      <c r="M61" s="46" t="s">
        <v>4254</v>
      </c>
      <c r="N61" s="46" t="s">
        <v>4191</v>
      </c>
      <c r="O61" s="46" t="s">
        <v>626</v>
      </c>
      <c r="P61" s="46" t="s">
        <v>626</v>
      </c>
      <c r="Q61" s="46" t="s">
        <v>194</v>
      </c>
      <c r="R61" s="46" t="s">
        <v>4255</v>
      </c>
      <c r="S61" s="46" t="s">
        <v>4256</v>
      </c>
      <c r="T61" s="46"/>
      <c r="U61" s="46" t="s">
        <v>2890</v>
      </c>
      <c r="V61" s="46" t="s">
        <v>1064</v>
      </c>
      <c r="W61" s="46" t="s">
        <v>1064</v>
      </c>
      <c r="X61" s="46"/>
      <c r="Y61" s="46"/>
      <c r="Z61" s="46"/>
      <c r="AA61" s="46"/>
      <c r="AB61" s="46"/>
      <c r="AC61" s="46" t="s">
        <v>1064</v>
      </c>
      <c r="AD61" s="46"/>
      <c r="AE61" s="46"/>
      <c r="AF61" s="46"/>
      <c r="AG61" s="46"/>
      <c r="AH61" s="46"/>
      <c r="AI61" s="46"/>
      <c r="AJ61" s="46"/>
      <c r="AK61" s="46"/>
      <c r="AL61" s="46" t="s">
        <v>1064</v>
      </c>
      <c r="AM61" s="46"/>
      <c r="AN61" s="46"/>
      <c r="AO61" s="46"/>
      <c r="AP61" s="46" t="s">
        <v>1064</v>
      </c>
      <c r="AQ61" s="46"/>
      <c r="AR61" s="46"/>
      <c r="AS61" s="46" t="s">
        <v>586</v>
      </c>
      <c r="AT61" s="46" t="s">
        <v>308</v>
      </c>
      <c r="AU61" s="46" t="s">
        <v>4191</v>
      </c>
      <c r="AV61" s="46" t="s">
        <v>356</v>
      </c>
      <c r="AW61" s="46"/>
      <c r="AX61" s="46"/>
      <c r="AY61" s="46"/>
      <c r="AZ61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</row>
    <row r="62" spans="1:75" ht="75" x14ac:dyDescent="0.25">
      <c r="A62" s="47" t="s">
        <v>353</v>
      </c>
      <c r="B62" s="45" t="s">
        <v>305</v>
      </c>
      <c r="C62" s="45" t="s">
        <v>354</v>
      </c>
      <c r="D62" s="46" t="s">
        <v>355</v>
      </c>
      <c r="E62" s="25" t="s">
        <v>2</v>
      </c>
      <c r="F62" s="48" t="s">
        <v>836</v>
      </c>
      <c r="G62" s="62" t="s">
        <v>2020</v>
      </c>
      <c r="H62" s="63" t="s">
        <v>53</v>
      </c>
      <c r="I62" s="46" t="s">
        <v>194</v>
      </c>
      <c r="J62" s="46" t="s">
        <v>1064</v>
      </c>
      <c r="K62" s="46" t="s">
        <v>626</v>
      </c>
      <c r="L62" s="46" t="s">
        <v>626</v>
      </c>
      <c r="M62" s="46" t="s">
        <v>4257</v>
      </c>
      <c r="N62" s="46" t="s">
        <v>4191</v>
      </c>
      <c r="O62" s="46" t="s">
        <v>626</v>
      </c>
      <c r="P62" s="46" t="s">
        <v>626</v>
      </c>
      <c r="Q62" s="46" t="s">
        <v>194</v>
      </c>
      <c r="R62" s="46" t="s">
        <v>194</v>
      </c>
      <c r="S62" s="46" t="s">
        <v>194</v>
      </c>
      <c r="T62" s="46"/>
      <c r="U62" s="46" t="s">
        <v>2890</v>
      </c>
      <c r="V62" s="46" t="s">
        <v>1064</v>
      </c>
      <c r="W62" s="46" t="s">
        <v>1064</v>
      </c>
      <c r="X62" s="46"/>
      <c r="Y62" s="46"/>
      <c r="Z62" s="46"/>
      <c r="AA62" s="46"/>
      <c r="AB62" s="46"/>
      <c r="AC62" s="46" t="s">
        <v>1064</v>
      </c>
      <c r="AD62" s="46"/>
      <c r="AE62" s="46"/>
      <c r="AF62" s="46"/>
      <c r="AG62" s="46"/>
      <c r="AH62" s="46"/>
      <c r="AI62" s="46"/>
      <c r="AJ62" s="46"/>
      <c r="AK62" s="46"/>
      <c r="AL62" s="46" t="s">
        <v>1064</v>
      </c>
      <c r="AM62" s="46"/>
      <c r="AN62" s="46"/>
      <c r="AO62" s="46"/>
      <c r="AP62" s="46" t="s">
        <v>1064</v>
      </c>
      <c r="AQ62" s="46"/>
      <c r="AR62" s="46"/>
      <c r="AS62" s="46" t="s">
        <v>583</v>
      </c>
      <c r="AT62" s="46" t="s">
        <v>2</v>
      </c>
      <c r="AU62" s="46" t="s">
        <v>4191</v>
      </c>
      <c r="AV62" s="46" t="s">
        <v>353</v>
      </c>
      <c r="AW62" s="46" t="s">
        <v>53</v>
      </c>
      <c r="AX62" s="46" t="s">
        <v>28</v>
      </c>
      <c r="AY62" s="46"/>
      <c r="AZ62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</row>
    <row r="63" spans="1:75" ht="75" x14ac:dyDescent="0.25">
      <c r="A63" s="47" t="s">
        <v>357</v>
      </c>
      <c r="B63" s="45" t="s">
        <v>305</v>
      </c>
      <c r="C63" s="45" t="s">
        <v>354</v>
      </c>
      <c r="D63" s="46" t="s">
        <v>355</v>
      </c>
      <c r="E63" s="25" t="s">
        <v>2</v>
      </c>
      <c r="F63" s="48" t="s">
        <v>32</v>
      </c>
      <c r="G63" s="62" t="s">
        <v>2021</v>
      </c>
      <c r="H63" s="63"/>
      <c r="I63" s="46" t="s">
        <v>194</v>
      </c>
      <c r="J63" s="46" t="s">
        <v>1064</v>
      </c>
      <c r="K63" s="46" t="s">
        <v>626</v>
      </c>
      <c r="L63" s="46" t="s">
        <v>626</v>
      </c>
      <c r="M63" s="46" t="s">
        <v>4257</v>
      </c>
      <c r="N63" s="46" t="s">
        <v>4191</v>
      </c>
      <c r="O63" s="46" t="s">
        <v>626</v>
      </c>
      <c r="P63" s="46" t="s">
        <v>626</v>
      </c>
      <c r="Q63" s="46" t="s">
        <v>194</v>
      </c>
      <c r="R63" s="46" t="s">
        <v>194</v>
      </c>
      <c r="S63" s="46" t="s">
        <v>194</v>
      </c>
      <c r="T63" s="46"/>
      <c r="U63" s="46" t="s">
        <v>2890</v>
      </c>
      <c r="V63" s="46" t="s">
        <v>1064</v>
      </c>
      <c r="W63" s="46" t="s">
        <v>1064</v>
      </c>
      <c r="X63" s="46"/>
      <c r="Y63" s="46"/>
      <c r="Z63" s="46"/>
      <c r="AA63" s="46"/>
      <c r="AB63" s="46"/>
      <c r="AC63" s="46" t="s">
        <v>1064</v>
      </c>
      <c r="AD63" s="46"/>
      <c r="AE63" s="46"/>
      <c r="AF63" s="46"/>
      <c r="AG63" s="46"/>
      <c r="AH63" s="46"/>
      <c r="AI63" s="46"/>
      <c r="AJ63" s="46"/>
      <c r="AK63" s="46"/>
      <c r="AL63" s="46" t="s">
        <v>1064</v>
      </c>
      <c r="AM63" s="46"/>
      <c r="AN63" s="46"/>
      <c r="AO63" s="46"/>
      <c r="AP63" s="46" t="s">
        <v>1064</v>
      </c>
      <c r="AQ63" s="46"/>
      <c r="AR63" s="46"/>
      <c r="AS63" s="46" t="s">
        <v>583</v>
      </c>
      <c r="AT63" s="46" t="s">
        <v>2</v>
      </c>
      <c r="AU63" s="46" t="s">
        <v>4191</v>
      </c>
      <c r="AV63" s="46" t="s">
        <v>357</v>
      </c>
      <c r="AW63" s="46"/>
      <c r="AX63" s="46"/>
      <c r="AY63" s="46"/>
      <c r="AZ63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</row>
    <row r="64" spans="1:75" ht="120" x14ac:dyDescent="0.25">
      <c r="A64" s="47" t="s">
        <v>358</v>
      </c>
      <c r="B64" s="45" t="s">
        <v>305</v>
      </c>
      <c r="C64" s="45" t="s">
        <v>359</v>
      </c>
      <c r="D64" s="46" t="s">
        <v>360</v>
      </c>
      <c r="E64" s="25" t="s">
        <v>2</v>
      </c>
      <c r="F64" s="48" t="s">
        <v>32</v>
      </c>
      <c r="G64" s="62" t="s">
        <v>2022</v>
      </c>
      <c r="H64" s="63" t="s">
        <v>56</v>
      </c>
      <c r="I64" s="46" t="s">
        <v>4605</v>
      </c>
      <c r="J64" s="46" t="s">
        <v>1064</v>
      </c>
      <c r="K64" s="46" t="s">
        <v>4191</v>
      </c>
      <c r="L64" s="46" t="s">
        <v>626</v>
      </c>
      <c r="M64" s="46" t="s">
        <v>194</v>
      </c>
      <c r="N64" s="46" t="s">
        <v>4191</v>
      </c>
      <c r="O64" s="46" t="s">
        <v>626</v>
      </c>
      <c r="P64" s="46" t="s">
        <v>626</v>
      </c>
      <c r="Q64" s="46" t="s">
        <v>4258</v>
      </c>
      <c r="R64" s="46" t="s">
        <v>4259</v>
      </c>
      <c r="S64" s="46" t="s">
        <v>4260</v>
      </c>
      <c r="T64" s="46"/>
      <c r="U64" s="46" t="s">
        <v>2890</v>
      </c>
      <c r="V64" s="46" t="s">
        <v>1064</v>
      </c>
      <c r="W64" s="46" t="s">
        <v>1064</v>
      </c>
      <c r="X64" s="46"/>
      <c r="Y64" s="46"/>
      <c r="Z64" s="46"/>
      <c r="AA64" s="46"/>
      <c r="AB64" s="46"/>
      <c r="AC64" s="46" t="s">
        <v>1064</v>
      </c>
      <c r="AD64" s="46"/>
      <c r="AE64" s="46"/>
      <c r="AF64" s="46"/>
      <c r="AG64" s="46"/>
      <c r="AH64" s="46"/>
      <c r="AI64" s="46"/>
      <c r="AJ64" s="46"/>
      <c r="AK64" s="46"/>
      <c r="AL64" s="46" t="s">
        <v>1064</v>
      </c>
      <c r="AM64" s="46"/>
      <c r="AN64" s="46"/>
      <c r="AO64" s="46"/>
      <c r="AP64" s="46" t="s">
        <v>1064</v>
      </c>
      <c r="AQ64" s="46"/>
      <c r="AR64" s="46"/>
      <c r="AS64" s="46" t="s">
        <v>583</v>
      </c>
      <c r="AT64" s="46" t="s">
        <v>2</v>
      </c>
      <c r="AU64" s="46" t="s">
        <v>4191</v>
      </c>
      <c r="AV64" s="46" t="s">
        <v>358</v>
      </c>
      <c r="AW64" s="46" t="s">
        <v>56</v>
      </c>
      <c r="AX64" s="46" t="s">
        <v>28</v>
      </c>
      <c r="AY64" s="46"/>
      <c r="AZ64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</row>
    <row r="65" spans="1:75" ht="120" x14ac:dyDescent="0.25">
      <c r="A65" s="47" t="s">
        <v>361</v>
      </c>
      <c r="B65" s="45" t="s">
        <v>305</v>
      </c>
      <c r="C65" s="45" t="s">
        <v>362</v>
      </c>
      <c r="D65" s="46" t="s">
        <v>363</v>
      </c>
      <c r="E65" s="25" t="s">
        <v>2</v>
      </c>
      <c r="F65" s="48" t="s">
        <v>32</v>
      </c>
      <c r="G65" s="62" t="s">
        <v>2023</v>
      </c>
      <c r="H65" s="63" t="s">
        <v>58</v>
      </c>
      <c r="I65" s="46" t="s">
        <v>4605</v>
      </c>
      <c r="J65" s="46" t="s">
        <v>1064</v>
      </c>
      <c r="K65" s="46" t="s">
        <v>4191</v>
      </c>
      <c r="L65" s="46" t="s">
        <v>626</v>
      </c>
      <c r="M65" s="46" t="s">
        <v>194</v>
      </c>
      <c r="N65" s="46" t="s">
        <v>4191</v>
      </c>
      <c r="O65" s="46" t="s">
        <v>626</v>
      </c>
      <c r="P65" s="46" t="s">
        <v>626</v>
      </c>
      <c r="Q65" s="46" t="s">
        <v>4261</v>
      </c>
      <c r="R65" s="46" t="s">
        <v>4262</v>
      </c>
      <c r="S65" s="46" t="s">
        <v>4263</v>
      </c>
      <c r="T65" s="46"/>
      <c r="U65" s="46" t="s">
        <v>2890</v>
      </c>
      <c r="V65" s="46" t="s">
        <v>1064</v>
      </c>
      <c r="W65" s="46" t="s">
        <v>1064</v>
      </c>
      <c r="X65" s="46"/>
      <c r="Y65" s="46"/>
      <c r="Z65" s="46"/>
      <c r="AA65" s="46"/>
      <c r="AB65" s="46"/>
      <c r="AC65" s="46" t="s">
        <v>1064</v>
      </c>
      <c r="AD65" s="46"/>
      <c r="AE65" s="46"/>
      <c r="AF65" s="46"/>
      <c r="AG65" s="46"/>
      <c r="AH65" s="46"/>
      <c r="AI65" s="46"/>
      <c r="AJ65" s="46"/>
      <c r="AK65" s="46"/>
      <c r="AL65" s="46" t="s">
        <v>1064</v>
      </c>
      <c r="AM65" s="46"/>
      <c r="AN65" s="46"/>
      <c r="AO65" s="46"/>
      <c r="AP65" s="46" t="s">
        <v>1064</v>
      </c>
      <c r="AQ65" s="46"/>
      <c r="AR65" s="46"/>
      <c r="AS65" s="46" t="s">
        <v>583</v>
      </c>
      <c r="AT65" s="46" t="s">
        <v>2</v>
      </c>
      <c r="AU65" s="46" t="s">
        <v>4191</v>
      </c>
      <c r="AV65" s="46" t="s">
        <v>361</v>
      </c>
      <c r="AW65" s="46" t="s">
        <v>58</v>
      </c>
      <c r="AX65" s="46" t="s">
        <v>28</v>
      </c>
      <c r="AY65" s="46"/>
      <c r="AZ65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</row>
    <row r="66" spans="1:75" ht="120" x14ac:dyDescent="0.25">
      <c r="A66" s="47" t="s">
        <v>364</v>
      </c>
      <c r="B66" s="45" t="s">
        <v>305</v>
      </c>
      <c r="C66" s="45" t="s">
        <v>365</v>
      </c>
      <c r="D66" s="46" t="s">
        <v>366</v>
      </c>
      <c r="E66" s="25" t="s">
        <v>2</v>
      </c>
      <c r="F66" s="48" t="s">
        <v>32</v>
      </c>
      <c r="G66" s="62" t="s">
        <v>4624</v>
      </c>
      <c r="H66" s="63" t="s">
        <v>60</v>
      </c>
      <c r="I66" s="46" t="s">
        <v>4605</v>
      </c>
      <c r="J66" s="46" t="s">
        <v>1064</v>
      </c>
      <c r="K66" s="46" t="s">
        <v>4191</v>
      </c>
      <c r="L66" s="46" t="s">
        <v>626</v>
      </c>
      <c r="M66" s="46" t="s">
        <v>194</v>
      </c>
      <c r="N66" s="46" t="s">
        <v>4191</v>
      </c>
      <c r="O66" s="46" t="s">
        <v>626</v>
      </c>
      <c r="P66" s="46" t="s">
        <v>626</v>
      </c>
      <c r="Q66" s="46" t="s">
        <v>4264</v>
      </c>
      <c r="R66" s="46" t="s">
        <v>4625</v>
      </c>
      <c r="S66" s="46" t="s">
        <v>4265</v>
      </c>
      <c r="T66" s="46"/>
      <c r="U66" s="46" t="s">
        <v>2890</v>
      </c>
      <c r="V66" s="46" t="s">
        <v>1064</v>
      </c>
      <c r="W66" s="46" t="s">
        <v>1064</v>
      </c>
      <c r="X66" s="46"/>
      <c r="Y66" s="46"/>
      <c r="Z66" s="46"/>
      <c r="AA66" s="46"/>
      <c r="AB66" s="46"/>
      <c r="AC66" s="46" t="s">
        <v>1064</v>
      </c>
      <c r="AD66" s="46"/>
      <c r="AE66" s="46"/>
      <c r="AF66" s="46"/>
      <c r="AG66" s="46"/>
      <c r="AH66" s="46"/>
      <c r="AI66" s="46"/>
      <c r="AJ66" s="46"/>
      <c r="AK66" s="46"/>
      <c r="AL66" s="46" t="s">
        <v>1064</v>
      </c>
      <c r="AM66" s="46"/>
      <c r="AN66" s="46"/>
      <c r="AO66" s="46"/>
      <c r="AP66" s="46" t="s">
        <v>1064</v>
      </c>
      <c r="AQ66" s="46"/>
      <c r="AR66" s="46"/>
      <c r="AS66" s="46" t="s">
        <v>583</v>
      </c>
      <c r="AT66" s="46" t="s">
        <v>2</v>
      </c>
      <c r="AU66" s="46" t="s">
        <v>4191</v>
      </c>
      <c r="AV66" s="46" t="s">
        <v>364</v>
      </c>
      <c r="AW66" s="46" t="s">
        <v>60</v>
      </c>
      <c r="AX66" s="46" t="s">
        <v>28</v>
      </c>
      <c r="AY66" s="46"/>
      <c r="AZ6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</row>
    <row r="67" spans="1:75" ht="60" x14ac:dyDescent="0.25">
      <c r="A67" s="47" t="s">
        <v>367</v>
      </c>
      <c r="B67" s="45" t="s">
        <v>305</v>
      </c>
      <c r="C67" s="45" t="s">
        <v>368</v>
      </c>
      <c r="D67" s="46" t="s">
        <v>369</v>
      </c>
      <c r="E67" s="25" t="s">
        <v>2</v>
      </c>
      <c r="F67" s="48" t="s">
        <v>32</v>
      </c>
      <c r="G67" s="62" t="s">
        <v>2024</v>
      </c>
      <c r="H67" s="63" t="s">
        <v>63</v>
      </c>
      <c r="I67" s="46" t="s">
        <v>194</v>
      </c>
      <c r="J67" s="46" t="s">
        <v>1064</v>
      </c>
      <c r="K67" s="46" t="s">
        <v>626</v>
      </c>
      <c r="L67" s="46" t="s">
        <v>626</v>
      </c>
      <c r="M67" s="46" t="s">
        <v>194</v>
      </c>
      <c r="N67" s="46" t="s">
        <v>4191</v>
      </c>
      <c r="O67" s="46" t="s">
        <v>626</v>
      </c>
      <c r="P67" s="46" t="s">
        <v>626</v>
      </c>
      <c r="Q67" s="46" t="s">
        <v>4266</v>
      </c>
      <c r="R67" s="46" t="s">
        <v>194</v>
      </c>
      <c r="S67" s="46" t="s">
        <v>194</v>
      </c>
      <c r="T67" s="46"/>
      <c r="U67" s="46" t="s">
        <v>2890</v>
      </c>
      <c r="V67" s="46" t="s">
        <v>1064</v>
      </c>
      <c r="W67" s="46" t="s">
        <v>1064</v>
      </c>
      <c r="X67" s="46"/>
      <c r="Y67" s="46"/>
      <c r="Z67" s="46"/>
      <c r="AA67" s="46"/>
      <c r="AB67" s="46"/>
      <c r="AC67" s="46" t="s">
        <v>1064</v>
      </c>
      <c r="AD67" s="46"/>
      <c r="AE67" s="46"/>
      <c r="AF67" s="46"/>
      <c r="AG67" s="46"/>
      <c r="AH67" s="46"/>
      <c r="AI67" s="46"/>
      <c r="AJ67" s="46"/>
      <c r="AK67" s="46"/>
      <c r="AL67" s="46" t="s">
        <v>1064</v>
      </c>
      <c r="AM67" s="46"/>
      <c r="AN67" s="46"/>
      <c r="AO67" s="46"/>
      <c r="AP67" s="46" t="s">
        <v>1064</v>
      </c>
      <c r="AQ67" s="46"/>
      <c r="AR67" s="46"/>
      <c r="AS67" s="46" t="s">
        <v>583</v>
      </c>
      <c r="AT67" s="46" t="s">
        <v>2</v>
      </c>
      <c r="AU67" s="46" t="s">
        <v>4191</v>
      </c>
      <c r="AV67" s="46" t="s">
        <v>367</v>
      </c>
      <c r="AW67" s="46" t="s">
        <v>63</v>
      </c>
      <c r="AX67" s="46" t="s">
        <v>28</v>
      </c>
      <c r="AY67" s="46"/>
      <c r="AZ67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</row>
    <row r="68" spans="1:75" ht="60" x14ac:dyDescent="0.25">
      <c r="A68" s="47" t="s">
        <v>370</v>
      </c>
      <c r="B68" s="45" t="s">
        <v>305</v>
      </c>
      <c r="C68" s="45" t="s">
        <v>371</v>
      </c>
      <c r="D68" s="46" t="s">
        <v>372</v>
      </c>
      <c r="E68" s="25" t="s">
        <v>2</v>
      </c>
      <c r="F68" s="48" t="s">
        <v>32</v>
      </c>
      <c r="G68" s="62" t="s">
        <v>2025</v>
      </c>
      <c r="H68" s="63" t="s">
        <v>65</v>
      </c>
      <c r="I68" s="46" t="s">
        <v>194</v>
      </c>
      <c r="J68" s="46" t="s">
        <v>1064</v>
      </c>
      <c r="K68" s="46" t="s">
        <v>626</v>
      </c>
      <c r="L68" s="46" t="s">
        <v>626</v>
      </c>
      <c r="M68" s="46" t="s">
        <v>194</v>
      </c>
      <c r="N68" s="46" t="s">
        <v>4191</v>
      </c>
      <c r="O68" s="46" t="s">
        <v>626</v>
      </c>
      <c r="P68" s="46" t="s">
        <v>626</v>
      </c>
      <c r="Q68" s="46" t="s">
        <v>4267</v>
      </c>
      <c r="R68" s="46" t="s">
        <v>194</v>
      </c>
      <c r="S68" s="46" t="s">
        <v>194</v>
      </c>
      <c r="T68" s="46"/>
      <c r="U68" s="46" t="s">
        <v>2890</v>
      </c>
      <c r="V68" s="46" t="s">
        <v>1064</v>
      </c>
      <c r="W68" s="46" t="s">
        <v>1064</v>
      </c>
      <c r="X68" s="46"/>
      <c r="Y68" s="46"/>
      <c r="Z68" s="46"/>
      <c r="AA68" s="46"/>
      <c r="AB68" s="46"/>
      <c r="AC68" s="46" t="s">
        <v>1064</v>
      </c>
      <c r="AD68" s="46"/>
      <c r="AE68" s="46"/>
      <c r="AF68" s="46"/>
      <c r="AG68" s="46"/>
      <c r="AH68" s="46"/>
      <c r="AI68" s="46"/>
      <c r="AJ68" s="46"/>
      <c r="AK68" s="46"/>
      <c r="AL68" s="46" t="s">
        <v>1064</v>
      </c>
      <c r="AM68" s="46"/>
      <c r="AN68" s="46"/>
      <c r="AO68" s="46"/>
      <c r="AP68" s="46" t="s">
        <v>1064</v>
      </c>
      <c r="AQ68" s="46"/>
      <c r="AR68" s="46"/>
      <c r="AS68" s="46" t="s">
        <v>583</v>
      </c>
      <c r="AT68" s="46" t="s">
        <v>2</v>
      </c>
      <c r="AU68" s="46" t="s">
        <v>4191</v>
      </c>
      <c r="AV68" s="46" t="s">
        <v>370</v>
      </c>
      <c r="AW68" s="46" t="s">
        <v>65</v>
      </c>
      <c r="AX68" s="46" t="s">
        <v>28</v>
      </c>
      <c r="AY68" s="46"/>
      <c r="AZ68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</row>
    <row r="69" spans="1:75" ht="60" x14ac:dyDescent="0.25">
      <c r="A69" s="47" t="s">
        <v>373</v>
      </c>
      <c r="B69" s="45" t="s">
        <v>305</v>
      </c>
      <c r="C69" s="45" t="s">
        <v>374</v>
      </c>
      <c r="D69" s="46" t="s">
        <v>375</v>
      </c>
      <c r="E69" s="25" t="s">
        <v>2</v>
      </c>
      <c r="F69" s="48" t="s">
        <v>32</v>
      </c>
      <c r="G69" s="62" t="s">
        <v>2026</v>
      </c>
      <c r="H69" s="63" t="s">
        <v>67</v>
      </c>
      <c r="I69" s="46" t="s">
        <v>194</v>
      </c>
      <c r="J69" s="46" t="s">
        <v>1064</v>
      </c>
      <c r="K69" s="46" t="s">
        <v>626</v>
      </c>
      <c r="L69" s="46" t="s">
        <v>626</v>
      </c>
      <c r="M69" s="46" t="s">
        <v>194</v>
      </c>
      <c r="N69" s="46" t="s">
        <v>4191</v>
      </c>
      <c r="O69" s="46" t="s">
        <v>626</v>
      </c>
      <c r="P69" s="46" t="s">
        <v>626</v>
      </c>
      <c r="Q69" s="46" t="s">
        <v>4268</v>
      </c>
      <c r="R69" s="46" t="s">
        <v>194</v>
      </c>
      <c r="S69" s="46" t="s">
        <v>194</v>
      </c>
      <c r="T69" s="46"/>
      <c r="U69" s="46" t="s">
        <v>2890</v>
      </c>
      <c r="V69" s="46" t="s">
        <v>1064</v>
      </c>
      <c r="W69" s="46" t="s">
        <v>1064</v>
      </c>
      <c r="X69" s="46"/>
      <c r="Y69" s="46"/>
      <c r="Z69" s="46"/>
      <c r="AA69" s="46"/>
      <c r="AB69" s="46"/>
      <c r="AC69" s="46" t="s">
        <v>1064</v>
      </c>
      <c r="AD69" s="46"/>
      <c r="AE69" s="46"/>
      <c r="AF69" s="46"/>
      <c r="AG69" s="46"/>
      <c r="AH69" s="46"/>
      <c r="AI69" s="46"/>
      <c r="AJ69" s="46"/>
      <c r="AK69" s="46"/>
      <c r="AL69" s="46" t="s">
        <v>1064</v>
      </c>
      <c r="AM69" s="46"/>
      <c r="AN69" s="46"/>
      <c r="AO69" s="46"/>
      <c r="AP69" s="46" t="s">
        <v>1064</v>
      </c>
      <c r="AQ69" s="46"/>
      <c r="AR69" s="46"/>
      <c r="AS69" s="46" t="s">
        <v>583</v>
      </c>
      <c r="AT69" s="46" t="s">
        <v>2</v>
      </c>
      <c r="AU69" s="46" t="s">
        <v>4191</v>
      </c>
      <c r="AV69" s="46" t="s">
        <v>373</v>
      </c>
      <c r="AW69" s="46" t="s">
        <v>67</v>
      </c>
      <c r="AX69" s="46" t="s">
        <v>28</v>
      </c>
      <c r="AY69" s="46"/>
      <c r="AZ69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</row>
    <row r="70" spans="1:75" ht="60" x14ac:dyDescent="0.25">
      <c r="A70" s="47" t="s">
        <v>376</v>
      </c>
      <c r="B70" s="45" t="s">
        <v>305</v>
      </c>
      <c r="C70" s="45" t="s">
        <v>377</v>
      </c>
      <c r="D70" s="46" t="s">
        <v>378</v>
      </c>
      <c r="E70" s="25" t="s">
        <v>2</v>
      </c>
      <c r="F70" s="48" t="s">
        <v>32</v>
      </c>
      <c r="G70" s="62" t="s">
        <v>2027</v>
      </c>
      <c r="H70" s="63" t="s">
        <v>69</v>
      </c>
      <c r="I70" s="46" t="s">
        <v>194</v>
      </c>
      <c r="J70" s="46" t="s">
        <v>1064</v>
      </c>
      <c r="K70" s="46" t="s">
        <v>626</v>
      </c>
      <c r="L70" s="46" t="s">
        <v>626</v>
      </c>
      <c r="M70" s="46" t="s">
        <v>194</v>
      </c>
      <c r="N70" s="46" t="s">
        <v>4191</v>
      </c>
      <c r="O70" s="46" t="s">
        <v>626</v>
      </c>
      <c r="P70" s="46" t="s">
        <v>626</v>
      </c>
      <c r="Q70" s="46" t="s">
        <v>4269</v>
      </c>
      <c r="R70" s="46" t="s">
        <v>194</v>
      </c>
      <c r="S70" s="46" t="s">
        <v>194</v>
      </c>
      <c r="T70" s="46"/>
      <c r="U70" s="46" t="s">
        <v>2890</v>
      </c>
      <c r="V70" s="46" t="s">
        <v>1064</v>
      </c>
      <c r="W70" s="46" t="s">
        <v>1064</v>
      </c>
      <c r="X70" s="46"/>
      <c r="Y70" s="46"/>
      <c r="Z70" s="46"/>
      <c r="AA70" s="46"/>
      <c r="AB70" s="46"/>
      <c r="AC70" s="46" t="s">
        <v>1064</v>
      </c>
      <c r="AD70" s="46"/>
      <c r="AE70" s="46"/>
      <c r="AF70" s="46"/>
      <c r="AG70" s="46"/>
      <c r="AH70" s="46"/>
      <c r="AI70" s="46"/>
      <c r="AJ70" s="46"/>
      <c r="AK70" s="46"/>
      <c r="AL70" s="46" t="s">
        <v>1064</v>
      </c>
      <c r="AM70" s="46"/>
      <c r="AN70" s="46"/>
      <c r="AO70" s="46"/>
      <c r="AP70" s="46" t="s">
        <v>1064</v>
      </c>
      <c r="AQ70" s="46"/>
      <c r="AR70" s="46"/>
      <c r="AS70" s="46" t="s">
        <v>583</v>
      </c>
      <c r="AT70" s="46" t="s">
        <v>2</v>
      </c>
      <c r="AU70" s="46" t="s">
        <v>4191</v>
      </c>
      <c r="AV70" s="46" t="s">
        <v>376</v>
      </c>
      <c r="AW70" s="46" t="s">
        <v>69</v>
      </c>
      <c r="AX70" s="46" t="s">
        <v>28</v>
      </c>
      <c r="AY70" s="46"/>
      <c r="AZ70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</row>
    <row r="71" spans="1:75" ht="60" x14ac:dyDescent="0.25">
      <c r="A71" s="47" t="s">
        <v>380</v>
      </c>
      <c r="B71" s="45" t="s">
        <v>305</v>
      </c>
      <c r="C71" s="45" t="s">
        <v>381</v>
      </c>
      <c r="D71" s="46" t="s">
        <v>382</v>
      </c>
      <c r="E71" s="25" t="s">
        <v>2</v>
      </c>
      <c r="F71" s="48" t="s">
        <v>32</v>
      </c>
      <c r="G71" s="62" t="s">
        <v>2028</v>
      </c>
      <c r="H71" s="63" t="s">
        <v>72</v>
      </c>
      <c r="I71" s="46" t="s">
        <v>194</v>
      </c>
      <c r="J71" s="46" t="s">
        <v>1064</v>
      </c>
      <c r="K71" s="46" t="s">
        <v>626</v>
      </c>
      <c r="L71" s="46" t="s">
        <v>626</v>
      </c>
      <c r="M71" s="46" t="s">
        <v>194</v>
      </c>
      <c r="N71" s="46" t="s">
        <v>626</v>
      </c>
      <c r="O71" s="46" t="s">
        <v>626</v>
      </c>
      <c r="P71" s="46" t="s">
        <v>626</v>
      </c>
      <c r="Q71" s="46" t="s">
        <v>194</v>
      </c>
      <c r="R71" s="46" t="s">
        <v>194</v>
      </c>
      <c r="S71" s="46" t="s">
        <v>194</v>
      </c>
      <c r="T71" s="46"/>
      <c r="U71" s="46" t="s">
        <v>2890</v>
      </c>
      <c r="V71" s="46" t="s">
        <v>1064</v>
      </c>
      <c r="W71" s="46" t="s">
        <v>1064</v>
      </c>
      <c r="X71" s="46"/>
      <c r="Y71" s="46"/>
      <c r="Z71" s="46"/>
      <c r="AA71" s="46"/>
      <c r="AB71" s="46"/>
      <c r="AC71" s="46" t="s">
        <v>1064</v>
      </c>
      <c r="AD71" s="46"/>
      <c r="AE71" s="46"/>
      <c r="AF71" s="46"/>
      <c r="AG71" s="46"/>
      <c r="AH71" s="46"/>
      <c r="AI71" s="46"/>
      <c r="AJ71" s="46"/>
      <c r="AK71" s="46"/>
      <c r="AL71" s="46" t="s">
        <v>1064</v>
      </c>
      <c r="AM71" s="46"/>
      <c r="AN71" s="46"/>
      <c r="AO71" s="46"/>
      <c r="AP71" s="46" t="s">
        <v>1064</v>
      </c>
      <c r="AQ71" s="46"/>
      <c r="AR71" s="46"/>
      <c r="AS71" s="46" t="s">
        <v>583</v>
      </c>
      <c r="AT71" s="46" t="s">
        <v>2</v>
      </c>
      <c r="AU71" s="46" t="s">
        <v>4191</v>
      </c>
      <c r="AV71" s="46" t="s">
        <v>380</v>
      </c>
      <c r="AW71" s="46" t="s">
        <v>72</v>
      </c>
      <c r="AX71" s="46" t="s">
        <v>28</v>
      </c>
      <c r="AY71" s="46"/>
      <c r="AZ71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</row>
    <row r="72" spans="1:75" ht="75" x14ac:dyDescent="0.25">
      <c r="A72" s="47" t="s">
        <v>1440</v>
      </c>
      <c r="B72" s="45" t="s">
        <v>305</v>
      </c>
      <c r="C72" s="45" t="s">
        <v>1441</v>
      </c>
      <c r="D72" s="46" t="s">
        <v>1442</v>
      </c>
      <c r="E72" s="25" t="s">
        <v>2</v>
      </c>
      <c r="F72" s="48" t="s">
        <v>32</v>
      </c>
      <c r="G72" s="62" t="s">
        <v>2029</v>
      </c>
      <c r="H72" s="63"/>
      <c r="I72" s="46" t="s">
        <v>194</v>
      </c>
      <c r="J72" s="46" t="s">
        <v>1064</v>
      </c>
      <c r="K72" s="46" t="s">
        <v>626</v>
      </c>
      <c r="L72" s="46" t="s">
        <v>626</v>
      </c>
      <c r="M72" s="46" t="s">
        <v>4270</v>
      </c>
      <c r="N72" s="46" t="s">
        <v>4191</v>
      </c>
      <c r="O72" s="46" t="s">
        <v>626</v>
      </c>
      <c r="P72" s="46" t="s">
        <v>626</v>
      </c>
      <c r="Q72" s="46" t="s">
        <v>194</v>
      </c>
      <c r="R72" s="46" t="s">
        <v>194</v>
      </c>
      <c r="S72" s="46" t="s">
        <v>194</v>
      </c>
      <c r="T72" s="46" t="s">
        <v>626</v>
      </c>
      <c r="U72" s="46" t="s">
        <v>2890</v>
      </c>
      <c r="V72" s="46" t="s">
        <v>1064</v>
      </c>
      <c r="W72" s="46" t="s">
        <v>1064</v>
      </c>
      <c r="X72" s="46"/>
      <c r="Y72" s="46"/>
      <c r="Z72" s="46"/>
      <c r="AA72" s="46"/>
      <c r="AB72" s="46"/>
      <c r="AC72" s="46" t="s">
        <v>1064</v>
      </c>
      <c r="AD72" s="46"/>
      <c r="AE72" s="46"/>
      <c r="AF72" s="46"/>
      <c r="AG72" s="46"/>
      <c r="AH72" s="46"/>
      <c r="AI72" s="46"/>
      <c r="AJ72" s="46"/>
      <c r="AK72" s="46"/>
      <c r="AL72" s="46" t="s">
        <v>1064</v>
      </c>
      <c r="AM72" s="46"/>
      <c r="AN72" s="46"/>
      <c r="AO72" s="46"/>
      <c r="AP72" s="46" t="s">
        <v>1064</v>
      </c>
      <c r="AQ72" s="46"/>
      <c r="AR72" s="46"/>
      <c r="AS72" s="46" t="s">
        <v>584</v>
      </c>
      <c r="AT72" s="46" t="s">
        <v>314</v>
      </c>
      <c r="AU72" s="46" t="s">
        <v>4191</v>
      </c>
      <c r="AV72" s="46" t="s">
        <v>1440</v>
      </c>
      <c r="AW72" s="46"/>
      <c r="AX72" s="46"/>
      <c r="AY72" s="46"/>
      <c r="AZ72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</row>
    <row r="73" spans="1:75" ht="75" x14ac:dyDescent="0.25">
      <c r="A73" s="47" t="s">
        <v>1443</v>
      </c>
      <c r="B73" s="45" t="s">
        <v>305</v>
      </c>
      <c r="C73" s="45" t="s">
        <v>1444</v>
      </c>
      <c r="D73" s="46" t="s">
        <v>1445</v>
      </c>
      <c r="E73" s="25" t="s">
        <v>2</v>
      </c>
      <c r="F73" s="48" t="s">
        <v>32</v>
      </c>
      <c r="G73" s="62" t="s">
        <v>2030</v>
      </c>
      <c r="H73" s="63"/>
      <c r="I73" s="46" t="s">
        <v>194</v>
      </c>
      <c r="J73" s="46" t="s">
        <v>1064</v>
      </c>
      <c r="K73" s="46" t="s">
        <v>626</v>
      </c>
      <c r="L73" s="46" t="s">
        <v>626</v>
      </c>
      <c r="M73" s="46" t="s">
        <v>4244</v>
      </c>
      <c r="N73" s="46" t="s">
        <v>4191</v>
      </c>
      <c r="O73" s="46" t="s">
        <v>626</v>
      </c>
      <c r="P73" s="46" t="s">
        <v>626</v>
      </c>
      <c r="Q73" s="46" t="s">
        <v>194</v>
      </c>
      <c r="R73" s="46" t="s">
        <v>194</v>
      </c>
      <c r="S73" s="46" t="s">
        <v>194</v>
      </c>
      <c r="T73" s="46" t="s">
        <v>626</v>
      </c>
      <c r="U73" s="46" t="s">
        <v>2890</v>
      </c>
      <c r="V73" s="46" t="s">
        <v>1064</v>
      </c>
      <c r="W73" s="46" t="s">
        <v>1064</v>
      </c>
      <c r="X73" s="46"/>
      <c r="Y73" s="46"/>
      <c r="Z73" s="46"/>
      <c r="AA73" s="46"/>
      <c r="AB73" s="46"/>
      <c r="AC73" s="46" t="s">
        <v>1064</v>
      </c>
      <c r="AD73" s="46"/>
      <c r="AE73" s="46"/>
      <c r="AF73" s="46"/>
      <c r="AG73" s="46"/>
      <c r="AH73" s="46"/>
      <c r="AI73" s="46"/>
      <c r="AJ73" s="46"/>
      <c r="AK73" s="46"/>
      <c r="AL73" s="46" t="s">
        <v>1064</v>
      </c>
      <c r="AM73" s="46"/>
      <c r="AN73" s="46"/>
      <c r="AO73" s="46"/>
      <c r="AP73" s="46" t="s">
        <v>1064</v>
      </c>
      <c r="AQ73" s="46"/>
      <c r="AR73" s="46"/>
      <c r="AS73" s="46" t="s">
        <v>584</v>
      </c>
      <c r="AT73" s="46" t="s">
        <v>308</v>
      </c>
      <c r="AU73" s="46" t="s">
        <v>4191</v>
      </c>
      <c r="AV73" s="46" t="s">
        <v>1443</v>
      </c>
      <c r="AW73" s="46"/>
      <c r="AX73" s="46"/>
      <c r="AY73" s="46"/>
      <c r="AZ73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</row>
    <row r="74" spans="1:75" ht="120" x14ac:dyDescent="0.25">
      <c r="A74" s="47" t="s">
        <v>1345</v>
      </c>
      <c r="B74" s="45" t="s">
        <v>305</v>
      </c>
      <c r="C74" s="45" t="s">
        <v>1438</v>
      </c>
      <c r="D74" s="46" t="s">
        <v>1439</v>
      </c>
      <c r="E74" s="25" t="s">
        <v>2</v>
      </c>
      <c r="F74" s="48" t="s">
        <v>836</v>
      </c>
      <c r="G74" s="62" t="s">
        <v>2653</v>
      </c>
      <c r="H74" s="63" t="s">
        <v>1344</v>
      </c>
      <c r="I74" s="46" t="s">
        <v>194</v>
      </c>
      <c r="J74" s="46" t="s">
        <v>1064</v>
      </c>
      <c r="K74" s="46" t="s">
        <v>626</v>
      </c>
      <c r="L74" s="46" t="s">
        <v>626</v>
      </c>
      <c r="M74" s="46" t="s">
        <v>4271</v>
      </c>
      <c r="N74" s="46" t="s">
        <v>4191</v>
      </c>
      <c r="O74" s="46" t="s">
        <v>626</v>
      </c>
      <c r="P74" s="46" t="s">
        <v>626</v>
      </c>
      <c r="Q74" s="46" t="s">
        <v>194</v>
      </c>
      <c r="R74" s="46" t="s">
        <v>4272</v>
      </c>
      <c r="S74" s="46" t="s">
        <v>4273</v>
      </c>
      <c r="T74" s="46" t="s">
        <v>4191</v>
      </c>
      <c r="U74" s="46" t="s">
        <v>2890</v>
      </c>
      <c r="V74" s="46" t="s">
        <v>1064</v>
      </c>
      <c r="W74" s="46" t="s">
        <v>1064</v>
      </c>
      <c r="X74" s="46"/>
      <c r="Y74" s="46"/>
      <c r="Z74" s="46"/>
      <c r="AA74" s="46"/>
      <c r="AB74" s="46"/>
      <c r="AC74" s="46" t="s">
        <v>1064</v>
      </c>
      <c r="AD74" s="46"/>
      <c r="AE74" s="46"/>
      <c r="AF74" s="46"/>
      <c r="AG74" s="46"/>
      <c r="AH74" s="46"/>
      <c r="AI74" s="46"/>
      <c r="AJ74" s="46"/>
      <c r="AK74" s="46"/>
      <c r="AL74" s="46" t="s">
        <v>1064</v>
      </c>
      <c r="AM74" s="46"/>
      <c r="AN74" s="46"/>
      <c r="AO74" s="46"/>
      <c r="AP74" s="46" t="s">
        <v>1064</v>
      </c>
      <c r="AQ74" s="46"/>
      <c r="AR74" s="46"/>
      <c r="AS74" s="46" t="s">
        <v>586</v>
      </c>
      <c r="AT74" s="46" t="s">
        <v>308</v>
      </c>
      <c r="AU74" s="46" t="s">
        <v>4191</v>
      </c>
      <c r="AV74" s="46" t="s">
        <v>1345</v>
      </c>
      <c r="AW74" s="46" t="s">
        <v>1344</v>
      </c>
      <c r="AX74" s="46" t="s">
        <v>34</v>
      </c>
      <c r="AY74" s="46"/>
      <c r="AZ74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</row>
    <row r="75" spans="1:75" ht="75" x14ac:dyDescent="0.25">
      <c r="A75" s="47" t="s">
        <v>1446</v>
      </c>
      <c r="B75" s="45" t="s">
        <v>305</v>
      </c>
      <c r="C75" s="45" t="s">
        <v>1447</v>
      </c>
      <c r="D75" s="46" t="s">
        <v>1448</v>
      </c>
      <c r="E75" s="25" t="s">
        <v>2</v>
      </c>
      <c r="F75" s="48" t="s">
        <v>32</v>
      </c>
      <c r="G75" s="62" t="s">
        <v>2031</v>
      </c>
      <c r="H75" s="63"/>
      <c r="I75" s="46" t="s">
        <v>194</v>
      </c>
      <c r="J75" s="46" t="s">
        <v>1064</v>
      </c>
      <c r="K75" s="46" t="s">
        <v>626</v>
      </c>
      <c r="L75" s="46" t="s">
        <v>626</v>
      </c>
      <c r="M75" s="46" t="s">
        <v>4244</v>
      </c>
      <c r="N75" s="46" t="s">
        <v>4191</v>
      </c>
      <c r="O75" s="46" t="s">
        <v>626</v>
      </c>
      <c r="P75" s="46" t="s">
        <v>626</v>
      </c>
      <c r="Q75" s="46" t="s">
        <v>194</v>
      </c>
      <c r="R75" s="46" t="s">
        <v>194</v>
      </c>
      <c r="S75" s="46" t="s">
        <v>194</v>
      </c>
      <c r="T75" s="46" t="s">
        <v>626</v>
      </c>
      <c r="U75" s="46" t="s">
        <v>2890</v>
      </c>
      <c r="V75" s="46" t="s">
        <v>1064</v>
      </c>
      <c r="W75" s="46" t="s">
        <v>1064</v>
      </c>
      <c r="X75" s="46"/>
      <c r="Y75" s="46"/>
      <c r="Z75" s="46"/>
      <c r="AA75" s="46"/>
      <c r="AB75" s="46"/>
      <c r="AC75" s="46" t="s">
        <v>1064</v>
      </c>
      <c r="AD75" s="46"/>
      <c r="AE75" s="46"/>
      <c r="AF75" s="46"/>
      <c r="AG75" s="46"/>
      <c r="AH75" s="46"/>
      <c r="AI75" s="46"/>
      <c r="AJ75" s="46"/>
      <c r="AK75" s="46"/>
      <c r="AL75" s="46" t="s">
        <v>1064</v>
      </c>
      <c r="AM75" s="46"/>
      <c r="AN75" s="46"/>
      <c r="AO75" s="46"/>
      <c r="AP75" s="46" t="s">
        <v>1064</v>
      </c>
      <c r="AQ75" s="46"/>
      <c r="AR75" s="46"/>
      <c r="AS75" s="46" t="s">
        <v>583</v>
      </c>
      <c r="AT75" s="46" t="s">
        <v>2</v>
      </c>
      <c r="AU75" s="46" t="s">
        <v>4191</v>
      </c>
      <c r="AV75" s="46" t="s">
        <v>1446</v>
      </c>
      <c r="AW75" s="46"/>
      <c r="AX75" s="46"/>
      <c r="AY75" s="46"/>
      <c r="AZ75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</row>
    <row r="76" spans="1:75" ht="75" x14ac:dyDescent="0.25">
      <c r="A76" s="47" t="s">
        <v>383</v>
      </c>
      <c r="B76" s="45" t="s">
        <v>305</v>
      </c>
      <c r="C76" s="45" t="s">
        <v>384</v>
      </c>
      <c r="D76" s="46" t="s">
        <v>385</v>
      </c>
      <c r="E76" s="25" t="s">
        <v>2</v>
      </c>
      <c r="F76" s="48" t="s">
        <v>32</v>
      </c>
      <c r="G76" s="62" t="s">
        <v>2032</v>
      </c>
      <c r="H76" s="63"/>
      <c r="I76" s="46" t="s">
        <v>194</v>
      </c>
      <c r="J76" s="46" t="s">
        <v>1064</v>
      </c>
      <c r="K76" s="46" t="s">
        <v>626</v>
      </c>
      <c r="L76" s="46" t="s">
        <v>626</v>
      </c>
      <c r="M76" s="46" t="s">
        <v>4274</v>
      </c>
      <c r="N76" s="46" t="s">
        <v>4191</v>
      </c>
      <c r="O76" s="46" t="s">
        <v>626</v>
      </c>
      <c r="P76" s="46" t="s">
        <v>626</v>
      </c>
      <c r="Q76" s="46" t="s">
        <v>194</v>
      </c>
      <c r="R76" s="46" t="s">
        <v>194</v>
      </c>
      <c r="S76" s="46" t="s">
        <v>194</v>
      </c>
      <c r="T76" s="46"/>
      <c r="U76" s="46" t="s">
        <v>606</v>
      </c>
      <c r="V76" s="46" t="s">
        <v>1064</v>
      </c>
      <c r="W76" s="46" t="s">
        <v>1064</v>
      </c>
      <c r="X76" s="46"/>
      <c r="Y76" s="46"/>
      <c r="Z76" s="46"/>
      <c r="AA76" s="46"/>
      <c r="AB76" s="46"/>
      <c r="AC76" s="46" t="s">
        <v>1064</v>
      </c>
      <c r="AD76" s="46"/>
      <c r="AE76" s="46"/>
      <c r="AF76" s="46"/>
      <c r="AG76" s="46"/>
      <c r="AH76" s="46"/>
      <c r="AI76" s="46"/>
      <c r="AJ76" s="46"/>
      <c r="AK76" s="46"/>
      <c r="AL76" s="46" t="s">
        <v>1064</v>
      </c>
      <c r="AM76" s="46"/>
      <c r="AN76" s="46"/>
      <c r="AO76" s="46"/>
      <c r="AP76" s="46" t="s">
        <v>1064</v>
      </c>
      <c r="AQ76" s="46"/>
      <c r="AR76" s="46"/>
      <c r="AS76" s="46" t="s">
        <v>584</v>
      </c>
      <c r="AT76" s="46" t="s">
        <v>314</v>
      </c>
      <c r="AU76" s="46" t="s">
        <v>4191</v>
      </c>
      <c r="AV76" s="46" t="s">
        <v>383</v>
      </c>
      <c r="AW76" s="46"/>
      <c r="AX76" s="46"/>
      <c r="AY76" s="46"/>
      <c r="AZ7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</row>
    <row r="77" spans="1:75" ht="75" x14ac:dyDescent="0.25">
      <c r="A77" s="47" t="s">
        <v>386</v>
      </c>
      <c r="B77" s="45" t="s">
        <v>305</v>
      </c>
      <c r="C77" s="45" t="s">
        <v>387</v>
      </c>
      <c r="D77" s="46" t="s">
        <v>388</v>
      </c>
      <c r="E77" s="25" t="s">
        <v>2</v>
      </c>
      <c r="F77" s="48" t="s">
        <v>32</v>
      </c>
      <c r="G77" s="62" t="s">
        <v>2033</v>
      </c>
      <c r="H77" s="63"/>
      <c r="I77" s="46" t="s">
        <v>194</v>
      </c>
      <c r="J77" s="46" t="s">
        <v>1064</v>
      </c>
      <c r="K77" s="46" t="s">
        <v>626</v>
      </c>
      <c r="L77" s="46" t="s">
        <v>626</v>
      </c>
      <c r="M77" s="46" t="s">
        <v>4275</v>
      </c>
      <c r="N77" s="46" t="s">
        <v>4191</v>
      </c>
      <c r="O77" s="46" t="s">
        <v>626</v>
      </c>
      <c r="P77" s="46" t="s">
        <v>626</v>
      </c>
      <c r="Q77" s="46" t="s">
        <v>194</v>
      </c>
      <c r="R77" s="46" t="s">
        <v>194</v>
      </c>
      <c r="S77" s="46" t="s">
        <v>194</v>
      </c>
      <c r="T77" s="46"/>
      <c r="U77" s="46" t="s">
        <v>606</v>
      </c>
      <c r="V77" s="46" t="s">
        <v>1064</v>
      </c>
      <c r="W77" s="46" t="s">
        <v>1064</v>
      </c>
      <c r="X77" s="46"/>
      <c r="Y77" s="46"/>
      <c r="Z77" s="46"/>
      <c r="AA77" s="46"/>
      <c r="AB77" s="46"/>
      <c r="AC77" s="46" t="s">
        <v>1064</v>
      </c>
      <c r="AD77" s="46"/>
      <c r="AE77" s="46"/>
      <c r="AF77" s="46"/>
      <c r="AG77" s="46"/>
      <c r="AH77" s="46"/>
      <c r="AI77" s="46"/>
      <c r="AJ77" s="46"/>
      <c r="AK77" s="46"/>
      <c r="AL77" s="46" t="s">
        <v>1064</v>
      </c>
      <c r="AM77" s="46"/>
      <c r="AN77" s="46"/>
      <c r="AO77" s="46"/>
      <c r="AP77" s="46" t="s">
        <v>1064</v>
      </c>
      <c r="AQ77" s="46"/>
      <c r="AR77" s="46"/>
      <c r="AS77" s="46" t="s">
        <v>584</v>
      </c>
      <c r="AT77" s="46" t="s">
        <v>308</v>
      </c>
      <c r="AU77" s="46" t="s">
        <v>4191</v>
      </c>
      <c r="AV77" s="46" t="s">
        <v>386</v>
      </c>
      <c r="AW77" s="46"/>
      <c r="AX77" s="46"/>
      <c r="AY77" s="46"/>
      <c r="AZ77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</row>
    <row r="78" spans="1:75" ht="75" x14ac:dyDescent="0.25">
      <c r="A78" s="47" t="s">
        <v>389</v>
      </c>
      <c r="B78" s="45" t="s">
        <v>305</v>
      </c>
      <c r="C78" s="45" t="s">
        <v>390</v>
      </c>
      <c r="D78" s="46" t="s">
        <v>391</v>
      </c>
      <c r="E78" s="25" t="s">
        <v>2</v>
      </c>
      <c r="F78" s="48" t="s">
        <v>308</v>
      </c>
      <c r="G78" s="62" t="s">
        <v>2034</v>
      </c>
      <c r="H78" s="63" t="s">
        <v>74</v>
      </c>
      <c r="I78" s="46" t="s">
        <v>194</v>
      </c>
      <c r="J78" s="46" t="s">
        <v>1064</v>
      </c>
      <c r="K78" s="46" t="s">
        <v>626</v>
      </c>
      <c r="L78" s="46" t="s">
        <v>626</v>
      </c>
      <c r="M78" s="46" t="s">
        <v>4276</v>
      </c>
      <c r="N78" s="46" t="s">
        <v>4191</v>
      </c>
      <c r="O78" s="46" t="s">
        <v>626</v>
      </c>
      <c r="P78" s="46" t="s">
        <v>626</v>
      </c>
      <c r="Q78" s="46" t="s">
        <v>194</v>
      </c>
      <c r="R78" s="46" t="s">
        <v>194</v>
      </c>
      <c r="S78" s="46" t="s">
        <v>194</v>
      </c>
      <c r="T78" s="46"/>
      <c r="U78" s="46" t="s">
        <v>606</v>
      </c>
      <c r="V78" s="46" t="s">
        <v>1064</v>
      </c>
      <c r="W78" s="46" t="s">
        <v>1064</v>
      </c>
      <c r="X78" s="46"/>
      <c r="Y78" s="46"/>
      <c r="Z78" s="46"/>
      <c r="AA78" s="46"/>
      <c r="AB78" s="46"/>
      <c r="AC78" s="46" t="s">
        <v>1064</v>
      </c>
      <c r="AD78" s="46"/>
      <c r="AE78" s="46"/>
      <c r="AF78" s="46"/>
      <c r="AG78" s="46"/>
      <c r="AH78" s="46"/>
      <c r="AI78" s="46"/>
      <c r="AJ78" s="46"/>
      <c r="AK78" s="46"/>
      <c r="AL78" s="46" t="s">
        <v>1064</v>
      </c>
      <c r="AM78" s="46"/>
      <c r="AN78" s="46"/>
      <c r="AO78" s="46"/>
      <c r="AP78" s="46" t="s">
        <v>1064</v>
      </c>
      <c r="AQ78" s="46"/>
      <c r="AR78" s="46"/>
      <c r="AS78" s="46" t="s">
        <v>586</v>
      </c>
      <c r="AT78" s="46" t="s">
        <v>308</v>
      </c>
      <c r="AU78" s="46" t="s">
        <v>4191</v>
      </c>
      <c r="AV78" s="46" t="s">
        <v>389</v>
      </c>
      <c r="AW78" s="46" t="s">
        <v>74</v>
      </c>
      <c r="AX78" s="46" t="s">
        <v>34</v>
      </c>
      <c r="AY78" s="46"/>
      <c r="AZ78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</row>
    <row r="79" spans="1:75" ht="150" x14ac:dyDescent="0.25">
      <c r="A79" s="47" t="s">
        <v>392</v>
      </c>
      <c r="B79" s="45" t="s">
        <v>305</v>
      </c>
      <c r="C79" s="45" t="s">
        <v>393</v>
      </c>
      <c r="D79" s="46" t="s">
        <v>394</v>
      </c>
      <c r="E79" s="25" t="s">
        <v>2</v>
      </c>
      <c r="F79" s="48" t="s">
        <v>549</v>
      </c>
      <c r="G79" s="62" t="s">
        <v>3331</v>
      </c>
      <c r="H79" s="63" t="s">
        <v>74</v>
      </c>
      <c r="I79" s="46" t="s">
        <v>4604</v>
      </c>
      <c r="J79" s="46" t="s">
        <v>1064</v>
      </c>
      <c r="K79" s="46" t="s">
        <v>4191</v>
      </c>
      <c r="L79" s="46" t="s">
        <v>626</v>
      </c>
      <c r="M79" s="46" t="s">
        <v>4277</v>
      </c>
      <c r="N79" s="46" t="s">
        <v>4191</v>
      </c>
      <c r="O79" s="46" t="s">
        <v>626</v>
      </c>
      <c r="P79" s="46" t="s">
        <v>626</v>
      </c>
      <c r="Q79" s="46" t="s">
        <v>194</v>
      </c>
      <c r="R79" s="46" t="s">
        <v>4278</v>
      </c>
      <c r="S79" s="46" t="s">
        <v>4279</v>
      </c>
      <c r="T79" s="46"/>
      <c r="U79" s="46" t="s">
        <v>606</v>
      </c>
      <c r="V79" s="46" t="s">
        <v>1064</v>
      </c>
      <c r="W79" s="46" t="s">
        <v>1064</v>
      </c>
      <c r="X79" s="46"/>
      <c r="Y79" s="46"/>
      <c r="Z79" s="46"/>
      <c r="AA79" s="46"/>
      <c r="AB79" s="46"/>
      <c r="AC79" s="46" t="s">
        <v>1064</v>
      </c>
      <c r="AD79" s="46"/>
      <c r="AE79" s="46"/>
      <c r="AF79" s="46"/>
      <c r="AG79" s="46"/>
      <c r="AH79" s="46"/>
      <c r="AI79" s="46"/>
      <c r="AJ79" s="46"/>
      <c r="AK79" s="46"/>
      <c r="AL79" s="46" t="s">
        <v>1064</v>
      </c>
      <c r="AM79" s="46"/>
      <c r="AN79" s="46"/>
      <c r="AO79" s="46"/>
      <c r="AP79" s="46" t="s">
        <v>1064</v>
      </c>
      <c r="AQ79" s="46"/>
      <c r="AR79" s="46"/>
      <c r="AS79" s="46" t="s">
        <v>583</v>
      </c>
      <c r="AT79" s="46" t="s">
        <v>2</v>
      </c>
      <c r="AU79" s="46" t="s">
        <v>4191</v>
      </c>
      <c r="AV79" s="46" t="s">
        <v>392</v>
      </c>
      <c r="AW79" s="46" t="s">
        <v>74</v>
      </c>
      <c r="AX79" s="46" t="s">
        <v>34</v>
      </c>
      <c r="AY79" s="46"/>
      <c r="AZ79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</row>
    <row r="80" spans="1:75" ht="75" x14ac:dyDescent="0.25">
      <c r="A80" s="47" t="s">
        <v>395</v>
      </c>
      <c r="B80" s="45" t="s">
        <v>305</v>
      </c>
      <c r="C80" s="45" t="s">
        <v>396</v>
      </c>
      <c r="D80" s="46" t="s">
        <v>397</v>
      </c>
      <c r="E80" s="25" t="s">
        <v>2</v>
      </c>
      <c r="F80" s="48" t="s">
        <v>32</v>
      </c>
      <c r="G80" s="62" t="s">
        <v>2035</v>
      </c>
      <c r="H80" s="63"/>
      <c r="I80" s="46" t="s">
        <v>194</v>
      </c>
      <c r="J80" s="46" t="s">
        <v>1064</v>
      </c>
      <c r="K80" s="46" t="s">
        <v>626</v>
      </c>
      <c r="L80" s="46" t="s">
        <v>626</v>
      </c>
      <c r="M80" s="46" t="s">
        <v>4275</v>
      </c>
      <c r="N80" s="46" t="s">
        <v>4191</v>
      </c>
      <c r="O80" s="46" t="s">
        <v>626</v>
      </c>
      <c r="P80" s="46" t="s">
        <v>626</v>
      </c>
      <c r="Q80" s="46" t="s">
        <v>194</v>
      </c>
      <c r="R80" s="46" t="s">
        <v>194</v>
      </c>
      <c r="S80" s="46" t="s">
        <v>194</v>
      </c>
      <c r="T80" s="46"/>
      <c r="U80" s="46" t="s">
        <v>2890</v>
      </c>
      <c r="V80" s="46" t="s">
        <v>1064</v>
      </c>
      <c r="W80" s="46" t="s">
        <v>1064</v>
      </c>
      <c r="X80" s="46"/>
      <c r="Y80" s="46"/>
      <c r="Z80" s="46"/>
      <c r="AA80" s="46"/>
      <c r="AB80" s="46"/>
      <c r="AC80" s="46" t="s">
        <v>1064</v>
      </c>
      <c r="AD80" s="46"/>
      <c r="AE80" s="46"/>
      <c r="AF80" s="46"/>
      <c r="AG80" s="46"/>
      <c r="AH80" s="46"/>
      <c r="AI80" s="46"/>
      <c r="AJ80" s="46"/>
      <c r="AK80" s="46"/>
      <c r="AL80" s="46" t="s">
        <v>1064</v>
      </c>
      <c r="AM80" s="46"/>
      <c r="AN80" s="46"/>
      <c r="AO80" s="46"/>
      <c r="AP80" s="46" t="s">
        <v>1064</v>
      </c>
      <c r="AQ80" s="46"/>
      <c r="AR80" s="46"/>
      <c r="AS80" s="46" t="s">
        <v>584</v>
      </c>
      <c r="AT80" s="46" t="s">
        <v>314</v>
      </c>
      <c r="AU80" s="46" t="s">
        <v>4191</v>
      </c>
      <c r="AV80" s="46" t="s">
        <v>395</v>
      </c>
      <c r="AW80" s="46"/>
      <c r="AX80" s="46"/>
      <c r="AY80" s="46"/>
      <c r="AZ80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</row>
    <row r="81" spans="1:75" ht="75" x14ac:dyDescent="0.25">
      <c r="A81" s="47" t="s">
        <v>398</v>
      </c>
      <c r="B81" s="45" t="s">
        <v>305</v>
      </c>
      <c r="C81" s="45" t="s">
        <v>399</v>
      </c>
      <c r="D81" s="46" t="s">
        <v>400</v>
      </c>
      <c r="E81" s="25" t="s">
        <v>2</v>
      </c>
      <c r="F81" s="48" t="s">
        <v>32</v>
      </c>
      <c r="G81" s="62" t="s">
        <v>2036</v>
      </c>
      <c r="H81" s="63"/>
      <c r="I81" s="46" t="s">
        <v>194</v>
      </c>
      <c r="J81" s="46" t="s">
        <v>1064</v>
      </c>
      <c r="K81" s="46" t="s">
        <v>626</v>
      </c>
      <c r="L81" s="46" t="s">
        <v>626</v>
      </c>
      <c r="M81" s="46" t="s">
        <v>4275</v>
      </c>
      <c r="N81" s="46" t="s">
        <v>4191</v>
      </c>
      <c r="O81" s="46" t="s">
        <v>626</v>
      </c>
      <c r="P81" s="46" t="s">
        <v>626</v>
      </c>
      <c r="Q81" s="46" t="s">
        <v>194</v>
      </c>
      <c r="R81" s="46" t="s">
        <v>194</v>
      </c>
      <c r="S81" s="46" t="s">
        <v>194</v>
      </c>
      <c r="T81" s="46"/>
      <c r="U81" s="46" t="s">
        <v>2890</v>
      </c>
      <c r="V81" s="46" t="s">
        <v>1064</v>
      </c>
      <c r="W81" s="46" t="s">
        <v>1064</v>
      </c>
      <c r="X81" s="46"/>
      <c r="Y81" s="46"/>
      <c r="Z81" s="46"/>
      <c r="AA81" s="46"/>
      <c r="AB81" s="46"/>
      <c r="AC81" s="46" t="s">
        <v>1064</v>
      </c>
      <c r="AD81" s="46"/>
      <c r="AE81" s="46"/>
      <c r="AF81" s="46"/>
      <c r="AG81" s="46"/>
      <c r="AH81" s="46"/>
      <c r="AI81" s="46"/>
      <c r="AJ81" s="46"/>
      <c r="AK81" s="46"/>
      <c r="AL81" s="46" t="s">
        <v>1064</v>
      </c>
      <c r="AM81" s="46"/>
      <c r="AN81" s="46"/>
      <c r="AO81" s="46"/>
      <c r="AP81" s="46" t="s">
        <v>1064</v>
      </c>
      <c r="AQ81" s="46"/>
      <c r="AR81" s="46"/>
      <c r="AS81" s="46" t="s">
        <v>584</v>
      </c>
      <c r="AT81" s="46" t="s">
        <v>308</v>
      </c>
      <c r="AU81" s="46" t="s">
        <v>4191</v>
      </c>
      <c r="AV81" s="46" t="s">
        <v>398</v>
      </c>
      <c r="AW81" s="46"/>
      <c r="AX81" s="46"/>
      <c r="AY81" s="46"/>
      <c r="AZ81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</row>
    <row r="82" spans="1:75" ht="75" x14ac:dyDescent="0.25">
      <c r="A82" s="47" t="s">
        <v>401</v>
      </c>
      <c r="B82" s="45" t="s">
        <v>305</v>
      </c>
      <c r="C82" s="45" t="s">
        <v>402</v>
      </c>
      <c r="D82" s="46" t="s">
        <v>403</v>
      </c>
      <c r="E82" s="25" t="s">
        <v>2</v>
      </c>
      <c r="F82" s="48" t="s">
        <v>32</v>
      </c>
      <c r="G82" s="62" t="s">
        <v>2037</v>
      </c>
      <c r="H82" s="63"/>
      <c r="I82" s="46" t="s">
        <v>194</v>
      </c>
      <c r="J82" s="46" t="s">
        <v>1064</v>
      </c>
      <c r="K82" s="46" t="s">
        <v>626</v>
      </c>
      <c r="L82" s="46" t="s">
        <v>626</v>
      </c>
      <c r="M82" s="46" t="s">
        <v>4275</v>
      </c>
      <c r="N82" s="46" t="s">
        <v>4191</v>
      </c>
      <c r="O82" s="46" t="s">
        <v>626</v>
      </c>
      <c r="P82" s="46" t="s">
        <v>626</v>
      </c>
      <c r="Q82" s="46" t="s">
        <v>194</v>
      </c>
      <c r="R82" s="46" t="s">
        <v>194</v>
      </c>
      <c r="S82" s="46" t="s">
        <v>194</v>
      </c>
      <c r="T82" s="46"/>
      <c r="U82" s="46" t="s">
        <v>2890</v>
      </c>
      <c r="V82" s="46" t="s">
        <v>1064</v>
      </c>
      <c r="W82" s="46" t="s">
        <v>1064</v>
      </c>
      <c r="X82" s="46"/>
      <c r="Y82" s="46"/>
      <c r="Z82" s="46"/>
      <c r="AA82" s="46"/>
      <c r="AB82" s="46"/>
      <c r="AC82" s="46" t="s">
        <v>1064</v>
      </c>
      <c r="AD82" s="46"/>
      <c r="AE82" s="46"/>
      <c r="AF82" s="46"/>
      <c r="AG82" s="46"/>
      <c r="AH82" s="46"/>
      <c r="AI82" s="46"/>
      <c r="AJ82" s="46"/>
      <c r="AK82" s="46"/>
      <c r="AL82" s="46" t="s">
        <v>1064</v>
      </c>
      <c r="AM82" s="46"/>
      <c r="AN82" s="46"/>
      <c r="AO82" s="46"/>
      <c r="AP82" s="46" t="s">
        <v>1064</v>
      </c>
      <c r="AQ82" s="46"/>
      <c r="AR82" s="46"/>
      <c r="AS82" s="46" t="s">
        <v>586</v>
      </c>
      <c r="AT82" s="46" t="s">
        <v>308</v>
      </c>
      <c r="AU82" s="46" t="s">
        <v>4191</v>
      </c>
      <c r="AV82" s="46" t="s">
        <v>401</v>
      </c>
      <c r="AW82" s="46"/>
      <c r="AX82" s="46"/>
      <c r="AY82" s="46"/>
      <c r="AZ82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</row>
    <row r="83" spans="1:75" ht="135" x14ac:dyDescent="0.25">
      <c r="A83" s="47" t="s">
        <v>404</v>
      </c>
      <c r="B83" s="45" t="s">
        <v>305</v>
      </c>
      <c r="C83" s="45" t="s">
        <v>405</v>
      </c>
      <c r="D83" s="46" t="s">
        <v>406</v>
      </c>
      <c r="E83" s="25" t="s">
        <v>2</v>
      </c>
      <c r="F83" s="48" t="s">
        <v>940</v>
      </c>
      <c r="G83" s="62" t="s">
        <v>2038</v>
      </c>
      <c r="H83" s="63" t="s">
        <v>79</v>
      </c>
      <c r="I83" s="46" t="s">
        <v>4253</v>
      </c>
      <c r="J83" s="46" t="s">
        <v>1064</v>
      </c>
      <c r="K83" s="46" t="s">
        <v>626</v>
      </c>
      <c r="L83" s="46" t="s">
        <v>4191</v>
      </c>
      <c r="M83" s="46" t="s">
        <v>4277</v>
      </c>
      <c r="N83" s="46" t="s">
        <v>4191</v>
      </c>
      <c r="O83" s="46" t="s">
        <v>626</v>
      </c>
      <c r="P83" s="46" t="s">
        <v>626</v>
      </c>
      <c r="Q83" s="46" t="s">
        <v>194</v>
      </c>
      <c r="R83" s="46" t="s">
        <v>4280</v>
      </c>
      <c r="S83" s="46" t="s">
        <v>4281</v>
      </c>
      <c r="T83" s="46"/>
      <c r="U83" s="46" t="s">
        <v>2890</v>
      </c>
      <c r="V83" s="46" t="s">
        <v>1064</v>
      </c>
      <c r="W83" s="46" t="s">
        <v>1064</v>
      </c>
      <c r="X83" s="46"/>
      <c r="Y83" s="46"/>
      <c r="Z83" s="46"/>
      <c r="AA83" s="46"/>
      <c r="AB83" s="46"/>
      <c r="AC83" s="46" t="s">
        <v>1064</v>
      </c>
      <c r="AD83" s="46"/>
      <c r="AE83" s="46"/>
      <c r="AF83" s="46"/>
      <c r="AG83" s="46"/>
      <c r="AH83" s="46"/>
      <c r="AI83" s="46"/>
      <c r="AJ83" s="46"/>
      <c r="AK83" s="46"/>
      <c r="AL83" s="46" t="s">
        <v>1064</v>
      </c>
      <c r="AM83" s="46"/>
      <c r="AN83" s="46"/>
      <c r="AO83" s="46"/>
      <c r="AP83" s="46" t="s">
        <v>1064</v>
      </c>
      <c r="AQ83" s="46"/>
      <c r="AR83" s="46"/>
      <c r="AS83" s="46" t="s">
        <v>583</v>
      </c>
      <c r="AT83" s="46" t="s">
        <v>2</v>
      </c>
      <c r="AU83" s="46" t="s">
        <v>4191</v>
      </c>
      <c r="AV83" s="46" t="s">
        <v>404</v>
      </c>
      <c r="AW83" s="46" t="s">
        <v>79</v>
      </c>
      <c r="AX83" s="46" t="s">
        <v>34</v>
      </c>
      <c r="AY83" s="46"/>
      <c r="AZ83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</row>
    <row r="84" spans="1:75" ht="75" x14ac:dyDescent="0.25">
      <c r="A84" s="47" t="s">
        <v>407</v>
      </c>
      <c r="B84" s="45" t="s">
        <v>305</v>
      </c>
      <c r="C84" s="45" t="s">
        <v>408</v>
      </c>
      <c r="D84" s="46" t="s">
        <v>409</v>
      </c>
      <c r="E84" s="25" t="s">
        <v>2</v>
      </c>
      <c r="F84" s="48" t="s">
        <v>32</v>
      </c>
      <c r="G84" s="62" t="s">
        <v>2039</v>
      </c>
      <c r="H84" s="63"/>
      <c r="I84" s="46" t="s">
        <v>194</v>
      </c>
      <c r="J84" s="46" t="s">
        <v>1064</v>
      </c>
      <c r="K84" s="46" t="s">
        <v>626</v>
      </c>
      <c r="L84" s="46" t="s">
        <v>626</v>
      </c>
      <c r="M84" s="46" t="s">
        <v>4274</v>
      </c>
      <c r="N84" s="46" t="s">
        <v>4191</v>
      </c>
      <c r="O84" s="46" t="s">
        <v>626</v>
      </c>
      <c r="P84" s="46" t="s">
        <v>626</v>
      </c>
      <c r="Q84" s="46" t="s">
        <v>194</v>
      </c>
      <c r="R84" s="46" t="s">
        <v>194</v>
      </c>
      <c r="S84" s="46" t="s">
        <v>194</v>
      </c>
      <c r="T84" s="46"/>
      <c r="U84" s="46" t="s">
        <v>2890</v>
      </c>
      <c r="V84" s="46" t="s">
        <v>1064</v>
      </c>
      <c r="W84" s="46" t="s">
        <v>1064</v>
      </c>
      <c r="X84" s="46"/>
      <c r="Y84" s="46"/>
      <c r="Z84" s="46"/>
      <c r="AA84" s="46"/>
      <c r="AB84" s="46"/>
      <c r="AC84" s="46" t="s">
        <v>1064</v>
      </c>
      <c r="AD84" s="46"/>
      <c r="AE84" s="46"/>
      <c r="AF84" s="46"/>
      <c r="AG84" s="46"/>
      <c r="AH84" s="46"/>
      <c r="AI84" s="46"/>
      <c r="AJ84" s="46"/>
      <c r="AK84" s="46"/>
      <c r="AL84" s="46" t="s">
        <v>1064</v>
      </c>
      <c r="AM84" s="46"/>
      <c r="AN84" s="46"/>
      <c r="AO84" s="46"/>
      <c r="AP84" s="46" t="s">
        <v>1064</v>
      </c>
      <c r="AQ84" s="46"/>
      <c r="AR84" s="46"/>
      <c r="AS84" s="46" t="s">
        <v>584</v>
      </c>
      <c r="AT84" s="46" t="s">
        <v>314</v>
      </c>
      <c r="AU84" s="46" t="s">
        <v>4191</v>
      </c>
      <c r="AV84" s="46" t="s">
        <v>407</v>
      </c>
      <c r="AW84" s="46"/>
      <c r="AX84" s="46"/>
      <c r="AY84" s="46"/>
      <c r="AZ84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</row>
    <row r="85" spans="1:75" ht="75" x14ac:dyDescent="0.25">
      <c r="A85" s="47" t="s">
        <v>410</v>
      </c>
      <c r="B85" s="45" t="s">
        <v>305</v>
      </c>
      <c r="C85" s="45" t="s">
        <v>411</v>
      </c>
      <c r="D85" s="46" t="s">
        <v>412</v>
      </c>
      <c r="E85" s="25" t="s">
        <v>2</v>
      </c>
      <c r="F85" s="48" t="s">
        <v>32</v>
      </c>
      <c r="G85" s="62" t="s">
        <v>2040</v>
      </c>
      <c r="H85" s="63"/>
      <c r="I85" s="46" t="s">
        <v>194</v>
      </c>
      <c r="J85" s="46" t="s">
        <v>1064</v>
      </c>
      <c r="K85" s="46" t="s">
        <v>626</v>
      </c>
      <c r="L85" s="46" t="s">
        <v>626</v>
      </c>
      <c r="M85" s="46" t="s">
        <v>4275</v>
      </c>
      <c r="N85" s="46" t="s">
        <v>4191</v>
      </c>
      <c r="O85" s="46" t="s">
        <v>626</v>
      </c>
      <c r="P85" s="46" t="s">
        <v>626</v>
      </c>
      <c r="Q85" s="46" t="s">
        <v>194</v>
      </c>
      <c r="R85" s="46" t="s">
        <v>194</v>
      </c>
      <c r="S85" s="46" t="s">
        <v>194</v>
      </c>
      <c r="T85" s="46"/>
      <c r="U85" s="46" t="s">
        <v>2890</v>
      </c>
      <c r="V85" s="46" t="s">
        <v>1064</v>
      </c>
      <c r="W85" s="46" t="s">
        <v>1064</v>
      </c>
      <c r="X85" s="46"/>
      <c r="Y85" s="46"/>
      <c r="Z85" s="46"/>
      <c r="AA85" s="46"/>
      <c r="AB85" s="46"/>
      <c r="AC85" s="46" t="s">
        <v>1064</v>
      </c>
      <c r="AD85" s="46"/>
      <c r="AE85" s="46"/>
      <c r="AF85" s="46"/>
      <c r="AG85" s="46"/>
      <c r="AH85" s="46"/>
      <c r="AI85" s="46"/>
      <c r="AJ85" s="46"/>
      <c r="AK85" s="46"/>
      <c r="AL85" s="46" t="s">
        <v>1064</v>
      </c>
      <c r="AM85" s="46"/>
      <c r="AN85" s="46"/>
      <c r="AO85" s="46"/>
      <c r="AP85" s="46" t="s">
        <v>1064</v>
      </c>
      <c r="AQ85" s="46"/>
      <c r="AR85" s="46"/>
      <c r="AS85" s="46" t="s">
        <v>584</v>
      </c>
      <c r="AT85" s="46" t="s">
        <v>308</v>
      </c>
      <c r="AU85" s="46" t="s">
        <v>4191</v>
      </c>
      <c r="AV85" s="46" t="s">
        <v>410</v>
      </c>
      <c r="AW85" s="46"/>
      <c r="AX85" s="46"/>
      <c r="AY85" s="46"/>
      <c r="AZ85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</row>
    <row r="86" spans="1:75" ht="75" x14ac:dyDescent="0.25">
      <c r="A86" s="47" t="s">
        <v>413</v>
      </c>
      <c r="B86" s="45" t="s">
        <v>305</v>
      </c>
      <c r="C86" s="45" t="s">
        <v>414</v>
      </c>
      <c r="D86" s="46" t="s">
        <v>415</v>
      </c>
      <c r="E86" s="25" t="s">
        <v>2</v>
      </c>
      <c r="F86" s="48" t="s">
        <v>32</v>
      </c>
      <c r="G86" s="62" t="s">
        <v>2041</v>
      </c>
      <c r="H86" s="63"/>
      <c r="I86" s="46" t="s">
        <v>194</v>
      </c>
      <c r="J86" s="46" t="s">
        <v>1064</v>
      </c>
      <c r="K86" s="46" t="s">
        <v>626</v>
      </c>
      <c r="L86" s="46" t="s">
        <v>626</v>
      </c>
      <c r="M86" s="46" t="s">
        <v>4276</v>
      </c>
      <c r="N86" s="46" t="s">
        <v>4191</v>
      </c>
      <c r="O86" s="46" t="s">
        <v>626</v>
      </c>
      <c r="P86" s="46" t="s">
        <v>626</v>
      </c>
      <c r="Q86" s="46" t="s">
        <v>194</v>
      </c>
      <c r="R86" s="46" t="s">
        <v>194</v>
      </c>
      <c r="S86" s="46" t="s">
        <v>194</v>
      </c>
      <c r="T86" s="46"/>
      <c r="U86" s="46" t="s">
        <v>2890</v>
      </c>
      <c r="V86" s="46" t="s">
        <v>1064</v>
      </c>
      <c r="W86" s="46" t="s">
        <v>1064</v>
      </c>
      <c r="X86" s="46"/>
      <c r="Y86" s="46"/>
      <c r="Z86" s="46"/>
      <c r="AA86" s="46"/>
      <c r="AB86" s="46"/>
      <c r="AC86" s="46" t="s">
        <v>1064</v>
      </c>
      <c r="AD86" s="46"/>
      <c r="AE86" s="46"/>
      <c r="AF86" s="46"/>
      <c r="AG86" s="46"/>
      <c r="AH86" s="46"/>
      <c r="AI86" s="46"/>
      <c r="AJ86" s="46"/>
      <c r="AK86" s="46"/>
      <c r="AL86" s="46" t="s">
        <v>1064</v>
      </c>
      <c r="AM86" s="46"/>
      <c r="AN86" s="46"/>
      <c r="AO86" s="46"/>
      <c r="AP86" s="46" t="s">
        <v>1064</v>
      </c>
      <c r="AQ86" s="46"/>
      <c r="AR86" s="46"/>
      <c r="AS86" s="46" t="s">
        <v>586</v>
      </c>
      <c r="AT86" s="46" t="s">
        <v>308</v>
      </c>
      <c r="AU86" s="46" t="s">
        <v>4191</v>
      </c>
      <c r="AV86" s="46" t="s">
        <v>413</v>
      </c>
      <c r="AW86" s="46"/>
      <c r="AX86" s="46"/>
      <c r="AY86" s="46"/>
      <c r="AZ8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</row>
    <row r="87" spans="1:75" ht="135" x14ac:dyDescent="0.25">
      <c r="A87" s="47" t="s">
        <v>416</v>
      </c>
      <c r="B87" s="45" t="s">
        <v>305</v>
      </c>
      <c r="C87" s="45" t="s">
        <v>417</v>
      </c>
      <c r="D87" s="46" t="s">
        <v>418</v>
      </c>
      <c r="E87" s="25" t="s">
        <v>2</v>
      </c>
      <c r="F87" s="48" t="s">
        <v>32</v>
      </c>
      <c r="G87" s="62" t="s">
        <v>2042</v>
      </c>
      <c r="H87" s="63" t="s">
        <v>83</v>
      </c>
      <c r="I87" s="46" t="s">
        <v>4253</v>
      </c>
      <c r="J87" s="46" t="s">
        <v>1064</v>
      </c>
      <c r="K87" s="46" t="s">
        <v>626</v>
      </c>
      <c r="L87" s="46" t="s">
        <v>4191</v>
      </c>
      <c r="M87" s="46" t="s">
        <v>4282</v>
      </c>
      <c r="N87" s="46" t="s">
        <v>4191</v>
      </c>
      <c r="O87" s="46" t="s">
        <v>626</v>
      </c>
      <c r="P87" s="46" t="s">
        <v>626</v>
      </c>
      <c r="Q87" s="46" t="s">
        <v>194</v>
      </c>
      <c r="R87" s="46" t="s">
        <v>4283</v>
      </c>
      <c r="S87" s="46" t="s">
        <v>4284</v>
      </c>
      <c r="T87" s="46"/>
      <c r="U87" s="46" t="s">
        <v>2890</v>
      </c>
      <c r="V87" s="46" t="s">
        <v>1064</v>
      </c>
      <c r="W87" s="46" t="s">
        <v>1064</v>
      </c>
      <c r="X87" s="46"/>
      <c r="Y87" s="46"/>
      <c r="Z87" s="46"/>
      <c r="AA87" s="46"/>
      <c r="AB87" s="46"/>
      <c r="AC87" s="46" t="s">
        <v>1064</v>
      </c>
      <c r="AD87" s="46"/>
      <c r="AE87" s="46"/>
      <c r="AF87" s="46"/>
      <c r="AG87" s="46"/>
      <c r="AH87" s="46"/>
      <c r="AI87" s="46"/>
      <c r="AJ87" s="46"/>
      <c r="AK87" s="46"/>
      <c r="AL87" s="46" t="s">
        <v>1064</v>
      </c>
      <c r="AM87" s="46"/>
      <c r="AN87" s="46"/>
      <c r="AO87" s="46"/>
      <c r="AP87" s="46" t="s">
        <v>1064</v>
      </c>
      <c r="AQ87" s="46"/>
      <c r="AR87" s="46"/>
      <c r="AS87" s="46" t="s">
        <v>583</v>
      </c>
      <c r="AT87" s="46" t="s">
        <v>2</v>
      </c>
      <c r="AU87" s="46" t="s">
        <v>4191</v>
      </c>
      <c r="AV87" s="46" t="s">
        <v>416</v>
      </c>
      <c r="AW87" s="46" t="s">
        <v>83</v>
      </c>
      <c r="AX87" s="46" t="s">
        <v>28</v>
      </c>
      <c r="AY87" s="46"/>
      <c r="AZ87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</row>
    <row r="88" spans="1:75" ht="75" x14ac:dyDescent="0.25">
      <c r="A88" s="47" t="s">
        <v>419</v>
      </c>
      <c r="B88" s="45" t="s">
        <v>305</v>
      </c>
      <c r="C88" s="45" t="s">
        <v>420</v>
      </c>
      <c r="D88" s="46" t="s">
        <v>421</v>
      </c>
      <c r="E88" s="25" t="s">
        <v>2</v>
      </c>
      <c r="F88" s="48" t="s">
        <v>549</v>
      </c>
      <c r="G88" s="62" t="s">
        <v>2043</v>
      </c>
      <c r="H88" s="63" t="s">
        <v>86</v>
      </c>
      <c r="I88" s="46" t="s">
        <v>194</v>
      </c>
      <c r="J88" s="46" t="s">
        <v>1064</v>
      </c>
      <c r="K88" s="46" t="s">
        <v>626</v>
      </c>
      <c r="L88" s="46" t="s">
        <v>626</v>
      </c>
      <c r="M88" s="46" t="s">
        <v>4242</v>
      </c>
      <c r="N88" s="46" t="s">
        <v>4191</v>
      </c>
      <c r="O88" s="46" t="s">
        <v>626</v>
      </c>
      <c r="P88" s="46" t="s">
        <v>626</v>
      </c>
      <c r="Q88" s="46" t="s">
        <v>194</v>
      </c>
      <c r="R88" s="46" t="s">
        <v>194</v>
      </c>
      <c r="S88" s="46" t="s">
        <v>194</v>
      </c>
      <c r="T88" s="46"/>
      <c r="U88" s="46" t="s">
        <v>2890</v>
      </c>
      <c r="V88" s="46" t="s">
        <v>1064</v>
      </c>
      <c r="W88" s="46" t="s">
        <v>1064</v>
      </c>
      <c r="X88" s="46"/>
      <c r="Y88" s="46"/>
      <c r="Z88" s="46"/>
      <c r="AA88" s="46"/>
      <c r="AB88" s="46"/>
      <c r="AC88" s="46" t="s">
        <v>1064</v>
      </c>
      <c r="AD88" s="46"/>
      <c r="AE88" s="46"/>
      <c r="AF88" s="46"/>
      <c r="AG88" s="46"/>
      <c r="AH88" s="46"/>
      <c r="AI88" s="46"/>
      <c r="AJ88" s="46"/>
      <c r="AK88" s="46"/>
      <c r="AL88" s="46" t="s">
        <v>1064</v>
      </c>
      <c r="AM88" s="46"/>
      <c r="AN88" s="46"/>
      <c r="AO88" s="46"/>
      <c r="AP88" s="46" t="s">
        <v>1064</v>
      </c>
      <c r="AQ88" s="46"/>
      <c r="AR88" s="46"/>
      <c r="AS88" s="46" t="s">
        <v>584</v>
      </c>
      <c r="AT88" s="46" t="s">
        <v>314</v>
      </c>
      <c r="AU88" s="46" t="s">
        <v>4191</v>
      </c>
      <c r="AV88" s="46" t="s">
        <v>419</v>
      </c>
      <c r="AW88" s="46" t="s">
        <v>86</v>
      </c>
      <c r="AX88" s="46" t="s">
        <v>28</v>
      </c>
      <c r="AY88" s="46"/>
      <c r="AZ88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</row>
    <row r="89" spans="1:75" ht="75" x14ac:dyDescent="0.25">
      <c r="A89" s="47" t="s">
        <v>422</v>
      </c>
      <c r="B89" s="45" t="s">
        <v>305</v>
      </c>
      <c r="C89" s="45" t="s">
        <v>423</v>
      </c>
      <c r="D89" s="46" t="s">
        <v>424</v>
      </c>
      <c r="E89" s="25" t="s">
        <v>2</v>
      </c>
      <c r="F89" s="48" t="s">
        <v>32</v>
      </c>
      <c r="G89" s="62" t="s">
        <v>2044</v>
      </c>
      <c r="H89" s="63"/>
      <c r="I89" s="46" t="s">
        <v>194</v>
      </c>
      <c r="J89" s="46" t="s">
        <v>1064</v>
      </c>
      <c r="K89" s="46" t="s">
        <v>626</v>
      </c>
      <c r="L89" s="46" t="s">
        <v>626</v>
      </c>
      <c r="M89" s="46" t="s">
        <v>4275</v>
      </c>
      <c r="N89" s="46" t="s">
        <v>4191</v>
      </c>
      <c r="O89" s="46" t="s">
        <v>626</v>
      </c>
      <c r="P89" s="46" t="s">
        <v>626</v>
      </c>
      <c r="Q89" s="46" t="s">
        <v>194</v>
      </c>
      <c r="R89" s="46" t="s">
        <v>194</v>
      </c>
      <c r="S89" s="46" t="s">
        <v>194</v>
      </c>
      <c r="T89" s="46"/>
      <c r="U89" s="46" t="s">
        <v>2890</v>
      </c>
      <c r="V89" s="46" t="s">
        <v>1064</v>
      </c>
      <c r="W89" s="46" t="s">
        <v>1064</v>
      </c>
      <c r="X89" s="46"/>
      <c r="Y89" s="46"/>
      <c r="Z89" s="46"/>
      <c r="AA89" s="46"/>
      <c r="AB89" s="46"/>
      <c r="AC89" s="46" t="s">
        <v>1064</v>
      </c>
      <c r="AD89" s="46"/>
      <c r="AE89" s="46"/>
      <c r="AF89" s="46"/>
      <c r="AG89" s="46"/>
      <c r="AH89" s="46"/>
      <c r="AI89" s="46"/>
      <c r="AJ89" s="46"/>
      <c r="AK89" s="46"/>
      <c r="AL89" s="46" t="s">
        <v>1064</v>
      </c>
      <c r="AM89" s="46"/>
      <c r="AN89" s="46"/>
      <c r="AO89" s="46"/>
      <c r="AP89" s="46" t="s">
        <v>1064</v>
      </c>
      <c r="AQ89" s="46"/>
      <c r="AR89" s="46"/>
      <c r="AS89" s="46" t="s">
        <v>584</v>
      </c>
      <c r="AT89" s="46" t="s">
        <v>308</v>
      </c>
      <c r="AU89" s="46" t="s">
        <v>4191</v>
      </c>
      <c r="AV89" s="46" t="s">
        <v>422</v>
      </c>
      <c r="AW89" s="46"/>
      <c r="AX89" s="46"/>
      <c r="AY89" s="46"/>
      <c r="AZ89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</row>
    <row r="90" spans="1:75" ht="75" x14ac:dyDescent="0.25">
      <c r="A90" s="47" t="s">
        <v>425</v>
      </c>
      <c r="B90" s="45" t="s">
        <v>305</v>
      </c>
      <c r="C90" s="45" t="s">
        <v>426</v>
      </c>
      <c r="D90" s="46" t="s">
        <v>427</v>
      </c>
      <c r="E90" s="25" t="s">
        <v>2</v>
      </c>
      <c r="F90" s="48" t="s">
        <v>836</v>
      </c>
      <c r="G90" s="62" t="s">
        <v>2045</v>
      </c>
      <c r="H90" s="63" t="s">
        <v>86</v>
      </c>
      <c r="I90" s="46" t="s">
        <v>194</v>
      </c>
      <c r="J90" s="46" t="s">
        <v>1064</v>
      </c>
      <c r="K90" s="46" t="s">
        <v>626</v>
      </c>
      <c r="L90" s="46" t="s">
        <v>626</v>
      </c>
      <c r="M90" s="46" t="s">
        <v>4276</v>
      </c>
      <c r="N90" s="46" t="s">
        <v>4191</v>
      </c>
      <c r="O90" s="46" t="s">
        <v>626</v>
      </c>
      <c r="P90" s="46" t="s">
        <v>626</v>
      </c>
      <c r="Q90" s="46" t="s">
        <v>194</v>
      </c>
      <c r="R90" s="46" t="s">
        <v>194</v>
      </c>
      <c r="S90" s="46" t="s">
        <v>194</v>
      </c>
      <c r="T90" s="46"/>
      <c r="U90" s="46" t="s">
        <v>2890</v>
      </c>
      <c r="V90" s="46" t="s">
        <v>1064</v>
      </c>
      <c r="W90" s="46" t="s">
        <v>1064</v>
      </c>
      <c r="X90" s="46"/>
      <c r="Y90" s="46"/>
      <c r="Z90" s="46"/>
      <c r="AA90" s="46"/>
      <c r="AB90" s="46"/>
      <c r="AC90" s="46" t="s">
        <v>1064</v>
      </c>
      <c r="AD90" s="46"/>
      <c r="AE90" s="46"/>
      <c r="AF90" s="46"/>
      <c r="AG90" s="46"/>
      <c r="AH90" s="46"/>
      <c r="AI90" s="46"/>
      <c r="AJ90" s="46"/>
      <c r="AK90" s="46"/>
      <c r="AL90" s="46" t="s">
        <v>1064</v>
      </c>
      <c r="AM90" s="46"/>
      <c r="AN90" s="46"/>
      <c r="AO90" s="46"/>
      <c r="AP90" s="46" t="s">
        <v>1064</v>
      </c>
      <c r="AQ90" s="46"/>
      <c r="AR90" s="46"/>
      <c r="AS90" s="46" t="s">
        <v>586</v>
      </c>
      <c r="AT90" s="46" t="s">
        <v>308</v>
      </c>
      <c r="AU90" s="46" t="s">
        <v>4191</v>
      </c>
      <c r="AV90" s="46" t="s">
        <v>425</v>
      </c>
      <c r="AW90" s="46" t="s">
        <v>86</v>
      </c>
      <c r="AX90" s="46" t="s">
        <v>28</v>
      </c>
      <c r="AY90" s="46"/>
      <c r="AZ90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</row>
    <row r="91" spans="1:75" ht="150" x14ac:dyDescent="0.25">
      <c r="A91" s="47" t="s">
        <v>428</v>
      </c>
      <c r="B91" s="45" t="s">
        <v>305</v>
      </c>
      <c r="C91" s="45" t="s">
        <v>429</v>
      </c>
      <c r="D91" s="46" t="s">
        <v>430</v>
      </c>
      <c r="E91" s="25" t="s">
        <v>2</v>
      </c>
      <c r="F91" s="48" t="s">
        <v>36</v>
      </c>
      <c r="G91" s="62" t="s">
        <v>2046</v>
      </c>
      <c r="H91" s="63" t="s">
        <v>86</v>
      </c>
      <c r="I91" s="46" t="s">
        <v>4253</v>
      </c>
      <c r="J91" s="46" t="s">
        <v>1064</v>
      </c>
      <c r="K91" s="46" t="s">
        <v>626</v>
      </c>
      <c r="L91" s="46" t="s">
        <v>4191</v>
      </c>
      <c r="M91" s="46" t="s">
        <v>4285</v>
      </c>
      <c r="N91" s="46" t="s">
        <v>4191</v>
      </c>
      <c r="O91" s="46" t="s">
        <v>626</v>
      </c>
      <c r="P91" s="46" t="s">
        <v>626</v>
      </c>
      <c r="Q91" s="46" t="s">
        <v>194</v>
      </c>
      <c r="R91" s="46" t="s">
        <v>4286</v>
      </c>
      <c r="S91" s="46" t="s">
        <v>4287</v>
      </c>
      <c r="T91" s="46" t="s">
        <v>4191</v>
      </c>
      <c r="U91" s="46" t="s">
        <v>2890</v>
      </c>
      <c r="V91" s="46" t="s">
        <v>1064</v>
      </c>
      <c r="W91" s="46" t="s">
        <v>1064</v>
      </c>
      <c r="X91" s="46"/>
      <c r="Y91" s="46"/>
      <c r="Z91" s="46"/>
      <c r="AA91" s="46"/>
      <c r="AB91" s="46"/>
      <c r="AC91" s="46" t="s">
        <v>1064</v>
      </c>
      <c r="AD91" s="46"/>
      <c r="AE91" s="46"/>
      <c r="AF91" s="46"/>
      <c r="AG91" s="46"/>
      <c r="AH91" s="46"/>
      <c r="AI91" s="46"/>
      <c r="AJ91" s="46"/>
      <c r="AK91" s="46"/>
      <c r="AL91" s="46" t="s">
        <v>1064</v>
      </c>
      <c r="AM91" s="46"/>
      <c r="AN91" s="46"/>
      <c r="AO91" s="46"/>
      <c r="AP91" s="46" t="s">
        <v>1064</v>
      </c>
      <c r="AQ91" s="46"/>
      <c r="AR91" s="46"/>
      <c r="AS91" s="46" t="s">
        <v>583</v>
      </c>
      <c r="AT91" s="46" t="s">
        <v>2</v>
      </c>
      <c r="AU91" s="46" t="s">
        <v>4191</v>
      </c>
      <c r="AV91" s="46" t="s">
        <v>428</v>
      </c>
      <c r="AW91" s="46" t="s">
        <v>86</v>
      </c>
      <c r="AX91" s="46" t="s">
        <v>28</v>
      </c>
      <c r="AY91" s="46"/>
      <c r="AZ91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</row>
    <row r="92" spans="1:75" ht="75" x14ac:dyDescent="0.25">
      <c r="A92" s="47" t="s">
        <v>431</v>
      </c>
      <c r="B92" s="45" t="s">
        <v>305</v>
      </c>
      <c r="C92" s="45" t="s">
        <v>432</v>
      </c>
      <c r="D92" s="46" t="s">
        <v>433</v>
      </c>
      <c r="E92" s="25" t="s">
        <v>2</v>
      </c>
      <c r="F92" s="48" t="s">
        <v>32</v>
      </c>
      <c r="G92" s="62" t="s">
        <v>2047</v>
      </c>
      <c r="H92" s="63"/>
      <c r="I92" s="46" t="s">
        <v>194</v>
      </c>
      <c r="J92" s="46" t="s">
        <v>1064</v>
      </c>
      <c r="K92" s="46" t="s">
        <v>626</v>
      </c>
      <c r="L92" s="46" t="s">
        <v>626</v>
      </c>
      <c r="M92" s="46" t="s">
        <v>4274</v>
      </c>
      <c r="N92" s="46" t="s">
        <v>4191</v>
      </c>
      <c r="O92" s="46" t="s">
        <v>626</v>
      </c>
      <c r="P92" s="46" t="s">
        <v>626</v>
      </c>
      <c r="Q92" s="46" t="s">
        <v>194</v>
      </c>
      <c r="R92" s="46" t="s">
        <v>194</v>
      </c>
      <c r="S92" s="46" t="s">
        <v>194</v>
      </c>
      <c r="T92" s="46"/>
      <c r="U92" s="46" t="s">
        <v>2890</v>
      </c>
      <c r="V92" s="46" t="s">
        <v>1064</v>
      </c>
      <c r="W92" s="46" t="s">
        <v>1064</v>
      </c>
      <c r="X92" s="46"/>
      <c r="Y92" s="46"/>
      <c r="Z92" s="46"/>
      <c r="AA92" s="46"/>
      <c r="AB92" s="46"/>
      <c r="AC92" s="46" t="s">
        <v>1064</v>
      </c>
      <c r="AD92" s="46"/>
      <c r="AE92" s="46"/>
      <c r="AF92" s="46"/>
      <c r="AG92" s="46"/>
      <c r="AH92" s="46"/>
      <c r="AI92" s="46"/>
      <c r="AJ92" s="46"/>
      <c r="AK92" s="46"/>
      <c r="AL92" s="46" t="s">
        <v>1064</v>
      </c>
      <c r="AM92" s="46"/>
      <c r="AN92" s="46"/>
      <c r="AO92" s="46"/>
      <c r="AP92" s="46" t="s">
        <v>1064</v>
      </c>
      <c r="AQ92" s="46"/>
      <c r="AR92" s="46"/>
      <c r="AS92" s="46" t="s">
        <v>584</v>
      </c>
      <c r="AT92" s="46" t="s">
        <v>314</v>
      </c>
      <c r="AU92" s="46" t="s">
        <v>4191</v>
      </c>
      <c r="AV92" s="46" t="s">
        <v>431</v>
      </c>
      <c r="AW92" s="46"/>
      <c r="AX92" s="46"/>
      <c r="AY92" s="46"/>
      <c r="AZ92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</row>
    <row r="93" spans="1:75" ht="75" x14ac:dyDescent="0.25">
      <c r="A93" s="47" t="s">
        <v>434</v>
      </c>
      <c r="B93" s="45" t="s">
        <v>305</v>
      </c>
      <c r="C93" s="45" t="s">
        <v>435</v>
      </c>
      <c r="D93" s="46" t="s">
        <v>436</v>
      </c>
      <c r="E93" s="25" t="s">
        <v>2</v>
      </c>
      <c r="F93" s="48" t="s">
        <v>32</v>
      </c>
      <c r="G93" s="62" t="s">
        <v>2048</v>
      </c>
      <c r="H93" s="63"/>
      <c r="I93" s="46" t="s">
        <v>194</v>
      </c>
      <c r="J93" s="46" t="s">
        <v>1064</v>
      </c>
      <c r="K93" s="46" t="s">
        <v>626</v>
      </c>
      <c r="L93" s="46" t="s">
        <v>626</v>
      </c>
      <c r="M93" s="46" t="s">
        <v>4275</v>
      </c>
      <c r="N93" s="46" t="s">
        <v>4191</v>
      </c>
      <c r="O93" s="46" t="s">
        <v>626</v>
      </c>
      <c r="P93" s="46" t="s">
        <v>626</v>
      </c>
      <c r="Q93" s="46" t="s">
        <v>194</v>
      </c>
      <c r="R93" s="46" t="s">
        <v>194</v>
      </c>
      <c r="S93" s="46" t="s">
        <v>194</v>
      </c>
      <c r="T93" s="46"/>
      <c r="U93" s="46" t="s">
        <v>2890</v>
      </c>
      <c r="V93" s="46" t="s">
        <v>1064</v>
      </c>
      <c r="W93" s="46" t="s">
        <v>1064</v>
      </c>
      <c r="X93" s="46"/>
      <c r="Y93" s="46"/>
      <c r="Z93" s="46"/>
      <c r="AA93" s="46"/>
      <c r="AB93" s="46"/>
      <c r="AC93" s="46" t="s">
        <v>1064</v>
      </c>
      <c r="AD93" s="46"/>
      <c r="AE93" s="46"/>
      <c r="AF93" s="46"/>
      <c r="AG93" s="46"/>
      <c r="AH93" s="46"/>
      <c r="AI93" s="46"/>
      <c r="AJ93" s="46"/>
      <c r="AK93" s="46"/>
      <c r="AL93" s="46" t="s">
        <v>1064</v>
      </c>
      <c r="AM93" s="46"/>
      <c r="AN93" s="46"/>
      <c r="AO93" s="46"/>
      <c r="AP93" s="46" t="s">
        <v>1064</v>
      </c>
      <c r="AQ93" s="46"/>
      <c r="AR93" s="46"/>
      <c r="AS93" s="46" t="s">
        <v>584</v>
      </c>
      <c r="AT93" s="46" t="s">
        <v>308</v>
      </c>
      <c r="AU93" s="46" t="s">
        <v>4191</v>
      </c>
      <c r="AV93" s="46" t="s">
        <v>434</v>
      </c>
      <c r="AW93" s="46"/>
      <c r="AX93" s="46"/>
      <c r="AY93" s="46"/>
      <c r="AZ93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</row>
    <row r="94" spans="1:75" ht="75" x14ac:dyDescent="0.25">
      <c r="A94" s="47" t="s">
        <v>437</v>
      </c>
      <c r="B94" s="45" t="s">
        <v>305</v>
      </c>
      <c r="C94" s="45" t="s">
        <v>438</v>
      </c>
      <c r="D94" s="46" t="s">
        <v>439</v>
      </c>
      <c r="E94" s="25" t="s">
        <v>2</v>
      </c>
      <c r="F94" s="48" t="s">
        <v>317</v>
      </c>
      <c r="G94" s="62" t="s">
        <v>2049</v>
      </c>
      <c r="H94" s="63" t="s">
        <v>91</v>
      </c>
      <c r="I94" s="46" t="s">
        <v>194</v>
      </c>
      <c r="J94" s="46" t="s">
        <v>1064</v>
      </c>
      <c r="K94" s="46" t="s">
        <v>626</v>
      </c>
      <c r="L94" s="46" t="s">
        <v>626</v>
      </c>
      <c r="M94" s="46" t="s">
        <v>4288</v>
      </c>
      <c r="N94" s="46" t="s">
        <v>4191</v>
      </c>
      <c r="O94" s="46" t="s">
        <v>626</v>
      </c>
      <c r="P94" s="46" t="s">
        <v>626</v>
      </c>
      <c r="Q94" s="46" t="s">
        <v>194</v>
      </c>
      <c r="R94" s="46" t="s">
        <v>194</v>
      </c>
      <c r="S94" s="46" t="s">
        <v>194</v>
      </c>
      <c r="T94" s="46"/>
      <c r="U94" s="46" t="s">
        <v>2890</v>
      </c>
      <c r="V94" s="46" t="s">
        <v>1064</v>
      </c>
      <c r="W94" s="46" t="s">
        <v>1064</v>
      </c>
      <c r="X94" s="46"/>
      <c r="Y94" s="46"/>
      <c r="Z94" s="46"/>
      <c r="AA94" s="46"/>
      <c r="AB94" s="46"/>
      <c r="AC94" s="46" t="s">
        <v>1064</v>
      </c>
      <c r="AD94" s="46"/>
      <c r="AE94" s="46"/>
      <c r="AF94" s="46"/>
      <c r="AG94" s="46"/>
      <c r="AH94" s="46"/>
      <c r="AI94" s="46"/>
      <c r="AJ94" s="46"/>
      <c r="AK94" s="46"/>
      <c r="AL94" s="46" t="s">
        <v>1064</v>
      </c>
      <c r="AM94" s="46"/>
      <c r="AN94" s="46"/>
      <c r="AO94" s="46"/>
      <c r="AP94" s="46" t="s">
        <v>1064</v>
      </c>
      <c r="AQ94" s="46"/>
      <c r="AR94" s="46"/>
      <c r="AS94" s="46" t="s">
        <v>586</v>
      </c>
      <c r="AT94" s="46" t="s">
        <v>308</v>
      </c>
      <c r="AU94" s="46" t="s">
        <v>4191</v>
      </c>
      <c r="AV94" s="46" t="s">
        <v>437</v>
      </c>
      <c r="AW94" s="46" t="s">
        <v>91</v>
      </c>
      <c r="AX94" s="46" t="s">
        <v>28</v>
      </c>
      <c r="AY94" s="46"/>
      <c r="AZ94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</row>
    <row r="95" spans="1:75" ht="150" x14ac:dyDescent="0.25">
      <c r="A95" s="47" t="s">
        <v>440</v>
      </c>
      <c r="B95" s="45" t="s">
        <v>305</v>
      </c>
      <c r="C95" s="45" t="s">
        <v>441</v>
      </c>
      <c r="D95" s="46" t="s">
        <v>712</v>
      </c>
      <c r="E95" s="25" t="s">
        <v>2</v>
      </c>
      <c r="F95" s="48" t="s">
        <v>801</v>
      </c>
      <c r="G95" s="62" t="s">
        <v>2050</v>
      </c>
      <c r="H95" s="63" t="s">
        <v>91</v>
      </c>
      <c r="I95" s="46" t="s">
        <v>4253</v>
      </c>
      <c r="J95" s="46" t="s">
        <v>1064</v>
      </c>
      <c r="K95" s="46" t="s">
        <v>626</v>
      </c>
      <c r="L95" s="46" t="s">
        <v>4191</v>
      </c>
      <c r="M95" s="46" t="s">
        <v>4289</v>
      </c>
      <c r="N95" s="46" t="s">
        <v>4191</v>
      </c>
      <c r="O95" s="46" t="s">
        <v>626</v>
      </c>
      <c r="P95" s="46" t="s">
        <v>626</v>
      </c>
      <c r="Q95" s="46" t="s">
        <v>194</v>
      </c>
      <c r="R95" s="46" t="s">
        <v>4290</v>
      </c>
      <c r="S95" s="46" t="s">
        <v>4291</v>
      </c>
      <c r="T95" s="46" t="s">
        <v>4191</v>
      </c>
      <c r="U95" s="46" t="s">
        <v>2890</v>
      </c>
      <c r="V95" s="46" t="s">
        <v>1064</v>
      </c>
      <c r="W95" s="46" t="s">
        <v>1064</v>
      </c>
      <c r="X95" s="46"/>
      <c r="Y95" s="46"/>
      <c r="Z95" s="46"/>
      <c r="AA95" s="46"/>
      <c r="AB95" s="46"/>
      <c r="AC95" s="46" t="s">
        <v>1064</v>
      </c>
      <c r="AD95" s="46"/>
      <c r="AE95" s="46"/>
      <c r="AF95" s="46"/>
      <c r="AG95" s="46"/>
      <c r="AH95" s="46"/>
      <c r="AI95" s="46"/>
      <c r="AJ95" s="46"/>
      <c r="AK95" s="46"/>
      <c r="AL95" s="46" t="s">
        <v>1064</v>
      </c>
      <c r="AM95" s="46"/>
      <c r="AN95" s="46"/>
      <c r="AO95" s="46"/>
      <c r="AP95" s="46" t="s">
        <v>1064</v>
      </c>
      <c r="AQ95" s="46"/>
      <c r="AR95" s="46"/>
      <c r="AS95" s="46" t="s">
        <v>583</v>
      </c>
      <c r="AT95" s="46" t="s">
        <v>2</v>
      </c>
      <c r="AU95" s="46" t="s">
        <v>4191</v>
      </c>
      <c r="AV95" s="46" t="s">
        <v>440</v>
      </c>
      <c r="AW95" s="46" t="s">
        <v>91</v>
      </c>
      <c r="AX95" s="46" t="s">
        <v>28</v>
      </c>
      <c r="AY95" s="46"/>
      <c r="AZ95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</row>
    <row r="96" spans="1:75" ht="75" x14ac:dyDescent="0.25">
      <c r="A96" s="47" t="s">
        <v>442</v>
      </c>
      <c r="B96" s="45" t="s">
        <v>305</v>
      </c>
      <c r="C96" s="45" t="s">
        <v>443</v>
      </c>
      <c r="D96" s="46" t="s">
        <v>444</v>
      </c>
      <c r="E96" s="25" t="s">
        <v>2</v>
      </c>
      <c r="F96" s="48" t="s">
        <v>32</v>
      </c>
      <c r="G96" s="62" t="s">
        <v>2051</v>
      </c>
      <c r="H96" s="63"/>
      <c r="I96" s="46" t="s">
        <v>194</v>
      </c>
      <c r="J96" s="46" t="s">
        <v>1064</v>
      </c>
      <c r="K96" s="46" t="s">
        <v>626</v>
      </c>
      <c r="L96" s="46" t="s">
        <v>626</v>
      </c>
      <c r="M96" s="46" t="s">
        <v>4242</v>
      </c>
      <c r="N96" s="46" t="s">
        <v>4191</v>
      </c>
      <c r="O96" s="46" t="s">
        <v>626</v>
      </c>
      <c r="P96" s="46" t="s">
        <v>626</v>
      </c>
      <c r="Q96" s="46" t="s">
        <v>194</v>
      </c>
      <c r="R96" s="46" t="s">
        <v>194</v>
      </c>
      <c r="S96" s="46" t="s">
        <v>194</v>
      </c>
      <c r="T96" s="46" t="s">
        <v>626</v>
      </c>
      <c r="U96" s="46" t="s">
        <v>2890</v>
      </c>
      <c r="V96" s="46" t="s">
        <v>1064</v>
      </c>
      <c r="W96" s="46" t="s">
        <v>1064</v>
      </c>
      <c r="X96" s="46"/>
      <c r="Y96" s="46"/>
      <c r="Z96" s="46"/>
      <c r="AA96" s="46"/>
      <c r="AB96" s="46"/>
      <c r="AC96" s="46" t="s">
        <v>1064</v>
      </c>
      <c r="AD96" s="46"/>
      <c r="AE96" s="46"/>
      <c r="AF96" s="46"/>
      <c r="AG96" s="46"/>
      <c r="AH96" s="46"/>
      <c r="AI96" s="46"/>
      <c r="AJ96" s="46"/>
      <c r="AK96" s="46"/>
      <c r="AL96" s="46" t="s">
        <v>1064</v>
      </c>
      <c r="AM96" s="46"/>
      <c r="AN96" s="46"/>
      <c r="AO96" s="46"/>
      <c r="AP96" s="46" t="s">
        <v>1064</v>
      </c>
      <c r="AQ96" s="46"/>
      <c r="AR96" s="46"/>
      <c r="AS96" s="46" t="s">
        <v>584</v>
      </c>
      <c r="AT96" s="46" t="s">
        <v>314</v>
      </c>
      <c r="AU96" s="46" t="s">
        <v>4191</v>
      </c>
      <c r="AV96" s="46" t="s">
        <v>442</v>
      </c>
      <c r="AW96" s="46"/>
      <c r="AX96" s="46"/>
      <c r="AY96" s="46"/>
      <c r="AZ9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</row>
    <row r="97" spans="1:75" ht="75" x14ac:dyDescent="0.25">
      <c r="A97" s="47" t="s">
        <v>445</v>
      </c>
      <c r="B97" s="45" t="s">
        <v>305</v>
      </c>
      <c r="C97" s="45" t="s">
        <v>446</v>
      </c>
      <c r="D97" s="46" t="s">
        <v>447</v>
      </c>
      <c r="E97" s="25" t="s">
        <v>2</v>
      </c>
      <c r="F97" s="48" t="s">
        <v>32</v>
      </c>
      <c r="G97" s="62" t="s">
        <v>2052</v>
      </c>
      <c r="H97" s="63"/>
      <c r="I97" s="46" t="s">
        <v>194</v>
      </c>
      <c r="J97" s="46" t="s">
        <v>1064</v>
      </c>
      <c r="K97" s="46" t="s">
        <v>626</v>
      </c>
      <c r="L97" s="46" t="s">
        <v>626</v>
      </c>
      <c r="M97" s="46" t="s">
        <v>4244</v>
      </c>
      <c r="N97" s="46" t="s">
        <v>4191</v>
      </c>
      <c r="O97" s="46" t="s">
        <v>626</v>
      </c>
      <c r="P97" s="46" t="s">
        <v>626</v>
      </c>
      <c r="Q97" s="46" t="s">
        <v>194</v>
      </c>
      <c r="R97" s="46" t="s">
        <v>194</v>
      </c>
      <c r="S97" s="46" t="s">
        <v>194</v>
      </c>
      <c r="T97" s="46" t="s">
        <v>626</v>
      </c>
      <c r="U97" s="46" t="s">
        <v>2890</v>
      </c>
      <c r="V97" s="46" t="s">
        <v>1064</v>
      </c>
      <c r="W97" s="46" t="s">
        <v>1064</v>
      </c>
      <c r="X97" s="46"/>
      <c r="Y97" s="46"/>
      <c r="Z97" s="46"/>
      <c r="AA97" s="46"/>
      <c r="AB97" s="46"/>
      <c r="AC97" s="46" t="s">
        <v>1064</v>
      </c>
      <c r="AD97" s="46"/>
      <c r="AE97" s="46"/>
      <c r="AF97" s="46"/>
      <c r="AG97" s="46"/>
      <c r="AH97" s="46"/>
      <c r="AI97" s="46"/>
      <c r="AJ97" s="46"/>
      <c r="AK97" s="46"/>
      <c r="AL97" s="46" t="s">
        <v>1064</v>
      </c>
      <c r="AM97" s="46"/>
      <c r="AN97" s="46"/>
      <c r="AO97" s="46"/>
      <c r="AP97" s="46" t="s">
        <v>1064</v>
      </c>
      <c r="AQ97" s="46"/>
      <c r="AR97" s="46"/>
      <c r="AS97" s="46" t="s">
        <v>584</v>
      </c>
      <c r="AT97" s="46" t="s">
        <v>308</v>
      </c>
      <c r="AU97" s="46" t="s">
        <v>4191</v>
      </c>
      <c r="AV97" s="46" t="s">
        <v>445</v>
      </c>
      <c r="AW97" s="46"/>
      <c r="AX97" s="46"/>
      <c r="AY97" s="46"/>
      <c r="AZ97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</row>
    <row r="98" spans="1:75" ht="75" x14ac:dyDescent="0.25">
      <c r="A98" s="47" t="s">
        <v>448</v>
      </c>
      <c r="B98" s="45" t="s">
        <v>305</v>
      </c>
      <c r="C98" s="45" t="s">
        <v>449</v>
      </c>
      <c r="D98" s="46" t="s">
        <v>450</v>
      </c>
      <c r="E98" s="25" t="s">
        <v>2</v>
      </c>
      <c r="F98" s="48" t="s">
        <v>314</v>
      </c>
      <c r="G98" s="62" t="s">
        <v>2053</v>
      </c>
      <c r="H98" s="63" t="s">
        <v>8</v>
      </c>
      <c r="I98" s="46" t="s">
        <v>194</v>
      </c>
      <c r="J98" s="46" t="s">
        <v>1064</v>
      </c>
      <c r="K98" s="46" t="s">
        <v>626</v>
      </c>
      <c r="L98" s="46" t="s">
        <v>626</v>
      </c>
      <c r="M98" s="46" t="s">
        <v>4292</v>
      </c>
      <c r="N98" s="46" t="s">
        <v>4191</v>
      </c>
      <c r="O98" s="46" t="s">
        <v>626</v>
      </c>
      <c r="P98" s="46" t="s">
        <v>626</v>
      </c>
      <c r="Q98" s="46" t="s">
        <v>194</v>
      </c>
      <c r="R98" s="46" t="s">
        <v>194</v>
      </c>
      <c r="S98" s="46" t="s">
        <v>194</v>
      </c>
      <c r="T98" s="46" t="s">
        <v>626</v>
      </c>
      <c r="U98" s="46" t="s">
        <v>2890</v>
      </c>
      <c r="V98" s="46" t="s">
        <v>1064</v>
      </c>
      <c r="W98" s="46" t="s">
        <v>1064</v>
      </c>
      <c r="X98" s="46"/>
      <c r="Y98" s="46"/>
      <c r="Z98" s="46"/>
      <c r="AA98" s="46"/>
      <c r="AB98" s="46"/>
      <c r="AC98" s="46" t="s">
        <v>1064</v>
      </c>
      <c r="AD98" s="46"/>
      <c r="AE98" s="46"/>
      <c r="AF98" s="46"/>
      <c r="AG98" s="46"/>
      <c r="AH98" s="46"/>
      <c r="AI98" s="46"/>
      <c r="AJ98" s="46"/>
      <c r="AK98" s="46"/>
      <c r="AL98" s="46" t="s">
        <v>1064</v>
      </c>
      <c r="AM98" s="46"/>
      <c r="AN98" s="46"/>
      <c r="AO98" s="46"/>
      <c r="AP98" s="46" t="s">
        <v>1064</v>
      </c>
      <c r="AQ98" s="46"/>
      <c r="AR98" s="46"/>
      <c r="AS98" s="46" t="s">
        <v>586</v>
      </c>
      <c r="AT98" s="46" t="s">
        <v>308</v>
      </c>
      <c r="AU98" s="46" t="s">
        <v>4191</v>
      </c>
      <c r="AV98" s="46" t="s">
        <v>448</v>
      </c>
      <c r="AW98" s="46" t="s">
        <v>8</v>
      </c>
      <c r="AX98" s="46" t="s">
        <v>28</v>
      </c>
      <c r="AY98" s="46"/>
      <c r="AZ98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</row>
    <row r="99" spans="1:75" ht="150" x14ac:dyDescent="0.25">
      <c r="A99" s="47" t="s">
        <v>451</v>
      </c>
      <c r="B99" s="45" t="s">
        <v>305</v>
      </c>
      <c r="C99" s="45" t="s">
        <v>452</v>
      </c>
      <c r="D99" s="46" t="s">
        <v>453</v>
      </c>
      <c r="E99" s="25" t="s">
        <v>2</v>
      </c>
      <c r="F99" s="48" t="s">
        <v>317</v>
      </c>
      <c r="G99" s="62" t="s">
        <v>2054</v>
      </c>
      <c r="H99" s="63" t="s">
        <v>8</v>
      </c>
      <c r="I99" s="46" t="s">
        <v>4253</v>
      </c>
      <c r="J99" s="46" t="s">
        <v>1064</v>
      </c>
      <c r="K99" s="46" t="s">
        <v>626</v>
      </c>
      <c r="L99" s="46" t="s">
        <v>4191</v>
      </c>
      <c r="M99" s="46" t="s">
        <v>4289</v>
      </c>
      <c r="N99" s="46" t="s">
        <v>4191</v>
      </c>
      <c r="O99" s="46" t="s">
        <v>626</v>
      </c>
      <c r="P99" s="46" t="s">
        <v>626</v>
      </c>
      <c r="Q99" s="46" t="s">
        <v>194</v>
      </c>
      <c r="R99" s="46" t="s">
        <v>4293</v>
      </c>
      <c r="S99" s="46" t="s">
        <v>4294</v>
      </c>
      <c r="T99" s="46" t="s">
        <v>4191</v>
      </c>
      <c r="U99" s="46" t="s">
        <v>2890</v>
      </c>
      <c r="V99" s="46" t="s">
        <v>1064</v>
      </c>
      <c r="W99" s="46" t="s">
        <v>1064</v>
      </c>
      <c r="X99" s="46"/>
      <c r="Y99" s="46"/>
      <c r="Z99" s="46"/>
      <c r="AA99" s="46"/>
      <c r="AB99" s="46"/>
      <c r="AC99" s="46" t="s">
        <v>1064</v>
      </c>
      <c r="AD99" s="46"/>
      <c r="AE99" s="46"/>
      <c r="AF99" s="46"/>
      <c r="AG99" s="46"/>
      <c r="AH99" s="46"/>
      <c r="AI99" s="46"/>
      <c r="AJ99" s="46"/>
      <c r="AK99" s="46"/>
      <c r="AL99" s="46" t="s">
        <v>1064</v>
      </c>
      <c r="AM99" s="46"/>
      <c r="AN99" s="46"/>
      <c r="AO99" s="46"/>
      <c r="AP99" s="46" t="s">
        <v>1064</v>
      </c>
      <c r="AQ99" s="46"/>
      <c r="AR99" s="46"/>
      <c r="AS99" s="46" t="s">
        <v>583</v>
      </c>
      <c r="AT99" s="46" t="s">
        <v>2</v>
      </c>
      <c r="AU99" s="46" t="s">
        <v>4191</v>
      </c>
      <c r="AV99" s="46" t="s">
        <v>451</v>
      </c>
      <c r="AW99" s="46" t="s">
        <v>8</v>
      </c>
      <c r="AX99" s="46" t="s">
        <v>28</v>
      </c>
      <c r="AY99" s="46"/>
      <c r="AZ99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</row>
    <row r="100" spans="1:75" ht="180" x14ac:dyDescent="0.25">
      <c r="A100" s="47" t="s">
        <v>454</v>
      </c>
      <c r="B100" s="45" t="s">
        <v>305</v>
      </c>
      <c r="C100" s="45" t="s">
        <v>455</v>
      </c>
      <c r="D100" s="46" t="s">
        <v>456</v>
      </c>
      <c r="E100" s="25" t="s">
        <v>2</v>
      </c>
      <c r="F100" s="48" t="s">
        <v>314</v>
      </c>
      <c r="G100" s="62" t="s">
        <v>2055</v>
      </c>
      <c r="H100" s="63" t="s">
        <v>97</v>
      </c>
      <c r="I100" s="46" t="s">
        <v>4606</v>
      </c>
      <c r="J100" s="46" t="s">
        <v>1064</v>
      </c>
      <c r="K100" s="46" t="s">
        <v>626</v>
      </c>
      <c r="L100" s="46" t="s">
        <v>4191</v>
      </c>
      <c r="M100" s="46" t="s">
        <v>194</v>
      </c>
      <c r="N100" s="46" t="s">
        <v>626</v>
      </c>
      <c r="O100" s="46" t="s">
        <v>626</v>
      </c>
      <c r="P100" s="46" t="s">
        <v>626</v>
      </c>
      <c r="Q100" s="46" t="s">
        <v>194</v>
      </c>
      <c r="R100" s="46" t="s">
        <v>4295</v>
      </c>
      <c r="S100" s="46" t="s">
        <v>4296</v>
      </c>
      <c r="T100" s="46" t="s">
        <v>626</v>
      </c>
      <c r="U100" s="46" t="s">
        <v>2890</v>
      </c>
      <c r="V100" s="46" t="s">
        <v>1064</v>
      </c>
      <c r="W100" s="46" t="s">
        <v>1064</v>
      </c>
      <c r="X100" s="46"/>
      <c r="Y100" s="46"/>
      <c r="Z100" s="46"/>
      <c r="AA100" s="46"/>
      <c r="AB100" s="46"/>
      <c r="AC100" s="46" t="s">
        <v>1064</v>
      </c>
      <c r="AD100" s="46"/>
      <c r="AE100" s="46"/>
      <c r="AF100" s="46"/>
      <c r="AG100" s="46"/>
      <c r="AH100" s="46"/>
      <c r="AI100" s="46"/>
      <c r="AJ100" s="46"/>
      <c r="AK100" s="46"/>
      <c r="AL100" s="46" t="s">
        <v>1064</v>
      </c>
      <c r="AM100" s="46"/>
      <c r="AN100" s="46"/>
      <c r="AO100" s="46"/>
      <c r="AP100" s="46" t="s">
        <v>1064</v>
      </c>
      <c r="AQ100" s="46"/>
      <c r="AR100" s="46"/>
      <c r="AS100" s="46" t="s">
        <v>583</v>
      </c>
      <c r="AT100" s="46" t="s">
        <v>2</v>
      </c>
      <c r="AU100" s="46" t="s">
        <v>4191</v>
      </c>
      <c r="AV100" s="46" t="s">
        <v>454</v>
      </c>
      <c r="AW100" s="46" t="s">
        <v>97</v>
      </c>
      <c r="AX100" s="46" t="s">
        <v>28</v>
      </c>
      <c r="AY100" s="46"/>
      <c r="AZ100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</row>
    <row r="101" spans="1:75" ht="75" x14ac:dyDescent="0.25">
      <c r="A101" s="47" t="s">
        <v>457</v>
      </c>
      <c r="B101" s="45" t="s">
        <v>305</v>
      </c>
      <c r="C101" s="45" t="s">
        <v>458</v>
      </c>
      <c r="D101" s="46" t="s">
        <v>459</v>
      </c>
      <c r="E101" s="25" t="s">
        <v>2</v>
      </c>
      <c r="F101" s="48" t="s">
        <v>32</v>
      </c>
      <c r="G101" s="62" t="s">
        <v>2056</v>
      </c>
      <c r="H101" s="63"/>
      <c r="I101" s="46" t="s">
        <v>194</v>
      </c>
      <c r="J101" s="46" t="s">
        <v>1064</v>
      </c>
      <c r="K101" s="46" t="s">
        <v>626</v>
      </c>
      <c r="L101" s="46" t="s">
        <v>626</v>
      </c>
      <c r="M101" s="46" t="s">
        <v>4242</v>
      </c>
      <c r="N101" s="46" t="s">
        <v>4191</v>
      </c>
      <c r="O101" s="46" t="s">
        <v>626</v>
      </c>
      <c r="P101" s="46" t="s">
        <v>626</v>
      </c>
      <c r="Q101" s="46" t="s">
        <v>194</v>
      </c>
      <c r="R101" s="46" t="s">
        <v>194</v>
      </c>
      <c r="S101" s="46" t="s">
        <v>194</v>
      </c>
      <c r="T101" s="46" t="s">
        <v>626</v>
      </c>
      <c r="U101" s="46" t="s">
        <v>2890</v>
      </c>
      <c r="V101" s="46" t="s">
        <v>1064</v>
      </c>
      <c r="W101" s="46" t="s">
        <v>1064</v>
      </c>
      <c r="X101" s="46"/>
      <c r="Y101" s="46"/>
      <c r="Z101" s="46"/>
      <c r="AA101" s="46"/>
      <c r="AB101" s="46"/>
      <c r="AC101" s="46" t="s">
        <v>1064</v>
      </c>
      <c r="AD101" s="46"/>
      <c r="AE101" s="46"/>
      <c r="AF101" s="46"/>
      <c r="AG101" s="46"/>
      <c r="AH101" s="46"/>
      <c r="AI101" s="46"/>
      <c r="AJ101" s="46"/>
      <c r="AK101" s="46"/>
      <c r="AL101" s="46" t="s">
        <v>1064</v>
      </c>
      <c r="AM101" s="46"/>
      <c r="AN101" s="46"/>
      <c r="AO101" s="46"/>
      <c r="AP101" s="46" t="s">
        <v>1064</v>
      </c>
      <c r="AQ101" s="46"/>
      <c r="AR101" s="46"/>
      <c r="AS101" s="46" t="s">
        <v>584</v>
      </c>
      <c r="AT101" s="46" t="s">
        <v>314</v>
      </c>
      <c r="AU101" s="46" t="s">
        <v>4191</v>
      </c>
      <c r="AV101" s="46" t="s">
        <v>457</v>
      </c>
      <c r="AW101" s="46"/>
      <c r="AX101" s="46"/>
      <c r="AY101" s="46"/>
      <c r="AZ101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</row>
    <row r="102" spans="1:75" ht="75" x14ac:dyDescent="0.25">
      <c r="A102" s="47" t="s">
        <v>460</v>
      </c>
      <c r="B102" s="45" t="s">
        <v>305</v>
      </c>
      <c r="C102" s="45" t="s">
        <v>461</v>
      </c>
      <c r="D102" s="46" t="s">
        <v>462</v>
      </c>
      <c r="E102" s="25" t="s">
        <v>2</v>
      </c>
      <c r="F102" s="48" t="s">
        <v>32</v>
      </c>
      <c r="G102" s="62" t="s">
        <v>2057</v>
      </c>
      <c r="H102" s="63"/>
      <c r="I102" s="46" t="s">
        <v>194</v>
      </c>
      <c r="J102" s="46" t="s">
        <v>1064</v>
      </c>
      <c r="K102" s="46" t="s">
        <v>626</v>
      </c>
      <c r="L102" s="46" t="s">
        <v>626</v>
      </c>
      <c r="M102" s="46" t="s">
        <v>4297</v>
      </c>
      <c r="N102" s="46" t="s">
        <v>4191</v>
      </c>
      <c r="O102" s="46" t="s">
        <v>626</v>
      </c>
      <c r="P102" s="46" t="s">
        <v>626</v>
      </c>
      <c r="Q102" s="46" t="s">
        <v>194</v>
      </c>
      <c r="R102" s="46" t="s">
        <v>194</v>
      </c>
      <c r="S102" s="46" t="s">
        <v>194</v>
      </c>
      <c r="T102" s="46" t="s">
        <v>626</v>
      </c>
      <c r="U102" s="46" t="s">
        <v>2890</v>
      </c>
      <c r="V102" s="46" t="s">
        <v>1064</v>
      </c>
      <c r="W102" s="46" t="s">
        <v>1064</v>
      </c>
      <c r="X102" s="46"/>
      <c r="Y102" s="46"/>
      <c r="Z102" s="46"/>
      <c r="AA102" s="46"/>
      <c r="AB102" s="46"/>
      <c r="AC102" s="46" t="s">
        <v>1064</v>
      </c>
      <c r="AD102" s="46"/>
      <c r="AE102" s="46"/>
      <c r="AF102" s="46"/>
      <c r="AG102" s="46"/>
      <c r="AH102" s="46"/>
      <c r="AI102" s="46"/>
      <c r="AJ102" s="46"/>
      <c r="AK102" s="46"/>
      <c r="AL102" s="46" t="s">
        <v>1064</v>
      </c>
      <c r="AM102" s="46"/>
      <c r="AN102" s="46"/>
      <c r="AO102" s="46"/>
      <c r="AP102" s="46" t="s">
        <v>1064</v>
      </c>
      <c r="AQ102" s="46"/>
      <c r="AR102" s="46"/>
      <c r="AS102" s="46" t="s">
        <v>584</v>
      </c>
      <c r="AT102" s="46" t="s">
        <v>308</v>
      </c>
      <c r="AU102" s="46" t="s">
        <v>4191</v>
      </c>
      <c r="AV102" s="46" t="s">
        <v>460</v>
      </c>
      <c r="AW102" s="46"/>
      <c r="AX102" s="46"/>
      <c r="AY102" s="46"/>
      <c r="AZ102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</row>
    <row r="103" spans="1:75" ht="75" x14ac:dyDescent="0.25">
      <c r="A103" s="47" t="s">
        <v>463</v>
      </c>
      <c r="B103" s="45" t="s">
        <v>305</v>
      </c>
      <c r="C103" s="45" t="s">
        <v>464</v>
      </c>
      <c r="D103" s="46" t="s">
        <v>465</v>
      </c>
      <c r="E103" s="25" t="s">
        <v>2</v>
      </c>
      <c r="F103" s="48" t="s">
        <v>549</v>
      </c>
      <c r="G103" s="62" t="s">
        <v>2058</v>
      </c>
      <c r="H103" s="63" t="s">
        <v>99</v>
      </c>
      <c r="I103" s="46" t="s">
        <v>194</v>
      </c>
      <c r="J103" s="46" t="s">
        <v>1064</v>
      </c>
      <c r="K103" s="46" t="s">
        <v>626</v>
      </c>
      <c r="L103" s="46" t="s">
        <v>626</v>
      </c>
      <c r="M103" s="46" t="s">
        <v>4292</v>
      </c>
      <c r="N103" s="46" t="s">
        <v>4191</v>
      </c>
      <c r="O103" s="46" t="s">
        <v>626</v>
      </c>
      <c r="P103" s="46" t="s">
        <v>626</v>
      </c>
      <c r="Q103" s="46" t="s">
        <v>194</v>
      </c>
      <c r="R103" s="46" t="s">
        <v>194</v>
      </c>
      <c r="S103" s="46" t="s">
        <v>194</v>
      </c>
      <c r="T103" s="46" t="s">
        <v>626</v>
      </c>
      <c r="U103" s="46" t="s">
        <v>2890</v>
      </c>
      <c r="V103" s="46" t="s">
        <v>1064</v>
      </c>
      <c r="W103" s="46" t="s">
        <v>1064</v>
      </c>
      <c r="X103" s="46"/>
      <c r="Y103" s="46"/>
      <c r="Z103" s="46"/>
      <c r="AA103" s="46"/>
      <c r="AB103" s="46"/>
      <c r="AC103" s="46" t="s">
        <v>1064</v>
      </c>
      <c r="AD103" s="46"/>
      <c r="AE103" s="46"/>
      <c r="AF103" s="46"/>
      <c r="AG103" s="46"/>
      <c r="AH103" s="46"/>
      <c r="AI103" s="46"/>
      <c r="AJ103" s="46"/>
      <c r="AK103" s="46"/>
      <c r="AL103" s="46" t="s">
        <v>1064</v>
      </c>
      <c r="AM103" s="46"/>
      <c r="AN103" s="46"/>
      <c r="AO103" s="46"/>
      <c r="AP103" s="46" t="s">
        <v>1064</v>
      </c>
      <c r="AQ103" s="46"/>
      <c r="AR103" s="46"/>
      <c r="AS103" s="46" t="s">
        <v>586</v>
      </c>
      <c r="AT103" s="46" t="s">
        <v>308</v>
      </c>
      <c r="AU103" s="46" t="s">
        <v>4191</v>
      </c>
      <c r="AV103" s="46" t="s">
        <v>463</v>
      </c>
      <c r="AW103" s="46" t="s">
        <v>99</v>
      </c>
      <c r="AX103" s="46" t="s">
        <v>28</v>
      </c>
      <c r="AY103" s="46"/>
      <c r="AZ103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</row>
    <row r="104" spans="1:75" ht="150" x14ac:dyDescent="0.25">
      <c r="A104" s="47" t="s">
        <v>466</v>
      </c>
      <c r="B104" s="45" t="s">
        <v>305</v>
      </c>
      <c r="C104" s="45" t="s">
        <v>467</v>
      </c>
      <c r="D104" s="46" t="s">
        <v>468</v>
      </c>
      <c r="E104" s="25" t="s">
        <v>2</v>
      </c>
      <c r="F104" s="48" t="s">
        <v>836</v>
      </c>
      <c r="G104" s="62" t="s">
        <v>2059</v>
      </c>
      <c r="H104" s="63" t="s">
        <v>99</v>
      </c>
      <c r="I104" s="46" t="s">
        <v>4253</v>
      </c>
      <c r="J104" s="46" t="s">
        <v>1064</v>
      </c>
      <c r="K104" s="46" t="s">
        <v>626</v>
      </c>
      <c r="L104" s="46" t="s">
        <v>4191</v>
      </c>
      <c r="M104" s="46" t="s">
        <v>4289</v>
      </c>
      <c r="N104" s="46" t="s">
        <v>4191</v>
      </c>
      <c r="O104" s="46" t="s">
        <v>626</v>
      </c>
      <c r="P104" s="46" t="s">
        <v>626</v>
      </c>
      <c r="Q104" s="46" t="s">
        <v>194</v>
      </c>
      <c r="R104" s="46" t="s">
        <v>4298</v>
      </c>
      <c r="S104" s="46" t="s">
        <v>4299</v>
      </c>
      <c r="T104" s="46" t="s">
        <v>4191</v>
      </c>
      <c r="U104" s="46" t="s">
        <v>2890</v>
      </c>
      <c r="V104" s="46" t="s">
        <v>1064</v>
      </c>
      <c r="W104" s="46" t="s">
        <v>1064</v>
      </c>
      <c r="X104" s="46"/>
      <c r="Y104" s="46"/>
      <c r="Z104" s="46"/>
      <c r="AA104" s="46"/>
      <c r="AB104" s="46"/>
      <c r="AC104" s="46" t="s">
        <v>1064</v>
      </c>
      <c r="AD104" s="46"/>
      <c r="AE104" s="46"/>
      <c r="AF104" s="46"/>
      <c r="AG104" s="46"/>
      <c r="AH104" s="46"/>
      <c r="AI104" s="46"/>
      <c r="AJ104" s="46"/>
      <c r="AK104" s="46"/>
      <c r="AL104" s="46" t="s">
        <v>1064</v>
      </c>
      <c r="AM104" s="46"/>
      <c r="AN104" s="46"/>
      <c r="AO104" s="46"/>
      <c r="AP104" s="46" t="s">
        <v>1064</v>
      </c>
      <c r="AQ104" s="46"/>
      <c r="AR104" s="46"/>
      <c r="AS104" s="46" t="s">
        <v>583</v>
      </c>
      <c r="AT104" s="46" t="s">
        <v>2</v>
      </c>
      <c r="AU104" s="46" t="s">
        <v>4191</v>
      </c>
      <c r="AV104" s="46" t="s">
        <v>466</v>
      </c>
      <c r="AW104" s="46" t="s">
        <v>99</v>
      </c>
      <c r="AX104" s="46" t="s">
        <v>28</v>
      </c>
      <c r="AY104" s="46"/>
      <c r="AZ104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</row>
    <row r="105" spans="1:75" ht="75" x14ac:dyDescent="0.25">
      <c r="A105" s="47" t="s">
        <v>469</v>
      </c>
      <c r="B105" s="45" t="s">
        <v>305</v>
      </c>
      <c r="C105" s="45" t="s">
        <v>470</v>
      </c>
      <c r="D105" s="46" t="s">
        <v>471</v>
      </c>
      <c r="E105" s="25" t="s">
        <v>2</v>
      </c>
      <c r="F105" s="48" t="s">
        <v>314</v>
      </c>
      <c r="G105" s="62" t="s">
        <v>2060</v>
      </c>
      <c r="H105" s="63" t="s">
        <v>102</v>
      </c>
      <c r="I105" s="46" t="s">
        <v>194</v>
      </c>
      <c r="J105" s="46" t="s">
        <v>1064</v>
      </c>
      <c r="K105" s="46" t="s">
        <v>626</v>
      </c>
      <c r="L105" s="46" t="s">
        <v>626</v>
      </c>
      <c r="M105" s="46" t="s">
        <v>4300</v>
      </c>
      <c r="N105" s="46" t="s">
        <v>4191</v>
      </c>
      <c r="O105" s="46" t="s">
        <v>626</v>
      </c>
      <c r="P105" s="46" t="s">
        <v>626</v>
      </c>
      <c r="Q105" s="46" t="s">
        <v>194</v>
      </c>
      <c r="R105" s="46" t="s">
        <v>194</v>
      </c>
      <c r="S105" s="46" t="s">
        <v>194</v>
      </c>
      <c r="T105" s="46" t="s">
        <v>626</v>
      </c>
      <c r="U105" s="46" t="s">
        <v>2890</v>
      </c>
      <c r="V105" s="46" t="s">
        <v>1064</v>
      </c>
      <c r="W105" s="46" t="s">
        <v>1064</v>
      </c>
      <c r="X105" s="46"/>
      <c r="Y105" s="46"/>
      <c r="Z105" s="46"/>
      <c r="AA105" s="46"/>
      <c r="AB105" s="46"/>
      <c r="AC105" s="46" t="s">
        <v>1064</v>
      </c>
      <c r="AD105" s="46"/>
      <c r="AE105" s="46"/>
      <c r="AF105" s="46"/>
      <c r="AG105" s="46"/>
      <c r="AH105" s="46"/>
      <c r="AI105" s="46"/>
      <c r="AJ105" s="46"/>
      <c r="AK105" s="46"/>
      <c r="AL105" s="46" t="s">
        <v>1064</v>
      </c>
      <c r="AM105" s="46"/>
      <c r="AN105" s="46"/>
      <c r="AO105" s="46"/>
      <c r="AP105" s="46" t="s">
        <v>1064</v>
      </c>
      <c r="AQ105" s="46"/>
      <c r="AR105" s="46"/>
      <c r="AS105" s="46" t="s">
        <v>584</v>
      </c>
      <c r="AT105" s="46" t="s">
        <v>314</v>
      </c>
      <c r="AU105" s="46" t="s">
        <v>4191</v>
      </c>
      <c r="AV105" s="46" t="s">
        <v>469</v>
      </c>
      <c r="AW105" s="46" t="s">
        <v>102</v>
      </c>
      <c r="AX105" s="46" t="s">
        <v>28</v>
      </c>
      <c r="AY105" s="46"/>
      <c r="AZ105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</row>
    <row r="106" spans="1:75" ht="75" x14ac:dyDescent="0.25">
      <c r="A106" s="47" t="s">
        <v>472</v>
      </c>
      <c r="B106" s="45" t="s">
        <v>305</v>
      </c>
      <c r="C106" s="45" t="s">
        <v>473</v>
      </c>
      <c r="D106" s="46" t="s">
        <v>474</v>
      </c>
      <c r="E106" s="25" t="s">
        <v>2</v>
      </c>
      <c r="F106" s="48" t="s">
        <v>32</v>
      </c>
      <c r="G106" s="62" t="s">
        <v>2061</v>
      </c>
      <c r="H106" s="63"/>
      <c r="I106" s="46" t="s">
        <v>194</v>
      </c>
      <c r="J106" s="46" t="s">
        <v>1064</v>
      </c>
      <c r="K106" s="46" t="s">
        <v>626</v>
      </c>
      <c r="L106" s="46" t="s">
        <v>626</v>
      </c>
      <c r="M106" s="46" t="s">
        <v>4297</v>
      </c>
      <c r="N106" s="46" t="s">
        <v>4191</v>
      </c>
      <c r="O106" s="46" t="s">
        <v>626</v>
      </c>
      <c r="P106" s="46" t="s">
        <v>626</v>
      </c>
      <c r="Q106" s="46" t="s">
        <v>194</v>
      </c>
      <c r="R106" s="46" t="s">
        <v>194</v>
      </c>
      <c r="S106" s="46" t="s">
        <v>194</v>
      </c>
      <c r="T106" s="46" t="s">
        <v>626</v>
      </c>
      <c r="U106" s="46" t="s">
        <v>2890</v>
      </c>
      <c r="V106" s="46" t="s">
        <v>1064</v>
      </c>
      <c r="W106" s="46" t="s">
        <v>1064</v>
      </c>
      <c r="X106" s="46"/>
      <c r="Y106" s="46"/>
      <c r="Z106" s="46"/>
      <c r="AA106" s="46"/>
      <c r="AB106" s="46"/>
      <c r="AC106" s="46" t="s">
        <v>1064</v>
      </c>
      <c r="AD106" s="46"/>
      <c r="AE106" s="46"/>
      <c r="AF106" s="46"/>
      <c r="AG106" s="46"/>
      <c r="AH106" s="46"/>
      <c r="AI106" s="46"/>
      <c r="AJ106" s="46"/>
      <c r="AK106" s="46"/>
      <c r="AL106" s="46" t="s">
        <v>1064</v>
      </c>
      <c r="AM106" s="46"/>
      <c r="AN106" s="46"/>
      <c r="AO106" s="46"/>
      <c r="AP106" s="46" t="s">
        <v>1064</v>
      </c>
      <c r="AQ106" s="46"/>
      <c r="AR106" s="46"/>
      <c r="AS106" s="46" t="s">
        <v>584</v>
      </c>
      <c r="AT106" s="46" t="s">
        <v>308</v>
      </c>
      <c r="AU106" s="46" t="s">
        <v>4191</v>
      </c>
      <c r="AV106" s="46" t="s">
        <v>472</v>
      </c>
      <c r="AW106" s="46"/>
      <c r="AX106" s="46"/>
      <c r="AY106" s="46"/>
      <c r="AZ10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</row>
    <row r="107" spans="1:75" ht="75" x14ac:dyDescent="0.25">
      <c r="A107" s="47" t="s">
        <v>475</v>
      </c>
      <c r="B107" s="45" t="s">
        <v>305</v>
      </c>
      <c r="C107" s="45" t="s">
        <v>476</v>
      </c>
      <c r="D107" s="46" t="s">
        <v>477</v>
      </c>
      <c r="E107" s="25" t="s">
        <v>2</v>
      </c>
      <c r="F107" s="49" t="s">
        <v>32</v>
      </c>
      <c r="G107" s="62" t="s">
        <v>2062</v>
      </c>
      <c r="H107" s="63"/>
      <c r="I107" s="46" t="s">
        <v>194</v>
      </c>
      <c r="J107" s="46" t="s">
        <v>1064</v>
      </c>
      <c r="K107" s="46" t="s">
        <v>626</v>
      </c>
      <c r="L107" s="46" t="s">
        <v>626</v>
      </c>
      <c r="M107" s="46" t="s">
        <v>4292</v>
      </c>
      <c r="N107" s="46" t="s">
        <v>4191</v>
      </c>
      <c r="O107" s="46" t="s">
        <v>626</v>
      </c>
      <c r="P107" s="46" t="s">
        <v>626</v>
      </c>
      <c r="Q107" s="46" t="s">
        <v>194</v>
      </c>
      <c r="R107" s="46" t="s">
        <v>194</v>
      </c>
      <c r="S107" s="46" t="s">
        <v>194</v>
      </c>
      <c r="T107" s="46" t="s">
        <v>626</v>
      </c>
      <c r="U107" s="46" t="s">
        <v>2890</v>
      </c>
      <c r="V107" s="46" t="s">
        <v>1064</v>
      </c>
      <c r="W107" s="46" t="s">
        <v>1064</v>
      </c>
      <c r="X107" s="46"/>
      <c r="Y107" s="46"/>
      <c r="Z107" s="46"/>
      <c r="AA107" s="46"/>
      <c r="AB107" s="46"/>
      <c r="AC107" s="46" t="s">
        <v>1064</v>
      </c>
      <c r="AD107" s="46"/>
      <c r="AE107" s="46"/>
      <c r="AF107" s="46"/>
      <c r="AG107" s="46"/>
      <c r="AH107" s="46"/>
      <c r="AI107" s="46"/>
      <c r="AJ107" s="46"/>
      <c r="AK107" s="46"/>
      <c r="AL107" s="46" t="s">
        <v>1064</v>
      </c>
      <c r="AM107" s="46"/>
      <c r="AN107" s="46"/>
      <c r="AO107" s="46"/>
      <c r="AP107" s="46" t="s">
        <v>1064</v>
      </c>
      <c r="AQ107" s="46"/>
      <c r="AR107" s="46"/>
      <c r="AS107" s="46" t="s">
        <v>586</v>
      </c>
      <c r="AT107" s="46" t="s">
        <v>308</v>
      </c>
      <c r="AU107" s="46" t="s">
        <v>4191</v>
      </c>
      <c r="AV107" s="46" t="s">
        <v>475</v>
      </c>
      <c r="AW107" s="46"/>
      <c r="AX107" s="46"/>
      <c r="AY107" s="46"/>
      <c r="AZ107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</row>
    <row r="108" spans="1:75" ht="150" x14ac:dyDescent="0.25">
      <c r="A108" s="47" t="s">
        <v>478</v>
      </c>
      <c r="B108" s="45" t="s">
        <v>305</v>
      </c>
      <c r="C108" s="45" t="s">
        <v>479</v>
      </c>
      <c r="D108" s="46" t="s">
        <v>480</v>
      </c>
      <c r="E108" s="25" t="s">
        <v>2</v>
      </c>
      <c r="F108" s="48" t="s">
        <v>801</v>
      </c>
      <c r="G108" s="62" t="s">
        <v>2063</v>
      </c>
      <c r="H108" s="63" t="s">
        <v>102</v>
      </c>
      <c r="I108" s="46" t="s">
        <v>4253</v>
      </c>
      <c r="J108" s="46" t="s">
        <v>1064</v>
      </c>
      <c r="K108" s="46" t="s">
        <v>626</v>
      </c>
      <c r="L108" s="46" t="s">
        <v>4191</v>
      </c>
      <c r="M108" s="46" t="s">
        <v>4285</v>
      </c>
      <c r="N108" s="46" t="s">
        <v>4191</v>
      </c>
      <c r="O108" s="46" t="s">
        <v>626</v>
      </c>
      <c r="P108" s="46" t="s">
        <v>626</v>
      </c>
      <c r="Q108" s="46" t="s">
        <v>194</v>
      </c>
      <c r="R108" s="46" t="s">
        <v>4301</v>
      </c>
      <c r="S108" s="46" t="s">
        <v>4302</v>
      </c>
      <c r="T108" s="46" t="s">
        <v>4191</v>
      </c>
      <c r="U108" s="46" t="s">
        <v>2890</v>
      </c>
      <c r="V108" s="46" t="s">
        <v>1064</v>
      </c>
      <c r="W108" s="46" t="s">
        <v>1064</v>
      </c>
      <c r="X108" s="46"/>
      <c r="Y108" s="46"/>
      <c r="Z108" s="46"/>
      <c r="AA108" s="46"/>
      <c r="AB108" s="46"/>
      <c r="AC108" s="46" t="s">
        <v>1064</v>
      </c>
      <c r="AD108" s="46"/>
      <c r="AE108" s="46"/>
      <c r="AF108" s="46"/>
      <c r="AG108" s="46"/>
      <c r="AH108" s="46"/>
      <c r="AI108" s="46"/>
      <c r="AJ108" s="46"/>
      <c r="AK108" s="46"/>
      <c r="AL108" s="46" t="s">
        <v>1064</v>
      </c>
      <c r="AM108" s="46"/>
      <c r="AN108" s="46"/>
      <c r="AO108" s="46"/>
      <c r="AP108" s="46" t="s">
        <v>1064</v>
      </c>
      <c r="AQ108" s="46"/>
      <c r="AR108" s="46"/>
      <c r="AS108" s="46" t="s">
        <v>583</v>
      </c>
      <c r="AT108" s="46" t="s">
        <v>2</v>
      </c>
      <c r="AU108" s="46" t="s">
        <v>4191</v>
      </c>
      <c r="AV108" s="46" t="s">
        <v>478</v>
      </c>
      <c r="AW108" s="46" t="s">
        <v>102</v>
      </c>
      <c r="AX108" s="46" t="s">
        <v>28</v>
      </c>
      <c r="AY108" s="46"/>
      <c r="AZ108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</row>
    <row r="109" spans="1:75" ht="75" x14ac:dyDescent="0.25">
      <c r="A109" s="47" t="s">
        <v>481</v>
      </c>
      <c r="B109" s="45" t="s">
        <v>305</v>
      </c>
      <c r="C109" s="45" t="s">
        <v>482</v>
      </c>
      <c r="D109" s="46" t="s">
        <v>483</v>
      </c>
      <c r="E109" s="25" t="s">
        <v>2</v>
      </c>
      <c r="F109" s="48" t="s">
        <v>314</v>
      </c>
      <c r="G109" s="62" t="s">
        <v>2064</v>
      </c>
      <c r="H109" s="63" t="s">
        <v>105</v>
      </c>
      <c r="I109" s="46" t="s">
        <v>194</v>
      </c>
      <c r="J109" s="46" t="s">
        <v>1064</v>
      </c>
      <c r="K109" s="46" t="s">
        <v>626</v>
      </c>
      <c r="L109" s="46" t="s">
        <v>626</v>
      </c>
      <c r="M109" s="46" t="s">
        <v>4242</v>
      </c>
      <c r="N109" s="46" t="s">
        <v>4191</v>
      </c>
      <c r="O109" s="46" t="s">
        <v>626</v>
      </c>
      <c r="P109" s="46" t="s">
        <v>626</v>
      </c>
      <c r="Q109" s="46" t="s">
        <v>194</v>
      </c>
      <c r="R109" s="46" t="s">
        <v>194</v>
      </c>
      <c r="S109" s="46" t="s">
        <v>194</v>
      </c>
      <c r="T109" s="46" t="s">
        <v>626</v>
      </c>
      <c r="U109" s="46" t="s">
        <v>2890</v>
      </c>
      <c r="V109" s="46" t="s">
        <v>1064</v>
      </c>
      <c r="W109" s="46" t="s">
        <v>1064</v>
      </c>
      <c r="X109" s="46"/>
      <c r="Y109" s="46"/>
      <c r="Z109" s="46"/>
      <c r="AA109" s="46"/>
      <c r="AB109" s="46"/>
      <c r="AC109" s="46" t="s">
        <v>1064</v>
      </c>
      <c r="AD109" s="46"/>
      <c r="AE109" s="46"/>
      <c r="AF109" s="46"/>
      <c r="AG109" s="46"/>
      <c r="AH109" s="46"/>
      <c r="AI109" s="46"/>
      <c r="AJ109" s="46"/>
      <c r="AK109" s="46"/>
      <c r="AL109" s="46" t="s">
        <v>1064</v>
      </c>
      <c r="AM109" s="46"/>
      <c r="AN109" s="46"/>
      <c r="AO109" s="46"/>
      <c r="AP109" s="46" t="s">
        <v>1064</v>
      </c>
      <c r="AQ109" s="46"/>
      <c r="AR109" s="46"/>
      <c r="AS109" s="46" t="s">
        <v>584</v>
      </c>
      <c r="AT109" s="46" t="s">
        <v>314</v>
      </c>
      <c r="AU109" s="46" t="s">
        <v>4191</v>
      </c>
      <c r="AV109" s="46" t="s">
        <v>481</v>
      </c>
      <c r="AW109" s="46" t="s">
        <v>105</v>
      </c>
      <c r="AX109" s="46" t="s">
        <v>28</v>
      </c>
      <c r="AY109" s="46"/>
      <c r="AZ109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</row>
    <row r="110" spans="1:75" ht="75" x14ac:dyDescent="0.25">
      <c r="A110" s="47" t="s">
        <v>484</v>
      </c>
      <c r="B110" s="45" t="s">
        <v>305</v>
      </c>
      <c r="C110" s="45" t="s">
        <v>485</v>
      </c>
      <c r="D110" s="46" t="s">
        <v>486</v>
      </c>
      <c r="E110" s="25" t="s">
        <v>2</v>
      </c>
      <c r="F110" s="48" t="s">
        <v>32</v>
      </c>
      <c r="G110" s="62" t="s">
        <v>2065</v>
      </c>
      <c r="H110" s="63"/>
      <c r="I110" s="46" t="s">
        <v>194</v>
      </c>
      <c r="J110" s="46" t="s">
        <v>1064</v>
      </c>
      <c r="K110" s="46" t="s">
        <v>626</v>
      </c>
      <c r="L110" s="46" t="s">
        <v>626</v>
      </c>
      <c r="M110" s="46" t="s">
        <v>4297</v>
      </c>
      <c r="N110" s="46" t="s">
        <v>4191</v>
      </c>
      <c r="O110" s="46" t="s">
        <v>626</v>
      </c>
      <c r="P110" s="46" t="s">
        <v>626</v>
      </c>
      <c r="Q110" s="46" t="s">
        <v>194</v>
      </c>
      <c r="R110" s="46" t="s">
        <v>194</v>
      </c>
      <c r="S110" s="46" t="s">
        <v>194</v>
      </c>
      <c r="T110" s="46" t="s">
        <v>626</v>
      </c>
      <c r="U110" s="46" t="s">
        <v>2890</v>
      </c>
      <c r="V110" s="46" t="s">
        <v>1064</v>
      </c>
      <c r="W110" s="46" t="s">
        <v>1064</v>
      </c>
      <c r="X110" s="46"/>
      <c r="Y110" s="46"/>
      <c r="Z110" s="46"/>
      <c r="AA110" s="46"/>
      <c r="AB110" s="46"/>
      <c r="AC110" s="46" t="s">
        <v>1064</v>
      </c>
      <c r="AD110" s="46"/>
      <c r="AE110" s="46"/>
      <c r="AF110" s="46"/>
      <c r="AG110" s="46"/>
      <c r="AH110" s="46"/>
      <c r="AI110" s="46"/>
      <c r="AJ110" s="46"/>
      <c r="AK110" s="46"/>
      <c r="AL110" s="46" t="s">
        <v>1064</v>
      </c>
      <c r="AM110" s="46"/>
      <c r="AN110" s="46"/>
      <c r="AO110" s="46"/>
      <c r="AP110" s="46" t="s">
        <v>1064</v>
      </c>
      <c r="AQ110" s="46"/>
      <c r="AR110" s="46"/>
      <c r="AS110" s="46" t="s">
        <v>584</v>
      </c>
      <c r="AT110" s="46" t="s">
        <v>308</v>
      </c>
      <c r="AU110" s="46" t="s">
        <v>4191</v>
      </c>
      <c r="AV110" s="46" t="s">
        <v>484</v>
      </c>
      <c r="AW110" s="46"/>
      <c r="AX110" s="46"/>
      <c r="AY110" s="46"/>
      <c r="AZ110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</row>
    <row r="111" spans="1:75" ht="75" x14ac:dyDescent="0.25">
      <c r="A111" s="47" t="s">
        <v>487</v>
      </c>
      <c r="B111" s="45" t="s">
        <v>305</v>
      </c>
      <c r="C111" s="45" t="s">
        <v>488</v>
      </c>
      <c r="D111" s="46" t="s">
        <v>489</v>
      </c>
      <c r="E111" s="25" t="s">
        <v>2</v>
      </c>
      <c r="F111" s="48" t="s">
        <v>549</v>
      </c>
      <c r="G111" s="62" t="s">
        <v>2066</v>
      </c>
      <c r="H111" s="63" t="s">
        <v>105</v>
      </c>
      <c r="I111" s="46" t="s">
        <v>194</v>
      </c>
      <c r="J111" s="46" t="s">
        <v>1064</v>
      </c>
      <c r="K111" s="46" t="s">
        <v>626</v>
      </c>
      <c r="L111" s="46" t="s">
        <v>626</v>
      </c>
      <c r="M111" s="46" t="s">
        <v>4303</v>
      </c>
      <c r="N111" s="46" t="s">
        <v>4191</v>
      </c>
      <c r="O111" s="46" t="s">
        <v>626</v>
      </c>
      <c r="P111" s="46" t="s">
        <v>626</v>
      </c>
      <c r="Q111" s="46" t="s">
        <v>194</v>
      </c>
      <c r="R111" s="46" t="s">
        <v>194</v>
      </c>
      <c r="S111" s="46" t="s">
        <v>194</v>
      </c>
      <c r="T111" s="46" t="s">
        <v>626</v>
      </c>
      <c r="U111" s="46" t="s">
        <v>2890</v>
      </c>
      <c r="V111" s="46" t="s">
        <v>1064</v>
      </c>
      <c r="W111" s="46" t="s">
        <v>1064</v>
      </c>
      <c r="X111" s="46"/>
      <c r="Y111" s="46"/>
      <c r="Z111" s="46"/>
      <c r="AA111" s="46"/>
      <c r="AB111" s="46"/>
      <c r="AC111" s="46" t="s">
        <v>1064</v>
      </c>
      <c r="AD111" s="46"/>
      <c r="AE111" s="46"/>
      <c r="AF111" s="46"/>
      <c r="AG111" s="46"/>
      <c r="AH111" s="46"/>
      <c r="AI111" s="46"/>
      <c r="AJ111" s="46"/>
      <c r="AK111" s="46"/>
      <c r="AL111" s="46" t="s">
        <v>1064</v>
      </c>
      <c r="AM111" s="46"/>
      <c r="AN111" s="46"/>
      <c r="AO111" s="46"/>
      <c r="AP111" s="46" t="s">
        <v>1064</v>
      </c>
      <c r="AQ111" s="46"/>
      <c r="AR111" s="46"/>
      <c r="AS111" s="46" t="s">
        <v>586</v>
      </c>
      <c r="AT111" s="46" t="s">
        <v>308</v>
      </c>
      <c r="AU111" s="46" t="s">
        <v>4191</v>
      </c>
      <c r="AV111" s="46" t="s">
        <v>487</v>
      </c>
      <c r="AW111" s="46" t="s">
        <v>105</v>
      </c>
      <c r="AX111" s="46" t="s">
        <v>28</v>
      </c>
      <c r="AY111" s="46"/>
      <c r="AZ111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</row>
    <row r="112" spans="1:75" ht="135" x14ac:dyDescent="0.25">
      <c r="A112" s="47" t="s">
        <v>490</v>
      </c>
      <c r="B112" s="45" t="s">
        <v>305</v>
      </c>
      <c r="C112" s="45" t="s">
        <v>491</v>
      </c>
      <c r="D112" s="46" t="s">
        <v>492</v>
      </c>
      <c r="E112" s="25" t="s">
        <v>2</v>
      </c>
      <c r="F112" s="48" t="s">
        <v>90</v>
      </c>
      <c r="G112" s="62" t="s">
        <v>2067</v>
      </c>
      <c r="H112" s="63" t="s">
        <v>105</v>
      </c>
      <c r="I112" s="46" t="s">
        <v>4253</v>
      </c>
      <c r="J112" s="46" t="s">
        <v>1064</v>
      </c>
      <c r="K112" s="46" t="s">
        <v>626</v>
      </c>
      <c r="L112" s="46" t="s">
        <v>4191</v>
      </c>
      <c r="M112" s="46" t="s">
        <v>4304</v>
      </c>
      <c r="N112" s="46" t="s">
        <v>4191</v>
      </c>
      <c r="O112" s="46" t="s">
        <v>626</v>
      </c>
      <c r="P112" s="46" t="s">
        <v>626</v>
      </c>
      <c r="Q112" s="46" t="s">
        <v>194</v>
      </c>
      <c r="R112" s="46" t="s">
        <v>4305</v>
      </c>
      <c r="S112" s="46" t="s">
        <v>4306</v>
      </c>
      <c r="T112" s="46" t="s">
        <v>4191</v>
      </c>
      <c r="U112" s="46" t="s">
        <v>2890</v>
      </c>
      <c r="V112" s="46" t="s">
        <v>1064</v>
      </c>
      <c r="W112" s="46" t="s">
        <v>1064</v>
      </c>
      <c r="X112" s="46"/>
      <c r="Y112" s="46"/>
      <c r="Z112" s="46"/>
      <c r="AA112" s="46"/>
      <c r="AB112" s="46"/>
      <c r="AC112" s="46" t="s">
        <v>1064</v>
      </c>
      <c r="AD112" s="46"/>
      <c r="AE112" s="46"/>
      <c r="AF112" s="46"/>
      <c r="AG112" s="46"/>
      <c r="AH112" s="46"/>
      <c r="AI112" s="46"/>
      <c r="AJ112" s="46"/>
      <c r="AK112" s="46"/>
      <c r="AL112" s="46" t="s">
        <v>1064</v>
      </c>
      <c r="AM112" s="46"/>
      <c r="AN112" s="46"/>
      <c r="AO112" s="46"/>
      <c r="AP112" s="46" t="s">
        <v>1064</v>
      </c>
      <c r="AQ112" s="46"/>
      <c r="AR112" s="46"/>
      <c r="AS112" s="46" t="s">
        <v>583</v>
      </c>
      <c r="AT112" s="46" t="s">
        <v>2</v>
      </c>
      <c r="AU112" s="46" t="s">
        <v>4191</v>
      </c>
      <c r="AV112" s="46" t="s">
        <v>490</v>
      </c>
      <c r="AW112" s="46" t="s">
        <v>105</v>
      </c>
      <c r="AX112" s="46" t="s">
        <v>28</v>
      </c>
      <c r="AY112" s="46"/>
      <c r="AZ112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</row>
    <row r="113" spans="1:75" ht="75" x14ac:dyDescent="0.25">
      <c r="A113" s="47" t="s">
        <v>493</v>
      </c>
      <c r="B113" s="45" t="s">
        <v>305</v>
      </c>
      <c r="C113" s="45" t="s">
        <v>494</v>
      </c>
      <c r="D113" s="46" t="s">
        <v>495</v>
      </c>
      <c r="E113" s="25" t="s">
        <v>2</v>
      </c>
      <c r="F113" s="48" t="s">
        <v>32</v>
      </c>
      <c r="G113" s="62" t="s">
        <v>2068</v>
      </c>
      <c r="H113" s="63"/>
      <c r="I113" s="46" t="s">
        <v>194</v>
      </c>
      <c r="J113" s="46" t="s">
        <v>1064</v>
      </c>
      <c r="K113" s="46" t="s">
        <v>626</v>
      </c>
      <c r="L113" s="46" t="s">
        <v>626</v>
      </c>
      <c r="M113" s="46" t="s">
        <v>4300</v>
      </c>
      <c r="N113" s="46" t="s">
        <v>4191</v>
      </c>
      <c r="O113" s="46" t="s">
        <v>626</v>
      </c>
      <c r="P113" s="46" t="s">
        <v>626</v>
      </c>
      <c r="Q113" s="46" t="s">
        <v>194</v>
      </c>
      <c r="R113" s="46" t="s">
        <v>194</v>
      </c>
      <c r="S113" s="46" t="s">
        <v>194</v>
      </c>
      <c r="T113" s="46" t="s">
        <v>626</v>
      </c>
      <c r="U113" s="46" t="s">
        <v>2890</v>
      </c>
      <c r="V113" s="46" t="s">
        <v>1064</v>
      </c>
      <c r="W113" s="46" t="s">
        <v>1064</v>
      </c>
      <c r="X113" s="46"/>
      <c r="Y113" s="46"/>
      <c r="Z113" s="46"/>
      <c r="AA113" s="46"/>
      <c r="AB113" s="46"/>
      <c r="AC113" s="46" t="s">
        <v>1064</v>
      </c>
      <c r="AD113" s="46"/>
      <c r="AE113" s="46"/>
      <c r="AF113" s="46"/>
      <c r="AG113" s="46"/>
      <c r="AH113" s="46"/>
      <c r="AI113" s="46"/>
      <c r="AJ113" s="46"/>
      <c r="AK113" s="46"/>
      <c r="AL113" s="46" t="s">
        <v>1064</v>
      </c>
      <c r="AM113" s="46"/>
      <c r="AN113" s="46"/>
      <c r="AO113" s="46"/>
      <c r="AP113" s="46" t="s">
        <v>1064</v>
      </c>
      <c r="AQ113" s="46"/>
      <c r="AR113" s="46"/>
      <c r="AS113" s="46" t="s">
        <v>584</v>
      </c>
      <c r="AT113" s="46" t="s">
        <v>308</v>
      </c>
      <c r="AU113" s="46" t="s">
        <v>4191</v>
      </c>
      <c r="AV113" s="46" t="s">
        <v>493</v>
      </c>
      <c r="AW113" s="46"/>
      <c r="AX113" s="46"/>
      <c r="AY113" s="46"/>
      <c r="AZ113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</row>
    <row r="114" spans="1:75" ht="75" x14ac:dyDescent="0.25">
      <c r="A114" s="47" t="s">
        <v>496</v>
      </c>
      <c r="B114" s="45" t="s">
        <v>305</v>
      </c>
      <c r="C114" s="45" t="s">
        <v>497</v>
      </c>
      <c r="D114" s="46" t="s">
        <v>498</v>
      </c>
      <c r="E114" s="25" t="s">
        <v>2</v>
      </c>
      <c r="F114" s="48" t="s">
        <v>32</v>
      </c>
      <c r="G114" s="62" t="s">
        <v>2069</v>
      </c>
      <c r="H114" s="63"/>
      <c r="I114" s="46" t="s">
        <v>194</v>
      </c>
      <c r="J114" s="46" t="s">
        <v>1064</v>
      </c>
      <c r="K114" s="46" t="s">
        <v>626</v>
      </c>
      <c r="L114" s="46" t="s">
        <v>626</v>
      </c>
      <c r="M114" s="46" t="s">
        <v>4300</v>
      </c>
      <c r="N114" s="46" t="s">
        <v>4191</v>
      </c>
      <c r="O114" s="46" t="s">
        <v>626</v>
      </c>
      <c r="P114" s="46" t="s">
        <v>626</v>
      </c>
      <c r="Q114" s="46" t="s">
        <v>194</v>
      </c>
      <c r="R114" s="46" t="s">
        <v>194</v>
      </c>
      <c r="S114" s="46" t="s">
        <v>194</v>
      </c>
      <c r="T114" s="46" t="s">
        <v>626</v>
      </c>
      <c r="U114" s="46" t="s">
        <v>2890</v>
      </c>
      <c r="V114" s="46" t="s">
        <v>1064</v>
      </c>
      <c r="W114" s="46" t="s">
        <v>1064</v>
      </c>
      <c r="X114" s="46"/>
      <c r="Y114" s="46"/>
      <c r="Z114" s="46"/>
      <c r="AA114" s="46"/>
      <c r="AB114" s="46"/>
      <c r="AC114" s="46" t="s">
        <v>1064</v>
      </c>
      <c r="AD114" s="46"/>
      <c r="AE114" s="46"/>
      <c r="AF114" s="46"/>
      <c r="AG114" s="46"/>
      <c r="AH114" s="46"/>
      <c r="AI114" s="46"/>
      <c r="AJ114" s="46"/>
      <c r="AK114" s="46"/>
      <c r="AL114" s="46" t="s">
        <v>1064</v>
      </c>
      <c r="AM114" s="46"/>
      <c r="AN114" s="46"/>
      <c r="AO114" s="46"/>
      <c r="AP114" s="46" t="s">
        <v>1064</v>
      </c>
      <c r="AQ114" s="46"/>
      <c r="AR114" s="46"/>
      <c r="AS114" s="46" t="s">
        <v>586</v>
      </c>
      <c r="AT114" s="46" t="s">
        <v>308</v>
      </c>
      <c r="AU114" s="46" t="s">
        <v>4191</v>
      </c>
      <c r="AV114" s="46" t="s">
        <v>496</v>
      </c>
      <c r="AW114" s="46"/>
      <c r="AX114" s="46"/>
      <c r="AY114" s="46"/>
      <c r="AZ114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</row>
    <row r="115" spans="1:75" ht="150" x14ac:dyDescent="0.25">
      <c r="A115" s="47" t="s">
        <v>499</v>
      </c>
      <c r="B115" s="45" t="s">
        <v>305</v>
      </c>
      <c r="C115" s="45" t="s">
        <v>500</v>
      </c>
      <c r="D115" s="46" t="s">
        <v>501</v>
      </c>
      <c r="E115" s="25" t="s">
        <v>2</v>
      </c>
      <c r="F115" s="48" t="s">
        <v>801</v>
      </c>
      <c r="G115" s="62" t="s">
        <v>2070</v>
      </c>
      <c r="H115" s="63" t="s">
        <v>109</v>
      </c>
      <c r="I115" s="46" t="s">
        <v>4253</v>
      </c>
      <c r="J115" s="46" t="s">
        <v>1064</v>
      </c>
      <c r="K115" s="46" t="s">
        <v>626</v>
      </c>
      <c r="L115" s="46" t="s">
        <v>4191</v>
      </c>
      <c r="M115" s="46" t="s">
        <v>4285</v>
      </c>
      <c r="N115" s="46" t="s">
        <v>4191</v>
      </c>
      <c r="O115" s="46" t="s">
        <v>626</v>
      </c>
      <c r="P115" s="46" t="s">
        <v>626</v>
      </c>
      <c r="Q115" s="46" t="s">
        <v>194</v>
      </c>
      <c r="R115" s="46" t="s">
        <v>4307</v>
      </c>
      <c r="S115" s="46" t="s">
        <v>4308</v>
      </c>
      <c r="T115" s="46" t="s">
        <v>4191</v>
      </c>
      <c r="U115" s="46" t="s">
        <v>2890</v>
      </c>
      <c r="V115" s="46" t="s">
        <v>1064</v>
      </c>
      <c r="W115" s="46" t="s">
        <v>1064</v>
      </c>
      <c r="X115" s="46"/>
      <c r="Y115" s="46"/>
      <c r="Z115" s="46"/>
      <c r="AA115" s="46"/>
      <c r="AB115" s="46"/>
      <c r="AC115" s="46" t="s">
        <v>1064</v>
      </c>
      <c r="AD115" s="46"/>
      <c r="AE115" s="46"/>
      <c r="AF115" s="46"/>
      <c r="AG115" s="46"/>
      <c r="AH115" s="46"/>
      <c r="AI115" s="46"/>
      <c r="AJ115" s="46"/>
      <c r="AK115" s="46"/>
      <c r="AL115" s="46" t="s">
        <v>1064</v>
      </c>
      <c r="AM115" s="46"/>
      <c r="AN115" s="46"/>
      <c r="AO115" s="46"/>
      <c r="AP115" s="46" t="s">
        <v>1064</v>
      </c>
      <c r="AQ115" s="46"/>
      <c r="AR115" s="46"/>
      <c r="AS115" s="46" t="s">
        <v>583</v>
      </c>
      <c r="AT115" s="46" t="s">
        <v>2</v>
      </c>
      <c r="AU115" s="46" t="s">
        <v>4191</v>
      </c>
      <c r="AV115" s="46" t="s">
        <v>499</v>
      </c>
      <c r="AW115" s="46" t="s">
        <v>109</v>
      </c>
      <c r="AX115" s="46" t="s">
        <v>28</v>
      </c>
      <c r="AY115" s="46"/>
      <c r="AZ115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</row>
    <row r="116" spans="1:75" ht="75" x14ac:dyDescent="0.25">
      <c r="A116" s="47" t="s">
        <v>502</v>
      </c>
      <c r="B116" s="45" t="s">
        <v>305</v>
      </c>
      <c r="C116" s="45" t="s">
        <v>503</v>
      </c>
      <c r="D116" s="46" t="s">
        <v>504</v>
      </c>
      <c r="E116" s="25" t="s">
        <v>2</v>
      </c>
      <c r="F116" s="48" t="s">
        <v>32</v>
      </c>
      <c r="G116" s="62" t="s">
        <v>2071</v>
      </c>
      <c r="H116" s="63"/>
      <c r="I116" s="46" t="s">
        <v>194</v>
      </c>
      <c r="J116" s="46" t="s">
        <v>1064</v>
      </c>
      <c r="K116" s="46" t="s">
        <v>626</v>
      </c>
      <c r="L116" s="46" t="s">
        <v>626</v>
      </c>
      <c r="M116" s="46" t="s">
        <v>4242</v>
      </c>
      <c r="N116" s="46" t="s">
        <v>4191</v>
      </c>
      <c r="O116" s="46" t="s">
        <v>626</v>
      </c>
      <c r="P116" s="46" t="s">
        <v>626</v>
      </c>
      <c r="Q116" s="46" t="s">
        <v>194</v>
      </c>
      <c r="R116" s="46" t="s">
        <v>194</v>
      </c>
      <c r="S116" s="46" t="s">
        <v>194</v>
      </c>
      <c r="T116" s="46" t="s">
        <v>626</v>
      </c>
      <c r="U116" s="46" t="s">
        <v>2890</v>
      </c>
      <c r="V116" s="46" t="s">
        <v>1064</v>
      </c>
      <c r="W116" s="46" t="s">
        <v>1064</v>
      </c>
      <c r="X116" s="46"/>
      <c r="Y116" s="46"/>
      <c r="Z116" s="46"/>
      <c r="AA116" s="46"/>
      <c r="AB116" s="46"/>
      <c r="AC116" s="46" t="s">
        <v>1064</v>
      </c>
      <c r="AD116" s="46"/>
      <c r="AE116" s="46"/>
      <c r="AF116" s="46"/>
      <c r="AG116" s="46"/>
      <c r="AH116" s="46"/>
      <c r="AI116" s="46"/>
      <c r="AJ116" s="46"/>
      <c r="AK116" s="46"/>
      <c r="AL116" s="46" t="s">
        <v>1064</v>
      </c>
      <c r="AM116" s="46"/>
      <c r="AN116" s="46"/>
      <c r="AO116" s="46"/>
      <c r="AP116" s="46" t="s">
        <v>1064</v>
      </c>
      <c r="AQ116" s="46"/>
      <c r="AR116" s="46"/>
      <c r="AS116" s="46" t="s">
        <v>584</v>
      </c>
      <c r="AT116" s="46" t="s">
        <v>314</v>
      </c>
      <c r="AU116" s="46" t="s">
        <v>4191</v>
      </c>
      <c r="AV116" s="46" t="s">
        <v>502</v>
      </c>
      <c r="AW116" s="46"/>
      <c r="AX116" s="46"/>
      <c r="AY116" s="46"/>
      <c r="AZ11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</row>
    <row r="117" spans="1:75" ht="75" x14ac:dyDescent="0.25">
      <c r="A117" s="47" t="s">
        <v>505</v>
      </c>
      <c r="B117" s="45" t="s">
        <v>305</v>
      </c>
      <c r="C117" s="45" t="s">
        <v>506</v>
      </c>
      <c r="D117" s="46" t="s">
        <v>507</v>
      </c>
      <c r="E117" s="25" t="s">
        <v>2</v>
      </c>
      <c r="F117" s="48" t="s">
        <v>32</v>
      </c>
      <c r="G117" s="62" t="s">
        <v>2072</v>
      </c>
      <c r="H117" s="63"/>
      <c r="I117" s="46" t="s">
        <v>194</v>
      </c>
      <c r="J117" s="46" t="s">
        <v>1064</v>
      </c>
      <c r="K117" s="46" t="s">
        <v>626</v>
      </c>
      <c r="L117" s="46" t="s">
        <v>626</v>
      </c>
      <c r="M117" s="46" t="s">
        <v>4297</v>
      </c>
      <c r="N117" s="46" t="s">
        <v>4191</v>
      </c>
      <c r="O117" s="46" t="s">
        <v>626</v>
      </c>
      <c r="P117" s="46" t="s">
        <v>626</v>
      </c>
      <c r="Q117" s="46" t="s">
        <v>194</v>
      </c>
      <c r="R117" s="46" t="s">
        <v>194</v>
      </c>
      <c r="S117" s="46" t="s">
        <v>194</v>
      </c>
      <c r="T117" s="46" t="s">
        <v>626</v>
      </c>
      <c r="U117" s="46" t="s">
        <v>2890</v>
      </c>
      <c r="V117" s="46" t="s">
        <v>1064</v>
      </c>
      <c r="W117" s="46" t="s">
        <v>1064</v>
      </c>
      <c r="X117" s="46"/>
      <c r="Y117" s="46"/>
      <c r="Z117" s="46"/>
      <c r="AA117" s="46"/>
      <c r="AB117" s="46"/>
      <c r="AC117" s="46" t="s">
        <v>1064</v>
      </c>
      <c r="AD117" s="46"/>
      <c r="AE117" s="46"/>
      <c r="AF117" s="46"/>
      <c r="AG117" s="46"/>
      <c r="AH117" s="46"/>
      <c r="AI117" s="46"/>
      <c r="AJ117" s="46"/>
      <c r="AK117" s="46"/>
      <c r="AL117" s="46" t="s">
        <v>1064</v>
      </c>
      <c r="AM117" s="46"/>
      <c r="AN117" s="46"/>
      <c r="AO117" s="46"/>
      <c r="AP117" s="46" t="s">
        <v>1064</v>
      </c>
      <c r="AQ117" s="46"/>
      <c r="AR117" s="46"/>
      <c r="AS117" s="46" t="s">
        <v>584</v>
      </c>
      <c r="AT117" s="46" t="s">
        <v>308</v>
      </c>
      <c r="AU117" s="46" t="s">
        <v>4191</v>
      </c>
      <c r="AV117" s="46" t="s">
        <v>505</v>
      </c>
      <c r="AW117" s="46"/>
      <c r="AX117" s="46"/>
      <c r="AY117" s="46"/>
      <c r="AZ117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</row>
    <row r="118" spans="1:75" ht="75" x14ac:dyDescent="0.25">
      <c r="A118" s="47" t="s">
        <v>508</v>
      </c>
      <c r="B118" s="45" t="s">
        <v>305</v>
      </c>
      <c r="C118" s="45" t="s">
        <v>509</v>
      </c>
      <c r="D118" s="46" t="s">
        <v>510</v>
      </c>
      <c r="E118" s="25" t="s">
        <v>2</v>
      </c>
      <c r="F118" s="48" t="s">
        <v>32</v>
      </c>
      <c r="G118" s="62" t="s">
        <v>2073</v>
      </c>
      <c r="H118" s="63"/>
      <c r="I118" s="46" t="s">
        <v>194</v>
      </c>
      <c r="J118" s="46" t="s">
        <v>1064</v>
      </c>
      <c r="K118" s="46" t="s">
        <v>626</v>
      </c>
      <c r="L118" s="46" t="s">
        <v>626</v>
      </c>
      <c r="M118" s="46" t="s">
        <v>4303</v>
      </c>
      <c r="N118" s="46" t="s">
        <v>4191</v>
      </c>
      <c r="O118" s="46" t="s">
        <v>626</v>
      </c>
      <c r="P118" s="46" t="s">
        <v>626</v>
      </c>
      <c r="Q118" s="46" t="s">
        <v>194</v>
      </c>
      <c r="R118" s="46" t="s">
        <v>194</v>
      </c>
      <c r="S118" s="46" t="s">
        <v>194</v>
      </c>
      <c r="T118" s="46" t="s">
        <v>626</v>
      </c>
      <c r="U118" s="46" t="s">
        <v>2890</v>
      </c>
      <c r="V118" s="46" t="s">
        <v>1064</v>
      </c>
      <c r="W118" s="46" t="s">
        <v>1064</v>
      </c>
      <c r="X118" s="46"/>
      <c r="Y118" s="46"/>
      <c r="Z118" s="46"/>
      <c r="AA118" s="46"/>
      <c r="AB118" s="46"/>
      <c r="AC118" s="46" t="s">
        <v>1064</v>
      </c>
      <c r="AD118" s="46"/>
      <c r="AE118" s="46"/>
      <c r="AF118" s="46"/>
      <c r="AG118" s="46"/>
      <c r="AH118" s="46"/>
      <c r="AI118" s="46"/>
      <c r="AJ118" s="46"/>
      <c r="AK118" s="46"/>
      <c r="AL118" s="46" t="s">
        <v>1064</v>
      </c>
      <c r="AM118" s="46"/>
      <c r="AN118" s="46"/>
      <c r="AO118" s="46"/>
      <c r="AP118" s="46" t="s">
        <v>1064</v>
      </c>
      <c r="AQ118" s="46"/>
      <c r="AR118" s="46"/>
      <c r="AS118" s="46" t="s">
        <v>586</v>
      </c>
      <c r="AT118" s="46" t="s">
        <v>308</v>
      </c>
      <c r="AU118" s="46" t="s">
        <v>4191</v>
      </c>
      <c r="AV118" s="46" t="s">
        <v>508</v>
      </c>
      <c r="AW118" s="46"/>
      <c r="AX118" s="46"/>
      <c r="AY118" s="46"/>
      <c r="AZ118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</row>
    <row r="119" spans="1:75" ht="135" x14ac:dyDescent="0.25">
      <c r="A119" s="47" t="s">
        <v>511</v>
      </c>
      <c r="B119" s="45" t="s">
        <v>305</v>
      </c>
      <c r="C119" s="45" t="s">
        <v>512</v>
      </c>
      <c r="D119" s="46" t="s">
        <v>513</v>
      </c>
      <c r="E119" s="25" t="s">
        <v>2</v>
      </c>
      <c r="F119" s="48" t="s">
        <v>36</v>
      </c>
      <c r="G119" s="62" t="s">
        <v>2074</v>
      </c>
      <c r="H119" s="63" t="s">
        <v>116</v>
      </c>
      <c r="I119" s="46" t="s">
        <v>4253</v>
      </c>
      <c r="J119" s="46" t="s">
        <v>1064</v>
      </c>
      <c r="K119" s="46" t="s">
        <v>626</v>
      </c>
      <c r="L119" s="46" t="s">
        <v>4191</v>
      </c>
      <c r="M119" s="46" t="s">
        <v>4285</v>
      </c>
      <c r="N119" s="46" t="s">
        <v>4191</v>
      </c>
      <c r="O119" s="46" t="s">
        <v>626</v>
      </c>
      <c r="P119" s="46" t="s">
        <v>626</v>
      </c>
      <c r="Q119" s="46" t="s">
        <v>194</v>
      </c>
      <c r="R119" s="46" t="s">
        <v>4309</v>
      </c>
      <c r="S119" s="46" t="s">
        <v>4310</v>
      </c>
      <c r="T119" s="46" t="s">
        <v>4191</v>
      </c>
      <c r="U119" s="46" t="s">
        <v>2890</v>
      </c>
      <c r="V119" s="46" t="s">
        <v>1064</v>
      </c>
      <c r="W119" s="46" t="s">
        <v>1064</v>
      </c>
      <c r="X119" s="46"/>
      <c r="Y119" s="46"/>
      <c r="Z119" s="46"/>
      <c r="AA119" s="46"/>
      <c r="AB119" s="46"/>
      <c r="AC119" s="46" t="s">
        <v>1064</v>
      </c>
      <c r="AD119" s="46"/>
      <c r="AE119" s="46"/>
      <c r="AF119" s="46"/>
      <c r="AG119" s="46"/>
      <c r="AH119" s="46"/>
      <c r="AI119" s="46"/>
      <c r="AJ119" s="46"/>
      <c r="AK119" s="46"/>
      <c r="AL119" s="46" t="s">
        <v>1064</v>
      </c>
      <c r="AM119" s="46"/>
      <c r="AN119" s="46"/>
      <c r="AO119" s="46"/>
      <c r="AP119" s="46" t="s">
        <v>1064</v>
      </c>
      <c r="AQ119" s="46"/>
      <c r="AR119" s="46"/>
      <c r="AS119" s="46" t="s">
        <v>583</v>
      </c>
      <c r="AT119" s="46" t="s">
        <v>2</v>
      </c>
      <c r="AU119" s="46" t="s">
        <v>4191</v>
      </c>
      <c r="AV119" s="46" t="s">
        <v>511</v>
      </c>
      <c r="AW119" s="46" t="s">
        <v>116</v>
      </c>
      <c r="AX119" s="46" t="s">
        <v>34</v>
      </c>
      <c r="AY119" s="46"/>
      <c r="AZ119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</row>
    <row r="120" spans="1:75" ht="75" x14ac:dyDescent="0.25">
      <c r="A120" s="47" t="s">
        <v>514</v>
      </c>
      <c r="B120" s="45" t="s">
        <v>305</v>
      </c>
      <c r="C120" s="45" t="s">
        <v>515</v>
      </c>
      <c r="D120" s="46" t="s">
        <v>516</v>
      </c>
      <c r="E120" s="25" t="s">
        <v>2</v>
      </c>
      <c r="F120" s="48" t="s">
        <v>32</v>
      </c>
      <c r="G120" s="62" t="s">
        <v>2075</v>
      </c>
      <c r="H120" s="63"/>
      <c r="I120" s="46" t="s">
        <v>194</v>
      </c>
      <c r="J120" s="46" t="s">
        <v>1064</v>
      </c>
      <c r="K120" s="46" t="s">
        <v>626</v>
      </c>
      <c r="L120" s="46" t="s">
        <v>626</v>
      </c>
      <c r="M120" s="46" t="s">
        <v>4242</v>
      </c>
      <c r="N120" s="46" t="s">
        <v>4191</v>
      </c>
      <c r="O120" s="46" t="s">
        <v>626</v>
      </c>
      <c r="P120" s="46" t="s">
        <v>626</v>
      </c>
      <c r="Q120" s="46" t="s">
        <v>194</v>
      </c>
      <c r="R120" s="46" t="s">
        <v>194</v>
      </c>
      <c r="S120" s="46" t="s">
        <v>194</v>
      </c>
      <c r="T120" s="46" t="s">
        <v>626</v>
      </c>
      <c r="U120" s="46" t="s">
        <v>2890</v>
      </c>
      <c r="V120" s="46" t="s">
        <v>1064</v>
      </c>
      <c r="W120" s="46" t="s">
        <v>1064</v>
      </c>
      <c r="X120" s="46"/>
      <c r="Y120" s="46"/>
      <c r="Z120" s="46"/>
      <c r="AA120" s="46"/>
      <c r="AB120" s="46"/>
      <c r="AC120" s="46" t="s">
        <v>1064</v>
      </c>
      <c r="AD120" s="46"/>
      <c r="AE120" s="46"/>
      <c r="AF120" s="46"/>
      <c r="AG120" s="46"/>
      <c r="AH120" s="46"/>
      <c r="AI120" s="46"/>
      <c r="AJ120" s="46"/>
      <c r="AK120" s="46"/>
      <c r="AL120" s="46" t="s">
        <v>1064</v>
      </c>
      <c r="AM120" s="46"/>
      <c r="AN120" s="46"/>
      <c r="AO120" s="46"/>
      <c r="AP120" s="46" t="s">
        <v>1064</v>
      </c>
      <c r="AQ120" s="46"/>
      <c r="AR120" s="46"/>
      <c r="AS120" s="46" t="s">
        <v>584</v>
      </c>
      <c r="AT120" s="46" t="s">
        <v>314</v>
      </c>
      <c r="AU120" s="46" t="s">
        <v>4191</v>
      </c>
      <c r="AV120" s="46" t="s">
        <v>514</v>
      </c>
      <c r="AW120" s="46"/>
      <c r="AX120" s="46"/>
      <c r="AY120" s="46"/>
      <c r="AZ120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</row>
    <row r="121" spans="1:75" ht="75" x14ac:dyDescent="0.25">
      <c r="A121" s="47" t="s">
        <v>517</v>
      </c>
      <c r="B121" s="45" t="s">
        <v>305</v>
      </c>
      <c r="C121" s="45" t="s">
        <v>518</v>
      </c>
      <c r="D121" s="46" t="s">
        <v>519</v>
      </c>
      <c r="E121" s="25" t="s">
        <v>2</v>
      </c>
      <c r="F121" s="48" t="s">
        <v>32</v>
      </c>
      <c r="G121" s="62" t="s">
        <v>2076</v>
      </c>
      <c r="H121" s="63"/>
      <c r="I121" s="46" t="s">
        <v>194</v>
      </c>
      <c r="J121" s="46" t="s">
        <v>1064</v>
      </c>
      <c r="K121" s="46" t="s">
        <v>626</v>
      </c>
      <c r="L121" s="46" t="s">
        <v>626</v>
      </c>
      <c r="M121" s="46" t="s">
        <v>4297</v>
      </c>
      <c r="N121" s="46" t="s">
        <v>4191</v>
      </c>
      <c r="O121" s="46" t="s">
        <v>626</v>
      </c>
      <c r="P121" s="46" t="s">
        <v>626</v>
      </c>
      <c r="Q121" s="46" t="s">
        <v>194</v>
      </c>
      <c r="R121" s="46" t="s">
        <v>194</v>
      </c>
      <c r="S121" s="46" t="s">
        <v>194</v>
      </c>
      <c r="T121" s="46" t="s">
        <v>626</v>
      </c>
      <c r="U121" s="46" t="s">
        <v>2890</v>
      </c>
      <c r="V121" s="46" t="s">
        <v>1064</v>
      </c>
      <c r="W121" s="46" t="s">
        <v>1064</v>
      </c>
      <c r="X121" s="46"/>
      <c r="Y121" s="46"/>
      <c r="Z121" s="46"/>
      <c r="AA121" s="46"/>
      <c r="AB121" s="46"/>
      <c r="AC121" s="46" t="s">
        <v>1064</v>
      </c>
      <c r="AD121" s="46"/>
      <c r="AE121" s="46"/>
      <c r="AF121" s="46"/>
      <c r="AG121" s="46"/>
      <c r="AH121" s="46"/>
      <c r="AI121" s="46"/>
      <c r="AJ121" s="46"/>
      <c r="AK121" s="46"/>
      <c r="AL121" s="46" t="s">
        <v>1064</v>
      </c>
      <c r="AM121" s="46"/>
      <c r="AN121" s="46"/>
      <c r="AO121" s="46"/>
      <c r="AP121" s="46" t="s">
        <v>1064</v>
      </c>
      <c r="AQ121" s="46"/>
      <c r="AR121" s="46"/>
      <c r="AS121" s="46" t="s">
        <v>584</v>
      </c>
      <c r="AT121" s="46" t="s">
        <v>308</v>
      </c>
      <c r="AU121" s="46" t="s">
        <v>4191</v>
      </c>
      <c r="AV121" s="46" t="s">
        <v>517</v>
      </c>
      <c r="AW121" s="46"/>
      <c r="AX121" s="46"/>
      <c r="AY121" s="46"/>
      <c r="AZ121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</row>
    <row r="122" spans="1:75" ht="75" x14ac:dyDescent="0.25">
      <c r="A122" s="47" t="s">
        <v>520</v>
      </c>
      <c r="B122" s="45" t="s">
        <v>305</v>
      </c>
      <c r="C122" s="45" t="s">
        <v>521</v>
      </c>
      <c r="D122" s="46" t="s">
        <v>522</v>
      </c>
      <c r="E122" s="25" t="s">
        <v>2</v>
      </c>
      <c r="F122" s="48" t="s">
        <v>32</v>
      </c>
      <c r="G122" s="62" t="s">
        <v>2077</v>
      </c>
      <c r="H122" s="63"/>
      <c r="I122" s="46" t="s">
        <v>194</v>
      </c>
      <c r="J122" s="46" t="s">
        <v>1064</v>
      </c>
      <c r="K122" s="46" t="s">
        <v>626</v>
      </c>
      <c r="L122" s="46" t="s">
        <v>626</v>
      </c>
      <c r="M122" s="46" t="s">
        <v>4303</v>
      </c>
      <c r="N122" s="46" t="s">
        <v>4191</v>
      </c>
      <c r="O122" s="46" t="s">
        <v>626</v>
      </c>
      <c r="P122" s="46" t="s">
        <v>626</v>
      </c>
      <c r="Q122" s="46" t="s">
        <v>194</v>
      </c>
      <c r="R122" s="46" t="s">
        <v>194</v>
      </c>
      <c r="S122" s="46" t="s">
        <v>194</v>
      </c>
      <c r="T122" s="46" t="s">
        <v>626</v>
      </c>
      <c r="U122" s="46" t="s">
        <v>2890</v>
      </c>
      <c r="V122" s="46" t="s">
        <v>1064</v>
      </c>
      <c r="W122" s="46" t="s">
        <v>1064</v>
      </c>
      <c r="X122" s="46"/>
      <c r="Y122" s="46"/>
      <c r="Z122" s="46"/>
      <c r="AA122" s="46"/>
      <c r="AB122" s="46"/>
      <c r="AC122" s="46" t="s">
        <v>1064</v>
      </c>
      <c r="AD122" s="46"/>
      <c r="AE122" s="46"/>
      <c r="AF122" s="46"/>
      <c r="AG122" s="46"/>
      <c r="AH122" s="46"/>
      <c r="AI122" s="46"/>
      <c r="AJ122" s="46"/>
      <c r="AK122" s="46"/>
      <c r="AL122" s="46" t="s">
        <v>1064</v>
      </c>
      <c r="AM122" s="46"/>
      <c r="AN122" s="46"/>
      <c r="AO122" s="46"/>
      <c r="AP122" s="46" t="s">
        <v>1064</v>
      </c>
      <c r="AQ122" s="46"/>
      <c r="AR122" s="46"/>
      <c r="AS122" s="46" t="s">
        <v>586</v>
      </c>
      <c r="AT122" s="46" t="s">
        <v>308</v>
      </c>
      <c r="AU122" s="46" t="s">
        <v>4191</v>
      </c>
      <c r="AV122" s="46" t="s">
        <v>520</v>
      </c>
      <c r="AW122" s="46"/>
      <c r="AX122" s="46"/>
      <c r="AY122" s="46"/>
      <c r="AZ122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</row>
    <row r="123" spans="1:75" ht="135" x14ac:dyDescent="0.25">
      <c r="A123" s="47" t="s">
        <v>523</v>
      </c>
      <c r="B123" s="45" t="s">
        <v>305</v>
      </c>
      <c r="C123" s="45" t="s">
        <v>524</v>
      </c>
      <c r="D123" s="46" t="s">
        <v>525</v>
      </c>
      <c r="E123" s="25" t="s">
        <v>2</v>
      </c>
      <c r="F123" s="48" t="s">
        <v>836</v>
      </c>
      <c r="G123" s="62" t="s">
        <v>2078</v>
      </c>
      <c r="H123" s="63" t="s">
        <v>119</v>
      </c>
      <c r="I123" s="46" t="s">
        <v>4253</v>
      </c>
      <c r="J123" s="46" t="s">
        <v>1064</v>
      </c>
      <c r="K123" s="46" t="s">
        <v>626</v>
      </c>
      <c r="L123" s="46" t="s">
        <v>4191</v>
      </c>
      <c r="M123" s="46" t="s">
        <v>4311</v>
      </c>
      <c r="N123" s="46" t="s">
        <v>4191</v>
      </c>
      <c r="O123" s="46" t="s">
        <v>626</v>
      </c>
      <c r="P123" s="46" t="s">
        <v>626</v>
      </c>
      <c r="Q123" s="46" t="s">
        <v>194</v>
      </c>
      <c r="R123" s="46" t="s">
        <v>4312</v>
      </c>
      <c r="S123" s="46" t="s">
        <v>4313</v>
      </c>
      <c r="T123" s="46" t="s">
        <v>4191</v>
      </c>
      <c r="U123" s="46" t="s">
        <v>2890</v>
      </c>
      <c r="V123" s="46" t="s">
        <v>1064</v>
      </c>
      <c r="W123" s="46" t="s">
        <v>1064</v>
      </c>
      <c r="X123" s="46"/>
      <c r="Y123" s="46"/>
      <c r="Z123" s="46"/>
      <c r="AA123" s="46"/>
      <c r="AB123" s="46"/>
      <c r="AC123" s="46" t="s">
        <v>1064</v>
      </c>
      <c r="AD123" s="46"/>
      <c r="AE123" s="46"/>
      <c r="AF123" s="46"/>
      <c r="AG123" s="46"/>
      <c r="AH123" s="46"/>
      <c r="AI123" s="46"/>
      <c r="AJ123" s="46"/>
      <c r="AK123" s="46"/>
      <c r="AL123" s="46" t="s">
        <v>1064</v>
      </c>
      <c r="AM123" s="46"/>
      <c r="AN123" s="46"/>
      <c r="AO123" s="46"/>
      <c r="AP123" s="46" t="s">
        <v>1064</v>
      </c>
      <c r="AQ123" s="46"/>
      <c r="AR123" s="46"/>
      <c r="AS123" s="46" t="s">
        <v>583</v>
      </c>
      <c r="AT123" s="46" t="s">
        <v>2</v>
      </c>
      <c r="AU123" s="46" t="s">
        <v>4191</v>
      </c>
      <c r="AV123" s="46" t="s">
        <v>523</v>
      </c>
      <c r="AW123" s="46" t="s">
        <v>119</v>
      </c>
      <c r="AX123" s="46" t="s">
        <v>34</v>
      </c>
      <c r="AY123" s="46"/>
      <c r="AZ123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</row>
    <row r="124" spans="1:75" ht="75" x14ac:dyDescent="0.25">
      <c r="A124" s="47" t="s">
        <v>535</v>
      </c>
      <c r="B124" s="45" t="s">
        <v>305</v>
      </c>
      <c r="C124" s="45" t="s">
        <v>536</v>
      </c>
      <c r="D124" s="46" t="s">
        <v>537</v>
      </c>
      <c r="E124" s="25" t="s">
        <v>2</v>
      </c>
      <c r="F124" s="48" t="s">
        <v>308</v>
      </c>
      <c r="G124" s="62" t="s">
        <v>2079</v>
      </c>
      <c r="H124" s="63" t="s">
        <v>122</v>
      </c>
      <c r="I124" s="46" t="s">
        <v>194</v>
      </c>
      <c r="J124" s="46" t="s">
        <v>1064</v>
      </c>
      <c r="K124" s="46" t="s">
        <v>626</v>
      </c>
      <c r="L124" s="46" t="s">
        <v>626</v>
      </c>
      <c r="M124" s="46" t="s">
        <v>4314</v>
      </c>
      <c r="N124" s="46" t="s">
        <v>4191</v>
      </c>
      <c r="O124" s="46" t="s">
        <v>626</v>
      </c>
      <c r="P124" s="46" t="s">
        <v>626</v>
      </c>
      <c r="Q124" s="46" t="s">
        <v>194</v>
      </c>
      <c r="R124" s="46" t="s">
        <v>194</v>
      </c>
      <c r="S124" s="46" t="s">
        <v>194</v>
      </c>
      <c r="T124" s="46" t="s">
        <v>626</v>
      </c>
      <c r="U124" s="46" t="s">
        <v>2890</v>
      </c>
      <c r="V124" s="46" t="s">
        <v>1064</v>
      </c>
      <c r="W124" s="46" t="s">
        <v>1064</v>
      </c>
      <c r="X124" s="46"/>
      <c r="Y124" s="46"/>
      <c r="Z124" s="46"/>
      <c r="AA124" s="46"/>
      <c r="AB124" s="46"/>
      <c r="AC124" s="46" t="s">
        <v>1064</v>
      </c>
      <c r="AD124" s="46"/>
      <c r="AE124" s="46"/>
      <c r="AF124" s="46"/>
      <c r="AG124" s="46"/>
      <c r="AH124" s="46"/>
      <c r="AI124" s="46"/>
      <c r="AJ124" s="46"/>
      <c r="AK124" s="46"/>
      <c r="AL124" s="46" t="s">
        <v>1064</v>
      </c>
      <c r="AM124" s="46"/>
      <c r="AN124" s="46"/>
      <c r="AO124" s="46"/>
      <c r="AP124" s="46" t="s">
        <v>1064</v>
      </c>
      <c r="AQ124" s="46"/>
      <c r="AR124" s="46"/>
      <c r="AS124" s="46" t="s">
        <v>584</v>
      </c>
      <c r="AT124" s="46" t="s">
        <v>314</v>
      </c>
      <c r="AU124" s="46" t="s">
        <v>4191</v>
      </c>
      <c r="AV124" s="46" t="s">
        <v>535</v>
      </c>
      <c r="AW124" s="46" t="s">
        <v>122</v>
      </c>
      <c r="AX124" s="46" t="s">
        <v>28</v>
      </c>
      <c r="AY124" s="46"/>
      <c r="AZ124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</row>
    <row r="125" spans="1:75" ht="75" x14ac:dyDescent="0.25">
      <c r="A125" s="47" t="s">
        <v>538</v>
      </c>
      <c r="B125" s="45" t="s">
        <v>305</v>
      </c>
      <c r="C125" s="45" t="s">
        <v>539</v>
      </c>
      <c r="D125" s="46" t="s">
        <v>681</v>
      </c>
      <c r="E125" s="25" t="s">
        <v>2</v>
      </c>
      <c r="F125" s="48" t="s">
        <v>32</v>
      </c>
      <c r="G125" s="62" t="s">
        <v>2080</v>
      </c>
      <c r="H125" s="63"/>
      <c r="I125" s="46" t="s">
        <v>194</v>
      </c>
      <c r="J125" s="46" t="s">
        <v>1064</v>
      </c>
      <c r="K125" s="46" t="s">
        <v>626</v>
      </c>
      <c r="L125" s="46" t="s">
        <v>626</v>
      </c>
      <c r="M125" s="46" t="s">
        <v>4315</v>
      </c>
      <c r="N125" s="46" t="s">
        <v>4191</v>
      </c>
      <c r="O125" s="46" t="s">
        <v>626</v>
      </c>
      <c r="P125" s="46" t="s">
        <v>4191</v>
      </c>
      <c r="Q125" s="46" t="s">
        <v>194</v>
      </c>
      <c r="R125" s="46" t="s">
        <v>194</v>
      </c>
      <c r="S125" s="46" t="s">
        <v>194</v>
      </c>
      <c r="T125" s="46" t="s">
        <v>626</v>
      </c>
      <c r="U125" s="46" t="s">
        <v>2890</v>
      </c>
      <c r="V125" s="46" t="s">
        <v>1064</v>
      </c>
      <c r="W125" s="46" t="s">
        <v>1064</v>
      </c>
      <c r="X125" s="46"/>
      <c r="Y125" s="46"/>
      <c r="Z125" s="46"/>
      <c r="AA125" s="46"/>
      <c r="AB125" s="46"/>
      <c r="AC125" s="46" t="s">
        <v>1064</v>
      </c>
      <c r="AD125" s="46"/>
      <c r="AE125" s="46"/>
      <c r="AF125" s="46"/>
      <c r="AG125" s="46"/>
      <c r="AH125" s="46"/>
      <c r="AI125" s="46"/>
      <c r="AJ125" s="46"/>
      <c r="AK125" s="46"/>
      <c r="AL125" s="46" t="s">
        <v>1064</v>
      </c>
      <c r="AM125" s="46"/>
      <c r="AN125" s="46"/>
      <c r="AO125" s="46"/>
      <c r="AP125" s="46" t="s">
        <v>1064</v>
      </c>
      <c r="AQ125" s="46"/>
      <c r="AR125" s="46"/>
      <c r="AS125" s="46" t="s">
        <v>584</v>
      </c>
      <c r="AT125" s="46" t="s">
        <v>308</v>
      </c>
      <c r="AU125" s="46" t="s">
        <v>4191</v>
      </c>
      <c r="AV125" s="46" t="s">
        <v>538</v>
      </c>
      <c r="AW125" s="46"/>
      <c r="AX125" s="46"/>
      <c r="AY125" s="46"/>
      <c r="AZ125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</row>
    <row r="126" spans="1:75" ht="75" x14ac:dyDescent="0.25">
      <c r="A126" s="47" t="s">
        <v>540</v>
      </c>
      <c r="B126" s="45" t="s">
        <v>305</v>
      </c>
      <c r="C126" s="45" t="s">
        <v>541</v>
      </c>
      <c r="D126" s="46" t="s">
        <v>682</v>
      </c>
      <c r="E126" s="25" t="s">
        <v>2</v>
      </c>
      <c r="F126" s="48" t="s">
        <v>314</v>
      </c>
      <c r="G126" s="62" t="s">
        <v>2081</v>
      </c>
      <c r="H126" s="63" t="s">
        <v>122</v>
      </c>
      <c r="I126" s="46" t="s">
        <v>194</v>
      </c>
      <c r="J126" s="46" t="s">
        <v>1064</v>
      </c>
      <c r="K126" s="46" t="s">
        <v>626</v>
      </c>
      <c r="L126" s="46" t="s">
        <v>626</v>
      </c>
      <c r="M126" s="46" t="s">
        <v>4316</v>
      </c>
      <c r="N126" s="46" t="s">
        <v>4191</v>
      </c>
      <c r="O126" s="46" t="s">
        <v>626</v>
      </c>
      <c r="P126" s="46" t="s">
        <v>626</v>
      </c>
      <c r="Q126" s="46" t="s">
        <v>194</v>
      </c>
      <c r="R126" s="46" t="s">
        <v>194</v>
      </c>
      <c r="S126" s="46" t="s">
        <v>194</v>
      </c>
      <c r="T126" s="46" t="s">
        <v>626</v>
      </c>
      <c r="U126" s="46" t="s">
        <v>2890</v>
      </c>
      <c r="V126" s="46" t="s">
        <v>1064</v>
      </c>
      <c r="W126" s="46" t="s">
        <v>1064</v>
      </c>
      <c r="X126" s="46"/>
      <c r="Y126" s="46"/>
      <c r="Z126" s="46"/>
      <c r="AA126" s="46"/>
      <c r="AB126" s="46"/>
      <c r="AC126" s="46" t="s">
        <v>1064</v>
      </c>
      <c r="AD126" s="46"/>
      <c r="AE126" s="46"/>
      <c r="AF126" s="46"/>
      <c r="AG126" s="46"/>
      <c r="AH126" s="46"/>
      <c r="AI126" s="46"/>
      <c r="AJ126" s="46"/>
      <c r="AK126" s="46"/>
      <c r="AL126" s="46" t="s">
        <v>1064</v>
      </c>
      <c r="AM126" s="46"/>
      <c r="AN126" s="46"/>
      <c r="AO126" s="46"/>
      <c r="AP126" s="46" t="s">
        <v>1064</v>
      </c>
      <c r="AQ126" s="46"/>
      <c r="AR126" s="46"/>
      <c r="AS126" s="46" t="s">
        <v>586</v>
      </c>
      <c r="AT126" s="46" t="s">
        <v>308</v>
      </c>
      <c r="AU126" s="46" t="s">
        <v>4191</v>
      </c>
      <c r="AV126" s="46" t="s">
        <v>540</v>
      </c>
      <c r="AW126" s="46" t="s">
        <v>122</v>
      </c>
      <c r="AX126" s="46" t="s">
        <v>28</v>
      </c>
      <c r="AY126" s="46"/>
      <c r="AZ12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</row>
    <row r="127" spans="1:75" ht="150" x14ac:dyDescent="0.25">
      <c r="A127" s="47" t="s">
        <v>542</v>
      </c>
      <c r="B127" s="45" t="s">
        <v>305</v>
      </c>
      <c r="C127" s="45" t="s">
        <v>543</v>
      </c>
      <c r="D127" s="46" t="s">
        <v>683</v>
      </c>
      <c r="E127" s="25" t="s">
        <v>2</v>
      </c>
      <c r="F127" s="48" t="s">
        <v>317</v>
      </c>
      <c r="G127" s="62" t="s">
        <v>2082</v>
      </c>
      <c r="H127" s="63" t="s">
        <v>122</v>
      </c>
      <c r="I127" s="46" t="s">
        <v>4253</v>
      </c>
      <c r="J127" s="46" t="s">
        <v>1064</v>
      </c>
      <c r="K127" s="46" t="s">
        <v>626</v>
      </c>
      <c r="L127" s="46" t="s">
        <v>4191</v>
      </c>
      <c r="M127" s="46" t="s">
        <v>4311</v>
      </c>
      <c r="N127" s="46" t="s">
        <v>4191</v>
      </c>
      <c r="O127" s="46" t="s">
        <v>626</v>
      </c>
      <c r="P127" s="46" t="s">
        <v>626</v>
      </c>
      <c r="Q127" s="46" t="s">
        <v>194</v>
      </c>
      <c r="R127" s="46" t="s">
        <v>4317</v>
      </c>
      <c r="S127" s="46" t="s">
        <v>4318</v>
      </c>
      <c r="T127" s="46" t="s">
        <v>4191</v>
      </c>
      <c r="U127" s="46" t="s">
        <v>2890</v>
      </c>
      <c r="V127" s="46" t="s">
        <v>1064</v>
      </c>
      <c r="W127" s="46" t="s">
        <v>1064</v>
      </c>
      <c r="X127" s="46"/>
      <c r="Y127" s="46"/>
      <c r="Z127" s="46"/>
      <c r="AA127" s="46"/>
      <c r="AB127" s="46"/>
      <c r="AC127" s="46" t="s">
        <v>1064</v>
      </c>
      <c r="AD127" s="46"/>
      <c r="AE127" s="46"/>
      <c r="AF127" s="46"/>
      <c r="AG127" s="46"/>
      <c r="AH127" s="46"/>
      <c r="AI127" s="46"/>
      <c r="AJ127" s="46"/>
      <c r="AK127" s="46"/>
      <c r="AL127" s="46" t="s">
        <v>1064</v>
      </c>
      <c r="AM127" s="46"/>
      <c r="AN127" s="46"/>
      <c r="AO127" s="46"/>
      <c r="AP127" s="46" t="s">
        <v>1064</v>
      </c>
      <c r="AQ127" s="46"/>
      <c r="AR127" s="46"/>
      <c r="AS127" s="46" t="s">
        <v>583</v>
      </c>
      <c r="AT127" s="46" t="s">
        <v>2</v>
      </c>
      <c r="AU127" s="46" t="s">
        <v>4191</v>
      </c>
      <c r="AV127" s="46" t="s">
        <v>542</v>
      </c>
      <c r="AW127" s="46" t="s">
        <v>122</v>
      </c>
      <c r="AX127" s="46" t="s">
        <v>28</v>
      </c>
      <c r="AY127" s="46"/>
      <c r="AZ127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</row>
    <row r="128" spans="1:75" ht="75" x14ac:dyDescent="0.25">
      <c r="A128" s="47" t="s">
        <v>544</v>
      </c>
      <c r="B128" s="45" t="s">
        <v>305</v>
      </c>
      <c r="C128" s="45" t="s">
        <v>684</v>
      </c>
      <c r="D128" s="46" t="s">
        <v>685</v>
      </c>
      <c r="E128" s="25" t="s">
        <v>2</v>
      </c>
      <c r="F128" s="48" t="s">
        <v>317</v>
      </c>
      <c r="G128" s="62" t="s">
        <v>2083</v>
      </c>
      <c r="H128" s="63" t="s">
        <v>124</v>
      </c>
      <c r="I128" s="46" t="s">
        <v>4319</v>
      </c>
      <c r="J128" s="46" t="s">
        <v>1064</v>
      </c>
      <c r="K128" s="46" t="s">
        <v>626</v>
      </c>
      <c r="L128" s="46" t="s">
        <v>626</v>
      </c>
      <c r="M128" s="46" t="s">
        <v>194</v>
      </c>
      <c r="N128" s="46" t="s">
        <v>626</v>
      </c>
      <c r="O128" s="46" t="s">
        <v>626</v>
      </c>
      <c r="P128" s="46" t="s">
        <v>626</v>
      </c>
      <c r="Q128" s="46" t="s">
        <v>194</v>
      </c>
      <c r="R128" s="46" t="s">
        <v>194</v>
      </c>
      <c r="S128" s="46" t="s">
        <v>194</v>
      </c>
      <c r="T128" s="46" t="s">
        <v>626</v>
      </c>
      <c r="U128" s="46" t="s">
        <v>2890</v>
      </c>
      <c r="V128" s="46" t="s">
        <v>1064</v>
      </c>
      <c r="W128" s="46" t="s">
        <v>1064</v>
      </c>
      <c r="X128" s="46"/>
      <c r="Y128" s="46"/>
      <c r="Z128" s="46"/>
      <c r="AA128" s="46"/>
      <c r="AB128" s="46"/>
      <c r="AC128" s="46" t="s">
        <v>1064</v>
      </c>
      <c r="AD128" s="46"/>
      <c r="AE128" s="46"/>
      <c r="AF128" s="46"/>
      <c r="AG128" s="46"/>
      <c r="AH128" s="46"/>
      <c r="AI128" s="46"/>
      <c r="AJ128" s="46"/>
      <c r="AK128" s="46"/>
      <c r="AL128" s="46" t="s">
        <v>1064</v>
      </c>
      <c r="AM128" s="46"/>
      <c r="AN128" s="46"/>
      <c r="AO128" s="46"/>
      <c r="AP128" s="46" t="s">
        <v>1064</v>
      </c>
      <c r="AQ128" s="46"/>
      <c r="AR128" s="46"/>
      <c r="AS128" s="46" t="s">
        <v>584</v>
      </c>
      <c r="AT128" s="46" t="s">
        <v>2</v>
      </c>
      <c r="AU128" s="46" t="s">
        <v>4191</v>
      </c>
      <c r="AV128" s="46" t="s">
        <v>544</v>
      </c>
      <c r="AW128" s="46" t="s">
        <v>124</v>
      </c>
      <c r="AX128" s="46" t="s">
        <v>28</v>
      </c>
      <c r="AY128" s="46"/>
      <c r="AZ128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</row>
    <row r="129" spans="1:75" ht="75" x14ac:dyDescent="0.25">
      <c r="A129" s="47" t="s">
        <v>545</v>
      </c>
      <c r="B129" s="45" t="s">
        <v>305</v>
      </c>
      <c r="C129" s="45" t="s">
        <v>686</v>
      </c>
      <c r="D129" s="46" t="s">
        <v>687</v>
      </c>
      <c r="E129" s="25" t="s">
        <v>2</v>
      </c>
      <c r="F129" s="48" t="s">
        <v>90</v>
      </c>
      <c r="G129" s="62" t="s">
        <v>2084</v>
      </c>
      <c r="H129" s="63" t="s">
        <v>127</v>
      </c>
      <c r="I129" s="46" t="s">
        <v>4319</v>
      </c>
      <c r="J129" s="46" t="s">
        <v>1064</v>
      </c>
      <c r="K129" s="46" t="s">
        <v>626</v>
      </c>
      <c r="L129" s="46" t="s">
        <v>626</v>
      </c>
      <c r="M129" s="46" t="s">
        <v>194</v>
      </c>
      <c r="N129" s="46" t="s">
        <v>626</v>
      </c>
      <c r="O129" s="46" t="s">
        <v>626</v>
      </c>
      <c r="P129" s="46" t="s">
        <v>626</v>
      </c>
      <c r="Q129" s="46" t="s">
        <v>194</v>
      </c>
      <c r="R129" s="46" t="s">
        <v>194</v>
      </c>
      <c r="S129" s="46" t="s">
        <v>194</v>
      </c>
      <c r="T129" s="46" t="s">
        <v>626</v>
      </c>
      <c r="U129" s="46" t="s">
        <v>2890</v>
      </c>
      <c r="V129" s="46" t="s">
        <v>1064</v>
      </c>
      <c r="W129" s="46" t="s">
        <v>1064</v>
      </c>
      <c r="X129" s="46"/>
      <c r="Y129" s="46"/>
      <c r="Z129" s="46"/>
      <c r="AA129" s="46"/>
      <c r="AB129" s="46"/>
      <c r="AC129" s="46" t="s">
        <v>1064</v>
      </c>
      <c r="AD129" s="46"/>
      <c r="AE129" s="46"/>
      <c r="AF129" s="46"/>
      <c r="AG129" s="46"/>
      <c r="AH129" s="46"/>
      <c r="AI129" s="46"/>
      <c r="AJ129" s="46"/>
      <c r="AK129" s="46"/>
      <c r="AL129" s="46" t="s">
        <v>1064</v>
      </c>
      <c r="AM129" s="46"/>
      <c r="AN129" s="46"/>
      <c r="AO129" s="46"/>
      <c r="AP129" s="46" t="s">
        <v>1064</v>
      </c>
      <c r="AQ129" s="46"/>
      <c r="AR129" s="46"/>
      <c r="AS129" s="46" t="s">
        <v>586</v>
      </c>
      <c r="AT129" s="46" t="s">
        <v>2</v>
      </c>
      <c r="AU129" s="46" t="s">
        <v>4191</v>
      </c>
      <c r="AV129" s="46" t="s">
        <v>545</v>
      </c>
      <c r="AW129" s="46" t="s">
        <v>127</v>
      </c>
      <c r="AX129" s="46" t="s">
        <v>28</v>
      </c>
      <c r="AY129" s="46"/>
      <c r="AZ129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</row>
    <row r="130" spans="1:75" ht="180" x14ac:dyDescent="0.25">
      <c r="A130" s="47" t="s">
        <v>546</v>
      </c>
      <c r="B130" s="45" t="s">
        <v>305</v>
      </c>
      <c r="C130" s="45" t="s">
        <v>688</v>
      </c>
      <c r="D130" s="46" t="s">
        <v>689</v>
      </c>
      <c r="E130" s="25" t="s">
        <v>2</v>
      </c>
      <c r="F130" s="48" t="s">
        <v>893</v>
      </c>
      <c r="G130" s="62" t="s">
        <v>2085</v>
      </c>
      <c r="H130" s="63" t="s">
        <v>130</v>
      </c>
      <c r="I130" s="46" t="s">
        <v>4607</v>
      </c>
      <c r="J130" s="46" t="s">
        <v>1064</v>
      </c>
      <c r="K130" s="46" t="s">
        <v>4191</v>
      </c>
      <c r="L130" s="46" t="s">
        <v>4191</v>
      </c>
      <c r="M130" s="46" t="s">
        <v>194</v>
      </c>
      <c r="N130" s="46" t="s">
        <v>626</v>
      </c>
      <c r="O130" s="46" t="s">
        <v>626</v>
      </c>
      <c r="P130" s="46" t="s">
        <v>626</v>
      </c>
      <c r="Q130" s="46" t="s">
        <v>194</v>
      </c>
      <c r="R130" s="46" t="s">
        <v>4320</v>
      </c>
      <c r="S130" s="46" t="s">
        <v>4321</v>
      </c>
      <c r="T130" s="46" t="s">
        <v>626</v>
      </c>
      <c r="U130" s="46" t="s">
        <v>2890</v>
      </c>
      <c r="V130" s="46" t="s">
        <v>1064</v>
      </c>
      <c r="W130" s="46" t="s">
        <v>1064</v>
      </c>
      <c r="X130" s="46"/>
      <c r="Y130" s="46"/>
      <c r="Z130" s="46"/>
      <c r="AA130" s="46"/>
      <c r="AB130" s="46"/>
      <c r="AC130" s="46" t="s">
        <v>1064</v>
      </c>
      <c r="AD130" s="46"/>
      <c r="AE130" s="46"/>
      <c r="AF130" s="46"/>
      <c r="AG130" s="46"/>
      <c r="AH130" s="46"/>
      <c r="AI130" s="46"/>
      <c r="AJ130" s="46"/>
      <c r="AK130" s="46"/>
      <c r="AL130" s="46" t="s">
        <v>1064</v>
      </c>
      <c r="AM130" s="46"/>
      <c r="AN130" s="46"/>
      <c r="AO130" s="46"/>
      <c r="AP130" s="46" t="s">
        <v>1064</v>
      </c>
      <c r="AQ130" s="46"/>
      <c r="AR130" s="46"/>
      <c r="AS130" s="46" t="s">
        <v>583</v>
      </c>
      <c r="AT130" s="46" t="s">
        <v>2</v>
      </c>
      <c r="AU130" s="46" t="s">
        <v>4191</v>
      </c>
      <c r="AV130" s="46" t="s">
        <v>546</v>
      </c>
      <c r="AW130" s="46" t="s">
        <v>130</v>
      </c>
      <c r="AX130" s="46" t="s">
        <v>28</v>
      </c>
      <c r="AY130" s="46"/>
      <c r="AZ130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</row>
    <row r="131" spans="1:75" ht="75" x14ac:dyDescent="0.25">
      <c r="A131" s="47" t="s">
        <v>1248</v>
      </c>
      <c r="B131" s="45" t="s">
        <v>305</v>
      </c>
      <c r="C131" s="45" t="s">
        <v>1249</v>
      </c>
      <c r="D131" s="46" t="s">
        <v>547</v>
      </c>
      <c r="E131" s="25" t="s">
        <v>2</v>
      </c>
      <c r="F131" s="48" t="s">
        <v>32</v>
      </c>
      <c r="G131" s="62" t="s">
        <v>2086</v>
      </c>
      <c r="H131" s="63"/>
      <c r="I131" s="46" t="s">
        <v>194</v>
      </c>
      <c r="J131" s="46" t="s">
        <v>1064</v>
      </c>
      <c r="K131" s="46" t="s">
        <v>626</v>
      </c>
      <c r="L131" s="46" t="s">
        <v>626</v>
      </c>
      <c r="M131" s="46" t="s">
        <v>4303</v>
      </c>
      <c r="N131" s="46" t="s">
        <v>4191</v>
      </c>
      <c r="O131" s="46" t="s">
        <v>626</v>
      </c>
      <c r="P131" s="46" t="s">
        <v>626</v>
      </c>
      <c r="Q131" s="46" t="s">
        <v>194</v>
      </c>
      <c r="R131" s="46" t="s">
        <v>194</v>
      </c>
      <c r="S131" s="46" t="s">
        <v>194</v>
      </c>
      <c r="T131" s="46" t="s">
        <v>626</v>
      </c>
      <c r="U131" s="46" t="s">
        <v>2890</v>
      </c>
      <c r="V131" s="46" t="s">
        <v>1064</v>
      </c>
      <c r="W131" s="46" t="s">
        <v>1064</v>
      </c>
      <c r="X131" s="46"/>
      <c r="Y131" s="46"/>
      <c r="Z131" s="46"/>
      <c r="AA131" s="46"/>
      <c r="AB131" s="46"/>
      <c r="AC131" s="46" t="s">
        <v>1064</v>
      </c>
      <c r="AD131" s="46"/>
      <c r="AE131" s="46"/>
      <c r="AF131" s="46"/>
      <c r="AG131" s="46"/>
      <c r="AH131" s="46"/>
      <c r="AI131" s="46"/>
      <c r="AJ131" s="46"/>
      <c r="AK131" s="46"/>
      <c r="AL131" s="46" t="s">
        <v>1064</v>
      </c>
      <c r="AM131" s="46"/>
      <c r="AN131" s="46"/>
      <c r="AO131" s="46"/>
      <c r="AP131" s="46" t="s">
        <v>1064</v>
      </c>
      <c r="AQ131" s="46"/>
      <c r="AR131" s="46"/>
      <c r="AS131" s="46" t="s">
        <v>584</v>
      </c>
      <c r="AT131" s="46" t="s">
        <v>314</v>
      </c>
      <c r="AU131" s="46" t="s">
        <v>4191</v>
      </c>
      <c r="AV131" s="46" t="s">
        <v>1248</v>
      </c>
      <c r="AW131" s="46"/>
      <c r="AX131" s="46"/>
      <c r="AY131" s="46"/>
      <c r="AZ131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</row>
    <row r="132" spans="1:75" ht="75" x14ac:dyDescent="0.25">
      <c r="A132" s="47" t="s">
        <v>663</v>
      </c>
      <c r="B132" s="45" t="s">
        <v>305</v>
      </c>
      <c r="C132" s="45" t="s">
        <v>1250</v>
      </c>
      <c r="D132" s="46" t="s">
        <v>547</v>
      </c>
      <c r="E132" s="25" t="s">
        <v>2</v>
      </c>
      <c r="F132" s="48" t="s">
        <v>32</v>
      </c>
      <c r="G132" s="62" t="s">
        <v>2087</v>
      </c>
      <c r="H132" s="63"/>
      <c r="I132" s="46" t="s">
        <v>194</v>
      </c>
      <c r="J132" s="46" t="s">
        <v>1064</v>
      </c>
      <c r="K132" s="46" t="s">
        <v>626</v>
      </c>
      <c r="L132" s="46" t="s">
        <v>626</v>
      </c>
      <c r="M132" s="46" t="s">
        <v>4303</v>
      </c>
      <c r="N132" s="46" t="s">
        <v>4191</v>
      </c>
      <c r="O132" s="46" t="s">
        <v>626</v>
      </c>
      <c r="P132" s="46" t="s">
        <v>626</v>
      </c>
      <c r="Q132" s="46" t="s">
        <v>194</v>
      </c>
      <c r="R132" s="46" t="s">
        <v>194</v>
      </c>
      <c r="S132" s="46" t="s">
        <v>194</v>
      </c>
      <c r="T132" s="46" t="s">
        <v>626</v>
      </c>
      <c r="U132" s="46" t="s">
        <v>2890</v>
      </c>
      <c r="V132" s="46" t="s">
        <v>1064</v>
      </c>
      <c r="W132" s="46" t="s">
        <v>1064</v>
      </c>
      <c r="X132" s="46"/>
      <c r="Y132" s="46"/>
      <c r="Z132" s="46"/>
      <c r="AA132" s="46"/>
      <c r="AB132" s="46"/>
      <c r="AC132" s="46" t="s">
        <v>1064</v>
      </c>
      <c r="AD132" s="46"/>
      <c r="AE132" s="46"/>
      <c r="AF132" s="46"/>
      <c r="AG132" s="46"/>
      <c r="AH132" s="46"/>
      <c r="AI132" s="46"/>
      <c r="AJ132" s="46"/>
      <c r="AK132" s="46"/>
      <c r="AL132" s="46" t="s">
        <v>1064</v>
      </c>
      <c r="AM132" s="46"/>
      <c r="AN132" s="46"/>
      <c r="AO132" s="46"/>
      <c r="AP132" s="46" t="s">
        <v>1064</v>
      </c>
      <c r="AQ132" s="46"/>
      <c r="AR132" s="46"/>
      <c r="AS132" s="46" t="s">
        <v>586</v>
      </c>
      <c r="AT132" s="46" t="s">
        <v>308</v>
      </c>
      <c r="AU132" s="46" t="s">
        <v>4191</v>
      </c>
      <c r="AV132" s="46" t="s">
        <v>663</v>
      </c>
      <c r="AW132" s="46"/>
      <c r="AX132" s="46"/>
      <c r="AY132" s="46"/>
      <c r="AZ132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</row>
    <row r="133" spans="1:75" ht="75" x14ac:dyDescent="0.25">
      <c r="A133" s="47" t="s">
        <v>664</v>
      </c>
      <c r="B133" s="45" t="s">
        <v>305</v>
      </c>
      <c r="C133" s="45" t="s">
        <v>1251</v>
      </c>
      <c r="D133" s="46" t="s">
        <v>548</v>
      </c>
      <c r="E133" s="25" t="s">
        <v>2</v>
      </c>
      <c r="F133" s="48" t="s">
        <v>32</v>
      </c>
      <c r="G133" s="62" t="s">
        <v>2088</v>
      </c>
      <c r="H133" s="63" t="s">
        <v>1229</v>
      </c>
      <c r="I133" s="46" t="s">
        <v>194</v>
      </c>
      <c r="J133" s="46" t="s">
        <v>1064</v>
      </c>
      <c r="K133" s="46" t="s">
        <v>626</v>
      </c>
      <c r="L133" s="46" t="s">
        <v>626</v>
      </c>
      <c r="M133" s="46" t="s">
        <v>4303</v>
      </c>
      <c r="N133" s="46" t="s">
        <v>4191</v>
      </c>
      <c r="O133" s="46" t="s">
        <v>626</v>
      </c>
      <c r="P133" s="46" t="s">
        <v>626</v>
      </c>
      <c r="Q133" s="46" t="s">
        <v>194</v>
      </c>
      <c r="R133" s="46" t="s">
        <v>194</v>
      </c>
      <c r="S133" s="46" t="s">
        <v>194</v>
      </c>
      <c r="T133" s="46" t="s">
        <v>626</v>
      </c>
      <c r="U133" s="46" t="s">
        <v>2890</v>
      </c>
      <c r="V133" s="46" t="s">
        <v>1064</v>
      </c>
      <c r="W133" s="46" t="s">
        <v>1064</v>
      </c>
      <c r="X133" s="46"/>
      <c r="Y133" s="46"/>
      <c r="Z133" s="46"/>
      <c r="AA133" s="46"/>
      <c r="AB133" s="46"/>
      <c r="AC133" s="46" t="s">
        <v>1064</v>
      </c>
      <c r="AD133" s="46"/>
      <c r="AE133" s="46"/>
      <c r="AF133" s="46"/>
      <c r="AG133" s="46"/>
      <c r="AH133" s="46"/>
      <c r="AI133" s="46"/>
      <c r="AJ133" s="46"/>
      <c r="AK133" s="46"/>
      <c r="AL133" s="46" t="s">
        <v>1064</v>
      </c>
      <c r="AM133" s="46"/>
      <c r="AN133" s="46"/>
      <c r="AO133" s="46"/>
      <c r="AP133" s="46" t="s">
        <v>1064</v>
      </c>
      <c r="AQ133" s="46"/>
      <c r="AR133" s="46"/>
      <c r="AS133" s="46" t="s">
        <v>583</v>
      </c>
      <c r="AT133" s="46" t="s">
        <v>2</v>
      </c>
      <c r="AU133" s="46" t="s">
        <v>4191</v>
      </c>
      <c r="AV133" s="46" t="s">
        <v>664</v>
      </c>
      <c r="AW133" s="46" t="s">
        <v>1229</v>
      </c>
      <c r="AX133" s="46" t="s">
        <v>28</v>
      </c>
      <c r="AY133" s="46"/>
      <c r="AZ133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</row>
    <row r="134" spans="1:75" ht="75" x14ac:dyDescent="0.25">
      <c r="A134" s="47" t="s">
        <v>1240</v>
      </c>
      <c r="B134" s="45" t="s">
        <v>305</v>
      </c>
      <c r="C134" s="45" t="s">
        <v>1269</v>
      </c>
      <c r="D134" s="46" t="s">
        <v>1836</v>
      </c>
      <c r="E134" s="25" t="s">
        <v>2</v>
      </c>
      <c r="F134" s="48" t="s">
        <v>932</v>
      </c>
      <c r="G134" s="62" t="s">
        <v>2089</v>
      </c>
      <c r="H134" s="63" t="s">
        <v>1227</v>
      </c>
      <c r="I134" s="46" t="s">
        <v>194</v>
      </c>
      <c r="J134" s="46" t="s">
        <v>1064</v>
      </c>
      <c r="K134" s="46" t="s">
        <v>626</v>
      </c>
      <c r="L134" s="46" t="s">
        <v>626</v>
      </c>
      <c r="M134" s="46" t="s">
        <v>4303</v>
      </c>
      <c r="N134" s="46" t="s">
        <v>4191</v>
      </c>
      <c r="O134" s="46" t="s">
        <v>626</v>
      </c>
      <c r="P134" s="46" t="s">
        <v>626</v>
      </c>
      <c r="Q134" s="46" t="s">
        <v>194</v>
      </c>
      <c r="R134" s="46" t="s">
        <v>194</v>
      </c>
      <c r="S134" s="46" t="s">
        <v>194</v>
      </c>
      <c r="T134" s="46" t="s">
        <v>626</v>
      </c>
      <c r="U134" s="46" t="s">
        <v>2890</v>
      </c>
      <c r="V134" s="46" t="s">
        <v>1064</v>
      </c>
      <c r="W134" s="46" t="s">
        <v>1064</v>
      </c>
      <c r="X134" s="46"/>
      <c r="Y134" s="46"/>
      <c r="Z134" s="46"/>
      <c r="AA134" s="46"/>
      <c r="AB134" s="46"/>
      <c r="AC134" s="46" t="s">
        <v>1064</v>
      </c>
      <c r="AD134" s="46"/>
      <c r="AE134" s="46"/>
      <c r="AF134" s="46"/>
      <c r="AG134" s="46"/>
      <c r="AH134" s="46"/>
      <c r="AI134" s="46"/>
      <c r="AJ134" s="46"/>
      <c r="AK134" s="46"/>
      <c r="AL134" s="46" t="s">
        <v>1064</v>
      </c>
      <c r="AM134" s="46"/>
      <c r="AN134" s="46"/>
      <c r="AO134" s="46"/>
      <c r="AP134" s="46" t="s">
        <v>1064</v>
      </c>
      <c r="AQ134" s="46"/>
      <c r="AR134" s="46"/>
      <c r="AS134" s="46" t="s">
        <v>586</v>
      </c>
      <c r="AT134" s="46" t="s">
        <v>308</v>
      </c>
      <c r="AU134" s="46" t="s">
        <v>4191</v>
      </c>
      <c r="AV134" s="46" t="s">
        <v>1240</v>
      </c>
      <c r="AW134" s="46" t="s">
        <v>1227</v>
      </c>
      <c r="AX134" s="46" t="s">
        <v>34</v>
      </c>
      <c r="AY134" s="46"/>
      <c r="AZ134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</row>
    <row r="135" spans="1:75" ht="75" x14ac:dyDescent="0.25">
      <c r="A135" s="47" t="s">
        <v>1242</v>
      </c>
      <c r="B135" s="45" t="s">
        <v>305</v>
      </c>
      <c r="C135" s="45" t="s">
        <v>1270</v>
      </c>
      <c r="D135" s="46" t="s">
        <v>1837</v>
      </c>
      <c r="E135" s="25" t="s">
        <v>2</v>
      </c>
      <c r="F135" s="48" t="s">
        <v>32</v>
      </c>
      <c r="G135" s="62" t="s">
        <v>2090</v>
      </c>
      <c r="H135" s="63"/>
      <c r="I135" s="46" t="s">
        <v>194</v>
      </c>
      <c r="J135" s="46" t="s">
        <v>1064</v>
      </c>
      <c r="K135" s="46" t="s">
        <v>626</v>
      </c>
      <c r="L135" s="46" t="s">
        <v>626</v>
      </c>
      <c r="M135" s="46" t="s">
        <v>4322</v>
      </c>
      <c r="N135" s="46" t="s">
        <v>4191</v>
      </c>
      <c r="O135" s="46" t="s">
        <v>626</v>
      </c>
      <c r="P135" s="46" t="s">
        <v>626</v>
      </c>
      <c r="Q135" s="46" t="s">
        <v>194</v>
      </c>
      <c r="R135" s="46" t="s">
        <v>194</v>
      </c>
      <c r="S135" s="46" t="s">
        <v>194</v>
      </c>
      <c r="T135" s="46" t="s">
        <v>626</v>
      </c>
      <c r="U135" s="46" t="s">
        <v>2890</v>
      </c>
      <c r="V135" s="46" t="s">
        <v>1064</v>
      </c>
      <c r="W135" s="46" t="s">
        <v>1064</v>
      </c>
      <c r="X135" s="46"/>
      <c r="Y135" s="46"/>
      <c r="Z135" s="46"/>
      <c r="AA135" s="46"/>
      <c r="AB135" s="46"/>
      <c r="AC135" s="46" t="s">
        <v>1064</v>
      </c>
      <c r="AD135" s="46"/>
      <c r="AE135" s="46"/>
      <c r="AF135" s="46"/>
      <c r="AG135" s="46"/>
      <c r="AH135" s="46"/>
      <c r="AI135" s="46"/>
      <c r="AJ135" s="46"/>
      <c r="AK135" s="46"/>
      <c r="AL135" s="46" t="s">
        <v>1064</v>
      </c>
      <c r="AM135" s="46"/>
      <c r="AN135" s="46"/>
      <c r="AO135" s="46"/>
      <c r="AP135" s="46" t="s">
        <v>1064</v>
      </c>
      <c r="AQ135" s="46"/>
      <c r="AR135" s="46"/>
      <c r="AS135" s="46" t="s">
        <v>583</v>
      </c>
      <c r="AT135" s="46" t="s">
        <v>2</v>
      </c>
      <c r="AU135" s="46" t="s">
        <v>4191</v>
      </c>
      <c r="AV135" s="46" t="s">
        <v>1242</v>
      </c>
      <c r="AW135" s="46"/>
      <c r="AX135" s="46"/>
      <c r="AY135" s="46"/>
      <c r="AZ135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</row>
    <row r="136" spans="1:75" ht="180" x14ac:dyDescent="0.25">
      <c r="A136" s="47" t="s">
        <v>551</v>
      </c>
      <c r="B136" s="45" t="s">
        <v>305</v>
      </c>
      <c r="C136" s="45" t="s">
        <v>552</v>
      </c>
      <c r="D136" s="46" t="s">
        <v>553</v>
      </c>
      <c r="E136" s="25" t="s">
        <v>2</v>
      </c>
      <c r="F136" s="48" t="s">
        <v>817</v>
      </c>
      <c r="G136" s="62" t="s">
        <v>2091</v>
      </c>
      <c r="H136" s="63" t="s">
        <v>138</v>
      </c>
      <c r="I136" s="46" t="s">
        <v>4608</v>
      </c>
      <c r="J136" s="46" t="s">
        <v>1064</v>
      </c>
      <c r="K136" s="46" t="s">
        <v>626</v>
      </c>
      <c r="L136" s="46" t="s">
        <v>4191</v>
      </c>
      <c r="M136" s="46" t="s">
        <v>553</v>
      </c>
      <c r="N136" s="46" t="s">
        <v>626</v>
      </c>
      <c r="O136" s="46" t="s">
        <v>626</v>
      </c>
      <c r="P136" s="46" t="s">
        <v>626</v>
      </c>
      <c r="Q136" s="46" t="s">
        <v>194</v>
      </c>
      <c r="R136" s="46" t="s">
        <v>4323</v>
      </c>
      <c r="S136" s="46" t="s">
        <v>4324</v>
      </c>
      <c r="T136" s="46" t="s">
        <v>626</v>
      </c>
      <c r="U136" s="46" t="s">
        <v>2890</v>
      </c>
      <c r="V136" s="46" t="s">
        <v>1064</v>
      </c>
      <c r="W136" s="46" t="s">
        <v>1064</v>
      </c>
      <c r="X136" s="46"/>
      <c r="Y136" s="46"/>
      <c r="Z136" s="46"/>
      <c r="AA136" s="46"/>
      <c r="AB136" s="46"/>
      <c r="AC136" s="46" t="s">
        <v>1064</v>
      </c>
      <c r="AD136" s="46"/>
      <c r="AE136" s="46"/>
      <c r="AF136" s="46"/>
      <c r="AG136" s="46"/>
      <c r="AH136" s="46"/>
      <c r="AI136" s="46"/>
      <c r="AJ136" s="46"/>
      <c r="AK136" s="46"/>
      <c r="AL136" s="46" t="s">
        <v>1064</v>
      </c>
      <c r="AM136" s="46"/>
      <c r="AN136" s="46"/>
      <c r="AO136" s="46"/>
      <c r="AP136" s="46" t="s">
        <v>1064</v>
      </c>
      <c r="AQ136" s="46"/>
      <c r="AR136" s="46"/>
      <c r="AS136" s="46" t="s">
        <v>583</v>
      </c>
      <c r="AT136" s="46" t="s">
        <v>2</v>
      </c>
      <c r="AU136" s="46" t="s">
        <v>4191</v>
      </c>
      <c r="AV136" s="46" t="s">
        <v>551</v>
      </c>
      <c r="AW136" s="46" t="s">
        <v>138</v>
      </c>
      <c r="AX136" s="46" t="s">
        <v>28</v>
      </c>
      <c r="AY136" s="46"/>
      <c r="AZ13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</row>
    <row r="137" spans="1:75" ht="135" x14ac:dyDescent="0.25">
      <c r="A137" s="47" t="s">
        <v>655</v>
      </c>
      <c r="B137" s="45" t="s">
        <v>305</v>
      </c>
      <c r="C137" s="45" t="s">
        <v>656</v>
      </c>
      <c r="D137" s="46" t="s">
        <v>3744</v>
      </c>
      <c r="E137" s="25" t="s">
        <v>2</v>
      </c>
      <c r="F137" s="48" t="s">
        <v>590</v>
      </c>
      <c r="G137" s="62" t="s">
        <v>4799</v>
      </c>
      <c r="H137" s="63" t="s">
        <v>647</v>
      </c>
      <c r="I137" s="46" t="s">
        <v>4609</v>
      </c>
      <c r="J137" s="46" t="s">
        <v>1064</v>
      </c>
      <c r="K137" s="46" t="s">
        <v>4191</v>
      </c>
      <c r="L137" s="46" t="s">
        <v>4191</v>
      </c>
      <c r="M137" s="46" t="s">
        <v>4325</v>
      </c>
      <c r="N137" s="46" t="s">
        <v>4191</v>
      </c>
      <c r="O137" s="46" t="s">
        <v>626</v>
      </c>
      <c r="P137" s="46" t="s">
        <v>626</v>
      </c>
      <c r="Q137" s="46" t="s">
        <v>194</v>
      </c>
      <c r="R137" s="46" t="s">
        <v>4326</v>
      </c>
      <c r="S137" s="46" t="s">
        <v>4327</v>
      </c>
      <c r="T137" s="46" t="s">
        <v>626</v>
      </c>
      <c r="U137" s="46" t="s">
        <v>2890</v>
      </c>
      <c r="V137" s="46" t="s">
        <v>1064</v>
      </c>
      <c r="W137" s="46" t="s">
        <v>1064</v>
      </c>
      <c r="X137" s="46"/>
      <c r="Y137" s="46"/>
      <c r="Z137" s="46"/>
      <c r="AA137" s="46"/>
      <c r="AB137" s="46"/>
      <c r="AC137" s="46" t="s">
        <v>1064</v>
      </c>
      <c r="AD137" s="46"/>
      <c r="AE137" s="46"/>
      <c r="AF137" s="46"/>
      <c r="AG137" s="46"/>
      <c r="AH137" s="46"/>
      <c r="AI137" s="46"/>
      <c r="AJ137" s="46"/>
      <c r="AK137" s="46"/>
      <c r="AL137" s="46" t="s">
        <v>1064</v>
      </c>
      <c r="AM137" s="46"/>
      <c r="AN137" s="46"/>
      <c r="AO137" s="46"/>
      <c r="AP137" s="46" t="s">
        <v>1064</v>
      </c>
      <c r="AQ137" s="46"/>
      <c r="AR137" s="46"/>
      <c r="AS137" s="46" t="s">
        <v>583</v>
      </c>
      <c r="AT137" s="46" t="s">
        <v>2</v>
      </c>
      <c r="AU137" s="46" t="s">
        <v>4191</v>
      </c>
      <c r="AV137" s="46" t="s">
        <v>655</v>
      </c>
      <c r="AW137" s="46" t="s">
        <v>647</v>
      </c>
      <c r="AX137" s="46" t="s">
        <v>34</v>
      </c>
      <c r="AY137" s="46"/>
      <c r="AZ137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</row>
    <row r="138" spans="1:75" ht="75" x14ac:dyDescent="0.25">
      <c r="A138" s="47" t="s">
        <v>1185</v>
      </c>
      <c r="B138" s="45" t="s">
        <v>305</v>
      </c>
      <c r="C138" s="45" t="s">
        <v>1196</v>
      </c>
      <c r="D138" s="46" t="s">
        <v>1197</v>
      </c>
      <c r="E138" s="25" t="s">
        <v>2</v>
      </c>
      <c r="F138" s="48" t="s">
        <v>32</v>
      </c>
      <c r="G138" s="62" t="s">
        <v>2092</v>
      </c>
      <c r="H138" s="63"/>
      <c r="I138" s="46" t="s">
        <v>194</v>
      </c>
      <c r="J138" s="46" t="s">
        <v>1064</v>
      </c>
      <c r="K138" s="46" t="s">
        <v>626</v>
      </c>
      <c r="L138" s="46" t="s">
        <v>626</v>
      </c>
      <c r="M138" s="46" t="s">
        <v>4328</v>
      </c>
      <c r="N138" s="46" t="s">
        <v>4191</v>
      </c>
      <c r="O138" s="46" t="s">
        <v>626</v>
      </c>
      <c r="P138" s="46" t="s">
        <v>626</v>
      </c>
      <c r="Q138" s="46" t="s">
        <v>194</v>
      </c>
      <c r="R138" s="46" t="s">
        <v>194</v>
      </c>
      <c r="S138" s="46" t="s">
        <v>194</v>
      </c>
      <c r="T138" s="46" t="s">
        <v>626</v>
      </c>
      <c r="U138" s="46" t="s">
        <v>2890</v>
      </c>
      <c r="V138" s="46" t="s">
        <v>1064</v>
      </c>
      <c r="W138" s="46" t="s">
        <v>1064</v>
      </c>
      <c r="X138" s="46"/>
      <c r="Y138" s="46"/>
      <c r="Z138" s="46"/>
      <c r="AA138" s="46"/>
      <c r="AB138" s="46"/>
      <c r="AC138" s="46" t="s">
        <v>1064</v>
      </c>
      <c r="AD138" s="46"/>
      <c r="AE138" s="46"/>
      <c r="AF138" s="46"/>
      <c r="AG138" s="46"/>
      <c r="AH138" s="46"/>
      <c r="AI138" s="46"/>
      <c r="AJ138" s="46"/>
      <c r="AK138" s="46"/>
      <c r="AL138" s="46" t="s">
        <v>1064</v>
      </c>
      <c r="AM138" s="46"/>
      <c r="AN138" s="46"/>
      <c r="AO138" s="46"/>
      <c r="AP138" s="46" t="s">
        <v>1064</v>
      </c>
      <c r="AQ138" s="46"/>
      <c r="AR138" s="46"/>
      <c r="AS138" s="46" t="s">
        <v>584</v>
      </c>
      <c r="AT138" s="46" t="s">
        <v>314</v>
      </c>
      <c r="AU138" s="46" t="s">
        <v>4191</v>
      </c>
      <c r="AV138" s="46" t="s">
        <v>1185</v>
      </c>
      <c r="AW138" s="46"/>
      <c r="AX138" s="46"/>
      <c r="AY138" s="46"/>
      <c r="AZ138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</row>
    <row r="139" spans="1:75" ht="75" x14ac:dyDescent="0.25">
      <c r="A139" s="47" t="s">
        <v>1186</v>
      </c>
      <c r="B139" s="45" t="s">
        <v>305</v>
      </c>
      <c r="C139" s="45" t="s">
        <v>1198</v>
      </c>
      <c r="D139" s="46" t="s">
        <v>1271</v>
      </c>
      <c r="E139" s="25" t="s">
        <v>2</v>
      </c>
      <c r="F139" s="48" t="s">
        <v>317</v>
      </c>
      <c r="G139" s="62" t="s">
        <v>2093</v>
      </c>
      <c r="H139" s="63" t="s">
        <v>1171</v>
      </c>
      <c r="I139" s="46" t="s">
        <v>194</v>
      </c>
      <c r="J139" s="46" t="s">
        <v>1064</v>
      </c>
      <c r="K139" s="46" t="s">
        <v>626</v>
      </c>
      <c r="L139" s="46" t="s">
        <v>626</v>
      </c>
      <c r="M139" s="46" t="s">
        <v>4329</v>
      </c>
      <c r="N139" s="46" t="s">
        <v>4191</v>
      </c>
      <c r="O139" s="46" t="s">
        <v>626</v>
      </c>
      <c r="P139" s="46" t="s">
        <v>626</v>
      </c>
      <c r="Q139" s="46" t="s">
        <v>194</v>
      </c>
      <c r="R139" s="46" t="s">
        <v>194</v>
      </c>
      <c r="S139" s="46" t="s">
        <v>194</v>
      </c>
      <c r="T139" s="46" t="s">
        <v>626</v>
      </c>
      <c r="U139" s="46" t="s">
        <v>2890</v>
      </c>
      <c r="V139" s="46" t="s">
        <v>1064</v>
      </c>
      <c r="W139" s="46" t="s">
        <v>1064</v>
      </c>
      <c r="X139" s="46"/>
      <c r="Y139" s="46"/>
      <c r="Z139" s="46"/>
      <c r="AA139" s="46"/>
      <c r="AB139" s="46"/>
      <c r="AC139" s="46" t="s">
        <v>1064</v>
      </c>
      <c r="AD139" s="46"/>
      <c r="AE139" s="46"/>
      <c r="AF139" s="46"/>
      <c r="AG139" s="46"/>
      <c r="AH139" s="46"/>
      <c r="AI139" s="46"/>
      <c r="AJ139" s="46"/>
      <c r="AK139" s="46"/>
      <c r="AL139" s="46" t="s">
        <v>1064</v>
      </c>
      <c r="AM139" s="46"/>
      <c r="AN139" s="46"/>
      <c r="AO139" s="46"/>
      <c r="AP139" s="46" t="s">
        <v>1064</v>
      </c>
      <c r="AQ139" s="46"/>
      <c r="AR139" s="46"/>
      <c r="AS139" s="46" t="s">
        <v>586</v>
      </c>
      <c r="AT139" s="46" t="s">
        <v>308</v>
      </c>
      <c r="AU139" s="46" t="s">
        <v>4191</v>
      </c>
      <c r="AV139" s="46" t="s">
        <v>1186</v>
      </c>
      <c r="AW139" s="46" t="s">
        <v>1171</v>
      </c>
      <c r="AX139" s="46" t="s">
        <v>34</v>
      </c>
      <c r="AY139" s="46"/>
      <c r="AZ139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</row>
    <row r="140" spans="1:75" ht="135" x14ac:dyDescent="0.25">
      <c r="A140" s="47" t="s">
        <v>1188</v>
      </c>
      <c r="B140" s="45" t="s">
        <v>305</v>
      </c>
      <c r="C140" s="45" t="s">
        <v>1199</v>
      </c>
      <c r="D140" s="46" t="s">
        <v>1272</v>
      </c>
      <c r="E140" s="25" t="s">
        <v>2</v>
      </c>
      <c r="F140" s="48" t="s">
        <v>801</v>
      </c>
      <c r="G140" s="62" t="s">
        <v>2094</v>
      </c>
      <c r="H140" s="63" t="s">
        <v>1171</v>
      </c>
      <c r="I140" s="46" t="s">
        <v>4253</v>
      </c>
      <c r="J140" s="46" t="s">
        <v>1064</v>
      </c>
      <c r="K140" s="46" t="s">
        <v>626</v>
      </c>
      <c r="L140" s="46" t="s">
        <v>4191</v>
      </c>
      <c r="M140" s="46" t="s">
        <v>4311</v>
      </c>
      <c r="N140" s="46" t="s">
        <v>4191</v>
      </c>
      <c r="O140" s="46" t="s">
        <v>626</v>
      </c>
      <c r="P140" s="46" t="s">
        <v>626</v>
      </c>
      <c r="Q140" s="46" t="s">
        <v>194</v>
      </c>
      <c r="R140" s="46" t="s">
        <v>4330</v>
      </c>
      <c r="S140" s="46" t="s">
        <v>4331</v>
      </c>
      <c r="T140" s="46" t="s">
        <v>4191</v>
      </c>
      <c r="U140" s="46" t="s">
        <v>2890</v>
      </c>
      <c r="V140" s="46" t="s">
        <v>1064</v>
      </c>
      <c r="W140" s="46" t="s">
        <v>1064</v>
      </c>
      <c r="X140" s="46"/>
      <c r="Y140" s="46"/>
      <c r="Z140" s="46"/>
      <c r="AA140" s="46"/>
      <c r="AB140" s="46"/>
      <c r="AC140" s="46" t="s">
        <v>1064</v>
      </c>
      <c r="AD140" s="46"/>
      <c r="AE140" s="46"/>
      <c r="AF140" s="46"/>
      <c r="AG140" s="46"/>
      <c r="AH140" s="46"/>
      <c r="AI140" s="46"/>
      <c r="AJ140" s="46"/>
      <c r="AK140" s="46"/>
      <c r="AL140" s="46" t="s">
        <v>1064</v>
      </c>
      <c r="AM140" s="46"/>
      <c r="AN140" s="46"/>
      <c r="AO140" s="46"/>
      <c r="AP140" s="46" t="s">
        <v>1064</v>
      </c>
      <c r="AQ140" s="46"/>
      <c r="AR140" s="46"/>
      <c r="AS140" s="46" t="s">
        <v>583</v>
      </c>
      <c r="AT140" s="46" t="s">
        <v>2</v>
      </c>
      <c r="AU140" s="46" t="s">
        <v>4191</v>
      </c>
      <c r="AV140" s="46" t="s">
        <v>1188</v>
      </c>
      <c r="AW140" s="46" t="s">
        <v>1171</v>
      </c>
      <c r="AX140" s="46" t="s">
        <v>34</v>
      </c>
      <c r="AY140" s="46"/>
      <c r="AZ140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</row>
    <row r="141" spans="1:75" ht="75" x14ac:dyDescent="0.25">
      <c r="A141" s="47" t="s">
        <v>1190</v>
      </c>
      <c r="B141" s="45" t="s">
        <v>305</v>
      </c>
      <c r="C141" s="45" t="s">
        <v>1200</v>
      </c>
      <c r="D141" s="46" t="s">
        <v>1201</v>
      </c>
      <c r="E141" s="25" t="s">
        <v>2</v>
      </c>
      <c r="F141" s="48" t="s">
        <v>314</v>
      </c>
      <c r="G141" s="62" t="s">
        <v>2095</v>
      </c>
      <c r="H141" s="63" t="s">
        <v>1172</v>
      </c>
      <c r="I141" s="46" t="s">
        <v>194</v>
      </c>
      <c r="J141" s="46" t="s">
        <v>1064</v>
      </c>
      <c r="K141" s="46" t="s">
        <v>626</v>
      </c>
      <c r="L141" s="46" t="s">
        <v>626</v>
      </c>
      <c r="M141" s="46" t="s">
        <v>4328</v>
      </c>
      <c r="N141" s="46" t="s">
        <v>4191</v>
      </c>
      <c r="O141" s="46" t="s">
        <v>626</v>
      </c>
      <c r="P141" s="46" t="s">
        <v>626</v>
      </c>
      <c r="Q141" s="46" t="s">
        <v>194</v>
      </c>
      <c r="R141" s="46" t="s">
        <v>194</v>
      </c>
      <c r="S141" s="46" t="s">
        <v>194</v>
      </c>
      <c r="T141" s="46" t="s">
        <v>626</v>
      </c>
      <c r="U141" s="46" t="s">
        <v>2890</v>
      </c>
      <c r="V141" s="46" t="s">
        <v>1064</v>
      </c>
      <c r="W141" s="46" t="s">
        <v>1064</v>
      </c>
      <c r="X141" s="46"/>
      <c r="Y141" s="46"/>
      <c r="Z141" s="46"/>
      <c r="AA141" s="46"/>
      <c r="AB141" s="46"/>
      <c r="AC141" s="46" t="s">
        <v>1064</v>
      </c>
      <c r="AD141" s="46"/>
      <c r="AE141" s="46"/>
      <c r="AF141" s="46"/>
      <c r="AG141" s="46"/>
      <c r="AH141" s="46"/>
      <c r="AI141" s="46"/>
      <c r="AJ141" s="46"/>
      <c r="AK141" s="46"/>
      <c r="AL141" s="46" t="s">
        <v>1064</v>
      </c>
      <c r="AM141" s="46"/>
      <c r="AN141" s="46"/>
      <c r="AO141" s="46"/>
      <c r="AP141" s="46" t="s">
        <v>1064</v>
      </c>
      <c r="AQ141" s="46"/>
      <c r="AR141" s="46"/>
      <c r="AS141" s="46" t="s">
        <v>584</v>
      </c>
      <c r="AT141" s="46" t="s">
        <v>314</v>
      </c>
      <c r="AU141" s="46" t="s">
        <v>4191</v>
      </c>
      <c r="AV141" s="46" t="s">
        <v>1190</v>
      </c>
      <c r="AW141" s="46" t="s">
        <v>1172</v>
      </c>
      <c r="AX141" s="46" t="s">
        <v>34</v>
      </c>
      <c r="AY141" s="46"/>
      <c r="AZ141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</row>
    <row r="142" spans="1:75" ht="75" x14ac:dyDescent="0.25">
      <c r="A142" s="47" t="s">
        <v>1192</v>
      </c>
      <c r="B142" s="45" t="s">
        <v>305</v>
      </c>
      <c r="C142" s="45" t="s">
        <v>1202</v>
      </c>
      <c r="D142" s="46" t="s">
        <v>1273</v>
      </c>
      <c r="E142" s="25" t="s">
        <v>2</v>
      </c>
      <c r="F142" s="48" t="s">
        <v>317</v>
      </c>
      <c r="G142" s="62" t="s">
        <v>2096</v>
      </c>
      <c r="H142" s="63" t="s">
        <v>1172</v>
      </c>
      <c r="I142" s="46" t="s">
        <v>194</v>
      </c>
      <c r="J142" s="46" t="s">
        <v>1064</v>
      </c>
      <c r="K142" s="46" t="s">
        <v>626</v>
      </c>
      <c r="L142" s="46" t="s">
        <v>626</v>
      </c>
      <c r="M142" s="46" t="s">
        <v>4332</v>
      </c>
      <c r="N142" s="46" t="s">
        <v>4191</v>
      </c>
      <c r="O142" s="46" t="s">
        <v>626</v>
      </c>
      <c r="P142" s="46" t="s">
        <v>626</v>
      </c>
      <c r="Q142" s="46" t="s">
        <v>194</v>
      </c>
      <c r="R142" s="46" t="s">
        <v>194</v>
      </c>
      <c r="S142" s="46" t="s">
        <v>194</v>
      </c>
      <c r="T142" s="46" t="s">
        <v>626</v>
      </c>
      <c r="U142" s="46" t="s">
        <v>2890</v>
      </c>
      <c r="V142" s="46" t="s">
        <v>1064</v>
      </c>
      <c r="W142" s="46" t="s">
        <v>1064</v>
      </c>
      <c r="X142" s="46"/>
      <c r="Y142" s="46"/>
      <c r="Z142" s="46"/>
      <c r="AA142" s="46"/>
      <c r="AB142" s="46"/>
      <c r="AC142" s="46" t="s">
        <v>1064</v>
      </c>
      <c r="AD142" s="46"/>
      <c r="AE142" s="46"/>
      <c r="AF142" s="46"/>
      <c r="AG142" s="46"/>
      <c r="AH142" s="46"/>
      <c r="AI142" s="46"/>
      <c r="AJ142" s="46"/>
      <c r="AK142" s="46"/>
      <c r="AL142" s="46" t="s">
        <v>1064</v>
      </c>
      <c r="AM142" s="46"/>
      <c r="AN142" s="46"/>
      <c r="AO142" s="46"/>
      <c r="AP142" s="46" t="s">
        <v>1064</v>
      </c>
      <c r="AQ142" s="46"/>
      <c r="AR142" s="46"/>
      <c r="AS142" s="46" t="s">
        <v>586</v>
      </c>
      <c r="AT142" s="46" t="s">
        <v>308</v>
      </c>
      <c r="AU142" s="46" t="s">
        <v>4191</v>
      </c>
      <c r="AV142" s="46" t="s">
        <v>1192</v>
      </c>
      <c r="AW142" s="46" t="s">
        <v>1172</v>
      </c>
      <c r="AX142" s="46" t="s">
        <v>34</v>
      </c>
      <c r="AY142" s="46"/>
      <c r="AZ142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</row>
    <row r="143" spans="1:75" ht="135" x14ac:dyDescent="0.25">
      <c r="A143" s="47" t="s">
        <v>1194</v>
      </c>
      <c r="B143" s="45" t="s">
        <v>305</v>
      </c>
      <c r="C143" s="45" t="s">
        <v>1203</v>
      </c>
      <c r="D143" s="46" t="s">
        <v>1274</v>
      </c>
      <c r="E143" s="25" t="s">
        <v>2</v>
      </c>
      <c r="F143" s="48" t="s">
        <v>801</v>
      </c>
      <c r="G143" s="62" t="s">
        <v>2097</v>
      </c>
      <c r="H143" s="63" t="s">
        <v>1172</v>
      </c>
      <c r="I143" s="46" t="s">
        <v>4253</v>
      </c>
      <c r="J143" s="46" t="s">
        <v>1064</v>
      </c>
      <c r="K143" s="46" t="s">
        <v>626</v>
      </c>
      <c r="L143" s="46" t="s">
        <v>4191</v>
      </c>
      <c r="M143" s="46" t="s">
        <v>4311</v>
      </c>
      <c r="N143" s="46" t="s">
        <v>4191</v>
      </c>
      <c r="O143" s="46" t="s">
        <v>626</v>
      </c>
      <c r="P143" s="46" t="s">
        <v>626</v>
      </c>
      <c r="Q143" s="46" t="s">
        <v>194</v>
      </c>
      <c r="R143" s="46" t="s">
        <v>4333</v>
      </c>
      <c r="S143" s="46" t="s">
        <v>4334</v>
      </c>
      <c r="T143" s="46" t="s">
        <v>4191</v>
      </c>
      <c r="U143" s="46" t="s">
        <v>2890</v>
      </c>
      <c r="V143" s="46" t="s">
        <v>1064</v>
      </c>
      <c r="W143" s="46" t="s">
        <v>1064</v>
      </c>
      <c r="X143" s="46"/>
      <c r="Y143" s="46"/>
      <c r="Z143" s="46"/>
      <c r="AA143" s="46"/>
      <c r="AB143" s="46"/>
      <c r="AC143" s="46" t="s">
        <v>1064</v>
      </c>
      <c r="AD143" s="46"/>
      <c r="AE143" s="46"/>
      <c r="AF143" s="46"/>
      <c r="AG143" s="46"/>
      <c r="AH143" s="46"/>
      <c r="AI143" s="46"/>
      <c r="AJ143" s="46"/>
      <c r="AK143" s="46"/>
      <c r="AL143" s="46" t="s">
        <v>1064</v>
      </c>
      <c r="AM143" s="46"/>
      <c r="AN143" s="46"/>
      <c r="AO143" s="46"/>
      <c r="AP143" s="46" t="s">
        <v>1064</v>
      </c>
      <c r="AQ143" s="46"/>
      <c r="AR143" s="46"/>
      <c r="AS143" s="46" t="s">
        <v>583</v>
      </c>
      <c r="AT143" s="46" t="s">
        <v>2</v>
      </c>
      <c r="AU143" s="46" t="s">
        <v>4191</v>
      </c>
      <c r="AV143" s="46" t="s">
        <v>1194</v>
      </c>
      <c r="AW143" s="46" t="s">
        <v>1172</v>
      </c>
      <c r="AX143" s="46" t="s">
        <v>34</v>
      </c>
      <c r="AY143" s="46"/>
      <c r="AZ143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</row>
    <row r="144" spans="1:75" ht="75" x14ac:dyDescent="0.25">
      <c r="A144" s="47" t="s">
        <v>1243</v>
      </c>
      <c r="B144" s="45" t="s">
        <v>305</v>
      </c>
      <c r="C144" s="45" t="s">
        <v>1252</v>
      </c>
      <c r="D144" s="46" t="s">
        <v>1253</v>
      </c>
      <c r="E144" s="25" t="s">
        <v>2</v>
      </c>
      <c r="F144" s="48" t="s">
        <v>32</v>
      </c>
      <c r="G144" s="62" t="s">
        <v>2098</v>
      </c>
      <c r="H144" s="63"/>
      <c r="I144" s="46" t="s">
        <v>194</v>
      </c>
      <c r="J144" s="46" t="s">
        <v>1064</v>
      </c>
      <c r="K144" s="46" t="s">
        <v>626</v>
      </c>
      <c r="L144" s="46" t="s">
        <v>626</v>
      </c>
      <c r="M144" s="46" t="s">
        <v>4328</v>
      </c>
      <c r="N144" s="46" t="s">
        <v>4191</v>
      </c>
      <c r="O144" s="46" t="s">
        <v>626</v>
      </c>
      <c r="P144" s="46" t="s">
        <v>626</v>
      </c>
      <c r="Q144" s="46" t="s">
        <v>194</v>
      </c>
      <c r="R144" s="46" t="s">
        <v>194</v>
      </c>
      <c r="S144" s="46" t="s">
        <v>194</v>
      </c>
      <c r="T144" s="46" t="s">
        <v>626</v>
      </c>
      <c r="U144" s="46" t="s">
        <v>2890</v>
      </c>
      <c r="V144" s="46" t="s">
        <v>1064</v>
      </c>
      <c r="W144" s="46" t="s">
        <v>1064</v>
      </c>
      <c r="X144" s="46"/>
      <c r="Y144" s="46"/>
      <c r="Z144" s="46"/>
      <c r="AA144" s="46"/>
      <c r="AB144" s="46"/>
      <c r="AC144" s="46" t="s">
        <v>1064</v>
      </c>
      <c r="AD144" s="46"/>
      <c r="AE144" s="46"/>
      <c r="AF144" s="46"/>
      <c r="AG144" s="46"/>
      <c r="AH144" s="46"/>
      <c r="AI144" s="46"/>
      <c r="AJ144" s="46"/>
      <c r="AK144" s="46"/>
      <c r="AL144" s="46" t="s">
        <v>1064</v>
      </c>
      <c r="AM144" s="46"/>
      <c r="AN144" s="46"/>
      <c r="AO144" s="46"/>
      <c r="AP144" s="46" t="s">
        <v>1064</v>
      </c>
      <c r="AQ144" s="46"/>
      <c r="AR144" s="46"/>
      <c r="AS144" s="46" t="s">
        <v>584</v>
      </c>
      <c r="AT144" s="46" t="s">
        <v>314</v>
      </c>
      <c r="AU144" s="46" t="s">
        <v>4191</v>
      </c>
      <c r="AV144" s="46" t="s">
        <v>1243</v>
      </c>
      <c r="AW144" s="46"/>
      <c r="AX144" s="46"/>
      <c r="AY144" s="46"/>
      <c r="AZ144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</row>
    <row r="145" spans="1:75" ht="75" x14ac:dyDescent="0.25">
      <c r="A145" s="47" t="s">
        <v>1244</v>
      </c>
      <c r="B145" s="45" t="s">
        <v>305</v>
      </c>
      <c r="C145" s="45" t="s">
        <v>1254</v>
      </c>
      <c r="D145" s="46" t="s">
        <v>1255</v>
      </c>
      <c r="E145" s="25" t="s">
        <v>2</v>
      </c>
      <c r="F145" s="48" t="s">
        <v>317</v>
      </c>
      <c r="G145" s="62" t="s">
        <v>2099</v>
      </c>
      <c r="H145" s="63" t="s">
        <v>1231</v>
      </c>
      <c r="I145" s="46" t="s">
        <v>194</v>
      </c>
      <c r="J145" s="46" t="s">
        <v>1064</v>
      </c>
      <c r="K145" s="46" t="s">
        <v>626</v>
      </c>
      <c r="L145" s="46" t="s">
        <v>626</v>
      </c>
      <c r="M145" s="46" t="s">
        <v>4329</v>
      </c>
      <c r="N145" s="46" t="s">
        <v>4191</v>
      </c>
      <c r="O145" s="46" t="s">
        <v>626</v>
      </c>
      <c r="P145" s="46" t="s">
        <v>626</v>
      </c>
      <c r="Q145" s="46" t="s">
        <v>194</v>
      </c>
      <c r="R145" s="46" t="s">
        <v>194</v>
      </c>
      <c r="S145" s="46" t="s">
        <v>194</v>
      </c>
      <c r="T145" s="46" t="s">
        <v>626</v>
      </c>
      <c r="U145" s="46" t="s">
        <v>2890</v>
      </c>
      <c r="V145" s="46" t="s">
        <v>1064</v>
      </c>
      <c r="W145" s="46" t="s">
        <v>1064</v>
      </c>
      <c r="X145" s="46"/>
      <c r="Y145" s="46"/>
      <c r="Z145" s="46"/>
      <c r="AA145" s="46"/>
      <c r="AB145" s="46"/>
      <c r="AC145" s="46" t="s">
        <v>1064</v>
      </c>
      <c r="AD145" s="46"/>
      <c r="AE145" s="46"/>
      <c r="AF145" s="46"/>
      <c r="AG145" s="46"/>
      <c r="AH145" s="46"/>
      <c r="AI145" s="46"/>
      <c r="AJ145" s="46"/>
      <c r="AK145" s="46"/>
      <c r="AL145" s="46" t="s">
        <v>1064</v>
      </c>
      <c r="AM145" s="46"/>
      <c r="AN145" s="46"/>
      <c r="AO145" s="46"/>
      <c r="AP145" s="46" t="s">
        <v>1064</v>
      </c>
      <c r="AQ145" s="46"/>
      <c r="AR145" s="46"/>
      <c r="AS145" s="46" t="s">
        <v>586</v>
      </c>
      <c r="AT145" s="46" t="s">
        <v>308</v>
      </c>
      <c r="AU145" s="46" t="s">
        <v>4191</v>
      </c>
      <c r="AV145" s="46" t="s">
        <v>1244</v>
      </c>
      <c r="AW145" s="46" t="s">
        <v>1231</v>
      </c>
      <c r="AX145" s="46" t="s">
        <v>34</v>
      </c>
      <c r="AY145" s="46"/>
      <c r="AZ145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</row>
    <row r="146" spans="1:75" ht="135" x14ac:dyDescent="0.25">
      <c r="A146" s="47" t="s">
        <v>1246</v>
      </c>
      <c r="B146" s="45" t="s">
        <v>305</v>
      </c>
      <c r="C146" s="45" t="s">
        <v>1256</v>
      </c>
      <c r="D146" s="46" t="s">
        <v>1257</v>
      </c>
      <c r="E146" s="25" t="s">
        <v>2</v>
      </c>
      <c r="F146" s="48" t="s">
        <v>801</v>
      </c>
      <c r="G146" s="62" t="s">
        <v>2100</v>
      </c>
      <c r="H146" s="63" t="s">
        <v>1231</v>
      </c>
      <c r="I146" s="46" t="s">
        <v>4253</v>
      </c>
      <c r="J146" s="46" t="s">
        <v>1064</v>
      </c>
      <c r="K146" s="46" t="s">
        <v>626</v>
      </c>
      <c r="L146" s="46" t="s">
        <v>4191</v>
      </c>
      <c r="M146" s="46" t="s">
        <v>4311</v>
      </c>
      <c r="N146" s="46" t="s">
        <v>4191</v>
      </c>
      <c r="O146" s="46" t="s">
        <v>626</v>
      </c>
      <c r="P146" s="46" t="s">
        <v>626</v>
      </c>
      <c r="Q146" s="46" t="s">
        <v>194</v>
      </c>
      <c r="R146" s="46" t="s">
        <v>4335</v>
      </c>
      <c r="S146" s="46" t="s">
        <v>4336</v>
      </c>
      <c r="T146" s="46" t="s">
        <v>4191</v>
      </c>
      <c r="U146" s="46" t="s">
        <v>2890</v>
      </c>
      <c r="V146" s="46" t="s">
        <v>1064</v>
      </c>
      <c r="W146" s="46" t="s">
        <v>1064</v>
      </c>
      <c r="X146" s="46"/>
      <c r="Y146" s="46"/>
      <c r="Z146" s="46"/>
      <c r="AA146" s="46"/>
      <c r="AB146" s="46"/>
      <c r="AC146" s="46" t="s">
        <v>1064</v>
      </c>
      <c r="AD146" s="46"/>
      <c r="AE146" s="46"/>
      <c r="AF146" s="46"/>
      <c r="AG146" s="46"/>
      <c r="AH146" s="46"/>
      <c r="AI146" s="46"/>
      <c r="AJ146" s="46"/>
      <c r="AK146" s="46"/>
      <c r="AL146" s="46" t="s">
        <v>1064</v>
      </c>
      <c r="AM146" s="46"/>
      <c r="AN146" s="46"/>
      <c r="AO146" s="46"/>
      <c r="AP146" s="46" t="s">
        <v>1064</v>
      </c>
      <c r="AQ146" s="46"/>
      <c r="AR146" s="46"/>
      <c r="AS146" s="46" t="s">
        <v>583</v>
      </c>
      <c r="AT146" s="46" t="s">
        <v>2</v>
      </c>
      <c r="AU146" s="46" t="s">
        <v>4191</v>
      </c>
      <c r="AV146" s="46" t="s">
        <v>1246</v>
      </c>
      <c r="AW146" s="46" t="s">
        <v>1231</v>
      </c>
      <c r="AX146" s="46" t="s">
        <v>34</v>
      </c>
      <c r="AY146" s="46"/>
      <c r="AZ1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</row>
    <row r="147" spans="1:75" ht="135" x14ac:dyDescent="0.25">
      <c r="A147" s="47" t="s">
        <v>1349</v>
      </c>
      <c r="B147" s="45" t="s">
        <v>305</v>
      </c>
      <c r="C147" s="45" t="s">
        <v>1710</v>
      </c>
      <c r="D147" s="46" t="s">
        <v>1449</v>
      </c>
      <c r="E147" s="25" t="s">
        <v>2</v>
      </c>
      <c r="F147" s="48" t="s">
        <v>317</v>
      </c>
      <c r="G147" s="62" t="s">
        <v>2836</v>
      </c>
      <c r="H147" s="63" t="s">
        <v>1348</v>
      </c>
      <c r="I147" s="46" t="s">
        <v>4610</v>
      </c>
      <c r="J147" s="46" t="s">
        <v>1064</v>
      </c>
      <c r="K147" s="46" t="s">
        <v>626</v>
      </c>
      <c r="L147" s="46" t="s">
        <v>626</v>
      </c>
      <c r="M147" s="46" t="s">
        <v>194</v>
      </c>
      <c r="N147" s="46" t="s">
        <v>626</v>
      </c>
      <c r="O147" s="46" t="s">
        <v>626</v>
      </c>
      <c r="P147" s="46" t="s">
        <v>626</v>
      </c>
      <c r="Q147" s="46" t="s">
        <v>194</v>
      </c>
      <c r="R147" s="46" t="s">
        <v>4337</v>
      </c>
      <c r="S147" s="46" t="s">
        <v>4338</v>
      </c>
      <c r="T147" s="46" t="s">
        <v>626</v>
      </c>
      <c r="U147" s="46" t="s">
        <v>2890</v>
      </c>
      <c r="V147" s="46" t="s">
        <v>1064</v>
      </c>
      <c r="W147" s="46" t="s">
        <v>1064</v>
      </c>
      <c r="X147" s="46"/>
      <c r="Y147" s="46"/>
      <c r="Z147" s="46"/>
      <c r="AA147" s="46"/>
      <c r="AB147" s="46"/>
      <c r="AC147" s="46" t="s">
        <v>1064</v>
      </c>
      <c r="AD147" s="46"/>
      <c r="AE147" s="46"/>
      <c r="AF147" s="46"/>
      <c r="AG147" s="46"/>
      <c r="AH147" s="46"/>
      <c r="AI147" s="46"/>
      <c r="AJ147" s="46"/>
      <c r="AK147" s="46"/>
      <c r="AL147" s="46" t="s">
        <v>1064</v>
      </c>
      <c r="AM147" s="46"/>
      <c r="AN147" s="46"/>
      <c r="AO147" s="46"/>
      <c r="AP147" s="46" t="s">
        <v>1064</v>
      </c>
      <c r="AQ147" s="46"/>
      <c r="AR147" s="46"/>
      <c r="AS147" s="46" t="s">
        <v>586</v>
      </c>
      <c r="AT147" s="46" t="s">
        <v>2</v>
      </c>
      <c r="AU147" s="46" t="s">
        <v>4191</v>
      </c>
      <c r="AV147" s="46" t="s">
        <v>1349</v>
      </c>
      <c r="AW147" s="46" t="s">
        <v>1348</v>
      </c>
      <c r="AX147" s="46" t="s">
        <v>28</v>
      </c>
      <c r="AY147" s="46"/>
      <c r="AZ147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</row>
    <row r="148" spans="1:75" ht="105" x14ac:dyDescent="0.25">
      <c r="A148" s="47" t="s">
        <v>1681</v>
      </c>
      <c r="B148" s="45" t="s">
        <v>305</v>
      </c>
      <c r="C148" s="45" t="s">
        <v>1435</v>
      </c>
      <c r="D148" s="46" t="s">
        <v>1707</v>
      </c>
      <c r="E148" s="25" t="s">
        <v>2</v>
      </c>
      <c r="F148" s="48" t="s">
        <v>32</v>
      </c>
      <c r="G148" s="62" t="s">
        <v>2101</v>
      </c>
      <c r="H148" s="63" t="s">
        <v>1669</v>
      </c>
      <c r="I148" s="46" t="s">
        <v>194</v>
      </c>
      <c r="J148" s="46" t="s">
        <v>1064</v>
      </c>
      <c r="K148" s="46" t="s">
        <v>626</v>
      </c>
      <c r="L148" s="46" t="s">
        <v>4191</v>
      </c>
      <c r="M148" s="46" t="s">
        <v>4339</v>
      </c>
      <c r="N148" s="46" t="s">
        <v>626</v>
      </c>
      <c r="O148" s="46" t="s">
        <v>626</v>
      </c>
      <c r="P148" s="46" t="s">
        <v>626</v>
      </c>
      <c r="Q148" s="46" t="s">
        <v>194</v>
      </c>
      <c r="R148" s="46" t="s">
        <v>4340</v>
      </c>
      <c r="S148" s="46" t="s">
        <v>4341</v>
      </c>
      <c r="T148" s="46" t="s">
        <v>4191</v>
      </c>
      <c r="U148" s="46" t="s">
        <v>2890</v>
      </c>
      <c r="V148" s="46" t="s">
        <v>1064</v>
      </c>
      <c r="W148" s="46" t="s">
        <v>1064</v>
      </c>
      <c r="X148" s="46"/>
      <c r="Y148" s="46"/>
      <c r="Z148" s="46"/>
      <c r="AA148" s="46"/>
      <c r="AB148" s="46"/>
      <c r="AC148" s="46" t="s">
        <v>1064</v>
      </c>
      <c r="AD148" s="46"/>
      <c r="AE148" s="46"/>
      <c r="AF148" s="46"/>
      <c r="AG148" s="46"/>
      <c r="AH148" s="46"/>
      <c r="AI148" s="46"/>
      <c r="AJ148" s="46"/>
      <c r="AK148" s="46"/>
      <c r="AL148" s="46" t="s">
        <v>1064</v>
      </c>
      <c r="AM148" s="46"/>
      <c r="AN148" s="46"/>
      <c r="AO148" s="46"/>
      <c r="AP148" s="46" t="s">
        <v>1064</v>
      </c>
      <c r="AQ148" s="46"/>
      <c r="AR148" s="46"/>
      <c r="AS148" s="46" t="s">
        <v>583</v>
      </c>
      <c r="AT148" s="46" t="s">
        <v>2</v>
      </c>
      <c r="AU148" s="46" t="s">
        <v>4191</v>
      </c>
      <c r="AV148" s="46" t="s">
        <v>1681</v>
      </c>
      <c r="AW148" s="46" t="s">
        <v>1669</v>
      </c>
      <c r="AX148" s="46" t="s">
        <v>28</v>
      </c>
      <c r="AY148" s="46"/>
      <c r="AZ148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</row>
    <row r="149" spans="1:75" ht="105" x14ac:dyDescent="0.25">
      <c r="A149" s="47" t="s">
        <v>1683</v>
      </c>
      <c r="B149" s="45" t="s">
        <v>305</v>
      </c>
      <c r="C149" s="45" t="s">
        <v>1436</v>
      </c>
      <c r="D149" s="46" t="s">
        <v>1708</v>
      </c>
      <c r="E149" s="25" t="s">
        <v>2</v>
      </c>
      <c r="F149" s="48" t="s">
        <v>32</v>
      </c>
      <c r="G149" s="62" t="s">
        <v>2102</v>
      </c>
      <c r="H149" s="63" t="s">
        <v>1671</v>
      </c>
      <c r="I149" s="46" t="s">
        <v>194</v>
      </c>
      <c r="J149" s="46" t="s">
        <v>1064</v>
      </c>
      <c r="K149" s="46" t="s">
        <v>626</v>
      </c>
      <c r="L149" s="46" t="s">
        <v>4191</v>
      </c>
      <c r="M149" s="46" t="s">
        <v>4339</v>
      </c>
      <c r="N149" s="46" t="s">
        <v>626</v>
      </c>
      <c r="O149" s="46" t="s">
        <v>626</v>
      </c>
      <c r="P149" s="46" t="s">
        <v>626</v>
      </c>
      <c r="Q149" s="46" t="s">
        <v>194</v>
      </c>
      <c r="R149" s="46" t="s">
        <v>4342</v>
      </c>
      <c r="S149" s="46" t="s">
        <v>4343</v>
      </c>
      <c r="T149" s="46" t="s">
        <v>4191</v>
      </c>
      <c r="U149" s="46" t="s">
        <v>2890</v>
      </c>
      <c r="V149" s="46" t="s">
        <v>1064</v>
      </c>
      <c r="W149" s="46" t="s">
        <v>1064</v>
      </c>
      <c r="X149" s="46"/>
      <c r="Y149" s="46"/>
      <c r="Z149" s="46"/>
      <c r="AA149" s="46"/>
      <c r="AB149" s="46"/>
      <c r="AC149" s="46" t="s">
        <v>1064</v>
      </c>
      <c r="AD149" s="46"/>
      <c r="AE149" s="46"/>
      <c r="AF149" s="46"/>
      <c r="AG149" s="46"/>
      <c r="AH149" s="46"/>
      <c r="AI149" s="46"/>
      <c r="AJ149" s="46"/>
      <c r="AK149" s="46"/>
      <c r="AL149" s="46" t="s">
        <v>1064</v>
      </c>
      <c r="AM149" s="46"/>
      <c r="AN149" s="46"/>
      <c r="AO149" s="46"/>
      <c r="AP149" s="46" t="s">
        <v>1064</v>
      </c>
      <c r="AQ149" s="46"/>
      <c r="AR149" s="46"/>
      <c r="AS149" s="46" t="s">
        <v>583</v>
      </c>
      <c r="AT149" s="46" t="s">
        <v>2</v>
      </c>
      <c r="AU149" s="46" t="s">
        <v>4191</v>
      </c>
      <c r="AV149" s="46" t="s">
        <v>1683</v>
      </c>
      <c r="AW149" s="46" t="s">
        <v>1671</v>
      </c>
      <c r="AX149" s="46" t="s">
        <v>28</v>
      </c>
      <c r="AY149" s="46"/>
      <c r="AZ149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</row>
    <row r="150" spans="1:75" ht="120" x14ac:dyDescent="0.25">
      <c r="A150" s="47" t="s">
        <v>1685</v>
      </c>
      <c r="B150" s="58" t="s">
        <v>305</v>
      </c>
      <c r="C150" s="45" t="s">
        <v>1437</v>
      </c>
      <c r="D150" s="46" t="s">
        <v>1709</v>
      </c>
      <c r="E150" s="25" t="s">
        <v>2</v>
      </c>
      <c r="F150" s="48" t="s">
        <v>32</v>
      </c>
      <c r="G150" s="62" t="s">
        <v>2103</v>
      </c>
      <c r="H150" s="63" t="s">
        <v>1673</v>
      </c>
      <c r="I150" s="46" t="s">
        <v>194</v>
      </c>
      <c r="J150" s="46" t="s">
        <v>1064</v>
      </c>
      <c r="K150" s="46" t="s">
        <v>626</v>
      </c>
      <c r="L150" s="46" t="s">
        <v>4191</v>
      </c>
      <c r="M150" s="46" t="s">
        <v>4339</v>
      </c>
      <c r="N150" s="46" t="s">
        <v>626</v>
      </c>
      <c r="O150" s="46" t="s">
        <v>626</v>
      </c>
      <c r="P150" s="46" t="s">
        <v>626</v>
      </c>
      <c r="Q150" s="46" t="s">
        <v>194</v>
      </c>
      <c r="R150" s="46" t="s">
        <v>4344</v>
      </c>
      <c r="S150" s="46" t="s">
        <v>4345</v>
      </c>
      <c r="T150" s="46" t="s">
        <v>4191</v>
      </c>
      <c r="U150" s="46" t="s">
        <v>2890</v>
      </c>
      <c r="V150" s="46" t="s">
        <v>1064</v>
      </c>
      <c r="W150" s="46" t="s">
        <v>1064</v>
      </c>
      <c r="X150" s="46"/>
      <c r="Y150" s="46"/>
      <c r="Z150" s="46"/>
      <c r="AA150" s="46"/>
      <c r="AB150" s="46"/>
      <c r="AC150" s="46" t="s">
        <v>1064</v>
      </c>
      <c r="AD150" s="46"/>
      <c r="AE150" s="46"/>
      <c r="AF150" s="46"/>
      <c r="AG150" s="46"/>
      <c r="AH150" s="46"/>
      <c r="AI150" s="46"/>
      <c r="AJ150" s="46"/>
      <c r="AK150" s="46"/>
      <c r="AL150" s="46" t="s">
        <v>1064</v>
      </c>
      <c r="AM150" s="46"/>
      <c r="AN150" s="46"/>
      <c r="AO150" s="46"/>
      <c r="AP150" s="46" t="s">
        <v>1064</v>
      </c>
      <c r="AQ150" s="46"/>
      <c r="AR150" s="46"/>
      <c r="AS150" s="46" t="s">
        <v>583</v>
      </c>
      <c r="AT150" s="46" t="s">
        <v>2</v>
      </c>
      <c r="AU150" s="46" t="s">
        <v>4191</v>
      </c>
      <c r="AV150" s="46" t="s">
        <v>1685</v>
      </c>
      <c r="AW150" s="46" t="s">
        <v>1673</v>
      </c>
      <c r="AX150" s="46" t="s">
        <v>28</v>
      </c>
      <c r="AY150" s="46"/>
      <c r="AZ150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</row>
    <row r="151" spans="1:75" ht="120" x14ac:dyDescent="0.25">
      <c r="A151" s="47" t="s">
        <v>1878</v>
      </c>
      <c r="B151" s="58" t="s">
        <v>305</v>
      </c>
      <c r="C151" s="45" t="s">
        <v>1896</v>
      </c>
      <c r="D151" s="46" t="s">
        <v>1897</v>
      </c>
      <c r="E151" s="25" t="s">
        <v>2</v>
      </c>
      <c r="F151" s="48" t="s">
        <v>32</v>
      </c>
      <c r="G151" s="62" t="s">
        <v>2104</v>
      </c>
      <c r="H151" s="63" t="s">
        <v>1848</v>
      </c>
      <c r="I151" s="46" t="s">
        <v>4605</v>
      </c>
      <c r="J151" s="46" t="s">
        <v>1064</v>
      </c>
      <c r="K151" s="46" t="s">
        <v>4191</v>
      </c>
      <c r="L151" s="46" t="s">
        <v>626</v>
      </c>
      <c r="M151" s="46" t="s">
        <v>194</v>
      </c>
      <c r="N151" s="46" t="s">
        <v>626</v>
      </c>
      <c r="O151" s="46" t="s">
        <v>626</v>
      </c>
      <c r="P151" s="46" t="s">
        <v>626</v>
      </c>
      <c r="Q151" s="46" t="s">
        <v>194</v>
      </c>
      <c r="R151" s="46" t="s">
        <v>4346</v>
      </c>
      <c r="S151" s="46" t="s">
        <v>4347</v>
      </c>
      <c r="T151" s="46"/>
      <c r="U151" s="46" t="s">
        <v>2890</v>
      </c>
      <c r="V151" s="46" t="s">
        <v>1064</v>
      </c>
      <c r="W151" s="46" t="s">
        <v>1064</v>
      </c>
      <c r="X151" s="46"/>
      <c r="Y151" s="46"/>
      <c r="Z151" s="46"/>
      <c r="AA151" s="46"/>
      <c r="AB151" s="46"/>
      <c r="AC151" s="46" t="s">
        <v>1064</v>
      </c>
      <c r="AD151" s="46"/>
      <c r="AE151" s="46"/>
      <c r="AF151" s="46"/>
      <c r="AG151" s="46"/>
      <c r="AH151" s="46"/>
      <c r="AI151" s="46"/>
      <c r="AJ151" s="46"/>
      <c r="AK151" s="46"/>
      <c r="AL151" s="46" t="s">
        <v>1064</v>
      </c>
      <c r="AM151" s="46"/>
      <c r="AN151" s="46"/>
      <c r="AO151" s="46"/>
      <c r="AP151" s="46" t="s">
        <v>1064</v>
      </c>
      <c r="AQ151" s="46"/>
      <c r="AR151" s="46"/>
      <c r="AS151" s="46" t="s">
        <v>583</v>
      </c>
      <c r="AT151" s="46" t="s">
        <v>2</v>
      </c>
      <c r="AU151" s="46" t="s">
        <v>4191</v>
      </c>
      <c r="AV151" s="46" t="s">
        <v>1878</v>
      </c>
      <c r="AW151" s="46" t="s">
        <v>1848</v>
      </c>
      <c r="AX151" s="46" t="s">
        <v>28</v>
      </c>
      <c r="AY151" s="46"/>
      <c r="AZ151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</row>
    <row r="152" spans="1:75" ht="120" x14ac:dyDescent="0.25">
      <c r="A152" s="47" t="s">
        <v>1880</v>
      </c>
      <c r="B152" s="45" t="s">
        <v>305</v>
      </c>
      <c r="C152" s="45" t="s">
        <v>1898</v>
      </c>
      <c r="D152" s="46" t="s">
        <v>1899</v>
      </c>
      <c r="E152" s="25" t="s">
        <v>2</v>
      </c>
      <c r="F152" s="48" t="s">
        <v>32</v>
      </c>
      <c r="G152" s="62" t="s">
        <v>2105</v>
      </c>
      <c r="H152" s="63" t="s">
        <v>1850</v>
      </c>
      <c r="I152" s="46" t="s">
        <v>4605</v>
      </c>
      <c r="J152" s="46" t="s">
        <v>1064</v>
      </c>
      <c r="K152" s="46" t="s">
        <v>4191</v>
      </c>
      <c r="L152" s="46" t="s">
        <v>4191</v>
      </c>
      <c r="M152" s="46" t="s">
        <v>194</v>
      </c>
      <c r="N152" s="46" t="s">
        <v>626</v>
      </c>
      <c r="O152" s="46" t="s">
        <v>626</v>
      </c>
      <c r="P152" s="46" t="s">
        <v>626</v>
      </c>
      <c r="Q152" s="46" t="s">
        <v>194</v>
      </c>
      <c r="R152" s="46" t="s">
        <v>4348</v>
      </c>
      <c r="S152" s="46" t="s">
        <v>4349</v>
      </c>
      <c r="T152" s="46"/>
      <c r="U152" s="46" t="s">
        <v>2890</v>
      </c>
      <c r="V152" s="46" t="s">
        <v>1064</v>
      </c>
      <c r="W152" s="46" t="s">
        <v>1064</v>
      </c>
      <c r="X152" s="46"/>
      <c r="Y152" s="46"/>
      <c r="Z152" s="46"/>
      <c r="AA152" s="46"/>
      <c r="AB152" s="46"/>
      <c r="AC152" s="46" t="s">
        <v>1064</v>
      </c>
      <c r="AD152" s="46"/>
      <c r="AE152" s="46"/>
      <c r="AF152" s="46"/>
      <c r="AG152" s="46"/>
      <c r="AH152" s="46"/>
      <c r="AI152" s="46"/>
      <c r="AJ152" s="46"/>
      <c r="AK152" s="46"/>
      <c r="AL152" s="46" t="s">
        <v>1064</v>
      </c>
      <c r="AM152" s="46"/>
      <c r="AN152" s="46"/>
      <c r="AO152" s="46"/>
      <c r="AP152" s="46" t="s">
        <v>1064</v>
      </c>
      <c r="AQ152" s="46"/>
      <c r="AR152" s="46"/>
      <c r="AS152" s="46" t="s">
        <v>583</v>
      </c>
      <c r="AT152" s="46" t="s">
        <v>2</v>
      </c>
      <c r="AU152" s="46" t="s">
        <v>4191</v>
      </c>
      <c r="AV152" s="46" t="s">
        <v>1880</v>
      </c>
      <c r="AW152" s="46" t="s">
        <v>1850</v>
      </c>
      <c r="AX152" s="46" t="s">
        <v>34</v>
      </c>
      <c r="AY152" s="46"/>
      <c r="AZ152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</row>
    <row r="153" spans="1:75" ht="105" x14ac:dyDescent="0.25">
      <c r="A153" s="47" t="s">
        <v>1882</v>
      </c>
      <c r="B153" s="45" t="s">
        <v>305</v>
      </c>
      <c r="C153" s="45" t="s">
        <v>1900</v>
      </c>
      <c r="D153" s="46" t="s">
        <v>1901</v>
      </c>
      <c r="E153" s="25" t="s">
        <v>2</v>
      </c>
      <c r="F153" s="48" t="s">
        <v>32</v>
      </c>
      <c r="G153" s="62" t="s">
        <v>4752</v>
      </c>
      <c r="H153" s="63" t="s">
        <v>1852</v>
      </c>
      <c r="I153" s="46" t="s">
        <v>4605</v>
      </c>
      <c r="J153" s="46" t="s">
        <v>1064</v>
      </c>
      <c r="K153" s="46" t="s">
        <v>4191</v>
      </c>
      <c r="L153" s="46" t="s">
        <v>626</v>
      </c>
      <c r="M153" s="46" t="s">
        <v>194</v>
      </c>
      <c r="N153" s="46" t="s">
        <v>626</v>
      </c>
      <c r="O153" s="46" t="s">
        <v>626</v>
      </c>
      <c r="P153" s="46" t="s">
        <v>626</v>
      </c>
      <c r="Q153" s="46" t="s">
        <v>194</v>
      </c>
      <c r="R153" s="46" t="s">
        <v>4350</v>
      </c>
      <c r="S153" s="46" t="s">
        <v>4351</v>
      </c>
      <c r="T153" s="46"/>
      <c r="U153" s="46" t="s">
        <v>2890</v>
      </c>
      <c r="V153" s="46" t="s">
        <v>1064</v>
      </c>
      <c r="W153" s="46" t="s">
        <v>1064</v>
      </c>
      <c r="X153" s="46"/>
      <c r="Y153" s="46"/>
      <c r="Z153" s="46"/>
      <c r="AA153" s="46"/>
      <c r="AB153" s="46"/>
      <c r="AC153" s="46" t="s">
        <v>1064</v>
      </c>
      <c r="AD153" s="46"/>
      <c r="AE153" s="46"/>
      <c r="AF153" s="46"/>
      <c r="AG153" s="46"/>
      <c r="AH153" s="46"/>
      <c r="AI153" s="46"/>
      <c r="AJ153" s="46"/>
      <c r="AK153" s="46"/>
      <c r="AL153" s="46" t="s">
        <v>1064</v>
      </c>
      <c r="AM153" s="46"/>
      <c r="AN153" s="46"/>
      <c r="AO153" s="46"/>
      <c r="AP153" s="46" t="s">
        <v>1064</v>
      </c>
      <c r="AQ153" s="46"/>
      <c r="AR153" s="46"/>
      <c r="AS153" s="46" t="s">
        <v>583</v>
      </c>
      <c r="AT153" s="46" t="s">
        <v>2</v>
      </c>
      <c r="AU153" s="46" t="s">
        <v>4191</v>
      </c>
      <c r="AV153" s="46" t="s">
        <v>1882</v>
      </c>
      <c r="AW153" s="46" t="s">
        <v>1852</v>
      </c>
      <c r="AX153" s="46" t="s">
        <v>34</v>
      </c>
      <c r="AY153" s="46"/>
      <c r="AZ153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</row>
    <row r="154" spans="1:75" ht="60" x14ac:dyDescent="0.25">
      <c r="A154" s="47" t="s">
        <v>1902</v>
      </c>
      <c r="B154" s="45" t="s">
        <v>305</v>
      </c>
      <c r="C154" s="45" t="s">
        <v>1962</v>
      </c>
      <c r="D154" s="46" t="s">
        <v>1984</v>
      </c>
      <c r="E154" s="25" t="s">
        <v>2</v>
      </c>
      <c r="F154" s="48" t="s">
        <v>2</v>
      </c>
      <c r="G154" s="62" t="s">
        <v>2106</v>
      </c>
      <c r="H154" s="63" t="s">
        <v>1854</v>
      </c>
      <c r="I154" s="46" t="s">
        <v>194</v>
      </c>
      <c r="J154" s="46" t="s">
        <v>1064</v>
      </c>
      <c r="K154" s="46" t="s">
        <v>626</v>
      </c>
      <c r="L154" s="46" t="s">
        <v>626</v>
      </c>
      <c r="M154" s="46" t="s">
        <v>194</v>
      </c>
      <c r="N154" s="46" t="s">
        <v>626</v>
      </c>
      <c r="O154" s="46" t="s">
        <v>626</v>
      </c>
      <c r="P154" s="46" t="s">
        <v>626</v>
      </c>
      <c r="Q154" s="46" t="s">
        <v>194</v>
      </c>
      <c r="R154" s="46" t="s">
        <v>194</v>
      </c>
      <c r="S154" s="46" t="s">
        <v>194</v>
      </c>
      <c r="T154" s="46"/>
      <c r="U154" s="46" t="s">
        <v>2890</v>
      </c>
      <c r="V154" s="46" t="s">
        <v>1064</v>
      </c>
      <c r="W154" s="46" t="s">
        <v>1064</v>
      </c>
      <c r="X154" s="46"/>
      <c r="Y154" s="46"/>
      <c r="Z154" s="46"/>
      <c r="AA154" s="46"/>
      <c r="AB154" s="46"/>
      <c r="AC154" s="46" t="s">
        <v>1064</v>
      </c>
      <c r="AD154" s="46"/>
      <c r="AE154" s="46"/>
      <c r="AF154" s="46"/>
      <c r="AG154" s="46"/>
      <c r="AH154" s="46"/>
      <c r="AI154" s="46"/>
      <c r="AJ154" s="46"/>
      <c r="AK154" s="46"/>
      <c r="AL154" s="46" t="s">
        <v>1064</v>
      </c>
      <c r="AM154" s="46"/>
      <c r="AN154" s="46"/>
      <c r="AO154" s="46"/>
      <c r="AP154" s="46" t="s">
        <v>1064</v>
      </c>
      <c r="AQ154" s="46"/>
      <c r="AR154" s="46"/>
      <c r="AS154" s="46" t="s">
        <v>4483</v>
      </c>
      <c r="AT154" s="46" t="s">
        <v>2</v>
      </c>
      <c r="AU154" s="46" t="s">
        <v>4191</v>
      </c>
      <c r="AV154" s="46" t="s">
        <v>1902</v>
      </c>
      <c r="AW154" s="46" t="s">
        <v>1854</v>
      </c>
      <c r="AX154" s="46" t="s">
        <v>28</v>
      </c>
      <c r="AY154" s="46"/>
      <c r="AZ154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</row>
    <row r="155" spans="1:75" ht="150" x14ac:dyDescent="0.25">
      <c r="A155" s="47" t="s">
        <v>1903</v>
      </c>
      <c r="B155" s="45" t="s">
        <v>305</v>
      </c>
      <c r="C155" s="45" t="s">
        <v>1874</v>
      </c>
      <c r="D155" s="46" t="s">
        <v>1967</v>
      </c>
      <c r="E155" s="25" t="s">
        <v>2</v>
      </c>
      <c r="F155" s="48" t="s">
        <v>32</v>
      </c>
      <c r="G155" s="62" t="s">
        <v>2107</v>
      </c>
      <c r="H155" s="63" t="s">
        <v>1856</v>
      </c>
      <c r="I155" s="46" t="s">
        <v>4605</v>
      </c>
      <c r="J155" s="46" t="s">
        <v>1064</v>
      </c>
      <c r="K155" s="46" t="s">
        <v>4191</v>
      </c>
      <c r="L155" s="46" t="s">
        <v>4191</v>
      </c>
      <c r="M155" s="46" t="s">
        <v>194</v>
      </c>
      <c r="N155" s="46" t="s">
        <v>626</v>
      </c>
      <c r="O155" s="46" t="s">
        <v>626</v>
      </c>
      <c r="P155" s="46" t="s">
        <v>626</v>
      </c>
      <c r="Q155" s="46" t="s">
        <v>194</v>
      </c>
      <c r="R155" s="46" t="s">
        <v>4352</v>
      </c>
      <c r="S155" s="46" t="s">
        <v>4353</v>
      </c>
      <c r="T155" s="46"/>
      <c r="U155" s="46" t="s">
        <v>2890</v>
      </c>
      <c r="V155" s="46" t="s">
        <v>1064</v>
      </c>
      <c r="W155" s="46" t="s">
        <v>1064</v>
      </c>
      <c r="X155" s="46"/>
      <c r="Y155" s="46"/>
      <c r="Z155" s="46"/>
      <c r="AA155" s="46"/>
      <c r="AB155" s="46"/>
      <c r="AC155" s="46" t="s">
        <v>1064</v>
      </c>
      <c r="AD155" s="46"/>
      <c r="AE155" s="46"/>
      <c r="AF155" s="46"/>
      <c r="AG155" s="46"/>
      <c r="AH155" s="46"/>
      <c r="AI155" s="46"/>
      <c r="AJ155" s="46"/>
      <c r="AK155" s="46"/>
      <c r="AL155" s="46" t="s">
        <v>1064</v>
      </c>
      <c r="AM155" s="46"/>
      <c r="AN155" s="46"/>
      <c r="AO155" s="46"/>
      <c r="AP155" s="46" t="s">
        <v>1064</v>
      </c>
      <c r="AQ155" s="46"/>
      <c r="AR155" s="46"/>
      <c r="AS155" s="46" t="s">
        <v>583</v>
      </c>
      <c r="AT155" s="46" t="s">
        <v>2</v>
      </c>
      <c r="AU155" s="46" t="s">
        <v>4191</v>
      </c>
      <c r="AV155" s="46" t="s">
        <v>1903</v>
      </c>
      <c r="AW155" s="46" t="s">
        <v>1856</v>
      </c>
      <c r="AX155" s="46" t="s">
        <v>28</v>
      </c>
      <c r="AY155" s="46"/>
      <c r="AZ155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</row>
    <row r="156" spans="1:75" ht="75" x14ac:dyDescent="0.25">
      <c r="A156" s="47" t="s">
        <v>1884</v>
      </c>
      <c r="B156" s="45" t="s">
        <v>305</v>
      </c>
      <c r="C156" s="45" t="s">
        <v>1904</v>
      </c>
      <c r="D156" s="46" t="s">
        <v>6</v>
      </c>
      <c r="E156" s="25" t="s">
        <v>2</v>
      </c>
      <c r="F156" s="48" t="s">
        <v>32</v>
      </c>
      <c r="G156" s="62" t="s">
        <v>2108</v>
      </c>
      <c r="H156" s="63" t="s">
        <v>1858</v>
      </c>
      <c r="I156" s="46" t="s">
        <v>194</v>
      </c>
      <c r="J156" s="46" t="s">
        <v>1064</v>
      </c>
      <c r="K156" s="46" t="s">
        <v>626</v>
      </c>
      <c r="L156" s="46" t="s">
        <v>626</v>
      </c>
      <c r="M156" s="46" t="s">
        <v>4339</v>
      </c>
      <c r="N156" s="46" t="s">
        <v>626</v>
      </c>
      <c r="O156" s="46" t="s">
        <v>626</v>
      </c>
      <c r="P156" s="46" t="s">
        <v>4191</v>
      </c>
      <c r="Q156" s="46" t="s">
        <v>194</v>
      </c>
      <c r="R156" s="46" t="s">
        <v>194</v>
      </c>
      <c r="S156" s="46" t="s">
        <v>194</v>
      </c>
      <c r="T156" s="46" t="s">
        <v>4191</v>
      </c>
      <c r="U156" s="46" t="s">
        <v>2890</v>
      </c>
      <c r="V156" s="46" t="s">
        <v>1064</v>
      </c>
      <c r="W156" s="46" t="s">
        <v>1064</v>
      </c>
      <c r="X156" s="46"/>
      <c r="Y156" s="46"/>
      <c r="Z156" s="46"/>
      <c r="AA156" s="46"/>
      <c r="AB156" s="46"/>
      <c r="AC156" s="46" t="s">
        <v>1064</v>
      </c>
      <c r="AD156" s="46"/>
      <c r="AE156" s="46"/>
      <c r="AF156" s="46"/>
      <c r="AG156" s="46"/>
      <c r="AH156" s="46"/>
      <c r="AI156" s="46"/>
      <c r="AJ156" s="46"/>
      <c r="AK156" s="46"/>
      <c r="AL156" s="46" t="s">
        <v>1064</v>
      </c>
      <c r="AM156" s="46"/>
      <c r="AN156" s="46"/>
      <c r="AO156" s="46"/>
      <c r="AP156" s="46" t="s">
        <v>1064</v>
      </c>
      <c r="AQ156" s="46"/>
      <c r="AR156" s="46"/>
      <c r="AS156" s="46" t="s">
        <v>584</v>
      </c>
      <c r="AT156" s="46" t="s">
        <v>2</v>
      </c>
      <c r="AU156" s="46" t="s">
        <v>4191</v>
      </c>
      <c r="AV156" s="46" t="s">
        <v>1884</v>
      </c>
      <c r="AW156" s="46" t="s">
        <v>1858</v>
      </c>
      <c r="AX156" s="46" t="s">
        <v>34</v>
      </c>
      <c r="AY156" s="46"/>
      <c r="AZ15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</row>
    <row r="157" spans="1:75" ht="75" x14ac:dyDescent="0.25">
      <c r="A157" s="47" t="s">
        <v>1886</v>
      </c>
      <c r="B157" s="45" t="s">
        <v>305</v>
      </c>
      <c r="C157" s="45" t="s">
        <v>1905</v>
      </c>
      <c r="D157" s="46" t="s">
        <v>6</v>
      </c>
      <c r="E157" s="25" t="s">
        <v>2</v>
      </c>
      <c r="F157" s="48" t="s">
        <v>32</v>
      </c>
      <c r="G157" s="62" t="s">
        <v>2109</v>
      </c>
      <c r="H157" s="63" t="s">
        <v>1860</v>
      </c>
      <c r="I157" s="46" t="s">
        <v>194</v>
      </c>
      <c r="J157" s="46" t="s">
        <v>1064</v>
      </c>
      <c r="K157" s="46" t="s">
        <v>626</v>
      </c>
      <c r="L157" s="46" t="s">
        <v>626</v>
      </c>
      <c r="M157" s="46" t="s">
        <v>4339</v>
      </c>
      <c r="N157" s="46" t="s">
        <v>626</v>
      </c>
      <c r="O157" s="46" t="s">
        <v>626</v>
      </c>
      <c r="P157" s="46" t="s">
        <v>4191</v>
      </c>
      <c r="Q157" s="46" t="s">
        <v>194</v>
      </c>
      <c r="R157" s="46" t="s">
        <v>194</v>
      </c>
      <c r="S157" s="46" t="s">
        <v>194</v>
      </c>
      <c r="T157" s="46" t="s">
        <v>4191</v>
      </c>
      <c r="U157" s="46" t="s">
        <v>2890</v>
      </c>
      <c r="V157" s="46" t="s">
        <v>1064</v>
      </c>
      <c r="W157" s="46" t="s">
        <v>1064</v>
      </c>
      <c r="X157" s="46"/>
      <c r="Y157" s="46"/>
      <c r="Z157" s="46"/>
      <c r="AA157" s="46"/>
      <c r="AB157" s="46"/>
      <c r="AC157" s="46" t="s">
        <v>1064</v>
      </c>
      <c r="AD157" s="46"/>
      <c r="AE157" s="46"/>
      <c r="AF157" s="46"/>
      <c r="AG157" s="46"/>
      <c r="AH157" s="46"/>
      <c r="AI157" s="46"/>
      <c r="AJ157" s="46"/>
      <c r="AK157" s="46"/>
      <c r="AL157" s="46" t="s">
        <v>1064</v>
      </c>
      <c r="AM157" s="46"/>
      <c r="AN157" s="46"/>
      <c r="AO157" s="46"/>
      <c r="AP157" s="46" t="s">
        <v>1064</v>
      </c>
      <c r="AQ157" s="46"/>
      <c r="AR157" s="46"/>
      <c r="AS157" s="46" t="s">
        <v>584</v>
      </c>
      <c r="AT157" s="46" t="s">
        <v>2</v>
      </c>
      <c r="AU157" s="46" t="s">
        <v>4191</v>
      </c>
      <c r="AV157" s="46" t="s">
        <v>1886</v>
      </c>
      <c r="AW157" s="46" t="s">
        <v>1860</v>
      </c>
      <c r="AX157" s="46" t="s">
        <v>34</v>
      </c>
      <c r="AY157" s="46"/>
      <c r="AZ157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</row>
    <row r="158" spans="1:75" ht="75" x14ac:dyDescent="0.25">
      <c r="A158" s="47" t="s">
        <v>1888</v>
      </c>
      <c r="B158" s="45" t="s">
        <v>305</v>
      </c>
      <c r="C158" s="45" t="s">
        <v>1875</v>
      </c>
      <c r="D158" s="46" t="s">
        <v>6</v>
      </c>
      <c r="E158" s="25" t="s">
        <v>2</v>
      </c>
      <c r="F158" s="48" t="s">
        <v>32</v>
      </c>
      <c r="G158" s="62" t="s">
        <v>2110</v>
      </c>
      <c r="H158" s="63" t="s">
        <v>1862</v>
      </c>
      <c r="I158" s="46" t="s">
        <v>194</v>
      </c>
      <c r="J158" s="46" t="s">
        <v>1064</v>
      </c>
      <c r="K158" s="46" t="s">
        <v>626</v>
      </c>
      <c r="L158" s="46" t="s">
        <v>626</v>
      </c>
      <c r="M158" s="46" t="s">
        <v>4339</v>
      </c>
      <c r="N158" s="46" t="s">
        <v>626</v>
      </c>
      <c r="O158" s="46" t="s">
        <v>626</v>
      </c>
      <c r="P158" s="46" t="s">
        <v>4191</v>
      </c>
      <c r="Q158" s="46" t="s">
        <v>194</v>
      </c>
      <c r="R158" s="46" t="s">
        <v>194</v>
      </c>
      <c r="S158" s="46" t="s">
        <v>194</v>
      </c>
      <c r="T158" s="46" t="s">
        <v>4191</v>
      </c>
      <c r="U158" s="46" t="s">
        <v>2890</v>
      </c>
      <c r="V158" s="46" t="s">
        <v>1064</v>
      </c>
      <c r="W158" s="46" t="s">
        <v>1064</v>
      </c>
      <c r="X158" s="46"/>
      <c r="Y158" s="46"/>
      <c r="Z158" s="46"/>
      <c r="AA158" s="46"/>
      <c r="AB158" s="46"/>
      <c r="AC158" s="46" t="s">
        <v>1064</v>
      </c>
      <c r="AD158" s="46"/>
      <c r="AE158" s="46"/>
      <c r="AF158" s="46"/>
      <c r="AG158" s="46"/>
      <c r="AH158" s="46"/>
      <c r="AI158" s="46"/>
      <c r="AJ158" s="46"/>
      <c r="AK158" s="46"/>
      <c r="AL158" s="46" t="s">
        <v>1064</v>
      </c>
      <c r="AM158" s="46"/>
      <c r="AN158" s="46"/>
      <c r="AO158" s="46"/>
      <c r="AP158" s="46" t="s">
        <v>1064</v>
      </c>
      <c r="AQ158" s="46"/>
      <c r="AR158" s="46"/>
      <c r="AS158" s="46" t="s">
        <v>584</v>
      </c>
      <c r="AT158" s="46" t="s">
        <v>2</v>
      </c>
      <c r="AU158" s="46" t="s">
        <v>4191</v>
      </c>
      <c r="AV158" s="46" t="s">
        <v>1888</v>
      </c>
      <c r="AW158" s="46" t="s">
        <v>1862</v>
      </c>
      <c r="AX158" s="46" t="s">
        <v>34</v>
      </c>
      <c r="AY158" s="46"/>
      <c r="AZ158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</row>
    <row r="159" spans="1:75" ht="75" x14ac:dyDescent="0.25">
      <c r="A159" s="47" t="s">
        <v>1890</v>
      </c>
      <c r="B159" s="45" t="s">
        <v>305</v>
      </c>
      <c r="C159" s="45" t="s">
        <v>1876</v>
      </c>
      <c r="D159" s="46" t="s">
        <v>6</v>
      </c>
      <c r="E159" s="25" t="s">
        <v>2</v>
      </c>
      <c r="F159" s="48" t="s">
        <v>32</v>
      </c>
      <c r="G159" s="62" t="s">
        <v>2111</v>
      </c>
      <c r="H159" s="63" t="s">
        <v>1864</v>
      </c>
      <c r="I159" s="46" t="s">
        <v>194</v>
      </c>
      <c r="J159" s="46" t="s">
        <v>1064</v>
      </c>
      <c r="K159" s="46" t="s">
        <v>626</v>
      </c>
      <c r="L159" s="46" t="s">
        <v>626</v>
      </c>
      <c r="M159" s="46" t="s">
        <v>4339</v>
      </c>
      <c r="N159" s="46" t="s">
        <v>626</v>
      </c>
      <c r="O159" s="46" t="s">
        <v>626</v>
      </c>
      <c r="P159" s="46" t="s">
        <v>4191</v>
      </c>
      <c r="Q159" s="46" t="s">
        <v>194</v>
      </c>
      <c r="R159" s="46" t="s">
        <v>194</v>
      </c>
      <c r="S159" s="46" t="s">
        <v>194</v>
      </c>
      <c r="T159" s="46" t="s">
        <v>4191</v>
      </c>
      <c r="U159" s="46" t="s">
        <v>2890</v>
      </c>
      <c r="V159" s="46" t="s">
        <v>1064</v>
      </c>
      <c r="W159" s="46" t="s">
        <v>1064</v>
      </c>
      <c r="X159" s="46"/>
      <c r="Y159" s="46"/>
      <c r="Z159" s="46"/>
      <c r="AA159" s="46"/>
      <c r="AB159" s="46"/>
      <c r="AC159" s="46" t="s">
        <v>1064</v>
      </c>
      <c r="AD159" s="46"/>
      <c r="AE159" s="46"/>
      <c r="AF159" s="46"/>
      <c r="AG159" s="46"/>
      <c r="AH159" s="46"/>
      <c r="AI159" s="46"/>
      <c r="AJ159" s="46"/>
      <c r="AK159" s="46"/>
      <c r="AL159" s="46" t="s">
        <v>1064</v>
      </c>
      <c r="AM159" s="46"/>
      <c r="AN159" s="46"/>
      <c r="AO159" s="46"/>
      <c r="AP159" s="46" t="s">
        <v>1064</v>
      </c>
      <c r="AQ159" s="46"/>
      <c r="AR159" s="46"/>
      <c r="AS159" s="46" t="s">
        <v>584</v>
      </c>
      <c r="AT159" s="46" t="s">
        <v>2</v>
      </c>
      <c r="AU159" s="46" t="s">
        <v>4191</v>
      </c>
      <c r="AV159" s="46" t="s">
        <v>1890</v>
      </c>
      <c r="AW159" s="46" t="s">
        <v>1864</v>
      </c>
      <c r="AX159" s="46" t="s">
        <v>34</v>
      </c>
      <c r="AY159" s="46"/>
      <c r="AZ159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</row>
    <row r="160" spans="1:75" ht="75" x14ac:dyDescent="0.25">
      <c r="A160" s="47" t="s">
        <v>1892</v>
      </c>
      <c r="B160" s="45" t="s">
        <v>305</v>
      </c>
      <c r="C160" s="45" t="s">
        <v>1906</v>
      </c>
      <c r="D160" s="46" t="s">
        <v>6</v>
      </c>
      <c r="E160" s="25" t="s">
        <v>2</v>
      </c>
      <c r="F160" s="48" t="s">
        <v>32</v>
      </c>
      <c r="G160" s="62" t="s">
        <v>2112</v>
      </c>
      <c r="H160" s="63" t="s">
        <v>1866</v>
      </c>
      <c r="I160" s="46" t="s">
        <v>194</v>
      </c>
      <c r="J160" s="46" t="s">
        <v>1064</v>
      </c>
      <c r="K160" s="46" t="s">
        <v>626</v>
      </c>
      <c r="L160" s="46" t="s">
        <v>626</v>
      </c>
      <c r="M160" s="46" t="s">
        <v>4339</v>
      </c>
      <c r="N160" s="46" t="s">
        <v>626</v>
      </c>
      <c r="O160" s="46" t="s">
        <v>626</v>
      </c>
      <c r="P160" s="46" t="s">
        <v>4191</v>
      </c>
      <c r="Q160" s="46" t="s">
        <v>194</v>
      </c>
      <c r="R160" s="46" t="s">
        <v>194</v>
      </c>
      <c r="S160" s="46" t="s">
        <v>194</v>
      </c>
      <c r="T160" s="46" t="s">
        <v>4191</v>
      </c>
      <c r="U160" s="46" t="s">
        <v>2890</v>
      </c>
      <c r="V160" s="46" t="s">
        <v>1064</v>
      </c>
      <c r="W160" s="46" t="s">
        <v>1064</v>
      </c>
      <c r="X160" s="46"/>
      <c r="Y160" s="46"/>
      <c r="Z160" s="46"/>
      <c r="AA160" s="46"/>
      <c r="AB160" s="46"/>
      <c r="AC160" s="46" t="s">
        <v>1064</v>
      </c>
      <c r="AD160" s="46"/>
      <c r="AE160" s="46"/>
      <c r="AF160" s="46"/>
      <c r="AG160" s="46"/>
      <c r="AH160" s="46"/>
      <c r="AI160" s="46"/>
      <c r="AJ160" s="46"/>
      <c r="AK160" s="46"/>
      <c r="AL160" s="46" t="s">
        <v>1064</v>
      </c>
      <c r="AM160" s="46"/>
      <c r="AN160" s="46"/>
      <c r="AO160" s="46"/>
      <c r="AP160" s="46" t="s">
        <v>1064</v>
      </c>
      <c r="AQ160" s="46"/>
      <c r="AR160" s="46"/>
      <c r="AS160" s="46" t="s">
        <v>584</v>
      </c>
      <c r="AT160" s="46" t="s">
        <v>2</v>
      </c>
      <c r="AU160" s="46" t="s">
        <v>4191</v>
      </c>
      <c r="AV160" s="46" t="s">
        <v>1892</v>
      </c>
      <c r="AW160" s="46" t="s">
        <v>1866</v>
      </c>
      <c r="AX160" s="46" t="s">
        <v>34</v>
      </c>
      <c r="AY160" s="46"/>
      <c r="AZ160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</row>
    <row r="161" spans="1:75" ht="75" x14ac:dyDescent="0.25">
      <c r="A161" s="47" t="s">
        <v>1894</v>
      </c>
      <c r="B161" s="45" t="s">
        <v>305</v>
      </c>
      <c r="C161" s="45" t="s">
        <v>1877</v>
      </c>
      <c r="D161" s="46" t="s">
        <v>6</v>
      </c>
      <c r="E161" s="25" t="s">
        <v>2</v>
      </c>
      <c r="F161" s="48" t="s">
        <v>32</v>
      </c>
      <c r="G161" s="62" t="s">
        <v>2113</v>
      </c>
      <c r="H161" s="63" t="s">
        <v>1868</v>
      </c>
      <c r="I161" s="46" t="s">
        <v>194</v>
      </c>
      <c r="J161" s="46" t="s">
        <v>1064</v>
      </c>
      <c r="K161" s="46" t="s">
        <v>626</v>
      </c>
      <c r="L161" s="46" t="s">
        <v>626</v>
      </c>
      <c r="M161" s="46" t="s">
        <v>4339</v>
      </c>
      <c r="N161" s="46" t="s">
        <v>626</v>
      </c>
      <c r="O161" s="46" t="s">
        <v>626</v>
      </c>
      <c r="P161" s="46" t="s">
        <v>4191</v>
      </c>
      <c r="Q161" s="46" t="s">
        <v>194</v>
      </c>
      <c r="R161" s="46" t="s">
        <v>194</v>
      </c>
      <c r="S161" s="46" t="s">
        <v>194</v>
      </c>
      <c r="T161" s="46" t="s">
        <v>4191</v>
      </c>
      <c r="U161" s="46" t="s">
        <v>2890</v>
      </c>
      <c r="V161" s="46" t="s">
        <v>1064</v>
      </c>
      <c r="W161" s="46" t="s">
        <v>1064</v>
      </c>
      <c r="X161" s="46"/>
      <c r="Y161" s="46"/>
      <c r="Z161" s="46"/>
      <c r="AA161" s="46"/>
      <c r="AB161" s="46"/>
      <c r="AC161" s="46" t="s">
        <v>1064</v>
      </c>
      <c r="AD161" s="46"/>
      <c r="AE161" s="46"/>
      <c r="AF161" s="46"/>
      <c r="AG161" s="46"/>
      <c r="AH161" s="46"/>
      <c r="AI161" s="46"/>
      <c r="AJ161" s="46"/>
      <c r="AK161" s="46"/>
      <c r="AL161" s="46" t="s">
        <v>1064</v>
      </c>
      <c r="AM161" s="46"/>
      <c r="AN161" s="46"/>
      <c r="AO161" s="46"/>
      <c r="AP161" s="46" t="s">
        <v>1064</v>
      </c>
      <c r="AQ161" s="46"/>
      <c r="AR161" s="46"/>
      <c r="AS161" s="46" t="s">
        <v>584</v>
      </c>
      <c r="AT161" s="46" t="s">
        <v>2</v>
      </c>
      <c r="AU161" s="46" t="s">
        <v>4191</v>
      </c>
      <c r="AV161" s="46" t="s">
        <v>1894</v>
      </c>
      <c r="AW161" s="46" t="s">
        <v>1868</v>
      </c>
      <c r="AX161" s="46" t="s">
        <v>34</v>
      </c>
      <c r="AY161" s="46"/>
      <c r="AZ161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</row>
    <row r="162" spans="1:75" ht="75" x14ac:dyDescent="0.25">
      <c r="A162" s="47" t="s">
        <v>690</v>
      </c>
      <c r="B162" s="45" t="s">
        <v>305</v>
      </c>
      <c r="C162" s="45" t="s">
        <v>1838</v>
      </c>
      <c r="D162" s="46" t="s">
        <v>547</v>
      </c>
      <c r="E162" s="25" t="s">
        <v>2</v>
      </c>
      <c r="F162" s="48" t="s">
        <v>308</v>
      </c>
      <c r="G162" s="62" t="s">
        <v>2114</v>
      </c>
      <c r="H162" s="63" t="s">
        <v>645</v>
      </c>
      <c r="I162" s="46" t="s">
        <v>194</v>
      </c>
      <c r="J162" s="46" t="s">
        <v>1064</v>
      </c>
      <c r="K162" s="46" t="s">
        <v>626</v>
      </c>
      <c r="L162" s="46" t="s">
        <v>626</v>
      </c>
      <c r="M162" s="46" t="s">
        <v>4303</v>
      </c>
      <c r="N162" s="46" t="s">
        <v>4191</v>
      </c>
      <c r="O162" s="46" t="s">
        <v>626</v>
      </c>
      <c r="P162" s="46" t="s">
        <v>626</v>
      </c>
      <c r="Q162" s="46" t="s">
        <v>194</v>
      </c>
      <c r="R162" s="46" t="s">
        <v>194</v>
      </c>
      <c r="S162" s="46" t="s">
        <v>194</v>
      </c>
      <c r="T162" s="46" t="s">
        <v>626</v>
      </c>
      <c r="U162" s="46" t="s">
        <v>606</v>
      </c>
      <c r="V162" s="46" t="s">
        <v>1064</v>
      </c>
      <c r="W162" s="46" t="s">
        <v>1064</v>
      </c>
      <c r="X162" s="46"/>
      <c r="Y162" s="46"/>
      <c r="Z162" s="46"/>
      <c r="AA162" s="46"/>
      <c r="AB162" s="46"/>
      <c r="AC162" s="46" t="s">
        <v>1064</v>
      </c>
      <c r="AD162" s="46"/>
      <c r="AE162" s="46"/>
      <c r="AF162" s="46"/>
      <c r="AG162" s="46"/>
      <c r="AH162" s="46"/>
      <c r="AI162" s="46"/>
      <c r="AJ162" s="46"/>
      <c r="AK162" s="46"/>
      <c r="AL162" s="46" t="s">
        <v>1064</v>
      </c>
      <c r="AM162" s="46"/>
      <c r="AN162" s="46"/>
      <c r="AO162" s="46"/>
      <c r="AP162" s="46" t="s">
        <v>1064</v>
      </c>
      <c r="AQ162" s="46"/>
      <c r="AR162" s="46"/>
      <c r="AS162" s="46" t="s">
        <v>586</v>
      </c>
      <c r="AT162" s="46" t="s">
        <v>308</v>
      </c>
      <c r="AU162" s="46" t="s">
        <v>4191</v>
      </c>
      <c r="AV162" s="46" t="s">
        <v>690</v>
      </c>
      <c r="AW162" s="46" t="s">
        <v>645</v>
      </c>
      <c r="AX162" s="46" t="s">
        <v>34</v>
      </c>
      <c r="AY162" s="46"/>
      <c r="AZ162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</row>
    <row r="163" spans="1:75" ht="150" x14ac:dyDescent="0.25">
      <c r="A163" s="47" t="s">
        <v>691</v>
      </c>
      <c r="B163" s="45" t="s">
        <v>305</v>
      </c>
      <c r="C163" s="45" t="s">
        <v>1839</v>
      </c>
      <c r="D163" s="46" t="s">
        <v>548</v>
      </c>
      <c r="E163" s="25" t="s">
        <v>2</v>
      </c>
      <c r="F163" s="48" t="s">
        <v>549</v>
      </c>
      <c r="G163" s="62" t="s">
        <v>3332</v>
      </c>
      <c r="H163" s="63" t="s">
        <v>645</v>
      </c>
      <c r="I163" s="46" t="s">
        <v>4253</v>
      </c>
      <c r="J163" s="46" t="s">
        <v>1064</v>
      </c>
      <c r="K163" s="46" t="s">
        <v>626</v>
      </c>
      <c r="L163" s="46" t="s">
        <v>626</v>
      </c>
      <c r="M163" s="46" t="s">
        <v>4311</v>
      </c>
      <c r="N163" s="46" t="s">
        <v>4191</v>
      </c>
      <c r="O163" s="46" t="s">
        <v>626</v>
      </c>
      <c r="P163" s="46" t="s">
        <v>626</v>
      </c>
      <c r="Q163" s="46" t="s">
        <v>194</v>
      </c>
      <c r="R163" s="46" t="s">
        <v>4354</v>
      </c>
      <c r="S163" s="46" t="s">
        <v>4355</v>
      </c>
      <c r="T163" s="46" t="s">
        <v>4191</v>
      </c>
      <c r="U163" s="46" t="s">
        <v>606</v>
      </c>
      <c r="V163" s="46" t="s">
        <v>1064</v>
      </c>
      <c r="W163" s="46" t="s">
        <v>1064</v>
      </c>
      <c r="X163" s="46"/>
      <c r="Y163" s="46"/>
      <c r="Z163" s="46"/>
      <c r="AA163" s="46"/>
      <c r="AB163" s="46"/>
      <c r="AC163" s="46" t="s">
        <v>1064</v>
      </c>
      <c r="AD163" s="46"/>
      <c r="AE163" s="46"/>
      <c r="AF163" s="46"/>
      <c r="AG163" s="46"/>
      <c r="AH163" s="46"/>
      <c r="AI163" s="46"/>
      <c r="AJ163" s="46"/>
      <c r="AK163" s="46"/>
      <c r="AL163" s="46" t="s">
        <v>1064</v>
      </c>
      <c r="AM163" s="46"/>
      <c r="AN163" s="46"/>
      <c r="AO163" s="46"/>
      <c r="AP163" s="46" t="s">
        <v>1064</v>
      </c>
      <c r="AQ163" s="46"/>
      <c r="AR163" s="46"/>
      <c r="AS163" s="46" t="s">
        <v>583</v>
      </c>
      <c r="AT163" s="46" t="s">
        <v>2</v>
      </c>
      <c r="AU163" s="46" t="s">
        <v>4191</v>
      </c>
      <c r="AV163" s="46" t="s">
        <v>691</v>
      </c>
      <c r="AW163" s="46" t="s">
        <v>645</v>
      </c>
      <c r="AX163" s="46" t="s">
        <v>34</v>
      </c>
      <c r="AY163" s="46"/>
      <c r="AZ163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</row>
    <row r="164" spans="1:75" ht="150" x14ac:dyDescent="0.25">
      <c r="A164" s="47" t="s">
        <v>657</v>
      </c>
      <c r="B164" s="45" t="s">
        <v>305</v>
      </c>
      <c r="C164" s="45" t="s">
        <v>1840</v>
      </c>
      <c r="D164" s="46" t="s">
        <v>550</v>
      </c>
      <c r="E164" s="25" t="s">
        <v>2</v>
      </c>
      <c r="F164" s="48" t="s">
        <v>549</v>
      </c>
      <c r="G164" s="62" t="s">
        <v>2115</v>
      </c>
      <c r="H164" s="63" t="s">
        <v>646</v>
      </c>
      <c r="I164" s="46" t="s">
        <v>4253</v>
      </c>
      <c r="J164" s="46" t="s">
        <v>1064</v>
      </c>
      <c r="K164" s="46" t="s">
        <v>626</v>
      </c>
      <c r="L164" s="46" t="s">
        <v>4191</v>
      </c>
      <c r="M164" s="46" t="s">
        <v>4311</v>
      </c>
      <c r="N164" s="46" t="s">
        <v>4191</v>
      </c>
      <c r="O164" s="46" t="s">
        <v>626</v>
      </c>
      <c r="P164" s="46" t="s">
        <v>626</v>
      </c>
      <c r="Q164" s="46" t="s">
        <v>194</v>
      </c>
      <c r="R164" s="46" t="s">
        <v>4356</v>
      </c>
      <c r="S164" s="46" t="s">
        <v>4357</v>
      </c>
      <c r="T164" s="46" t="s">
        <v>4191</v>
      </c>
      <c r="U164" s="46" t="s">
        <v>606</v>
      </c>
      <c r="V164" s="46" t="s">
        <v>1064</v>
      </c>
      <c r="W164" s="46" t="s">
        <v>1064</v>
      </c>
      <c r="X164" s="46"/>
      <c r="Y164" s="46"/>
      <c r="Z164" s="46"/>
      <c r="AA164" s="46"/>
      <c r="AB164" s="46"/>
      <c r="AC164" s="46" t="s">
        <v>1064</v>
      </c>
      <c r="AD164" s="46"/>
      <c r="AE164" s="46"/>
      <c r="AF164" s="46"/>
      <c r="AG164" s="46"/>
      <c r="AH164" s="46"/>
      <c r="AI164" s="46"/>
      <c r="AJ164" s="46"/>
      <c r="AK164" s="46"/>
      <c r="AL164" s="46" t="s">
        <v>1064</v>
      </c>
      <c r="AM164" s="46"/>
      <c r="AN164" s="46"/>
      <c r="AO164" s="46"/>
      <c r="AP164" s="46" t="s">
        <v>1064</v>
      </c>
      <c r="AQ164" s="46"/>
      <c r="AR164" s="46"/>
      <c r="AS164" s="46" t="s">
        <v>586</v>
      </c>
      <c r="AT164" s="46" t="s">
        <v>2</v>
      </c>
      <c r="AU164" s="46" t="s">
        <v>4191</v>
      </c>
      <c r="AV164" s="46" t="s">
        <v>657</v>
      </c>
      <c r="AW164" s="46" t="s">
        <v>646</v>
      </c>
      <c r="AX164" s="46" t="s">
        <v>28</v>
      </c>
      <c r="AY164" s="46"/>
      <c r="AZ164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</row>
    <row r="165" spans="1:75" ht="75" x14ac:dyDescent="0.25">
      <c r="A165" s="47" t="s">
        <v>1353</v>
      </c>
      <c r="B165" s="45" t="s">
        <v>305</v>
      </c>
      <c r="C165" s="45" t="s">
        <v>1450</v>
      </c>
      <c r="D165" s="46" t="s">
        <v>1451</v>
      </c>
      <c r="E165" s="25" t="s">
        <v>2</v>
      </c>
      <c r="F165" s="48" t="s">
        <v>308</v>
      </c>
      <c r="G165" s="62" t="s">
        <v>2116</v>
      </c>
      <c r="H165" s="63" t="s">
        <v>1352</v>
      </c>
      <c r="I165" s="46" t="s">
        <v>194</v>
      </c>
      <c r="J165" s="46" t="s">
        <v>1064</v>
      </c>
      <c r="K165" s="46" t="s">
        <v>626</v>
      </c>
      <c r="L165" s="46" t="s">
        <v>626</v>
      </c>
      <c r="M165" s="46" t="s">
        <v>4358</v>
      </c>
      <c r="N165" s="46" t="s">
        <v>4191</v>
      </c>
      <c r="O165" s="46" t="s">
        <v>626</v>
      </c>
      <c r="P165" s="46" t="s">
        <v>626</v>
      </c>
      <c r="Q165" s="46" t="s">
        <v>194</v>
      </c>
      <c r="R165" s="46" t="s">
        <v>194</v>
      </c>
      <c r="S165" s="46" t="s">
        <v>194</v>
      </c>
      <c r="T165" s="46" t="s">
        <v>626</v>
      </c>
      <c r="U165" s="46" t="s">
        <v>606</v>
      </c>
      <c r="V165" s="46" t="s">
        <v>1064</v>
      </c>
      <c r="W165" s="46" t="s">
        <v>1064</v>
      </c>
      <c r="X165" s="46"/>
      <c r="Y165" s="46"/>
      <c r="Z165" s="46"/>
      <c r="AA165" s="46"/>
      <c r="AB165" s="46"/>
      <c r="AC165" s="46" t="s">
        <v>1064</v>
      </c>
      <c r="AD165" s="46"/>
      <c r="AE165" s="46"/>
      <c r="AF165" s="46"/>
      <c r="AG165" s="46"/>
      <c r="AH165" s="46"/>
      <c r="AI165" s="46"/>
      <c r="AJ165" s="46"/>
      <c r="AK165" s="46"/>
      <c r="AL165" s="46" t="s">
        <v>1064</v>
      </c>
      <c r="AM165" s="46"/>
      <c r="AN165" s="46"/>
      <c r="AO165" s="46"/>
      <c r="AP165" s="46" t="s">
        <v>1064</v>
      </c>
      <c r="AQ165" s="46"/>
      <c r="AR165" s="46"/>
      <c r="AS165" s="46" t="s">
        <v>586</v>
      </c>
      <c r="AT165" s="46" t="s">
        <v>308</v>
      </c>
      <c r="AU165" s="46" t="s">
        <v>4191</v>
      </c>
      <c r="AV165" s="46" t="s">
        <v>1353</v>
      </c>
      <c r="AW165" s="46" t="s">
        <v>1352</v>
      </c>
      <c r="AX165" s="46" t="s">
        <v>34</v>
      </c>
      <c r="AY165" s="46"/>
      <c r="AZ165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</row>
    <row r="166" spans="1:75" ht="135" x14ac:dyDescent="0.25">
      <c r="A166" s="47" t="s">
        <v>1356</v>
      </c>
      <c r="B166" s="45" t="s">
        <v>305</v>
      </c>
      <c r="C166" s="45" t="s">
        <v>1452</v>
      </c>
      <c r="D166" s="46" t="s">
        <v>1453</v>
      </c>
      <c r="E166" s="25" t="s">
        <v>2</v>
      </c>
      <c r="F166" s="48" t="s">
        <v>549</v>
      </c>
      <c r="G166" s="62" t="s">
        <v>3333</v>
      </c>
      <c r="H166" s="63" t="s">
        <v>1352</v>
      </c>
      <c r="I166" s="46" t="s">
        <v>194</v>
      </c>
      <c r="J166" s="46" t="s">
        <v>1064</v>
      </c>
      <c r="K166" s="46" t="s">
        <v>626</v>
      </c>
      <c r="L166" s="46" t="s">
        <v>626</v>
      </c>
      <c r="M166" s="46" t="s">
        <v>4359</v>
      </c>
      <c r="N166" s="46" t="s">
        <v>4191</v>
      </c>
      <c r="O166" s="46" t="s">
        <v>626</v>
      </c>
      <c r="P166" s="46" t="s">
        <v>626</v>
      </c>
      <c r="Q166" s="46" t="s">
        <v>194</v>
      </c>
      <c r="R166" s="46" t="s">
        <v>4360</v>
      </c>
      <c r="S166" s="46" t="s">
        <v>4361</v>
      </c>
      <c r="T166" s="46" t="s">
        <v>626</v>
      </c>
      <c r="U166" s="46" t="s">
        <v>606</v>
      </c>
      <c r="V166" s="46" t="s">
        <v>1064</v>
      </c>
      <c r="W166" s="46" t="s">
        <v>1064</v>
      </c>
      <c r="X166" s="46"/>
      <c r="Y166" s="46"/>
      <c r="Z166" s="46"/>
      <c r="AA166" s="46"/>
      <c r="AB166" s="46"/>
      <c r="AC166" s="46" t="s">
        <v>1064</v>
      </c>
      <c r="AD166" s="46"/>
      <c r="AE166" s="46"/>
      <c r="AF166" s="46"/>
      <c r="AG166" s="46"/>
      <c r="AH166" s="46"/>
      <c r="AI166" s="46"/>
      <c r="AJ166" s="46"/>
      <c r="AK166" s="46"/>
      <c r="AL166" s="46" t="s">
        <v>1064</v>
      </c>
      <c r="AM166" s="46"/>
      <c r="AN166" s="46"/>
      <c r="AO166" s="46"/>
      <c r="AP166" s="46" t="s">
        <v>1064</v>
      </c>
      <c r="AQ166" s="46"/>
      <c r="AR166" s="46"/>
      <c r="AS166" s="46" t="s">
        <v>583</v>
      </c>
      <c r="AT166" s="46" t="s">
        <v>2</v>
      </c>
      <c r="AU166" s="46" t="s">
        <v>4191</v>
      </c>
      <c r="AV166" s="46" t="s">
        <v>1356</v>
      </c>
      <c r="AW166" s="46" t="s">
        <v>1352</v>
      </c>
      <c r="AX166" s="46" t="s">
        <v>34</v>
      </c>
      <c r="AY166" s="46"/>
      <c r="AZ16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</row>
    <row r="167" spans="1:75" ht="75" x14ac:dyDescent="0.25">
      <c r="A167" s="47" t="s">
        <v>1360</v>
      </c>
      <c r="B167" s="45" t="s">
        <v>305</v>
      </c>
      <c r="C167" s="45" t="s">
        <v>1454</v>
      </c>
      <c r="D167" s="46" t="s">
        <v>1455</v>
      </c>
      <c r="E167" s="25" t="s">
        <v>2</v>
      </c>
      <c r="F167" s="48" t="s">
        <v>314</v>
      </c>
      <c r="G167" s="62" t="s">
        <v>4481</v>
      </c>
      <c r="H167" s="63" t="s">
        <v>1359</v>
      </c>
      <c r="I167" s="46" t="s">
        <v>194</v>
      </c>
      <c r="J167" s="46" t="s">
        <v>1064</v>
      </c>
      <c r="K167" s="46" t="s">
        <v>626</v>
      </c>
      <c r="L167" s="46" t="s">
        <v>626</v>
      </c>
      <c r="M167" s="46" t="s">
        <v>4367</v>
      </c>
      <c r="N167" s="46" t="s">
        <v>4191</v>
      </c>
      <c r="O167" s="46" t="s">
        <v>626</v>
      </c>
      <c r="P167" s="46" t="s">
        <v>626</v>
      </c>
      <c r="Q167" s="46" t="s">
        <v>194</v>
      </c>
      <c r="R167" s="46" t="s">
        <v>194</v>
      </c>
      <c r="S167" s="46" t="s">
        <v>194</v>
      </c>
      <c r="T167" s="46" t="s">
        <v>626</v>
      </c>
      <c r="U167" s="46" t="s">
        <v>606</v>
      </c>
      <c r="V167" s="46" t="s">
        <v>1064</v>
      </c>
      <c r="W167" s="46" t="s">
        <v>1064</v>
      </c>
      <c r="X167" s="46"/>
      <c r="Y167" s="46"/>
      <c r="Z167" s="46"/>
      <c r="AA167" s="46"/>
      <c r="AB167" s="46"/>
      <c r="AC167" s="46" t="s">
        <v>1064</v>
      </c>
      <c r="AD167" s="46"/>
      <c r="AE167" s="46"/>
      <c r="AF167" s="46"/>
      <c r="AG167" s="46"/>
      <c r="AH167" s="46"/>
      <c r="AI167" s="46"/>
      <c r="AJ167" s="46"/>
      <c r="AK167" s="46"/>
      <c r="AL167" s="46" t="s">
        <v>1064</v>
      </c>
      <c r="AM167" s="46"/>
      <c r="AN167" s="46"/>
      <c r="AO167" s="46"/>
      <c r="AP167" s="46" t="s">
        <v>1064</v>
      </c>
      <c r="AQ167" s="46"/>
      <c r="AR167" s="46"/>
      <c r="AS167" s="46" t="s">
        <v>586</v>
      </c>
      <c r="AT167" s="46" t="s">
        <v>308</v>
      </c>
      <c r="AU167" s="46" t="s">
        <v>4191</v>
      </c>
      <c r="AV167" s="46" t="s">
        <v>1360</v>
      </c>
      <c r="AW167" s="46" t="s">
        <v>1359</v>
      </c>
      <c r="AX167" s="46" t="s">
        <v>34</v>
      </c>
      <c r="AY167" s="46"/>
      <c r="AZ167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</row>
    <row r="168" spans="1:75" ht="135" x14ac:dyDescent="0.25">
      <c r="A168" s="47" t="s">
        <v>1363</v>
      </c>
      <c r="B168" s="45" t="s">
        <v>305</v>
      </c>
      <c r="C168" s="45" t="s">
        <v>1456</v>
      </c>
      <c r="D168" s="46" t="s">
        <v>1457</v>
      </c>
      <c r="E168" s="25" t="s">
        <v>2</v>
      </c>
      <c r="F168" s="48" t="s">
        <v>317</v>
      </c>
      <c r="G168" s="62" t="s">
        <v>3334</v>
      </c>
      <c r="H168" s="63" t="s">
        <v>1359</v>
      </c>
      <c r="I168" s="46" t="s">
        <v>194</v>
      </c>
      <c r="J168" s="46" t="s">
        <v>1064</v>
      </c>
      <c r="K168" s="46" t="s">
        <v>626</v>
      </c>
      <c r="L168" s="46" t="s">
        <v>626</v>
      </c>
      <c r="M168" s="46" t="s">
        <v>4362</v>
      </c>
      <c r="N168" s="46" t="s">
        <v>4191</v>
      </c>
      <c r="O168" s="46" t="s">
        <v>626</v>
      </c>
      <c r="P168" s="46" t="s">
        <v>626</v>
      </c>
      <c r="Q168" s="46" t="s">
        <v>194</v>
      </c>
      <c r="R168" s="46" t="s">
        <v>4363</v>
      </c>
      <c r="S168" s="46" t="s">
        <v>4364</v>
      </c>
      <c r="T168" s="46" t="s">
        <v>626</v>
      </c>
      <c r="U168" s="46" t="s">
        <v>606</v>
      </c>
      <c r="V168" s="46" t="s">
        <v>1064</v>
      </c>
      <c r="W168" s="46" t="s">
        <v>1064</v>
      </c>
      <c r="X168" s="46"/>
      <c r="Y168" s="46"/>
      <c r="Z168" s="46"/>
      <c r="AA168" s="46"/>
      <c r="AB168" s="46"/>
      <c r="AC168" s="46" t="s">
        <v>1064</v>
      </c>
      <c r="AD168" s="46"/>
      <c r="AE168" s="46"/>
      <c r="AF168" s="46"/>
      <c r="AG168" s="46"/>
      <c r="AH168" s="46"/>
      <c r="AI168" s="46"/>
      <c r="AJ168" s="46"/>
      <c r="AK168" s="46"/>
      <c r="AL168" s="46" t="s">
        <v>1064</v>
      </c>
      <c r="AM168" s="46"/>
      <c r="AN168" s="46"/>
      <c r="AO168" s="46"/>
      <c r="AP168" s="46" t="s">
        <v>1064</v>
      </c>
      <c r="AQ168" s="46"/>
      <c r="AR168" s="46"/>
      <c r="AS168" s="46" t="s">
        <v>583</v>
      </c>
      <c r="AT168" s="46" t="s">
        <v>2</v>
      </c>
      <c r="AU168" s="46" t="s">
        <v>4191</v>
      </c>
      <c r="AV168" s="46" t="s">
        <v>1363</v>
      </c>
      <c r="AW168" s="46" t="s">
        <v>1359</v>
      </c>
      <c r="AX168" s="46" t="s">
        <v>34</v>
      </c>
      <c r="AY168" s="46"/>
      <c r="AZ168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</row>
    <row r="169" spans="1:75" ht="75" x14ac:dyDescent="0.25">
      <c r="A169" s="47" t="s">
        <v>1367</v>
      </c>
      <c r="B169" s="45" t="s">
        <v>305</v>
      </c>
      <c r="C169" s="45" t="s">
        <v>1458</v>
      </c>
      <c r="D169" s="46" t="s">
        <v>1459</v>
      </c>
      <c r="E169" s="25" t="s">
        <v>2</v>
      </c>
      <c r="F169" s="48" t="s">
        <v>317</v>
      </c>
      <c r="G169" s="62" t="s">
        <v>2117</v>
      </c>
      <c r="H169" s="63" t="s">
        <v>1366</v>
      </c>
      <c r="I169" s="46" t="s">
        <v>194</v>
      </c>
      <c r="J169" s="46" t="s">
        <v>1064</v>
      </c>
      <c r="K169" s="46" t="s">
        <v>626</v>
      </c>
      <c r="L169" s="46" t="s">
        <v>626</v>
      </c>
      <c r="M169" s="46" t="s">
        <v>4358</v>
      </c>
      <c r="N169" s="46" t="s">
        <v>4191</v>
      </c>
      <c r="O169" s="46" t="s">
        <v>626</v>
      </c>
      <c r="P169" s="46" t="s">
        <v>626</v>
      </c>
      <c r="Q169" s="46" t="s">
        <v>194</v>
      </c>
      <c r="R169" s="46" t="s">
        <v>194</v>
      </c>
      <c r="S169" s="46" t="s">
        <v>194</v>
      </c>
      <c r="T169" s="46" t="s">
        <v>626</v>
      </c>
      <c r="U169" s="46" t="s">
        <v>606</v>
      </c>
      <c r="V169" s="46" t="s">
        <v>1064</v>
      </c>
      <c r="W169" s="46" t="s">
        <v>1064</v>
      </c>
      <c r="X169" s="46"/>
      <c r="Y169" s="46"/>
      <c r="Z169" s="46"/>
      <c r="AA169" s="46"/>
      <c r="AB169" s="46"/>
      <c r="AC169" s="46" t="s">
        <v>1064</v>
      </c>
      <c r="AD169" s="46"/>
      <c r="AE169" s="46"/>
      <c r="AF169" s="46"/>
      <c r="AG169" s="46"/>
      <c r="AH169" s="46"/>
      <c r="AI169" s="46"/>
      <c r="AJ169" s="46"/>
      <c r="AK169" s="46"/>
      <c r="AL169" s="46" t="s">
        <v>1064</v>
      </c>
      <c r="AM169" s="46"/>
      <c r="AN169" s="46"/>
      <c r="AO169" s="46"/>
      <c r="AP169" s="46" t="s">
        <v>1064</v>
      </c>
      <c r="AQ169" s="46"/>
      <c r="AR169" s="46"/>
      <c r="AS169" s="46" t="s">
        <v>586</v>
      </c>
      <c r="AT169" s="46" t="s">
        <v>308</v>
      </c>
      <c r="AU169" s="46" t="s">
        <v>4191</v>
      </c>
      <c r="AV169" s="46" t="s">
        <v>1367</v>
      </c>
      <c r="AW169" s="46" t="s">
        <v>1366</v>
      </c>
      <c r="AX169" s="46" t="s">
        <v>34</v>
      </c>
      <c r="AY169" s="46"/>
      <c r="AZ169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</row>
    <row r="170" spans="1:75" ht="135" x14ac:dyDescent="0.25">
      <c r="A170" s="47" t="s">
        <v>1370</v>
      </c>
      <c r="B170" s="45" t="s">
        <v>305</v>
      </c>
      <c r="C170" s="45" t="s">
        <v>1460</v>
      </c>
      <c r="D170" s="46" t="s">
        <v>1461</v>
      </c>
      <c r="E170" s="25" t="s">
        <v>2</v>
      </c>
      <c r="F170" s="48" t="s">
        <v>36</v>
      </c>
      <c r="G170" s="62" t="s">
        <v>3335</v>
      </c>
      <c r="H170" s="63" t="s">
        <v>1366</v>
      </c>
      <c r="I170" s="46" t="s">
        <v>194</v>
      </c>
      <c r="J170" s="46" t="s">
        <v>1064</v>
      </c>
      <c r="K170" s="46" t="s">
        <v>626</v>
      </c>
      <c r="L170" s="46" t="s">
        <v>626</v>
      </c>
      <c r="M170" s="46" t="s">
        <v>4362</v>
      </c>
      <c r="N170" s="46" t="s">
        <v>4191</v>
      </c>
      <c r="O170" s="46" t="s">
        <v>626</v>
      </c>
      <c r="P170" s="46" t="s">
        <v>626</v>
      </c>
      <c r="Q170" s="46" t="s">
        <v>194</v>
      </c>
      <c r="R170" s="46" t="s">
        <v>4365</v>
      </c>
      <c r="S170" s="46" t="s">
        <v>4366</v>
      </c>
      <c r="T170" s="46" t="s">
        <v>626</v>
      </c>
      <c r="U170" s="46" t="s">
        <v>606</v>
      </c>
      <c r="V170" s="46" t="s">
        <v>1064</v>
      </c>
      <c r="W170" s="46" t="s">
        <v>1064</v>
      </c>
      <c r="X170" s="46"/>
      <c r="Y170" s="46"/>
      <c r="Z170" s="46"/>
      <c r="AA170" s="46"/>
      <c r="AB170" s="46"/>
      <c r="AC170" s="46" t="s">
        <v>1064</v>
      </c>
      <c r="AD170" s="46"/>
      <c r="AE170" s="46"/>
      <c r="AF170" s="46"/>
      <c r="AG170" s="46"/>
      <c r="AH170" s="46"/>
      <c r="AI170" s="46"/>
      <c r="AJ170" s="46"/>
      <c r="AK170" s="46"/>
      <c r="AL170" s="46" t="s">
        <v>1064</v>
      </c>
      <c r="AM170" s="46"/>
      <c r="AN170" s="46"/>
      <c r="AO170" s="46"/>
      <c r="AP170" s="46" t="s">
        <v>1064</v>
      </c>
      <c r="AQ170" s="46"/>
      <c r="AR170" s="46"/>
      <c r="AS170" s="46" t="s">
        <v>583</v>
      </c>
      <c r="AT170" s="46" t="s">
        <v>2</v>
      </c>
      <c r="AU170" s="46" t="s">
        <v>4191</v>
      </c>
      <c r="AV170" s="46" t="s">
        <v>1370</v>
      </c>
      <c r="AW170" s="46" t="s">
        <v>1366</v>
      </c>
      <c r="AX170" s="46" t="s">
        <v>34</v>
      </c>
      <c r="AY170" s="46"/>
      <c r="AZ170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</row>
    <row r="171" spans="1:75" ht="75" x14ac:dyDescent="0.25">
      <c r="A171" s="47" t="s">
        <v>1374</v>
      </c>
      <c r="B171" s="45" t="s">
        <v>305</v>
      </c>
      <c r="C171" s="45" t="s">
        <v>1462</v>
      </c>
      <c r="D171" s="46" t="s">
        <v>1463</v>
      </c>
      <c r="E171" s="25" t="s">
        <v>2</v>
      </c>
      <c r="F171" s="48" t="s">
        <v>317</v>
      </c>
      <c r="G171" s="62" t="s">
        <v>2118</v>
      </c>
      <c r="H171" s="63" t="s">
        <v>1373</v>
      </c>
      <c r="I171" s="46" t="s">
        <v>194</v>
      </c>
      <c r="J171" s="46" t="s">
        <v>1064</v>
      </c>
      <c r="K171" s="46" t="s">
        <v>626</v>
      </c>
      <c r="L171" s="46" t="s">
        <v>626</v>
      </c>
      <c r="M171" s="46" t="s">
        <v>4367</v>
      </c>
      <c r="N171" s="46" t="s">
        <v>4191</v>
      </c>
      <c r="O171" s="46" t="s">
        <v>626</v>
      </c>
      <c r="P171" s="46" t="s">
        <v>626</v>
      </c>
      <c r="Q171" s="46" t="s">
        <v>194</v>
      </c>
      <c r="R171" s="46" t="s">
        <v>194</v>
      </c>
      <c r="S171" s="46" t="s">
        <v>194</v>
      </c>
      <c r="T171" s="46" t="s">
        <v>626</v>
      </c>
      <c r="U171" s="46" t="s">
        <v>606</v>
      </c>
      <c r="V171" s="46" t="s">
        <v>1064</v>
      </c>
      <c r="W171" s="46" t="s">
        <v>1064</v>
      </c>
      <c r="X171" s="46"/>
      <c r="Y171" s="46"/>
      <c r="Z171" s="46"/>
      <c r="AA171" s="46"/>
      <c r="AB171" s="46"/>
      <c r="AC171" s="46" t="s">
        <v>1064</v>
      </c>
      <c r="AD171" s="46"/>
      <c r="AE171" s="46"/>
      <c r="AF171" s="46"/>
      <c r="AG171" s="46"/>
      <c r="AH171" s="46"/>
      <c r="AI171" s="46"/>
      <c r="AJ171" s="46"/>
      <c r="AK171" s="46"/>
      <c r="AL171" s="46" t="s">
        <v>1064</v>
      </c>
      <c r="AM171" s="46"/>
      <c r="AN171" s="46"/>
      <c r="AO171" s="46"/>
      <c r="AP171" s="46" t="s">
        <v>1064</v>
      </c>
      <c r="AQ171" s="46"/>
      <c r="AR171" s="46"/>
      <c r="AS171" s="46" t="s">
        <v>586</v>
      </c>
      <c r="AT171" s="46" t="s">
        <v>308</v>
      </c>
      <c r="AU171" s="46" t="s">
        <v>4191</v>
      </c>
      <c r="AV171" s="46" t="s">
        <v>1374</v>
      </c>
      <c r="AW171" s="46" t="s">
        <v>1373</v>
      </c>
      <c r="AX171" s="46" t="s">
        <v>34</v>
      </c>
      <c r="AY171" s="46"/>
      <c r="AZ171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</row>
    <row r="172" spans="1:75" ht="135" x14ac:dyDescent="0.25">
      <c r="A172" s="47" t="s">
        <v>1377</v>
      </c>
      <c r="B172" s="45" t="s">
        <v>305</v>
      </c>
      <c r="C172" s="45" t="s">
        <v>1464</v>
      </c>
      <c r="D172" s="46" t="s">
        <v>1465</v>
      </c>
      <c r="E172" s="25" t="s">
        <v>2</v>
      </c>
      <c r="F172" s="48" t="s">
        <v>36</v>
      </c>
      <c r="G172" s="62" t="s">
        <v>3336</v>
      </c>
      <c r="H172" s="63" t="s">
        <v>1373</v>
      </c>
      <c r="I172" s="46" t="s">
        <v>194</v>
      </c>
      <c r="J172" s="46" t="s">
        <v>1064</v>
      </c>
      <c r="K172" s="46" t="s">
        <v>626</v>
      </c>
      <c r="L172" s="46" t="s">
        <v>626</v>
      </c>
      <c r="M172" s="46" t="s">
        <v>4362</v>
      </c>
      <c r="N172" s="46" t="s">
        <v>4191</v>
      </c>
      <c r="O172" s="46" t="s">
        <v>626</v>
      </c>
      <c r="P172" s="46" t="s">
        <v>626</v>
      </c>
      <c r="Q172" s="46" t="s">
        <v>194</v>
      </c>
      <c r="R172" s="46" t="s">
        <v>4368</v>
      </c>
      <c r="S172" s="46" t="s">
        <v>4369</v>
      </c>
      <c r="T172" s="46" t="s">
        <v>626</v>
      </c>
      <c r="U172" s="46" t="s">
        <v>606</v>
      </c>
      <c r="V172" s="46" t="s">
        <v>1064</v>
      </c>
      <c r="W172" s="46" t="s">
        <v>1064</v>
      </c>
      <c r="X172" s="46"/>
      <c r="Y172" s="46"/>
      <c r="Z172" s="46"/>
      <c r="AA172" s="46"/>
      <c r="AB172" s="46"/>
      <c r="AC172" s="46" t="s">
        <v>1064</v>
      </c>
      <c r="AD172" s="46"/>
      <c r="AE172" s="46"/>
      <c r="AF172" s="46"/>
      <c r="AG172" s="46"/>
      <c r="AH172" s="46"/>
      <c r="AI172" s="46"/>
      <c r="AJ172" s="46"/>
      <c r="AK172" s="46"/>
      <c r="AL172" s="46" t="s">
        <v>1064</v>
      </c>
      <c r="AM172" s="46"/>
      <c r="AN172" s="46"/>
      <c r="AO172" s="46"/>
      <c r="AP172" s="46" t="s">
        <v>1064</v>
      </c>
      <c r="AQ172" s="46"/>
      <c r="AR172" s="46"/>
      <c r="AS172" s="46" t="s">
        <v>583</v>
      </c>
      <c r="AT172" s="46" t="s">
        <v>2</v>
      </c>
      <c r="AU172" s="46" t="s">
        <v>4191</v>
      </c>
      <c r="AV172" s="46" t="s">
        <v>1377</v>
      </c>
      <c r="AW172" s="46" t="s">
        <v>1373</v>
      </c>
      <c r="AX172" s="46" t="s">
        <v>34</v>
      </c>
      <c r="AY172" s="46"/>
      <c r="AZ172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</row>
    <row r="173" spans="1:75" ht="75" x14ac:dyDescent="0.25">
      <c r="A173" s="47" t="s">
        <v>1381</v>
      </c>
      <c r="B173" s="45" t="s">
        <v>305</v>
      </c>
      <c r="C173" s="45" t="s">
        <v>1466</v>
      </c>
      <c r="D173" s="46" t="s">
        <v>1467</v>
      </c>
      <c r="E173" s="25" t="s">
        <v>2</v>
      </c>
      <c r="F173" s="48" t="s">
        <v>317</v>
      </c>
      <c r="G173" s="62" t="s">
        <v>2119</v>
      </c>
      <c r="H173" s="63" t="s">
        <v>1380</v>
      </c>
      <c r="I173" s="46" t="s">
        <v>194</v>
      </c>
      <c r="J173" s="46" t="s">
        <v>1064</v>
      </c>
      <c r="K173" s="46" t="s">
        <v>626</v>
      </c>
      <c r="L173" s="46" t="s">
        <v>626</v>
      </c>
      <c r="M173" s="46" t="s">
        <v>4367</v>
      </c>
      <c r="N173" s="46" t="s">
        <v>4191</v>
      </c>
      <c r="O173" s="46" t="s">
        <v>626</v>
      </c>
      <c r="P173" s="46" t="s">
        <v>626</v>
      </c>
      <c r="Q173" s="46" t="s">
        <v>194</v>
      </c>
      <c r="R173" s="46" t="s">
        <v>194</v>
      </c>
      <c r="S173" s="46" t="s">
        <v>194</v>
      </c>
      <c r="T173" s="46" t="s">
        <v>626</v>
      </c>
      <c r="U173" s="46" t="s">
        <v>606</v>
      </c>
      <c r="V173" s="46" t="s">
        <v>1064</v>
      </c>
      <c r="W173" s="46" t="s">
        <v>1064</v>
      </c>
      <c r="X173" s="46"/>
      <c r="Y173" s="46"/>
      <c r="Z173" s="46"/>
      <c r="AA173" s="46"/>
      <c r="AB173" s="46"/>
      <c r="AC173" s="46" t="s">
        <v>1064</v>
      </c>
      <c r="AD173" s="46"/>
      <c r="AE173" s="46"/>
      <c r="AF173" s="46"/>
      <c r="AG173" s="46"/>
      <c r="AH173" s="46"/>
      <c r="AI173" s="46"/>
      <c r="AJ173" s="46"/>
      <c r="AK173" s="46"/>
      <c r="AL173" s="46" t="s">
        <v>1064</v>
      </c>
      <c r="AM173" s="46"/>
      <c r="AN173" s="46"/>
      <c r="AO173" s="46"/>
      <c r="AP173" s="46" t="s">
        <v>1064</v>
      </c>
      <c r="AQ173" s="46"/>
      <c r="AR173" s="46"/>
      <c r="AS173" s="46" t="s">
        <v>586</v>
      </c>
      <c r="AT173" s="46" t="s">
        <v>308</v>
      </c>
      <c r="AU173" s="46" t="s">
        <v>4191</v>
      </c>
      <c r="AV173" s="46" t="s">
        <v>1381</v>
      </c>
      <c r="AW173" s="46" t="s">
        <v>1380</v>
      </c>
      <c r="AX173" s="46" t="s">
        <v>34</v>
      </c>
      <c r="AY173" s="46"/>
      <c r="AZ173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</row>
    <row r="174" spans="1:75" ht="135" x14ac:dyDescent="0.25">
      <c r="A174" s="47" t="s">
        <v>1384</v>
      </c>
      <c r="B174" s="45" t="s">
        <v>305</v>
      </c>
      <c r="C174" s="45" t="s">
        <v>1468</v>
      </c>
      <c r="D174" s="46" t="s">
        <v>1469</v>
      </c>
      <c r="E174" s="25" t="s">
        <v>2</v>
      </c>
      <c r="F174" s="48" t="s">
        <v>36</v>
      </c>
      <c r="G174" s="62" t="s">
        <v>3337</v>
      </c>
      <c r="H174" s="63" t="s">
        <v>1380</v>
      </c>
      <c r="I174" s="46" t="s">
        <v>194</v>
      </c>
      <c r="J174" s="46" t="s">
        <v>1064</v>
      </c>
      <c r="K174" s="46" t="s">
        <v>626</v>
      </c>
      <c r="L174" s="46" t="s">
        <v>626</v>
      </c>
      <c r="M174" s="46" t="s">
        <v>4362</v>
      </c>
      <c r="N174" s="46" t="s">
        <v>4191</v>
      </c>
      <c r="O174" s="46" t="s">
        <v>626</v>
      </c>
      <c r="P174" s="46" t="s">
        <v>626</v>
      </c>
      <c r="Q174" s="46" t="s">
        <v>194</v>
      </c>
      <c r="R174" s="46" t="s">
        <v>4370</v>
      </c>
      <c r="S174" s="46" t="s">
        <v>4371</v>
      </c>
      <c r="T174" s="46" t="s">
        <v>626</v>
      </c>
      <c r="U174" s="46" t="s">
        <v>606</v>
      </c>
      <c r="V174" s="46" t="s">
        <v>1064</v>
      </c>
      <c r="W174" s="46" t="s">
        <v>1064</v>
      </c>
      <c r="X174" s="46"/>
      <c r="Y174" s="46"/>
      <c r="Z174" s="46"/>
      <c r="AA174" s="46"/>
      <c r="AB174" s="46"/>
      <c r="AC174" s="46" t="s">
        <v>1064</v>
      </c>
      <c r="AD174" s="46"/>
      <c r="AE174" s="46"/>
      <c r="AF174" s="46"/>
      <c r="AG174" s="46"/>
      <c r="AH174" s="46"/>
      <c r="AI174" s="46"/>
      <c r="AJ174" s="46"/>
      <c r="AK174" s="46"/>
      <c r="AL174" s="46" t="s">
        <v>1064</v>
      </c>
      <c r="AM174" s="46"/>
      <c r="AN174" s="46"/>
      <c r="AO174" s="46"/>
      <c r="AP174" s="46" t="s">
        <v>1064</v>
      </c>
      <c r="AQ174" s="46"/>
      <c r="AR174" s="46"/>
      <c r="AS174" s="46" t="s">
        <v>583</v>
      </c>
      <c r="AT174" s="46" t="s">
        <v>2</v>
      </c>
      <c r="AU174" s="46" t="s">
        <v>4191</v>
      </c>
      <c r="AV174" s="46" t="s">
        <v>1384</v>
      </c>
      <c r="AW174" s="46" t="s">
        <v>1380</v>
      </c>
      <c r="AX174" s="46" t="s">
        <v>34</v>
      </c>
      <c r="AY174" s="46"/>
      <c r="AZ174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</row>
    <row r="175" spans="1:75" ht="105" x14ac:dyDescent="0.25">
      <c r="A175" s="47" t="s">
        <v>1687</v>
      </c>
      <c r="B175" s="45" t="s">
        <v>305</v>
      </c>
      <c r="C175" s="45" t="s">
        <v>1435</v>
      </c>
      <c r="D175" s="46" t="s">
        <v>1707</v>
      </c>
      <c r="E175" s="25" t="s">
        <v>2</v>
      </c>
      <c r="F175" s="48" t="s">
        <v>32</v>
      </c>
      <c r="G175" s="62" t="s">
        <v>2120</v>
      </c>
      <c r="H175" s="63" t="s">
        <v>1675</v>
      </c>
      <c r="I175" s="46" t="s">
        <v>194</v>
      </c>
      <c r="J175" s="46" t="s">
        <v>1064</v>
      </c>
      <c r="K175" s="46" t="s">
        <v>626</v>
      </c>
      <c r="L175" s="46" t="s">
        <v>4191</v>
      </c>
      <c r="M175" s="46" t="s">
        <v>4339</v>
      </c>
      <c r="N175" s="46" t="s">
        <v>626</v>
      </c>
      <c r="O175" s="46" t="s">
        <v>626</v>
      </c>
      <c r="P175" s="46" t="s">
        <v>626</v>
      </c>
      <c r="Q175" s="46" t="s">
        <v>194</v>
      </c>
      <c r="R175" s="46" t="s">
        <v>4372</v>
      </c>
      <c r="S175" s="46" t="s">
        <v>4341</v>
      </c>
      <c r="T175" s="46" t="s">
        <v>4191</v>
      </c>
      <c r="U175" s="46" t="s">
        <v>606</v>
      </c>
      <c r="V175" s="46" t="s">
        <v>1064</v>
      </c>
      <c r="W175" s="46" t="s">
        <v>1064</v>
      </c>
      <c r="X175" s="46"/>
      <c r="Y175" s="46"/>
      <c r="Z175" s="46"/>
      <c r="AA175" s="46"/>
      <c r="AB175" s="46"/>
      <c r="AC175" s="46" t="s">
        <v>1064</v>
      </c>
      <c r="AD175" s="46"/>
      <c r="AE175" s="46"/>
      <c r="AF175" s="46"/>
      <c r="AG175" s="46"/>
      <c r="AH175" s="46"/>
      <c r="AI175" s="46"/>
      <c r="AJ175" s="46"/>
      <c r="AK175" s="46"/>
      <c r="AL175" s="46" t="s">
        <v>1064</v>
      </c>
      <c r="AM175" s="46"/>
      <c r="AN175" s="46"/>
      <c r="AO175" s="46"/>
      <c r="AP175" s="46" t="s">
        <v>1064</v>
      </c>
      <c r="AQ175" s="46"/>
      <c r="AR175" s="46"/>
      <c r="AS175" s="46" t="s">
        <v>583</v>
      </c>
      <c r="AT175" s="46" t="s">
        <v>2</v>
      </c>
      <c r="AU175" s="46" t="s">
        <v>4191</v>
      </c>
      <c r="AV175" s="46" t="s">
        <v>1687</v>
      </c>
      <c r="AW175" s="46" t="s">
        <v>1675</v>
      </c>
      <c r="AX175" s="46" t="s">
        <v>28</v>
      </c>
      <c r="AY175" s="46"/>
      <c r="AZ175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</row>
    <row r="176" spans="1:75" ht="105" x14ac:dyDescent="0.25">
      <c r="A176" s="47" t="s">
        <v>1689</v>
      </c>
      <c r="B176" s="45" t="s">
        <v>305</v>
      </c>
      <c r="C176" s="45" t="s">
        <v>1436</v>
      </c>
      <c r="D176" s="46" t="s">
        <v>1708</v>
      </c>
      <c r="E176" s="25" t="s">
        <v>2</v>
      </c>
      <c r="F176" s="48" t="s">
        <v>32</v>
      </c>
      <c r="G176" s="62" t="s">
        <v>2121</v>
      </c>
      <c r="H176" s="63" t="s">
        <v>1677</v>
      </c>
      <c r="I176" s="46" t="s">
        <v>194</v>
      </c>
      <c r="J176" s="46" t="s">
        <v>1064</v>
      </c>
      <c r="K176" s="46" t="s">
        <v>626</v>
      </c>
      <c r="L176" s="46" t="s">
        <v>4191</v>
      </c>
      <c r="M176" s="46" t="s">
        <v>4339</v>
      </c>
      <c r="N176" s="46" t="s">
        <v>626</v>
      </c>
      <c r="O176" s="46" t="s">
        <v>626</v>
      </c>
      <c r="P176" s="46" t="s">
        <v>626</v>
      </c>
      <c r="Q176" s="46" t="s">
        <v>194</v>
      </c>
      <c r="R176" s="46" t="s">
        <v>4373</v>
      </c>
      <c r="S176" s="46" t="s">
        <v>4343</v>
      </c>
      <c r="T176" s="46" t="s">
        <v>4191</v>
      </c>
      <c r="U176" s="46" t="s">
        <v>606</v>
      </c>
      <c r="V176" s="46" t="s">
        <v>1064</v>
      </c>
      <c r="W176" s="46" t="s">
        <v>1064</v>
      </c>
      <c r="X176" s="46"/>
      <c r="Y176" s="46"/>
      <c r="Z176" s="46"/>
      <c r="AA176" s="46"/>
      <c r="AB176" s="46"/>
      <c r="AC176" s="46" t="s">
        <v>1064</v>
      </c>
      <c r="AD176" s="46"/>
      <c r="AE176" s="46"/>
      <c r="AF176" s="46"/>
      <c r="AG176" s="46"/>
      <c r="AH176" s="46"/>
      <c r="AI176" s="46"/>
      <c r="AJ176" s="46"/>
      <c r="AK176" s="46"/>
      <c r="AL176" s="46" t="s">
        <v>1064</v>
      </c>
      <c r="AM176" s="46"/>
      <c r="AN176" s="46"/>
      <c r="AO176" s="46"/>
      <c r="AP176" s="46" t="s">
        <v>1064</v>
      </c>
      <c r="AQ176" s="46"/>
      <c r="AR176" s="46"/>
      <c r="AS176" s="46" t="s">
        <v>583</v>
      </c>
      <c r="AT176" s="46" t="s">
        <v>2</v>
      </c>
      <c r="AU176" s="46" t="s">
        <v>4191</v>
      </c>
      <c r="AV176" s="46" t="s">
        <v>1689</v>
      </c>
      <c r="AW176" s="46" t="s">
        <v>1677</v>
      </c>
      <c r="AX176" s="46" t="s">
        <v>28</v>
      </c>
      <c r="AY176" s="46"/>
      <c r="AZ17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</row>
    <row r="177" spans="1:75" ht="105" x14ac:dyDescent="0.25">
      <c r="A177" s="47" t="s">
        <v>1691</v>
      </c>
      <c r="B177" s="45" t="s">
        <v>305</v>
      </c>
      <c r="C177" s="45" t="s">
        <v>1437</v>
      </c>
      <c r="D177" s="46" t="s">
        <v>1709</v>
      </c>
      <c r="E177" s="25" t="s">
        <v>2</v>
      </c>
      <c r="F177" s="48" t="s">
        <v>32</v>
      </c>
      <c r="G177" s="62" t="s">
        <v>2122</v>
      </c>
      <c r="H177" s="63" t="s">
        <v>1679</v>
      </c>
      <c r="I177" s="46" t="s">
        <v>194</v>
      </c>
      <c r="J177" s="46" t="s">
        <v>1064</v>
      </c>
      <c r="K177" s="46" t="s">
        <v>626</v>
      </c>
      <c r="L177" s="46" t="s">
        <v>4191</v>
      </c>
      <c r="M177" s="46" t="s">
        <v>4339</v>
      </c>
      <c r="N177" s="46" t="s">
        <v>626</v>
      </c>
      <c r="O177" s="46" t="s">
        <v>626</v>
      </c>
      <c r="P177" s="46" t="s">
        <v>626</v>
      </c>
      <c r="Q177" s="46" t="s">
        <v>194</v>
      </c>
      <c r="R177" s="46" t="s">
        <v>4374</v>
      </c>
      <c r="S177" s="46" t="s">
        <v>4345</v>
      </c>
      <c r="T177" s="46" t="s">
        <v>4191</v>
      </c>
      <c r="U177" s="46" t="s">
        <v>606</v>
      </c>
      <c r="V177" s="46" t="s">
        <v>1064</v>
      </c>
      <c r="W177" s="46" t="s">
        <v>1064</v>
      </c>
      <c r="X177" s="46"/>
      <c r="Y177" s="46"/>
      <c r="Z177" s="46"/>
      <c r="AA177" s="46"/>
      <c r="AB177" s="46"/>
      <c r="AC177" s="46" t="s">
        <v>1064</v>
      </c>
      <c r="AD177" s="46"/>
      <c r="AE177" s="46"/>
      <c r="AF177" s="46"/>
      <c r="AG177" s="46"/>
      <c r="AH177" s="46"/>
      <c r="AI177" s="46"/>
      <c r="AJ177" s="46"/>
      <c r="AK177" s="46"/>
      <c r="AL177" s="46" t="s">
        <v>1064</v>
      </c>
      <c r="AM177" s="46"/>
      <c r="AN177" s="46"/>
      <c r="AO177" s="46"/>
      <c r="AP177" s="46" t="s">
        <v>1064</v>
      </c>
      <c r="AQ177" s="46"/>
      <c r="AR177" s="46"/>
      <c r="AS177" s="46" t="s">
        <v>583</v>
      </c>
      <c r="AT177" s="46" t="s">
        <v>2</v>
      </c>
      <c r="AU177" s="46" t="s">
        <v>4191</v>
      </c>
      <c r="AV177" s="46" t="s">
        <v>1691</v>
      </c>
      <c r="AW177" s="46" t="s">
        <v>1679</v>
      </c>
      <c r="AX177" s="46" t="s">
        <v>28</v>
      </c>
      <c r="AY177" s="46"/>
      <c r="AZ177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</row>
    <row r="178" spans="1:75" ht="90" x14ac:dyDescent="0.25">
      <c r="A178" s="47" t="s">
        <v>1047</v>
      </c>
      <c r="B178" s="45" t="s">
        <v>305</v>
      </c>
      <c r="C178" s="45" t="s">
        <v>1048</v>
      </c>
      <c r="D178" s="46" t="s">
        <v>1061</v>
      </c>
      <c r="E178" s="25" t="s">
        <v>2</v>
      </c>
      <c r="F178" s="48" t="s">
        <v>36</v>
      </c>
      <c r="G178" s="62" t="s">
        <v>2123</v>
      </c>
      <c r="H178" s="63" t="s">
        <v>1054</v>
      </c>
      <c r="I178" s="46" t="s">
        <v>4611</v>
      </c>
      <c r="J178" s="46" t="s">
        <v>1064</v>
      </c>
      <c r="K178" s="46" t="s">
        <v>626</v>
      </c>
      <c r="L178" s="46" t="s">
        <v>626</v>
      </c>
      <c r="M178" s="46" t="s">
        <v>4339</v>
      </c>
      <c r="N178" s="46" t="s">
        <v>626</v>
      </c>
      <c r="O178" s="46" t="s">
        <v>626</v>
      </c>
      <c r="P178" s="46" t="s">
        <v>626</v>
      </c>
      <c r="Q178" s="46" t="s">
        <v>194</v>
      </c>
      <c r="R178" s="46" t="s">
        <v>194</v>
      </c>
      <c r="S178" s="46" t="s">
        <v>194</v>
      </c>
      <c r="T178" s="46" t="s">
        <v>626</v>
      </c>
      <c r="U178" s="46" t="s">
        <v>1082</v>
      </c>
      <c r="V178" s="46" t="s">
        <v>1064</v>
      </c>
      <c r="W178" s="46" t="s">
        <v>1064</v>
      </c>
      <c r="X178" s="46"/>
      <c r="Y178" s="46"/>
      <c r="Z178" s="46"/>
      <c r="AA178" s="46"/>
      <c r="AB178" s="46"/>
      <c r="AC178" s="46" t="s">
        <v>1064</v>
      </c>
      <c r="AD178" s="46"/>
      <c r="AE178" s="46"/>
      <c r="AF178" s="46"/>
      <c r="AG178" s="46"/>
      <c r="AH178" s="46"/>
      <c r="AI178" s="46"/>
      <c r="AJ178" s="46"/>
      <c r="AK178" s="46"/>
      <c r="AL178" s="46" t="s">
        <v>1064</v>
      </c>
      <c r="AM178" s="46"/>
      <c r="AN178" s="46"/>
      <c r="AO178" s="46"/>
      <c r="AP178" s="46" t="s">
        <v>1064</v>
      </c>
      <c r="AQ178" s="46"/>
      <c r="AR178" s="46"/>
      <c r="AS178" s="46" t="s">
        <v>586</v>
      </c>
      <c r="AT178" s="46" t="s">
        <v>2</v>
      </c>
      <c r="AU178" s="46" t="s">
        <v>4191</v>
      </c>
      <c r="AV178" s="46" t="s">
        <v>1047</v>
      </c>
      <c r="AW178" s="46" t="s">
        <v>1054</v>
      </c>
      <c r="AX178" s="46" t="s">
        <v>34</v>
      </c>
      <c r="AY178" s="46"/>
      <c r="AZ178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</row>
    <row r="179" spans="1:75" ht="120" x14ac:dyDescent="0.25">
      <c r="A179" s="47" t="s">
        <v>1049</v>
      </c>
      <c r="B179" s="45" t="s">
        <v>305</v>
      </c>
      <c r="C179" s="45" t="s">
        <v>1050</v>
      </c>
      <c r="D179" s="46" t="s">
        <v>1062</v>
      </c>
      <c r="E179" s="25" t="s">
        <v>2</v>
      </c>
      <c r="F179" s="48" t="s">
        <v>590</v>
      </c>
      <c r="G179" s="62" t="s">
        <v>2124</v>
      </c>
      <c r="H179" s="63" t="s">
        <v>1056</v>
      </c>
      <c r="I179" s="46" t="s">
        <v>4612</v>
      </c>
      <c r="J179" s="46" t="s">
        <v>1064</v>
      </c>
      <c r="K179" s="46" t="s">
        <v>626</v>
      </c>
      <c r="L179" s="46" t="s">
        <v>4191</v>
      </c>
      <c r="M179" s="46" t="s">
        <v>4339</v>
      </c>
      <c r="N179" s="46" t="s">
        <v>626</v>
      </c>
      <c r="O179" s="46" t="s">
        <v>626</v>
      </c>
      <c r="P179" s="46" t="s">
        <v>626</v>
      </c>
      <c r="Q179" s="46" t="s">
        <v>194</v>
      </c>
      <c r="R179" s="46" t="s">
        <v>4375</v>
      </c>
      <c r="S179" s="46" t="s">
        <v>4376</v>
      </c>
      <c r="T179" s="46" t="s">
        <v>626</v>
      </c>
      <c r="U179" s="46" t="s">
        <v>1082</v>
      </c>
      <c r="V179" s="46" t="s">
        <v>1064</v>
      </c>
      <c r="W179" s="46" t="s">
        <v>1064</v>
      </c>
      <c r="X179" s="46"/>
      <c r="Y179" s="46"/>
      <c r="Z179" s="46"/>
      <c r="AA179" s="46"/>
      <c r="AB179" s="46"/>
      <c r="AC179" s="46" t="s">
        <v>1064</v>
      </c>
      <c r="AD179" s="46"/>
      <c r="AE179" s="46"/>
      <c r="AF179" s="46"/>
      <c r="AG179" s="46"/>
      <c r="AH179" s="46"/>
      <c r="AI179" s="46"/>
      <c r="AJ179" s="46"/>
      <c r="AK179" s="46"/>
      <c r="AL179" s="46" t="s">
        <v>1064</v>
      </c>
      <c r="AM179" s="46"/>
      <c r="AN179" s="46"/>
      <c r="AO179" s="46"/>
      <c r="AP179" s="46" t="s">
        <v>1064</v>
      </c>
      <c r="AQ179" s="46"/>
      <c r="AR179" s="46"/>
      <c r="AS179" s="46" t="s">
        <v>583</v>
      </c>
      <c r="AT179" s="46" t="s">
        <v>2</v>
      </c>
      <c r="AU179" s="46" t="s">
        <v>4191</v>
      </c>
      <c r="AV179" s="46" t="s">
        <v>1049</v>
      </c>
      <c r="AW179" s="46" t="s">
        <v>1056</v>
      </c>
      <c r="AX179" s="46" t="s">
        <v>34</v>
      </c>
      <c r="AY179" s="46"/>
      <c r="AZ179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</row>
    <row r="180" spans="1:75" ht="120" x14ac:dyDescent="0.25">
      <c r="A180" s="47" t="s">
        <v>1051</v>
      </c>
      <c r="B180" s="45" t="s">
        <v>305</v>
      </c>
      <c r="C180" s="45" t="s">
        <v>1052</v>
      </c>
      <c r="D180" s="46" t="s">
        <v>1063</v>
      </c>
      <c r="E180" s="25" t="s">
        <v>2</v>
      </c>
      <c r="F180" s="48" t="s">
        <v>611</v>
      </c>
      <c r="G180" s="62" t="s">
        <v>2125</v>
      </c>
      <c r="H180" s="63" t="s">
        <v>1057</v>
      </c>
      <c r="I180" s="46" t="s">
        <v>4612</v>
      </c>
      <c r="J180" s="46" t="s">
        <v>1064</v>
      </c>
      <c r="K180" s="46" t="s">
        <v>626</v>
      </c>
      <c r="L180" s="46" t="s">
        <v>4191</v>
      </c>
      <c r="M180" s="46" t="s">
        <v>4339</v>
      </c>
      <c r="N180" s="46" t="s">
        <v>626</v>
      </c>
      <c r="O180" s="46" t="s">
        <v>626</v>
      </c>
      <c r="P180" s="46" t="s">
        <v>626</v>
      </c>
      <c r="Q180" s="46" t="s">
        <v>194</v>
      </c>
      <c r="R180" s="46" t="s">
        <v>4377</v>
      </c>
      <c r="S180" s="46" t="s">
        <v>4378</v>
      </c>
      <c r="T180" s="46" t="s">
        <v>626</v>
      </c>
      <c r="U180" s="46" t="s">
        <v>1082</v>
      </c>
      <c r="V180" s="46" t="s">
        <v>1064</v>
      </c>
      <c r="W180" s="46" t="s">
        <v>1064</v>
      </c>
      <c r="X180" s="46"/>
      <c r="Y180" s="46"/>
      <c r="Z180" s="46"/>
      <c r="AA180" s="46"/>
      <c r="AB180" s="46"/>
      <c r="AC180" s="46" t="s">
        <v>1064</v>
      </c>
      <c r="AD180" s="46"/>
      <c r="AE180" s="46"/>
      <c r="AF180" s="46"/>
      <c r="AG180" s="46"/>
      <c r="AH180" s="46"/>
      <c r="AI180" s="46"/>
      <c r="AJ180" s="46"/>
      <c r="AK180" s="46"/>
      <c r="AL180" s="46" t="s">
        <v>1064</v>
      </c>
      <c r="AM180" s="46"/>
      <c r="AN180" s="46"/>
      <c r="AO180" s="46"/>
      <c r="AP180" s="46" t="s">
        <v>1064</v>
      </c>
      <c r="AQ180" s="46"/>
      <c r="AR180" s="46"/>
      <c r="AS180" s="46" t="s">
        <v>583</v>
      </c>
      <c r="AT180" s="46" t="s">
        <v>2</v>
      </c>
      <c r="AU180" s="46" t="s">
        <v>4191</v>
      </c>
      <c r="AV180" s="46" t="s">
        <v>1051</v>
      </c>
      <c r="AW180" s="46" t="s">
        <v>1057</v>
      </c>
      <c r="AX180" s="46" t="s">
        <v>34</v>
      </c>
      <c r="AY180" s="46"/>
      <c r="AZ180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</row>
    <row r="181" spans="1:75" ht="120" x14ac:dyDescent="0.25">
      <c r="A181" s="47" t="s">
        <v>1388</v>
      </c>
      <c r="B181" s="45" t="s">
        <v>305</v>
      </c>
      <c r="C181" s="45" t="s">
        <v>1429</v>
      </c>
      <c r="D181" s="46" t="s">
        <v>1430</v>
      </c>
      <c r="E181" s="25" t="s">
        <v>2</v>
      </c>
      <c r="F181" s="48" t="s">
        <v>36</v>
      </c>
      <c r="G181" s="62" t="s">
        <v>2126</v>
      </c>
      <c r="H181" s="63" t="s">
        <v>1387</v>
      </c>
      <c r="I181" s="46" t="s">
        <v>4613</v>
      </c>
      <c r="J181" s="46" t="s">
        <v>1064</v>
      </c>
      <c r="K181" s="46" t="s">
        <v>626</v>
      </c>
      <c r="L181" s="46" t="s">
        <v>4191</v>
      </c>
      <c r="M181" s="46" t="s">
        <v>4339</v>
      </c>
      <c r="N181" s="46" t="s">
        <v>626</v>
      </c>
      <c r="O181" s="46" t="s">
        <v>626</v>
      </c>
      <c r="P181" s="46" t="s">
        <v>626</v>
      </c>
      <c r="Q181" s="46" t="s">
        <v>194</v>
      </c>
      <c r="R181" s="46" t="s">
        <v>4379</v>
      </c>
      <c r="S181" s="46" t="s">
        <v>4380</v>
      </c>
      <c r="T181" s="46" t="s">
        <v>4191</v>
      </c>
      <c r="U181" s="46" t="s">
        <v>1082</v>
      </c>
      <c r="V181" s="46" t="s">
        <v>1064</v>
      </c>
      <c r="W181" s="46" t="s">
        <v>1064</v>
      </c>
      <c r="X181" s="46"/>
      <c r="Y181" s="46"/>
      <c r="Z181" s="46"/>
      <c r="AA181" s="46"/>
      <c r="AB181" s="46"/>
      <c r="AC181" s="46" t="s">
        <v>1064</v>
      </c>
      <c r="AD181" s="46"/>
      <c r="AE181" s="46"/>
      <c r="AF181" s="46"/>
      <c r="AG181" s="46"/>
      <c r="AH181" s="46"/>
      <c r="AI181" s="46"/>
      <c r="AJ181" s="46"/>
      <c r="AK181" s="46"/>
      <c r="AL181" s="46" t="s">
        <v>1064</v>
      </c>
      <c r="AM181" s="46"/>
      <c r="AN181" s="46"/>
      <c r="AO181" s="46"/>
      <c r="AP181" s="46" t="s">
        <v>1064</v>
      </c>
      <c r="AQ181" s="46"/>
      <c r="AR181" s="46"/>
      <c r="AS181" s="46" t="s">
        <v>583</v>
      </c>
      <c r="AT181" s="46" t="s">
        <v>2</v>
      </c>
      <c r="AU181" s="46" t="s">
        <v>4191</v>
      </c>
      <c r="AV181" s="46" t="s">
        <v>1388</v>
      </c>
      <c r="AW181" s="46" t="s">
        <v>1387</v>
      </c>
      <c r="AX181" s="46" t="s">
        <v>34</v>
      </c>
      <c r="AY181" s="46"/>
      <c r="AZ181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</row>
    <row r="182" spans="1:75" ht="120" x14ac:dyDescent="0.25">
      <c r="A182" s="47" t="s">
        <v>1392</v>
      </c>
      <c r="B182" s="45" t="s">
        <v>305</v>
      </c>
      <c r="C182" s="45" t="s">
        <v>1432</v>
      </c>
      <c r="D182" s="46" t="s">
        <v>1433</v>
      </c>
      <c r="E182" s="25" t="s">
        <v>2</v>
      </c>
      <c r="F182" s="48" t="s">
        <v>36</v>
      </c>
      <c r="G182" s="62" t="s">
        <v>2127</v>
      </c>
      <c r="H182" s="63" t="s">
        <v>1391</v>
      </c>
      <c r="I182" s="46" t="s">
        <v>4613</v>
      </c>
      <c r="J182" s="46" t="s">
        <v>1064</v>
      </c>
      <c r="K182" s="46" t="s">
        <v>626</v>
      </c>
      <c r="L182" s="46" t="s">
        <v>4191</v>
      </c>
      <c r="M182" s="46" t="s">
        <v>4339</v>
      </c>
      <c r="N182" s="46" t="s">
        <v>626</v>
      </c>
      <c r="O182" s="46" t="s">
        <v>626</v>
      </c>
      <c r="P182" s="46" t="s">
        <v>626</v>
      </c>
      <c r="Q182" s="46" t="s">
        <v>194</v>
      </c>
      <c r="R182" s="46" t="s">
        <v>4381</v>
      </c>
      <c r="S182" s="46" t="s">
        <v>4382</v>
      </c>
      <c r="T182" s="46" t="s">
        <v>4191</v>
      </c>
      <c r="U182" s="46" t="s">
        <v>1082</v>
      </c>
      <c r="V182" s="46" t="s">
        <v>1064</v>
      </c>
      <c r="W182" s="46" t="s">
        <v>1064</v>
      </c>
      <c r="X182" s="46"/>
      <c r="Y182" s="46"/>
      <c r="Z182" s="46"/>
      <c r="AA182" s="46"/>
      <c r="AB182" s="46"/>
      <c r="AC182" s="46" t="s">
        <v>1064</v>
      </c>
      <c r="AD182" s="46"/>
      <c r="AE182" s="46"/>
      <c r="AF182" s="46"/>
      <c r="AG182" s="46"/>
      <c r="AH182" s="46"/>
      <c r="AI182" s="46"/>
      <c r="AJ182" s="46"/>
      <c r="AK182" s="46"/>
      <c r="AL182" s="46" t="s">
        <v>1064</v>
      </c>
      <c r="AM182" s="46"/>
      <c r="AN182" s="46"/>
      <c r="AO182" s="46"/>
      <c r="AP182" s="46" t="s">
        <v>1064</v>
      </c>
      <c r="AQ182" s="46"/>
      <c r="AR182" s="46"/>
      <c r="AS182" s="46" t="s">
        <v>583</v>
      </c>
      <c r="AT182" s="46" t="s">
        <v>2</v>
      </c>
      <c r="AU182" s="46" t="s">
        <v>4191</v>
      </c>
      <c r="AV182" s="46" t="s">
        <v>1392</v>
      </c>
      <c r="AW182" s="46" t="s">
        <v>1391</v>
      </c>
      <c r="AX182" s="46" t="s">
        <v>34</v>
      </c>
      <c r="AY182" s="46"/>
      <c r="AZ182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</row>
    <row r="183" spans="1:75" ht="105" x14ac:dyDescent="0.25">
      <c r="A183" s="47" t="s">
        <v>1396</v>
      </c>
      <c r="B183" s="45" t="s">
        <v>305</v>
      </c>
      <c r="C183" s="45" t="s">
        <v>1435</v>
      </c>
      <c r="D183" s="46" t="s">
        <v>1707</v>
      </c>
      <c r="E183" s="25" t="s">
        <v>2</v>
      </c>
      <c r="F183" s="48" t="s">
        <v>590</v>
      </c>
      <c r="G183" s="62" t="s">
        <v>2128</v>
      </c>
      <c r="H183" s="63" t="s">
        <v>1395</v>
      </c>
      <c r="I183" s="46" t="s">
        <v>194</v>
      </c>
      <c r="J183" s="46" t="s">
        <v>1064</v>
      </c>
      <c r="K183" s="46" t="s">
        <v>626</v>
      </c>
      <c r="L183" s="46" t="s">
        <v>4191</v>
      </c>
      <c r="M183" s="46" t="s">
        <v>4339</v>
      </c>
      <c r="N183" s="46" t="s">
        <v>626</v>
      </c>
      <c r="O183" s="46" t="s">
        <v>626</v>
      </c>
      <c r="P183" s="46" t="s">
        <v>626</v>
      </c>
      <c r="Q183" s="46" t="s">
        <v>194</v>
      </c>
      <c r="R183" s="46" t="s">
        <v>4383</v>
      </c>
      <c r="S183" s="46" t="s">
        <v>4341</v>
      </c>
      <c r="T183" s="46" t="s">
        <v>4191</v>
      </c>
      <c r="U183" s="46" t="s">
        <v>1082</v>
      </c>
      <c r="V183" s="46" t="s">
        <v>1064</v>
      </c>
      <c r="W183" s="46" t="s">
        <v>1064</v>
      </c>
      <c r="X183" s="46"/>
      <c r="Y183" s="46"/>
      <c r="Z183" s="46"/>
      <c r="AA183" s="46"/>
      <c r="AB183" s="46"/>
      <c r="AC183" s="46" t="s">
        <v>1064</v>
      </c>
      <c r="AD183" s="46"/>
      <c r="AE183" s="46"/>
      <c r="AF183" s="46"/>
      <c r="AG183" s="46"/>
      <c r="AH183" s="46"/>
      <c r="AI183" s="46"/>
      <c r="AJ183" s="46"/>
      <c r="AK183" s="46"/>
      <c r="AL183" s="46" t="s">
        <v>1064</v>
      </c>
      <c r="AM183" s="46"/>
      <c r="AN183" s="46"/>
      <c r="AO183" s="46"/>
      <c r="AP183" s="46" t="s">
        <v>1064</v>
      </c>
      <c r="AQ183" s="46"/>
      <c r="AR183" s="46"/>
      <c r="AS183" s="46" t="s">
        <v>583</v>
      </c>
      <c r="AT183" s="46" t="s">
        <v>2</v>
      </c>
      <c r="AU183" s="46" t="s">
        <v>4191</v>
      </c>
      <c r="AV183" s="46" t="s">
        <v>1396</v>
      </c>
      <c r="AW183" s="46" t="s">
        <v>1395</v>
      </c>
      <c r="AX183" s="46" t="s">
        <v>34</v>
      </c>
      <c r="AY183" s="46"/>
      <c r="AZ183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</row>
    <row r="184" spans="1:75" ht="105" x14ac:dyDescent="0.25">
      <c r="A184" s="47" t="s">
        <v>1400</v>
      </c>
      <c r="B184" s="45" t="s">
        <v>305</v>
      </c>
      <c r="C184" s="45" t="s">
        <v>1436</v>
      </c>
      <c r="D184" s="46" t="s">
        <v>1708</v>
      </c>
      <c r="E184" s="25" t="s">
        <v>2</v>
      </c>
      <c r="F184" s="48" t="s">
        <v>379</v>
      </c>
      <c r="G184" s="62" t="s">
        <v>2129</v>
      </c>
      <c r="H184" s="63" t="s">
        <v>1399</v>
      </c>
      <c r="I184" s="46" t="s">
        <v>194</v>
      </c>
      <c r="J184" s="46" t="s">
        <v>1064</v>
      </c>
      <c r="K184" s="46" t="s">
        <v>626</v>
      </c>
      <c r="L184" s="46" t="s">
        <v>4191</v>
      </c>
      <c r="M184" s="46" t="s">
        <v>4339</v>
      </c>
      <c r="N184" s="46" t="s">
        <v>626</v>
      </c>
      <c r="O184" s="46" t="s">
        <v>626</v>
      </c>
      <c r="P184" s="46" t="s">
        <v>626</v>
      </c>
      <c r="Q184" s="46" t="s">
        <v>194</v>
      </c>
      <c r="R184" s="46" t="s">
        <v>4384</v>
      </c>
      <c r="S184" s="46" t="s">
        <v>4343</v>
      </c>
      <c r="T184" s="46" t="s">
        <v>4191</v>
      </c>
      <c r="U184" s="46" t="s">
        <v>1082</v>
      </c>
      <c r="V184" s="46" t="s">
        <v>1064</v>
      </c>
      <c r="W184" s="46" t="s">
        <v>1064</v>
      </c>
      <c r="X184" s="46"/>
      <c r="Y184" s="46"/>
      <c r="Z184" s="46"/>
      <c r="AA184" s="46"/>
      <c r="AB184" s="46"/>
      <c r="AC184" s="46" t="s">
        <v>1064</v>
      </c>
      <c r="AD184" s="46"/>
      <c r="AE184" s="46"/>
      <c r="AF184" s="46"/>
      <c r="AG184" s="46"/>
      <c r="AH184" s="46"/>
      <c r="AI184" s="46"/>
      <c r="AJ184" s="46"/>
      <c r="AK184" s="46"/>
      <c r="AL184" s="46" t="s">
        <v>1064</v>
      </c>
      <c r="AM184" s="46"/>
      <c r="AN184" s="46"/>
      <c r="AO184" s="46"/>
      <c r="AP184" s="46" t="s">
        <v>1064</v>
      </c>
      <c r="AQ184" s="46"/>
      <c r="AR184" s="46"/>
      <c r="AS184" s="46" t="s">
        <v>583</v>
      </c>
      <c r="AT184" s="46" t="s">
        <v>2</v>
      </c>
      <c r="AU184" s="46" t="s">
        <v>4191</v>
      </c>
      <c r="AV184" s="46" t="s">
        <v>1400</v>
      </c>
      <c r="AW184" s="46" t="s">
        <v>1399</v>
      </c>
      <c r="AX184" s="46" t="s">
        <v>34</v>
      </c>
      <c r="AY184" s="46"/>
      <c r="AZ184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</row>
    <row r="185" spans="1:75" ht="120" x14ac:dyDescent="0.25">
      <c r="A185" s="47" t="s">
        <v>1404</v>
      </c>
      <c r="B185" s="45" t="s">
        <v>305</v>
      </c>
      <c r="C185" s="45" t="s">
        <v>1437</v>
      </c>
      <c r="D185" s="46" t="s">
        <v>1709</v>
      </c>
      <c r="E185" s="25" t="s">
        <v>2</v>
      </c>
      <c r="F185" s="48" t="s">
        <v>1324</v>
      </c>
      <c r="G185" s="62" t="s">
        <v>2130</v>
      </c>
      <c r="H185" s="63" t="s">
        <v>1403</v>
      </c>
      <c r="I185" s="46" t="s">
        <v>194</v>
      </c>
      <c r="J185" s="46" t="s">
        <v>1064</v>
      </c>
      <c r="K185" s="46" t="s">
        <v>626</v>
      </c>
      <c r="L185" s="46" t="s">
        <v>4191</v>
      </c>
      <c r="M185" s="46" t="s">
        <v>4339</v>
      </c>
      <c r="N185" s="46" t="s">
        <v>626</v>
      </c>
      <c r="O185" s="46" t="s">
        <v>626</v>
      </c>
      <c r="P185" s="46" t="s">
        <v>626</v>
      </c>
      <c r="Q185" s="46" t="s">
        <v>194</v>
      </c>
      <c r="R185" s="46" t="s">
        <v>4385</v>
      </c>
      <c r="S185" s="46" t="s">
        <v>4345</v>
      </c>
      <c r="T185" s="46" t="s">
        <v>4191</v>
      </c>
      <c r="U185" s="46" t="s">
        <v>1082</v>
      </c>
      <c r="V185" s="46" t="s">
        <v>1064</v>
      </c>
      <c r="W185" s="46" t="s">
        <v>1064</v>
      </c>
      <c r="X185" s="46"/>
      <c r="Y185" s="46"/>
      <c r="Z185" s="46"/>
      <c r="AA185" s="46"/>
      <c r="AB185" s="46"/>
      <c r="AC185" s="46" t="s">
        <v>1064</v>
      </c>
      <c r="AD185" s="46"/>
      <c r="AE185" s="46"/>
      <c r="AF185" s="46"/>
      <c r="AG185" s="46"/>
      <c r="AH185" s="46"/>
      <c r="AI185" s="46"/>
      <c r="AJ185" s="46"/>
      <c r="AK185" s="46"/>
      <c r="AL185" s="46" t="s">
        <v>1064</v>
      </c>
      <c r="AM185" s="46"/>
      <c r="AN185" s="46"/>
      <c r="AO185" s="46"/>
      <c r="AP185" s="46" t="s">
        <v>1064</v>
      </c>
      <c r="AQ185" s="46"/>
      <c r="AR185" s="46"/>
      <c r="AS185" s="46" t="s">
        <v>583</v>
      </c>
      <c r="AT185" s="46" t="s">
        <v>2</v>
      </c>
      <c r="AU185" s="46" t="s">
        <v>4191</v>
      </c>
      <c r="AV185" s="46" t="s">
        <v>1404</v>
      </c>
      <c r="AW185" s="46" t="s">
        <v>1403</v>
      </c>
      <c r="AX185" s="46" t="s">
        <v>28</v>
      </c>
      <c r="AY185" s="46"/>
      <c r="AZ185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</row>
    <row r="186" spans="1:75" ht="150" x14ac:dyDescent="0.25">
      <c r="A186" s="47" t="s">
        <v>2278</v>
      </c>
      <c r="B186" s="45" t="s">
        <v>305</v>
      </c>
      <c r="C186" s="45" t="s">
        <v>3338</v>
      </c>
      <c r="D186" s="46" t="s">
        <v>4796</v>
      </c>
      <c r="E186" s="25" t="s">
        <v>2</v>
      </c>
      <c r="F186" s="48" t="s">
        <v>317</v>
      </c>
      <c r="G186" s="62" t="s">
        <v>4789</v>
      </c>
      <c r="H186" s="63" t="s">
        <v>2206</v>
      </c>
      <c r="I186" s="46" t="s">
        <v>4790</v>
      </c>
      <c r="J186" s="46" t="s">
        <v>1064</v>
      </c>
      <c r="K186" s="46" t="s">
        <v>626</v>
      </c>
      <c r="L186" s="46" t="s">
        <v>4191</v>
      </c>
      <c r="M186" s="46" t="s">
        <v>194</v>
      </c>
      <c r="N186" s="46" t="s">
        <v>4191</v>
      </c>
      <c r="O186" s="46" t="s">
        <v>626</v>
      </c>
      <c r="P186" s="46" t="s">
        <v>626</v>
      </c>
      <c r="Q186" s="46" t="s">
        <v>194</v>
      </c>
      <c r="R186" s="46" t="s">
        <v>4386</v>
      </c>
      <c r="S186" s="46" t="s">
        <v>4387</v>
      </c>
      <c r="T186" s="46" t="s">
        <v>626</v>
      </c>
      <c r="U186" s="46" t="s">
        <v>2890</v>
      </c>
      <c r="V186" s="46" t="s">
        <v>1064</v>
      </c>
      <c r="W186" s="46" t="s">
        <v>1064</v>
      </c>
      <c r="X186" s="46"/>
      <c r="Y186" s="46"/>
      <c r="Z186" s="46"/>
      <c r="AA186" s="46"/>
      <c r="AB186" s="46"/>
      <c r="AC186" s="46" t="s">
        <v>1064</v>
      </c>
      <c r="AD186" s="46"/>
      <c r="AE186" s="46"/>
      <c r="AF186" s="46"/>
      <c r="AG186" s="46"/>
      <c r="AH186" s="46"/>
      <c r="AI186" s="46"/>
      <c r="AJ186" s="46"/>
      <c r="AK186" s="46"/>
      <c r="AL186" s="46" t="s">
        <v>1064</v>
      </c>
      <c r="AM186" s="46"/>
      <c r="AN186" s="46"/>
      <c r="AO186" s="46"/>
      <c r="AP186" s="46" t="s">
        <v>1064</v>
      </c>
      <c r="AQ186" s="46"/>
      <c r="AR186" s="46"/>
      <c r="AS186" s="46" t="s">
        <v>586</v>
      </c>
      <c r="AT186" s="46" t="s">
        <v>2</v>
      </c>
      <c r="AU186" s="46" t="s">
        <v>4191</v>
      </c>
      <c r="AV186" s="46" t="s">
        <v>2278</v>
      </c>
      <c r="AW186" s="46" t="s">
        <v>2206</v>
      </c>
      <c r="AX186" s="46" t="s">
        <v>34</v>
      </c>
      <c r="AY186" s="46"/>
      <c r="AZ18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</row>
    <row r="187" spans="1:75" ht="150" x14ac:dyDescent="0.25">
      <c r="A187" s="47" t="s">
        <v>2903</v>
      </c>
      <c r="B187" s="45" t="s">
        <v>305</v>
      </c>
      <c r="C187" s="45" t="s">
        <v>4114</v>
      </c>
      <c r="D187" s="46" t="s">
        <v>4115</v>
      </c>
      <c r="E187" s="25" t="s">
        <v>2</v>
      </c>
      <c r="F187" s="48" t="s">
        <v>90</v>
      </c>
      <c r="G187" s="62" t="s">
        <v>4116</v>
      </c>
      <c r="H187" s="63" t="s">
        <v>2902</v>
      </c>
      <c r="I187" s="46" t="s">
        <v>4614</v>
      </c>
      <c r="J187" s="46" t="s">
        <v>1064</v>
      </c>
      <c r="K187" s="46" t="s">
        <v>626</v>
      </c>
      <c r="L187" s="46" t="s">
        <v>4191</v>
      </c>
      <c r="M187" s="46" t="s">
        <v>194</v>
      </c>
      <c r="N187" s="46" t="s">
        <v>626</v>
      </c>
      <c r="O187" s="46" t="s">
        <v>626</v>
      </c>
      <c r="P187" s="46" t="s">
        <v>626</v>
      </c>
      <c r="Q187" s="46" t="s">
        <v>194</v>
      </c>
      <c r="R187" s="46" t="s">
        <v>4388</v>
      </c>
      <c r="S187" s="46" t="s">
        <v>4389</v>
      </c>
      <c r="T187" s="46" t="s">
        <v>4191</v>
      </c>
      <c r="U187" s="46" t="s">
        <v>2890</v>
      </c>
      <c r="V187" s="46" t="s">
        <v>1064</v>
      </c>
      <c r="W187" s="46" t="s">
        <v>1064</v>
      </c>
      <c r="X187" s="46"/>
      <c r="Y187" s="46"/>
      <c r="Z187" s="46"/>
      <c r="AA187" s="46"/>
      <c r="AB187" s="46"/>
      <c r="AC187" s="46" t="s">
        <v>1064</v>
      </c>
      <c r="AD187" s="46"/>
      <c r="AE187" s="46"/>
      <c r="AF187" s="46"/>
      <c r="AG187" s="46"/>
      <c r="AH187" s="46"/>
      <c r="AI187" s="46"/>
      <c r="AJ187" s="46"/>
      <c r="AK187" s="46"/>
      <c r="AL187" s="46" t="s">
        <v>1064</v>
      </c>
      <c r="AM187" s="46"/>
      <c r="AN187" s="46"/>
      <c r="AO187" s="46"/>
      <c r="AP187" s="46" t="s">
        <v>1064</v>
      </c>
      <c r="AQ187" s="46"/>
      <c r="AR187" s="46"/>
      <c r="AS187" s="46" t="s">
        <v>586</v>
      </c>
      <c r="AT187" s="46" t="s">
        <v>2</v>
      </c>
      <c r="AU187" s="46" t="s">
        <v>626</v>
      </c>
      <c r="AV187" s="46" t="s">
        <v>2290</v>
      </c>
      <c r="AW187" s="46" t="s">
        <v>2902</v>
      </c>
      <c r="AX187" s="46" t="s">
        <v>34</v>
      </c>
      <c r="AY187" s="46"/>
      <c r="AZ187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</row>
    <row r="188" spans="1:75" ht="150" x14ac:dyDescent="0.25">
      <c r="A188" s="47" t="s">
        <v>4048</v>
      </c>
      <c r="B188" s="45" t="s">
        <v>305</v>
      </c>
      <c r="C188" s="45" t="s">
        <v>4114</v>
      </c>
      <c r="D188" s="46" t="s">
        <v>4115</v>
      </c>
      <c r="E188" s="25" t="s">
        <v>2</v>
      </c>
      <c r="F188" s="48" t="s">
        <v>90</v>
      </c>
      <c r="G188" s="62" t="s">
        <v>4117</v>
      </c>
      <c r="H188" s="63" t="s">
        <v>4034</v>
      </c>
      <c r="I188" s="46" t="s">
        <v>4615</v>
      </c>
      <c r="J188" s="46" t="s">
        <v>1064</v>
      </c>
      <c r="K188" s="46" t="s">
        <v>626</v>
      </c>
      <c r="L188" s="46" t="s">
        <v>4191</v>
      </c>
      <c r="M188" s="46" t="s">
        <v>194</v>
      </c>
      <c r="N188" s="46" t="s">
        <v>626</v>
      </c>
      <c r="O188" s="46" t="s">
        <v>626</v>
      </c>
      <c r="P188" s="46" t="s">
        <v>626</v>
      </c>
      <c r="Q188" s="46" t="s">
        <v>194</v>
      </c>
      <c r="R188" s="46" t="s">
        <v>4388</v>
      </c>
      <c r="S188" s="46" t="s">
        <v>4390</v>
      </c>
      <c r="T188" s="46" t="s">
        <v>4191</v>
      </c>
      <c r="U188" s="46" t="s">
        <v>2890</v>
      </c>
      <c r="V188" s="46" t="s">
        <v>1064</v>
      </c>
      <c r="W188" s="46" t="s">
        <v>1064</v>
      </c>
      <c r="X188" s="46"/>
      <c r="Y188" s="46"/>
      <c r="Z188" s="46"/>
      <c r="AA188" s="46"/>
      <c r="AB188" s="46"/>
      <c r="AC188" s="46" t="s">
        <v>1064</v>
      </c>
      <c r="AD188" s="46"/>
      <c r="AE188" s="46"/>
      <c r="AF188" s="46"/>
      <c r="AG188" s="46"/>
      <c r="AH188" s="46"/>
      <c r="AI188" s="46"/>
      <c r="AJ188" s="46"/>
      <c r="AK188" s="46"/>
      <c r="AL188" s="46" t="s">
        <v>1064</v>
      </c>
      <c r="AM188" s="46"/>
      <c r="AN188" s="46"/>
      <c r="AO188" s="46"/>
      <c r="AP188" s="46" t="s">
        <v>1064</v>
      </c>
      <c r="AQ188" s="46"/>
      <c r="AR188" s="46"/>
      <c r="AS188" s="46" t="s">
        <v>586</v>
      </c>
      <c r="AT188" s="46" t="s">
        <v>2</v>
      </c>
      <c r="AU188" s="46" t="s">
        <v>626</v>
      </c>
      <c r="AV188" s="46" t="s">
        <v>2290</v>
      </c>
      <c r="AW188" s="46" t="s">
        <v>4034</v>
      </c>
      <c r="AX188" s="46" t="s">
        <v>34</v>
      </c>
      <c r="AY188" s="46"/>
      <c r="AZ188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</row>
    <row r="189" spans="1:75" ht="165" x14ac:dyDescent="0.25">
      <c r="A189" s="47" t="s">
        <v>2280</v>
      </c>
      <c r="B189" s="45" t="s">
        <v>305</v>
      </c>
      <c r="C189" s="45" t="s">
        <v>2643</v>
      </c>
      <c r="D189" s="46" t="s">
        <v>3687</v>
      </c>
      <c r="E189" s="25" t="s">
        <v>2</v>
      </c>
      <c r="F189" s="48" t="s">
        <v>317</v>
      </c>
      <c r="G189" s="62" t="s">
        <v>3745</v>
      </c>
      <c r="H189" s="63" t="s">
        <v>2208</v>
      </c>
      <c r="I189" s="46" t="s">
        <v>4616</v>
      </c>
      <c r="J189" s="46" t="s">
        <v>1064</v>
      </c>
      <c r="K189" s="46" t="s">
        <v>626</v>
      </c>
      <c r="L189" s="46" t="s">
        <v>4191</v>
      </c>
      <c r="M189" s="46" t="s">
        <v>194</v>
      </c>
      <c r="N189" s="46" t="s">
        <v>626</v>
      </c>
      <c r="O189" s="46" t="s">
        <v>626</v>
      </c>
      <c r="P189" s="46" t="s">
        <v>626</v>
      </c>
      <c r="Q189" s="46" t="s">
        <v>194</v>
      </c>
      <c r="R189" s="46" t="s">
        <v>4391</v>
      </c>
      <c r="S189" s="46" t="s">
        <v>4392</v>
      </c>
      <c r="T189" s="46" t="s">
        <v>626</v>
      </c>
      <c r="U189" s="46" t="s">
        <v>2890</v>
      </c>
      <c r="V189" s="46" t="s">
        <v>1064</v>
      </c>
      <c r="W189" s="46" t="s">
        <v>1064</v>
      </c>
      <c r="X189" s="46"/>
      <c r="Y189" s="46"/>
      <c r="Z189" s="46"/>
      <c r="AA189" s="46"/>
      <c r="AB189" s="46"/>
      <c r="AC189" s="46" t="s">
        <v>1064</v>
      </c>
      <c r="AD189" s="46"/>
      <c r="AE189" s="46"/>
      <c r="AF189" s="46"/>
      <c r="AG189" s="46"/>
      <c r="AH189" s="46"/>
      <c r="AI189" s="46"/>
      <c r="AJ189" s="46"/>
      <c r="AK189" s="46"/>
      <c r="AL189" s="46" t="s">
        <v>1064</v>
      </c>
      <c r="AM189" s="46"/>
      <c r="AN189" s="46"/>
      <c r="AO189" s="46"/>
      <c r="AP189" s="46" t="s">
        <v>1064</v>
      </c>
      <c r="AQ189" s="46"/>
      <c r="AR189" s="46"/>
      <c r="AS189" s="46" t="s">
        <v>583</v>
      </c>
      <c r="AT189" s="46" t="s">
        <v>2</v>
      </c>
      <c r="AU189" s="46" t="s">
        <v>4191</v>
      </c>
      <c r="AV189" s="46" t="s">
        <v>2280</v>
      </c>
      <c r="AW189" s="46" t="s">
        <v>2208</v>
      </c>
      <c r="AX189" s="46" t="s">
        <v>34</v>
      </c>
      <c r="AY189" s="46"/>
      <c r="AZ189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</row>
    <row r="190" spans="1:75" ht="90" x14ac:dyDescent="0.25">
      <c r="A190" s="47" t="s">
        <v>2416</v>
      </c>
      <c r="B190" s="58" t="s">
        <v>305</v>
      </c>
      <c r="C190" s="45" t="s">
        <v>313</v>
      </c>
      <c r="D190" s="46" t="s">
        <v>2001</v>
      </c>
      <c r="E190" s="25" t="s">
        <v>2</v>
      </c>
      <c r="F190" s="48" t="s">
        <v>549</v>
      </c>
      <c r="G190" s="62" t="s">
        <v>2654</v>
      </c>
      <c r="H190" s="63" t="s">
        <v>2177</v>
      </c>
      <c r="I190" s="46" t="s">
        <v>4617</v>
      </c>
      <c r="J190" s="46" t="s">
        <v>1064</v>
      </c>
      <c r="K190" s="46" t="s">
        <v>626</v>
      </c>
      <c r="L190" s="46" t="s">
        <v>626</v>
      </c>
      <c r="M190" s="46" t="s">
        <v>194</v>
      </c>
      <c r="N190" s="46" t="s">
        <v>626</v>
      </c>
      <c r="O190" s="46" t="s">
        <v>626</v>
      </c>
      <c r="P190" s="46" t="s">
        <v>626</v>
      </c>
      <c r="Q190" s="46" t="s">
        <v>4226</v>
      </c>
      <c r="R190" s="46" t="s">
        <v>194</v>
      </c>
      <c r="S190" s="46" t="s">
        <v>194</v>
      </c>
      <c r="T190" s="46"/>
      <c r="U190" s="46" t="s">
        <v>2890</v>
      </c>
      <c r="V190" s="46" t="s">
        <v>1064</v>
      </c>
      <c r="W190" s="46" t="s">
        <v>1064</v>
      </c>
      <c r="X190" s="46"/>
      <c r="Y190" s="46"/>
      <c r="Z190" s="46"/>
      <c r="AA190" s="46"/>
      <c r="AB190" s="46"/>
      <c r="AC190" s="46" t="s">
        <v>1064</v>
      </c>
      <c r="AD190" s="46"/>
      <c r="AE190" s="46"/>
      <c r="AF190" s="46"/>
      <c r="AG190" s="46"/>
      <c r="AH190" s="46"/>
      <c r="AI190" s="46"/>
      <c r="AJ190" s="46"/>
      <c r="AK190" s="46"/>
      <c r="AL190" s="46" t="s">
        <v>1064</v>
      </c>
      <c r="AM190" s="46"/>
      <c r="AN190" s="46"/>
      <c r="AO190" s="46"/>
      <c r="AP190" s="46" t="s">
        <v>1064</v>
      </c>
      <c r="AQ190" s="46"/>
      <c r="AR190" s="46"/>
      <c r="AS190" s="46" t="s">
        <v>584</v>
      </c>
      <c r="AT190" s="46" t="s">
        <v>2</v>
      </c>
      <c r="AU190" s="46" t="s">
        <v>4191</v>
      </c>
      <c r="AV190" s="46" t="s">
        <v>2416</v>
      </c>
      <c r="AW190" s="46" t="s">
        <v>2177</v>
      </c>
      <c r="AX190" s="46" t="s">
        <v>34</v>
      </c>
      <c r="AY190" s="46"/>
      <c r="AZ190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</row>
    <row r="191" spans="1:75" ht="90" x14ac:dyDescent="0.25">
      <c r="A191" s="47" t="s">
        <v>2418</v>
      </c>
      <c r="B191" s="58" t="s">
        <v>305</v>
      </c>
      <c r="C191" s="45" t="s">
        <v>316</v>
      </c>
      <c r="D191" s="46" t="s">
        <v>2003</v>
      </c>
      <c r="E191" s="25" t="s">
        <v>2</v>
      </c>
      <c r="F191" s="48" t="s">
        <v>836</v>
      </c>
      <c r="G191" s="62" t="s">
        <v>2655</v>
      </c>
      <c r="H191" s="63" t="s">
        <v>2179</v>
      </c>
      <c r="I191" s="46" t="s">
        <v>4617</v>
      </c>
      <c r="J191" s="46" t="s">
        <v>1064</v>
      </c>
      <c r="K191" s="46" t="s">
        <v>626</v>
      </c>
      <c r="L191" s="46" t="s">
        <v>626</v>
      </c>
      <c r="M191" s="46" t="s">
        <v>194</v>
      </c>
      <c r="N191" s="46" t="s">
        <v>626</v>
      </c>
      <c r="O191" s="46" t="s">
        <v>626</v>
      </c>
      <c r="P191" s="46" t="s">
        <v>626</v>
      </c>
      <c r="Q191" s="46" t="s">
        <v>4227</v>
      </c>
      <c r="R191" s="46" t="s">
        <v>194</v>
      </c>
      <c r="S191" s="46" t="s">
        <v>194</v>
      </c>
      <c r="T191" s="46"/>
      <c r="U191" s="46" t="s">
        <v>2890</v>
      </c>
      <c r="V191" s="46" t="s">
        <v>1064</v>
      </c>
      <c r="W191" s="46" t="s">
        <v>1064</v>
      </c>
      <c r="X191" s="46"/>
      <c r="Y191" s="46"/>
      <c r="Z191" s="46"/>
      <c r="AA191" s="46"/>
      <c r="AB191" s="46"/>
      <c r="AC191" s="46" t="s">
        <v>1064</v>
      </c>
      <c r="AD191" s="46"/>
      <c r="AE191" s="46"/>
      <c r="AF191" s="46"/>
      <c r="AG191" s="46"/>
      <c r="AH191" s="46"/>
      <c r="AI191" s="46"/>
      <c r="AJ191" s="46"/>
      <c r="AK191" s="46"/>
      <c r="AL191" s="46" t="s">
        <v>1064</v>
      </c>
      <c r="AM191" s="46"/>
      <c r="AN191" s="46"/>
      <c r="AO191" s="46"/>
      <c r="AP191" s="46" t="s">
        <v>1064</v>
      </c>
      <c r="AQ191" s="46"/>
      <c r="AR191" s="46"/>
      <c r="AS191" s="46" t="s">
        <v>584</v>
      </c>
      <c r="AT191" s="46" t="s">
        <v>2</v>
      </c>
      <c r="AU191" s="46" t="s">
        <v>4191</v>
      </c>
      <c r="AV191" s="46" t="s">
        <v>2418</v>
      </c>
      <c r="AW191" s="46" t="s">
        <v>2179</v>
      </c>
      <c r="AX191" s="46" t="s">
        <v>34</v>
      </c>
      <c r="AY191" s="46"/>
      <c r="AZ191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</row>
    <row r="192" spans="1:75" ht="135" x14ac:dyDescent="0.25">
      <c r="A192" s="47" t="s">
        <v>2420</v>
      </c>
      <c r="B192" s="58" t="s">
        <v>305</v>
      </c>
      <c r="C192" s="45" t="s">
        <v>319</v>
      </c>
      <c r="D192" s="46" t="s">
        <v>2005</v>
      </c>
      <c r="E192" s="25" t="s">
        <v>2</v>
      </c>
      <c r="F192" s="48" t="s">
        <v>36</v>
      </c>
      <c r="G192" s="62" t="s">
        <v>2837</v>
      </c>
      <c r="H192" s="63" t="s">
        <v>2181</v>
      </c>
      <c r="I192" s="46" t="s">
        <v>4618</v>
      </c>
      <c r="J192" s="46" t="s">
        <v>1064</v>
      </c>
      <c r="K192" s="46" t="s">
        <v>626</v>
      </c>
      <c r="L192" s="46" t="s">
        <v>626</v>
      </c>
      <c r="M192" s="46" t="s">
        <v>194</v>
      </c>
      <c r="N192" s="46" t="s">
        <v>626</v>
      </c>
      <c r="O192" s="46" t="s">
        <v>626</v>
      </c>
      <c r="P192" s="46" t="s">
        <v>626</v>
      </c>
      <c r="Q192" s="46" t="s">
        <v>4228</v>
      </c>
      <c r="R192" s="46" t="s">
        <v>4229</v>
      </c>
      <c r="S192" s="46" t="s">
        <v>4230</v>
      </c>
      <c r="T192" s="46"/>
      <c r="U192" s="46" t="s">
        <v>2890</v>
      </c>
      <c r="V192" s="46" t="s">
        <v>1064</v>
      </c>
      <c r="W192" s="46" t="s">
        <v>1064</v>
      </c>
      <c r="X192" s="46"/>
      <c r="Y192" s="46"/>
      <c r="Z192" s="46"/>
      <c r="AA192" s="46"/>
      <c r="AB192" s="46"/>
      <c r="AC192" s="46" t="s">
        <v>1064</v>
      </c>
      <c r="AD192" s="46"/>
      <c r="AE192" s="46"/>
      <c r="AF192" s="46"/>
      <c r="AG192" s="46"/>
      <c r="AH192" s="46"/>
      <c r="AI192" s="46"/>
      <c r="AJ192" s="46"/>
      <c r="AK192" s="46"/>
      <c r="AL192" s="46" t="s">
        <v>1064</v>
      </c>
      <c r="AM192" s="46"/>
      <c r="AN192" s="46"/>
      <c r="AO192" s="46"/>
      <c r="AP192" s="46" t="s">
        <v>1064</v>
      </c>
      <c r="AQ192" s="46"/>
      <c r="AR192" s="46"/>
      <c r="AS192" s="46" t="s">
        <v>586</v>
      </c>
      <c r="AT192" s="46" t="s">
        <v>2</v>
      </c>
      <c r="AU192" s="46" t="s">
        <v>4191</v>
      </c>
      <c r="AV192" s="46" t="s">
        <v>2420</v>
      </c>
      <c r="AW192" s="46" t="s">
        <v>2181</v>
      </c>
      <c r="AX192" s="46" t="s">
        <v>34</v>
      </c>
      <c r="AY192" s="46"/>
      <c r="AZ192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</row>
    <row r="193" spans="1:75" ht="150" x14ac:dyDescent="0.25">
      <c r="A193" s="47" t="s">
        <v>2422</v>
      </c>
      <c r="B193" s="45" t="s">
        <v>305</v>
      </c>
      <c r="C193" s="45" t="s">
        <v>321</v>
      </c>
      <c r="D193" s="46" t="s">
        <v>2007</v>
      </c>
      <c r="E193" s="25" t="s">
        <v>2</v>
      </c>
      <c r="F193" s="48" t="s">
        <v>932</v>
      </c>
      <c r="G193" s="62" t="s">
        <v>2838</v>
      </c>
      <c r="H193" s="63" t="s">
        <v>2183</v>
      </c>
      <c r="I193" s="46" t="s">
        <v>4619</v>
      </c>
      <c r="J193" s="46" t="s">
        <v>1064</v>
      </c>
      <c r="K193" s="46" t="s">
        <v>4191</v>
      </c>
      <c r="L193" s="46" t="s">
        <v>4191</v>
      </c>
      <c r="M193" s="46" t="s">
        <v>194</v>
      </c>
      <c r="N193" s="46" t="s">
        <v>626</v>
      </c>
      <c r="O193" s="46" t="s">
        <v>626</v>
      </c>
      <c r="P193" s="46" t="s">
        <v>626</v>
      </c>
      <c r="Q193" s="46" t="s">
        <v>4228</v>
      </c>
      <c r="R193" s="46" t="s">
        <v>4393</v>
      </c>
      <c r="S193" s="46" t="s">
        <v>4394</v>
      </c>
      <c r="T193" s="46"/>
      <c r="U193" s="46" t="s">
        <v>2890</v>
      </c>
      <c r="V193" s="46" t="s">
        <v>1064</v>
      </c>
      <c r="W193" s="46" t="s">
        <v>1064</v>
      </c>
      <c r="X193" s="46"/>
      <c r="Y193" s="46"/>
      <c r="Z193" s="46"/>
      <c r="AA193" s="46"/>
      <c r="AB193" s="46"/>
      <c r="AC193" s="46" t="s">
        <v>1064</v>
      </c>
      <c r="AD193" s="46"/>
      <c r="AE193" s="46"/>
      <c r="AF193" s="46"/>
      <c r="AG193" s="46"/>
      <c r="AH193" s="46"/>
      <c r="AI193" s="46"/>
      <c r="AJ193" s="46"/>
      <c r="AK193" s="46"/>
      <c r="AL193" s="46" t="s">
        <v>1064</v>
      </c>
      <c r="AM193" s="46"/>
      <c r="AN193" s="46"/>
      <c r="AO193" s="46"/>
      <c r="AP193" s="46" t="s">
        <v>1064</v>
      </c>
      <c r="AQ193" s="46"/>
      <c r="AR193" s="46"/>
      <c r="AS193" s="46" t="s">
        <v>583</v>
      </c>
      <c r="AT193" s="46" t="s">
        <v>2</v>
      </c>
      <c r="AU193" s="46" t="s">
        <v>4191</v>
      </c>
      <c r="AV193" s="46" t="s">
        <v>2422</v>
      </c>
      <c r="AW193" s="46" t="s">
        <v>2183</v>
      </c>
      <c r="AX193" s="46" t="s">
        <v>34</v>
      </c>
      <c r="AY193" s="46"/>
      <c r="AZ193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</row>
    <row r="194" spans="1:75" ht="75" x14ac:dyDescent="0.25">
      <c r="A194" s="47" t="s">
        <v>3689</v>
      </c>
      <c r="B194" s="45" t="s">
        <v>305</v>
      </c>
      <c r="C194" s="45" t="s">
        <v>3746</v>
      </c>
      <c r="D194" s="46" t="s">
        <v>3747</v>
      </c>
      <c r="E194" s="25" t="s">
        <v>2</v>
      </c>
      <c r="F194" s="48" t="s">
        <v>836</v>
      </c>
      <c r="G194" s="62" t="s">
        <v>3748</v>
      </c>
      <c r="H194" s="63" t="s">
        <v>3688</v>
      </c>
      <c r="I194" s="46" t="s">
        <v>4558</v>
      </c>
      <c r="J194" s="46" t="s">
        <v>1064</v>
      </c>
      <c r="K194" s="46" t="s">
        <v>626</v>
      </c>
      <c r="L194" s="46" t="s">
        <v>626</v>
      </c>
      <c r="M194" s="46" t="s">
        <v>194</v>
      </c>
      <c r="N194" s="46" t="s">
        <v>626</v>
      </c>
      <c r="O194" s="46" t="s">
        <v>626</v>
      </c>
      <c r="P194" s="46" t="s">
        <v>626</v>
      </c>
      <c r="Q194" s="46" t="s">
        <v>194</v>
      </c>
      <c r="R194" s="46" t="s">
        <v>194</v>
      </c>
      <c r="S194" s="46" t="s">
        <v>194</v>
      </c>
      <c r="T194" s="46"/>
      <c r="U194" s="46" t="s">
        <v>2890</v>
      </c>
      <c r="V194" s="46" t="s">
        <v>1064</v>
      </c>
      <c r="W194" s="46" t="s">
        <v>1064</v>
      </c>
      <c r="X194" s="46"/>
      <c r="Y194" s="46"/>
      <c r="Z194" s="46"/>
      <c r="AA194" s="46"/>
      <c r="AB194" s="46"/>
      <c r="AC194" s="46" t="s">
        <v>1064</v>
      </c>
      <c r="AD194" s="46"/>
      <c r="AE194" s="46"/>
      <c r="AF194" s="46"/>
      <c r="AG194" s="46"/>
      <c r="AH194" s="46"/>
      <c r="AI194" s="46"/>
      <c r="AJ194" s="46"/>
      <c r="AK194" s="46"/>
      <c r="AL194" s="46" t="s">
        <v>1064</v>
      </c>
      <c r="AM194" s="46"/>
      <c r="AN194" s="46"/>
      <c r="AO194" s="46"/>
      <c r="AP194" s="46" t="s">
        <v>1064</v>
      </c>
      <c r="AQ194" s="46"/>
      <c r="AR194" s="46"/>
      <c r="AS194" s="46" t="s">
        <v>584</v>
      </c>
      <c r="AT194" s="46" t="s">
        <v>2</v>
      </c>
      <c r="AU194" s="46" t="s">
        <v>4191</v>
      </c>
      <c r="AV194" s="46" t="s">
        <v>3689</v>
      </c>
      <c r="AW194" s="46" t="s">
        <v>3688</v>
      </c>
      <c r="AX194" s="46" t="s">
        <v>34</v>
      </c>
      <c r="AY194" s="46"/>
      <c r="AZ194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</row>
    <row r="195" spans="1:75" ht="135" x14ac:dyDescent="0.25">
      <c r="A195" s="47" t="s">
        <v>3693</v>
      </c>
      <c r="B195" s="58" t="s">
        <v>305</v>
      </c>
      <c r="C195" s="45" t="s">
        <v>3749</v>
      </c>
      <c r="D195" s="46" t="s">
        <v>3750</v>
      </c>
      <c r="E195" s="25" t="s">
        <v>2</v>
      </c>
      <c r="F195" s="48" t="s">
        <v>36</v>
      </c>
      <c r="G195" s="62" t="s">
        <v>3751</v>
      </c>
      <c r="H195" s="63" t="s">
        <v>3692</v>
      </c>
      <c r="I195" s="46" t="s">
        <v>4559</v>
      </c>
      <c r="J195" s="46" t="s">
        <v>1064</v>
      </c>
      <c r="K195" s="46" t="s">
        <v>626</v>
      </c>
      <c r="L195" s="46" t="s">
        <v>4191</v>
      </c>
      <c r="M195" s="46" t="s">
        <v>194</v>
      </c>
      <c r="N195" s="46" t="s">
        <v>626</v>
      </c>
      <c r="O195" s="46" t="s">
        <v>626</v>
      </c>
      <c r="P195" s="46" t="s">
        <v>626</v>
      </c>
      <c r="Q195" s="46" t="s">
        <v>194</v>
      </c>
      <c r="R195" s="46" t="s">
        <v>4395</v>
      </c>
      <c r="S195" s="46" t="s">
        <v>4396</v>
      </c>
      <c r="T195" s="46"/>
      <c r="U195" s="46" t="s">
        <v>2890</v>
      </c>
      <c r="V195" s="46" t="s">
        <v>1064</v>
      </c>
      <c r="W195" s="46" t="s">
        <v>1064</v>
      </c>
      <c r="X195" s="46"/>
      <c r="Y195" s="46"/>
      <c r="Z195" s="46"/>
      <c r="AA195" s="46"/>
      <c r="AB195" s="46"/>
      <c r="AC195" s="46" t="s">
        <v>1064</v>
      </c>
      <c r="AD195" s="46"/>
      <c r="AE195" s="46"/>
      <c r="AF195" s="46"/>
      <c r="AG195" s="46"/>
      <c r="AH195" s="46"/>
      <c r="AI195" s="46"/>
      <c r="AJ195" s="46"/>
      <c r="AK195" s="46"/>
      <c r="AL195" s="46" t="s">
        <v>1064</v>
      </c>
      <c r="AM195" s="46"/>
      <c r="AN195" s="46"/>
      <c r="AO195" s="46"/>
      <c r="AP195" s="46" t="s">
        <v>1064</v>
      </c>
      <c r="AQ195" s="46"/>
      <c r="AR195" s="46"/>
      <c r="AS195" s="46" t="s">
        <v>586</v>
      </c>
      <c r="AT195" s="46" t="s">
        <v>2</v>
      </c>
      <c r="AU195" s="46" t="s">
        <v>4191</v>
      </c>
      <c r="AV195" s="46" t="s">
        <v>3693</v>
      </c>
      <c r="AW195" s="46" t="s">
        <v>3692</v>
      </c>
      <c r="AX195" s="46" t="s">
        <v>34</v>
      </c>
      <c r="AY195" s="46"/>
      <c r="AZ195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</row>
    <row r="196" spans="1:75" ht="135" x14ac:dyDescent="0.25">
      <c r="A196" s="47" t="s">
        <v>3697</v>
      </c>
      <c r="B196" s="45" t="s">
        <v>305</v>
      </c>
      <c r="C196" s="45" t="s">
        <v>3752</v>
      </c>
      <c r="D196" s="46" t="s">
        <v>3753</v>
      </c>
      <c r="E196" s="25" t="s">
        <v>2</v>
      </c>
      <c r="F196" s="48" t="s">
        <v>932</v>
      </c>
      <c r="G196" s="62" t="s">
        <v>3754</v>
      </c>
      <c r="H196" s="63" t="s">
        <v>3696</v>
      </c>
      <c r="I196" s="46" t="s">
        <v>4559</v>
      </c>
      <c r="J196" s="46" t="s">
        <v>1064</v>
      </c>
      <c r="K196" s="46" t="s">
        <v>4191</v>
      </c>
      <c r="L196" s="46" t="s">
        <v>4191</v>
      </c>
      <c r="M196" s="46" t="s">
        <v>194</v>
      </c>
      <c r="N196" s="46" t="s">
        <v>626</v>
      </c>
      <c r="O196" s="46" t="s">
        <v>626</v>
      </c>
      <c r="P196" s="46" t="s">
        <v>626</v>
      </c>
      <c r="Q196" s="46" t="s">
        <v>194</v>
      </c>
      <c r="R196" s="46" t="s">
        <v>4397</v>
      </c>
      <c r="S196" s="46" t="s">
        <v>4398</v>
      </c>
      <c r="T196" s="46"/>
      <c r="U196" s="46" t="s">
        <v>2890</v>
      </c>
      <c r="V196" s="46" t="s">
        <v>1064</v>
      </c>
      <c r="W196" s="46" t="s">
        <v>1064</v>
      </c>
      <c r="X196" s="46"/>
      <c r="Y196" s="46"/>
      <c r="Z196" s="46"/>
      <c r="AA196" s="46"/>
      <c r="AB196" s="46"/>
      <c r="AC196" s="46" t="s">
        <v>1064</v>
      </c>
      <c r="AD196" s="46"/>
      <c r="AE196" s="46"/>
      <c r="AF196" s="46"/>
      <c r="AG196" s="46"/>
      <c r="AH196" s="46"/>
      <c r="AI196" s="46"/>
      <c r="AJ196" s="46"/>
      <c r="AK196" s="46"/>
      <c r="AL196" s="46" t="s">
        <v>1064</v>
      </c>
      <c r="AM196" s="46"/>
      <c r="AN196" s="46"/>
      <c r="AO196" s="46"/>
      <c r="AP196" s="46" t="s">
        <v>1064</v>
      </c>
      <c r="AQ196" s="46"/>
      <c r="AR196" s="46"/>
      <c r="AS196" s="46" t="s">
        <v>583</v>
      </c>
      <c r="AT196" s="46" t="s">
        <v>2</v>
      </c>
      <c r="AU196" s="46" t="s">
        <v>4191</v>
      </c>
      <c r="AV196" s="46" t="s">
        <v>3697</v>
      </c>
      <c r="AW196" s="46" t="s">
        <v>3696</v>
      </c>
      <c r="AX196" s="46" t="s">
        <v>34</v>
      </c>
      <c r="AY196" s="46"/>
      <c r="AZ19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</row>
    <row r="197" spans="1:75" ht="135" x14ac:dyDescent="0.25">
      <c r="A197" s="47" t="s">
        <v>2282</v>
      </c>
      <c r="B197" s="45" t="s">
        <v>305</v>
      </c>
      <c r="C197" s="45" t="s">
        <v>2656</v>
      </c>
      <c r="D197" s="46" t="s">
        <v>2657</v>
      </c>
      <c r="E197" s="25" t="s">
        <v>2</v>
      </c>
      <c r="F197" s="48" t="s">
        <v>32</v>
      </c>
      <c r="G197" s="62" t="s">
        <v>4106</v>
      </c>
      <c r="H197" s="63" t="s">
        <v>2175</v>
      </c>
      <c r="I197" s="46" t="s">
        <v>4620</v>
      </c>
      <c r="J197" s="46" t="s">
        <v>1064</v>
      </c>
      <c r="K197" s="46" t="s">
        <v>626</v>
      </c>
      <c r="L197" s="46" t="s">
        <v>4191</v>
      </c>
      <c r="M197" s="46" t="s">
        <v>194</v>
      </c>
      <c r="N197" s="46" t="s">
        <v>4191</v>
      </c>
      <c r="O197" s="46" t="s">
        <v>626</v>
      </c>
      <c r="P197" s="46" t="s">
        <v>626</v>
      </c>
      <c r="Q197" s="46" t="s">
        <v>4399</v>
      </c>
      <c r="R197" s="46" t="s">
        <v>4400</v>
      </c>
      <c r="S197" s="46" t="s">
        <v>4401</v>
      </c>
      <c r="T197" s="46" t="s">
        <v>626</v>
      </c>
      <c r="U197" s="46" t="s">
        <v>2890</v>
      </c>
      <c r="V197" s="46" t="s">
        <v>1064</v>
      </c>
      <c r="W197" s="46" t="s">
        <v>1064</v>
      </c>
      <c r="X197" s="46"/>
      <c r="Y197" s="46"/>
      <c r="Z197" s="46"/>
      <c r="AA197" s="46"/>
      <c r="AB197" s="46"/>
      <c r="AC197" s="46" t="s">
        <v>1064</v>
      </c>
      <c r="AD197" s="46"/>
      <c r="AE197" s="46"/>
      <c r="AF197" s="46"/>
      <c r="AG197" s="46"/>
      <c r="AH197" s="46"/>
      <c r="AI197" s="46"/>
      <c r="AJ197" s="46"/>
      <c r="AK197" s="46"/>
      <c r="AL197" s="46" t="s">
        <v>1064</v>
      </c>
      <c r="AM197" s="46"/>
      <c r="AN197" s="46"/>
      <c r="AO197" s="46"/>
      <c r="AP197" s="46" t="s">
        <v>1064</v>
      </c>
      <c r="AQ197" s="46"/>
      <c r="AR197" s="46"/>
      <c r="AS197" s="46" t="s">
        <v>583</v>
      </c>
      <c r="AT197" s="46" t="s">
        <v>2</v>
      </c>
      <c r="AU197" s="46" t="s">
        <v>4191</v>
      </c>
      <c r="AV197" s="46" t="s">
        <v>2282</v>
      </c>
      <c r="AW197" s="46" t="s">
        <v>2175</v>
      </c>
      <c r="AX197" s="46" t="s">
        <v>34</v>
      </c>
      <c r="AY197" s="46"/>
      <c r="AZ197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</row>
    <row r="198" spans="1:75" ht="75" x14ac:dyDescent="0.25">
      <c r="A198" s="47" t="s">
        <v>2284</v>
      </c>
      <c r="B198" s="45" t="s">
        <v>305</v>
      </c>
      <c r="C198" s="45" t="s">
        <v>684</v>
      </c>
      <c r="D198" s="46" t="s">
        <v>2658</v>
      </c>
      <c r="E198" s="25" t="s">
        <v>2</v>
      </c>
      <c r="F198" s="48" t="s">
        <v>317</v>
      </c>
      <c r="G198" s="62" t="s">
        <v>2659</v>
      </c>
      <c r="H198" s="63" t="s">
        <v>2188</v>
      </c>
      <c r="I198" s="46" t="s">
        <v>4319</v>
      </c>
      <c r="J198" s="46" t="s">
        <v>1064</v>
      </c>
      <c r="K198" s="46" t="s">
        <v>626</v>
      </c>
      <c r="L198" s="46" t="s">
        <v>626</v>
      </c>
      <c r="M198" s="46" t="s">
        <v>194</v>
      </c>
      <c r="N198" s="46" t="s">
        <v>626</v>
      </c>
      <c r="O198" s="46" t="s">
        <v>626</v>
      </c>
      <c r="P198" s="46" t="s">
        <v>626</v>
      </c>
      <c r="Q198" s="46" t="s">
        <v>194</v>
      </c>
      <c r="R198" s="46" t="s">
        <v>194</v>
      </c>
      <c r="S198" s="46" t="s">
        <v>194</v>
      </c>
      <c r="T198" s="46" t="s">
        <v>626</v>
      </c>
      <c r="U198" s="46" t="s">
        <v>2890</v>
      </c>
      <c r="V198" s="46" t="s">
        <v>1064</v>
      </c>
      <c r="W198" s="46" t="s">
        <v>1064</v>
      </c>
      <c r="X198" s="46"/>
      <c r="Y198" s="46"/>
      <c r="Z198" s="46"/>
      <c r="AA198" s="46"/>
      <c r="AB198" s="46"/>
      <c r="AC198" s="46" t="s">
        <v>1064</v>
      </c>
      <c r="AD198" s="46"/>
      <c r="AE198" s="46"/>
      <c r="AF198" s="46"/>
      <c r="AG198" s="46"/>
      <c r="AH198" s="46"/>
      <c r="AI198" s="46"/>
      <c r="AJ198" s="46"/>
      <c r="AK198" s="46"/>
      <c r="AL198" s="46" t="s">
        <v>1064</v>
      </c>
      <c r="AM198" s="46"/>
      <c r="AN198" s="46"/>
      <c r="AO198" s="46"/>
      <c r="AP198" s="46" t="s">
        <v>1064</v>
      </c>
      <c r="AQ198" s="46"/>
      <c r="AR198" s="46"/>
      <c r="AS198" s="46" t="s">
        <v>584</v>
      </c>
      <c r="AT198" s="46" t="s">
        <v>2</v>
      </c>
      <c r="AU198" s="46" t="s">
        <v>4191</v>
      </c>
      <c r="AV198" s="46" t="s">
        <v>2284</v>
      </c>
      <c r="AW198" s="46" t="s">
        <v>2188</v>
      </c>
      <c r="AX198" s="46" t="s">
        <v>34</v>
      </c>
      <c r="AY198" s="46"/>
      <c r="AZ198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</row>
    <row r="199" spans="1:75" ht="75" x14ac:dyDescent="0.25">
      <c r="A199" s="47" t="s">
        <v>2286</v>
      </c>
      <c r="B199" s="45" t="s">
        <v>305</v>
      </c>
      <c r="C199" s="45" t="s">
        <v>686</v>
      </c>
      <c r="D199" s="46" t="s">
        <v>2660</v>
      </c>
      <c r="E199" s="25" t="s">
        <v>2</v>
      </c>
      <c r="F199" s="48" t="s">
        <v>90</v>
      </c>
      <c r="G199" s="62" t="s">
        <v>2661</v>
      </c>
      <c r="H199" s="63" t="s">
        <v>2190</v>
      </c>
      <c r="I199" s="46" t="s">
        <v>4319</v>
      </c>
      <c r="J199" s="46" t="s">
        <v>1064</v>
      </c>
      <c r="K199" s="46" t="s">
        <v>626</v>
      </c>
      <c r="L199" s="46" t="s">
        <v>626</v>
      </c>
      <c r="M199" s="46" t="s">
        <v>194</v>
      </c>
      <c r="N199" s="46" t="s">
        <v>626</v>
      </c>
      <c r="O199" s="46" t="s">
        <v>626</v>
      </c>
      <c r="P199" s="46" t="s">
        <v>626</v>
      </c>
      <c r="Q199" s="46" t="s">
        <v>194</v>
      </c>
      <c r="R199" s="46" t="s">
        <v>194</v>
      </c>
      <c r="S199" s="46" t="s">
        <v>194</v>
      </c>
      <c r="T199" s="46" t="s">
        <v>626</v>
      </c>
      <c r="U199" s="46" t="s">
        <v>2890</v>
      </c>
      <c r="V199" s="46" t="s">
        <v>1064</v>
      </c>
      <c r="W199" s="46" t="s">
        <v>1064</v>
      </c>
      <c r="X199" s="46"/>
      <c r="Y199" s="46"/>
      <c r="Z199" s="46"/>
      <c r="AA199" s="46"/>
      <c r="AB199" s="46"/>
      <c r="AC199" s="46" t="s">
        <v>1064</v>
      </c>
      <c r="AD199" s="46"/>
      <c r="AE199" s="46"/>
      <c r="AF199" s="46"/>
      <c r="AG199" s="46"/>
      <c r="AH199" s="46"/>
      <c r="AI199" s="46"/>
      <c r="AJ199" s="46"/>
      <c r="AK199" s="46"/>
      <c r="AL199" s="46" t="s">
        <v>1064</v>
      </c>
      <c r="AM199" s="46"/>
      <c r="AN199" s="46"/>
      <c r="AO199" s="46"/>
      <c r="AP199" s="46" t="s">
        <v>1064</v>
      </c>
      <c r="AQ199" s="46"/>
      <c r="AR199" s="46"/>
      <c r="AS199" s="46" t="s">
        <v>586</v>
      </c>
      <c r="AT199" s="46" t="s">
        <v>2</v>
      </c>
      <c r="AU199" s="46" t="s">
        <v>4191</v>
      </c>
      <c r="AV199" s="46" t="s">
        <v>2286</v>
      </c>
      <c r="AW199" s="46" t="s">
        <v>2190</v>
      </c>
      <c r="AX199" s="46" t="s">
        <v>34</v>
      </c>
      <c r="AY199" s="46"/>
      <c r="AZ199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</row>
    <row r="200" spans="1:75" ht="150" x14ac:dyDescent="0.25">
      <c r="A200" s="47" t="s">
        <v>2288</v>
      </c>
      <c r="B200" s="45" t="s">
        <v>305</v>
      </c>
      <c r="C200" s="45" t="s">
        <v>688</v>
      </c>
      <c r="D200" s="46" t="s">
        <v>2662</v>
      </c>
      <c r="E200" s="25" t="s">
        <v>2</v>
      </c>
      <c r="F200" s="48" t="s">
        <v>893</v>
      </c>
      <c r="G200" s="62" t="s">
        <v>2663</v>
      </c>
      <c r="H200" s="63" t="s">
        <v>2192</v>
      </c>
      <c r="I200" s="46" t="s">
        <v>4621</v>
      </c>
      <c r="J200" s="46" t="s">
        <v>1064</v>
      </c>
      <c r="K200" s="46" t="s">
        <v>4191</v>
      </c>
      <c r="L200" s="46" t="s">
        <v>4191</v>
      </c>
      <c r="M200" s="46" t="s">
        <v>194</v>
      </c>
      <c r="N200" s="46" t="s">
        <v>626</v>
      </c>
      <c r="O200" s="46" t="s">
        <v>626</v>
      </c>
      <c r="P200" s="46" t="s">
        <v>626</v>
      </c>
      <c r="Q200" s="46" t="s">
        <v>194</v>
      </c>
      <c r="R200" s="46" t="s">
        <v>4402</v>
      </c>
      <c r="S200" s="46" t="s">
        <v>4403</v>
      </c>
      <c r="T200" s="46" t="s">
        <v>626</v>
      </c>
      <c r="U200" s="46" t="s">
        <v>2890</v>
      </c>
      <c r="V200" s="46" t="s">
        <v>1064</v>
      </c>
      <c r="W200" s="46" t="s">
        <v>1064</v>
      </c>
      <c r="X200" s="46"/>
      <c r="Y200" s="46"/>
      <c r="Z200" s="46"/>
      <c r="AA200" s="46"/>
      <c r="AB200" s="46"/>
      <c r="AC200" s="46" t="s">
        <v>1064</v>
      </c>
      <c r="AD200" s="46"/>
      <c r="AE200" s="46"/>
      <c r="AF200" s="46"/>
      <c r="AG200" s="46"/>
      <c r="AH200" s="46"/>
      <c r="AI200" s="46"/>
      <c r="AJ200" s="46"/>
      <c r="AK200" s="46"/>
      <c r="AL200" s="46" t="s">
        <v>1064</v>
      </c>
      <c r="AM200" s="46"/>
      <c r="AN200" s="46"/>
      <c r="AO200" s="46"/>
      <c r="AP200" s="46" t="s">
        <v>1064</v>
      </c>
      <c r="AQ200" s="46"/>
      <c r="AR200" s="46"/>
      <c r="AS200" s="46" t="s">
        <v>583</v>
      </c>
      <c r="AT200" s="46" t="s">
        <v>2</v>
      </c>
      <c r="AU200" s="46" t="s">
        <v>4191</v>
      </c>
      <c r="AV200" s="46" t="s">
        <v>2288</v>
      </c>
      <c r="AW200" s="46" t="s">
        <v>2192</v>
      </c>
      <c r="AX200" s="46" t="s">
        <v>34</v>
      </c>
      <c r="AY200" s="46"/>
      <c r="AZ200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</row>
    <row r="201" spans="1:75" ht="60" x14ac:dyDescent="0.25">
      <c r="A201" s="47" t="s">
        <v>3700</v>
      </c>
      <c r="B201" s="45" t="s">
        <v>305</v>
      </c>
      <c r="C201" s="45" t="s">
        <v>2946</v>
      </c>
      <c r="D201" s="46" t="s">
        <v>2957</v>
      </c>
      <c r="E201" s="25" t="s">
        <v>2</v>
      </c>
      <c r="F201" s="48" t="s">
        <v>308</v>
      </c>
      <c r="G201" s="62" t="s">
        <v>4023</v>
      </c>
      <c r="H201" s="63" t="s">
        <v>2916</v>
      </c>
      <c r="I201" s="46" t="s">
        <v>194</v>
      </c>
      <c r="J201" s="46" t="s">
        <v>1064</v>
      </c>
      <c r="K201" s="46" t="s">
        <v>626</v>
      </c>
      <c r="L201" s="46" t="s">
        <v>626</v>
      </c>
      <c r="M201" s="46" t="s">
        <v>194</v>
      </c>
      <c r="N201" s="46" t="s">
        <v>4191</v>
      </c>
      <c r="O201" s="46" t="s">
        <v>626</v>
      </c>
      <c r="P201" s="46" t="s">
        <v>626</v>
      </c>
      <c r="Q201" s="46" t="s">
        <v>194</v>
      </c>
      <c r="R201" s="46" t="s">
        <v>194</v>
      </c>
      <c r="S201" s="46" t="s">
        <v>194</v>
      </c>
      <c r="T201" s="46" t="s">
        <v>4191</v>
      </c>
      <c r="U201" s="46" t="s">
        <v>2890</v>
      </c>
      <c r="V201" s="46" t="s">
        <v>1064</v>
      </c>
      <c r="W201" s="46" t="s">
        <v>1064</v>
      </c>
      <c r="X201" s="46"/>
      <c r="Y201" s="46"/>
      <c r="Z201" s="46"/>
      <c r="AA201" s="46"/>
      <c r="AB201" s="46"/>
      <c r="AC201" s="46" t="s">
        <v>1064</v>
      </c>
      <c r="AD201" s="46"/>
      <c r="AE201" s="46"/>
      <c r="AF201" s="46"/>
      <c r="AG201" s="46"/>
      <c r="AH201" s="46"/>
      <c r="AI201" s="46"/>
      <c r="AJ201" s="46"/>
      <c r="AK201" s="46"/>
      <c r="AL201" s="46" t="s">
        <v>1064</v>
      </c>
      <c r="AM201" s="46"/>
      <c r="AN201" s="46"/>
      <c r="AO201" s="46"/>
      <c r="AP201" s="46" t="s">
        <v>1064</v>
      </c>
      <c r="AQ201" s="46"/>
      <c r="AR201" s="46"/>
      <c r="AS201" s="46" t="s">
        <v>583</v>
      </c>
      <c r="AT201" s="46" t="s">
        <v>2</v>
      </c>
      <c r="AU201" s="46" t="s">
        <v>4191</v>
      </c>
      <c r="AV201" s="46" t="s">
        <v>3700</v>
      </c>
      <c r="AW201" s="46" t="s">
        <v>2916</v>
      </c>
      <c r="AX201" s="46" t="s">
        <v>34</v>
      </c>
      <c r="AY201" s="46"/>
      <c r="AZ201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</row>
    <row r="202" spans="1:75" ht="60" x14ac:dyDescent="0.25">
      <c r="A202" s="47" t="s">
        <v>3702</v>
      </c>
      <c r="B202" s="45" t="s">
        <v>305</v>
      </c>
      <c r="C202" s="45" t="s">
        <v>2948</v>
      </c>
      <c r="D202" s="46" t="s">
        <v>2958</v>
      </c>
      <c r="E202" s="25" t="s">
        <v>2</v>
      </c>
      <c r="F202" s="48" t="s">
        <v>90</v>
      </c>
      <c r="G202" s="62" t="s">
        <v>4024</v>
      </c>
      <c r="H202" s="63" t="s">
        <v>2918</v>
      </c>
      <c r="I202" s="46" t="s">
        <v>194</v>
      </c>
      <c r="J202" s="46" t="s">
        <v>1064</v>
      </c>
      <c r="K202" s="46" t="s">
        <v>626</v>
      </c>
      <c r="L202" s="46" t="s">
        <v>626</v>
      </c>
      <c r="M202" s="46" t="s">
        <v>194</v>
      </c>
      <c r="N202" s="46" t="s">
        <v>4191</v>
      </c>
      <c r="O202" s="46" t="s">
        <v>626</v>
      </c>
      <c r="P202" s="46" t="s">
        <v>626</v>
      </c>
      <c r="Q202" s="46" t="s">
        <v>194</v>
      </c>
      <c r="R202" s="46" t="s">
        <v>194</v>
      </c>
      <c r="S202" s="46" t="s">
        <v>194</v>
      </c>
      <c r="T202" s="46" t="s">
        <v>4191</v>
      </c>
      <c r="U202" s="46" t="s">
        <v>2890</v>
      </c>
      <c r="V202" s="46" t="s">
        <v>1064</v>
      </c>
      <c r="W202" s="46" t="s">
        <v>1064</v>
      </c>
      <c r="X202" s="46"/>
      <c r="Y202" s="46"/>
      <c r="Z202" s="46"/>
      <c r="AA202" s="46"/>
      <c r="AB202" s="46"/>
      <c r="AC202" s="46" t="s">
        <v>1064</v>
      </c>
      <c r="AD202" s="46"/>
      <c r="AE202" s="46"/>
      <c r="AF202" s="46"/>
      <c r="AG202" s="46"/>
      <c r="AH202" s="46"/>
      <c r="AI202" s="46"/>
      <c r="AJ202" s="46"/>
      <c r="AK202" s="46"/>
      <c r="AL202" s="46" t="s">
        <v>1064</v>
      </c>
      <c r="AM202" s="46"/>
      <c r="AN202" s="46"/>
      <c r="AO202" s="46"/>
      <c r="AP202" s="46" t="s">
        <v>1064</v>
      </c>
      <c r="AQ202" s="46"/>
      <c r="AR202" s="46"/>
      <c r="AS202" s="46" t="s">
        <v>583</v>
      </c>
      <c r="AT202" s="46" t="s">
        <v>2</v>
      </c>
      <c r="AU202" s="46" t="s">
        <v>4191</v>
      </c>
      <c r="AV202" s="46" t="s">
        <v>3702</v>
      </c>
      <c r="AW202" s="46" t="s">
        <v>2918</v>
      </c>
      <c r="AX202" s="46" t="s">
        <v>34</v>
      </c>
      <c r="AY202" s="46"/>
      <c r="AZ202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</row>
    <row r="203" spans="1:75" ht="150" x14ac:dyDescent="0.25">
      <c r="A203" s="47" t="s">
        <v>3704</v>
      </c>
      <c r="B203" s="45" t="s">
        <v>305</v>
      </c>
      <c r="C203" s="45" t="s">
        <v>2949</v>
      </c>
      <c r="D203" s="46" t="s">
        <v>2959</v>
      </c>
      <c r="E203" s="25" t="s">
        <v>2</v>
      </c>
      <c r="F203" s="48" t="s">
        <v>322</v>
      </c>
      <c r="G203" s="62" t="s">
        <v>4133</v>
      </c>
      <c r="H203" s="63" t="s">
        <v>2920</v>
      </c>
      <c r="I203" s="46" t="s">
        <v>4253</v>
      </c>
      <c r="J203" s="46" t="s">
        <v>1064</v>
      </c>
      <c r="K203" s="46" t="s">
        <v>626</v>
      </c>
      <c r="L203" s="46" t="s">
        <v>4191</v>
      </c>
      <c r="M203" s="46" t="s">
        <v>194</v>
      </c>
      <c r="N203" s="46" t="s">
        <v>4191</v>
      </c>
      <c r="O203" s="46" t="s">
        <v>626</v>
      </c>
      <c r="P203" s="46" t="s">
        <v>626</v>
      </c>
      <c r="Q203" s="46" t="s">
        <v>194</v>
      </c>
      <c r="R203" s="46" t="s">
        <v>4404</v>
      </c>
      <c r="S203" s="46" t="s">
        <v>4405</v>
      </c>
      <c r="T203" s="46" t="s">
        <v>4191</v>
      </c>
      <c r="U203" s="46" t="s">
        <v>2890</v>
      </c>
      <c r="V203" s="46" t="s">
        <v>1064</v>
      </c>
      <c r="W203" s="46" t="s">
        <v>1064</v>
      </c>
      <c r="X203" s="46"/>
      <c r="Y203" s="46"/>
      <c r="Z203" s="46"/>
      <c r="AA203" s="46"/>
      <c r="AB203" s="46"/>
      <c r="AC203" s="46" t="s">
        <v>1064</v>
      </c>
      <c r="AD203" s="46"/>
      <c r="AE203" s="46"/>
      <c r="AF203" s="46"/>
      <c r="AG203" s="46"/>
      <c r="AH203" s="46"/>
      <c r="AI203" s="46"/>
      <c r="AJ203" s="46"/>
      <c r="AK203" s="46"/>
      <c r="AL203" s="46" t="s">
        <v>1064</v>
      </c>
      <c r="AM203" s="46"/>
      <c r="AN203" s="46"/>
      <c r="AO203" s="46"/>
      <c r="AP203" s="46" t="s">
        <v>1064</v>
      </c>
      <c r="AQ203" s="46"/>
      <c r="AR203" s="46"/>
      <c r="AS203" s="46" t="s">
        <v>583</v>
      </c>
      <c r="AT203" s="46" t="s">
        <v>2</v>
      </c>
      <c r="AU203" s="46" t="s">
        <v>4191</v>
      </c>
      <c r="AV203" s="46" t="s">
        <v>3704</v>
      </c>
      <c r="AW203" s="46" t="s">
        <v>2920</v>
      </c>
      <c r="AX203" s="46" t="s">
        <v>34</v>
      </c>
      <c r="AY203" s="46"/>
      <c r="AZ203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</row>
    <row r="204" spans="1:75" ht="150" x14ac:dyDescent="0.25">
      <c r="A204" s="47" t="s">
        <v>3706</v>
      </c>
      <c r="B204" s="45" t="s">
        <v>305</v>
      </c>
      <c r="C204" s="45" t="s">
        <v>2950</v>
      </c>
      <c r="D204" s="46" t="s">
        <v>2960</v>
      </c>
      <c r="E204" s="25" t="s">
        <v>2</v>
      </c>
      <c r="F204" s="48" t="s">
        <v>590</v>
      </c>
      <c r="G204" s="62" t="s">
        <v>4466</v>
      </c>
      <c r="H204" s="63" t="s">
        <v>2922</v>
      </c>
      <c r="I204" s="46" t="s">
        <v>4253</v>
      </c>
      <c r="J204" s="46" t="s">
        <v>1064</v>
      </c>
      <c r="K204" s="46" t="s">
        <v>626</v>
      </c>
      <c r="L204" s="46" t="s">
        <v>4191</v>
      </c>
      <c r="M204" s="46" t="s">
        <v>194</v>
      </c>
      <c r="N204" s="46" t="s">
        <v>4191</v>
      </c>
      <c r="O204" s="46" t="s">
        <v>626</v>
      </c>
      <c r="P204" s="46" t="s">
        <v>626</v>
      </c>
      <c r="Q204" s="46" t="s">
        <v>194</v>
      </c>
      <c r="R204" s="46" t="s">
        <v>4467</v>
      </c>
      <c r="S204" s="46" t="s">
        <v>4406</v>
      </c>
      <c r="T204" s="46" t="s">
        <v>4191</v>
      </c>
      <c r="U204" s="46" t="s">
        <v>2890</v>
      </c>
      <c r="V204" s="46" t="s">
        <v>1064</v>
      </c>
      <c r="W204" s="46" t="s">
        <v>1064</v>
      </c>
      <c r="X204" s="46"/>
      <c r="Y204" s="46"/>
      <c r="Z204" s="46"/>
      <c r="AA204" s="46"/>
      <c r="AB204" s="46"/>
      <c r="AC204" s="46" t="s">
        <v>1064</v>
      </c>
      <c r="AD204" s="46"/>
      <c r="AE204" s="46"/>
      <c r="AF204" s="46"/>
      <c r="AG204" s="46"/>
      <c r="AH204" s="46"/>
      <c r="AI204" s="46"/>
      <c r="AJ204" s="46"/>
      <c r="AK204" s="46"/>
      <c r="AL204" s="46" t="s">
        <v>1064</v>
      </c>
      <c r="AM204" s="46"/>
      <c r="AN204" s="46"/>
      <c r="AO204" s="46"/>
      <c r="AP204" s="46" t="s">
        <v>1064</v>
      </c>
      <c r="AQ204" s="46"/>
      <c r="AR204" s="46"/>
      <c r="AS204" s="46" t="s">
        <v>583</v>
      </c>
      <c r="AT204" s="46" t="s">
        <v>2</v>
      </c>
      <c r="AU204" s="46" t="s">
        <v>4191</v>
      </c>
      <c r="AV204" s="46" t="s">
        <v>3706</v>
      </c>
      <c r="AW204" s="46" t="s">
        <v>2922</v>
      </c>
      <c r="AX204" s="46" t="s">
        <v>34</v>
      </c>
      <c r="AY204" s="46"/>
      <c r="AZ204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</row>
    <row r="205" spans="1:75" ht="165" x14ac:dyDescent="0.25">
      <c r="A205" s="47" t="s">
        <v>4631</v>
      </c>
      <c r="B205" s="45" t="s">
        <v>305</v>
      </c>
      <c r="C205" s="45" t="s">
        <v>4639</v>
      </c>
      <c r="D205" s="46" t="s">
        <v>3343</v>
      </c>
      <c r="E205" s="25" t="s">
        <v>2</v>
      </c>
      <c r="F205" s="48" t="s">
        <v>90</v>
      </c>
      <c r="G205" s="62" t="s">
        <v>4745</v>
      </c>
      <c r="H205" s="63" t="s">
        <v>4626</v>
      </c>
      <c r="I205" s="46" t="s">
        <v>4253</v>
      </c>
      <c r="J205" s="46" t="s">
        <v>1064</v>
      </c>
      <c r="K205" s="46" t="s">
        <v>626</v>
      </c>
      <c r="L205" s="46" t="s">
        <v>4191</v>
      </c>
      <c r="M205" s="46" t="s">
        <v>4640</v>
      </c>
      <c r="N205" s="46" t="s">
        <v>4191</v>
      </c>
      <c r="O205" s="46" t="s">
        <v>626</v>
      </c>
      <c r="P205" s="46" t="s">
        <v>626</v>
      </c>
      <c r="Q205" s="46" t="s">
        <v>194</v>
      </c>
      <c r="R205" s="46" t="s">
        <v>4746</v>
      </c>
      <c r="S205" s="46" t="s">
        <v>4747</v>
      </c>
      <c r="T205" s="46" t="s">
        <v>4191</v>
      </c>
      <c r="U205" s="46" t="s">
        <v>2890</v>
      </c>
      <c r="V205" s="46" t="s">
        <v>1064</v>
      </c>
      <c r="W205" s="46" t="s">
        <v>1064</v>
      </c>
      <c r="X205" s="46"/>
      <c r="Y205" s="46"/>
      <c r="Z205" s="46"/>
      <c r="AA205" s="46"/>
      <c r="AB205" s="46"/>
      <c r="AC205" s="46" t="s">
        <v>1064</v>
      </c>
      <c r="AD205" s="46"/>
      <c r="AE205" s="46"/>
      <c r="AF205" s="46"/>
      <c r="AG205" s="46"/>
      <c r="AH205" s="46"/>
      <c r="AI205" s="46"/>
      <c r="AJ205" s="46"/>
      <c r="AK205" s="46"/>
      <c r="AL205" s="46" t="s">
        <v>1064</v>
      </c>
      <c r="AM205" s="46"/>
      <c r="AN205" s="46"/>
      <c r="AO205" s="46"/>
      <c r="AP205" s="46" t="s">
        <v>1064</v>
      </c>
      <c r="AQ205" s="46"/>
      <c r="AR205" s="46"/>
      <c r="AS205" s="46" t="s">
        <v>583</v>
      </c>
      <c r="AT205" s="46" t="s">
        <v>2</v>
      </c>
      <c r="AU205" s="46" t="s">
        <v>626</v>
      </c>
      <c r="AV205" s="46" t="s">
        <v>2290</v>
      </c>
      <c r="AW205" s="46" t="s">
        <v>4626</v>
      </c>
      <c r="AX205" s="46" t="s">
        <v>34</v>
      </c>
      <c r="AY205" s="46"/>
      <c r="AZ205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</row>
    <row r="206" spans="1:75" ht="75" x14ac:dyDescent="0.25">
      <c r="A206" s="47" t="s">
        <v>4633</v>
      </c>
      <c r="B206" s="45" t="s">
        <v>305</v>
      </c>
      <c r="C206" s="45" t="s">
        <v>4641</v>
      </c>
      <c r="D206" s="46" t="s">
        <v>3343</v>
      </c>
      <c r="E206" s="25" t="s">
        <v>2</v>
      </c>
      <c r="F206" s="48" t="s">
        <v>317</v>
      </c>
      <c r="G206" s="62" t="s">
        <v>4642</v>
      </c>
      <c r="H206" s="63" t="s">
        <v>4626</v>
      </c>
      <c r="I206" s="46" t="s">
        <v>194</v>
      </c>
      <c r="J206" s="46" t="s">
        <v>1064</v>
      </c>
      <c r="K206" s="46" t="s">
        <v>626</v>
      </c>
      <c r="L206" s="46" t="s">
        <v>626</v>
      </c>
      <c r="M206" s="46" t="s">
        <v>4643</v>
      </c>
      <c r="N206" s="46" t="s">
        <v>4191</v>
      </c>
      <c r="O206" s="46" t="s">
        <v>626</v>
      </c>
      <c r="P206" s="46" t="s">
        <v>626</v>
      </c>
      <c r="Q206" s="46" t="s">
        <v>194</v>
      </c>
      <c r="R206" s="46" t="s">
        <v>194</v>
      </c>
      <c r="S206" s="46" t="s">
        <v>194</v>
      </c>
      <c r="T206" s="46"/>
      <c r="U206" s="46" t="s">
        <v>2890</v>
      </c>
      <c r="V206" s="46" t="s">
        <v>1064</v>
      </c>
      <c r="W206" s="46" t="s">
        <v>1064</v>
      </c>
      <c r="X206" s="46"/>
      <c r="Y206" s="46"/>
      <c r="Z206" s="46"/>
      <c r="AA206" s="46"/>
      <c r="AB206" s="46"/>
      <c r="AC206" s="46" t="s">
        <v>1064</v>
      </c>
      <c r="AD206" s="46"/>
      <c r="AE206" s="46"/>
      <c r="AF206" s="46"/>
      <c r="AG206" s="46"/>
      <c r="AH206" s="46"/>
      <c r="AI206" s="46"/>
      <c r="AJ206" s="46"/>
      <c r="AK206" s="46"/>
      <c r="AL206" s="46" t="s">
        <v>1064</v>
      </c>
      <c r="AM206" s="46"/>
      <c r="AN206" s="46"/>
      <c r="AO206" s="46"/>
      <c r="AP206" s="46" t="s">
        <v>1064</v>
      </c>
      <c r="AQ206" s="46"/>
      <c r="AR206" s="46"/>
      <c r="AS206" s="46" t="s">
        <v>586</v>
      </c>
      <c r="AT206" s="46" t="s">
        <v>308</v>
      </c>
      <c r="AU206" s="46" t="s">
        <v>626</v>
      </c>
      <c r="AV206" s="46" t="s">
        <v>2292</v>
      </c>
      <c r="AW206" s="46" t="s">
        <v>4626</v>
      </c>
      <c r="AX206" s="46" t="s">
        <v>34</v>
      </c>
      <c r="AY206" s="46"/>
      <c r="AZ20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</row>
    <row r="207" spans="1:75" ht="75" x14ac:dyDescent="0.25">
      <c r="A207" s="47" t="s">
        <v>2290</v>
      </c>
      <c r="B207" s="45" t="s">
        <v>305</v>
      </c>
      <c r="C207" s="45" t="s">
        <v>2664</v>
      </c>
      <c r="D207" s="46" t="s">
        <v>3339</v>
      </c>
      <c r="E207" s="25" t="s">
        <v>2</v>
      </c>
      <c r="F207" s="48" t="s">
        <v>32</v>
      </c>
      <c r="G207" s="62" t="s">
        <v>2665</v>
      </c>
      <c r="H207" s="63" t="s">
        <v>2202</v>
      </c>
      <c r="I207" s="46" t="s">
        <v>194</v>
      </c>
      <c r="J207" s="46" t="s">
        <v>1064</v>
      </c>
      <c r="K207" s="46" t="s">
        <v>626</v>
      </c>
      <c r="L207" s="46" t="s">
        <v>626</v>
      </c>
      <c r="M207" s="46" t="s">
        <v>194</v>
      </c>
      <c r="N207" s="46" t="s">
        <v>626</v>
      </c>
      <c r="O207" s="46" t="s">
        <v>626</v>
      </c>
      <c r="P207" s="46" t="s">
        <v>626</v>
      </c>
      <c r="Q207" s="46" t="s">
        <v>194</v>
      </c>
      <c r="R207" s="46" t="s">
        <v>194</v>
      </c>
      <c r="S207" s="46" t="s">
        <v>194</v>
      </c>
      <c r="T207" s="46"/>
      <c r="U207" s="46" t="s">
        <v>2890</v>
      </c>
      <c r="V207" s="46" t="s">
        <v>1064</v>
      </c>
      <c r="W207" s="46" t="s">
        <v>1064</v>
      </c>
      <c r="X207" s="46"/>
      <c r="Y207" s="46"/>
      <c r="Z207" s="46"/>
      <c r="AA207" s="46"/>
      <c r="AB207" s="46"/>
      <c r="AC207" s="46" t="s">
        <v>1064</v>
      </c>
      <c r="AD207" s="46"/>
      <c r="AE207" s="46"/>
      <c r="AF207" s="46"/>
      <c r="AG207" s="46"/>
      <c r="AH207" s="46"/>
      <c r="AI207" s="46"/>
      <c r="AJ207" s="46"/>
      <c r="AK207" s="46"/>
      <c r="AL207" s="46" t="s">
        <v>4194</v>
      </c>
      <c r="AM207" s="46"/>
      <c r="AN207" s="46"/>
      <c r="AO207" s="46"/>
      <c r="AP207" s="46" t="s">
        <v>1064</v>
      </c>
      <c r="AQ207" s="46"/>
      <c r="AR207" s="46"/>
      <c r="AS207" s="46" t="s">
        <v>4483</v>
      </c>
      <c r="AT207" s="46" t="s">
        <v>2</v>
      </c>
      <c r="AU207" s="46" t="s">
        <v>4191</v>
      </c>
      <c r="AV207" s="46" t="s">
        <v>2290</v>
      </c>
      <c r="AW207" s="46" t="s">
        <v>2202</v>
      </c>
      <c r="AX207" s="46" t="s">
        <v>34</v>
      </c>
      <c r="AY207" s="46"/>
      <c r="AZ207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</row>
    <row r="208" spans="1:75" ht="75" x14ac:dyDescent="0.25">
      <c r="A208" s="47" t="s">
        <v>2292</v>
      </c>
      <c r="B208" s="45" t="s">
        <v>305</v>
      </c>
      <c r="C208" s="45" t="s">
        <v>2666</v>
      </c>
      <c r="D208" s="46" t="s">
        <v>3340</v>
      </c>
      <c r="E208" s="25" t="s">
        <v>2</v>
      </c>
      <c r="F208" s="48" t="s">
        <v>32</v>
      </c>
      <c r="G208" s="62" t="s">
        <v>2667</v>
      </c>
      <c r="H208" s="63" t="s">
        <v>2202</v>
      </c>
      <c r="I208" s="46" t="s">
        <v>194</v>
      </c>
      <c r="J208" s="46" t="s">
        <v>1064</v>
      </c>
      <c r="K208" s="46" t="s">
        <v>626</v>
      </c>
      <c r="L208" s="46" t="s">
        <v>626</v>
      </c>
      <c r="M208" s="46" t="s">
        <v>194</v>
      </c>
      <c r="N208" s="46" t="s">
        <v>626</v>
      </c>
      <c r="O208" s="46" t="s">
        <v>626</v>
      </c>
      <c r="P208" s="46" t="s">
        <v>626</v>
      </c>
      <c r="Q208" s="46" t="s">
        <v>194</v>
      </c>
      <c r="R208" s="46" t="s">
        <v>194</v>
      </c>
      <c r="S208" s="46" t="s">
        <v>194</v>
      </c>
      <c r="T208" s="46"/>
      <c r="U208" s="46" t="s">
        <v>2890</v>
      </c>
      <c r="V208" s="46" t="s">
        <v>1064</v>
      </c>
      <c r="W208" s="46" t="s">
        <v>1064</v>
      </c>
      <c r="X208" s="46"/>
      <c r="Y208" s="46"/>
      <c r="Z208" s="46"/>
      <c r="AA208" s="46"/>
      <c r="AB208" s="46"/>
      <c r="AC208" s="46" t="s">
        <v>1064</v>
      </c>
      <c r="AD208" s="46"/>
      <c r="AE208" s="46"/>
      <c r="AF208" s="46"/>
      <c r="AG208" s="46"/>
      <c r="AH208" s="46"/>
      <c r="AI208" s="46"/>
      <c r="AJ208" s="46"/>
      <c r="AK208" s="46"/>
      <c r="AL208" s="46" t="s">
        <v>4194</v>
      </c>
      <c r="AM208" s="46"/>
      <c r="AN208" s="46"/>
      <c r="AO208" s="46"/>
      <c r="AP208" s="46" t="s">
        <v>1064</v>
      </c>
      <c r="AQ208" s="46"/>
      <c r="AR208" s="46"/>
      <c r="AS208" s="46" t="s">
        <v>4483</v>
      </c>
      <c r="AT208" s="46" t="s">
        <v>308</v>
      </c>
      <c r="AU208" s="46" t="s">
        <v>4191</v>
      </c>
      <c r="AV208" s="46" t="s">
        <v>2292</v>
      </c>
      <c r="AW208" s="46" t="s">
        <v>2202</v>
      </c>
      <c r="AX208" s="46" t="s">
        <v>34</v>
      </c>
      <c r="AY208" s="46"/>
      <c r="AZ208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</row>
    <row r="209" spans="1:75" ht="75" x14ac:dyDescent="0.25">
      <c r="A209" s="47" t="s">
        <v>2294</v>
      </c>
      <c r="B209" s="45" t="s">
        <v>305</v>
      </c>
      <c r="C209" s="45" t="s">
        <v>2668</v>
      </c>
      <c r="D209" s="46" t="s">
        <v>3341</v>
      </c>
      <c r="E209" s="25" t="s">
        <v>2</v>
      </c>
      <c r="F209" s="48" t="s">
        <v>32</v>
      </c>
      <c r="G209" s="62" t="s">
        <v>2669</v>
      </c>
      <c r="H209" s="63" t="s">
        <v>2202</v>
      </c>
      <c r="I209" s="46" t="s">
        <v>194</v>
      </c>
      <c r="J209" s="46" t="s">
        <v>1064</v>
      </c>
      <c r="K209" s="46" t="s">
        <v>626</v>
      </c>
      <c r="L209" s="46" t="s">
        <v>626</v>
      </c>
      <c r="M209" s="46" t="s">
        <v>194</v>
      </c>
      <c r="N209" s="46" t="s">
        <v>626</v>
      </c>
      <c r="O209" s="46" t="s">
        <v>626</v>
      </c>
      <c r="P209" s="46" t="s">
        <v>626</v>
      </c>
      <c r="Q209" s="46" t="s">
        <v>194</v>
      </c>
      <c r="R209" s="46" t="s">
        <v>194</v>
      </c>
      <c r="S209" s="46" t="s">
        <v>194</v>
      </c>
      <c r="T209" s="46"/>
      <c r="U209" s="46" t="s">
        <v>2890</v>
      </c>
      <c r="V209" s="46" t="s">
        <v>1064</v>
      </c>
      <c r="W209" s="46" t="s">
        <v>1064</v>
      </c>
      <c r="X209" s="46"/>
      <c r="Y209" s="46"/>
      <c r="Z209" s="46"/>
      <c r="AA209" s="46"/>
      <c r="AB209" s="46"/>
      <c r="AC209" s="46" t="s">
        <v>1064</v>
      </c>
      <c r="AD209" s="46"/>
      <c r="AE209" s="46"/>
      <c r="AF209" s="46"/>
      <c r="AG209" s="46"/>
      <c r="AH209" s="46"/>
      <c r="AI209" s="46"/>
      <c r="AJ209" s="46"/>
      <c r="AK209" s="46"/>
      <c r="AL209" s="46" t="s">
        <v>4194</v>
      </c>
      <c r="AM209" s="46"/>
      <c r="AN209" s="46"/>
      <c r="AO209" s="46"/>
      <c r="AP209" s="46" t="s">
        <v>1064</v>
      </c>
      <c r="AQ209" s="46"/>
      <c r="AR209" s="46"/>
      <c r="AS209" s="46" t="s">
        <v>4483</v>
      </c>
      <c r="AT209" s="46" t="s">
        <v>314</v>
      </c>
      <c r="AU209" s="46" t="s">
        <v>4191</v>
      </c>
      <c r="AV209" s="46" t="s">
        <v>2294</v>
      </c>
      <c r="AW209" s="46" t="s">
        <v>2202</v>
      </c>
      <c r="AX209" s="46" t="s">
        <v>34</v>
      </c>
      <c r="AY209" s="46"/>
      <c r="AZ209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</row>
    <row r="210" spans="1:75" ht="150" x14ac:dyDescent="0.25">
      <c r="A210" s="47" t="s">
        <v>2296</v>
      </c>
      <c r="B210" s="45" t="s">
        <v>305</v>
      </c>
      <c r="C210" s="45" t="s">
        <v>2670</v>
      </c>
      <c r="D210" s="46" t="s">
        <v>2839</v>
      </c>
      <c r="E210" s="25" t="s">
        <v>2</v>
      </c>
      <c r="F210" s="48" t="s">
        <v>32</v>
      </c>
      <c r="G210" s="62" t="s">
        <v>2840</v>
      </c>
      <c r="H210" s="63" t="s">
        <v>2232</v>
      </c>
      <c r="I210" s="46" t="s">
        <v>4253</v>
      </c>
      <c r="J210" s="46" t="s">
        <v>1064</v>
      </c>
      <c r="K210" s="46" t="s">
        <v>4191</v>
      </c>
      <c r="L210" s="46" t="s">
        <v>4191</v>
      </c>
      <c r="M210" s="46" t="s">
        <v>194</v>
      </c>
      <c r="N210" s="46" t="s">
        <v>626</v>
      </c>
      <c r="O210" s="46" t="s">
        <v>626</v>
      </c>
      <c r="P210" s="46" t="s">
        <v>626</v>
      </c>
      <c r="Q210" s="46" t="s">
        <v>194</v>
      </c>
      <c r="R210" s="46" t="s">
        <v>4407</v>
      </c>
      <c r="S210" s="46" t="s">
        <v>4408</v>
      </c>
      <c r="T210" s="46"/>
      <c r="U210" s="46" t="s">
        <v>2890</v>
      </c>
      <c r="V210" s="46" t="s">
        <v>1064</v>
      </c>
      <c r="W210" s="46" t="s">
        <v>1064</v>
      </c>
      <c r="X210" s="46"/>
      <c r="Y210" s="46"/>
      <c r="Z210" s="46"/>
      <c r="AA210" s="46"/>
      <c r="AB210" s="46"/>
      <c r="AC210" s="46" t="s">
        <v>1064</v>
      </c>
      <c r="AD210" s="46"/>
      <c r="AE210" s="46"/>
      <c r="AF210" s="46"/>
      <c r="AG210" s="46"/>
      <c r="AH210" s="46"/>
      <c r="AI210" s="46"/>
      <c r="AJ210" s="46"/>
      <c r="AK210" s="46"/>
      <c r="AL210" s="46" t="s">
        <v>1064</v>
      </c>
      <c r="AM210" s="46"/>
      <c r="AN210" s="46"/>
      <c r="AO210" s="46"/>
      <c r="AP210" s="46" t="s">
        <v>1064</v>
      </c>
      <c r="AQ210" s="46"/>
      <c r="AR210" s="46"/>
      <c r="AS210" s="46" t="s">
        <v>583</v>
      </c>
      <c r="AT210" s="46" t="s">
        <v>2</v>
      </c>
      <c r="AU210" s="46" t="s">
        <v>4191</v>
      </c>
      <c r="AV210" s="46" t="s">
        <v>2296</v>
      </c>
      <c r="AW210" s="46" t="s">
        <v>2232</v>
      </c>
      <c r="AX210" s="46" t="s">
        <v>34</v>
      </c>
      <c r="AY210" s="46"/>
      <c r="AZ210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</row>
    <row r="211" spans="1:75" ht="150" x14ac:dyDescent="0.25">
      <c r="A211" s="47" t="s">
        <v>3191</v>
      </c>
      <c r="B211" s="45" t="s">
        <v>305</v>
      </c>
      <c r="C211" s="45" t="s">
        <v>3342</v>
      </c>
      <c r="D211" s="46" t="s">
        <v>3343</v>
      </c>
      <c r="E211" s="25" t="s">
        <v>2</v>
      </c>
      <c r="F211" s="48" t="s">
        <v>32</v>
      </c>
      <c r="G211" s="62" t="s">
        <v>3344</v>
      </c>
      <c r="H211" s="63" t="s">
        <v>3117</v>
      </c>
      <c r="I211" s="46" t="s">
        <v>4253</v>
      </c>
      <c r="J211" s="46" t="s">
        <v>1064</v>
      </c>
      <c r="K211" s="46" t="s">
        <v>626</v>
      </c>
      <c r="L211" s="46" t="s">
        <v>4191</v>
      </c>
      <c r="M211" s="46" t="s">
        <v>4285</v>
      </c>
      <c r="N211" s="46" t="s">
        <v>4191</v>
      </c>
      <c r="O211" s="46" t="s">
        <v>626</v>
      </c>
      <c r="P211" s="46" t="s">
        <v>626</v>
      </c>
      <c r="Q211" s="46" t="s">
        <v>194</v>
      </c>
      <c r="R211" s="46" t="s">
        <v>4409</v>
      </c>
      <c r="S211" s="46" t="s">
        <v>4410</v>
      </c>
      <c r="T211" s="46" t="s">
        <v>4191</v>
      </c>
      <c r="U211" s="46" t="s">
        <v>2890</v>
      </c>
      <c r="V211" s="46" t="s">
        <v>1064</v>
      </c>
      <c r="W211" s="46" t="s">
        <v>1064</v>
      </c>
      <c r="X211" s="46"/>
      <c r="Y211" s="46"/>
      <c r="Z211" s="46"/>
      <c r="AA211" s="46"/>
      <c r="AB211" s="46"/>
      <c r="AC211" s="46" t="s">
        <v>1064</v>
      </c>
      <c r="AD211" s="46"/>
      <c r="AE211" s="46"/>
      <c r="AF211" s="46"/>
      <c r="AG211" s="46"/>
      <c r="AH211" s="46"/>
      <c r="AI211" s="46"/>
      <c r="AJ211" s="46"/>
      <c r="AK211" s="46"/>
      <c r="AL211" s="46" t="s">
        <v>1064</v>
      </c>
      <c r="AM211" s="46"/>
      <c r="AN211" s="46"/>
      <c r="AO211" s="46"/>
      <c r="AP211" s="46" t="s">
        <v>1064</v>
      </c>
      <c r="AQ211" s="46"/>
      <c r="AR211" s="46"/>
      <c r="AS211" s="46" t="s">
        <v>583</v>
      </c>
      <c r="AT211" s="46" t="s">
        <v>2</v>
      </c>
      <c r="AU211" s="46" t="s">
        <v>626</v>
      </c>
      <c r="AV211" s="46" t="s">
        <v>2290</v>
      </c>
      <c r="AW211" s="46" t="s">
        <v>3117</v>
      </c>
      <c r="AX211" s="46" t="s">
        <v>34</v>
      </c>
      <c r="AY211" s="46"/>
      <c r="AZ211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</row>
    <row r="212" spans="1:75" ht="75" x14ac:dyDescent="0.25">
      <c r="A212" s="47" t="s">
        <v>3345</v>
      </c>
      <c r="B212" s="45" t="s">
        <v>305</v>
      </c>
      <c r="C212" s="45" t="s">
        <v>3346</v>
      </c>
      <c r="D212" s="46" t="s">
        <v>3343</v>
      </c>
      <c r="E212" s="25" t="s">
        <v>2</v>
      </c>
      <c r="F212" s="48" t="s">
        <v>32</v>
      </c>
      <c r="G212" s="62" t="s">
        <v>2723</v>
      </c>
      <c r="H212" s="63" t="s">
        <v>3117</v>
      </c>
      <c r="I212" s="46" t="s">
        <v>194</v>
      </c>
      <c r="J212" s="46" t="s">
        <v>1064</v>
      </c>
      <c r="K212" s="46" t="s">
        <v>626</v>
      </c>
      <c r="L212" s="46" t="s">
        <v>626</v>
      </c>
      <c r="M212" s="46" t="s">
        <v>4303</v>
      </c>
      <c r="N212" s="46" t="s">
        <v>4191</v>
      </c>
      <c r="O212" s="46" t="s">
        <v>626</v>
      </c>
      <c r="P212" s="46" t="s">
        <v>626</v>
      </c>
      <c r="Q212" s="46" t="s">
        <v>194</v>
      </c>
      <c r="R212" s="46" t="s">
        <v>194</v>
      </c>
      <c r="S212" s="46" t="s">
        <v>194</v>
      </c>
      <c r="T212" s="46" t="s">
        <v>626</v>
      </c>
      <c r="U212" s="46" t="s">
        <v>2890</v>
      </c>
      <c r="V212" s="46" t="s">
        <v>1064</v>
      </c>
      <c r="W212" s="46" t="s">
        <v>1064</v>
      </c>
      <c r="X212" s="46"/>
      <c r="Y212" s="46"/>
      <c r="Z212" s="46"/>
      <c r="AA212" s="46"/>
      <c r="AB212" s="46"/>
      <c r="AC212" s="46" t="s">
        <v>1064</v>
      </c>
      <c r="AD212" s="46"/>
      <c r="AE212" s="46"/>
      <c r="AF212" s="46"/>
      <c r="AG212" s="46"/>
      <c r="AH212" s="46"/>
      <c r="AI212" s="46"/>
      <c r="AJ212" s="46"/>
      <c r="AK212" s="46"/>
      <c r="AL212" s="46" t="s">
        <v>1064</v>
      </c>
      <c r="AM212" s="46"/>
      <c r="AN212" s="46"/>
      <c r="AO212" s="46"/>
      <c r="AP212" s="46" t="s">
        <v>1064</v>
      </c>
      <c r="AQ212" s="46"/>
      <c r="AR212" s="46"/>
      <c r="AS212" s="46" t="s">
        <v>586</v>
      </c>
      <c r="AT212" s="46" t="s">
        <v>308</v>
      </c>
      <c r="AU212" s="46" t="s">
        <v>626</v>
      </c>
      <c r="AV212" s="46" t="s">
        <v>2292</v>
      </c>
      <c r="AW212" s="46" t="s">
        <v>3117</v>
      </c>
      <c r="AX212" s="46" t="s">
        <v>34</v>
      </c>
      <c r="AY212" s="46"/>
      <c r="AZ212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</row>
    <row r="213" spans="1:75" ht="75" x14ac:dyDescent="0.25">
      <c r="A213" s="47" t="s">
        <v>3347</v>
      </c>
      <c r="B213" s="45" t="s">
        <v>305</v>
      </c>
      <c r="C213" s="45" t="s">
        <v>3348</v>
      </c>
      <c r="D213" s="46" t="s">
        <v>3343</v>
      </c>
      <c r="E213" s="25" t="s">
        <v>2</v>
      </c>
      <c r="F213" s="48" t="s">
        <v>32</v>
      </c>
      <c r="G213" s="62" t="s">
        <v>2677</v>
      </c>
      <c r="H213" s="63" t="s">
        <v>3117</v>
      </c>
      <c r="I213" s="46" t="s">
        <v>194</v>
      </c>
      <c r="J213" s="46" t="s">
        <v>1064</v>
      </c>
      <c r="K213" s="46" t="s">
        <v>626</v>
      </c>
      <c r="L213" s="46" t="s">
        <v>626</v>
      </c>
      <c r="M213" s="46" t="s">
        <v>4242</v>
      </c>
      <c r="N213" s="46" t="s">
        <v>4191</v>
      </c>
      <c r="O213" s="46" t="s">
        <v>626</v>
      </c>
      <c r="P213" s="46" t="s">
        <v>626</v>
      </c>
      <c r="Q213" s="46" t="s">
        <v>194</v>
      </c>
      <c r="R213" s="46" t="s">
        <v>194</v>
      </c>
      <c r="S213" s="46" t="s">
        <v>194</v>
      </c>
      <c r="T213" s="46" t="s">
        <v>626</v>
      </c>
      <c r="U213" s="46" t="s">
        <v>2890</v>
      </c>
      <c r="V213" s="46" t="s">
        <v>1064</v>
      </c>
      <c r="W213" s="46" t="s">
        <v>1064</v>
      </c>
      <c r="X213" s="46"/>
      <c r="Y213" s="46"/>
      <c r="Z213" s="46"/>
      <c r="AA213" s="46"/>
      <c r="AB213" s="46"/>
      <c r="AC213" s="46" t="s">
        <v>1064</v>
      </c>
      <c r="AD213" s="46"/>
      <c r="AE213" s="46"/>
      <c r="AF213" s="46"/>
      <c r="AG213" s="46"/>
      <c r="AH213" s="46"/>
      <c r="AI213" s="46"/>
      <c r="AJ213" s="46"/>
      <c r="AK213" s="46"/>
      <c r="AL213" s="46" t="s">
        <v>1064</v>
      </c>
      <c r="AM213" s="46"/>
      <c r="AN213" s="46"/>
      <c r="AO213" s="46"/>
      <c r="AP213" s="46" t="s">
        <v>1064</v>
      </c>
      <c r="AQ213" s="46"/>
      <c r="AR213" s="46"/>
      <c r="AS213" s="46" t="s">
        <v>584</v>
      </c>
      <c r="AT213" s="46" t="s">
        <v>314</v>
      </c>
      <c r="AU213" s="46" t="s">
        <v>626</v>
      </c>
      <c r="AV213" s="46" t="s">
        <v>2294</v>
      </c>
      <c r="AW213" s="46" t="s">
        <v>3117</v>
      </c>
      <c r="AX213" s="46" t="s">
        <v>34</v>
      </c>
      <c r="AY213" s="46"/>
      <c r="AZ213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</row>
    <row r="214" spans="1:75" ht="150" x14ac:dyDescent="0.25">
      <c r="A214" s="47" t="s">
        <v>2298</v>
      </c>
      <c r="B214" s="45" t="s">
        <v>305</v>
      </c>
      <c r="C214" s="45" t="s">
        <v>2671</v>
      </c>
      <c r="D214" s="46" t="s">
        <v>453</v>
      </c>
      <c r="E214" s="25" t="s">
        <v>2</v>
      </c>
      <c r="F214" s="48" t="s">
        <v>317</v>
      </c>
      <c r="G214" s="62" t="s">
        <v>2672</v>
      </c>
      <c r="H214" s="63" t="s">
        <v>2172</v>
      </c>
      <c r="I214" s="46" t="s">
        <v>4253</v>
      </c>
      <c r="J214" s="46" t="s">
        <v>1064</v>
      </c>
      <c r="K214" s="46" t="s">
        <v>626</v>
      </c>
      <c r="L214" s="46" t="s">
        <v>4191</v>
      </c>
      <c r="M214" s="46" t="s">
        <v>4289</v>
      </c>
      <c r="N214" s="46" t="s">
        <v>4191</v>
      </c>
      <c r="O214" s="46" t="s">
        <v>626</v>
      </c>
      <c r="P214" s="46" t="s">
        <v>626</v>
      </c>
      <c r="Q214" s="46" t="s">
        <v>194</v>
      </c>
      <c r="R214" s="46" t="s">
        <v>4293</v>
      </c>
      <c r="S214" s="46" t="s">
        <v>4294</v>
      </c>
      <c r="T214" s="46" t="s">
        <v>4191</v>
      </c>
      <c r="U214" s="46" t="s">
        <v>2890</v>
      </c>
      <c r="V214" s="46" t="s">
        <v>1064</v>
      </c>
      <c r="W214" s="46" t="s">
        <v>1064</v>
      </c>
      <c r="X214" s="46"/>
      <c r="Y214" s="46"/>
      <c r="Z214" s="46"/>
      <c r="AA214" s="46"/>
      <c r="AB214" s="46"/>
      <c r="AC214" s="46" t="s">
        <v>1064</v>
      </c>
      <c r="AD214" s="46"/>
      <c r="AE214" s="46"/>
      <c r="AF214" s="46"/>
      <c r="AG214" s="46"/>
      <c r="AH214" s="46"/>
      <c r="AI214" s="46"/>
      <c r="AJ214" s="46"/>
      <c r="AK214" s="46"/>
      <c r="AL214" s="46" t="s">
        <v>1064</v>
      </c>
      <c r="AM214" s="46"/>
      <c r="AN214" s="46"/>
      <c r="AO214" s="46"/>
      <c r="AP214" s="46" t="s">
        <v>1064</v>
      </c>
      <c r="AQ214" s="46"/>
      <c r="AR214" s="46"/>
      <c r="AS214" s="46" t="s">
        <v>583</v>
      </c>
      <c r="AT214" s="46" t="s">
        <v>2</v>
      </c>
      <c r="AU214" s="46" t="s">
        <v>626</v>
      </c>
      <c r="AV214" s="46" t="s">
        <v>2290</v>
      </c>
      <c r="AW214" s="46" t="s">
        <v>2172</v>
      </c>
      <c r="AX214" s="46" t="s">
        <v>34</v>
      </c>
      <c r="AY214" s="46"/>
      <c r="AZ214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</row>
    <row r="215" spans="1:75" ht="75" x14ac:dyDescent="0.25">
      <c r="A215" s="47" t="s">
        <v>2300</v>
      </c>
      <c r="B215" s="45" t="s">
        <v>305</v>
      </c>
      <c r="C215" s="45" t="s">
        <v>2673</v>
      </c>
      <c r="D215" s="46" t="s">
        <v>450</v>
      </c>
      <c r="E215" s="25" t="s">
        <v>2</v>
      </c>
      <c r="F215" s="48" t="s">
        <v>314</v>
      </c>
      <c r="G215" s="62" t="s">
        <v>2674</v>
      </c>
      <c r="H215" s="63" t="s">
        <v>2172</v>
      </c>
      <c r="I215" s="46" t="s">
        <v>194</v>
      </c>
      <c r="J215" s="46" t="s">
        <v>1064</v>
      </c>
      <c r="K215" s="46" t="s">
        <v>626</v>
      </c>
      <c r="L215" s="46" t="s">
        <v>626</v>
      </c>
      <c r="M215" s="46" t="s">
        <v>4292</v>
      </c>
      <c r="N215" s="46" t="s">
        <v>4191</v>
      </c>
      <c r="O215" s="46" t="s">
        <v>626</v>
      </c>
      <c r="P215" s="46" t="s">
        <v>626</v>
      </c>
      <c r="Q215" s="46" t="s">
        <v>194</v>
      </c>
      <c r="R215" s="46" t="s">
        <v>194</v>
      </c>
      <c r="S215" s="46" t="s">
        <v>194</v>
      </c>
      <c r="T215" s="46" t="s">
        <v>626</v>
      </c>
      <c r="U215" s="46" t="s">
        <v>2890</v>
      </c>
      <c r="V215" s="46" t="s">
        <v>1064</v>
      </c>
      <c r="W215" s="46" t="s">
        <v>1064</v>
      </c>
      <c r="X215" s="46"/>
      <c r="Y215" s="46"/>
      <c r="Z215" s="46"/>
      <c r="AA215" s="46"/>
      <c r="AB215" s="46"/>
      <c r="AC215" s="46" t="s">
        <v>1064</v>
      </c>
      <c r="AD215" s="46"/>
      <c r="AE215" s="46"/>
      <c r="AF215" s="46"/>
      <c r="AG215" s="46"/>
      <c r="AH215" s="46"/>
      <c r="AI215" s="46"/>
      <c r="AJ215" s="46"/>
      <c r="AK215" s="46"/>
      <c r="AL215" s="46" t="s">
        <v>1064</v>
      </c>
      <c r="AM215" s="46"/>
      <c r="AN215" s="46"/>
      <c r="AO215" s="46"/>
      <c r="AP215" s="46" t="s">
        <v>1064</v>
      </c>
      <c r="AQ215" s="46"/>
      <c r="AR215" s="46"/>
      <c r="AS215" s="46" t="s">
        <v>586</v>
      </c>
      <c r="AT215" s="46" t="s">
        <v>308</v>
      </c>
      <c r="AU215" s="46" t="s">
        <v>626</v>
      </c>
      <c r="AV215" s="46" t="s">
        <v>2292</v>
      </c>
      <c r="AW215" s="46" t="s">
        <v>2172</v>
      </c>
      <c r="AX215" s="46" t="s">
        <v>34</v>
      </c>
      <c r="AY215" s="46"/>
      <c r="AZ215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</row>
    <row r="216" spans="1:75" ht="75" x14ac:dyDescent="0.25">
      <c r="A216" s="47" t="s">
        <v>2675</v>
      </c>
      <c r="B216" s="45" t="s">
        <v>305</v>
      </c>
      <c r="C216" s="45" t="s">
        <v>2676</v>
      </c>
      <c r="D216" s="46" t="s">
        <v>444</v>
      </c>
      <c r="E216" s="25" t="s">
        <v>2</v>
      </c>
      <c r="F216" s="48" t="s">
        <v>308</v>
      </c>
      <c r="G216" s="62" t="s">
        <v>2677</v>
      </c>
      <c r="H216" s="63" t="s">
        <v>2172</v>
      </c>
      <c r="I216" s="46" t="s">
        <v>194</v>
      </c>
      <c r="J216" s="46" t="s">
        <v>1064</v>
      </c>
      <c r="K216" s="46" t="s">
        <v>626</v>
      </c>
      <c r="L216" s="46" t="s">
        <v>626</v>
      </c>
      <c r="M216" s="46" t="s">
        <v>4242</v>
      </c>
      <c r="N216" s="46" t="s">
        <v>4191</v>
      </c>
      <c r="O216" s="46" t="s">
        <v>626</v>
      </c>
      <c r="P216" s="46" t="s">
        <v>626</v>
      </c>
      <c r="Q216" s="46" t="s">
        <v>194</v>
      </c>
      <c r="R216" s="46" t="s">
        <v>194</v>
      </c>
      <c r="S216" s="46" t="s">
        <v>194</v>
      </c>
      <c r="T216" s="46" t="s">
        <v>626</v>
      </c>
      <c r="U216" s="46" t="s">
        <v>2890</v>
      </c>
      <c r="V216" s="46" t="s">
        <v>1064</v>
      </c>
      <c r="W216" s="46" t="s">
        <v>1064</v>
      </c>
      <c r="X216" s="46"/>
      <c r="Y216" s="46"/>
      <c r="Z216" s="46"/>
      <c r="AA216" s="46"/>
      <c r="AB216" s="46"/>
      <c r="AC216" s="46" t="s">
        <v>1064</v>
      </c>
      <c r="AD216" s="46"/>
      <c r="AE216" s="46"/>
      <c r="AF216" s="46"/>
      <c r="AG216" s="46"/>
      <c r="AH216" s="46"/>
      <c r="AI216" s="46"/>
      <c r="AJ216" s="46"/>
      <c r="AK216" s="46"/>
      <c r="AL216" s="46" t="s">
        <v>1064</v>
      </c>
      <c r="AM216" s="46"/>
      <c r="AN216" s="46"/>
      <c r="AO216" s="46"/>
      <c r="AP216" s="46" t="s">
        <v>1064</v>
      </c>
      <c r="AQ216" s="46"/>
      <c r="AR216" s="46"/>
      <c r="AS216" s="46" t="s">
        <v>584</v>
      </c>
      <c r="AT216" s="46" t="s">
        <v>314</v>
      </c>
      <c r="AU216" s="46" t="s">
        <v>626</v>
      </c>
      <c r="AV216" s="46" t="s">
        <v>2294</v>
      </c>
      <c r="AW216" s="46" t="s">
        <v>2172</v>
      </c>
      <c r="AX216" s="46" t="s">
        <v>34</v>
      </c>
      <c r="AY216" s="46"/>
      <c r="AZ21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</row>
    <row r="217" spans="1:75" ht="150" x14ac:dyDescent="0.25">
      <c r="A217" s="47" t="s">
        <v>3405</v>
      </c>
      <c r="B217" s="45" t="s">
        <v>305</v>
      </c>
      <c r="C217" s="45" t="s">
        <v>2671</v>
      </c>
      <c r="D217" s="46" t="s">
        <v>3413</v>
      </c>
      <c r="E217" s="25" t="s">
        <v>2</v>
      </c>
      <c r="F217" s="48" t="s">
        <v>317</v>
      </c>
      <c r="G217" s="62" t="s">
        <v>2672</v>
      </c>
      <c r="H217" s="63"/>
      <c r="I217" s="46" t="s">
        <v>4253</v>
      </c>
      <c r="J217" s="46" t="s">
        <v>1064</v>
      </c>
      <c r="K217" s="46" t="s">
        <v>626</v>
      </c>
      <c r="L217" s="46" t="s">
        <v>4191</v>
      </c>
      <c r="M217" s="46" t="s">
        <v>4289</v>
      </c>
      <c r="N217" s="46" t="s">
        <v>4191</v>
      </c>
      <c r="O217" s="46" t="s">
        <v>626</v>
      </c>
      <c r="P217" s="46" t="s">
        <v>626</v>
      </c>
      <c r="Q217" s="46" t="s">
        <v>194</v>
      </c>
      <c r="R217" s="46" t="s">
        <v>4293</v>
      </c>
      <c r="S217" s="46" t="s">
        <v>4294</v>
      </c>
      <c r="T217" s="46" t="s">
        <v>4191</v>
      </c>
      <c r="U217" s="46" t="s">
        <v>2890</v>
      </c>
      <c r="V217" s="46" t="s">
        <v>1064</v>
      </c>
      <c r="W217" s="46" t="s">
        <v>1064</v>
      </c>
      <c r="X217" s="46"/>
      <c r="Y217" s="46"/>
      <c r="Z217" s="46"/>
      <c r="AA217" s="46"/>
      <c r="AB217" s="46"/>
      <c r="AC217" s="46" t="s">
        <v>1064</v>
      </c>
      <c r="AD217" s="46"/>
      <c r="AE217" s="46"/>
      <c r="AF217" s="46"/>
      <c r="AG217" s="46"/>
      <c r="AH217" s="46"/>
      <c r="AI217" s="46"/>
      <c r="AJ217" s="46"/>
      <c r="AK217" s="46"/>
      <c r="AL217" s="46" t="s">
        <v>1064</v>
      </c>
      <c r="AM217" s="46"/>
      <c r="AN217" s="46"/>
      <c r="AO217" s="46"/>
      <c r="AP217" s="46" t="s">
        <v>1064</v>
      </c>
      <c r="AQ217" s="46"/>
      <c r="AR217" s="46"/>
      <c r="AS217" s="46" t="s">
        <v>583</v>
      </c>
      <c r="AT217" s="46" t="s">
        <v>2</v>
      </c>
      <c r="AU217" s="46" t="s">
        <v>626</v>
      </c>
      <c r="AV217" s="46" t="s">
        <v>2290</v>
      </c>
      <c r="AW217" s="46"/>
      <c r="AX217" s="46"/>
      <c r="AY217" s="46"/>
      <c r="AZ217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</row>
    <row r="218" spans="1:75" ht="75" x14ac:dyDescent="0.25">
      <c r="A218" s="47" t="s">
        <v>3406</v>
      </c>
      <c r="B218" s="45" t="s">
        <v>305</v>
      </c>
      <c r="C218" s="45" t="s">
        <v>2673</v>
      </c>
      <c r="D218" s="46" t="s">
        <v>3413</v>
      </c>
      <c r="E218" s="25" t="s">
        <v>2</v>
      </c>
      <c r="F218" s="48" t="s">
        <v>314</v>
      </c>
      <c r="G218" s="62" t="s">
        <v>2674</v>
      </c>
      <c r="H218" s="63" t="s">
        <v>3403</v>
      </c>
      <c r="I218" s="46" t="s">
        <v>194</v>
      </c>
      <c r="J218" s="46" t="s">
        <v>1064</v>
      </c>
      <c r="K218" s="46" t="s">
        <v>626</v>
      </c>
      <c r="L218" s="46" t="s">
        <v>626</v>
      </c>
      <c r="M218" s="46" t="s">
        <v>4292</v>
      </c>
      <c r="N218" s="46" t="s">
        <v>4191</v>
      </c>
      <c r="O218" s="46" t="s">
        <v>626</v>
      </c>
      <c r="P218" s="46" t="s">
        <v>626</v>
      </c>
      <c r="Q218" s="46" t="s">
        <v>194</v>
      </c>
      <c r="R218" s="46" t="s">
        <v>194</v>
      </c>
      <c r="S218" s="46" t="s">
        <v>194</v>
      </c>
      <c r="T218" s="46" t="s">
        <v>626</v>
      </c>
      <c r="U218" s="46" t="s">
        <v>2890</v>
      </c>
      <c r="V218" s="46" t="s">
        <v>1064</v>
      </c>
      <c r="W218" s="46" t="s">
        <v>1064</v>
      </c>
      <c r="X218" s="46"/>
      <c r="Y218" s="46"/>
      <c r="Z218" s="46"/>
      <c r="AA218" s="46"/>
      <c r="AB218" s="46"/>
      <c r="AC218" s="46" t="s">
        <v>1064</v>
      </c>
      <c r="AD218" s="46"/>
      <c r="AE218" s="46"/>
      <c r="AF218" s="46"/>
      <c r="AG218" s="46"/>
      <c r="AH218" s="46"/>
      <c r="AI218" s="46"/>
      <c r="AJ218" s="46"/>
      <c r="AK218" s="46"/>
      <c r="AL218" s="46" t="s">
        <v>1064</v>
      </c>
      <c r="AM218" s="46"/>
      <c r="AN218" s="46"/>
      <c r="AO218" s="46"/>
      <c r="AP218" s="46" t="s">
        <v>1064</v>
      </c>
      <c r="AQ218" s="46"/>
      <c r="AR218" s="46"/>
      <c r="AS218" s="46" t="s">
        <v>586</v>
      </c>
      <c r="AT218" s="46" t="s">
        <v>308</v>
      </c>
      <c r="AU218" s="46" t="s">
        <v>626</v>
      </c>
      <c r="AV218" s="46" t="s">
        <v>2292</v>
      </c>
      <c r="AW218" s="46" t="s">
        <v>3403</v>
      </c>
      <c r="AX218" s="46" t="s">
        <v>34</v>
      </c>
      <c r="AY218" s="46"/>
      <c r="AZ218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</row>
    <row r="219" spans="1:75" ht="75" x14ac:dyDescent="0.25">
      <c r="A219" s="47" t="s">
        <v>3414</v>
      </c>
      <c r="B219" s="45" t="s">
        <v>305</v>
      </c>
      <c r="C219" s="45" t="s">
        <v>2676</v>
      </c>
      <c r="D219" s="46" t="s">
        <v>3413</v>
      </c>
      <c r="E219" s="25" t="s">
        <v>2</v>
      </c>
      <c r="F219" s="48" t="s">
        <v>308</v>
      </c>
      <c r="G219" s="62" t="s">
        <v>2677</v>
      </c>
      <c r="H219" s="63"/>
      <c r="I219" s="46" t="s">
        <v>194</v>
      </c>
      <c r="J219" s="46" t="s">
        <v>1064</v>
      </c>
      <c r="K219" s="46" t="s">
        <v>626</v>
      </c>
      <c r="L219" s="46" t="s">
        <v>626</v>
      </c>
      <c r="M219" s="46" t="s">
        <v>4242</v>
      </c>
      <c r="N219" s="46" t="s">
        <v>4191</v>
      </c>
      <c r="O219" s="46" t="s">
        <v>626</v>
      </c>
      <c r="P219" s="46" t="s">
        <v>626</v>
      </c>
      <c r="Q219" s="46" t="s">
        <v>194</v>
      </c>
      <c r="R219" s="46" t="s">
        <v>194</v>
      </c>
      <c r="S219" s="46" t="s">
        <v>194</v>
      </c>
      <c r="T219" s="46" t="s">
        <v>626</v>
      </c>
      <c r="U219" s="46" t="s">
        <v>2890</v>
      </c>
      <c r="V219" s="46" t="s">
        <v>1064</v>
      </c>
      <c r="W219" s="46" t="s">
        <v>1064</v>
      </c>
      <c r="X219" s="46"/>
      <c r="Y219" s="46"/>
      <c r="Z219" s="46"/>
      <c r="AA219" s="46"/>
      <c r="AB219" s="46"/>
      <c r="AC219" s="46" t="s">
        <v>1064</v>
      </c>
      <c r="AD219" s="46"/>
      <c r="AE219" s="46"/>
      <c r="AF219" s="46"/>
      <c r="AG219" s="46"/>
      <c r="AH219" s="46"/>
      <c r="AI219" s="46"/>
      <c r="AJ219" s="46"/>
      <c r="AK219" s="46"/>
      <c r="AL219" s="46" t="s">
        <v>1064</v>
      </c>
      <c r="AM219" s="46"/>
      <c r="AN219" s="46"/>
      <c r="AO219" s="46"/>
      <c r="AP219" s="46" t="s">
        <v>1064</v>
      </c>
      <c r="AQ219" s="46"/>
      <c r="AR219" s="46"/>
      <c r="AS219" s="46" t="s">
        <v>584</v>
      </c>
      <c r="AT219" s="46" t="s">
        <v>314</v>
      </c>
      <c r="AU219" s="46" t="s">
        <v>626</v>
      </c>
      <c r="AV219" s="46" t="s">
        <v>2294</v>
      </c>
      <c r="AW219" s="46"/>
      <c r="AX219" s="46"/>
      <c r="AY219" s="46"/>
      <c r="AZ219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</row>
    <row r="220" spans="1:75" ht="150" x14ac:dyDescent="0.25">
      <c r="A220" s="47" t="s">
        <v>2301</v>
      </c>
      <c r="B220" s="45" t="s">
        <v>305</v>
      </c>
      <c r="C220" s="45" t="s">
        <v>2678</v>
      </c>
      <c r="D220" s="46" t="s">
        <v>712</v>
      </c>
      <c r="E220" s="25" t="s">
        <v>2</v>
      </c>
      <c r="F220" s="48" t="s">
        <v>801</v>
      </c>
      <c r="G220" s="62" t="s">
        <v>2679</v>
      </c>
      <c r="H220" s="63" t="s">
        <v>2200</v>
      </c>
      <c r="I220" s="46" t="s">
        <v>4253</v>
      </c>
      <c r="J220" s="46" t="s">
        <v>1064</v>
      </c>
      <c r="K220" s="46" t="s">
        <v>626</v>
      </c>
      <c r="L220" s="46" t="s">
        <v>4191</v>
      </c>
      <c r="M220" s="46" t="s">
        <v>4411</v>
      </c>
      <c r="N220" s="46" t="s">
        <v>4191</v>
      </c>
      <c r="O220" s="46" t="s">
        <v>626</v>
      </c>
      <c r="P220" s="46" t="s">
        <v>626</v>
      </c>
      <c r="Q220" s="46" t="s">
        <v>194</v>
      </c>
      <c r="R220" s="46" t="s">
        <v>4290</v>
      </c>
      <c r="S220" s="46" t="s">
        <v>4291</v>
      </c>
      <c r="T220" s="46" t="s">
        <v>4191</v>
      </c>
      <c r="U220" s="46" t="s">
        <v>2890</v>
      </c>
      <c r="V220" s="46" t="s">
        <v>1064</v>
      </c>
      <c r="W220" s="46" t="s">
        <v>1064</v>
      </c>
      <c r="X220" s="46"/>
      <c r="Y220" s="46"/>
      <c r="Z220" s="46"/>
      <c r="AA220" s="46"/>
      <c r="AB220" s="46"/>
      <c r="AC220" s="46" t="s">
        <v>1064</v>
      </c>
      <c r="AD220" s="46"/>
      <c r="AE220" s="46"/>
      <c r="AF220" s="46"/>
      <c r="AG220" s="46"/>
      <c r="AH220" s="46"/>
      <c r="AI220" s="46"/>
      <c r="AJ220" s="46"/>
      <c r="AK220" s="46"/>
      <c r="AL220" s="46" t="s">
        <v>1064</v>
      </c>
      <c r="AM220" s="46"/>
      <c r="AN220" s="46"/>
      <c r="AO220" s="46"/>
      <c r="AP220" s="46" t="s">
        <v>1064</v>
      </c>
      <c r="AQ220" s="46"/>
      <c r="AR220" s="46"/>
      <c r="AS220" s="46" t="s">
        <v>583</v>
      </c>
      <c r="AT220" s="46" t="s">
        <v>2</v>
      </c>
      <c r="AU220" s="46" t="s">
        <v>626</v>
      </c>
      <c r="AV220" s="46" t="s">
        <v>2290</v>
      </c>
      <c r="AW220" s="46" t="s">
        <v>2200</v>
      </c>
      <c r="AX220" s="46" t="s">
        <v>34</v>
      </c>
      <c r="AY220" s="46"/>
      <c r="AZ220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</row>
    <row r="221" spans="1:75" ht="75" x14ac:dyDescent="0.25">
      <c r="A221" s="47" t="s">
        <v>2303</v>
      </c>
      <c r="B221" s="45" t="s">
        <v>305</v>
      </c>
      <c r="C221" s="45" t="s">
        <v>2680</v>
      </c>
      <c r="D221" s="46" t="s">
        <v>439</v>
      </c>
      <c r="E221" s="25" t="s">
        <v>2</v>
      </c>
      <c r="F221" s="48" t="s">
        <v>317</v>
      </c>
      <c r="G221" s="62" t="s">
        <v>2681</v>
      </c>
      <c r="H221" s="63" t="s">
        <v>2200</v>
      </c>
      <c r="I221" s="46" t="s">
        <v>194</v>
      </c>
      <c r="J221" s="46" t="s">
        <v>1064</v>
      </c>
      <c r="K221" s="46" t="s">
        <v>626</v>
      </c>
      <c r="L221" s="46" t="s">
        <v>626</v>
      </c>
      <c r="M221" s="46" t="s">
        <v>4289</v>
      </c>
      <c r="N221" s="46" t="s">
        <v>4191</v>
      </c>
      <c r="O221" s="46" t="s">
        <v>626</v>
      </c>
      <c r="P221" s="46" t="s">
        <v>626</v>
      </c>
      <c r="Q221" s="46" t="s">
        <v>194</v>
      </c>
      <c r="R221" s="46" t="s">
        <v>194</v>
      </c>
      <c r="S221" s="46" t="s">
        <v>194</v>
      </c>
      <c r="T221" s="46"/>
      <c r="U221" s="46" t="s">
        <v>2890</v>
      </c>
      <c r="V221" s="46" t="s">
        <v>1064</v>
      </c>
      <c r="W221" s="46" t="s">
        <v>1064</v>
      </c>
      <c r="X221" s="46"/>
      <c r="Y221" s="46"/>
      <c r="Z221" s="46"/>
      <c r="AA221" s="46"/>
      <c r="AB221" s="46"/>
      <c r="AC221" s="46" t="s">
        <v>1064</v>
      </c>
      <c r="AD221" s="46"/>
      <c r="AE221" s="46"/>
      <c r="AF221" s="46"/>
      <c r="AG221" s="46"/>
      <c r="AH221" s="46"/>
      <c r="AI221" s="46"/>
      <c r="AJ221" s="46"/>
      <c r="AK221" s="46"/>
      <c r="AL221" s="46" t="s">
        <v>1064</v>
      </c>
      <c r="AM221" s="46"/>
      <c r="AN221" s="46"/>
      <c r="AO221" s="46"/>
      <c r="AP221" s="46" t="s">
        <v>1064</v>
      </c>
      <c r="AQ221" s="46"/>
      <c r="AR221" s="46"/>
      <c r="AS221" s="46" t="s">
        <v>586</v>
      </c>
      <c r="AT221" s="46" t="s">
        <v>308</v>
      </c>
      <c r="AU221" s="46" t="s">
        <v>626</v>
      </c>
      <c r="AV221" s="46" t="s">
        <v>2292</v>
      </c>
      <c r="AW221" s="46" t="s">
        <v>2200</v>
      </c>
      <c r="AX221" s="46" t="s">
        <v>34</v>
      </c>
      <c r="AY221" s="46"/>
      <c r="AZ221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</row>
    <row r="222" spans="1:75" ht="75" x14ac:dyDescent="0.25">
      <c r="A222" s="47" t="s">
        <v>2682</v>
      </c>
      <c r="B222" s="45" t="s">
        <v>305</v>
      </c>
      <c r="C222" s="45" t="s">
        <v>2683</v>
      </c>
      <c r="D222" s="46" t="s">
        <v>433</v>
      </c>
      <c r="E222" s="25" t="s">
        <v>2</v>
      </c>
      <c r="F222" s="48" t="s">
        <v>308</v>
      </c>
      <c r="G222" s="62" t="s">
        <v>2684</v>
      </c>
      <c r="H222" s="63" t="s">
        <v>2200</v>
      </c>
      <c r="I222" s="46" t="s">
        <v>194</v>
      </c>
      <c r="J222" s="46" t="s">
        <v>1064</v>
      </c>
      <c r="K222" s="46" t="s">
        <v>626</v>
      </c>
      <c r="L222" s="46" t="s">
        <v>626</v>
      </c>
      <c r="M222" s="46" t="s">
        <v>4412</v>
      </c>
      <c r="N222" s="46" t="s">
        <v>4191</v>
      </c>
      <c r="O222" s="46" t="s">
        <v>626</v>
      </c>
      <c r="P222" s="46" t="s">
        <v>626</v>
      </c>
      <c r="Q222" s="46" t="s">
        <v>194</v>
      </c>
      <c r="R222" s="46" t="s">
        <v>194</v>
      </c>
      <c r="S222" s="46" t="s">
        <v>194</v>
      </c>
      <c r="T222" s="46"/>
      <c r="U222" s="46" t="s">
        <v>2890</v>
      </c>
      <c r="V222" s="46" t="s">
        <v>1064</v>
      </c>
      <c r="W222" s="46" t="s">
        <v>1064</v>
      </c>
      <c r="X222" s="46"/>
      <c r="Y222" s="46"/>
      <c r="Z222" s="46"/>
      <c r="AA222" s="46"/>
      <c r="AB222" s="46"/>
      <c r="AC222" s="46" t="s">
        <v>1064</v>
      </c>
      <c r="AD222" s="46"/>
      <c r="AE222" s="46"/>
      <c r="AF222" s="46"/>
      <c r="AG222" s="46"/>
      <c r="AH222" s="46"/>
      <c r="AI222" s="46"/>
      <c r="AJ222" s="46"/>
      <c r="AK222" s="46"/>
      <c r="AL222" s="46" t="s">
        <v>1064</v>
      </c>
      <c r="AM222" s="46"/>
      <c r="AN222" s="46"/>
      <c r="AO222" s="46"/>
      <c r="AP222" s="46" t="s">
        <v>1064</v>
      </c>
      <c r="AQ222" s="46"/>
      <c r="AR222" s="46"/>
      <c r="AS222" s="46" t="s">
        <v>584</v>
      </c>
      <c r="AT222" s="46" t="s">
        <v>314</v>
      </c>
      <c r="AU222" s="46" t="s">
        <v>626</v>
      </c>
      <c r="AV222" s="46" t="s">
        <v>2294</v>
      </c>
      <c r="AW222" s="46" t="s">
        <v>2200</v>
      </c>
      <c r="AX222" s="46" t="s">
        <v>34</v>
      </c>
      <c r="AY222" s="46"/>
      <c r="AZ222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</row>
    <row r="223" spans="1:75" ht="75" x14ac:dyDescent="0.25">
      <c r="A223" s="47" t="s">
        <v>4079</v>
      </c>
      <c r="B223" s="45" t="s">
        <v>305</v>
      </c>
      <c r="C223" s="45" t="s">
        <v>536</v>
      </c>
      <c r="D223" s="46" t="s">
        <v>537</v>
      </c>
      <c r="E223" s="25" t="s">
        <v>2</v>
      </c>
      <c r="F223" s="48" t="s">
        <v>32</v>
      </c>
      <c r="G223" s="62" t="s">
        <v>4080</v>
      </c>
      <c r="H223" s="63" t="s">
        <v>4081</v>
      </c>
      <c r="I223" s="46" t="s">
        <v>194</v>
      </c>
      <c r="J223" s="46" t="s">
        <v>1064</v>
      </c>
      <c r="K223" s="46" t="s">
        <v>626</v>
      </c>
      <c r="L223" s="46" t="s">
        <v>626</v>
      </c>
      <c r="M223" s="46" t="s">
        <v>4314</v>
      </c>
      <c r="N223" s="46" t="s">
        <v>4191</v>
      </c>
      <c r="O223" s="46" t="s">
        <v>626</v>
      </c>
      <c r="P223" s="46" t="s">
        <v>626</v>
      </c>
      <c r="Q223" s="46" t="s">
        <v>194</v>
      </c>
      <c r="R223" s="46" t="s">
        <v>194</v>
      </c>
      <c r="S223" s="46" t="s">
        <v>194</v>
      </c>
      <c r="T223" s="46" t="s">
        <v>626</v>
      </c>
      <c r="U223" s="46" t="s">
        <v>2890</v>
      </c>
      <c r="V223" s="46" t="s">
        <v>1064</v>
      </c>
      <c r="W223" s="46" t="s">
        <v>1064</v>
      </c>
      <c r="X223" s="46"/>
      <c r="Y223" s="46"/>
      <c r="Z223" s="46"/>
      <c r="AA223" s="46"/>
      <c r="AB223" s="46"/>
      <c r="AC223" s="46" t="s">
        <v>1064</v>
      </c>
      <c r="AD223" s="46"/>
      <c r="AE223" s="46"/>
      <c r="AF223" s="46"/>
      <c r="AG223" s="46"/>
      <c r="AH223" s="46"/>
      <c r="AI223" s="46"/>
      <c r="AJ223" s="46"/>
      <c r="AK223" s="46"/>
      <c r="AL223" s="46" t="s">
        <v>1064</v>
      </c>
      <c r="AM223" s="46"/>
      <c r="AN223" s="46"/>
      <c r="AO223" s="46"/>
      <c r="AP223" s="46" t="s">
        <v>1064</v>
      </c>
      <c r="AQ223" s="46"/>
      <c r="AR223" s="46"/>
      <c r="AS223" s="46" t="s">
        <v>584</v>
      </c>
      <c r="AT223" s="46" t="s">
        <v>314</v>
      </c>
      <c r="AU223" s="46" t="s">
        <v>4191</v>
      </c>
      <c r="AV223" s="46" t="s">
        <v>4079</v>
      </c>
      <c r="AW223" s="46" t="s">
        <v>4081</v>
      </c>
      <c r="AX223" s="46" t="s">
        <v>34</v>
      </c>
      <c r="AY223" s="46"/>
      <c r="AZ223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</row>
    <row r="224" spans="1:75" ht="75" x14ac:dyDescent="0.25">
      <c r="A224" s="47" t="s">
        <v>4079</v>
      </c>
      <c r="B224" s="45" t="s">
        <v>305</v>
      </c>
      <c r="C224" s="45" t="s">
        <v>536</v>
      </c>
      <c r="D224" s="46" t="s">
        <v>537</v>
      </c>
      <c r="E224" s="25" t="s">
        <v>2</v>
      </c>
      <c r="F224" s="48" t="s">
        <v>32</v>
      </c>
      <c r="G224" s="62" t="s">
        <v>4080</v>
      </c>
      <c r="H224" s="63" t="s">
        <v>4081</v>
      </c>
      <c r="I224" s="46" t="s">
        <v>194</v>
      </c>
      <c r="J224" s="46" t="s">
        <v>1064</v>
      </c>
      <c r="K224" s="46" t="s">
        <v>626</v>
      </c>
      <c r="L224" s="46" t="s">
        <v>626</v>
      </c>
      <c r="M224" s="46" t="s">
        <v>4314</v>
      </c>
      <c r="N224" s="46" t="s">
        <v>4191</v>
      </c>
      <c r="O224" s="46" t="s">
        <v>626</v>
      </c>
      <c r="P224" s="46" t="s">
        <v>626</v>
      </c>
      <c r="Q224" s="46" t="s">
        <v>194</v>
      </c>
      <c r="R224" s="46" t="s">
        <v>194</v>
      </c>
      <c r="S224" s="46" t="s">
        <v>194</v>
      </c>
      <c r="T224" s="46" t="s">
        <v>626</v>
      </c>
      <c r="U224" s="46" t="s">
        <v>2890</v>
      </c>
      <c r="V224" s="46" t="s">
        <v>1064</v>
      </c>
      <c r="W224" s="46" t="s">
        <v>1064</v>
      </c>
      <c r="X224" s="46"/>
      <c r="Y224" s="46"/>
      <c r="Z224" s="46"/>
      <c r="AA224" s="46"/>
      <c r="AB224" s="46"/>
      <c r="AC224" s="46" t="s">
        <v>1064</v>
      </c>
      <c r="AD224" s="46"/>
      <c r="AE224" s="46"/>
      <c r="AF224" s="46"/>
      <c r="AG224" s="46"/>
      <c r="AH224" s="46"/>
      <c r="AI224" s="46"/>
      <c r="AJ224" s="46"/>
      <c r="AK224" s="46"/>
      <c r="AL224" s="46" t="s">
        <v>1064</v>
      </c>
      <c r="AM224" s="46"/>
      <c r="AN224" s="46"/>
      <c r="AO224" s="46"/>
      <c r="AP224" s="46" t="s">
        <v>1064</v>
      </c>
      <c r="AQ224" s="46"/>
      <c r="AR224" s="46"/>
      <c r="AS224" s="46" t="s">
        <v>584</v>
      </c>
      <c r="AT224" s="46" t="s">
        <v>314</v>
      </c>
      <c r="AU224" s="46" t="s">
        <v>4191</v>
      </c>
      <c r="AV224" s="46" t="s">
        <v>4079</v>
      </c>
      <c r="AW224" s="46" t="s">
        <v>4081</v>
      </c>
      <c r="AX224" s="46" t="s">
        <v>34</v>
      </c>
      <c r="AY224" s="46"/>
      <c r="AZ224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</row>
    <row r="225" spans="1:75" ht="75" x14ac:dyDescent="0.25">
      <c r="A225" s="47" t="s">
        <v>4079</v>
      </c>
      <c r="B225" s="45" t="s">
        <v>305</v>
      </c>
      <c r="C225" s="45" t="s">
        <v>536</v>
      </c>
      <c r="D225" s="46" t="s">
        <v>537</v>
      </c>
      <c r="E225" s="25" t="s">
        <v>2</v>
      </c>
      <c r="F225" s="48" t="s">
        <v>32</v>
      </c>
      <c r="G225" s="62" t="s">
        <v>4080</v>
      </c>
      <c r="H225" s="63" t="s">
        <v>4081</v>
      </c>
      <c r="I225" s="46" t="s">
        <v>194</v>
      </c>
      <c r="J225" s="46" t="s">
        <v>1064</v>
      </c>
      <c r="K225" s="46" t="s">
        <v>626</v>
      </c>
      <c r="L225" s="46" t="s">
        <v>626</v>
      </c>
      <c r="M225" s="46" t="s">
        <v>4314</v>
      </c>
      <c r="N225" s="46" t="s">
        <v>4191</v>
      </c>
      <c r="O225" s="46" t="s">
        <v>626</v>
      </c>
      <c r="P225" s="46" t="s">
        <v>626</v>
      </c>
      <c r="Q225" s="46" t="s">
        <v>194</v>
      </c>
      <c r="R225" s="46" t="s">
        <v>194</v>
      </c>
      <c r="S225" s="46" t="s">
        <v>194</v>
      </c>
      <c r="T225" s="46" t="s">
        <v>626</v>
      </c>
      <c r="U225" s="46" t="s">
        <v>2890</v>
      </c>
      <c r="V225" s="46" t="s">
        <v>1064</v>
      </c>
      <c r="W225" s="46" t="s">
        <v>1064</v>
      </c>
      <c r="X225" s="46"/>
      <c r="Y225" s="46"/>
      <c r="Z225" s="46"/>
      <c r="AA225" s="46"/>
      <c r="AB225" s="46"/>
      <c r="AC225" s="46" t="s">
        <v>1064</v>
      </c>
      <c r="AD225" s="46"/>
      <c r="AE225" s="46"/>
      <c r="AF225" s="46"/>
      <c r="AG225" s="46"/>
      <c r="AH225" s="46"/>
      <c r="AI225" s="46"/>
      <c r="AJ225" s="46"/>
      <c r="AK225" s="46"/>
      <c r="AL225" s="46" t="s">
        <v>1064</v>
      </c>
      <c r="AM225" s="46"/>
      <c r="AN225" s="46"/>
      <c r="AO225" s="46"/>
      <c r="AP225" s="46" t="s">
        <v>1064</v>
      </c>
      <c r="AQ225" s="46"/>
      <c r="AR225" s="46"/>
      <c r="AS225" s="46" t="s">
        <v>584</v>
      </c>
      <c r="AT225" s="46" t="s">
        <v>314</v>
      </c>
      <c r="AU225" s="46" t="s">
        <v>4191</v>
      </c>
      <c r="AV225" s="46" t="s">
        <v>4079</v>
      </c>
      <c r="AW225" s="46" t="s">
        <v>4081</v>
      </c>
      <c r="AX225" s="46" t="s">
        <v>34</v>
      </c>
      <c r="AY225" s="46"/>
      <c r="AZ225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</row>
    <row r="226" spans="1:75" ht="75" x14ac:dyDescent="0.25">
      <c r="A226" s="47" t="s">
        <v>4079</v>
      </c>
      <c r="B226" s="45" t="s">
        <v>305</v>
      </c>
      <c r="C226" s="45" t="s">
        <v>536</v>
      </c>
      <c r="D226" s="46" t="s">
        <v>537</v>
      </c>
      <c r="E226" s="25" t="s">
        <v>2</v>
      </c>
      <c r="F226" s="48" t="s">
        <v>32</v>
      </c>
      <c r="G226" s="62" t="s">
        <v>4080</v>
      </c>
      <c r="H226" s="63" t="s">
        <v>4081</v>
      </c>
      <c r="I226" s="46" t="s">
        <v>194</v>
      </c>
      <c r="J226" s="46" t="s">
        <v>1064</v>
      </c>
      <c r="K226" s="46" t="s">
        <v>626</v>
      </c>
      <c r="L226" s="46" t="s">
        <v>626</v>
      </c>
      <c r="M226" s="46" t="s">
        <v>4314</v>
      </c>
      <c r="N226" s="46" t="s">
        <v>4191</v>
      </c>
      <c r="O226" s="46" t="s">
        <v>626</v>
      </c>
      <c r="P226" s="46" t="s">
        <v>626</v>
      </c>
      <c r="Q226" s="46" t="s">
        <v>194</v>
      </c>
      <c r="R226" s="46" t="s">
        <v>194</v>
      </c>
      <c r="S226" s="46" t="s">
        <v>194</v>
      </c>
      <c r="T226" s="46" t="s">
        <v>626</v>
      </c>
      <c r="U226" s="46" t="s">
        <v>2890</v>
      </c>
      <c r="V226" s="46" t="s">
        <v>1064</v>
      </c>
      <c r="W226" s="46" t="s">
        <v>1064</v>
      </c>
      <c r="X226" s="46"/>
      <c r="Y226" s="46"/>
      <c r="Z226" s="46"/>
      <c r="AA226" s="46"/>
      <c r="AB226" s="46"/>
      <c r="AC226" s="46" t="s">
        <v>1064</v>
      </c>
      <c r="AD226" s="46"/>
      <c r="AE226" s="46"/>
      <c r="AF226" s="46"/>
      <c r="AG226" s="46"/>
      <c r="AH226" s="46"/>
      <c r="AI226" s="46"/>
      <c r="AJ226" s="46"/>
      <c r="AK226" s="46"/>
      <c r="AL226" s="46" t="s">
        <v>1064</v>
      </c>
      <c r="AM226" s="46"/>
      <c r="AN226" s="46"/>
      <c r="AO226" s="46"/>
      <c r="AP226" s="46" t="s">
        <v>1064</v>
      </c>
      <c r="AQ226" s="46"/>
      <c r="AR226" s="46"/>
      <c r="AS226" s="46" t="s">
        <v>584</v>
      </c>
      <c r="AT226" s="46" t="s">
        <v>314</v>
      </c>
      <c r="AU226" s="46" t="s">
        <v>4191</v>
      </c>
      <c r="AV226" s="46" t="s">
        <v>4079</v>
      </c>
      <c r="AW226" s="46" t="s">
        <v>4081</v>
      </c>
      <c r="AX226" s="46" t="s">
        <v>34</v>
      </c>
      <c r="AY226" s="46"/>
      <c r="AZ22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</row>
    <row r="227" spans="1:75" ht="75" x14ac:dyDescent="0.25">
      <c r="A227" s="47" t="s">
        <v>4082</v>
      </c>
      <c r="B227" s="45" t="s">
        <v>305</v>
      </c>
      <c r="C227" s="45" t="s">
        <v>541</v>
      </c>
      <c r="D227" s="46" t="s">
        <v>682</v>
      </c>
      <c r="E227" s="25" t="s">
        <v>2</v>
      </c>
      <c r="F227" s="48" t="s">
        <v>32</v>
      </c>
      <c r="G227" s="62" t="s">
        <v>4083</v>
      </c>
      <c r="H227" s="63" t="s">
        <v>4081</v>
      </c>
      <c r="I227" s="46" t="s">
        <v>194</v>
      </c>
      <c r="J227" s="46" t="s">
        <v>1064</v>
      </c>
      <c r="K227" s="46" t="s">
        <v>626</v>
      </c>
      <c r="L227" s="46" t="s">
        <v>626</v>
      </c>
      <c r="M227" s="46" t="s">
        <v>4316</v>
      </c>
      <c r="N227" s="46" t="s">
        <v>4191</v>
      </c>
      <c r="O227" s="46" t="s">
        <v>626</v>
      </c>
      <c r="P227" s="46" t="s">
        <v>626</v>
      </c>
      <c r="Q227" s="46" t="s">
        <v>194</v>
      </c>
      <c r="R227" s="46" t="s">
        <v>194</v>
      </c>
      <c r="S227" s="46" t="s">
        <v>194</v>
      </c>
      <c r="T227" s="46" t="s">
        <v>626</v>
      </c>
      <c r="U227" s="46" t="s">
        <v>2890</v>
      </c>
      <c r="V227" s="46" t="s">
        <v>1064</v>
      </c>
      <c r="W227" s="46" t="s">
        <v>1064</v>
      </c>
      <c r="X227" s="46"/>
      <c r="Y227" s="46"/>
      <c r="Z227" s="46"/>
      <c r="AA227" s="46"/>
      <c r="AB227" s="46"/>
      <c r="AC227" s="46" t="s">
        <v>1064</v>
      </c>
      <c r="AD227" s="46"/>
      <c r="AE227" s="46"/>
      <c r="AF227" s="46"/>
      <c r="AG227" s="46"/>
      <c r="AH227" s="46"/>
      <c r="AI227" s="46"/>
      <c r="AJ227" s="46"/>
      <c r="AK227" s="46"/>
      <c r="AL227" s="46" t="s">
        <v>1064</v>
      </c>
      <c r="AM227" s="46"/>
      <c r="AN227" s="46"/>
      <c r="AO227" s="46"/>
      <c r="AP227" s="46" t="s">
        <v>1064</v>
      </c>
      <c r="AQ227" s="46"/>
      <c r="AR227" s="46"/>
      <c r="AS227" s="46" t="s">
        <v>586</v>
      </c>
      <c r="AT227" s="46" t="s">
        <v>308</v>
      </c>
      <c r="AU227" s="46" t="s">
        <v>4191</v>
      </c>
      <c r="AV227" s="46" t="s">
        <v>4082</v>
      </c>
      <c r="AW227" s="46" t="s">
        <v>4081</v>
      </c>
      <c r="AX227" s="46" t="s">
        <v>34</v>
      </c>
      <c r="AY227" s="46"/>
      <c r="AZ227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</row>
    <row r="228" spans="1:75" ht="75" x14ac:dyDescent="0.25">
      <c r="A228" s="47" t="s">
        <v>4082</v>
      </c>
      <c r="B228" s="45" t="s">
        <v>305</v>
      </c>
      <c r="C228" s="45" t="s">
        <v>541</v>
      </c>
      <c r="D228" s="46" t="s">
        <v>682</v>
      </c>
      <c r="E228" s="25" t="s">
        <v>2</v>
      </c>
      <c r="F228" s="48" t="s">
        <v>32</v>
      </c>
      <c r="G228" s="62" t="s">
        <v>4083</v>
      </c>
      <c r="H228" s="63" t="s">
        <v>4081</v>
      </c>
      <c r="I228" s="46" t="s">
        <v>194</v>
      </c>
      <c r="J228" s="46" t="s">
        <v>1064</v>
      </c>
      <c r="K228" s="46" t="s">
        <v>626</v>
      </c>
      <c r="L228" s="46" t="s">
        <v>626</v>
      </c>
      <c r="M228" s="46" t="s">
        <v>4316</v>
      </c>
      <c r="N228" s="46" t="s">
        <v>4191</v>
      </c>
      <c r="O228" s="46" t="s">
        <v>626</v>
      </c>
      <c r="P228" s="46" t="s">
        <v>626</v>
      </c>
      <c r="Q228" s="46" t="s">
        <v>194</v>
      </c>
      <c r="R228" s="46" t="s">
        <v>194</v>
      </c>
      <c r="S228" s="46" t="s">
        <v>194</v>
      </c>
      <c r="T228" s="46" t="s">
        <v>626</v>
      </c>
      <c r="U228" s="46" t="s">
        <v>2890</v>
      </c>
      <c r="V228" s="46" t="s">
        <v>1064</v>
      </c>
      <c r="W228" s="46" t="s">
        <v>1064</v>
      </c>
      <c r="X228" s="46"/>
      <c r="Y228" s="46"/>
      <c r="Z228" s="46"/>
      <c r="AA228" s="46"/>
      <c r="AB228" s="46"/>
      <c r="AC228" s="46" t="s">
        <v>1064</v>
      </c>
      <c r="AD228" s="46"/>
      <c r="AE228" s="46"/>
      <c r="AF228" s="46"/>
      <c r="AG228" s="46"/>
      <c r="AH228" s="46"/>
      <c r="AI228" s="46"/>
      <c r="AJ228" s="46"/>
      <c r="AK228" s="46"/>
      <c r="AL228" s="46" t="s">
        <v>1064</v>
      </c>
      <c r="AM228" s="46"/>
      <c r="AN228" s="46"/>
      <c r="AO228" s="46"/>
      <c r="AP228" s="46" t="s">
        <v>1064</v>
      </c>
      <c r="AQ228" s="46"/>
      <c r="AR228" s="46"/>
      <c r="AS228" s="46" t="s">
        <v>586</v>
      </c>
      <c r="AT228" s="46" t="s">
        <v>308</v>
      </c>
      <c r="AU228" s="46" t="s">
        <v>4191</v>
      </c>
      <c r="AV228" s="46" t="s">
        <v>4082</v>
      </c>
      <c r="AW228" s="46" t="s">
        <v>4081</v>
      </c>
      <c r="AX228" s="46" t="s">
        <v>34</v>
      </c>
      <c r="AY228" s="46"/>
      <c r="AZ228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</row>
    <row r="229" spans="1:75" ht="75" x14ac:dyDescent="0.25">
      <c r="A229" s="47" t="s">
        <v>4082</v>
      </c>
      <c r="B229" s="45" t="s">
        <v>305</v>
      </c>
      <c r="C229" s="45" t="s">
        <v>541</v>
      </c>
      <c r="D229" s="46" t="s">
        <v>682</v>
      </c>
      <c r="E229" s="25" t="s">
        <v>2</v>
      </c>
      <c r="F229" s="48" t="s">
        <v>32</v>
      </c>
      <c r="G229" s="62" t="s">
        <v>4083</v>
      </c>
      <c r="H229" s="63" t="s">
        <v>4081</v>
      </c>
      <c r="I229" s="46" t="s">
        <v>194</v>
      </c>
      <c r="J229" s="46" t="s">
        <v>1064</v>
      </c>
      <c r="K229" s="46" t="s">
        <v>626</v>
      </c>
      <c r="L229" s="46" t="s">
        <v>626</v>
      </c>
      <c r="M229" s="46" t="s">
        <v>4316</v>
      </c>
      <c r="N229" s="46" t="s">
        <v>4191</v>
      </c>
      <c r="O229" s="46" t="s">
        <v>626</v>
      </c>
      <c r="P229" s="46" t="s">
        <v>626</v>
      </c>
      <c r="Q229" s="46" t="s">
        <v>194</v>
      </c>
      <c r="R229" s="46" t="s">
        <v>194</v>
      </c>
      <c r="S229" s="46" t="s">
        <v>194</v>
      </c>
      <c r="T229" s="46" t="s">
        <v>626</v>
      </c>
      <c r="U229" s="46" t="s">
        <v>2890</v>
      </c>
      <c r="V229" s="46" t="s">
        <v>1064</v>
      </c>
      <c r="W229" s="46" t="s">
        <v>1064</v>
      </c>
      <c r="X229" s="46"/>
      <c r="Y229" s="46"/>
      <c r="Z229" s="46"/>
      <c r="AA229" s="46"/>
      <c r="AB229" s="46"/>
      <c r="AC229" s="46" t="s">
        <v>1064</v>
      </c>
      <c r="AD229" s="46"/>
      <c r="AE229" s="46"/>
      <c r="AF229" s="46"/>
      <c r="AG229" s="46"/>
      <c r="AH229" s="46"/>
      <c r="AI229" s="46"/>
      <c r="AJ229" s="46"/>
      <c r="AK229" s="46"/>
      <c r="AL229" s="46" t="s">
        <v>1064</v>
      </c>
      <c r="AM229" s="46"/>
      <c r="AN229" s="46"/>
      <c r="AO229" s="46"/>
      <c r="AP229" s="46" t="s">
        <v>1064</v>
      </c>
      <c r="AQ229" s="46"/>
      <c r="AR229" s="46"/>
      <c r="AS229" s="46" t="s">
        <v>586</v>
      </c>
      <c r="AT229" s="46" t="s">
        <v>308</v>
      </c>
      <c r="AU229" s="46" t="s">
        <v>4191</v>
      </c>
      <c r="AV229" s="46" t="s">
        <v>4082</v>
      </c>
      <c r="AW229" s="46" t="s">
        <v>4081</v>
      </c>
      <c r="AX229" s="46" t="s">
        <v>34</v>
      </c>
      <c r="AY229" s="46"/>
      <c r="AZ229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</row>
    <row r="230" spans="1:75" ht="75" x14ac:dyDescent="0.25">
      <c r="A230" s="47" t="s">
        <v>4082</v>
      </c>
      <c r="B230" s="45" t="s">
        <v>305</v>
      </c>
      <c r="C230" s="45" t="s">
        <v>541</v>
      </c>
      <c r="D230" s="46" t="s">
        <v>682</v>
      </c>
      <c r="E230" s="25" t="s">
        <v>2</v>
      </c>
      <c r="F230" s="48" t="s">
        <v>32</v>
      </c>
      <c r="G230" s="62" t="s">
        <v>4083</v>
      </c>
      <c r="H230" s="63" t="s">
        <v>4081</v>
      </c>
      <c r="I230" s="46" t="s">
        <v>194</v>
      </c>
      <c r="J230" s="46" t="s">
        <v>1064</v>
      </c>
      <c r="K230" s="46" t="s">
        <v>626</v>
      </c>
      <c r="L230" s="46" t="s">
        <v>626</v>
      </c>
      <c r="M230" s="46" t="s">
        <v>4316</v>
      </c>
      <c r="N230" s="46" t="s">
        <v>4191</v>
      </c>
      <c r="O230" s="46" t="s">
        <v>626</v>
      </c>
      <c r="P230" s="46" t="s">
        <v>626</v>
      </c>
      <c r="Q230" s="46" t="s">
        <v>194</v>
      </c>
      <c r="R230" s="46" t="s">
        <v>194</v>
      </c>
      <c r="S230" s="46" t="s">
        <v>194</v>
      </c>
      <c r="T230" s="46" t="s">
        <v>626</v>
      </c>
      <c r="U230" s="46" t="s">
        <v>2890</v>
      </c>
      <c r="V230" s="46" t="s">
        <v>1064</v>
      </c>
      <c r="W230" s="46" t="s">
        <v>1064</v>
      </c>
      <c r="X230" s="46"/>
      <c r="Y230" s="46"/>
      <c r="Z230" s="46"/>
      <c r="AA230" s="46"/>
      <c r="AB230" s="46"/>
      <c r="AC230" s="46" t="s">
        <v>1064</v>
      </c>
      <c r="AD230" s="46"/>
      <c r="AE230" s="46"/>
      <c r="AF230" s="46"/>
      <c r="AG230" s="46"/>
      <c r="AH230" s="46"/>
      <c r="AI230" s="46"/>
      <c r="AJ230" s="46"/>
      <c r="AK230" s="46"/>
      <c r="AL230" s="46" t="s">
        <v>1064</v>
      </c>
      <c r="AM230" s="46"/>
      <c r="AN230" s="46"/>
      <c r="AO230" s="46"/>
      <c r="AP230" s="46" t="s">
        <v>1064</v>
      </c>
      <c r="AQ230" s="46"/>
      <c r="AR230" s="46"/>
      <c r="AS230" s="46" t="s">
        <v>586</v>
      </c>
      <c r="AT230" s="46" t="s">
        <v>308</v>
      </c>
      <c r="AU230" s="46" t="s">
        <v>4191</v>
      </c>
      <c r="AV230" s="46" t="s">
        <v>4082</v>
      </c>
      <c r="AW230" s="46" t="s">
        <v>4081</v>
      </c>
      <c r="AX230" s="46" t="s">
        <v>34</v>
      </c>
      <c r="AY230" s="46"/>
      <c r="AZ230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</row>
    <row r="231" spans="1:75" ht="150" x14ac:dyDescent="0.25">
      <c r="A231" s="47" t="s">
        <v>4084</v>
      </c>
      <c r="B231" s="45" t="s">
        <v>305</v>
      </c>
      <c r="C231" s="45" t="s">
        <v>543</v>
      </c>
      <c r="D231" s="46" t="s">
        <v>683</v>
      </c>
      <c r="E231" s="25" t="s">
        <v>2</v>
      </c>
      <c r="F231" s="48" t="s">
        <v>32</v>
      </c>
      <c r="G231" s="62" t="s">
        <v>4085</v>
      </c>
      <c r="H231" s="63" t="s">
        <v>4081</v>
      </c>
      <c r="I231" s="46" t="s">
        <v>4253</v>
      </c>
      <c r="J231" s="46" t="s">
        <v>1064</v>
      </c>
      <c r="K231" s="46" t="s">
        <v>626</v>
      </c>
      <c r="L231" s="46" t="s">
        <v>626</v>
      </c>
      <c r="M231" s="46" t="s">
        <v>4311</v>
      </c>
      <c r="N231" s="46" t="s">
        <v>4191</v>
      </c>
      <c r="O231" s="46" t="s">
        <v>626</v>
      </c>
      <c r="P231" s="46" t="s">
        <v>626</v>
      </c>
      <c r="Q231" s="46" t="s">
        <v>194</v>
      </c>
      <c r="R231" s="46" t="s">
        <v>4317</v>
      </c>
      <c r="S231" s="46" t="s">
        <v>4318</v>
      </c>
      <c r="T231" s="46" t="s">
        <v>4191</v>
      </c>
      <c r="U231" s="46" t="s">
        <v>2890</v>
      </c>
      <c r="V231" s="46" t="s">
        <v>1064</v>
      </c>
      <c r="W231" s="46" t="s">
        <v>1064</v>
      </c>
      <c r="X231" s="46"/>
      <c r="Y231" s="46"/>
      <c r="Z231" s="46"/>
      <c r="AA231" s="46"/>
      <c r="AB231" s="46"/>
      <c r="AC231" s="46" t="s">
        <v>1064</v>
      </c>
      <c r="AD231" s="46"/>
      <c r="AE231" s="46"/>
      <c r="AF231" s="46"/>
      <c r="AG231" s="46"/>
      <c r="AH231" s="46"/>
      <c r="AI231" s="46"/>
      <c r="AJ231" s="46"/>
      <c r="AK231" s="46"/>
      <c r="AL231" s="46" t="s">
        <v>1064</v>
      </c>
      <c r="AM231" s="46"/>
      <c r="AN231" s="46"/>
      <c r="AO231" s="46"/>
      <c r="AP231" s="46" t="s">
        <v>1064</v>
      </c>
      <c r="AQ231" s="46"/>
      <c r="AR231" s="46"/>
      <c r="AS231" s="46" t="s">
        <v>583</v>
      </c>
      <c r="AT231" s="46" t="s">
        <v>2</v>
      </c>
      <c r="AU231" s="46" t="s">
        <v>4191</v>
      </c>
      <c r="AV231" s="46" t="s">
        <v>4084</v>
      </c>
      <c r="AW231" s="46" t="s">
        <v>4081</v>
      </c>
      <c r="AX231" s="46" t="s">
        <v>34</v>
      </c>
      <c r="AY231" s="46"/>
      <c r="AZ231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</row>
    <row r="232" spans="1:75" ht="150" x14ac:dyDescent="0.25">
      <c r="A232" s="47" t="s">
        <v>4084</v>
      </c>
      <c r="B232" s="45" t="s">
        <v>305</v>
      </c>
      <c r="C232" s="45" t="s">
        <v>543</v>
      </c>
      <c r="D232" s="46" t="s">
        <v>683</v>
      </c>
      <c r="E232" s="25" t="s">
        <v>2</v>
      </c>
      <c r="F232" s="48" t="s">
        <v>32</v>
      </c>
      <c r="G232" s="62" t="s">
        <v>4085</v>
      </c>
      <c r="H232" s="63" t="s">
        <v>4081</v>
      </c>
      <c r="I232" s="46" t="s">
        <v>4253</v>
      </c>
      <c r="J232" s="46" t="s">
        <v>1064</v>
      </c>
      <c r="K232" s="46" t="s">
        <v>626</v>
      </c>
      <c r="L232" s="46" t="s">
        <v>626</v>
      </c>
      <c r="M232" s="46" t="s">
        <v>4311</v>
      </c>
      <c r="N232" s="46" t="s">
        <v>4191</v>
      </c>
      <c r="O232" s="46" t="s">
        <v>626</v>
      </c>
      <c r="P232" s="46" t="s">
        <v>626</v>
      </c>
      <c r="Q232" s="46" t="s">
        <v>194</v>
      </c>
      <c r="R232" s="46" t="s">
        <v>4317</v>
      </c>
      <c r="S232" s="46" t="s">
        <v>4318</v>
      </c>
      <c r="T232" s="46" t="s">
        <v>4191</v>
      </c>
      <c r="U232" s="46" t="s">
        <v>2890</v>
      </c>
      <c r="V232" s="46" t="s">
        <v>1064</v>
      </c>
      <c r="W232" s="46" t="s">
        <v>1064</v>
      </c>
      <c r="X232" s="46"/>
      <c r="Y232" s="46"/>
      <c r="Z232" s="46"/>
      <c r="AA232" s="46"/>
      <c r="AB232" s="46"/>
      <c r="AC232" s="46" t="s">
        <v>1064</v>
      </c>
      <c r="AD232" s="46"/>
      <c r="AE232" s="46"/>
      <c r="AF232" s="46"/>
      <c r="AG232" s="46"/>
      <c r="AH232" s="46"/>
      <c r="AI232" s="46"/>
      <c r="AJ232" s="46"/>
      <c r="AK232" s="46"/>
      <c r="AL232" s="46" t="s">
        <v>1064</v>
      </c>
      <c r="AM232" s="46"/>
      <c r="AN232" s="46"/>
      <c r="AO232" s="46"/>
      <c r="AP232" s="46" t="s">
        <v>1064</v>
      </c>
      <c r="AQ232" s="46"/>
      <c r="AR232" s="46"/>
      <c r="AS232" s="46" t="s">
        <v>583</v>
      </c>
      <c r="AT232" s="46" t="s">
        <v>2</v>
      </c>
      <c r="AU232" s="46" t="s">
        <v>4191</v>
      </c>
      <c r="AV232" s="46" t="s">
        <v>4084</v>
      </c>
      <c r="AW232" s="46" t="s">
        <v>4081</v>
      </c>
      <c r="AX232" s="46" t="s">
        <v>34</v>
      </c>
      <c r="AY232" s="46"/>
      <c r="AZ232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</row>
    <row r="233" spans="1:75" ht="150" x14ac:dyDescent="0.25">
      <c r="A233" s="47" t="s">
        <v>4084</v>
      </c>
      <c r="B233" s="45" t="s">
        <v>305</v>
      </c>
      <c r="C233" s="45" t="s">
        <v>543</v>
      </c>
      <c r="D233" s="46" t="s">
        <v>683</v>
      </c>
      <c r="E233" s="25" t="s">
        <v>2</v>
      </c>
      <c r="F233" s="48" t="s">
        <v>32</v>
      </c>
      <c r="G233" s="62" t="s">
        <v>4085</v>
      </c>
      <c r="H233" s="63" t="s">
        <v>4081</v>
      </c>
      <c r="I233" s="46" t="s">
        <v>4253</v>
      </c>
      <c r="J233" s="46" t="s">
        <v>1064</v>
      </c>
      <c r="K233" s="46" t="s">
        <v>626</v>
      </c>
      <c r="L233" s="46" t="s">
        <v>626</v>
      </c>
      <c r="M233" s="46" t="s">
        <v>4311</v>
      </c>
      <c r="N233" s="46" t="s">
        <v>4191</v>
      </c>
      <c r="O233" s="46" t="s">
        <v>626</v>
      </c>
      <c r="P233" s="46" t="s">
        <v>626</v>
      </c>
      <c r="Q233" s="46" t="s">
        <v>194</v>
      </c>
      <c r="R233" s="46" t="s">
        <v>4317</v>
      </c>
      <c r="S233" s="46" t="s">
        <v>4318</v>
      </c>
      <c r="T233" s="46" t="s">
        <v>4191</v>
      </c>
      <c r="U233" s="46" t="s">
        <v>2890</v>
      </c>
      <c r="V233" s="46" t="s">
        <v>1064</v>
      </c>
      <c r="W233" s="46" t="s">
        <v>1064</v>
      </c>
      <c r="X233" s="46"/>
      <c r="Y233" s="46"/>
      <c r="Z233" s="46"/>
      <c r="AA233" s="46"/>
      <c r="AB233" s="46"/>
      <c r="AC233" s="46" t="s">
        <v>1064</v>
      </c>
      <c r="AD233" s="46"/>
      <c r="AE233" s="46"/>
      <c r="AF233" s="46"/>
      <c r="AG233" s="46"/>
      <c r="AH233" s="46"/>
      <c r="AI233" s="46"/>
      <c r="AJ233" s="46"/>
      <c r="AK233" s="46"/>
      <c r="AL233" s="46" t="s">
        <v>1064</v>
      </c>
      <c r="AM233" s="46"/>
      <c r="AN233" s="46"/>
      <c r="AO233" s="46"/>
      <c r="AP233" s="46" t="s">
        <v>1064</v>
      </c>
      <c r="AQ233" s="46"/>
      <c r="AR233" s="46"/>
      <c r="AS233" s="46" t="s">
        <v>583</v>
      </c>
      <c r="AT233" s="46" t="s">
        <v>2</v>
      </c>
      <c r="AU233" s="46" t="s">
        <v>4191</v>
      </c>
      <c r="AV233" s="46" t="s">
        <v>4084</v>
      </c>
      <c r="AW233" s="46" t="s">
        <v>4081</v>
      </c>
      <c r="AX233" s="46" t="s">
        <v>34</v>
      </c>
      <c r="AY233" s="46"/>
      <c r="AZ233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</row>
    <row r="234" spans="1:75" ht="150" x14ac:dyDescent="0.25">
      <c r="A234" s="47" t="s">
        <v>4084</v>
      </c>
      <c r="B234" s="45" t="s">
        <v>305</v>
      </c>
      <c r="C234" s="45" t="s">
        <v>543</v>
      </c>
      <c r="D234" s="46" t="s">
        <v>683</v>
      </c>
      <c r="E234" s="25" t="s">
        <v>2</v>
      </c>
      <c r="F234" s="48" t="s">
        <v>32</v>
      </c>
      <c r="G234" s="62" t="s">
        <v>4085</v>
      </c>
      <c r="H234" s="63" t="s">
        <v>4081</v>
      </c>
      <c r="I234" s="46" t="s">
        <v>4253</v>
      </c>
      <c r="J234" s="46" t="s">
        <v>1064</v>
      </c>
      <c r="K234" s="46" t="s">
        <v>626</v>
      </c>
      <c r="L234" s="46" t="s">
        <v>626</v>
      </c>
      <c r="M234" s="46" t="s">
        <v>4311</v>
      </c>
      <c r="N234" s="46" t="s">
        <v>4191</v>
      </c>
      <c r="O234" s="46" t="s">
        <v>626</v>
      </c>
      <c r="P234" s="46" t="s">
        <v>626</v>
      </c>
      <c r="Q234" s="46" t="s">
        <v>194</v>
      </c>
      <c r="R234" s="46" t="s">
        <v>4317</v>
      </c>
      <c r="S234" s="46" t="s">
        <v>4318</v>
      </c>
      <c r="T234" s="46" t="s">
        <v>4191</v>
      </c>
      <c r="U234" s="46" t="s">
        <v>2890</v>
      </c>
      <c r="V234" s="46" t="s">
        <v>1064</v>
      </c>
      <c r="W234" s="46" t="s">
        <v>1064</v>
      </c>
      <c r="X234" s="46"/>
      <c r="Y234" s="46"/>
      <c r="Z234" s="46"/>
      <c r="AA234" s="46"/>
      <c r="AB234" s="46"/>
      <c r="AC234" s="46" t="s">
        <v>1064</v>
      </c>
      <c r="AD234" s="46"/>
      <c r="AE234" s="46"/>
      <c r="AF234" s="46"/>
      <c r="AG234" s="46"/>
      <c r="AH234" s="46"/>
      <c r="AI234" s="46"/>
      <c r="AJ234" s="46"/>
      <c r="AK234" s="46"/>
      <c r="AL234" s="46" t="s">
        <v>1064</v>
      </c>
      <c r="AM234" s="46"/>
      <c r="AN234" s="46"/>
      <c r="AO234" s="46"/>
      <c r="AP234" s="46" t="s">
        <v>1064</v>
      </c>
      <c r="AQ234" s="46"/>
      <c r="AR234" s="46"/>
      <c r="AS234" s="46" t="s">
        <v>583</v>
      </c>
      <c r="AT234" s="46" t="s">
        <v>2</v>
      </c>
      <c r="AU234" s="46" t="s">
        <v>4191</v>
      </c>
      <c r="AV234" s="46" t="s">
        <v>4084</v>
      </c>
      <c r="AW234" s="46" t="s">
        <v>4081</v>
      </c>
      <c r="AX234" s="46" t="s">
        <v>34</v>
      </c>
      <c r="AY234" s="46"/>
      <c r="AZ234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</row>
    <row r="235" spans="1:75" ht="135" x14ac:dyDescent="0.25">
      <c r="A235" s="47" t="s">
        <v>2304</v>
      </c>
      <c r="B235" s="45" t="s">
        <v>305</v>
      </c>
      <c r="C235" s="45" t="s">
        <v>2685</v>
      </c>
      <c r="D235" s="46" t="s">
        <v>4846</v>
      </c>
      <c r="E235" s="25" t="s">
        <v>2</v>
      </c>
      <c r="F235" s="48" t="s">
        <v>36</v>
      </c>
      <c r="G235" s="62" t="s">
        <v>4847</v>
      </c>
      <c r="H235" s="63" t="s">
        <v>2228</v>
      </c>
      <c r="I235" s="46" t="s">
        <v>4253</v>
      </c>
      <c r="J235" s="46" t="s">
        <v>1064</v>
      </c>
      <c r="K235" s="46" t="s">
        <v>626</v>
      </c>
      <c r="L235" s="46" t="s">
        <v>4191</v>
      </c>
      <c r="M235" s="46" t="s">
        <v>4411</v>
      </c>
      <c r="N235" s="46" t="s">
        <v>4191</v>
      </c>
      <c r="O235" s="46" t="s">
        <v>626</v>
      </c>
      <c r="P235" s="46" t="s">
        <v>626</v>
      </c>
      <c r="Q235" s="46" t="s">
        <v>194</v>
      </c>
      <c r="R235" s="46" t="s">
        <v>4305</v>
      </c>
      <c r="S235" s="46" t="s">
        <v>4306</v>
      </c>
      <c r="T235" s="46" t="s">
        <v>4191</v>
      </c>
      <c r="U235" s="46" t="s">
        <v>2890</v>
      </c>
      <c r="V235" s="46" t="s">
        <v>1064</v>
      </c>
      <c r="W235" s="46" t="s">
        <v>1064</v>
      </c>
      <c r="X235" s="46"/>
      <c r="Y235" s="46"/>
      <c r="Z235" s="46"/>
      <c r="AA235" s="46"/>
      <c r="AB235" s="46"/>
      <c r="AC235" s="46" t="s">
        <v>1064</v>
      </c>
      <c r="AD235" s="46"/>
      <c r="AE235" s="46"/>
      <c r="AF235" s="46"/>
      <c r="AG235" s="46"/>
      <c r="AH235" s="46"/>
      <c r="AI235" s="46"/>
      <c r="AJ235" s="46"/>
      <c r="AK235" s="46"/>
      <c r="AL235" s="46" t="s">
        <v>1064</v>
      </c>
      <c r="AM235" s="46"/>
      <c r="AN235" s="46"/>
      <c r="AO235" s="46"/>
      <c r="AP235" s="46" t="s">
        <v>1064</v>
      </c>
      <c r="AQ235" s="46"/>
      <c r="AR235" s="46"/>
      <c r="AS235" s="46" t="s">
        <v>583</v>
      </c>
      <c r="AT235" s="46" t="s">
        <v>2</v>
      </c>
      <c r="AU235" s="46" t="s">
        <v>626</v>
      </c>
      <c r="AV235" s="46" t="s">
        <v>2290</v>
      </c>
      <c r="AW235" s="46" t="s">
        <v>2228</v>
      </c>
      <c r="AX235" s="46" t="s">
        <v>34</v>
      </c>
      <c r="AY235" s="46"/>
      <c r="AZ235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</row>
    <row r="236" spans="1:75" ht="75" x14ac:dyDescent="0.25">
      <c r="A236" s="47" t="s">
        <v>2306</v>
      </c>
      <c r="B236" s="45" t="s">
        <v>305</v>
      </c>
      <c r="C236" s="45" t="s">
        <v>2686</v>
      </c>
      <c r="D236" s="46" t="s">
        <v>4848</v>
      </c>
      <c r="E236" s="25" t="s">
        <v>2</v>
      </c>
      <c r="F236" s="48" t="s">
        <v>90</v>
      </c>
      <c r="G236" s="62" t="s">
        <v>4849</v>
      </c>
      <c r="H236" s="63" t="s">
        <v>2228</v>
      </c>
      <c r="I236" s="46" t="s">
        <v>194</v>
      </c>
      <c r="J236" s="46" t="s">
        <v>1064</v>
      </c>
      <c r="K236" s="46" t="s">
        <v>626</v>
      </c>
      <c r="L236" s="46" t="s">
        <v>626</v>
      </c>
      <c r="M236" s="46" t="s">
        <v>4316</v>
      </c>
      <c r="N236" s="46" t="s">
        <v>4191</v>
      </c>
      <c r="O236" s="46" t="s">
        <v>626</v>
      </c>
      <c r="P236" s="46" t="s">
        <v>626</v>
      </c>
      <c r="Q236" s="46" t="s">
        <v>194</v>
      </c>
      <c r="R236" s="46" t="s">
        <v>194</v>
      </c>
      <c r="S236" s="46" t="s">
        <v>194</v>
      </c>
      <c r="T236" s="46" t="s">
        <v>626</v>
      </c>
      <c r="U236" s="46" t="s">
        <v>2890</v>
      </c>
      <c r="V236" s="46" t="s">
        <v>1064</v>
      </c>
      <c r="W236" s="46" t="s">
        <v>1064</v>
      </c>
      <c r="X236" s="46"/>
      <c r="Y236" s="46"/>
      <c r="Z236" s="46"/>
      <c r="AA236" s="46"/>
      <c r="AB236" s="46"/>
      <c r="AC236" s="46" t="s">
        <v>1064</v>
      </c>
      <c r="AD236" s="46"/>
      <c r="AE236" s="46"/>
      <c r="AF236" s="46"/>
      <c r="AG236" s="46"/>
      <c r="AH236" s="46"/>
      <c r="AI236" s="46"/>
      <c r="AJ236" s="46"/>
      <c r="AK236" s="46"/>
      <c r="AL236" s="46" t="s">
        <v>1064</v>
      </c>
      <c r="AM236" s="46"/>
      <c r="AN236" s="46"/>
      <c r="AO236" s="46"/>
      <c r="AP236" s="46" t="s">
        <v>1064</v>
      </c>
      <c r="AQ236" s="46"/>
      <c r="AR236" s="46"/>
      <c r="AS236" s="46" t="s">
        <v>586</v>
      </c>
      <c r="AT236" s="46" t="s">
        <v>308</v>
      </c>
      <c r="AU236" s="46" t="s">
        <v>626</v>
      </c>
      <c r="AV236" s="46" t="s">
        <v>2292</v>
      </c>
      <c r="AW236" s="46" t="s">
        <v>2228</v>
      </c>
      <c r="AX236" s="46" t="s">
        <v>34</v>
      </c>
      <c r="AY236" s="46"/>
      <c r="AZ23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</row>
    <row r="237" spans="1:75" ht="75" x14ac:dyDescent="0.25">
      <c r="A237" s="47" t="s">
        <v>2308</v>
      </c>
      <c r="B237" s="45" t="s">
        <v>305</v>
      </c>
      <c r="C237" s="45" t="s">
        <v>2687</v>
      </c>
      <c r="D237" s="46" t="s">
        <v>483</v>
      </c>
      <c r="E237" s="25" t="s">
        <v>2</v>
      </c>
      <c r="F237" s="48" t="s">
        <v>549</v>
      </c>
      <c r="G237" s="62" t="s">
        <v>4850</v>
      </c>
      <c r="H237" s="63" t="s">
        <v>2228</v>
      </c>
      <c r="I237" s="46" t="s">
        <v>194</v>
      </c>
      <c r="J237" s="46" t="s">
        <v>1064</v>
      </c>
      <c r="K237" s="46" t="s">
        <v>626</v>
      </c>
      <c r="L237" s="46" t="s">
        <v>626</v>
      </c>
      <c r="M237" s="46" t="s">
        <v>4851</v>
      </c>
      <c r="N237" s="46" t="s">
        <v>4191</v>
      </c>
      <c r="O237" s="46" t="s">
        <v>626</v>
      </c>
      <c r="P237" s="46" t="s">
        <v>626</v>
      </c>
      <c r="Q237" s="46" t="s">
        <v>194</v>
      </c>
      <c r="R237" s="46" t="s">
        <v>194</v>
      </c>
      <c r="S237" s="46" t="s">
        <v>194</v>
      </c>
      <c r="T237" s="46" t="s">
        <v>626</v>
      </c>
      <c r="U237" s="46" t="s">
        <v>2890</v>
      </c>
      <c r="V237" s="46" t="s">
        <v>1064</v>
      </c>
      <c r="W237" s="46" t="s">
        <v>1064</v>
      </c>
      <c r="X237" s="46"/>
      <c r="Y237" s="46"/>
      <c r="Z237" s="46"/>
      <c r="AA237" s="46"/>
      <c r="AB237" s="46"/>
      <c r="AC237" s="46" t="s">
        <v>1064</v>
      </c>
      <c r="AD237" s="46"/>
      <c r="AE237" s="46"/>
      <c r="AF237" s="46"/>
      <c r="AG237" s="46"/>
      <c r="AH237" s="46"/>
      <c r="AI237" s="46"/>
      <c r="AJ237" s="46"/>
      <c r="AK237" s="46"/>
      <c r="AL237" s="46" t="s">
        <v>1064</v>
      </c>
      <c r="AM237" s="46"/>
      <c r="AN237" s="46"/>
      <c r="AO237" s="46"/>
      <c r="AP237" s="46" t="s">
        <v>1064</v>
      </c>
      <c r="AQ237" s="46"/>
      <c r="AR237" s="46"/>
      <c r="AS237" s="46" t="s">
        <v>584</v>
      </c>
      <c r="AT237" s="46" t="s">
        <v>314</v>
      </c>
      <c r="AU237" s="46" t="s">
        <v>626</v>
      </c>
      <c r="AV237" s="46" t="s">
        <v>2294</v>
      </c>
      <c r="AW237" s="46" t="s">
        <v>2228</v>
      </c>
      <c r="AX237" s="46" t="s">
        <v>34</v>
      </c>
      <c r="AY237" s="46"/>
      <c r="AZ237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</row>
    <row r="238" spans="1:75" ht="135" x14ac:dyDescent="0.25">
      <c r="A238" s="47" t="s">
        <v>4833</v>
      </c>
      <c r="B238" s="45" t="s">
        <v>305</v>
      </c>
      <c r="C238" s="45" t="s">
        <v>2685</v>
      </c>
      <c r="D238" s="46" t="s">
        <v>4846</v>
      </c>
      <c r="E238" s="25" t="s">
        <v>2</v>
      </c>
      <c r="F238" s="48" t="s">
        <v>36</v>
      </c>
      <c r="G238" s="62" t="s">
        <v>4852</v>
      </c>
      <c r="H238" s="63" t="s">
        <v>4832</v>
      </c>
      <c r="I238" s="46" t="s">
        <v>4253</v>
      </c>
      <c r="J238" s="46" t="s">
        <v>1064</v>
      </c>
      <c r="K238" s="46" t="s">
        <v>626</v>
      </c>
      <c r="L238" s="46" t="s">
        <v>626</v>
      </c>
      <c r="M238" s="46" t="s">
        <v>4411</v>
      </c>
      <c r="N238" s="46" t="s">
        <v>4191</v>
      </c>
      <c r="O238" s="46" t="s">
        <v>626</v>
      </c>
      <c r="P238" s="46" t="s">
        <v>626</v>
      </c>
      <c r="Q238" s="46" t="s">
        <v>194</v>
      </c>
      <c r="R238" s="46" t="s">
        <v>4305</v>
      </c>
      <c r="S238" s="46" t="s">
        <v>4306</v>
      </c>
      <c r="T238" s="46" t="s">
        <v>4191</v>
      </c>
      <c r="U238" s="46" t="s">
        <v>2890</v>
      </c>
      <c r="V238" s="46" t="s">
        <v>1064</v>
      </c>
      <c r="W238" s="46" t="s">
        <v>1064</v>
      </c>
      <c r="X238" s="46"/>
      <c r="Y238" s="46"/>
      <c r="Z238" s="46"/>
      <c r="AA238" s="46"/>
      <c r="AB238" s="46"/>
      <c r="AC238" s="46" t="s">
        <v>1064</v>
      </c>
      <c r="AD238" s="46"/>
      <c r="AE238" s="46"/>
      <c r="AF238" s="46"/>
      <c r="AG238" s="46"/>
      <c r="AH238" s="46"/>
      <c r="AI238" s="46"/>
      <c r="AJ238" s="46"/>
      <c r="AK238" s="46"/>
      <c r="AL238" s="46" t="s">
        <v>1064</v>
      </c>
      <c r="AM238" s="46"/>
      <c r="AN238" s="46"/>
      <c r="AO238" s="46"/>
      <c r="AP238" s="46" t="s">
        <v>1064</v>
      </c>
      <c r="AQ238" s="46"/>
      <c r="AR238" s="46"/>
      <c r="AS238" s="46" t="s">
        <v>583</v>
      </c>
      <c r="AT238" s="46" t="s">
        <v>2</v>
      </c>
      <c r="AU238" s="46" t="s">
        <v>626</v>
      </c>
      <c r="AV238" s="46" t="s">
        <v>2290</v>
      </c>
      <c r="AW238" s="46" t="s">
        <v>4832</v>
      </c>
      <c r="AX238" s="46" t="s">
        <v>34</v>
      </c>
      <c r="AY238" s="46"/>
      <c r="AZ238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</row>
    <row r="239" spans="1:75" ht="75" x14ac:dyDescent="0.25">
      <c r="A239" s="47" t="s">
        <v>4837</v>
      </c>
      <c r="B239" s="45" t="s">
        <v>305</v>
      </c>
      <c r="C239" s="45" t="s">
        <v>2686</v>
      </c>
      <c r="D239" s="46" t="s">
        <v>4848</v>
      </c>
      <c r="E239" s="25" t="s">
        <v>2</v>
      </c>
      <c r="F239" s="48" t="s">
        <v>90</v>
      </c>
      <c r="G239" s="62" t="s">
        <v>4849</v>
      </c>
      <c r="H239" s="63" t="s">
        <v>4832</v>
      </c>
      <c r="I239" s="46" t="s">
        <v>194</v>
      </c>
      <c r="J239" s="46" t="s">
        <v>1064</v>
      </c>
      <c r="K239" s="46" t="s">
        <v>626</v>
      </c>
      <c r="L239" s="46" t="s">
        <v>626</v>
      </c>
      <c r="M239" s="46" t="s">
        <v>4316</v>
      </c>
      <c r="N239" s="46" t="s">
        <v>4191</v>
      </c>
      <c r="O239" s="46" t="s">
        <v>626</v>
      </c>
      <c r="P239" s="46" t="s">
        <v>626</v>
      </c>
      <c r="Q239" s="46" t="s">
        <v>194</v>
      </c>
      <c r="R239" s="46" t="s">
        <v>194</v>
      </c>
      <c r="S239" s="46" t="s">
        <v>194</v>
      </c>
      <c r="T239" s="46" t="s">
        <v>626</v>
      </c>
      <c r="U239" s="46" t="s">
        <v>2890</v>
      </c>
      <c r="V239" s="46" t="s">
        <v>1064</v>
      </c>
      <c r="W239" s="46" t="s">
        <v>1064</v>
      </c>
      <c r="X239" s="46"/>
      <c r="Y239" s="46"/>
      <c r="Z239" s="46"/>
      <c r="AA239" s="46"/>
      <c r="AB239" s="46"/>
      <c r="AC239" s="46" t="s">
        <v>1064</v>
      </c>
      <c r="AD239" s="46"/>
      <c r="AE239" s="46"/>
      <c r="AF239" s="46"/>
      <c r="AG239" s="46"/>
      <c r="AH239" s="46"/>
      <c r="AI239" s="46"/>
      <c r="AJ239" s="46"/>
      <c r="AK239" s="46"/>
      <c r="AL239" s="46" t="s">
        <v>1064</v>
      </c>
      <c r="AM239" s="46"/>
      <c r="AN239" s="46"/>
      <c r="AO239" s="46"/>
      <c r="AP239" s="46" t="s">
        <v>1064</v>
      </c>
      <c r="AQ239" s="46"/>
      <c r="AR239" s="46"/>
      <c r="AS239" s="46" t="s">
        <v>586</v>
      </c>
      <c r="AT239" s="46" t="s">
        <v>308</v>
      </c>
      <c r="AU239" s="46" t="s">
        <v>626</v>
      </c>
      <c r="AV239" s="46" t="s">
        <v>2292</v>
      </c>
      <c r="AW239" s="46" t="s">
        <v>4832</v>
      </c>
      <c r="AX239" s="46" t="s">
        <v>34</v>
      </c>
      <c r="AY239" s="46"/>
      <c r="AZ239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</row>
    <row r="240" spans="1:75" ht="75" x14ac:dyDescent="0.25">
      <c r="A240" s="47" t="s">
        <v>4840</v>
      </c>
      <c r="B240" s="45" t="s">
        <v>305</v>
      </c>
      <c r="C240" s="45" t="s">
        <v>2687</v>
      </c>
      <c r="D240" s="46" t="s">
        <v>483</v>
      </c>
      <c r="E240" s="25" t="s">
        <v>2</v>
      </c>
      <c r="F240" s="48" t="s">
        <v>549</v>
      </c>
      <c r="G240" s="62" t="s">
        <v>4850</v>
      </c>
      <c r="H240" s="63" t="s">
        <v>4832</v>
      </c>
      <c r="I240" s="46" t="s">
        <v>194</v>
      </c>
      <c r="J240" s="46" t="s">
        <v>1064</v>
      </c>
      <c r="K240" s="46" t="s">
        <v>626</v>
      </c>
      <c r="L240" s="46" t="s">
        <v>626</v>
      </c>
      <c r="M240" s="46" t="s">
        <v>4851</v>
      </c>
      <c r="N240" s="46" t="s">
        <v>4191</v>
      </c>
      <c r="O240" s="46" t="s">
        <v>626</v>
      </c>
      <c r="P240" s="46" t="s">
        <v>626</v>
      </c>
      <c r="Q240" s="46" t="s">
        <v>194</v>
      </c>
      <c r="R240" s="46" t="s">
        <v>194</v>
      </c>
      <c r="S240" s="46" t="s">
        <v>194</v>
      </c>
      <c r="T240" s="46" t="s">
        <v>626</v>
      </c>
      <c r="U240" s="46" t="s">
        <v>2890</v>
      </c>
      <c r="V240" s="46" t="s">
        <v>1064</v>
      </c>
      <c r="W240" s="46" t="s">
        <v>1064</v>
      </c>
      <c r="X240" s="46"/>
      <c r="Y240" s="46"/>
      <c r="Z240" s="46"/>
      <c r="AA240" s="46"/>
      <c r="AB240" s="46"/>
      <c r="AC240" s="46" t="s">
        <v>1064</v>
      </c>
      <c r="AD240" s="46"/>
      <c r="AE240" s="46"/>
      <c r="AF240" s="46"/>
      <c r="AG240" s="46"/>
      <c r="AH240" s="46"/>
      <c r="AI240" s="46"/>
      <c r="AJ240" s="46"/>
      <c r="AK240" s="46"/>
      <c r="AL240" s="46" t="s">
        <v>1064</v>
      </c>
      <c r="AM240" s="46"/>
      <c r="AN240" s="46"/>
      <c r="AO240" s="46"/>
      <c r="AP240" s="46" t="s">
        <v>1064</v>
      </c>
      <c r="AQ240" s="46"/>
      <c r="AR240" s="46"/>
      <c r="AS240" s="46" t="s">
        <v>584</v>
      </c>
      <c r="AT240" s="46" t="s">
        <v>314</v>
      </c>
      <c r="AU240" s="46" t="s">
        <v>626</v>
      </c>
      <c r="AV240" s="46" t="s">
        <v>2294</v>
      </c>
      <c r="AW240" s="46" t="s">
        <v>4832</v>
      </c>
      <c r="AX240" s="46" t="s">
        <v>34</v>
      </c>
      <c r="AY240" s="46"/>
      <c r="AZ240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</row>
    <row r="241" spans="1:75" ht="90" x14ac:dyDescent="0.25">
      <c r="A241" s="47" t="s">
        <v>3143</v>
      </c>
      <c r="B241" s="45" t="s">
        <v>305</v>
      </c>
      <c r="C241" s="45" t="s">
        <v>3349</v>
      </c>
      <c r="D241" s="46" t="s">
        <v>3640</v>
      </c>
      <c r="E241" s="25" t="s">
        <v>2</v>
      </c>
      <c r="F241" s="48" t="s">
        <v>317</v>
      </c>
      <c r="G241" s="62" t="s">
        <v>4469</v>
      </c>
      <c r="H241" s="63" t="s">
        <v>3087</v>
      </c>
      <c r="I241" s="46" t="s">
        <v>4554</v>
      </c>
      <c r="J241" s="46" t="s">
        <v>1064</v>
      </c>
      <c r="K241" s="46" t="s">
        <v>626</v>
      </c>
      <c r="L241" s="46" t="s">
        <v>626</v>
      </c>
      <c r="M241" s="46" t="s">
        <v>194</v>
      </c>
      <c r="N241" s="46" t="s">
        <v>626</v>
      </c>
      <c r="O241" s="46" t="s">
        <v>626</v>
      </c>
      <c r="P241" s="46" t="s">
        <v>626</v>
      </c>
      <c r="Q241" s="46" t="s">
        <v>194</v>
      </c>
      <c r="R241" s="46" t="s">
        <v>194</v>
      </c>
      <c r="S241" s="46" t="s">
        <v>194</v>
      </c>
      <c r="T241" s="46" t="s">
        <v>626</v>
      </c>
      <c r="U241" s="46" t="s">
        <v>2890</v>
      </c>
      <c r="V241" s="46" t="s">
        <v>1064</v>
      </c>
      <c r="W241" s="46" t="s">
        <v>1064</v>
      </c>
      <c r="X241" s="46"/>
      <c r="Y241" s="46"/>
      <c r="Z241" s="46"/>
      <c r="AA241" s="46"/>
      <c r="AB241" s="46"/>
      <c r="AC241" s="46" t="s">
        <v>1064</v>
      </c>
      <c r="AD241" s="46"/>
      <c r="AE241" s="46"/>
      <c r="AF241" s="46"/>
      <c r="AG241" s="46"/>
      <c r="AH241" s="46"/>
      <c r="AI241" s="46"/>
      <c r="AJ241" s="46"/>
      <c r="AK241" s="46"/>
      <c r="AL241" s="46" t="s">
        <v>1064</v>
      </c>
      <c r="AM241" s="46"/>
      <c r="AN241" s="46"/>
      <c r="AO241" s="46"/>
      <c r="AP241" s="46" t="s">
        <v>1064</v>
      </c>
      <c r="AQ241" s="46"/>
      <c r="AR241" s="46"/>
      <c r="AS241" s="46" t="s">
        <v>586</v>
      </c>
      <c r="AT241" s="46" t="s">
        <v>2</v>
      </c>
      <c r="AU241" s="46" t="s">
        <v>4191</v>
      </c>
      <c r="AV241" s="46" t="s">
        <v>3143</v>
      </c>
      <c r="AW241" s="46" t="s">
        <v>3087</v>
      </c>
      <c r="AX241" s="46" t="s">
        <v>34</v>
      </c>
      <c r="AY241" s="46"/>
      <c r="AZ241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</row>
    <row r="242" spans="1:75" ht="90" x14ac:dyDescent="0.25">
      <c r="A242" s="47" t="s">
        <v>3209</v>
      </c>
      <c r="B242" s="45" t="s">
        <v>305</v>
      </c>
      <c r="C242" s="45" t="s">
        <v>3350</v>
      </c>
      <c r="D242" s="46" t="s">
        <v>3351</v>
      </c>
      <c r="E242" s="25" t="s">
        <v>2</v>
      </c>
      <c r="F242" s="48" t="s">
        <v>801</v>
      </c>
      <c r="G242" s="62" t="s">
        <v>4470</v>
      </c>
      <c r="H242" s="63" t="s">
        <v>3135</v>
      </c>
      <c r="I242" s="46" t="s">
        <v>4555</v>
      </c>
      <c r="J242" s="46" t="s">
        <v>1064</v>
      </c>
      <c r="K242" s="46" t="s">
        <v>626</v>
      </c>
      <c r="L242" s="46" t="s">
        <v>626</v>
      </c>
      <c r="M242" s="46" t="s">
        <v>194</v>
      </c>
      <c r="N242" s="46" t="s">
        <v>626</v>
      </c>
      <c r="O242" s="46" t="s">
        <v>626</v>
      </c>
      <c r="P242" s="46" t="s">
        <v>626</v>
      </c>
      <c r="Q242" s="46" t="s">
        <v>194</v>
      </c>
      <c r="R242" s="46" t="s">
        <v>194</v>
      </c>
      <c r="S242" s="46" t="s">
        <v>194</v>
      </c>
      <c r="T242" s="46" t="s">
        <v>626</v>
      </c>
      <c r="U242" s="46" t="s">
        <v>2890</v>
      </c>
      <c r="V242" s="46" t="s">
        <v>1064</v>
      </c>
      <c r="W242" s="46" t="s">
        <v>1064</v>
      </c>
      <c r="X242" s="46"/>
      <c r="Y242" s="46"/>
      <c r="Z242" s="46"/>
      <c r="AA242" s="46"/>
      <c r="AB242" s="46"/>
      <c r="AC242" s="46" t="s">
        <v>1064</v>
      </c>
      <c r="AD242" s="46"/>
      <c r="AE242" s="46"/>
      <c r="AF242" s="46"/>
      <c r="AG242" s="46"/>
      <c r="AH242" s="46"/>
      <c r="AI242" s="46"/>
      <c r="AJ242" s="46"/>
      <c r="AK242" s="46"/>
      <c r="AL242" s="46" t="s">
        <v>1064</v>
      </c>
      <c r="AM242" s="46"/>
      <c r="AN242" s="46"/>
      <c r="AO242" s="46"/>
      <c r="AP242" s="46" t="s">
        <v>1064</v>
      </c>
      <c r="AQ242" s="46"/>
      <c r="AR242" s="46"/>
      <c r="AS242" s="46" t="s">
        <v>586</v>
      </c>
      <c r="AT242" s="46" t="s">
        <v>2</v>
      </c>
      <c r="AU242" s="46" t="s">
        <v>4191</v>
      </c>
      <c r="AV242" s="46" t="s">
        <v>3209</v>
      </c>
      <c r="AW242" s="46" t="s">
        <v>3135</v>
      </c>
      <c r="AX242" s="46" t="s">
        <v>34</v>
      </c>
      <c r="AY242" s="46"/>
      <c r="AZ242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</row>
    <row r="243" spans="1:75" ht="90" x14ac:dyDescent="0.25">
      <c r="A243" s="47" t="s">
        <v>3145</v>
      </c>
      <c r="B243" s="45" t="s">
        <v>305</v>
      </c>
      <c r="C243" s="45" t="s">
        <v>3352</v>
      </c>
      <c r="D243" s="46" t="s">
        <v>3641</v>
      </c>
      <c r="E243" s="25" t="s">
        <v>2</v>
      </c>
      <c r="F243" s="48" t="s">
        <v>317</v>
      </c>
      <c r="G243" s="62" t="s">
        <v>4471</v>
      </c>
      <c r="H243" s="63" t="s">
        <v>3089</v>
      </c>
      <c r="I243" s="46" t="s">
        <v>4555</v>
      </c>
      <c r="J243" s="46" t="s">
        <v>1064</v>
      </c>
      <c r="K243" s="46" t="s">
        <v>626</v>
      </c>
      <c r="L243" s="46" t="s">
        <v>626</v>
      </c>
      <c r="M243" s="46" t="s">
        <v>194</v>
      </c>
      <c r="N243" s="46" t="s">
        <v>626</v>
      </c>
      <c r="O243" s="46" t="s">
        <v>626</v>
      </c>
      <c r="P243" s="46" t="s">
        <v>626</v>
      </c>
      <c r="Q243" s="46" t="s">
        <v>194</v>
      </c>
      <c r="R243" s="46" t="s">
        <v>194</v>
      </c>
      <c r="S243" s="46" t="s">
        <v>194</v>
      </c>
      <c r="T243" s="46" t="s">
        <v>626</v>
      </c>
      <c r="U243" s="46" t="s">
        <v>2890</v>
      </c>
      <c r="V243" s="46" t="s">
        <v>1064</v>
      </c>
      <c r="W243" s="46" t="s">
        <v>1064</v>
      </c>
      <c r="X243" s="46"/>
      <c r="Y243" s="46"/>
      <c r="Z243" s="46"/>
      <c r="AA243" s="46"/>
      <c r="AB243" s="46"/>
      <c r="AC243" s="46" t="s">
        <v>1064</v>
      </c>
      <c r="AD243" s="46"/>
      <c r="AE243" s="46"/>
      <c r="AF243" s="46"/>
      <c r="AG243" s="46"/>
      <c r="AH243" s="46"/>
      <c r="AI243" s="46"/>
      <c r="AJ243" s="46"/>
      <c r="AK243" s="46"/>
      <c r="AL243" s="46" t="s">
        <v>1064</v>
      </c>
      <c r="AM243" s="46"/>
      <c r="AN243" s="46"/>
      <c r="AO243" s="46"/>
      <c r="AP243" s="46" t="s">
        <v>1064</v>
      </c>
      <c r="AQ243" s="46"/>
      <c r="AR243" s="46"/>
      <c r="AS243" s="46" t="s">
        <v>586</v>
      </c>
      <c r="AT243" s="46" t="s">
        <v>2</v>
      </c>
      <c r="AU243" s="46" t="s">
        <v>4191</v>
      </c>
      <c r="AV243" s="46" t="s">
        <v>3145</v>
      </c>
      <c r="AW243" s="46" t="s">
        <v>3089</v>
      </c>
      <c r="AX243" s="46" t="s">
        <v>34</v>
      </c>
      <c r="AY243" s="46"/>
      <c r="AZ243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</row>
    <row r="244" spans="1:75" ht="90" x14ac:dyDescent="0.25">
      <c r="A244" s="47" t="s">
        <v>3147</v>
      </c>
      <c r="B244" s="45" t="s">
        <v>305</v>
      </c>
      <c r="C244" s="45" t="s">
        <v>3287</v>
      </c>
      <c r="D244" s="46" t="s">
        <v>3642</v>
      </c>
      <c r="E244" s="25" t="s">
        <v>2</v>
      </c>
      <c r="F244" s="48" t="s">
        <v>317</v>
      </c>
      <c r="G244" s="62" t="s">
        <v>4472</v>
      </c>
      <c r="H244" s="63" t="s">
        <v>3091</v>
      </c>
      <c r="I244" s="46" t="s">
        <v>4555</v>
      </c>
      <c r="J244" s="46" t="s">
        <v>1064</v>
      </c>
      <c r="K244" s="46" t="s">
        <v>626</v>
      </c>
      <c r="L244" s="46" t="s">
        <v>626</v>
      </c>
      <c r="M244" s="46" t="s">
        <v>194</v>
      </c>
      <c r="N244" s="46" t="s">
        <v>626</v>
      </c>
      <c r="O244" s="46" t="s">
        <v>626</v>
      </c>
      <c r="P244" s="46" t="s">
        <v>626</v>
      </c>
      <c r="Q244" s="46" t="s">
        <v>194</v>
      </c>
      <c r="R244" s="46" t="s">
        <v>194</v>
      </c>
      <c r="S244" s="46" t="s">
        <v>194</v>
      </c>
      <c r="T244" s="46" t="s">
        <v>626</v>
      </c>
      <c r="U244" s="46" t="s">
        <v>2890</v>
      </c>
      <c r="V244" s="46" t="s">
        <v>1064</v>
      </c>
      <c r="W244" s="46" t="s">
        <v>1064</v>
      </c>
      <c r="X244" s="46"/>
      <c r="Y244" s="46"/>
      <c r="Z244" s="46"/>
      <c r="AA244" s="46"/>
      <c r="AB244" s="46"/>
      <c r="AC244" s="46" t="s">
        <v>1064</v>
      </c>
      <c r="AD244" s="46"/>
      <c r="AE244" s="46"/>
      <c r="AF244" s="46"/>
      <c r="AG244" s="46"/>
      <c r="AH244" s="46"/>
      <c r="AI244" s="46"/>
      <c r="AJ244" s="46"/>
      <c r="AK244" s="46"/>
      <c r="AL244" s="46" t="s">
        <v>1064</v>
      </c>
      <c r="AM244" s="46"/>
      <c r="AN244" s="46"/>
      <c r="AO244" s="46"/>
      <c r="AP244" s="46" t="s">
        <v>1064</v>
      </c>
      <c r="AQ244" s="46"/>
      <c r="AR244" s="46"/>
      <c r="AS244" s="46" t="s">
        <v>586</v>
      </c>
      <c r="AT244" s="46" t="s">
        <v>2</v>
      </c>
      <c r="AU244" s="46" t="s">
        <v>4191</v>
      </c>
      <c r="AV244" s="46" t="s">
        <v>3147</v>
      </c>
      <c r="AW244" s="46" t="s">
        <v>3091</v>
      </c>
      <c r="AX244" s="46" t="s">
        <v>34</v>
      </c>
      <c r="AY244" s="46"/>
      <c r="AZ244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</row>
    <row r="245" spans="1:75" ht="135" x14ac:dyDescent="0.25">
      <c r="A245" s="47" t="s">
        <v>3193</v>
      </c>
      <c r="B245" s="45" t="s">
        <v>305</v>
      </c>
      <c r="C245" s="45" t="s">
        <v>3353</v>
      </c>
      <c r="D245" s="46" t="s">
        <v>3343</v>
      </c>
      <c r="E245" s="25" t="s">
        <v>2</v>
      </c>
      <c r="F245" s="48" t="s">
        <v>36</v>
      </c>
      <c r="G245" s="62" t="s">
        <v>4134</v>
      </c>
      <c r="H245" s="63" t="s">
        <v>3119</v>
      </c>
      <c r="I245" s="46" t="s">
        <v>4253</v>
      </c>
      <c r="J245" s="46" t="s">
        <v>1064</v>
      </c>
      <c r="K245" s="46" t="s">
        <v>626</v>
      </c>
      <c r="L245" s="46" t="s">
        <v>4191</v>
      </c>
      <c r="M245" s="46" t="s">
        <v>4285</v>
      </c>
      <c r="N245" s="46" t="s">
        <v>4191</v>
      </c>
      <c r="O245" s="46" t="s">
        <v>626</v>
      </c>
      <c r="P245" s="46" t="s">
        <v>626</v>
      </c>
      <c r="Q245" s="46" t="s">
        <v>194</v>
      </c>
      <c r="R245" s="46" t="s">
        <v>4413</v>
      </c>
      <c r="S245" s="46" t="s">
        <v>4414</v>
      </c>
      <c r="T245" s="46" t="s">
        <v>4191</v>
      </c>
      <c r="U245" s="46" t="s">
        <v>2890</v>
      </c>
      <c r="V245" s="46" t="s">
        <v>1064</v>
      </c>
      <c r="W245" s="46" t="s">
        <v>1064</v>
      </c>
      <c r="X245" s="46"/>
      <c r="Y245" s="46"/>
      <c r="Z245" s="46"/>
      <c r="AA245" s="46"/>
      <c r="AB245" s="46"/>
      <c r="AC245" s="46" t="s">
        <v>1064</v>
      </c>
      <c r="AD245" s="46"/>
      <c r="AE245" s="46"/>
      <c r="AF245" s="46"/>
      <c r="AG245" s="46"/>
      <c r="AH245" s="46"/>
      <c r="AI245" s="46"/>
      <c r="AJ245" s="46"/>
      <c r="AK245" s="46"/>
      <c r="AL245" s="46" t="s">
        <v>1064</v>
      </c>
      <c r="AM245" s="46"/>
      <c r="AN245" s="46"/>
      <c r="AO245" s="46"/>
      <c r="AP245" s="46" t="s">
        <v>1064</v>
      </c>
      <c r="AQ245" s="46"/>
      <c r="AR245" s="46"/>
      <c r="AS245" s="46" t="s">
        <v>583</v>
      </c>
      <c r="AT245" s="46" t="s">
        <v>2</v>
      </c>
      <c r="AU245" s="46" t="s">
        <v>626</v>
      </c>
      <c r="AV245" s="46" t="s">
        <v>2290</v>
      </c>
      <c r="AW245" s="46" t="s">
        <v>3119</v>
      </c>
      <c r="AX245" s="46" t="s">
        <v>34</v>
      </c>
      <c r="AY245" s="46"/>
      <c r="AZ245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</row>
    <row r="246" spans="1:75" ht="75" x14ac:dyDescent="0.25">
      <c r="A246" s="47" t="s">
        <v>3354</v>
      </c>
      <c r="B246" s="45" t="s">
        <v>305</v>
      </c>
      <c r="C246" s="45" t="s">
        <v>3355</v>
      </c>
      <c r="D246" s="46" t="s">
        <v>3343</v>
      </c>
      <c r="E246" s="25" t="s">
        <v>2</v>
      </c>
      <c r="F246" s="48" t="s">
        <v>317</v>
      </c>
      <c r="G246" s="62" t="s">
        <v>2723</v>
      </c>
      <c r="H246" s="63"/>
      <c r="I246" s="46" t="s">
        <v>194</v>
      </c>
      <c r="J246" s="46" t="s">
        <v>1064</v>
      </c>
      <c r="K246" s="46" t="s">
        <v>626</v>
      </c>
      <c r="L246" s="46" t="s">
        <v>626</v>
      </c>
      <c r="M246" s="46" t="s">
        <v>4303</v>
      </c>
      <c r="N246" s="46" t="s">
        <v>4191</v>
      </c>
      <c r="O246" s="46" t="s">
        <v>626</v>
      </c>
      <c r="P246" s="46" t="s">
        <v>626</v>
      </c>
      <c r="Q246" s="46" t="s">
        <v>194</v>
      </c>
      <c r="R246" s="46" t="s">
        <v>194</v>
      </c>
      <c r="S246" s="46" t="s">
        <v>194</v>
      </c>
      <c r="T246" s="46" t="s">
        <v>626</v>
      </c>
      <c r="U246" s="46" t="s">
        <v>2890</v>
      </c>
      <c r="V246" s="46" t="s">
        <v>1064</v>
      </c>
      <c r="W246" s="46" t="s">
        <v>1064</v>
      </c>
      <c r="X246" s="46"/>
      <c r="Y246" s="46"/>
      <c r="Z246" s="46"/>
      <c r="AA246" s="46"/>
      <c r="AB246" s="46"/>
      <c r="AC246" s="46" t="s">
        <v>1064</v>
      </c>
      <c r="AD246" s="46"/>
      <c r="AE246" s="46"/>
      <c r="AF246" s="46"/>
      <c r="AG246" s="46"/>
      <c r="AH246" s="46"/>
      <c r="AI246" s="46"/>
      <c r="AJ246" s="46"/>
      <c r="AK246" s="46"/>
      <c r="AL246" s="46" t="s">
        <v>1064</v>
      </c>
      <c r="AM246" s="46"/>
      <c r="AN246" s="46"/>
      <c r="AO246" s="46"/>
      <c r="AP246" s="46" t="s">
        <v>1064</v>
      </c>
      <c r="AQ246" s="46"/>
      <c r="AR246" s="46"/>
      <c r="AS246" s="46" t="s">
        <v>586</v>
      </c>
      <c r="AT246" s="46" t="s">
        <v>308</v>
      </c>
      <c r="AU246" s="46" t="s">
        <v>626</v>
      </c>
      <c r="AV246" s="46" t="s">
        <v>2292</v>
      </c>
      <c r="AW246" s="46"/>
      <c r="AX246" s="46"/>
      <c r="AY246" s="46"/>
      <c r="AZ2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</row>
    <row r="247" spans="1:75" ht="75" x14ac:dyDescent="0.25">
      <c r="A247" s="47" t="s">
        <v>3356</v>
      </c>
      <c r="B247" s="45" t="s">
        <v>305</v>
      </c>
      <c r="C247" s="45" t="s">
        <v>3357</v>
      </c>
      <c r="D247" s="46" t="s">
        <v>3343</v>
      </c>
      <c r="E247" s="25" t="s">
        <v>2</v>
      </c>
      <c r="F247" s="48" t="s">
        <v>314</v>
      </c>
      <c r="G247" s="62" t="s">
        <v>2677</v>
      </c>
      <c r="H247" s="63"/>
      <c r="I247" s="46" t="s">
        <v>194</v>
      </c>
      <c r="J247" s="46" t="s">
        <v>1064</v>
      </c>
      <c r="K247" s="46" t="s">
        <v>626</v>
      </c>
      <c r="L247" s="46" t="s">
        <v>626</v>
      </c>
      <c r="M247" s="46" t="s">
        <v>4242</v>
      </c>
      <c r="N247" s="46" t="s">
        <v>4191</v>
      </c>
      <c r="O247" s="46" t="s">
        <v>626</v>
      </c>
      <c r="P247" s="46" t="s">
        <v>626</v>
      </c>
      <c r="Q247" s="46" t="s">
        <v>194</v>
      </c>
      <c r="R247" s="46" t="s">
        <v>194</v>
      </c>
      <c r="S247" s="46" t="s">
        <v>194</v>
      </c>
      <c r="T247" s="46" t="s">
        <v>626</v>
      </c>
      <c r="U247" s="46" t="s">
        <v>2890</v>
      </c>
      <c r="V247" s="46" t="s">
        <v>1064</v>
      </c>
      <c r="W247" s="46" t="s">
        <v>1064</v>
      </c>
      <c r="X247" s="46"/>
      <c r="Y247" s="46"/>
      <c r="Z247" s="46"/>
      <c r="AA247" s="46"/>
      <c r="AB247" s="46"/>
      <c r="AC247" s="46" t="s">
        <v>1064</v>
      </c>
      <c r="AD247" s="46"/>
      <c r="AE247" s="46"/>
      <c r="AF247" s="46"/>
      <c r="AG247" s="46"/>
      <c r="AH247" s="46"/>
      <c r="AI247" s="46"/>
      <c r="AJ247" s="46"/>
      <c r="AK247" s="46"/>
      <c r="AL247" s="46" t="s">
        <v>1064</v>
      </c>
      <c r="AM247" s="46"/>
      <c r="AN247" s="46"/>
      <c r="AO247" s="46"/>
      <c r="AP247" s="46" t="s">
        <v>1064</v>
      </c>
      <c r="AQ247" s="46"/>
      <c r="AR247" s="46"/>
      <c r="AS247" s="46" t="s">
        <v>584</v>
      </c>
      <c r="AT247" s="46" t="s">
        <v>314</v>
      </c>
      <c r="AU247" s="46" t="s">
        <v>626</v>
      </c>
      <c r="AV247" s="46" t="s">
        <v>2294</v>
      </c>
      <c r="AW247" s="46"/>
      <c r="AX247" s="46"/>
      <c r="AY247" s="46"/>
      <c r="AZ247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</row>
    <row r="248" spans="1:75" ht="135" x14ac:dyDescent="0.25">
      <c r="A248" s="47" t="s">
        <v>3195</v>
      </c>
      <c r="B248" s="45" t="s">
        <v>305</v>
      </c>
      <c r="C248" s="45" t="s">
        <v>3358</v>
      </c>
      <c r="D248" s="46" t="s">
        <v>3343</v>
      </c>
      <c r="E248" s="25" t="s">
        <v>2</v>
      </c>
      <c r="F248" s="48" t="s">
        <v>36</v>
      </c>
      <c r="G248" s="62" t="s">
        <v>4135</v>
      </c>
      <c r="H248" s="63" t="s">
        <v>3121</v>
      </c>
      <c r="I248" s="46" t="s">
        <v>4253</v>
      </c>
      <c r="J248" s="46" t="s">
        <v>1064</v>
      </c>
      <c r="K248" s="46" t="s">
        <v>626</v>
      </c>
      <c r="L248" s="46" t="s">
        <v>4191</v>
      </c>
      <c r="M248" s="46" t="s">
        <v>4285</v>
      </c>
      <c r="N248" s="46" t="s">
        <v>4191</v>
      </c>
      <c r="O248" s="46" t="s">
        <v>626</v>
      </c>
      <c r="P248" s="46" t="s">
        <v>626</v>
      </c>
      <c r="Q248" s="46" t="s">
        <v>194</v>
      </c>
      <c r="R248" s="46" t="s">
        <v>4415</v>
      </c>
      <c r="S248" s="46" t="s">
        <v>4416</v>
      </c>
      <c r="T248" s="46" t="s">
        <v>4191</v>
      </c>
      <c r="U248" s="46" t="s">
        <v>2890</v>
      </c>
      <c r="V248" s="46" t="s">
        <v>1064</v>
      </c>
      <c r="W248" s="46" t="s">
        <v>1064</v>
      </c>
      <c r="X248" s="46"/>
      <c r="Y248" s="46"/>
      <c r="Z248" s="46"/>
      <c r="AA248" s="46"/>
      <c r="AB248" s="46"/>
      <c r="AC248" s="46" t="s">
        <v>1064</v>
      </c>
      <c r="AD248" s="46"/>
      <c r="AE248" s="46"/>
      <c r="AF248" s="46"/>
      <c r="AG248" s="46"/>
      <c r="AH248" s="46"/>
      <c r="AI248" s="46"/>
      <c r="AJ248" s="46"/>
      <c r="AK248" s="46"/>
      <c r="AL248" s="46" t="s">
        <v>1064</v>
      </c>
      <c r="AM248" s="46"/>
      <c r="AN248" s="46"/>
      <c r="AO248" s="46"/>
      <c r="AP248" s="46" t="s">
        <v>1064</v>
      </c>
      <c r="AQ248" s="46"/>
      <c r="AR248" s="46"/>
      <c r="AS248" s="46" t="s">
        <v>583</v>
      </c>
      <c r="AT248" s="46" t="s">
        <v>2</v>
      </c>
      <c r="AU248" s="46" t="s">
        <v>626</v>
      </c>
      <c r="AV248" s="46" t="s">
        <v>2290</v>
      </c>
      <c r="AW248" s="46" t="s">
        <v>3121</v>
      </c>
      <c r="AX248" s="46" t="s">
        <v>34</v>
      </c>
      <c r="AY248" s="46"/>
      <c r="AZ248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</row>
    <row r="249" spans="1:75" ht="75" x14ac:dyDescent="0.25">
      <c r="A249" s="47" t="s">
        <v>3359</v>
      </c>
      <c r="B249" s="45" t="s">
        <v>305</v>
      </c>
      <c r="C249" s="45" t="s">
        <v>3360</v>
      </c>
      <c r="D249" s="46" t="s">
        <v>3343</v>
      </c>
      <c r="E249" s="25" t="s">
        <v>2</v>
      </c>
      <c r="F249" s="48" t="s">
        <v>317</v>
      </c>
      <c r="G249" s="62" t="s">
        <v>2723</v>
      </c>
      <c r="H249" s="63"/>
      <c r="I249" s="46" t="s">
        <v>194</v>
      </c>
      <c r="J249" s="46" t="s">
        <v>1064</v>
      </c>
      <c r="K249" s="46" t="s">
        <v>626</v>
      </c>
      <c r="L249" s="46" t="s">
        <v>626</v>
      </c>
      <c r="M249" s="46" t="s">
        <v>4303</v>
      </c>
      <c r="N249" s="46" t="s">
        <v>4191</v>
      </c>
      <c r="O249" s="46" t="s">
        <v>626</v>
      </c>
      <c r="P249" s="46" t="s">
        <v>626</v>
      </c>
      <c r="Q249" s="46" t="s">
        <v>194</v>
      </c>
      <c r="R249" s="46" t="s">
        <v>194</v>
      </c>
      <c r="S249" s="46" t="s">
        <v>194</v>
      </c>
      <c r="T249" s="46" t="s">
        <v>626</v>
      </c>
      <c r="U249" s="46" t="s">
        <v>2890</v>
      </c>
      <c r="V249" s="46" t="s">
        <v>1064</v>
      </c>
      <c r="W249" s="46" t="s">
        <v>1064</v>
      </c>
      <c r="X249" s="46"/>
      <c r="Y249" s="46"/>
      <c r="Z249" s="46"/>
      <c r="AA249" s="46"/>
      <c r="AB249" s="46"/>
      <c r="AC249" s="46" t="s">
        <v>1064</v>
      </c>
      <c r="AD249" s="46"/>
      <c r="AE249" s="46"/>
      <c r="AF249" s="46"/>
      <c r="AG249" s="46"/>
      <c r="AH249" s="46"/>
      <c r="AI249" s="46"/>
      <c r="AJ249" s="46"/>
      <c r="AK249" s="46"/>
      <c r="AL249" s="46" t="s">
        <v>1064</v>
      </c>
      <c r="AM249" s="46"/>
      <c r="AN249" s="46"/>
      <c r="AO249" s="46"/>
      <c r="AP249" s="46" t="s">
        <v>1064</v>
      </c>
      <c r="AQ249" s="46"/>
      <c r="AR249" s="46"/>
      <c r="AS249" s="46" t="s">
        <v>586</v>
      </c>
      <c r="AT249" s="46" t="s">
        <v>308</v>
      </c>
      <c r="AU249" s="46" t="s">
        <v>626</v>
      </c>
      <c r="AV249" s="46" t="s">
        <v>2292</v>
      </c>
      <c r="AW249" s="46"/>
      <c r="AX249" s="46"/>
      <c r="AY249" s="46"/>
      <c r="AZ249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</row>
    <row r="250" spans="1:75" ht="75" x14ac:dyDescent="0.25">
      <c r="A250" s="47" t="s">
        <v>3361</v>
      </c>
      <c r="B250" s="45" t="s">
        <v>305</v>
      </c>
      <c r="C250" s="45" t="s">
        <v>3362</v>
      </c>
      <c r="D250" s="46" t="s">
        <v>3343</v>
      </c>
      <c r="E250" s="25" t="s">
        <v>2</v>
      </c>
      <c r="F250" s="48" t="s">
        <v>314</v>
      </c>
      <c r="G250" s="62" t="s">
        <v>2677</v>
      </c>
      <c r="H250" s="63"/>
      <c r="I250" s="46" t="s">
        <v>194</v>
      </c>
      <c r="J250" s="46" t="s">
        <v>1064</v>
      </c>
      <c r="K250" s="46" t="s">
        <v>626</v>
      </c>
      <c r="L250" s="46" t="s">
        <v>626</v>
      </c>
      <c r="M250" s="46" t="s">
        <v>4242</v>
      </c>
      <c r="N250" s="46" t="s">
        <v>4191</v>
      </c>
      <c r="O250" s="46" t="s">
        <v>626</v>
      </c>
      <c r="P250" s="46" t="s">
        <v>626</v>
      </c>
      <c r="Q250" s="46" t="s">
        <v>194</v>
      </c>
      <c r="R250" s="46" t="s">
        <v>194</v>
      </c>
      <c r="S250" s="46" t="s">
        <v>194</v>
      </c>
      <c r="T250" s="46" t="s">
        <v>626</v>
      </c>
      <c r="U250" s="46" t="s">
        <v>2890</v>
      </c>
      <c r="V250" s="46" t="s">
        <v>1064</v>
      </c>
      <c r="W250" s="46" t="s">
        <v>1064</v>
      </c>
      <c r="X250" s="46"/>
      <c r="Y250" s="46"/>
      <c r="Z250" s="46"/>
      <c r="AA250" s="46"/>
      <c r="AB250" s="46"/>
      <c r="AC250" s="46" t="s">
        <v>1064</v>
      </c>
      <c r="AD250" s="46"/>
      <c r="AE250" s="46"/>
      <c r="AF250" s="46"/>
      <c r="AG250" s="46"/>
      <c r="AH250" s="46"/>
      <c r="AI250" s="46"/>
      <c r="AJ250" s="46"/>
      <c r="AK250" s="46"/>
      <c r="AL250" s="46" t="s">
        <v>1064</v>
      </c>
      <c r="AM250" s="46"/>
      <c r="AN250" s="46"/>
      <c r="AO250" s="46"/>
      <c r="AP250" s="46" t="s">
        <v>1064</v>
      </c>
      <c r="AQ250" s="46"/>
      <c r="AR250" s="46"/>
      <c r="AS250" s="46" t="s">
        <v>584</v>
      </c>
      <c r="AT250" s="46" t="s">
        <v>314</v>
      </c>
      <c r="AU250" s="46" t="s">
        <v>626</v>
      </c>
      <c r="AV250" s="46" t="s">
        <v>2294</v>
      </c>
      <c r="AW250" s="46"/>
      <c r="AX250" s="46"/>
      <c r="AY250" s="46"/>
      <c r="AZ250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</row>
    <row r="251" spans="1:75" ht="135" x14ac:dyDescent="0.25">
      <c r="A251" s="47" t="s">
        <v>3197</v>
      </c>
      <c r="B251" s="45" t="s">
        <v>305</v>
      </c>
      <c r="C251" s="45" t="s">
        <v>3363</v>
      </c>
      <c r="D251" s="46" t="s">
        <v>3343</v>
      </c>
      <c r="E251" s="25" t="s">
        <v>2</v>
      </c>
      <c r="F251" s="48" t="s">
        <v>36</v>
      </c>
      <c r="G251" s="62" t="s">
        <v>4136</v>
      </c>
      <c r="H251" s="63" t="s">
        <v>3123</v>
      </c>
      <c r="I251" s="46" t="s">
        <v>4253</v>
      </c>
      <c r="J251" s="46" t="s">
        <v>1064</v>
      </c>
      <c r="K251" s="46" t="s">
        <v>626</v>
      </c>
      <c r="L251" s="46" t="s">
        <v>4191</v>
      </c>
      <c r="M251" s="46" t="s">
        <v>4285</v>
      </c>
      <c r="N251" s="46" t="s">
        <v>4191</v>
      </c>
      <c r="O251" s="46" t="s">
        <v>626</v>
      </c>
      <c r="P251" s="46" t="s">
        <v>626</v>
      </c>
      <c r="Q251" s="46" t="s">
        <v>194</v>
      </c>
      <c r="R251" s="46" t="s">
        <v>4417</v>
      </c>
      <c r="S251" s="46" t="s">
        <v>4418</v>
      </c>
      <c r="T251" s="46" t="s">
        <v>4191</v>
      </c>
      <c r="U251" s="46" t="s">
        <v>2890</v>
      </c>
      <c r="V251" s="46" t="s">
        <v>1064</v>
      </c>
      <c r="W251" s="46" t="s">
        <v>1064</v>
      </c>
      <c r="X251" s="46"/>
      <c r="Y251" s="46"/>
      <c r="Z251" s="46"/>
      <c r="AA251" s="46"/>
      <c r="AB251" s="46"/>
      <c r="AC251" s="46" t="s">
        <v>1064</v>
      </c>
      <c r="AD251" s="46"/>
      <c r="AE251" s="46"/>
      <c r="AF251" s="46"/>
      <c r="AG251" s="46"/>
      <c r="AH251" s="46"/>
      <c r="AI251" s="46"/>
      <c r="AJ251" s="46"/>
      <c r="AK251" s="46"/>
      <c r="AL251" s="46" t="s">
        <v>1064</v>
      </c>
      <c r="AM251" s="46"/>
      <c r="AN251" s="46"/>
      <c r="AO251" s="46"/>
      <c r="AP251" s="46" t="s">
        <v>1064</v>
      </c>
      <c r="AQ251" s="46"/>
      <c r="AR251" s="46"/>
      <c r="AS251" s="46" t="s">
        <v>583</v>
      </c>
      <c r="AT251" s="46" t="s">
        <v>2</v>
      </c>
      <c r="AU251" s="46" t="s">
        <v>626</v>
      </c>
      <c r="AV251" s="46" t="s">
        <v>2290</v>
      </c>
      <c r="AW251" s="46" t="s">
        <v>3123</v>
      </c>
      <c r="AX251" s="46" t="s">
        <v>34</v>
      </c>
      <c r="AY251" s="46"/>
      <c r="AZ251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</row>
    <row r="252" spans="1:75" ht="75" x14ac:dyDescent="0.25">
      <c r="A252" s="47" t="s">
        <v>3364</v>
      </c>
      <c r="B252" s="45" t="s">
        <v>305</v>
      </c>
      <c r="C252" s="45" t="s">
        <v>3365</v>
      </c>
      <c r="D252" s="46" t="s">
        <v>3343</v>
      </c>
      <c r="E252" s="25" t="s">
        <v>2</v>
      </c>
      <c r="F252" s="48" t="s">
        <v>317</v>
      </c>
      <c r="G252" s="62" t="s">
        <v>2723</v>
      </c>
      <c r="H252" s="63"/>
      <c r="I252" s="46" t="s">
        <v>194</v>
      </c>
      <c r="J252" s="46" t="s">
        <v>1064</v>
      </c>
      <c r="K252" s="46" t="s">
        <v>626</v>
      </c>
      <c r="L252" s="46" t="s">
        <v>626</v>
      </c>
      <c r="M252" s="46" t="s">
        <v>4303</v>
      </c>
      <c r="N252" s="46" t="s">
        <v>4191</v>
      </c>
      <c r="O252" s="46" t="s">
        <v>626</v>
      </c>
      <c r="P252" s="46" t="s">
        <v>626</v>
      </c>
      <c r="Q252" s="46" t="s">
        <v>194</v>
      </c>
      <c r="R252" s="46" t="s">
        <v>194</v>
      </c>
      <c r="S252" s="46" t="s">
        <v>194</v>
      </c>
      <c r="T252" s="46" t="s">
        <v>626</v>
      </c>
      <c r="U252" s="46" t="s">
        <v>2890</v>
      </c>
      <c r="V252" s="46" t="s">
        <v>1064</v>
      </c>
      <c r="W252" s="46" t="s">
        <v>1064</v>
      </c>
      <c r="X252" s="46"/>
      <c r="Y252" s="46"/>
      <c r="Z252" s="46"/>
      <c r="AA252" s="46"/>
      <c r="AB252" s="46"/>
      <c r="AC252" s="46" t="s">
        <v>1064</v>
      </c>
      <c r="AD252" s="46"/>
      <c r="AE252" s="46"/>
      <c r="AF252" s="46"/>
      <c r="AG252" s="46"/>
      <c r="AH252" s="46"/>
      <c r="AI252" s="46"/>
      <c r="AJ252" s="46"/>
      <c r="AK252" s="46"/>
      <c r="AL252" s="46" t="s">
        <v>1064</v>
      </c>
      <c r="AM252" s="46"/>
      <c r="AN252" s="46"/>
      <c r="AO252" s="46"/>
      <c r="AP252" s="46" t="s">
        <v>1064</v>
      </c>
      <c r="AQ252" s="46"/>
      <c r="AR252" s="46"/>
      <c r="AS252" s="46" t="s">
        <v>586</v>
      </c>
      <c r="AT252" s="46" t="s">
        <v>308</v>
      </c>
      <c r="AU252" s="46" t="s">
        <v>626</v>
      </c>
      <c r="AV252" s="46" t="s">
        <v>2292</v>
      </c>
      <c r="AW252" s="46"/>
      <c r="AX252" s="46"/>
      <c r="AY252" s="46"/>
      <c r="AZ252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</row>
    <row r="253" spans="1:75" ht="75" x14ac:dyDescent="0.25">
      <c r="A253" s="47" t="s">
        <v>3366</v>
      </c>
      <c r="B253" s="45" t="s">
        <v>305</v>
      </c>
      <c r="C253" s="45" t="s">
        <v>3367</v>
      </c>
      <c r="D253" s="46" t="s">
        <v>3343</v>
      </c>
      <c r="E253" s="25" t="s">
        <v>2</v>
      </c>
      <c r="F253" s="48" t="s">
        <v>314</v>
      </c>
      <c r="G253" s="62" t="s">
        <v>2677</v>
      </c>
      <c r="H253" s="63"/>
      <c r="I253" s="46" t="s">
        <v>194</v>
      </c>
      <c r="J253" s="46" t="s">
        <v>1064</v>
      </c>
      <c r="K253" s="46" t="s">
        <v>626</v>
      </c>
      <c r="L253" s="46" t="s">
        <v>626</v>
      </c>
      <c r="M253" s="46" t="s">
        <v>4242</v>
      </c>
      <c r="N253" s="46" t="s">
        <v>4191</v>
      </c>
      <c r="O253" s="46" t="s">
        <v>626</v>
      </c>
      <c r="P253" s="46" t="s">
        <v>626</v>
      </c>
      <c r="Q253" s="46" t="s">
        <v>194</v>
      </c>
      <c r="R253" s="46" t="s">
        <v>194</v>
      </c>
      <c r="S253" s="46" t="s">
        <v>194</v>
      </c>
      <c r="T253" s="46" t="s">
        <v>626</v>
      </c>
      <c r="U253" s="46" t="s">
        <v>2890</v>
      </c>
      <c r="V253" s="46" t="s">
        <v>1064</v>
      </c>
      <c r="W253" s="46" t="s">
        <v>1064</v>
      </c>
      <c r="X253" s="46"/>
      <c r="Y253" s="46"/>
      <c r="Z253" s="46"/>
      <c r="AA253" s="46"/>
      <c r="AB253" s="46"/>
      <c r="AC253" s="46" t="s">
        <v>1064</v>
      </c>
      <c r="AD253" s="46"/>
      <c r="AE253" s="46"/>
      <c r="AF253" s="46"/>
      <c r="AG253" s="46"/>
      <c r="AH253" s="46"/>
      <c r="AI253" s="46"/>
      <c r="AJ253" s="46"/>
      <c r="AK253" s="46"/>
      <c r="AL253" s="46" t="s">
        <v>1064</v>
      </c>
      <c r="AM253" s="46"/>
      <c r="AN253" s="46"/>
      <c r="AO253" s="46"/>
      <c r="AP253" s="46" t="s">
        <v>1064</v>
      </c>
      <c r="AQ253" s="46"/>
      <c r="AR253" s="46"/>
      <c r="AS253" s="46" t="s">
        <v>584</v>
      </c>
      <c r="AT253" s="46" t="s">
        <v>314</v>
      </c>
      <c r="AU253" s="46" t="s">
        <v>626</v>
      </c>
      <c r="AV253" s="46" t="s">
        <v>2294</v>
      </c>
      <c r="AW253" s="46"/>
      <c r="AX253" s="46"/>
      <c r="AY253" s="46"/>
      <c r="AZ253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</row>
    <row r="254" spans="1:75" ht="90" x14ac:dyDescent="0.25">
      <c r="A254" s="47" t="s">
        <v>3205</v>
      </c>
      <c r="B254" s="45" t="s">
        <v>305</v>
      </c>
      <c r="C254" s="45" t="s">
        <v>3368</v>
      </c>
      <c r="D254" s="46" t="s">
        <v>3369</v>
      </c>
      <c r="E254" s="25" t="s">
        <v>2</v>
      </c>
      <c r="F254" s="48" t="s">
        <v>801</v>
      </c>
      <c r="G254" s="62" t="s">
        <v>4473</v>
      </c>
      <c r="H254" s="63" t="s">
        <v>3131</v>
      </c>
      <c r="I254" s="46" t="s">
        <v>4554</v>
      </c>
      <c r="J254" s="46" t="s">
        <v>1064</v>
      </c>
      <c r="K254" s="46" t="s">
        <v>626</v>
      </c>
      <c r="L254" s="46" t="s">
        <v>626</v>
      </c>
      <c r="M254" s="46" t="s">
        <v>194</v>
      </c>
      <c r="N254" s="46" t="s">
        <v>626</v>
      </c>
      <c r="O254" s="46" t="s">
        <v>626</v>
      </c>
      <c r="P254" s="46" t="s">
        <v>626</v>
      </c>
      <c r="Q254" s="46" t="s">
        <v>194</v>
      </c>
      <c r="R254" s="46" t="s">
        <v>194</v>
      </c>
      <c r="S254" s="46" t="s">
        <v>194</v>
      </c>
      <c r="T254" s="46" t="s">
        <v>626</v>
      </c>
      <c r="U254" s="46" t="s">
        <v>2890</v>
      </c>
      <c r="V254" s="46" t="s">
        <v>1064</v>
      </c>
      <c r="W254" s="46" t="s">
        <v>1064</v>
      </c>
      <c r="X254" s="46"/>
      <c r="Y254" s="46"/>
      <c r="Z254" s="46"/>
      <c r="AA254" s="46"/>
      <c r="AB254" s="46"/>
      <c r="AC254" s="46" t="s">
        <v>1064</v>
      </c>
      <c r="AD254" s="46"/>
      <c r="AE254" s="46"/>
      <c r="AF254" s="46"/>
      <c r="AG254" s="46"/>
      <c r="AH254" s="46"/>
      <c r="AI254" s="46"/>
      <c r="AJ254" s="46"/>
      <c r="AK254" s="46"/>
      <c r="AL254" s="46" t="s">
        <v>1064</v>
      </c>
      <c r="AM254" s="46"/>
      <c r="AN254" s="46"/>
      <c r="AO254" s="46"/>
      <c r="AP254" s="46" t="s">
        <v>1064</v>
      </c>
      <c r="AQ254" s="46"/>
      <c r="AR254" s="46"/>
      <c r="AS254" s="46" t="s">
        <v>586</v>
      </c>
      <c r="AT254" s="46" t="s">
        <v>2</v>
      </c>
      <c r="AU254" s="46" t="s">
        <v>4191</v>
      </c>
      <c r="AV254" s="46" t="s">
        <v>3205</v>
      </c>
      <c r="AW254" s="46" t="s">
        <v>3131</v>
      </c>
      <c r="AX254" s="46" t="s">
        <v>34</v>
      </c>
      <c r="AY254" s="46"/>
      <c r="AZ254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</row>
    <row r="255" spans="1:75" ht="90" x14ac:dyDescent="0.25">
      <c r="A255" s="47" t="s">
        <v>3207</v>
      </c>
      <c r="B255" s="45" t="s">
        <v>305</v>
      </c>
      <c r="C255" s="45" t="s">
        <v>3370</v>
      </c>
      <c r="D255" s="46" t="s">
        <v>3371</v>
      </c>
      <c r="E255" s="25" t="s">
        <v>2</v>
      </c>
      <c r="F255" s="48" t="s">
        <v>801</v>
      </c>
      <c r="G255" s="62" t="s">
        <v>4474</v>
      </c>
      <c r="H255" s="63" t="s">
        <v>3133</v>
      </c>
      <c r="I255" s="46" t="s">
        <v>4555</v>
      </c>
      <c r="J255" s="46" t="s">
        <v>1064</v>
      </c>
      <c r="K255" s="46" t="s">
        <v>626</v>
      </c>
      <c r="L255" s="46" t="s">
        <v>626</v>
      </c>
      <c r="M255" s="46" t="s">
        <v>194</v>
      </c>
      <c r="N255" s="46" t="s">
        <v>626</v>
      </c>
      <c r="O255" s="46" t="s">
        <v>626</v>
      </c>
      <c r="P255" s="46" t="s">
        <v>626</v>
      </c>
      <c r="Q255" s="46" t="s">
        <v>194</v>
      </c>
      <c r="R255" s="46" t="s">
        <v>194</v>
      </c>
      <c r="S255" s="46" t="s">
        <v>194</v>
      </c>
      <c r="T255" s="46" t="s">
        <v>626</v>
      </c>
      <c r="U255" s="46" t="s">
        <v>2890</v>
      </c>
      <c r="V255" s="46" t="s">
        <v>1064</v>
      </c>
      <c r="W255" s="46" t="s">
        <v>1064</v>
      </c>
      <c r="X255" s="46"/>
      <c r="Y255" s="46"/>
      <c r="Z255" s="46"/>
      <c r="AA255" s="46"/>
      <c r="AB255" s="46"/>
      <c r="AC255" s="46" t="s">
        <v>1064</v>
      </c>
      <c r="AD255" s="46"/>
      <c r="AE255" s="46"/>
      <c r="AF255" s="46"/>
      <c r="AG255" s="46"/>
      <c r="AH255" s="46"/>
      <c r="AI255" s="46"/>
      <c r="AJ255" s="46"/>
      <c r="AK255" s="46"/>
      <c r="AL255" s="46" t="s">
        <v>1064</v>
      </c>
      <c r="AM255" s="46"/>
      <c r="AN255" s="46"/>
      <c r="AO255" s="46"/>
      <c r="AP255" s="46" t="s">
        <v>1064</v>
      </c>
      <c r="AQ255" s="46"/>
      <c r="AR255" s="46"/>
      <c r="AS255" s="46" t="s">
        <v>586</v>
      </c>
      <c r="AT255" s="46" t="s">
        <v>2</v>
      </c>
      <c r="AU255" s="46" t="s">
        <v>4191</v>
      </c>
      <c r="AV255" s="46" t="s">
        <v>3207</v>
      </c>
      <c r="AW255" s="46" t="s">
        <v>3133</v>
      </c>
      <c r="AX255" s="46" t="s">
        <v>34</v>
      </c>
      <c r="AY255" s="46"/>
      <c r="AZ255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</row>
    <row r="256" spans="1:75" ht="150" x14ac:dyDescent="0.25">
      <c r="A256" s="47" t="s">
        <v>2310</v>
      </c>
      <c r="B256" s="45" t="s">
        <v>305</v>
      </c>
      <c r="C256" s="45" t="s">
        <v>2688</v>
      </c>
      <c r="D256" s="46" t="s">
        <v>468</v>
      </c>
      <c r="E256" s="25" t="s">
        <v>2</v>
      </c>
      <c r="F256" s="48" t="s">
        <v>836</v>
      </c>
      <c r="G256" s="62" t="s">
        <v>2689</v>
      </c>
      <c r="H256" s="63" t="s">
        <v>2210</v>
      </c>
      <c r="I256" s="46" t="s">
        <v>4253</v>
      </c>
      <c r="J256" s="46" t="s">
        <v>1064</v>
      </c>
      <c r="K256" s="46" t="s">
        <v>626</v>
      </c>
      <c r="L256" s="46" t="s">
        <v>4191</v>
      </c>
      <c r="M256" s="46" t="s">
        <v>4289</v>
      </c>
      <c r="N256" s="46" t="s">
        <v>4191</v>
      </c>
      <c r="O256" s="46" t="s">
        <v>626</v>
      </c>
      <c r="P256" s="46" t="s">
        <v>626</v>
      </c>
      <c r="Q256" s="46" t="s">
        <v>194</v>
      </c>
      <c r="R256" s="46" t="s">
        <v>4298</v>
      </c>
      <c r="S256" s="46" t="s">
        <v>4299</v>
      </c>
      <c r="T256" s="46" t="s">
        <v>4191</v>
      </c>
      <c r="U256" s="46" t="s">
        <v>2890</v>
      </c>
      <c r="V256" s="46" t="s">
        <v>1064</v>
      </c>
      <c r="W256" s="46" t="s">
        <v>1064</v>
      </c>
      <c r="X256" s="46"/>
      <c r="Y256" s="46"/>
      <c r="Z256" s="46"/>
      <c r="AA256" s="46"/>
      <c r="AB256" s="46"/>
      <c r="AC256" s="46" t="s">
        <v>1064</v>
      </c>
      <c r="AD256" s="46"/>
      <c r="AE256" s="46"/>
      <c r="AF256" s="46"/>
      <c r="AG256" s="46"/>
      <c r="AH256" s="46"/>
      <c r="AI256" s="46"/>
      <c r="AJ256" s="46"/>
      <c r="AK256" s="46"/>
      <c r="AL256" s="46" t="s">
        <v>1064</v>
      </c>
      <c r="AM256" s="46"/>
      <c r="AN256" s="46"/>
      <c r="AO256" s="46"/>
      <c r="AP256" s="46" t="s">
        <v>1064</v>
      </c>
      <c r="AQ256" s="46"/>
      <c r="AR256" s="46"/>
      <c r="AS256" s="46" t="s">
        <v>583</v>
      </c>
      <c r="AT256" s="46" t="s">
        <v>2</v>
      </c>
      <c r="AU256" s="46" t="s">
        <v>626</v>
      </c>
      <c r="AV256" s="46" t="s">
        <v>2290</v>
      </c>
      <c r="AW256" s="46" t="s">
        <v>2210</v>
      </c>
      <c r="AX256" s="46" t="s">
        <v>34</v>
      </c>
      <c r="AY256" s="46"/>
      <c r="AZ25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</row>
    <row r="257" spans="1:75" ht="75" x14ac:dyDescent="0.25">
      <c r="A257" s="47" t="s">
        <v>2312</v>
      </c>
      <c r="B257" s="45" t="s">
        <v>305</v>
      </c>
      <c r="C257" s="45" t="s">
        <v>2690</v>
      </c>
      <c r="D257" s="46" t="s">
        <v>465</v>
      </c>
      <c r="E257" s="25" t="s">
        <v>2</v>
      </c>
      <c r="F257" s="48" t="s">
        <v>549</v>
      </c>
      <c r="G257" s="62" t="s">
        <v>2674</v>
      </c>
      <c r="H257" s="63" t="s">
        <v>2210</v>
      </c>
      <c r="I257" s="46" t="s">
        <v>194</v>
      </c>
      <c r="J257" s="46" t="s">
        <v>1064</v>
      </c>
      <c r="K257" s="46" t="s">
        <v>626</v>
      </c>
      <c r="L257" s="46" t="s">
        <v>626</v>
      </c>
      <c r="M257" s="46" t="s">
        <v>4292</v>
      </c>
      <c r="N257" s="46" t="s">
        <v>4191</v>
      </c>
      <c r="O257" s="46" t="s">
        <v>626</v>
      </c>
      <c r="P257" s="46" t="s">
        <v>626</v>
      </c>
      <c r="Q257" s="46" t="s">
        <v>194</v>
      </c>
      <c r="R257" s="46" t="s">
        <v>194</v>
      </c>
      <c r="S257" s="46" t="s">
        <v>194</v>
      </c>
      <c r="T257" s="46" t="s">
        <v>626</v>
      </c>
      <c r="U257" s="46" t="s">
        <v>2890</v>
      </c>
      <c r="V257" s="46" t="s">
        <v>1064</v>
      </c>
      <c r="W257" s="46" t="s">
        <v>1064</v>
      </c>
      <c r="X257" s="46"/>
      <c r="Y257" s="46"/>
      <c r="Z257" s="46"/>
      <c r="AA257" s="46"/>
      <c r="AB257" s="46"/>
      <c r="AC257" s="46" t="s">
        <v>1064</v>
      </c>
      <c r="AD257" s="46"/>
      <c r="AE257" s="46"/>
      <c r="AF257" s="46"/>
      <c r="AG257" s="46"/>
      <c r="AH257" s="46"/>
      <c r="AI257" s="46"/>
      <c r="AJ257" s="46"/>
      <c r="AK257" s="46"/>
      <c r="AL257" s="46" t="s">
        <v>1064</v>
      </c>
      <c r="AM257" s="46"/>
      <c r="AN257" s="46"/>
      <c r="AO257" s="46"/>
      <c r="AP257" s="46" t="s">
        <v>1064</v>
      </c>
      <c r="AQ257" s="46"/>
      <c r="AR257" s="46"/>
      <c r="AS257" s="46" t="s">
        <v>586</v>
      </c>
      <c r="AT257" s="46" t="s">
        <v>308</v>
      </c>
      <c r="AU257" s="46" t="s">
        <v>626</v>
      </c>
      <c r="AV257" s="46" t="s">
        <v>2292</v>
      </c>
      <c r="AW257" s="46" t="s">
        <v>2210</v>
      </c>
      <c r="AX257" s="46" t="s">
        <v>34</v>
      </c>
      <c r="AY257" s="46"/>
      <c r="AZ257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</row>
    <row r="258" spans="1:75" ht="75" x14ac:dyDescent="0.25">
      <c r="A258" s="47" t="s">
        <v>2691</v>
      </c>
      <c r="B258" s="45" t="s">
        <v>305</v>
      </c>
      <c r="C258" s="45" t="s">
        <v>2692</v>
      </c>
      <c r="D258" s="46" t="s">
        <v>459</v>
      </c>
      <c r="E258" s="25" t="s">
        <v>2</v>
      </c>
      <c r="F258" s="48" t="s">
        <v>308</v>
      </c>
      <c r="G258" s="62" t="s">
        <v>2677</v>
      </c>
      <c r="H258" s="63" t="s">
        <v>2210</v>
      </c>
      <c r="I258" s="46" t="s">
        <v>194</v>
      </c>
      <c r="J258" s="46" t="s">
        <v>1064</v>
      </c>
      <c r="K258" s="46" t="s">
        <v>626</v>
      </c>
      <c r="L258" s="46" t="s">
        <v>626</v>
      </c>
      <c r="M258" s="46" t="s">
        <v>4242</v>
      </c>
      <c r="N258" s="46" t="s">
        <v>4191</v>
      </c>
      <c r="O258" s="46" t="s">
        <v>626</v>
      </c>
      <c r="P258" s="46" t="s">
        <v>626</v>
      </c>
      <c r="Q258" s="46" t="s">
        <v>194</v>
      </c>
      <c r="R258" s="46" t="s">
        <v>194</v>
      </c>
      <c r="S258" s="46" t="s">
        <v>194</v>
      </c>
      <c r="T258" s="46" t="s">
        <v>626</v>
      </c>
      <c r="U258" s="46" t="s">
        <v>2890</v>
      </c>
      <c r="V258" s="46" t="s">
        <v>1064</v>
      </c>
      <c r="W258" s="46" t="s">
        <v>1064</v>
      </c>
      <c r="X258" s="46"/>
      <c r="Y258" s="46"/>
      <c r="Z258" s="46"/>
      <c r="AA258" s="46"/>
      <c r="AB258" s="46"/>
      <c r="AC258" s="46" t="s">
        <v>1064</v>
      </c>
      <c r="AD258" s="46"/>
      <c r="AE258" s="46"/>
      <c r="AF258" s="46"/>
      <c r="AG258" s="46"/>
      <c r="AH258" s="46"/>
      <c r="AI258" s="46"/>
      <c r="AJ258" s="46"/>
      <c r="AK258" s="46"/>
      <c r="AL258" s="46" t="s">
        <v>1064</v>
      </c>
      <c r="AM258" s="46"/>
      <c r="AN258" s="46"/>
      <c r="AO258" s="46"/>
      <c r="AP258" s="46" t="s">
        <v>1064</v>
      </c>
      <c r="AQ258" s="46"/>
      <c r="AR258" s="46"/>
      <c r="AS258" s="46" t="s">
        <v>584</v>
      </c>
      <c r="AT258" s="46" t="s">
        <v>314</v>
      </c>
      <c r="AU258" s="46" t="s">
        <v>626</v>
      </c>
      <c r="AV258" s="46" t="s">
        <v>2294</v>
      </c>
      <c r="AW258" s="46" t="s">
        <v>2210</v>
      </c>
      <c r="AX258" s="46" t="s">
        <v>34</v>
      </c>
      <c r="AY258" s="46"/>
      <c r="AZ258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</row>
    <row r="259" spans="1:75" ht="150" x14ac:dyDescent="0.25">
      <c r="A259" s="47" t="s">
        <v>2313</v>
      </c>
      <c r="B259" s="45" t="s">
        <v>305</v>
      </c>
      <c r="C259" s="45" t="s">
        <v>2693</v>
      </c>
      <c r="D259" s="46" t="s">
        <v>2694</v>
      </c>
      <c r="E259" s="25" t="s">
        <v>2</v>
      </c>
      <c r="F259" s="48" t="s">
        <v>801</v>
      </c>
      <c r="G259" s="62" t="s">
        <v>2695</v>
      </c>
      <c r="H259" s="63" t="s">
        <v>2185</v>
      </c>
      <c r="I259" s="46" t="s">
        <v>4253</v>
      </c>
      <c r="J259" s="46" t="s">
        <v>1064</v>
      </c>
      <c r="K259" s="46" t="s">
        <v>626</v>
      </c>
      <c r="L259" s="46" t="s">
        <v>4191</v>
      </c>
      <c r="M259" s="46" t="s">
        <v>4411</v>
      </c>
      <c r="N259" s="46" t="s">
        <v>4191</v>
      </c>
      <c r="O259" s="46" t="s">
        <v>626</v>
      </c>
      <c r="P259" s="46" t="s">
        <v>626</v>
      </c>
      <c r="Q259" s="46" t="s">
        <v>194</v>
      </c>
      <c r="R259" s="46" t="s">
        <v>4301</v>
      </c>
      <c r="S259" s="46" t="s">
        <v>4302</v>
      </c>
      <c r="T259" s="46" t="s">
        <v>4191</v>
      </c>
      <c r="U259" s="46" t="s">
        <v>2890</v>
      </c>
      <c r="V259" s="46" t="s">
        <v>1064</v>
      </c>
      <c r="W259" s="46" t="s">
        <v>1064</v>
      </c>
      <c r="X259" s="46"/>
      <c r="Y259" s="46"/>
      <c r="Z259" s="46"/>
      <c r="AA259" s="46"/>
      <c r="AB259" s="46"/>
      <c r="AC259" s="46" t="s">
        <v>1064</v>
      </c>
      <c r="AD259" s="46"/>
      <c r="AE259" s="46"/>
      <c r="AF259" s="46"/>
      <c r="AG259" s="46"/>
      <c r="AH259" s="46"/>
      <c r="AI259" s="46"/>
      <c r="AJ259" s="46"/>
      <c r="AK259" s="46"/>
      <c r="AL259" s="46" t="s">
        <v>1064</v>
      </c>
      <c r="AM259" s="46"/>
      <c r="AN259" s="46"/>
      <c r="AO259" s="46"/>
      <c r="AP259" s="46" t="s">
        <v>1064</v>
      </c>
      <c r="AQ259" s="46"/>
      <c r="AR259" s="46"/>
      <c r="AS259" s="46" t="s">
        <v>583</v>
      </c>
      <c r="AT259" s="46" t="s">
        <v>2</v>
      </c>
      <c r="AU259" s="46" t="s">
        <v>626</v>
      </c>
      <c r="AV259" s="46" t="s">
        <v>2290</v>
      </c>
      <c r="AW259" s="46" t="s">
        <v>2185</v>
      </c>
      <c r="AX259" s="46" t="s">
        <v>34</v>
      </c>
      <c r="AY259" s="46"/>
      <c r="AZ259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</row>
    <row r="260" spans="1:75" ht="75" x14ac:dyDescent="0.25">
      <c r="A260" s="47" t="s">
        <v>2696</v>
      </c>
      <c r="B260" s="45" t="s">
        <v>305</v>
      </c>
      <c r="C260" s="45" t="s">
        <v>2697</v>
      </c>
      <c r="D260" s="46" t="s">
        <v>480</v>
      </c>
      <c r="E260" s="25" t="s">
        <v>2</v>
      </c>
      <c r="F260" s="48" t="s">
        <v>317</v>
      </c>
      <c r="G260" s="62" t="s">
        <v>2698</v>
      </c>
      <c r="H260" s="63" t="s">
        <v>2185</v>
      </c>
      <c r="I260" s="46" t="s">
        <v>194</v>
      </c>
      <c r="J260" s="46" t="s">
        <v>1064</v>
      </c>
      <c r="K260" s="46" t="s">
        <v>626</v>
      </c>
      <c r="L260" s="46" t="s">
        <v>626</v>
      </c>
      <c r="M260" s="46" t="s">
        <v>4419</v>
      </c>
      <c r="N260" s="46" t="s">
        <v>4191</v>
      </c>
      <c r="O260" s="46" t="s">
        <v>626</v>
      </c>
      <c r="P260" s="46" t="s">
        <v>626</v>
      </c>
      <c r="Q260" s="46" t="s">
        <v>194</v>
      </c>
      <c r="R260" s="46" t="s">
        <v>194</v>
      </c>
      <c r="S260" s="46" t="s">
        <v>194</v>
      </c>
      <c r="T260" s="46" t="s">
        <v>626</v>
      </c>
      <c r="U260" s="46" t="s">
        <v>2890</v>
      </c>
      <c r="V260" s="46" t="s">
        <v>1064</v>
      </c>
      <c r="W260" s="46" t="s">
        <v>1064</v>
      </c>
      <c r="X260" s="46"/>
      <c r="Y260" s="46"/>
      <c r="Z260" s="46"/>
      <c r="AA260" s="46"/>
      <c r="AB260" s="46"/>
      <c r="AC260" s="46" t="s">
        <v>1064</v>
      </c>
      <c r="AD260" s="46"/>
      <c r="AE260" s="46"/>
      <c r="AF260" s="46"/>
      <c r="AG260" s="46"/>
      <c r="AH260" s="46"/>
      <c r="AI260" s="46"/>
      <c r="AJ260" s="46"/>
      <c r="AK260" s="46"/>
      <c r="AL260" s="46" t="s">
        <v>1064</v>
      </c>
      <c r="AM260" s="46"/>
      <c r="AN260" s="46"/>
      <c r="AO260" s="46"/>
      <c r="AP260" s="46" t="s">
        <v>1064</v>
      </c>
      <c r="AQ260" s="46"/>
      <c r="AR260" s="46"/>
      <c r="AS260" s="46" t="s">
        <v>586</v>
      </c>
      <c r="AT260" s="46" t="s">
        <v>308</v>
      </c>
      <c r="AU260" s="46" t="s">
        <v>626</v>
      </c>
      <c r="AV260" s="46" t="s">
        <v>2292</v>
      </c>
      <c r="AW260" s="46" t="s">
        <v>2185</v>
      </c>
      <c r="AX260" s="46" t="s">
        <v>34</v>
      </c>
      <c r="AY260" s="46"/>
      <c r="AZ260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</row>
    <row r="261" spans="1:75" ht="75" x14ac:dyDescent="0.25">
      <c r="A261" s="47" t="s">
        <v>2315</v>
      </c>
      <c r="B261" s="45" t="s">
        <v>305</v>
      </c>
      <c r="C261" s="45" t="s">
        <v>2699</v>
      </c>
      <c r="D261" s="46" t="s">
        <v>2700</v>
      </c>
      <c r="E261" s="25" t="s">
        <v>2</v>
      </c>
      <c r="F261" s="48" t="s">
        <v>314</v>
      </c>
      <c r="G261" s="62" t="s">
        <v>4051</v>
      </c>
      <c r="H261" s="63" t="s">
        <v>2185</v>
      </c>
      <c r="I261" s="46" t="s">
        <v>194</v>
      </c>
      <c r="J261" s="46" t="s">
        <v>1064</v>
      </c>
      <c r="K261" s="46" t="s">
        <v>626</v>
      </c>
      <c r="L261" s="46" t="s">
        <v>626</v>
      </c>
      <c r="M261" s="46" t="s">
        <v>4420</v>
      </c>
      <c r="N261" s="46" t="s">
        <v>4191</v>
      </c>
      <c r="O261" s="46" t="s">
        <v>626</v>
      </c>
      <c r="P261" s="46" t="s">
        <v>626</v>
      </c>
      <c r="Q261" s="46" t="s">
        <v>194</v>
      </c>
      <c r="R261" s="46" t="s">
        <v>194</v>
      </c>
      <c r="S261" s="46" t="s">
        <v>194</v>
      </c>
      <c r="T261" s="46" t="s">
        <v>626</v>
      </c>
      <c r="U261" s="46" t="s">
        <v>2890</v>
      </c>
      <c r="V261" s="46" t="s">
        <v>1064</v>
      </c>
      <c r="W261" s="46" t="s">
        <v>1064</v>
      </c>
      <c r="X261" s="46"/>
      <c r="Y261" s="46"/>
      <c r="Z261" s="46"/>
      <c r="AA261" s="46"/>
      <c r="AB261" s="46"/>
      <c r="AC261" s="46" t="s">
        <v>1064</v>
      </c>
      <c r="AD261" s="46"/>
      <c r="AE261" s="46"/>
      <c r="AF261" s="46"/>
      <c r="AG261" s="46"/>
      <c r="AH261" s="46"/>
      <c r="AI261" s="46"/>
      <c r="AJ261" s="46"/>
      <c r="AK261" s="46"/>
      <c r="AL261" s="46" t="s">
        <v>1064</v>
      </c>
      <c r="AM261" s="46"/>
      <c r="AN261" s="46"/>
      <c r="AO261" s="46"/>
      <c r="AP261" s="46" t="s">
        <v>1064</v>
      </c>
      <c r="AQ261" s="46"/>
      <c r="AR261" s="46"/>
      <c r="AS261" s="46" t="s">
        <v>584</v>
      </c>
      <c r="AT261" s="46" t="s">
        <v>314</v>
      </c>
      <c r="AU261" s="46" t="s">
        <v>626</v>
      </c>
      <c r="AV261" s="46" t="s">
        <v>2294</v>
      </c>
      <c r="AW261" s="46" t="s">
        <v>2185</v>
      </c>
      <c r="AX261" s="46" t="s">
        <v>34</v>
      </c>
      <c r="AY261" s="46"/>
      <c r="AZ261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</row>
    <row r="262" spans="1:75" ht="150" x14ac:dyDescent="0.25">
      <c r="A262" s="47" t="s">
        <v>2317</v>
      </c>
      <c r="B262" s="45" t="s">
        <v>305</v>
      </c>
      <c r="C262" s="45" t="s">
        <v>2701</v>
      </c>
      <c r="D262" s="46" t="s">
        <v>2702</v>
      </c>
      <c r="E262" s="25" t="s">
        <v>2</v>
      </c>
      <c r="F262" s="48" t="s">
        <v>36</v>
      </c>
      <c r="G262" s="62" t="s">
        <v>2703</v>
      </c>
      <c r="H262" s="63" t="s">
        <v>2194</v>
      </c>
      <c r="I262" s="46" t="s">
        <v>4253</v>
      </c>
      <c r="J262" s="46" t="s">
        <v>1064</v>
      </c>
      <c r="K262" s="46" t="s">
        <v>626</v>
      </c>
      <c r="L262" s="46" t="s">
        <v>4191</v>
      </c>
      <c r="M262" s="46" t="s">
        <v>4411</v>
      </c>
      <c r="N262" s="46" t="s">
        <v>4191</v>
      </c>
      <c r="O262" s="46" t="s">
        <v>626</v>
      </c>
      <c r="P262" s="46" t="s">
        <v>626</v>
      </c>
      <c r="Q262" s="46" t="s">
        <v>194</v>
      </c>
      <c r="R262" s="46" t="s">
        <v>4286</v>
      </c>
      <c r="S262" s="46" t="s">
        <v>4287</v>
      </c>
      <c r="T262" s="46" t="s">
        <v>4191</v>
      </c>
      <c r="U262" s="46" t="s">
        <v>2890</v>
      </c>
      <c r="V262" s="46" t="s">
        <v>1064</v>
      </c>
      <c r="W262" s="46" t="s">
        <v>1064</v>
      </c>
      <c r="X262" s="46"/>
      <c r="Y262" s="46"/>
      <c r="Z262" s="46"/>
      <c r="AA262" s="46"/>
      <c r="AB262" s="46"/>
      <c r="AC262" s="46" t="s">
        <v>1064</v>
      </c>
      <c r="AD262" s="46"/>
      <c r="AE262" s="46"/>
      <c r="AF262" s="46"/>
      <c r="AG262" s="46"/>
      <c r="AH262" s="46"/>
      <c r="AI262" s="46"/>
      <c r="AJ262" s="46"/>
      <c r="AK262" s="46"/>
      <c r="AL262" s="46" t="s">
        <v>1064</v>
      </c>
      <c r="AM262" s="46"/>
      <c r="AN262" s="46"/>
      <c r="AO262" s="46"/>
      <c r="AP262" s="46" t="s">
        <v>1064</v>
      </c>
      <c r="AQ262" s="46"/>
      <c r="AR262" s="46"/>
      <c r="AS262" s="46" t="s">
        <v>583</v>
      </c>
      <c r="AT262" s="46" t="s">
        <v>2</v>
      </c>
      <c r="AU262" s="46" t="s">
        <v>626</v>
      </c>
      <c r="AV262" s="46" t="s">
        <v>2290</v>
      </c>
      <c r="AW262" s="46" t="s">
        <v>2194</v>
      </c>
      <c r="AX262" s="46" t="s">
        <v>34</v>
      </c>
      <c r="AY262" s="46"/>
      <c r="AZ262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</row>
    <row r="263" spans="1:75" ht="75" x14ac:dyDescent="0.25">
      <c r="A263" s="47" t="s">
        <v>2319</v>
      </c>
      <c r="B263" s="45" t="s">
        <v>305</v>
      </c>
      <c r="C263" s="45" t="s">
        <v>2704</v>
      </c>
      <c r="D263" s="46" t="s">
        <v>2705</v>
      </c>
      <c r="E263" s="25" t="s">
        <v>2</v>
      </c>
      <c r="F263" s="48" t="s">
        <v>836</v>
      </c>
      <c r="G263" s="62" t="s">
        <v>2706</v>
      </c>
      <c r="H263" s="63" t="s">
        <v>2194</v>
      </c>
      <c r="I263" s="46" t="s">
        <v>194</v>
      </c>
      <c r="J263" s="46" t="s">
        <v>1064</v>
      </c>
      <c r="K263" s="46" t="s">
        <v>626</v>
      </c>
      <c r="L263" s="46" t="s">
        <v>626</v>
      </c>
      <c r="M263" s="46" t="s">
        <v>4276</v>
      </c>
      <c r="N263" s="46" t="s">
        <v>4191</v>
      </c>
      <c r="O263" s="46" t="s">
        <v>626</v>
      </c>
      <c r="P263" s="46" t="s">
        <v>626</v>
      </c>
      <c r="Q263" s="46" t="s">
        <v>194</v>
      </c>
      <c r="R263" s="46" t="s">
        <v>194</v>
      </c>
      <c r="S263" s="46" t="s">
        <v>194</v>
      </c>
      <c r="T263" s="46"/>
      <c r="U263" s="46" t="s">
        <v>2890</v>
      </c>
      <c r="V263" s="46" t="s">
        <v>1064</v>
      </c>
      <c r="W263" s="46" t="s">
        <v>1064</v>
      </c>
      <c r="X263" s="46"/>
      <c r="Y263" s="46"/>
      <c r="Z263" s="46"/>
      <c r="AA263" s="46"/>
      <c r="AB263" s="46"/>
      <c r="AC263" s="46" t="s">
        <v>1064</v>
      </c>
      <c r="AD263" s="46"/>
      <c r="AE263" s="46"/>
      <c r="AF263" s="46"/>
      <c r="AG263" s="46"/>
      <c r="AH263" s="46"/>
      <c r="AI263" s="46"/>
      <c r="AJ263" s="46"/>
      <c r="AK263" s="46"/>
      <c r="AL263" s="46" t="s">
        <v>1064</v>
      </c>
      <c r="AM263" s="46"/>
      <c r="AN263" s="46"/>
      <c r="AO263" s="46"/>
      <c r="AP263" s="46" t="s">
        <v>1064</v>
      </c>
      <c r="AQ263" s="46"/>
      <c r="AR263" s="46"/>
      <c r="AS263" s="46" t="s">
        <v>586</v>
      </c>
      <c r="AT263" s="46" t="s">
        <v>308</v>
      </c>
      <c r="AU263" s="46" t="s">
        <v>626</v>
      </c>
      <c r="AV263" s="46" t="s">
        <v>2292</v>
      </c>
      <c r="AW263" s="46" t="s">
        <v>2194</v>
      </c>
      <c r="AX263" s="46" t="s">
        <v>34</v>
      </c>
      <c r="AY263" s="46"/>
      <c r="AZ263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</row>
    <row r="264" spans="1:75" ht="75" x14ac:dyDescent="0.25">
      <c r="A264" s="47" t="s">
        <v>2321</v>
      </c>
      <c r="B264" s="45" t="s">
        <v>305</v>
      </c>
      <c r="C264" s="45" t="s">
        <v>2707</v>
      </c>
      <c r="D264" s="46" t="s">
        <v>421</v>
      </c>
      <c r="E264" s="25" t="s">
        <v>2</v>
      </c>
      <c r="F264" s="48" t="s">
        <v>549</v>
      </c>
      <c r="G264" s="62" t="s">
        <v>2708</v>
      </c>
      <c r="H264" s="63" t="s">
        <v>2194</v>
      </c>
      <c r="I264" s="46" t="s">
        <v>194</v>
      </c>
      <c r="J264" s="46" t="s">
        <v>1064</v>
      </c>
      <c r="K264" s="46" t="s">
        <v>626</v>
      </c>
      <c r="L264" s="46" t="s">
        <v>626</v>
      </c>
      <c r="M264" s="46" t="s">
        <v>4421</v>
      </c>
      <c r="N264" s="46" t="s">
        <v>4191</v>
      </c>
      <c r="O264" s="46" t="s">
        <v>626</v>
      </c>
      <c r="P264" s="46" t="s">
        <v>626</v>
      </c>
      <c r="Q264" s="46" t="s">
        <v>194</v>
      </c>
      <c r="R264" s="46" t="s">
        <v>194</v>
      </c>
      <c r="S264" s="46" t="s">
        <v>194</v>
      </c>
      <c r="T264" s="46"/>
      <c r="U264" s="46" t="s">
        <v>2890</v>
      </c>
      <c r="V264" s="46" t="s">
        <v>1064</v>
      </c>
      <c r="W264" s="46" t="s">
        <v>1064</v>
      </c>
      <c r="X264" s="46"/>
      <c r="Y264" s="46"/>
      <c r="Z264" s="46"/>
      <c r="AA264" s="46"/>
      <c r="AB264" s="46"/>
      <c r="AC264" s="46" t="s">
        <v>1064</v>
      </c>
      <c r="AD264" s="46"/>
      <c r="AE264" s="46"/>
      <c r="AF264" s="46"/>
      <c r="AG264" s="46"/>
      <c r="AH264" s="46"/>
      <c r="AI264" s="46"/>
      <c r="AJ264" s="46"/>
      <c r="AK264" s="46"/>
      <c r="AL264" s="46" t="s">
        <v>1064</v>
      </c>
      <c r="AM264" s="46"/>
      <c r="AN264" s="46"/>
      <c r="AO264" s="46"/>
      <c r="AP264" s="46" t="s">
        <v>1064</v>
      </c>
      <c r="AQ264" s="46"/>
      <c r="AR264" s="46"/>
      <c r="AS264" s="46" t="s">
        <v>584</v>
      </c>
      <c r="AT264" s="46" t="s">
        <v>314</v>
      </c>
      <c r="AU264" s="46" t="s">
        <v>626</v>
      </c>
      <c r="AV264" s="46" t="s">
        <v>2294</v>
      </c>
      <c r="AW264" s="46" t="s">
        <v>2194</v>
      </c>
      <c r="AX264" s="46" t="s">
        <v>34</v>
      </c>
      <c r="AY264" s="46"/>
      <c r="AZ264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</row>
    <row r="265" spans="1:75" ht="135" x14ac:dyDescent="0.25">
      <c r="A265" s="47" t="s">
        <v>2323</v>
      </c>
      <c r="B265" s="45" t="s">
        <v>305</v>
      </c>
      <c r="C265" s="45" t="s">
        <v>2709</v>
      </c>
      <c r="D265" s="46" t="s">
        <v>406</v>
      </c>
      <c r="E265" s="25" t="s">
        <v>2</v>
      </c>
      <c r="F265" s="48" t="s">
        <v>940</v>
      </c>
      <c r="G265" s="62" t="s">
        <v>2710</v>
      </c>
      <c r="H265" s="63" t="s">
        <v>2214</v>
      </c>
      <c r="I265" s="46" t="s">
        <v>4253</v>
      </c>
      <c r="J265" s="46" t="s">
        <v>1064</v>
      </c>
      <c r="K265" s="46" t="s">
        <v>626</v>
      </c>
      <c r="L265" s="46" t="s">
        <v>4191</v>
      </c>
      <c r="M265" s="46" t="s">
        <v>4277</v>
      </c>
      <c r="N265" s="46" t="s">
        <v>4191</v>
      </c>
      <c r="O265" s="46" t="s">
        <v>626</v>
      </c>
      <c r="P265" s="46" t="s">
        <v>626</v>
      </c>
      <c r="Q265" s="46" t="s">
        <v>194</v>
      </c>
      <c r="R265" s="46" t="s">
        <v>4280</v>
      </c>
      <c r="S265" s="46" t="s">
        <v>4281</v>
      </c>
      <c r="T265" s="46"/>
      <c r="U265" s="46" t="s">
        <v>2890</v>
      </c>
      <c r="V265" s="46" t="s">
        <v>1064</v>
      </c>
      <c r="W265" s="46" t="s">
        <v>1064</v>
      </c>
      <c r="X265" s="46"/>
      <c r="Y265" s="46"/>
      <c r="Z265" s="46"/>
      <c r="AA265" s="46"/>
      <c r="AB265" s="46"/>
      <c r="AC265" s="46" t="s">
        <v>1064</v>
      </c>
      <c r="AD265" s="46"/>
      <c r="AE265" s="46"/>
      <c r="AF265" s="46"/>
      <c r="AG265" s="46"/>
      <c r="AH265" s="46"/>
      <c r="AI265" s="46"/>
      <c r="AJ265" s="46"/>
      <c r="AK265" s="46"/>
      <c r="AL265" s="46" t="s">
        <v>1064</v>
      </c>
      <c r="AM265" s="46"/>
      <c r="AN265" s="46"/>
      <c r="AO265" s="46"/>
      <c r="AP265" s="46" t="s">
        <v>1064</v>
      </c>
      <c r="AQ265" s="46"/>
      <c r="AR265" s="46"/>
      <c r="AS265" s="46" t="s">
        <v>583</v>
      </c>
      <c r="AT265" s="46" t="s">
        <v>2</v>
      </c>
      <c r="AU265" s="46" t="s">
        <v>626</v>
      </c>
      <c r="AV265" s="46" t="s">
        <v>2290</v>
      </c>
      <c r="AW265" s="46" t="s">
        <v>2214</v>
      </c>
      <c r="AX265" s="46" t="s">
        <v>34</v>
      </c>
      <c r="AY265" s="46"/>
      <c r="AZ265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</row>
    <row r="266" spans="1:75" ht="75" x14ac:dyDescent="0.25">
      <c r="A266" s="47" t="s">
        <v>2711</v>
      </c>
      <c r="B266" s="45" t="s">
        <v>305</v>
      </c>
      <c r="C266" s="45" t="s">
        <v>2712</v>
      </c>
      <c r="D266" s="46" t="s">
        <v>403</v>
      </c>
      <c r="E266" s="25" t="s">
        <v>2</v>
      </c>
      <c r="F266" s="48" t="s">
        <v>308</v>
      </c>
      <c r="G266" s="62" t="s">
        <v>2713</v>
      </c>
      <c r="H266" s="63" t="s">
        <v>2214</v>
      </c>
      <c r="I266" s="46" t="s">
        <v>194</v>
      </c>
      <c r="J266" s="46" t="s">
        <v>1064</v>
      </c>
      <c r="K266" s="46" t="s">
        <v>626</v>
      </c>
      <c r="L266" s="46" t="s">
        <v>626</v>
      </c>
      <c r="M266" s="46" t="s">
        <v>4275</v>
      </c>
      <c r="N266" s="46" t="s">
        <v>4191</v>
      </c>
      <c r="O266" s="46" t="s">
        <v>626</v>
      </c>
      <c r="P266" s="46" t="s">
        <v>626</v>
      </c>
      <c r="Q266" s="46" t="s">
        <v>194</v>
      </c>
      <c r="R266" s="46" t="s">
        <v>194</v>
      </c>
      <c r="S266" s="46" t="s">
        <v>194</v>
      </c>
      <c r="T266" s="46"/>
      <c r="U266" s="46" t="s">
        <v>2890</v>
      </c>
      <c r="V266" s="46" t="s">
        <v>1064</v>
      </c>
      <c r="W266" s="46" t="s">
        <v>1064</v>
      </c>
      <c r="X266" s="46"/>
      <c r="Y266" s="46"/>
      <c r="Z266" s="46"/>
      <c r="AA266" s="46"/>
      <c r="AB266" s="46"/>
      <c r="AC266" s="46" t="s">
        <v>1064</v>
      </c>
      <c r="AD266" s="46"/>
      <c r="AE266" s="46"/>
      <c r="AF266" s="46"/>
      <c r="AG266" s="46"/>
      <c r="AH266" s="46"/>
      <c r="AI266" s="46"/>
      <c r="AJ266" s="46"/>
      <c r="AK266" s="46"/>
      <c r="AL266" s="46" t="s">
        <v>1064</v>
      </c>
      <c r="AM266" s="46"/>
      <c r="AN266" s="46"/>
      <c r="AO266" s="46"/>
      <c r="AP266" s="46" t="s">
        <v>1064</v>
      </c>
      <c r="AQ266" s="46"/>
      <c r="AR266" s="46"/>
      <c r="AS266" s="46" t="s">
        <v>586</v>
      </c>
      <c r="AT266" s="46" t="s">
        <v>308</v>
      </c>
      <c r="AU266" s="46" t="s">
        <v>626</v>
      </c>
      <c r="AV266" s="46" t="s">
        <v>2292</v>
      </c>
      <c r="AW266" s="46" t="s">
        <v>2214</v>
      </c>
      <c r="AX266" s="46" t="s">
        <v>34</v>
      </c>
      <c r="AY266" s="46"/>
      <c r="AZ26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</row>
    <row r="267" spans="1:75" ht="75" x14ac:dyDescent="0.25">
      <c r="A267" s="47" t="s">
        <v>2714</v>
      </c>
      <c r="B267" s="45" t="s">
        <v>305</v>
      </c>
      <c r="C267" s="45" t="s">
        <v>2715</v>
      </c>
      <c r="D267" s="46" t="s">
        <v>397</v>
      </c>
      <c r="E267" s="25" t="s">
        <v>2</v>
      </c>
      <c r="F267" s="48" t="s">
        <v>2</v>
      </c>
      <c r="G267" s="62" t="s">
        <v>2716</v>
      </c>
      <c r="H267" s="63" t="s">
        <v>2214</v>
      </c>
      <c r="I267" s="46" t="s">
        <v>194</v>
      </c>
      <c r="J267" s="46" t="s">
        <v>1064</v>
      </c>
      <c r="K267" s="46" t="s">
        <v>626</v>
      </c>
      <c r="L267" s="46" t="s">
        <v>626</v>
      </c>
      <c r="M267" s="46" t="s">
        <v>4275</v>
      </c>
      <c r="N267" s="46" t="s">
        <v>4191</v>
      </c>
      <c r="O267" s="46" t="s">
        <v>626</v>
      </c>
      <c r="P267" s="46" t="s">
        <v>626</v>
      </c>
      <c r="Q267" s="46" t="s">
        <v>194</v>
      </c>
      <c r="R267" s="46" t="s">
        <v>194</v>
      </c>
      <c r="S267" s="46" t="s">
        <v>194</v>
      </c>
      <c r="T267" s="46"/>
      <c r="U267" s="46" t="s">
        <v>2890</v>
      </c>
      <c r="V267" s="46" t="s">
        <v>1064</v>
      </c>
      <c r="W267" s="46" t="s">
        <v>1064</v>
      </c>
      <c r="X267" s="46"/>
      <c r="Y267" s="46"/>
      <c r="Z267" s="46"/>
      <c r="AA267" s="46"/>
      <c r="AB267" s="46"/>
      <c r="AC267" s="46" t="s">
        <v>1064</v>
      </c>
      <c r="AD267" s="46"/>
      <c r="AE267" s="46"/>
      <c r="AF267" s="46"/>
      <c r="AG267" s="46"/>
      <c r="AH267" s="46"/>
      <c r="AI267" s="46"/>
      <c r="AJ267" s="46"/>
      <c r="AK267" s="46"/>
      <c r="AL267" s="46" t="s">
        <v>1064</v>
      </c>
      <c r="AM267" s="46"/>
      <c r="AN267" s="46"/>
      <c r="AO267" s="46"/>
      <c r="AP267" s="46" t="s">
        <v>1064</v>
      </c>
      <c r="AQ267" s="46"/>
      <c r="AR267" s="46"/>
      <c r="AS267" s="46" t="s">
        <v>584</v>
      </c>
      <c r="AT267" s="46" t="s">
        <v>314</v>
      </c>
      <c r="AU267" s="46" t="s">
        <v>626</v>
      </c>
      <c r="AV267" s="46" t="s">
        <v>2294</v>
      </c>
      <c r="AW267" s="46" t="s">
        <v>2214</v>
      </c>
      <c r="AX267" s="46" t="s">
        <v>34</v>
      </c>
      <c r="AY267" s="46"/>
      <c r="AZ267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</row>
    <row r="268" spans="1:75" ht="135" x14ac:dyDescent="0.25">
      <c r="A268" s="47" t="s">
        <v>2370</v>
      </c>
      <c r="B268" s="45" t="s">
        <v>305</v>
      </c>
      <c r="C268" s="45" t="s">
        <v>2717</v>
      </c>
      <c r="D268" s="46" t="s">
        <v>2718</v>
      </c>
      <c r="E268" s="25" t="s">
        <v>2</v>
      </c>
      <c r="F268" s="48" t="s">
        <v>36</v>
      </c>
      <c r="G268" s="62" t="s">
        <v>2719</v>
      </c>
      <c r="H268" s="63" t="s">
        <v>2198</v>
      </c>
      <c r="I268" s="46" t="s">
        <v>4253</v>
      </c>
      <c r="J268" s="46" t="s">
        <v>1064</v>
      </c>
      <c r="K268" s="46" t="s">
        <v>626</v>
      </c>
      <c r="L268" s="46" t="s">
        <v>4191</v>
      </c>
      <c r="M268" s="46" t="s">
        <v>4285</v>
      </c>
      <c r="N268" s="46" t="s">
        <v>4191</v>
      </c>
      <c r="O268" s="46" t="s">
        <v>626</v>
      </c>
      <c r="P268" s="46" t="s">
        <v>626</v>
      </c>
      <c r="Q268" s="46" t="s">
        <v>194</v>
      </c>
      <c r="R268" s="46" t="s">
        <v>4309</v>
      </c>
      <c r="S268" s="46" t="s">
        <v>4310</v>
      </c>
      <c r="T268" s="46" t="s">
        <v>4191</v>
      </c>
      <c r="U268" s="46" t="s">
        <v>2890</v>
      </c>
      <c r="V268" s="46" t="s">
        <v>1064</v>
      </c>
      <c r="W268" s="46" t="s">
        <v>1064</v>
      </c>
      <c r="X268" s="46"/>
      <c r="Y268" s="46"/>
      <c r="Z268" s="46"/>
      <c r="AA268" s="46"/>
      <c r="AB268" s="46"/>
      <c r="AC268" s="46" t="s">
        <v>1064</v>
      </c>
      <c r="AD268" s="46"/>
      <c r="AE268" s="46"/>
      <c r="AF268" s="46"/>
      <c r="AG268" s="46"/>
      <c r="AH268" s="46"/>
      <c r="AI268" s="46"/>
      <c r="AJ268" s="46"/>
      <c r="AK268" s="46"/>
      <c r="AL268" s="46" t="s">
        <v>1064</v>
      </c>
      <c r="AM268" s="46"/>
      <c r="AN268" s="46"/>
      <c r="AO268" s="46"/>
      <c r="AP268" s="46" t="s">
        <v>1064</v>
      </c>
      <c r="AQ268" s="46"/>
      <c r="AR268" s="46"/>
      <c r="AS268" s="46" t="s">
        <v>583</v>
      </c>
      <c r="AT268" s="46" t="s">
        <v>2</v>
      </c>
      <c r="AU268" s="46" t="s">
        <v>626</v>
      </c>
      <c r="AV268" s="46" t="s">
        <v>2290</v>
      </c>
      <c r="AW268" s="46" t="s">
        <v>2198</v>
      </c>
      <c r="AX268" s="46" t="s">
        <v>34</v>
      </c>
      <c r="AY268" s="46"/>
      <c r="AZ268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</row>
    <row r="269" spans="1:75" ht="75" x14ac:dyDescent="0.25">
      <c r="A269" s="47" t="s">
        <v>2720</v>
      </c>
      <c r="B269" s="45" t="s">
        <v>305</v>
      </c>
      <c r="C269" s="45" t="s">
        <v>2721</v>
      </c>
      <c r="D269" s="46" t="s">
        <v>2722</v>
      </c>
      <c r="E269" s="25" t="s">
        <v>2</v>
      </c>
      <c r="F269" s="48" t="s">
        <v>317</v>
      </c>
      <c r="G269" s="62" t="s">
        <v>2723</v>
      </c>
      <c r="H269" s="63" t="s">
        <v>2198</v>
      </c>
      <c r="I269" s="46" t="s">
        <v>194</v>
      </c>
      <c r="J269" s="46" t="s">
        <v>1064</v>
      </c>
      <c r="K269" s="46" t="s">
        <v>626</v>
      </c>
      <c r="L269" s="46" t="s">
        <v>626</v>
      </c>
      <c r="M269" s="46" t="s">
        <v>4303</v>
      </c>
      <c r="N269" s="46" t="s">
        <v>4191</v>
      </c>
      <c r="O269" s="46" t="s">
        <v>626</v>
      </c>
      <c r="P269" s="46" t="s">
        <v>626</v>
      </c>
      <c r="Q269" s="46" t="s">
        <v>194</v>
      </c>
      <c r="R269" s="46" t="s">
        <v>194</v>
      </c>
      <c r="S269" s="46" t="s">
        <v>194</v>
      </c>
      <c r="T269" s="46" t="s">
        <v>626</v>
      </c>
      <c r="U269" s="46" t="s">
        <v>2890</v>
      </c>
      <c r="V269" s="46" t="s">
        <v>1064</v>
      </c>
      <c r="W269" s="46" t="s">
        <v>1064</v>
      </c>
      <c r="X269" s="46"/>
      <c r="Y269" s="46"/>
      <c r="Z269" s="46"/>
      <c r="AA269" s="46"/>
      <c r="AB269" s="46"/>
      <c r="AC269" s="46" t="s">
        <v>1064</v>
      </c>
      <c r="AD269" s="46"/>
      <c r="AE269" s="46"/>
      <c r="AF269" s="46"/>
      <c r="AG269" s="46"/>
      <c r="AH269" s="46"/>
      <c r="AI269" s="46"/>
      <c r="AJ269" s="46"/>
      <c r="AK269" s="46"/>
      <c r="AL269" s="46" t="s">
        <v>1064</v>
      </c>
      <c r="AM269" s="46"/>
      <c r="AN269" s="46"/>
      <c r="AO269" s="46"/>
      <c r="AP269" s="46" t="s">
        <v>1064</v>
      </c>
      <c r="AQ269" s="46"/>
      <c r="AR269" s="46"/>
      <c r="AS269" s="46" t="s">
        <v>586</v>
      </c>
      <c r="AT269" s="46" t="s">
        <v>308</v>
      </c>
      <c r="AU269" s="46" t="s">
        <v>626</v>
      </c>
      <c r="AV269" s="46" t="s">
        <v>2292</v>
      </c>
      <c r="AW269" s="46" t="s">
        <v>2198</v>
      </c>
      <c r="AX269" s="46" t="s">
        <v>34</v>
      </c>
      <c r="AY269" s="46"/>
      <c r="AZ269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</row>
    <row r="270" spans="1:75" ht="75" x14ac:dyDescent="0.25">
      <c r="A270" s="47" t="s">
        <v>2724</v>
      </c>
      <c r="B270" s="45" t="s">
        <v>305</v>
      </c>
      <c r="C270" s="45" t="s">
        <v>2725</v>
      </c>
      <c r="D270" s="46" t="s">
        <v>513</v>
      </c>
      <c r="E270" s="25" t="s">
        <v>2</v>
      </c>
      <c r="F270" s="48" t="s">
        <v>314</v>
      </c>
      <c r="G270" s="62" t="s">
        <v>2677</v>
      </c>
      <c r="H270" s="63" t="s">
        <v>2198</v>
      </c>
      <c r="I270" s="46" t="s">
        <v>194</v>
      </c>
      <c r="J270" s="46" t="s">
        <v>1064</v>
      </c>
      <c r="K270" s="46" t="s">
        <v>626</v>
      </c>
      <c r="L270" s="46" t="s">
        <v>626</v>
      </c>
      <c r="M270" s="46" t="s">
        <v>4242</v>
      </c>
      <c r="N270" s="46" t="s">
        <v>4191</v>
      </c>
      <c r="O270" s="46" t="s">
        <v>626</v>
      </c>
      <c r="P270" s="46" t="s">
        <v>626</v>
      </c>
      <c r="Q270" s="46" t="s">
        <v>194</v>
      </c>
      <c r="R270" s="46" t="s">
        <v>194</v>
      </c>
      <c r="S270" s="46" t="s">
        <v>194</v>
      </c>
      <c r="T270" s="46" t="s">
        <v>626</v>
      </c>
      <c r="U270" s="46" t="s">
        <v>2890</v>
      </c>
      <c r="V270" s="46" t="s">
        <v>1064</v>
      </c>
      <c r="W270" s="46" t="s">
        <v>1064</v>
      </c>
      <c r="X270" s="46"/>
      <c r="Y270" s="46"/>
      <c r="Z270" s="46"/>
      <c r="AA270" s="46"/>
      <c r="AB270" s="46"/>
      <c r="AC270" s="46" t="s">
        <v>1064</v>
      </c>
      <c r="AD270" s="46"/>
      <c r="AE270" s="46"/>
      <c r="AF270" s="46"/>
      <c r="AG270" s="46"/>
      <c r="AH270" s="46"/>
      <c r="AI270" s="46"/>
      <c r="AJ270" s="46"/>
      <c r="AK270" s="46"/>
      <c r="AL270" s="46" t="s">
        <v>1064</v>
      </c>
      <c r="AM270" s="46"/>
      <c r="AN270" s="46"/>
      <c r="AO270" s="46"/>
      <c r="AP270" s="46" t="s">
        <v>1064</v>
      </c>
      <c r="AQ270" s="46"/>
      <c r="AR270" s="46"/>
      <c r="AS270" s="46" t="s">
        <v>584</v>
      </c>
      <c r="AT270" s="46" t="s">
        <v>314</v>
      </c>
      <c r="AU270" s="46" t="s">
        <v>626</v>
      </c>
      <c r="AV270" s="46" t="s">
        <v>2294</v>
      </c>
      <c r="AW270" s="46" t="s">
        <v>2198</v>
      </c>
      <c r="AX270" s="46" t="s">
        <v>34</v>
      </c>
      <c r="AY270" s="46"/>
      <c r="AZ270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</row>
    <row r="271" spans="1:75" ht="75" x14ac:dyDescent="0.25">
      <c r="A271" s="47" t="s">
        <v>2374</v>
      </c>
      <c r="B271" s="45" t="s">
        <v>305</v>
      </c>
      <c r="C271" s="45" t="s">
        <v>2664</v>
      </c>
      <c r="D271" s="46" t="s">
        <v>3339</v>
      </c>
      <c r="E271" s="25" t="s">
        <v>2</v>
      </c>
      <c r="F271" s="48" t="s">
        <v>32</v>
      </c>
      <c r="G271" s="62" t="s">
        <v>2726</v>
      </c>
      <c r="H271" s="63" t="s">
        <v>2204</v>
      </c>
      <c r="I271" s="46" t="s">
        <v>194</v>
      </c>
      <c r="J271" s="46" t="s">
        <v>1064</v>
      </c>
      <c r="K271" s="46" t="s">
        <v>626</v>
      </c>
      <c r="L271" s="46" t="s">
        <v>626</v>
      </c>
      <c r="M271" s="46" t="s">
        <v>194</v>
      </c>
      <c r="N271" s="46" t="s">
        <v>626</v>
      </c>
      <c r="O271" s="46" t="s">
        <v>626</v>
      </c>
      <c r="P271" s="46" t="s">
        <v>626</v>
      </c>
      <c r="Q271" s="46" t="s">
        <v>194</v>
      </c>
      <c r="R271" s="46" t="s">
        <v>194</v>
      </c>
      <c r="S271" s="46" t="s">
        <v>194</v>
      </c>
      <c r="T271" s="46"/>
      <c r="U271" s="46" t="s">
        <v>606</v>
      </c>
      <c r="V271" s="46" t="s">
        <v>1064</v>
      </c>
      <c r="W271" s="46" t="s">
        <v>1064</v>
      </c>
      <c r="X271" s="46"/>
      <c r="Y271" s="46"/>
      <c r="Z271" s="46"/>
      <c r="AA271" s="46"/>
      <c r="AB271" s="46"/>
      <c r="AC271" s="46" t="s">
        <v>1064</v>
      </c>
      <c r="AD271" s="46"/>
      <c r="AE271" s="46"/>
      <c r="AF271" s="46"/>
      <c r="AG271" s="46"/>
      <c r="AH271" s="46"/>
      <c r="AI271" s="46"/>
      <c r="AJ271" s="46"/>
      <c r="AK271" s="46"/>
      <c r="AL271" s="46" t="s">
        <v>4422</v>
      </c>
      <c r="AM271" s="46"/>
      <c r="AN271" s="46"/>
      <c r="AO271" s="46"/>
      <c r="AP271" s="46" t="s">
        <v>1064</v>
      </c>
      <c r="AQ271" s="46"/>
      <c r="AR271" s="46"/>
      <c r="AS271" s="46" t="s">
        <v>4483</v>
      </c>
      <c r="AT271" s="46" t="s">
        <v>2</v>
      </c>
      <c r="AU271" s="46" t="s">
        <v>4191</v>
      </c>
      <c r="AV271" s="46" t="s">
        <v>2374</v>
      </c>
      <c r="AW271" s="46" t="s">
        <v>2204</v>
      </c>
      <c r="AX271" s="46" t="s">
        <v>34</v>
      </c>
      <c r="AY271" s="46"/>
      <c r="AZ271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</row>
    <row r="272" spans="1:75" ht="75" x14ac:dyDescent="0.25">
      <c r="A272" s="47" t="s">
        <v>2376</v>
      </c>
      <c r="B272" s="45" t="s">
        <v>305</v>
      </c>
      <c r="C272" s="45" t="s">
        <v>2666</v>
      </c>
      <c r="D272" s="46" t="s">
        <v>3340</v>
      </c>
      <c r="E272" s="25" t="s">
        <v>2</v>
      </c>
      <c r="F272" s="48" t="s">
        <v>32</v>
      </c>
      <c r="G272" s="62" t="s">
        <v>2727</v>
      </c>
      <c r="H272" s="63" t="s">
        <v>2204</v>
      </c>
      <c r="I272" s="46" t="s">
        <v>194</v>
      </c>
      <c r="J272" s="46" t="s">
        <v>1064</v>
      </c>
      <c r="K272" s="46" t="s">
        <v>626</v>
      </c>
      <c r="L272" s="46" t="s">
        <v>626</v>
      </c>
      <c r="M272" s="46" t="s">
        <v>194</v>
      </c>
      <c r="N272" s="46" t="s">
        <v>626</v>
      </c>
      <c r="O272" s="46" t="s">
        <v>626</v>
      </c>
      <c r="P272" s="46" t="s">
        <v>626</v>
      </c>
      <c r="Q272" s="46" t="s">
        <v>194</v>
      </c>
      <c r="R272" s="46" t="s">
        <v>194</v>
      </c>
      <c r="S272" s="46" t="s">
        <v>194</v>
      </c>
      <c r="T272" s="46"/>
      <c r="U272" s="46" t="s">
        <v>606</v>
      </c>
      <c r="V272" s="46" t="s">
        <v>1064</v>
      </c>
      <c r="W272" s="46" t="s">
        <v>1064</v>
      </c>
      <c r="X272" s="46"/>
      <c r="Y272" s="46"/>
      <c r="Z272" s="46"/>
      <c r="AA272" s="46"/>
      <c r="AB272" s="46"/>
      <c r="AC272" s="46" t="s">
        <v>1064</v>
      </c>
      <c r="AD272" s="46"/>
      <c r="AE272" s="46"/>
      <c r="AF272" s="46"/>
      <c r="AG272" s="46"/>
      <c r="AH272" s="46"/>
      <c r="AI272" s="46"/>
      <c r="AJ272" s="46"/>
      <c r="AK272" s="46"/>
      <c r="AL272" s="46" t="s">
        <v>4422</v>
      </c>
      <c r="AM272" s="46"/>
      <c r="AN272" s="46"/>
      <c r="AO272" s="46"/>
      <c r="AP272" s="46" t="s">
        <v>1064</v>
      </c>
      <c r="AQ272" s="46"/>
      <c r="AR272" s="46"/>
      <c r="AS272" s="46" t="s">
        <v>4483</v>
      </c>
      <c r="AT272" s="46" t="s">
        <v>308</v>
      </c>
      <c r="AU272" s="46" t="s">
        <v>4191</v>
      </c>
      <c r="AV272" s="46" t="s">
        <v>2376</v>
      </c>
      <c r="AW272" s="46" t="s">
        <v>2204</v>
      </c>
      <c r="AX272" s="46" t="s">
        <v>34</v>
      </c>
      <c r="AY272" s="46"/>
      <c r="AZ272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</row>
    <row r="273" spans="1:75" ht="75" x14ac:dyDescent="0.25">
      <c r="A273" s="47" t="s">
        <v>2378</v>
      </c>
      <c r="B273" s="45" t="s">
        <v>305</v>
      </c>
      <c r="C273" s="45" t="s">
        <v>2668</v>
      </c>
      <c r="D273" s="46" t="s">
        <v>3341</v>
      </c>
      <c r="E273" s="25" t="s">
        <v>2</v>
      </c>
      <c r="F273" s="48" t="s">
        <v>32</v>
      </c>
      <c r="G273" s="62" t="s">
        <v>2728</v>
      </c>
      <c r="H273" s="63" t="s">
        <v>2204</v>
      </c>
      <c r="I273" s="46" t="s">
        <v>194</v>
      </c>
      <c r="J273" s="46" t="s">
        <v>1064</v>
      </c>
      <c r="K273" s="46" t="s">
        <v>626</v>
      </c>
      <c r="L273" s="46" t="s">
        <v>626</v>
      </c>
      <c r="M273" s="46" t="s">
        <v>194</v>
      </c>
      <c r="N273" s="46" t="s">
        <v>626</v>
      </c>
      <c r="O273" s="46" t="s">
        <v>626</v>
      </c>
      <c r="P273" s="46" t="s">
        <v>626</v>
      </c>
      <c r="Q273" s="46" t="s">
        <v>194</v>
      </c>
      <c r="R273" s="46" t="s">
        <v>194</v>
      </c>
      <c r="S273" s="46" t="s">
        <v>194</v>
      </c>
      <c r="T273" s="46"/>
      <c r="U273" s="46" t="s">
        <v>606</v>
      </c>
      <c r="V273" s="46" t="s">
        <v>1064</v>
      </c>
      <c r="W273" s="46" t="s">
        <v>1064</v>
      </c>
      <c r="X273" s="46"/>
      <c r="Y273" s="46"/>
      <c r="Z273" s="46"/>
      <c r="AA273" s="46"/>
      <c r="AB273" s="46"/>
      <c r="AC273" s="46" t="s">
        <v>1064</v>
      </c>
      <c r="AD273" s="46"/>
      <c r="AE273" s="46"/>
      <c r="AF273" s="46"/>
      <c r="AG273" s="46"/>
      <c r="AH273" s="46"/>
      <c r="AI273" s="46"/>
      <c r="AJ273" s="46"/>
      <c r="AK273" s="46"/>
      <c r="AL273" s="46" t="s">
        <v>4422</v>
      </c>
      <c r="AM273" s="46"/>
      <c r="AN273" s="46"/>
      <c r="AO273" s="46"/>
      <c r="AP273" s="46" t="s">
        <v>1064</v>
      </c>
      <c r="AQ273" s="46"/>
      <c r="AR273" s="46"/>
      <c r="AS273" s="46" t="s">
        <v>4483</v>
      </c>
      <c r="AT273" s="46" t="s">
        <v>314</v>
      </c>
      <c r="AU273" s="46" t="s">
        <v>4191</v>
      </c>
      <c r="AV273" s="46" t="s">
        <v>2378</v>
      </c>
      <c r="AW273" s="46" t="s">
        <v>2204</v>
      </c>
      <c r="AX273" s="46" t="s">
        <v>34</v>
      </c>
      <c r="AY273" s="46"/>
      <c r="AZ273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</row>
    <row r="274" spans="1:75" ht="165" x14ac:dyDescent="0.25">
      <c r="A274" s="47" t="s">
        <v>3161</v>
      </c>
      <c r="B274" s="45" t="s">
        <v>305</v>
      </c>
      <c r="C274" s="45" t="s">
        <v>3372</v>
      </c>
      <c r="D274" s="46" t="s">
        <v>3343</v>
      </c>
      <c r="E274" s="25" t="s">
        <v>2</v>
      </c>
      <c r="F274" s="48" t="s">
        <v>801</v>
      </c>
      <c r="G274" s="62" t="s">
        <v>4800</v>
      </c>
      <c r="H274" s="63" t="s">
        <v>3102</v>
      </c>
      <c r="I274" s="46" t="s">
        <v>4604</v>
      </c>
      <c r="J274" s="46" t="s">
        <v>1064</v>
      </c>
      <c r="K274" s="46" t="s">
        <v>4191</v>
      </c>
      <c r="L274" s="46" t="s">
        <v>4191</v>
      </c>
      <c r="M274" s="46" t="s">
        <v>4277</v>
      </c>
      <c r="N274" s="46" t="s">
        <v>4191</v>
      </c>
      <c r="O274" s="46" t="s">
        <v>626</v>
      </c>
      <c r="P274" s="46" t="s">
        <v>626</v>
      </c>
      <c r="Q274" s="46" t="s">
        <v>194</v>
      </c>
      <c r="R274" s="46" t="s">
        <v>4423</v>
      </c>
      <c r="S274" s="46" t="s">
        <v>4424</v>
      </c>
      <c r="T274" s="46"/>
      <c r="U274" s="46" t="s">
        <v>606</v>
      </c>
      <c r="V274" s="46" t="s">
        <v>1064</v>
      </c>
      <c r="W274" s="46" t="s">
        <v>1064</v>
      </c>
      <c r="X274" s="46"/>
      <c r="Y274" s="46"/>
      <c r="Z274" s="46"/>
      <c r="AA274" s="46"/>
      <c r="AB274" s="46"/>
      <c r="AC274" s="46" t="s">
        <v>1064</v>
      </c>
      <c r="AD274" s="46"/>
      <c r="AE274" s="46"/>
      <c r="AF274" s="46"/>
      <c r="AG274" s="46"/>
      <c r="AH274" s="46"/>
      <c r="AI274" s="46"/>
      <c r="AJ274" s="46"/>
      <c r="AK274" s="46"/>
      <c r="AL274" s="46" t="s">
        <v>1064</v>
      </c>
      <c r="AM274" s="46"/>
      <c r="AN274" s="46"/>
      <c r="AO274" s="46"/>
      <c r="AP274" s="46" t="s">
        <v>1064</v>
      </c>
      <c r="AQ274" s="46"/>
      <c r="AR274" s="46"/>
      <c r="AS274" s="46" t="s">
        <v>583</v>
      </c>
      <c r="AT274" s="46" t="s">
        <v>2</v>
      </c>
      <c r="AU274" s="46" t="s">
        <v>626</v>
      </c>
      <c r="AV274" s="46" t="s">
        <v>2374</v>
      </c>
      <c r="AW274" s="46" t="s">
        <v>3102</v>
      </c>
      <c r="AX274" s="46" t="s">
        <v>34</v>
      </c>
      <c r="AY274" s="46"/>
      <c r="AZ274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</row>
    <row r="275" spans="1:75" ht="75" x14ac:dyDescent="0.25">
      <c r="A275" s="47" t="s">
        <v>3163</v>
      </c>
      <c r="B275" s="45" t="s">
        <v>305</v>
      </c>
      <c r="C275" s="45" t="s">
        <v>3373</v>
      </c>
      <c r="D275" s="46" t="s">
        <v>3343</v>
      </c>
      <c r="E275" s="25" t="s">
        <v>2</v>
      </c>
      <c r="F275" s="48" t="s">
        <v>317</v>
      </c>
      <c r="G275" s="62" t="s">
        <v>3374</v>
      </c>
      <c r="H275" s="63" t="s">
        <v>3102</v>
      </c>
      <c r="I275" s="46" t="s">
        <v>194</v>
      </c>
      <c r="J275" s="46" t="s">
        <v>1064</v>
      </c>
      <c r="K275" s="46" t="s">
        <v>626</v>
      </c>
      <c r="L275" s="46" t="s">
        <v>626</v>
      </c>
      <c r="M275" s="46" t="s">
        <v>4276</v>
      </c>
      <c r="N275" s="46" t="s">
        <v>4191</v>
      </c>
      <c r="O275" s="46" t="s">
        <v>626</v>
      </c>
      <c r="P275" s="46" t="s">
        <v>626</v>
      </c>
      <c r="Q275" s="46" t="s">
        <v>194</v>
      </c>
      <c r="R275" s="46" t="s">
        <v>194</v>
      </c>
      <c r="S275" s="46" t="s">
        <v>194</v>
      </c>
      <c r="T275" s="46"/>
      <c r="U275" s="46" t="s">
        <v>606</v>
      </c>
      <c r="V275" s="46" t="s">
        <v>1064</v>
      </c>
      <c r="W275" s="46" t="s">
        <v>1064</v>
      </c>
      <c r="X275" s="46"/>
      <c r="Y275" s="46"/>
      <c r="Z275" s="46"/>
      <c r="AA275" s="46"/>
      <c r="AB275" s="46"/>
      <c r="AC275" s="46" t="s">
        <v>1064</v>
      </c>
      <c r="AD275" s="46"/>
      <c r="AE275" s="46"/>
      <c r="AF275" s="46"/>
      <c r="AG275" s="46"/>
      <c r="AH275" s="46"/>
      <c r="AI275" s="46"/>
      <c r="AJ275" s="46"/>
      <c r="AK275" s="46"/>
      <c r="AL275" s="46" t="s">
        <v>1064</v>
      </c>
      <c r="AM275" s="46"/>
      <c r="AN275" s="46"/>
      <c r="AO275" s="46"/>
      <c r="AP275" s="46" t="s">
        <v>1064</v>
      </c>
      <c r="AQ275" s="46"/>
      <c r="AR275" s="46"/>
      <c r="AS275" s="46" t="s">
        <v>586</v>
      </c>
      <c r="AT275" s="46" t="s">
        <v>308</v>
      </c>
      <c r="AU275" s="46" t="s">
        <v>626</v>
      </c>
      <c r="AV275" s="46" t="s">
        <v>2376</v>
      </c>
      <c r="AW275" s="46" t="s">
        <v>3102</v>
      </c>
      <c r="AX275" s="46" t="s">
        <v>34</v>
      </c>
      <c r="AY275" s="46"/>
      <c r="AZ275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</row>
    <row r="276" spans="1:75" ht="75" x14ac:dyDescent="0.25">
      <c r="A276" s="47" t="s">
        <v>3165</v>
      </c>
      <c r="B276" s="45" t="s">
        <v>305</v>
      </c>
      <c r="C276" s="45" t="s">
        <v>3375</v>
      </c>
      <c r="D276" s="46" t="s">
        <v>3343</v>
      </c>
      <c r="E276" s="25" t="s">
        <v>2</v>
      </c>
      <c r="F276" s="48" t="s">
        <v>314</v>
      </c>
      <c r="G276" s="62" t="s">
        <v>3376</v>
      </c>
      <c r="H276" s="63" t="s">
        <v>3102</v>
      </c>
      <c r="I276" s="46" t="s">
        <v>194</v>
      </c>
      <c r="J276" s="46" t="s">
        <v>1064</v>
      </c>
      <c r="K276" s="46" t="s">
        <v>626</v>
      </c>
      <c r="L276" s="46" t="s">
        <v>626</v>
      </c>
      <c r="M276" s="46" t="s">
        <v>4274</v>
      </c>
      <c r="N276" s="46" t="s">
        <v>4191</v>
      </c>
      <c r="O276" s="46" t="s">
        <v>626</v>
      </c>
      <c r="P276" s="46" t="s">
        <v>626</v>
      </c>
      <c r="Q276" s="46" t="s">
        <v>194</v>
      </c>
      <c r="R276" s="46" t="s">
        <v>194</v>
      </c>
      <c r="S276" s="46" t="s">
        <v>194</v>
      </c>
      <c r="T276" s="46"/>
      <c r="U276" s="46" t="s">
        <v>606</v>
      </c>
      <c r="V276" s="46" t="s">
        <v>1064</v>
      </c>
      <c r="W276" s="46" t="s">
        <v>1064</v>
      </c>
      <c r="X276" s="46"/>
      <c r="Y276" s="46"/>
      <c r="Z276" s="46"/>
      <c r="AA276" s="46"/>
      <c r="AB276" s="46"/>
      <c r="AC276" s="46" t="s">
        <v>1064</v>
      </c>
      <c r="AD276" s="46"/>
      <c r="AE276" s="46"/>
      <c r="AF276" s="46"/>
      <c r="AG276" s="46"/>
      <c r="AH276" s="46"/>
      <c r="AI276" s="46"/>
      <c r="AJ276" s="46"/>
      <c r="AK276" s="46"/>
      <c r="AL276" s="46" t="s">
        <v>1064</v>
      </c>
      <c r="AM276" s="46"/>
      <c r="AN276" s="46"/>
      <c r="AO276" s="46"/>
      <c r="AP276" s="46" t="s">
        <v>1064</v>
      </c>
      <c r="AQ276" s="46"/>
      <c r="AR276" s="46"/>
      <c r="AS276" s="46" t="s">
        <v>584</v>
      </c>
      <c r="AT276" s="46" t="s">
        <v>314</v>
      </c>
      <c r="AU276" s="46" t="s">
        <v>626</v>
      </c>
      <c r="AV276" s="46" t="s">
        <v>2378</v>
      </c>
      <c r="AW276" s="46" t="s">
        <v>3102</v>
      </c>
      <c r="AX276" s="46" t="s">
        <v>34</v>
      </c>
      <c r="AY276" s="46"/>
      <c r="AZ27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</row>
    <row r="277" spans="1:75" ht="150" x14ac:dyDescent="0.25">
      <c r="A277" s="47" t="s">
        <v>3155</v>
      </c>
      <c r="B277" s="45" t="s">
        <v>305</v>
      </c>
      <c r="C277" s="45" t="s">
        <v>3377</v>
      </c>
      <c r="D277" s="46" t="s">
        <v>3343</v>
      </c>
      <c r="E277" s="25" t="s">
        <v>2</v>
      </c>
      <c r="F277" s="48" t="s">
        <v>801</v>
      </c>
      <c r="G277" s="62" t="s">
        <v>4801</v>
      </c>
      <c r="H277" s="63" t="s">
        <v>3099</v>
      </c>
      <c r="I277" s="46" t="s">
        <v>4604</v>
      </c>
      <c r="J277" s="46" t="s">
        <v>1064</v>
      </c>
      <c r="K277" s="46" t="s">
        <v>4191</v>
      </c>
      <c r="L277" s="46" t="s">
        <v>4191</v>
      </c>
      <c r="M277" s="46" t="s">
        <v>4277</v>
      </c>
      <c r="N277" s="46" t="s">
        <v>4191</v>
      </c>
      <c r="O277" s="46" t="s">
        <v>626</v>
      </c>
      <c r="P277" s="46" t="s">
        <v>626</v>
      </c>
      <c r="Q277" s="46" t="s">
        <v>194</v>
      </c>
      <c r="R277" s="46" t="s">
        <v>4425</v>
      </c>
      <c r="S277" s="46" t="s">
        <v>4426</v>
      </c>
      <c r="T277" s="46"/>
      <c r="U277" s="46" t="s">
        <v>606</v>
      </c>
      <c r="V277" s="46" t="s">
        <v>1064</v>
      </c>
      <c r="W277" s="46" t="s">
        <v>1064</v>
      </c>
      <c r="X277" s="46"/>
      <c r="Y277" s="46"/>
      <c r="Z277" s="46"/>
      <c r="AA277" s="46"/>
      <c r="AB277" s="46"/>
      <c r="AC277" s="46" t="s">
        <v>1064</v>
      </c>
      <c r="AD277" s="46"/>
      <c r="AE277" s="46"/>
      <c r="AF277" s="46"/>
      <c r="AG277" s="46"/>
      <c r="AH277" s="46"/>
      <c r="AI277" s="46"/>
      <c r="AJ277" s="46"/>
      <c r="AK277" s="46"/>
      <c r="AL277" s="46" t="s">
        <v>1064</v>
      </c>
      <c r="AM277" s="46"/>
      <c r="AN277" s="46"/>
      <c r="AO277" s="46"/>
      <c r="AP277" s="46" t="s">
        <v>1064</v>
      </c>
      <c r="AQ277" s="46"/>
      <c r="AR277" s="46"/>
      <c r="AS277" s="46" t="s">
        <v>583</v>
      </c>
      <c r="AT277" s="46" t="s">
        <v>2</v>
      </c>
      <c r="AU277" s="46" t="s">
        <v>626</v>
      </c>
      <c r="AV277" s="46" t="s">
        <v>2374</v>
      </c>
      <c r="AW277" s="46" t="s">
        <v>3099</v>
      </c>
      <c r="AX277" s="46" t="s">
        <v>34</v>
      </c>
      <c r="AY277" s="46"/>
      <c r="AZ277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</row>
    <row r="278" spans="1:75" ht="75" x14ac:dyDescent="0.25">
      <c r="A278" s="47" t="s">
        <v>3157</v>
      </c>
      <c r="B278" s="45" t="s">
        <v>305</v>
      </c>
      <c r="C278" s="45" t="s">
        <v>3378</v>
      </c>
      <c r="D278" s="46" t="s">
        <v>3343</v>
      </c>
      <c r="E278" s="25" t="s">
        <v>2</v>
      </c>
      <c r="F278" s="48" t="s">
        <v>317</v>
      </c>
      <c r="G278" s="62" t="s">
        <v>3374</v>
      </c>
      <c r="H278" s="63" t="s">
        <v>3099</v>
      </c>
      <c r="I278" s="46" t="s">
        <v>194</v>
      </c>
      <c r="J278" s="46" t="s">
        <v>1064</v>
      </c>
      <c r="K278" s="46" t="s">
        <v>626</v>
      </c>
      <c r="L278" s="46" t="s">
        <v>626</v>
      </c>
      <c r="M278" s="46" t="s">
        <v>4276</v>
      </c>
      <c r="N278" s="46" t="s">
        <v>4191</v>
      </c>
      <c r="O278" s="46" t="s">
        <v>626</v>
      </c>
      <c r="P278" s="46" t="s">
        <v>626</v>
      </c>
      <c r="Q278" s="46" t="s">
        <v>194</v>
      </c>
      <c r="R278" s="46" t="s">
        <v>194</v>
      </c>
      <c r="S278" s="46" t="s">
        <v>194</v>
      </c>
      <c r="T278" s="46"/>
      <c r="U278" s="46" t="s">
        <v>606</v>
      </c>
      <c r="V278" s="46" t="s">
        <v>1064</v>
      </c>
      <c r="W278" s="46" t="s">
        <v>1064</v>
      </c>
      <c r="X278" s="46"/>
      <c r="Y278" s="46"/>
      <c r="Z278" s="46"/>
      <c r="AA278" s="46"/>
      <c r="AB278" s="46"/>
      <c r="AC278" s="46" t="s">
        <v>1064</v>
      </c>
      <c r="AD278" s="46"/>
      <c r="AE278" s="46"/>
      <c r="AF278" s="46"/>
      <c r="AG278" s="46"/>
      <c r="AH278" s="46"/>
      <c r="AI278" s="46"/>
      <c r="AJ278" s="46"/>
      <c r="AK278" s="46"/>
      <c r="AL278" s="46" t="s">
        <v>1064</v>
      </c>
      <c r="AM278" s="46"/>
      <c r="AN278" s="46"/>
      <c r="AO278" s="46"/>
      <c r="AP278" s="46" t="s">
        <v>1064</v>
      </c>
      <c r="AQ278" s="46"/>
      <c r="AR278" s="46"/>
      <c r="AS278" s="46" t="s">
        <v>586</v>
      </c>
      <c r="AT278" s="46" t="s">
        <v>308</v>
      </c>
      <c r="AU278" s="46" t="s">
        <v>626</v>
      </c>
      <c r="AV278" s="46" t="s">
        <v>2376</v>
      </c>
      <c r="AW278" s="46" t="s">
        <v>3099</v>
      </c>
      <c r="AX278" s="46" t="s">
        <v>34</v>
      </c>
      <c r="AY278" s="46"/>
      <c r="AZ278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</row>
    <row r="279" spans="1:75" ht="75" x14ac:dyDescent="0.25">
      <c r="A279" s="47" t="s">
        <v>3159</v>
      </c>
      <c r="B279" s="45" t="s">
        <v>305</v>
      </c>
      <c r="C279" s="45" t="s">
        <v>3379</v>
      </c>
      <c r="D279" s="46" t="s">
        <v>3343</v>
      </c>
      <c r="E279" s="25" t="s">
        <v>2</v>
      </c>
      <c r="F279" s="48" t="s">
        <v>314</v>
      </c>
      <c r="G279" s="62" t="s">
        <v>3376</v>
      </c>
      <c r="H279" s="63" t="s">
        <v>3099</v>
      </c>
      <c r="I279" s="46" t="s">
        <v>194</v>
      </c>
      <c r="J279" s="46" t="s">
        <v>1064</v>
      </c>
      <c r="K279" s="46" t="s">
        <v>626</v>
      </c>
      <c r="L279" s="46" t="s">
        <v>626</v>
      </c>
      <c r="M279" s="46" t="s">
        <v>4274</v>
      </c>
      <c r="N279" s="46" t="s">
        <v>4191</v>
      </c>
      <c r="O279" s="46" t="s">
        <v>626</v>
      </c>
      <c r="P279" s="46" t="s">
        <v>626</v>
      </c>
      <c r="Q279" s="46" t="s">
        <v>194</v>
      </c>
      <c r="R279" s="46" t="s">
        <v>194</v>
      </c>
      <c r="S279" s="46" t="s">
        <v>194</v>
      </c>
      <c r="T279" s="46"/>
      <c r="U279" s="46" t="s">
        <v>606</v>
      </c>
      <c r="V279" s="46" t="s">
        <v>1064</v>
      </c>
      <c r="W279" s="46" t="s">
        <v>1064</v>
      </c>
      <c r="X279" s="46"/>
      <c r="Y279" s="46"/>
      <c r="Z279" s="46"/>
      <c r="AA279" s="46"/>
      <c r="AB279" s="46"/>
      <c r="AC279" s="46" t="s">
        <v>1064</v>
      </c>
      <c r="AD279" s="46"/>
      <c r="AE279" s="46"/>
      <c r="AF279" s="46"/>
      <c r="AG279" s="46"/>
      <c r="AH279" s="46"/>
      <c r="AI279" s="46"/>
      <c r="AJ279" s="46"/>
      <c r="AK279" s="46"/>
      <c r="AL279" s="46" t="s">
        <v>1064</v>
      </c>
      <c r="AM279" s="46"/>
      <c r="AN279" s="46"/>
      <c r="AO279" s="46"/>
      <c r="AP279" s="46" t="s">
        <v>1064</v>
      </c>
      <c r="AQ279" s="46"/>
      <c r="AR279" s="46"/>
      <c r="AS279" s="46" t="s">
        <v>584</v>
      </c>
      <c r="AT279" s="46" t="s">
        <v>314</v>
      </c>
      <c r="AU279" s="46" t="s">
        <v>626</v>
      </c>
      <c r="AV279" s="46" t="s">
        <v>2378</v>
      </c>
      <c r="AW279" s="46" t="s">
        <v>3099</v>
      </c>
      <c r="AX279" s="46" t="s">
        <v>34</v>
      </c>
      <c r="AY279" s="46"/>
      <c r="AZ279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</row>
    <row r="280" spans="1:75" ht="90" x14ac:dyDescent="0.25">
      <c r="A280" s="47" t="s">
        <v>3149</v>
      </c>
      <c r="B280" s="45" t="s">
        <v>305</v>
      </c>
      <c r="C280" s="45" t="s">
        <v>3289</v>
      </c>
      <c r="D280" s="46" t="s">
        <v>3643</v>
      </c>
      <c r="E280" s="25" t="s">
        <v>2</v>
      </c>
      <c r="F280" s="48" t="s">
        <v>317</v>
      </c>
      <c r="G280" s="62" t="s">
        <v>4475</v>
      </c>
      <c r="H280" s="63" t="s">
        <v>3093</v>
      </c>
      <c r="I280" s="46" t="s">
        <v>4554</v>
      </c>
      <c r="J280" s="46" t="s">
        <v>1064</v>
      </c>
      <c r="K280" s="46" t="s">
        <v>626</v>
      </c>
      <c r="L280" s="46" t="s">
        <v>626</v>
      </c>
      <c r="M280" s="46" t="s">
        <v>194</v>
      </c>
      <c r="N280" s="46" t="s">
        <v>626</v>
      </c>
      <c r="O280" s="46" t="s">
        <v>626</v>
      </c>
      <c r="P280" s="46" t="s">
        <v>626</v>
      </c>
      <c r="Q280" s="46" t="s">
        <v>194</v>
      </c>
      <c r="R280" s="46" t="s">
        <v>194</v>
      </c>
      <c r="S280" s="46" t="s">
        <v>194</v>
      </c>
      <c r="T280" s="46" t="s">
        <v>626</v>
      </c>
      <c r="U280" s="46" t="s">
        <v>606</v>
      </c>
      <c r="V280" s="46" t="s">
        <v>1064</v>
      </c>
      <c r="W280" s="46" t="s">
        <v>1064</v>
      </c>
      <c r="X280" s="46"/>
      <c r="Y280" s="46"/>
      <c r="Z280" s="46"/>
      <c r="AA280" s="46"/>
      <c r="AB280" s="46"/>
      <c r="AC280" s="46" t="s">
        <v>1064</v>
      </c>
      <c r="AD280" s="46"/>
      <c r="AE280" s="46"/>
      <c r="AF280" s="46"/>
      <c r="AG280" s="46"/>
      <c r="AH280" s="46"/>
      <c r="AI280" s="46"/>
      <c r="AJ280" s="46"/>
      <c r="AK280" s="46"/>
      <c r="AL280" s="46" t="s">
        <v>1064</v>
      </c>
      <c r="AM280" s="46"/>
      <c r="AN280" s="46"/>
      <c r="AO280" s="46"/>
      <c r="AP280" s="46" t="s">
        <v>1064</v>
      </c>
      <c r="AQ280" s="46"/>
      <c r="AR280" s="46"/>
      <c r="AS280" s="46" t="s">
        <v>586</v>
      </c>
      <c r="AT280" s="46" t="s">
        <v>2</v>
      </c>
      <c r="AU280" s="46" t="s">
        <v>4191</v>
      </c>
      <c r="AV280" s="46" t="s">
        <v>3149</v>
      </c>
      <c r="AW280" s="46" t="s">
        <v>3093</v>
      </c>
      <c r="AX280" s="46" t="s">
        <v>34</v>
      </c>
      <c r="AY280" s="46"/>
      <c r="AZ280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</row>
    <row r="281" spans="1:75" ht="90" x14ac:dyDescent="0.25">
      <c r="A281" s="47" t="s">
        <v>3215</v>
      </c>
      <c r="B281" s="45" t="s">
        <v>305</v>
      </c>
      <c r="C281" s="45" t="s">
        <v>3350</v>
      </c>
      <c r="D281" s="46" t="s">
        <v>3351</v>
      </c>
      <c r="E281" s="25" t="s">
        <v>2</v>
      </c>
      <c r="F281" s="48" t="s">
        <v>801</v>
      </c>
      <c r="G281" s="62" t="s">
        <v>4476</v>
      </c>
      <c r="H281" s="63" t="s">
        <v>3141</v>
      </c>
      <c r="I281" s="46" t="s">
        <v>4555</v>
      </c>
      <c r="J281" s="46" t="s">
        <v>1064</v>
      </c>
      <c r="K281" s="46" t="s">
        <v>626</v>
      </c>
      <c r="L281" s="46" t="s">
        <v>626</v>
      </c>
      <c r="M281" s="46" t="s">
        <v>194</v>
      </c>
      <c r="N281" s="46" t="s">
        <v>626</v>
      </c>
      <c r="O281" s="46" t="s">
        <v>626</v>
      </c>
      <c r="P281" s="46" t="s">
        <v>626</v>
      </c>
      <c r="Q281" s="46" t="s">
        <v>194</v>
      </c>
      <c r="R281" s="46" t="s">
        <v>194</v>
      </c>
      <c r="S281" s="46" t="s">
        <v>194</v>
      </c>
      <c r="T281" s="46" t="s">
        <v>626</v>
      </c>
      <c r="U281" s="46" t="s">
        <v>606</v>
      </c>
      <c r="V281" s="46" t="s">
        <v>1064</v>
      </c>
      <c r="W281" s="46" t="s">
        <v>1064</v>
      </c>
      <c r="X281" s="46"/>
      <c r="Y281" s="46"/>
      <c r="Z281" s="46"/>
      <c r="AA281" s="46"/>
      <c r="AB281" s="46"/>
      <c r="AC281" s="46" t="s">
        <v>1064</v>
      </c>
      <c r="AD281" s="46"/>
      <c r="AE281" s="46"/>
      <c r="AF281" s="46"/>
      <c r="AG281" s="46"/>
      <c r="AH281" s="46"/>
      <c r="AI281" s="46"/>
      <c r="AJ281" s="46"/>
      <c r="AK281" s="46"/>
      <c r="AL281" s="46" t="s">
        <v>1064</v>
      </c>
      <c r="AM281" s="46"/>
      <c r="AN281" s="46"/>
      <c r="AO281" s="46"/>
      <c r="AP281" s="46" t="s">
        <v>1064</v>
      </c>
      <c r="AQ281" s="46"/>
      <c r="AR281" s="46"/>
      <c r="AS281" s="46" t="s">
        <v>586</v>
      </c>
      <c r="AT281" s="46" t="s">
        <v>2</v>
      </c>
      <c r="AU281" s="46" t="s">
        <v>4191</v>
      </c>
      <c r="AV281" s="46" t="s">
        <v>3215</v>
      </c>
      <c r="AW281" s="46" t="s">
        <v>3141</v>
      </c>
      <c r="AX281" s="46" t="s">
        <v>34</v>
      </c>
      <c r="AY281" s="46"/>
      <c r="AZ281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</row>
    <row r="282" spans="1:75" ht="90" x14ac:dyDescent="0.25">
      <c r="A282" s="47" t="s">
        <v>3151</v>
      </c>
      <c r="B282" s="45" t="s">
        <v>305</v>
      </c>
      <c r="C282" s="45" t="s">
        <v>3291</v>
      </c>
      <c r="D282" s="46" t="s">
        <v>3644</v>
      </c>
      <c r="E282" s="25" t="s">
        <v>2</v>
      </c>
      <c r="F282" s="48" t="s">
        <v>317</v>
      </c>
      <c r="G282" s="62" t="s">
        <v>4477</v>
      </c>
      <c r="H282" s="63" t="s">
        <v>3095</v>
      </c>
      <c r="I282" s="46" t="s">
        <v>4555</v>
      </c>
      <c r="J282" s="46" t="s">
        <v>1064</v>
      </c>
      <c r="K282" s="46" t="s">
        <v>626</v>
      </c>
      <c r="L282" s="46" t="s">
        <v>626</v>
      </c>
      <c r="M282" s="46" t="s">
        <v>194</v>
      </c>
      <c r="N282" s="46" t="s">
        <v>626</v>
      </c>
      <c r="O282" s="46" t="s">
        <v>626</v>
      </c>
      <c r="P282" s="46" t="s">
        <v>626</v>
      </c>
      <c r="Q282" s="46" t="s">
        <v>194</v>
      </c>
      <c r="R282" s="46" t="s">
        <v>194</v>
      </c>
      <c r="S282" s="46" t="s">
        <v>194</v>
      </c>
      <c r="T282" s="46" t="s">
        <v>626</v>
      </c>
      <c r="U282" s="46" t="s">
        <v>606</v>
      </c>
      <c r="V282" s="46" t="s">
        <v>1064</v>
      </c>
      <c r="W282" s="46" t="s">
        <v>1064</v>
      </c>
      <c r="X282" s="46"/>
      <c r="Y282" s="46"/>
      <c r="Z282" s="46"/>
      <c r="AA282" s="46"/>
      <c r="AB282" s="46"/>
      <c r="AC282" s="46" t="s">
        <v>1064</v>
      </c>
      <c r="AD282" s="46"/>
      <c r="AE282" s="46"/>
      <c r="AF282" s="46"/>
      <c r="AG282" s="46"/>
      <c r="AH282" s="46"/>
      <c r="AI282" s="46"/>
      <c r="AJ282" s="46"/>
      <c r="AK282" s="46"/>
      <c r="AL282" s="46" t="s">
        <v>1064</v>
      </c>
      <c r="AM282" s="46"/>
      <c r="AN282" s="46"/>
      <c r="AO282" s="46"/>
      <c r="AP282" s="46" t="s">
        <v>1064</v>
      </c>
      <c r="AQ282" s="46"/>
      <c r="AR282" s="46"/>
      <c r="AS282" s="46" t="s">
        <v>586</v>
      </c>
      <c r="AT282" s="46" t="s">
        <v>2</v>
      </c>
      <c r="AU282" s="46" t="s">
        <v>4191</v>
      </c>
      <c r="AV282" s="46" t="s">
        <v>3151</v>
      </c>
      <c r="AW282" s="46" t="s">
        <v>3095</v>
      </c>
      <c r="AX282" s="46" t="s">
        <v>34</v>
      </c>
      <c r="AY282" s="46"/>
      <c r="AZ282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</row>
    <row r="283" spans="1:75" ht="90" x14ac:dyDescent="0.25">
      <c r="A283" s="47" t="s">
        <v>3153</v>
      </c>
      <c r="B283" s="45" t="s">
        <v>305</v>
      </c>
      <c r="C283" s="45" t="s">
        <v>3292</v>
      </c>
      <c r="D283" s="46" t="s">
        <v>3645</v>
      </c>
      <c r="E283" s="25" t="s">
        <v>2</v>
      </c>
      <c r="F283" s="48" t="s">
        <v>317</v>
      </c>
      <c r="G283" s="62" t="s">
        <v>4478</v>
      </c>
      <c r="H283" s="63" t="s">
        <v>3097</v>
      </c>
      <c r="I283" s="46" t="s">
        <v>4555</v>
      </c>
      <c r="J283" s="46" t="s">
        <v>1064</v>
      </c>
      <c r="K283" s="46" t="s">
        <v>626</v>
      </c>
      <c r="L283" s="46" t="s">
        <v>626</v>
      </c>
      <c r="M283" s="46" t="s">
        <v>194</v>
      </c>
      <c r="N283" s="46" t="s">
        <v>626</v>
      </c>
      <c r="O283" s="46" t="s">
        <v>626</v>
      </c>
      <c r="P283" s="46" t="s">
        <v>626</v>
      </c>
      <c r="Q283" s="46" t="s">
        <v>194</v>
      </c>
      <c r="R283" s="46" t="s">
        <v>194</v>
      </c>
      <c r="S283" s="46" t="s">
        <v>194</v>
      </c>
      <c r="T283" s="46" t="s">
        <v>626</v>
      </c>
      <c r="U283" s="46" t="s">
        <v>606</v>
      </c>
      <c r="V283" s="46" t="s">
        <v>1064</v>
      </c>
      <c r="W283" s="46" t="s">
        <v>1064</v>
      </c>
      <c r="X283" s="46"/>
      <c r="Y283" s="46"/>
      <c r="Z283" s="46"/>
      <c r="AA283" s="46"/>
      <c r="AB283" s="46"/>
      <c r="AC283" s="46" t="s">
        <v>1064</v>
      </c>
      <c r="AD283" s="46"/>
      <c r="AE283" s="46"/>
      <c r="AF283" s="46"/>
      <c r="AG283" s="46"/>
      <c r="AH283" s="46"/>
      <c r="AI283" s="46"/>
      <c r="AJ283" s="46"/>
      <c r="AK283" s="46"/>
      <c r="AL283" s="46" t="s">
        <v>1064</v>
      </c>
      <c r="AM283" s="46"/>
      <c r="AN283" s="46"/>
      <c r="AO283" s="46"/>
      <c r="AP283" s="46" t="s">
        <v>1064</v>
      </c>
      <c r="AQ283" s="46"/>
      <c r="AR283" s="46"/>
      <c r="AS283" s="46" t="s">
        <v>586</v>
      </c>
      <c r="AT283" s="46" t="s">
        <v>2</v>
      </c>
      <c r="AU283" s="46" t="s">
        <v>4191</v>
      </c>
      <c r="AV283" s="46" t="s">
        <v>3153</v>
      </c>
      <c r="AW283" s="46" t="s">
        <v>3097</v>
      </c>
      <c r="AX283" s="46" t="s">
        <v>34</v>
      </c>
      <c r="AY283" s="46"/>
      <c r="AZ283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</row>
    <row r="284" spans="1:75" ht="150" x14ac:dyDescent="0.25">
      <c r="A284" s="47" t="s">
        <v>3167</v>
      </c>
      <c r="B284" s="45" t="s">
        <v>305</v>
      </c>
      <c r="C284" s="45" t="s">
        <v>3380</v>
      </c>
      <c r="D284" s="46" t="s">
        <v>3343</v>
      </c>
      <c r="E284" s="25" t="s">
        <v>2</v>
      </c>
      <c r="F284" s="48" t="s">
        <v>801</v>
      </c>
      <c r="G284" s="62" t="s">
        <v>4802</v>
      </c>
      <c r="H284" s="63" t="s">
        <v>3105</v>
      </c>
      <c r="I284" s="46" t="s">
        <v>4604</v>
      </c>
      <c r="J284" s="46" t="s">
        <v>1064</v>
      </c>
      <c r="K284" s="46" t="s">
        <v>4191</v>
      </c>
      <c r="L284" s="46" t="s">
        <v>4191</v>
      </c>
      <c r="M284" s="46" t="s">
        <v>4277</v>
      </c>
      <c r="N284" s="46" t="s">
        <v>4191</v>
      </c>
      <c r="O284" s="46" t="s">
        <v>626</v>
      </c>
      <c r="P284" s="46" t="s">
        <v>626</v>
      </c>
      <c r="Q284" s="46" t="s">
        <v>194</v>
      </c>
      <c r="R284" s="46" t="s">
        <v>4427</v>
      </c>
      <c r="S284" s="46" t="s">
        <v>4428</v>
      </c>
      <c r="T284" s="46"/>
      <c r="U284" s="46" t="s">
        <v>606</v>
      </c>
      <c r="V284" s="46" t="s">
        <v>1064</v>
      </c>
      <c r="W284" s="46" t="s">
        <v>1064</v>
      </c>
      <c r="X284" s="46"/>
      <c r="Y284" s="46"/>
      <c r="Z284" s="46"/>
      <c r="AA284" s="46"/>
      <c r="AB284" s="46"/>
      <c r="AC284" s="46" t="s">
        <v>1064</v>
      </c>
      <c r="AD284" s="46"/>
      <c r="AE284" s="46"/>
      <c r="AF284" s="46"/>
      <c r="AG284" s="46"/>
      <c r="AH284" s="46"/>
      <c r="AI284" s="46"/>
      <c r="AJ284" s="46"/>
      <c r="AK284" s="46"/>
      <c r="AL284" s="46" t="s">
        <v>1064</v>
      </c>
      <c r="AM284" s="46"/>
      <c r="AN284" s="46"/>
      <c r="AO284" s="46"/>
      <c r="AP284" s="46" t="s">
        <v>1064</v>
      </c>
      <c r="AQ284" s="46"/>
      <c r="AR284" s="46"/>
      <c r="AS284" s="46" t="s">
        <v>583</v>
      </c>
      <c r="AT284" s="46" t="s">
        <v>2</v>
      </c>
      <c r="AU284" s="46" t="s">
        <v>626</v>
      </c>
      <c r="AV284" s="46" t="s">
        <v>2374</v>
      </c>
      <c r="AW284" s="46" t="s">
        <v>3105</v>
      </c>
      <c r="AX284" s="46" t="s">
        <v>34</v>
      </c>
      <c r="AY284" s="46"/>
      <c r="AZ284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</row>
    <row r="285" spans="1:75" ht="75" x14ac:dyDescent="0.25">
      <c r="A285" s="47" t="s">
        <v>3169</v>
      </c>
      <c r="B285" s="45" t="s">
        <v>305</v>
      </c>
      <c r="C285" s="45" t="s">
        <v>3381</v>
      </c>
      <c r="D285" s="46" t="s">
        <v>3343</v>
      </c>
      <c r="E285" s="25" t="s">
        <v>2</v>
      </c>
      <c r="F285" s="48" t="s">
        <v>317</v>
      </c>
      <c r="G285" s="62" t="s">
        <v>3374</v>
      </c>
      <c r="H285" s="63" t="s">
        <v>3105</v>
      </c>
      <c r="I285" s="46" t="s">
        <v>194</v>
      </c>
      <c r="J285" s="46" t="s">
        <v>1064</v>
      </c>
      <c r="K285" s="46" t="s">
        <v>626</v>
      </c>
      <c r="L285" s="46" t="s">
        <v>626</v>
      </c>
      <c r="M285" s="46" t="s">
        <v>4276</v>
      </c>
      <c r="N285" s="46" t="s">
        <v>4191</v>
      </c>
      <c r="O285" s="46" t="s">
        <v>626</v>
      </c>
      <c r="P285" s="46" t="s">
        <v>626</v>
      </c>
      <c r="Q285" s="46" t="s">
        <v>194</v>
      </c>
      <c r="R285" s="46" t="s">
        <v>194</v>
      </c>
      <c r="S285" s="46" t="s">
        <v>194</v>
      </c>
      <c r="T285" s="46"/>
      <c r="U285" s="46" t="s">
        <v>606</v>
      </c>
      <c r="V285" s="46" t="s">
        <v>1064</v>
      </c>
      <c r="W285" s="46" t="s">
        <v>1064</v>
      </c>
      <c r="X285" s="46"/>
      <c r="Y285" s="46"/>
      <c r="Z285" s="46"/>
      <c r="AA285" s="46"/>
      <c r="AB285" s="46"/>
      <c r="AC285" s="46" t="s">
        <v>1064</v>
      </c>
      <c r="AD285" s="46"/>
      <c r="AE285" s="46"/>
      <c r="AF285" s="46"/>
      <c r="AG285" s="46"/>
      <c r="AH285" s="46"/>
      <c r="AI285" s="46"/>
      <c r="AJ285" s="46"/>
      <c r="AK285" s="46"/>
      <c r="AL285" s="46" t="s">
        <v>1064</v>
      </c>
      <c r="AM285" s="46"/>
      <c r="AN285" s="46"/>
      <c r="AO285" s="46"/>
      <c r="AP285" s="46" t="s">
        <v>1064</v>
      </c>
      <c r="AQ285" s="46"/>
      <c r="AR285" s="46"/>
      <c r="AS285" s="46" t="s">
        <v>586</v>
      </c>
      <c r="AT285" s="46" t="s">
        <v>308</v>
      </c>
      <c r="AU285" s="46" t="s">
        <v>626</v>
      </c>
      <c r="AV285" s="46" t="s">
        <v>2376</v>
      </c>
      <c r="AW285" s="46" t="s">
        <v>3105</v>
      </c>
      <c r="AX285" s="46" t="s">
        <v>34</v>
      </c>
      <c r="AY285" s="46"/>
      <c r="AZ285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</row>
    <row r="286" spans="1:75" ht="75" x14ac:dyDescent="0.25">
      <c r="A286" s="47" t="s">
        <v>3171</v>
      </c>
      <c r="B286" s="45" t="s">
        <v>305</v>
      </c>
      <c r="C286" s="45" t="s">
        <v>3382</v>
      </c>
      <c r="D286" s="46" t="s">
        <v>3343</v>
      </c>
      <c r="E286" s="25" t="s">
        <v>2</v>
      </c>
      <c r="F286" s="48" t="s">
        <v>314</v>
      </c>
      <c r="G286" s="62" t="s">
        <v>3376</v>
      </c>
      <c r="H286" s="63" t="s">
        <v>3105</v>
      </c>
      <c r="I286" s="46" t="s">
        <v>194</v>
      </c>
      <c r="J286" s="46" t="s">
        <v>1064</v>
      </c>
      <c r="K286" s="46" t="s">
        <v>626</v>
      </c>
      <c r="L286" s="46" t="s">
        <v>626</v>
      </c>
      <c r="M286" s="46" t="s">
        <v>4274</v>
      </c>
      <c r="N286" s="46" t="s">
        <v>4191</v>
      </c>
      <c r="O286" s="46" t="s">
        <v>626</v>
      </c>
      <c r="P286" s="46" t="s">
        <v>626</v>
      </c>
      <c r="Q286" s="46" t="s">
        <v>194</v>
      </c>
      <c r="R286" s="46" t="s">
        <v>194</v>
      </c>
      <c r="S286" s="46" t="s">
        <v>194</v>
      </c>
      <c r="T286" s="46"/>
      <c r="U286" s="46" t="s">
        <v>606</v>
      </c>
      <c r="V286" s="46" t="s">
        <v>1064</v>
      </c>
      <c r="W286" s="46" t="s">
        <v>1064</v>
      </c>
      <c r="X286" s="46"/>
      <c r="Y286" s="46"/>
      <c r="Z286" s="46"/>
      <c r="AA286" s="46"/>
      <c r="AB286" s="46"/>
      <c r="AC286" s="46" t="s">
        <v>1064</v>
      </c>
      <c r="AD286" s="46"/>
      <c r="AE286" s="46"/>
      <c r="AF286" s="46"/>
      <c r="AG286" s="46"/>
      <c r="AH286" s="46"/>
      <c r="AI286" s="46"/>
      <c r="AJ286" s="46"/>
      <c r="AK286" s="46"/>
      <c r="AL286" s="46" t="s">
        <v>1064</v>
      </c>
      <c r="AM286" s="46"/>
      <c r="AN286" s="46"/>
      <c r="AO286" s="46"/>
      <c r="AP286" s="46" t="s">
        <v>1064</v>
      </c>
      <c r="AQ286" s="46"/>
      <c r="AR286" s="46"/>
      <c r="AS286" s="46" t="s">
        <v>584</v>
      </c>
      <c r="AT286" s="46" t="s">
        <v>314</v>
      </c>
      <c r="AU286" s="46" t="s">
        <v>626</v>
      </c>
      <c r="AV286" s="46" t="s">
        <v>2378</v>
      </c>
      <c r="AW286" s="46" t="s">
        <v>3105</v>
      </c>
      <c r="AX286" s="46" t="s">
        <v>34</v>
      </c>
      <c r="AY286" s="46"/>
      <c r="AZ28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</row>
    <row r="287" spans="1:75" ht="150" x14ac:dyDescent="0.25">
      <c r="A287" s="47" t="s">
        <v>3199</v>
      </c>
      <c r="B287" s="45" t="s">
        <v>305</v>
      </c>
      <c r="C287" s="45" t="s">
        <v>3353</v>
      </c>
      <c r="D287" s="46" t="s">
        <v>3343</v>
      </c>
      <c r="E287" s="25" t="s">
        <v>2</v>
      </c>
      <c r="F287" s="48" t="s">
        <v>801</v>
      </c>
      <c r="G287" s="62" t="s">
        <v>4140</v>
      </c>
      <c r="H287" s="63" t="s">
        <v>3125</v>
      </c>
      <c r="I287" s="46" t="s">
        <v>4604</v>
      </c>
      <c r="J287" s="46" t="s">
        <v>1064</v>
      </c>
      <c r="K287" s="46" t="s">
        <v>4191</v>
      </c>
      <c r="L287" s="46" t="s">
        <v>4191</v>
      </c>
      <c r="M287" s="46" t="s">
        <v>4277</v>
      </c>
      <c r="N287" s="46" t="s">
        <v>4191</v>
      </c>
      <c r="O287" s="46" t="s">
        <v>626</v>
      </c>
      <c r="P287" s="46" t="s">
        <v>626</v>
      </c>
      <c r="Q287" s="46" t="s">
        <v>194</v>
      </c>
      <c r="R287" s="46" t="s">
        <v>4429</v>
      </c>
      <c r="S287" s="46" t="s">
        <v>4430</v>
      </c>
      <c r="T287" s="46"/>
      <c r="U287" s="46" t="s">
        <v>606</v>
      </c>
      <c r="V287" s="46" t="s">
        <v>1064</v>
      </c>
      <c r="W287" s="46" t="s">
        <v>1064</v>
      </c>
      <c r="X287" s="46"/>
      <c r="Y287" s="46"/>
      <c r="Z287" s="46"/>
      <c r="AA287" s="46"/>
      <c r="AB287" s="46"/>
      <c r="AC287" s="46" t="s">
        <v>1064</v>
      </c>
      <c r="AD287" s="46"/>
      <c r="AE287" s="46"/>
      <c r="AF287" s="46"/>
      <c r="AG287" s="46"/>
      <c r="AH287" s="46"/>
      <c r="AI287" s="46"/>
      <c r="AJ287" s="46"/>
      <c r="AK287" s="46"/>
      <c r="AL287" s="46" t="s">
        <v>1064</v>
      </c>
      <c r="AM287" s="46"/>
      <c r="AN287" s="46"/>
      <c r="AO287" s="46"/>
      <c r="AP287" s="46" t="s">
        <v>1064</v>
      </c>
      <c r="AQ287" s="46"/>
      <c r="AR287" s="46"/>
      <c r="AS287" s="46" t="s">
        <v>583</v>
      </c>
      <c r="AT287" s="46" t="s">
        <v>2</v>
      </c>
      <c r="AU287" s="46" t="s">
        <v>626</v>
      </c>
      <c r="AV287" s="46" t="s">
        <v>2374</v>
      </c>
      <c r="AW287" s="46" t="s">
        <v>3125</v>
      </c>
      <c r="AX287" s="46" t="s">
        <v>34</v>
      </c>
      <c r="AY287" s="46"/>
      <c r="AZ287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</row>
    <row r="288" spans="1:75" ht="75" x14ac:dyDescent="0.25">
      <c r="A288" s="47" t="s">
        <v>3383</v>
      </c>
      <c r="B288" s="45" t="s">
        <v>305</v>
      </c>
      <c r="C288" s="45" t="s">
        <v>3355</v>
      </c>
      <c r="D288" s="46" t="s">
        <v>3343</v>
      </c>
      <c r="E288" s="25" t="s">
        <v>2</v>
      </c>
      <c r="F288" s="48" t="s">
        <v>317</v>
      </c>
      <c r="G288" s="62" t="s">
        <v>3374</v>
      </c>
      <c r="H288" s="63"/>
      <c r="I288" s="46" t="s">
        <v>194</v>
      </c>
      <c r="J288" s="46" t="s">
        <v>1064</v>
      </c>
      <c r="K288" s="46" t="s">
        <v>626</v>
      </c>
      <c r="L288" s="46" t="s">
        <v>626</v>
      </c>
      <c r="M288" s="46" t="s">
        <v>4276</v>
      </c>
      <c r="N288" s="46" t="s">
        <v>4191</v>
      </c>
      <c r="O288" s="46" t="s">
        <v>626</v>
      </c>
      <c r="P288" s="46" t="s">
        <v>626</v>
      </c>
      <c r="Q288" s="46" t="s">
        <v>194</v>
      </c>
      <c r="R288" s="46" t="s">
        <v>194</v>
      </c>
      <c r="S288" s="46" t="s">
        <v>194</v>
      </c>
      <c r="T288" s="46"/>
      <c r="U288" s="46" t="s">
        <v>606</v>
      </c>
      <c r="V288" s="46" t="s">
        <v>1064</v>
      </c>
      <c r="W288" s="46" t="s">
        <v>1064</v>
      </c>
      <c r="X288" s="46"/>
      <c r="Y288" s="46"/>
      <c r="Z288" s="46"/>
      <c r="AA288" s="46"/>
      <c r="AB288" s="46"/>
      <c r="AC288" s="46" t="s">
        <v>1064</v>
      </c>
      <c r="AD288" s="46"/>
      <c r="AE288" s="46"/>
      <c r="AF288" s="46"/>
      <c r="AG288" s="46"/>
      <c r="AH288" s="46"/>
      <c r="AI288" s="46"/>
      <c r="AJ288" s="46"/>
      <c r="AK288" s="46"/>
      <c r="AL288" s="46" t="s">
        <v>1064</v>
      </c>
      <c r="AM288" s="46"/>
      <c r="AN288" s="46"/>
      <c r="AO288" s="46"/>
      <c r="AP288" s="46" t="s">
        <v>1064</v>
      </c>
      <c r="AQ288" s="46"/>
      <c r="AR288" s="46"/>
      <c r="AS288" s="46" t="s">
        <v>586</v>
      </c>
      <c r="AT288" s="46" t="s">
        <v>308</v>
      </c>
      <c r="AU288" s="46" t="s">
        <v>626</v>
      </c>
      <c r="AV288" s="46" t="s">
        <v>2376</v>
      </c>
      <c r="AW288" s="46"/>
      <c r="AX288" s="46"/>
      <c r="AY288" s="46"/>
      <c r="AZ288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</row>
    <row r="289" spans="1:75" ht="75" x14ac:dyDescent="0.25">
      <c r="A289" s="47" t="s">
        <v>3384</v>
      </c>
      <c r="B289" s="45" t="s">
        <v>305</v>
      </c>
      <c r="C289" s="45" t="s">
        <v>3357</v>
      </c>
      <c r="D289" s="46" t="s">
        <v>3343</v>
      </c>
      <c r="E289" s="25" t="s">
        <v>2</v>
      </c>
      <c r="F289" s="48" t="s">
        <v>314</v>
      </c>
      <c r="G289" s="62" t="s">
        <v>3376</v>
      </c>
      <c r="H289" s="63"/>
      <c r="I289" s="46" t="s">
        <v>194</v>
      </c>
      <c r="J289" s="46" t="s">
        <v>1064</v>
      </c>
      <c r="K289" s="46" t="s">
        <v>626</v>
      </c>
      <c r="L289" s="46" t="s">
        <v>626</v>
      </c>
      <c r="M289" s="46" t="s">
        <v>4274</v>
      </c>
      <c r="N289" s="46" t="s">
        <v>4191</v>
      </c>
      <c r="O289" s="46" t="s">
        <v>626</v>
      </c>
      <c r="P289" s="46" t="s">
        <v>626</v>
      </c>
      <c r="Q289" s="46" t="s">
        <v>194</v>
      </c>
      <c r="R289" s="46" t="s">
        <v>194</v>
      </c>
      <c r="S289" s="46" t="s">
        <v>194</v>
      </c>
      <c r="T289" s="46"/>
      <c r="U289" s="46" t="s">
        <v>606</v>
      </c>
      <c r="V289" s="46" t="s">
        <v>1064</v>
      </c>
      <c r="W289" s="46" t="s">
        <v>1064</v>
      </c>
      <c r="X289" s="46"/>
      <c r="Y289" s="46"/>
      <c r="Z289" s="46"/>
      <c r="AA289" s="46"/>
      <c r="AB289" s="46"/>
      <c r="AC289" s="46" t="s">
        <v>1064</v>
      </c>
      <c r="AD289" s="46"/>
      <c r="AE289" s="46"/>
      <c r="AF289" s="46"/>
      <c r="AG289" s="46"/>
      <c r="AH289" s="46"/>
      <c r="AI289" s="46"/>
      <c r="AJ289" s="46"/>
      <c r="AK289" s="46"/>
      <c r="AL289" s="46" t="s">
        <v>1064</v>
      </c>
      <c r="AM289" s="46"/>
      <c r="AN289" s="46"/>
      <c r="AO289" s="46"/>
      <c r="AP289" s="46" t="s">
        <v>1064</v>
      </c>
      <c r="AQ289" s="46"/>
      <c r="AR289" s="46"/>
      <c r="AS289" s="46" t="s">
        <v>584</v>
      </c>
      <c r="AT289" s="46" t="s">
        <v>314</v>
      </c>
      <c r="AU289" s="46" t="s">
        <v>626</v>
      </c>
      <c r="AV289" s="46" t="s">
        <v>2378</v>
      </c>
      <c r="AW289" s="46"/>
      <c r="AX289" s="46"/>
      <c r="AY289" s="46"/>
      <c r="AZ289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</row>
    <row r="290" spans="1:75" ht="150" x14ac:dyDescent="0.25">
      <c r="A290" s="47" t="s">
        <v>3201</v>
      </c>
      <c r="B290" s="45" t="s">
        <v>305</v>
      </c>
      <c r="C290" s="45" t="s">
        <v>3358</v>
      </c>
      <c r="D290" s="46" t="s">
        <v>3343</v>
      </c>
      <c r="E290" s="25" t="s">
        <v>2</v>
      </c>
      <c r="F290" s="48" t="s">
        <v>801</v>
      </c>
      <c r="G290" s="62" t="s">
        <v>4141</v>
      </c>
      <c r="H290" s="63" t="s">
        <v>3127</v>
      </c>
      <c r="I290" s="46" t="s">
        <v>4604</v>
      </c>
      <c r="J290" s="46" t="s">
        <v>1064</v>
      </c>
      <c r="K290" s="46" t="s">
        <v>4191</v>
      </c>
      <c r="L290" s="46" t="s">
        <v>4191</v>
      </c>
      <c r="M290" s="46" t="s">
        <v>4277</v>
      </c>
      <c r="N290" s="46" t="s">
        <v>4191</v>
      </c>
      <c r="O290" s="46" t="s">
        <v>626</v>
      </c>
      <c r="P290" s="46" t="s">
        <v>626</v>
      </c>
      <c r="Q290" s="46" t="s">
        <v>194</v>
      </c>
      <c r="R290" s="46" t="s">
        <v>4431</v>
      </c>
      <c r="S290" s="46" t="s">
        <v>4432</v>
      </c>
      <c r="T290" s="46"/>
      <c r="U290" s="46" t="s">
        <v>606</v>
      </c>
      <c r="V290" s="46" t="s">
        <v>1064</v>
      </c>
      <c r="W290" s="46" t="s">
        <v>1064</v>
      </c>
      <c r="X290" s="46"/>
      <c r="Y290" s="46"/>
      <c r="Z290" s="46"/>
      <c r="AA290" s="46"/>
      <c r="AB290" s="46"/>
      <c r="AC290" s="46" t="s">
        <v>1064</v>
      </c>
      <c r="AD290" s="46"/>
      <c r="AE290" s="46"/>
      <c r="AF290" s="46"/>
      <c r="AG290" s="46"/>
      <c r="AH290" s="46"/>
      <c r="AI290" s="46"/>
      <c r="AJ290" s="46"/>
      <c r="AK290" s="46"/>
      <c r="AL290" s="46" t="s">
        <v>1064</v>
      </c>
      <c r="AM290" s="46"/>
      <c r="AN290" s="46"/>
      <c r="AO290" s="46"/>
      <c r="AP290" s="46" t="s">
        <v>1064</v>
      </c>
      <c r="AQ290" s="46"/>
      <c r="AR290" s="46"/>
      <c r="AS290" s="46" t="s">
        <v>583</v>
      </c>
      <c r="AT290" s="46" t="s">
        <v>2</v>
      </c>
      <c r="AU290" s="46" t="s">
        <v>626</v>
      </c>
      <c r="AV290" s="46" t="s">
        <v>2374</v>
      </c>
      <c r="AW290" s="46" t="s">
        <v>3127</v>
      </c>
      <c r="AX290" s="46" t="s">
        <v>34</v>
      </c>
      <c r="AY290" s="46"/>
      <c r="AZ290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</row>
    <row r="291" spans="1:75" ht="75" x14ac:dyDescent="0.25">
      <c r="A291" s="47" t="s">
        <v>3385</v>
      </c>
      <c r="B291" s="45" t="s">
        <v>305</v>
      </c>
      <c r="C291" s="45" t="s">
        <v>3360</v>
      </c>
      <c r="D291" s="46" t="s">
        <v>3343</v>
      </c>
      <c r="E291" s="25" t="s">
        <v>2</v>
      </c>
      <c r="F291" s="48" t="s">
        <v>317</v>
      </c>
      <c r="G291" s="62" t="s">
        <v>3374</v>
      </c>
      <c r="H291" s="63"/>
      <c r="I291" s="46" t="s">
        <v>194</v>
      </c>
      <c r="J291" s="46" t="s">
        <v>1064</v>
      </c>
      <c r="K291" s="46" t="s">
        <v>626</v>
      </c>
      <c r="L291" s="46" t="s">
        <v>626</v>
      </c>
      <c r="M291" s="46" t="s">
        <v>4276</v>
      </c>
      <c r="N291" s="46" t="s">
        <v>4191</v>
      </c>
      <c r="O291" s="46" t="s">
        <v>626</v>
      </c>
      <c r="P291" s="46" t="s">
        <v>626</v>
      </c>
      <c r="Q291" s="46" t="s">
        <v>194</v>
      </c>
      <c r="R291" s="46" t="s">
        <v>194</v>
      </c>
      <c r="S291" s="46" t="s">
        <v>194</v>
      </c>
      <c r="T291" s="46"/>
      <c r="U291" s="46" t="s">
        <v>606</v>
      </c>
      <c r="V291" s="46" t="s">
        <v>1064</v>
      </c>
      <c r="W291" s="46" t="s">
        <v>1064</v>
      </c>
      <c r="X291" s="46"/>
      <c r="Y291" s="46"/>
      <c r="Z291" s="46"/>
      <c r="AA291" s="46"/>
      <c r="AB291" s="46"/>
      <c r="AC291" s="46" t="s">
        <v>1064</v>
      </c>
      <c r="AD291" s="46"/>
      <c r="AE291" s="46"/>
      <c r="AF291" s="46"/>
      <c r="AG291" s="46"/>
      <c r="AH291" s="46"/>
      <c r="AI291" s="46"/>
      <c r="AJ291" s="46"/>
      <c r="AK291" s="46"/>
      <c r="AL291" s="46" t="s">
        <v>1064</v>
      </c>
      <c r="AM291" s="46"/>
      <c r="AN291" s="46"/>
      <c r="AO291" s="46"/>
      <c r="AP291" s="46" t="s">
        <v>1064</v>
      </c>
      <c r="AQ291" s="46"/>
      <c r="AR291" s="46"/>
      <c r="AS291" s="46" t="s">
        <v>586</v>
      </c>
      <c r="AT291" s="46" t="s">
        <v>308</v>
      </c>
      <c r="AU291" s="46" t="s">
        <v>626</v>
      </c>
      <c r="AV291" s="46" t="s">
        <v>2376</v>
      </c>
      <c r="AW291" s="46"/>
      <c r="AX291" s="46"/>
      <c r="AY291" s="46"/>
      <c r="AZ291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</row>
    <row r="292" spans="1:75" ht="75" x14ac:dyDescent="0.25">
      <c r="A292" s="47" t="s">
        <v>3386</v>
      </c>
      <c r="B292" s="45" t="s">
        <v>305</v>
      </c>
      <c r="C292" s="45" t="s">
        <v>3362</v>
      </c>
      <c r="D292" s="46" t="s">
        <v>3343</v>
      </c>
      <c r="E292" s="25" t="s">
        <v>2</v>
      </c>
      <c r="F292" s="48" t="s">
        <v>314</v>
      </c>
      <c r="G292" s="62" t="s">
        <v>3376</v>
      </c>
      <c r="H292" s="63"/>
      <c r="I292" s="46" t="s">
        <v>194</v>
      </c>
      <c r="J292" s="46" t="s">
        <v>1064</v>
      </c>
      <c r="K292" s="46" t="s">
        <v>626</v>
      </c>
      <c r="L292" s="46" t="s">
        <v>626</v>
      </c>
      <c r="M292" s="46" t="s">
        <v>4274</v>
      </c>
      <c r="N292" s="46" t="s">
        <v>4191</v>
      </c>
      <c r="O292" s="46" t="s">
        <v>626</v>
      </c>
      <c r="P292" s="46" t="s">
        <v>626</v>
      </c>
      <c r="Q292" s="46" t="s">
        <v>194</v>
      </c>
      <c r="R292" s="46" t="s">
        <v>194</v>
      </c>
      <c r="S292" s="46" t="s">
        <v>194</v>
      </c>
      <c r="T292" s="46"/>
      <c r="U292" s="46" t="s">
        <v>606</v>
      </c>
      <c r="V292" s="46" t="s">
        <v>1064</v>
      </c>
      <c r="W292" s="46" t="s">
        <v>1064</v>
      </c>
      <c r="X292" s="46"/>
      <c r="Y292" s="46"/>
      <c r="Z292" s="46"/>
      <c r="AA292" s="46"/>
      <c r="AB292" s="46"/>
      <c r="AC292" s="46" t="s">
        <v>1064</v>
      </c>
      <c r="AD292" s="46"/>
      <c r="AE292" s="46"/>
      <c r="AF292" s="46"/>
      <c r="AG292" s="46"/>
      <c r="AH292" s="46"/>
      <c r="AI292" s="46"/>
      <c r="AJ292" s="46"/>
      <c r="AK292" s="46"/>
      <c r="AL292" s="46" t="s">
        <v>1064</v>
      </c>
      <c r="AM292" s="46"/>
      <c r="AN292" s="46"/>
      <c r="AO292" s="46"/>
      <c r="AP292" s="46" t="s">
        <v>1064</v>
      </c>
      <c r="AQ292" s="46"/>
      <c r="AR292" s="46"/>
      <c r="AS292" s="46" t="s">
        <v>584</v>
      </c>
      <c r="AT292" s="46" t="s">
        <v>314</v>
      </c>
      <c r="AU292" s="46" t="s">
        <v>626</v>
      </c>
      <c r="AV292" s="46" t="s">
        <v>2378</v>
      </c>
      <c r="AW292" s="46"/>
      <c r="AX292" s="46"/>
      <c r="AY292" s="46"/>
      <c r="AZ292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</row>
    <row r="293" spans="1:75" ht="150" x14ac:dyDescent="0.25">
      <c r="A293" s="47" t="s">
        <v>3203</v>
      </c>
      <c r="B293" s="45" t="s">
        <v>305</v>
      </c>
      <c r="C293" s="45" t="s">
        <v>3363</v>
      </c>
      <c r="D293" s="46" t="s">
        <v>3343</v>
      </c>
      <c r="E293" s="25" t="s">
        <v>2</v>
      </c>
      <c r="F293" s="48" t="s">
        <v>801</v>
      </c>
      <c r="G293" s="62" t="s">
        <v>4142</v>
      </c>
      <c r="H293" s="63" t="s">
        <v>3129</v>
      </c>
      <c r="I293" s="46" t="s">
        <v>4604</v>
      </c>
      <c r="J293" s="46" t="s">
        <v>1064</v>
      </c>
      <c r="K293" s="46" t="s">
        <v>4191</v>
      </c>
      <c r="L293" s="46" t="s">
        <v>4191</v>
      </c>
      <c r="M293" s="46" t="s">
        <v>4277</v>
      </c>
      <c r="N293" s="46" t="s">
        <v>4191</v>
      </c>
      <c r="O293" s="46" t="s">
        <v>626</v>
      </c>
      <c r="P293" s="46" t="s">
        <v>626</v>
      </c>
      <c r="Q293" s="46" t="s">
        <v>194</v>
      </c>
      <c r="R293" s="46" t="s">
        <v>4433</v>
      </c>
      <c r="S293" s="46" t="s">
        <v>4434</v>
      </c>
      <c r="T293" s="46"/>
      <c r="U293" s="46" t="s">
        <v>606</v>
      </c>
      <c r="V293" s="46" t="s">
        <v>1064</v>
      </c>
      <c r="W293" s="46" t="s">
        <v>1064</v>
      </c>
      <c r="X293" s="46"/>
      <c r="Y293" s="46"/>
      <c r="Z293" s="46"/>
      <c r="AA293" s="46"/>
      <c r="AB293" s="46"/>
      <c r="AC293" s="46" t="s">
        <v>1064</v>
      </c>
      <c r="AD293" s="46"/>
      <c r="AE293" s="46"/>
      <c r="AF293" s="46"/>
      <c r="AG293" s="46"/>
      <c r="AH293" s="46"/>
      <c r="AI293" s="46"/>
      <c r="AJ293" s="46"/>
      <c r="AK293" s="46"/>
      <c r="AL293" s="46" t="s">
        <v>1064</v>
      </c>
      <c r="AM293" s="46"/>
      <c r="AN293" s="46"/>
      <c r="AO293" s="46"/>
      <c r="AP293" s="46" t="s">
        <v>1064</v>
      </c>
      <c r="AQ293" s="46"/>
      <c r="AR293" s="46"/>
      <c r="AS293" s="46" t="s">
        <v>583</v>
      </c>
      <c r="AT293" s="46" t="s">
        <v>2</v>
      </c>
      <c r="AU293" s="46" t="s">
        <v>626</v>
      </c>
      <c r="AV293" s="46" t="s">
        <v>2374</v>
      </c>
      <c r="AW293" s="46" t="s">
        <v>3129</v>
      </c>
      <c r="AX293" s="46" t="s">
        <v>34</v>
      </c>
      <c r="AY293" s="46"/>
      <c r="AZ293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</row>
    <row r="294" spans="1:75" ht="75" x14ac:dyDescent="0.25">
      <c r="A294" s="47" t="s">
        <v>3387</v>
      </c>
      <c r="B294" s="45" t="s">
        <v>305</v>
      </c>
      <c r="C294" s="45" t="s">
        <v>3365</v>
      </c>
      <c r="D294" s="46" t="s">
        <v>3343</v>
      </c>
      <c r="E294" s="25" t="s">
        <v>2</v>
      </c>
      <c r="F294" s="48" t="s">
        <v>317</v>
      </c>
      <c r="G294" s="62" t="s">
        <v>3374</v>
      </c>
      <c r="H294" s="63"/>
      <c r="I294" s="46" t="s">
        <v>194</v>
      </c>
      <c r="J294" s="46" t="s">
        <v>1064</v>
      </c>
      <c r="K294" s="46" t="s">
        <v>626</v>
      </c>
      <c r="L294" s="46" t="s">
        <v>626</v>
      </c>
      <c r="M294" s="46" t="s">
        <v>4276</v>
      </c>
      <c r="N294" s="46" t="s">
        <v>4191</v>
      </c>
      <c r="O294" s="46" t="s">
        <v>626</v>
      </c>
      <c r="P294" s="46" t="s">
        <v>626</v>
      </c>
      <c r="Q294" s="46" t="s">
        <v>194</v>
      </c>
      <c r="R294" s="46" t="s">
        <v>194</v>
      </c>
      <c r="S294" s="46" t="s">
        <v>194</v>
      </c>
      <c r="T294" s="46"/>
      <c r="U294" s="46" t="s">
        <v>606</v>
      </c>
      <c r="V294" s="46" t="s">
        <v>1064</v>
      </c>
      <c r="W294" s="46" t="s">
        <v>1064</v>
      </c>
      <c r="X294" s="46"/>
      <c r="Y294" s="46"/>
      <c r="Z294" s="46"/>
      <c r="AA294" s="46"/>
      <c r="AB294" s="46"/>
      <c r="AC294" s="46" t="s">
        <v>1064</v>
      </c>
      <c r="AD294" s="46"/>
      <c r="AE294" s="46"/>
      <c r="AF294" s="46"/>
      <c r="AG294" s="46"/>
      <c r="AH294" s="46"/>
      <c r="AI294" s="46"/>
      <c r="AJ294" s="46"/>
      <c r="AK294" s="46"/>
      <c r="AL294" s="46" t="s">
        <v>1064</v>
      </c>
      <c r="AM294" s="46"/>
      <c r="AN294" s="46"/>
      <c r="AO294" s="46"/>
      <c r="AP294" s="46" t="s">
        <v>1064</v>
      </c>
      <c r="AQ294" s="46"/>
      <c r="AR294" s="46"/>
      <c r="AS294" s="46" t="s">
        <v>586</v>
      </c>
      <c r="AT294" s="46" t="s">
        <v>308</v>
      </c>
      <c r="AU294" s="46" t="s">
        <v>626</v>
      </c>
      <c r="AV294" s="46" t="s">
        <v>2376</v>
      </c>
      <c r="AW294" s="46"/>
      <c r="AX294" s="46"/>
      <c r="AY294" s="46"/>
      <c r="AZ294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</row>
    <row r="295" spans="1:75" ht="75" x14ac:dyDescent="0.25">
      <c r="A295" s="47" t="s">
        <v>3388</v>
      </c>
      <c r="B295" s="45" t="s">
        <v>305</v>
      </c>
      <c r="C295" s="45" t="s">
        <v>3367</v>
      </c>
      <c r="D295" s="46" t="s">
        <v>3343</v>
      </c>
      <c r="E295" s="25" t="s">
        <v>2</v>
      </c>
      <c r="F295" s="48" t="s">
        <v>314</v>
      </c>
      <c r="G295" s="62" t="s">
        <v>3376</v>
      </c>
      <c r="H295" s="63"/>
      <c r="I295" s="46" t="s">
        <v>194</v>
      </c>
      <c r="J295" s="46" t="s">
        <v>1064</v>
      </c>
      <c r="K295" s="46" t="s">
        <v>626</v>
      </c>
      <c r="L295" s="46" t="s">
        <v>626</v>
      </c>
      <c r="M295" s="46" t="s">
        <v>4274</v>
      </c>
      <c r="N295" s="46" t="s">
        <v>4191</v>
      </c>
      <c r="O295" s="46" t="s">
        <v>626</v>
      </c>
      <c r="P295" s="46" t="s">
        <v>626</v>
      </c>
      <c r="Q295" s="46" t="s">
        <v>194</v>
      </c>
      <c r="R295" s="46" t="s">
        <v>194</v>
      </c>
      <c r="S295" s="46" t="s">
        <v>194</v>
      </c>
      <c r="T295" s="46"/>
      <c r="U295" s="46" t="s">
        <v>606</v>
      </c>
      <c r="V295" s="46" t="s">
        <v>1064</v>
      </c>
      <c r="W295" s="46" t="s">
        <v>1064</v>
      </c>
      <c r="X295" s="46"/>
      <c r="Y295" s="46"/>
      <c r="Z295" s="46"/>
      <c r="AA295" s="46"/>
      <c r="AB295" s="46"/>
      <c r="AC295" s="46" t="s">
        <v>1064</v>
      </c>
      <c r="AD295" s="46"/>
      <c r="AE295" s="46"/>
      <c r="AF295" s="46"/>
      <c r="AG295" s="46"/>
      <c r="AH295" s="46"/>
      <c r="AI295" s="46"/>
      <c r="AJ295" s="46"/>
      <c r="AK295" s="46"/>
      <c r="AL295" s="46" t="s">
        <v>1064</v>
      </c>
      <c r="AM295" s="46"/>
      <c r="AN295" s="46"/>
      <c r="AO295" s="46"/>
      <c r="AP295" s="46" t="s">
        <v>1064</v>
      </c>
      <c r="AQ295" s="46"/>
      <c r="AR295" s="46"/>
      <c r="AS295" s="46" t="s">
        <v>584</v>
      </c>
      <c r="AT295" s="46" t="s">
        <v>314</v>
      </c>
      <c r="AU295" s="46" t="s">
        <v>626</v>
      </c>
      <c r="AV295" s="46" t="s">
        <v>2378</v>
      </c>
      <c r="AW295" s="46"/>
      <c r="AX295" s="46"/>
      <c r="AY295" s="46"/>
      <c r="AZ295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</row>
    <row r="296" spans="1:75" ht="90" x14ac:dyDescent="0.25">
      <c r="A296" s="47" t="s">
        <v>3211</v>
      </c>
      <c r="B296" s="45" t="s">
        <v>305</v>
      </c>
      <c r="C296" s="45" t="s">
        <v>3389</v>
      </c>
      <c r="D296" s="46" t="s">
        <v>3390</v>
      </c>
      <c r="E296" s="25" t="s">
        <v>2</v>
      </c>
      <c r="F296" s="48" t="s">
        <v>801</v>
      </c>
      <c r="G296" s="62" t="s">
        <v>4479</v>
      </c>
      <c r="H296" s="63" t="s">
        <v>3137</v>
      </c>
      <c r="I296" s="46" t="s">
        <v>4554</v>
      </c>
      <c r="J296" s="46" t="s">
        <v>1064</v>
      </c>
      <c r="K296" s="46" t="s">
        <v>626</v>
      </c>
      <c r="L296" s="46" t="s">
        <v>626</v>
      </c>
      <c r="M296" s="46" t="s">
        <v>194</v>
      </c>
      <c r="N296" s="46" t="s">
        <v>626</v>
      </c>
      <c r="O296" s="46" t="s">
        <v>626</v>
      </c>
      <c r="P296" s="46" t="s">
        <v>626</v>
      </c>
      <c r="Q296" s="46" t="s">
        <v>194</v>
      </c>
      <c r="R296" s="46" t="s">
        <v>194</v>
      </c>
      <c r="S296" s="46" t="s">
        <v>194</v>
      </c>
      <c r="T296" s="46" t="s">
        <v>626</v>
      </c>
      <c r="U296" s="46" t="s">
        <v>606</v>
      </c>
      <c r="V296" s="46" t="s">
        <v>1064</v>
      </c>
      <c r="W296" s="46" t="s">
        <v>1064</v>
      </c>
      <c r="X296" s="46"/>
      <c r="Y296" s="46"/>
      <c r="Z296" s="46"/>
      <c r="AA296" s="46"/>
      <c r="AB296" s="46"/>
      <c r="AC296" s="46" t="s">
        <v>1064</v>
      </c>
      <c r="AD296" s="46"/>
      <c r="AE296" s="46"/>
      <c r="AF296" s="46"/>
      <c r="AG296" s="46"/>
      <c r="AH296" s="46"/>
      <c r="AI296" s="46"/>
      <c r="AJ296" s="46"/>
      <c r="AK296" s="46"/>
      <c r="AL296" s="46" t="s">
        <v>1064</v>
      </c>
      <c r="AM296" s="46"/>
      <c r="AN296" s="46"/>
      <c r="AO296" s="46"/>
      <c r="AP296" s="46" t="s">
        <v>1064</v>
      </c>
      <c r="AQ296" s="46"/>
      <c r="AR296" s="46"/>
      <c r="AS296" s="46" t="s">
        <v>586</v>
      </c>
      <c r="AT296" s="46" t="s">
        <v>2</v>
      </c>
      <c r="AU296" s="46" t="s">
        <v>4191</v>
      </c>
      <c r="AV296" s="46" t="s">
        <v>3211</v>
      </c>
      <c r="AW296" s="46" t="s">
        <v>3137</v>
      </c>
      <c r="AX296" s="46" t="s">
        <v>34</v>
      </c>
      <c r="AY296" s="46"/>
      <c r="AZ29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</row>
    <row r="297" spans="1:75" ht="90" x14ac:dyDescent="0.25">
      <c r="A297" s="47" t="s">
        <v>3213</v>
      </c>
      <c r="B297" s="45" t="s">
        <v>305</v>
      </c>
      <c r="C297" s="45" t="s">
        <v>3391</v>
      </c>
      <c r="D297" s="46" t="s">
        <v>3392</v>
      </c>
      <c r="E297" s="25" t="s">
        <v>2</v>
      </c>
      <c r="F297" s="48" t="s">
        <v>801</v>
      </c>
      <c r="G297" s="62" t="s">
        <v>4480</v>
      </c>
      <c r="H297" s="63" t="s">
        <v>3139</v>
      </c>
      <c r="I297" s="46" t="s">
        <v>4555</v>
      </c>
      <c r="J297" s="46" t="s">
        <v>1064</v>
      </c>
      <c r="K297" s="46" t="s">
        <v>626</v>
      </c>
      <c r="L297" s="46" t="s">
        <v>626</v>
      </c>
      <c r="M297" s="46" t="s">
        <v>194</v>
      </c>
      <c r="N297" s="46" t="s">
        <v>626</v>
      </c>
      <c r="O297" s="46" t="s">
        <v>626</v>
      </c>
      <c r="P297" s="46" t="s">
        <v>626</v>
      </c>
      <c r="Q297" s="46" t="s">
        <v>194</v>
      </c>
      <c r="R297" s="46" t="s">
        <v>194</v>
      </c>
      <c r="S297" s="46" t="s">
        <v>194</v>
      </c>
      <c r="T297" s="46" t="s">
        <v>626</v>
      </c>
      <c r="U297" s="46" t="s">
        <v>606</v>
      </c>
      <c r="V297" s="46" t="s">
        <v>1064</v>
      </c>
      <c r="W297" s="46" t="s">
        <v>1064</v>
      </c>
      <c r="X297" s="46"/>
      <c r="Y297" s="46"/>
      <c r="Z297" s="46"/>
      <c r="AA297" s="46"/>
      <c r="AB297" s="46"/>
      <c r="AC297" s="46" t="s">
        <v>1064</v>
      </c>
      <c r="AD297" s="46"/>
      <c r="AE297" s="46"/>
      <c r="AF297" s="46"/>
      <c r="AG297" s="46"/>
      <c r="AH297" s="46"/>
      <c r="AI297" s="46"/>
      <c r="AJ297" s="46"/>
      <c r="AK297" s="46"/>
      <c r="AL297" s="46" t="s">
        <v>1064</v>
      </c>
      <c r="AM297" s="46"/>
      <c r="AN297" s="46"/>
      <c r="AO297" s="46"/>
      <c r="AP297" s="46" t="s">
        <v>1064</v>
      </c>
      <c r="AQ297" s="46"/>
      <c r="AR297" s="46"/>
      <c r="AS297" s="46" t="s">
        <v>586</v>
      </c>
      <c r="AT297" s="46" t="s">
        <v>2</v>
      </c>
      <c r="AU297" s="46" t="s">
        <v>4191</v>
      </c>
      <c r="AV297" s="46" t="s">
        <v>3213</v>
      </c>
      <c r="AW297" s="46" t="s">
        <v>3139</v>
      </c>
      <c r="AX297" s="46" t="s">
        <v>34</v>
      </c>
      <c r="AY297" s="46"/>
      <c r="AZ297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</row>
    <row r="298" spans="1:75" ht="150" x14ac:dyDescent="0.25">
      <c r="A298" s="47" t="s">
        <v>3173</v>
      </c>
      <c r="B298" s="45" t="s">
        <v>305</v>
      </c>
      <c r="C298" s="45" t="s">
        <v>3393</v>
      </c>
      <c r="D298" s="46" t="s">
        <v>3343</v>
      </c>
      <c r="E298" s="25" t="s">
        <v>2</v>
      </c>
      <c r="F298" s="48" t="s">
        <v>801</v>
      </c>
      <c r="G298" s="62" t="s">
        <v>4803</v>
      </c>
      <c r="H298" s="63" t="s">
        <v>3108</v>
      </c>
      <c r="I298" s="46" t="s">
        <v>4604</v>
      </c>
      <c r="J298" s="46" t="s">
        <v>1064</v>
      </c>
      <c r="K298" s="46" t="s">
        <v>4191</v>
      </c>
      <c r="L298" s="46" t="s">
        <v>4191</v>
      </c>
      <c r="M298" s="46" t="s">
        <v>4277</v>
      </c>
      <c r="N298" s="46" t="s">
        <v>4191</v>
      </c>
      <c r="O298" s="46" t="s">
        <v>626</v>
      </c>
      <c r="P298" s="46" t="s">
        <v>626</v>
      </c>
      <c r="Q298" s="46" t="s">
        <v>194</v>
      </c>
      <c r="R298" s="46" t="s">
        <v>4435</v>
      </c>
      <c r="S298" s="46" t="s">
        <v>4436</v>
      </c>
      <c r="T298" s="46"/>
      <c r="U298" s="46" t="s">
        <v>606</v>
      </c>
      <c r="V298" s="46" t="s">
        <v>1064</v>
      </c>
      <c r="W298" s="46" t="s">
        <v>1064</v>
      </c>
      <c r="X298" s="46"/>
      <c r="Y298" s="46"/>
      <c r="Z298" s="46"/>
      <c r="AA298" s="46"/>
      <c r="AB298" s="46"/>
      <c r="AC298" s="46" t="s">
        <v>1064</v>
      </c>
      <c r="AD298" s="46"/>
      <c r="AE298" s="46"/>
      <c r="AF298" s="46"/>
      <c r="AG298" s="46"/>
      <c r="AH298" s="46"/>
      <c r="AI298" s="46"/>
      <c r="AJ298" s="46"/>
      <c r="AK298" s="46"/>
      <c r="AL298" s="46" t="s">
        <v>1064</v>
      </c>
      <c r="AM298" s="46"/>
      <c r="AN298" s="46"/>
      <c r="AO298" s="46"/>
      <c r="AP298" s="46" t="s">
        <v>1064</v>
      </c>
      <c r="AQ298" s="46"/>
      <c r="AR298" s="46"/>
      <c r="AS298" s="46" t="s">
        <v>583</v>
      </c>
      <c r="AT298" s="46" t="s">
        <v>2</v>
      </c>
      <c r="AU298" s="46" t="s">
        <v>626</v>
      </c>
      <c r="AV298" s="46" t="s">
        <v>2374</v>
      </c>
      <c r="AW298" s="46" t="s">
        <v>3108</v>
      </c>
      <c r="AX298" s="46" t="s">
        <v>34</v>
      </c>
      <c r="AY298" s="46"/>
      <c r="AZ298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</row>
    <row r="299" spans="1:75" ht="75" x14ac:dyDescent="0.25">
      <c r="A299" s="47" t="s">
        <v>3175</v>
      </c>
      <c r="B299" s="45" t="s">
        <v>305</v>
      </c>
      <c r="C299" s="45" t="s">
        <v>3394</v>
      </c>
      <c r="D299" s="46" t="s">
        <v>3343</v>
      </c>
      <c r="E299" s="25" t="s">
        <v>2</v>
      </c>
      <c r="F299" s="48" t="s">
        <v>317</v>
      </c>
      <c r="G299" s="62" t="s">
        <v>3374</v>
      </c>
      <c r="H299" s="63" t="s">
        <v>3108</v>
      </c>
      <c r="I299" s="46" t="s">
        <v>194</v>
      </c>
      <c r="J299" s="46" t="s">
        <v>1064</v>
      </c>
      <c r="K299" s="46" t="s">
        <v>626</v>
      </c>
      <c r="L299" s="46" t="s">
        <v>626</v>
      </c>
      <c r="M299" s="46" t="s">
        <v>4276</v>
      </c>
      <c r="N299" s="46" t="s">
        <v>4191</v>
      </c>
      <c r="O299" s="46" t="s">
        <v>626</v>
      </c>
      <c r="P299" s="46" t="s">
        <v>626</v>
      </c>
      <c r="Q299" s="46" t="s">
        <v>194</v>
      </c>
      <c r="R299" s="46" t="s">
        <v>194</v>
      </c>
      <c r="S299" s="46" t="s">
        <v>194</v>
      </c>
      <c r="T299" s="46"/>
      <c r="U299" s="46" t="s">
        <v>606</v>
      </c>
      <c r="V299" s="46" t="s">
        <v>1064</v>
      </c>
      <c r="W299" s="46" t="s">
        <v>1064</v>
      </c>
      <c r="X299" s="46"/>
      <c r="Y299" s="46"/>
      <c r="Z299" s="46"/>
      <c r="AA299" s="46"/>
      <c r="AB299" s="46"/>
      <c r="AC299" s="46" t="s">
        <v>1064</v>
      </c>
      <c r="AD299" s="46"/>
      <c r="AE299" s="46"/>
      <c r="AF299" s="46"/>
      <c r="AG299" s="46"/>
      <c r="AH299" s="46"/>
      <c r="AI299" s="46"/>
      <c r="AJ299" s="46"/>
      <c r="AK299" s="46"/>
      <c r="AL299" s="46" t="s">
        <v>1064</v>
      </c>
      <c r="AM299" s="46"/>
      <c r="AN299" s="46"/>
      <c r="AO299" s="46"/>
      <c r="AP299" s="46" t="s">
        <v>1064</v>
      </c>
      <c r="AQ299" s="46"/>
      <c r="AR299" s="46"/>
      <c r="AS299" s="46" t="s">
        <v>586</v>
      </c>
      <c r="AT299" s="46" t="s">
        <v>308</v>
      </c>
      <c r="AU299" s="46" t="s">
        <v>626</v>
      </c>
      <c r="AV299" s="46" t="s">
        <v>2376</v>
      </c>
      <c r="AW299" s="46" t="s">
        <v>3108</v>
      </c>
      <c r="AX299" s="46" t="s">
        <v>34</v>
      </c>
      <c r="AY299" s="46"/>
      <c r="AZ299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</row>
    <row r="300" spans="1:75" ht="75" x14ac:dyDescent="0.25">
      <c r="A300" s="47" t="s">
        <v>3177</v>
      </c>
      <c r="B300" s="45" t="s">
        <v>305</v>
      </c>
      <c r="C300" s="45" t="s">
        <v>3395</v>
      </c>
      <c r="D300" s="46" t="s">
        <v>3343</v>
      </c>
      <c r="E300" s="25" t="s">
        <v>2</v>
      </c>
      <c r="F300" s="48" t="s">
        <v>314</v>
      </c>
      <c r="G300" s="62" t="s">
        <v>3376</v>
      </c>
      <c r="H300" s="63" t="s">
        <v>3108</v>
      </c>
      <c r="I300" s="46" t="s">
        <v>194</v>
      </c>
      <c r="J300" s="46" t="s">
        <v>1064</v>
      </c>
      <c r="K300" s="46" t="s">
        <v>626</v>
      </c>
      <c r="L300" s="46" t="s">
        <v>626</v>
      </c>
      <c r="M300" s="46" t="s">
        <v>4274</v>
      </c>
      <c r="N300" s="46" t="s">
        <v>4191</v>
      </c>
      <c r="O300" s="46" t="s">
        <v>626</v>
      </c>
      <c r="P300" s="46" t="s">
        <v>626</v>
      </c>
      <c r="Q300" s="46" t="s">
        <v>194</v>
      </c>
      <c r="R300" s="46" t="s">
        <v>194</v>
      </c>
      <c r="S300" s="46" t="s">
        <v>194</v>
      </c>
      <c r="T300" s="46"/>
      <c r="U300" s="46" t="s">
        <v>606</v>
      </c>
      <c r="V300" s="46" t="s">
        <v>1064</v>
      </c>
      <c r="W300" s="46" t="s">
        <v>1064</v>
      </c>
      <c r="X300" s="46"/>
      <c r="Y300" s="46"/>
      <c r="Z300" s="46"/>
      <c r="AA300" s="46"/>
      <c r="AB300" s="46"/>
      <c r="AC300" s="46" t="s">
        <v>1064</v>
      </c>
      <c r="AD300" s="46"/>
      <c r="AE300" s="46"/>
      <c r="AF300" s="46"/>
      <c r="AG300" s="46"/>
      <c r="AH300" s="46"/>
      <c r="AI300" s="46"/>
      <c r="AJ300" s="46"/>
      <c r="AK300" s="46"/>
      <c r="AL300" s="46" t="s">
        <v>1064</v>
      </c>
      <c r="AM300" s="46"/>
      <c r="AN300" s="46"/>
      <c r="AO300" s="46"/>
      <c r="AP300" s="46" t="s">
        <v>1064</v>
      </c>
      <c r="AQ300" s="46"/>
      <c r="AR300" s="46"/>
      <c r="AS300" s="46" t="s">
        <v>584</v>
      </c>
      <c r="AT300" s="46" t="s">
        <v>314</v>
      </c>
      <c r="AU300" s="46" t="s">
        <v>626</v>
      </c>
      <c r="AV300" s="46" t="s">
        <v>2378</v>
      </c>
      <c r="AW300" s="46" t="s">
        <v>3108</v>
      </c>
      <c r="AX300" s="46" t="s">
        <v>34</v>
      </c>
      <c r="AY300" s="46"/>
      <c r="AZ300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</row>
    <row r="301" spans="1:75" ht="150" x14ac:dyDescent="0.25">
      <c r="A301" s="47" t="s">
        <v>3179</v>
      </c>
      <c r="B301" s="45" t="s">
        <v>305</v>
      </c>
      <c r="C301" s="45" t="s">
        <v>3396</v>
      </c>
      <c r="D301" s="46" t="s">
        <v>3343</v>
      </c>
      <c r="E301" s="25" t="s">
        <v>2</v>
      </c>
      <c r="F301" s="48" t="s">
        <v>801</v>
      </c>
      <c r="G301" s="62" t="s">
        <v>4804</v>
      </c>
      <c r="H301" s="63" t="s">
        <v>3111</v>
      </c>
      <c r="I301" s="46" t="s">
        <v>4604</v>
      </c>
      <c r="J301" s="46" t="s">
        <v>1064</v>
      </c>
      <c r="K301" s="46" t="s">
        <v>4191</v>
      </c>
      <c r="L301" s="46" t="s">
        <v>4191</v>
      </c>
      <c r="M301" s="46" t="s">
        <v>4277</v>
      </c>
      <c r="N301" s="46" t="s">
        <v>4191</v>
      </c>
      <c r="O301" s="46" t="s">
        <v>626</v>
      </c>
      <c r="P301" s="46" t="s">
        <v>626</v>
      </c>
      <c r="Q301" s="46" t="s">
        <v>194</v>
      </c>
      <c r="R301" s="46" t="s">
        <v>4437</v>
      </c>
      <c r="S301" s="46" t="s">
        <v>4438</v>
      </c>
      <c r="T301" s="46"/>
      <c r="U301" s="46" t="s">
        <v>606</v>
      </c>
      <c r="V301" s="46" t="s">
        <v>1064</v>
      </c>
      <c r="W301" s="46" t="s">
        <v>1064</v>
      </c>
      <c r="X301" s="46"/>
      <c r="Y301" s="46"/>
      <c r="Z301" s="46"/>
      <c r="AA301" s="46"/>
      <c r="AB301" s="46"/>
      <c r="AC301" s="46" t="s">
        <v>1064</v>
      </c>
      <c r="AD301" s="46"/>
      <c r="AE301" s="46"/>
      <c r="AF301" s="46"/>
      <c r="AG301" s="46"/>
      <c r="AH301" s="46"/>
      <c r="AI301" s="46"/>
      <c r="AJ301" s="46"/>
      <c r="AK301" s="46"/>
      <c r="AL301" s="46" t="s">
        <v>1064</v>
      </c>
      <c r="AM301" s="46"/>
      <c r="AN301" s="46"/>
      <c r="AO301" s="46"/>
      <c r="AP301" s="46" t="s">
        <v>1064</v>
      </c>
      <c r="AQ301" s="46"/>
      <c r="AR301" s="46"/>
      <c r="AS301" s="46" t="s">
        <v>583</v>
      </c>
      <c r="AT301" s="46" t="s">
        <v>2</v>
      </c>
      <c r="AU301" s="46" t="s">
        <v>626</v>
      </c>
      <c r="AV301" s="46" t="s">
        <v>2374</v>
      </c>
      <c r="AW301" s="46" t="s">
        <v>3111</v>
      </c>
      <c r="AX301" s="46" t="s">
        <v>34</v>
      </c>
      <c r="AY301" s="46"/>
      <c r="AZ301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</row>
    <row r="302" spans="1:75" ht="75" x14ac:dyDescent="0.25">
      <c r="A302" s="47" t="s">
        <v>3181</v>
      </c>
      <c r="B302" s="45" t="s">
        <v>305</v>
      </c>
      <c r="C302" s="45" t="s">
        <v>3397</v>
      </c>
      <c r="D302" s="46" t="s">
        <v>3343</v>
      </c>
      <c r="E302" s="25" t="s">
        <v>2</v>
      </c>
      <c r="F302" s="48" t="s">
        <v>317</v>
      </c>
      <c r="G302" s="62" t="s">
        <v>3374</v>
      </c>
      <c r="H302" s="63" t="s">
        <v>3111</v>
      </c>
      <c r="I302" s="46" t="s">
        <v>194</v>
      </c>
      <c r="J302" s="46" t="s">
        <v>1064</v>
      </c>
      <c r="K302" s="46" t="s">
        <v>626</v>
      </c>
      <c r="L302" s="46" t="s">
        <v>626</v>
      </c>
      <c r="M302" s="46" t="s">
        <v>4276</v>
      </c>
      <c r="N302" s="46" t="s">
        <v>4191</v>
      </c>
      <c r="O302" s="46" t="s">
        <v>626</v>
      </c>
      <c r="P302" s="46" t="s">
        <v>626</v>
      </c>
      <c r="Q302" s="46" t="s">
        <v>194</v>
      </c>
      <c r="R302" s="46" t="s">
        <v>194</v>
      </c>
      <c r="S302" s="46" t="s">
        <v>194</v>
      </c>
      <c r="T302" s="46"/>
      <c r="U302" s="46" t="s">
        <v>606</v>
      </c>
      <c r="V302" s="46" t="s">
        <v>1064</v>
      </c>
      <c r="W302" s="46" t="s">
        <v>1064</v>
      </c>
      <c r="X302" s="46"/>
      <c r="Y302" s="46"/>
      <c r="Z302" s="46"/>
      <c r="AA302" s="46"/>
      <c r="AB302" s="46"/>
      <c r="AC302" s="46" t="s">
        <v>1064</v>
      </c>
      <c r="AD302" s="46"/>
      <c r="AE302" s="46"/>
      <c r="AF302" s="46"/>
      <c r="AG302" s="46"/>
      <c r="AH302" s="46"/>
      <c r="AI302" s="46"/>
      <c r="AJ302" s="46"/>
      <c r="AK302" s="46"/>
      <c r="AL302" s="46" t="s">
        <v>1064</v>
      </c>
      <c r="AM302" s="46"/>
      <c r="AN302" s="46"/>
      <c r="AO302" s="46"/>
      <c r="AP302" s="46" t="s">
        <v>1064</v>
      </c>
      <c r="AQ302" s="46"/>
      <c r="AR302" s="46"/>
      <c r="AS302" s="46" t="s">
        <v>586</v>
      </c>
      <c r="AT302" s="46" t="s">
        <v>308</v>
      </c>
      <c r="AU302" s="46" t="s">
        <v>626</v>
      </c>
      <c r="AV302" s="46" t="s">
        <v>2376</v>
      </c>
      <c r="AW302" s="46" t="s">
        <v>3111</v>
      </c>
      <c r="AX302" s="46" t="s">
        <v>34</v>
      </c>
      <c r="AY302" s="46"/>
      <c r="AZ302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</row>
    <row r="303" spans="1:75" ht="75" x14ac:dyDescent="0.25">
      <c r="A303" s="47" t="s">
        <v>3183</v>
      </c>
      <c r="B303" s="45" t="s">
        <v>305</v>
      </c>
      <c r="C303" s="45" t="s">
        <v>3398</v>
      </c>
      <c r="D303" s="46" t="s">
        <v>3343</v>
      </c>
      <c r="E303" s="25" t="s">
        <v>2</v>
      </c>
      <c r="F303" s="48" t="s">
        <v>314</v>
      </c>
      <c r="G303" s="62" t="s">
        <v>3376</v>
      </c>
      <c r="H303" s="63" t="s">
        <v>3111</v>
      </c>
      <c r="I303" s="46" t="s">
        <v>194</v>
      </c>
      <c r="J303" s="46" t="s">
        <v>1064</v>
      </c>
      <c r="K303" s="46" t="s">
        <v>626</v>
      </c>
      <c r="L303" s="46" t="s">
        <v>626</v>
      </c>
      <c r="M303" s="46" t="s">
        <v>4274</v>
      </c>
      <c r="N303" s="46" t="s">
        <v>4191</v>
      </c>
      <c r="O303" s="46" t="s">
        <v>626</v>
      </c>
      <c r="P303" s="46" t="s">
        <v>626</v>
      </c>
      <c r="Q303" s="46" t="s">
        <v>194</v>
      </c>
      <c r="R303" s="46" t="s">
        <v>194</v>
      </c>
      <c r="S303" s="46" t="s">
        <v>194</v>
      </c>
      <c r="T303" s="46"/>
      <c r="U303" s="46" t="s">
        <v>606</v>
      </c>
      <c r="V303" s="46" t="s">
        <v>1064</v>
      </c>
      <c r="W303" s="46" t="s">
        <v>1064</v>
      </c>
      <c r="X303" s="46"/>
      <c r="Y303" s="46"/>
      <c r="Z303" s="46"/>
      <c r="AA303" s="46"/>
      <c r="AB303" s="46"/>
      <c r="AC303" s="46" t="s">
        <v>1064</v>
      </c>
      <c r="AD303" s="46"/>
      <c r="AE303" s="46"/>
      <c r="AF303" s="46"/>
      <c r="AG303" s="46"/>
      <c r="AH303" s="46"/>
      <c r="AI303" s="46"/>
      <c r="AJ303" s="46"/>
      <c r="AK303" s="46"/>
      <c r="AL303" s="46" t="s">
        <v>1064</v>
      </c>
      <c r="AM303" s="46"/>
      <c r="AN303" s="46"/>
      <c r="AO303" s="46"/>
      <c r="AP303" s="46" t="s">
        <v>1064</v>
      </c>
      <c r="AQ303" s="46"/>
      <c r="AR303" s="46"/>
      <c r="AS303" s="46" t="s">
        <v>584</v>
      </c>
      <c r="AT303" s="46" t="s">
        <v>314</v>
      </c>
      <c r="AU303" s="46" t="s">
        <v>626</v>
      </c>
      <c r="AV303" s="46" t="s">
        <v>2378</v>
      </c>
      <c r="AW303" s="46" t="s">
        <v>3111</v>
      </c>
      <c r="AX303" s="46" t="s">
        <v>34</v>
      </c>
      <c r="AY303" s="46"/>
      <c r="AZ303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</row>
    <row r="304" spans="1:75" ht="150" x14ac:dyDescent="0.25">
      <c r="A304" s="47" t="s">
        <v>3185</v>
      </c>
      <c r="B304" s="45" t="s">
        <v>305</v>
      </c>
      <c r="C304" s="45" t="s">
        <v>3399</v>
      </c>
      <c r="D304" s="46" t="s">
        <v>3343</v>
      </c>
      <c r="E304" s="25" t="s">
        <v>2</v>
      </c>
      <c r="F304" s="48" t="s">
        <v>801</v>
      </c>
      <c r="G304" s="62" t="s">
        <v>4805</v>
      </c>
      <c r="H304" s="63" t="s">
        <v>3114</v>
      </c>
      <c r="I304" s="46" t="s">
        <v>4604</v>
      </c>
      <c r="J304" s="46" t="s">
        <v>1064</v>
      </c>
      <c r="K304" s="46" t="s">
        <v>4191</v>
      </c>
      <c r="L304" s="46" t="s">
        <v>4191</v>
      </c>
      <c r="M304" s="46" t="s">
        <v>4277</v>
      </c>
      <c r="N304" s="46" t="s">
        <v>4191</v>
      </c>
      <c r="O304" s="46" t="s">
        <v>626</v>
      </c>
      <c r="P304" s="46" t="s">
        <v>626</v>
      </c>
      <c r="Q304" s="46" t="s">
        <v>194</v>
      </c>
      <c r="R304" s="46" t="s">
        <v>4439</v>
      </c>
      <c r="S304" s="46" t="s">
        <v>4440</v>
      </c>
      <c r="T304" s="46"/>
      <c r="U304" s="46" t="s">
        <v>606</v>
      </c>
      <c r="V304" s="46" t="s">
        <v>1064</v>
      </c>
      <c r="W304" s="46" t="s">
        <v>1064</v>
      </c>
      <c r="X304" s="46"/>
      <c r="Y304" s="46"/>
      <c r="Z304" s="46"/>
      <c r="AA304" s="46"/>
      <c r="AB304" s="46"/>
      <c r="AC304" s="46" t="s">
        <v>1064</v>
      </c>
      <c r="AD304" s="46"/>
      <c r="AE304" s="46"/>
      <c r="AF304" s="46"/>
      <c r="AG304" s="46"/>
      <c r="AH304" s="46"/>
      <c r="AI304" s="46"/>
      <c r="AJ304" s="46"/>
      <c r="AK304" s="46"/>
      <c r="AL304" s="46" t="s">
        <v>1064</v>
      </c>
      <c r="AM304" s="46"/>
      <c r="AN304" s="46"/>
      <c r="AO304" s="46"/>
      <c r="AP304" s="46" t="s">
        <v>1064</v>
      </c>
      <c r="AQ304" s="46"/>
      <c r="AR304" s="46"/>
      <c r="AS304" s="46" t="s">
        <v>583</v>
      </c>
      <c r="AT304" s="46" t="s">
        <v>2</v>
      </c>
      <c r="AU304" s="46" t="s">
        <v>626</v>
      </c>
      <c r="AV304" s="46" t="s">
        <v>2374</v>
      </c>
      <c r="AW304" s="46" t="s">
        <v>3114</v>
      </c>
      <c r="AX304" s="46" t="s">
        <v>34</v>
      </c>
      <c r="AY304" s="46"/>
      <c r="AZ304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</row>
    <row r="305" spans="1:75" ht="75" x14ac:dyDescent="0.25">
      <c r="A305" s="47" t="s">
        <v>3187</v>
      </c>
      <c r="B305" s="45" t="s">
        <v>305</v>
      </c>
      <c r="C305" s="45" t="s">
        <v>3400</v>
      </c>
      <c r="D305" s="46" t="s">
        <v>3343</v>
      </c>
      <c r="E305" s="25" t="s">
        <v>2</v>
      </c>
      <c r="F305" s="48" t="s">
        <v>317</v>
      </c>
      <c r="G305" s="62" t="s">
        <v>3374</v>
      </c>
      <c r="H305" s="63" t="s">
        <v>3114</v>
      </c>
      <c r="I305" s="46" t="s">
        <v>194</v>
      </c>
      <c r="J305" s="46" t="s">
        <v>1064</v>
      </c>
      <c r="K305" s="46" t="s">
        <v>626</v>
      </c>
      <c r="L305" s="46" t="s">
        <v>626</v>
      </c>
      <c r="M305" s="46" t="s">
        <v>4276</v>
      </c>
      <c r="N305" s="46" t="s">
        <v>4191</v>
      </c>
      <c r="O305" s="46" t="s">
        <v>626</v>
      </c>
      <c r="P305" s="46" t="s">
        <v>626</v>
      </c>
      <c r="Q305" s="46" t="s">
        <v>194</v>
      </c>
      <c r="R305" s="46" t="s">
        <v>194</v>
      </c>
      <c r="S305" s="46" t="s">
        <v>194</v>
      </c>
      <c r="T305" s="46"/>
      <c r="U305" s="46" t="s">
        <v>606</v>
      </c>
      <c r="V305" s="46" t="s">
        <v>1064</v>
      </c>
      <c r="W305" s="46" t="s">
        <v>1064</v>
      </c>
      <c r="X305" s="46"/>
      <c r="Y305" s="46"/>
      <c r="Z305" s="46"/>
      <c r="AA305" s="46"/>
      <c r="AB305" s="46"/>
      <c r="AC305" s="46" t="s">
        <v>1064</v>
      </c>
      <c r="AD305" s="46"/>
      <c r="AE305" s="46"/>
      <c r="AF305" s="46"/>
      <c r="AG305" s="46"/>
      <c r="AH305" s="46"/>
      <c r="AI305" s="46"/>
      <c r="AJ305" s="46"/>
      <c r="AK305" s="46"/>
      <c r="AL305" s="46" t="s">
        <v>1064</v>
      </c>
      <c r="AM305" s="46"/>
      <c r="AN305" s="46"/>
      <c r="AO305" s="46"/>
      <c r="AP305" s="46" t="s">
        <v>1064</v>
      </c>
      <c r="AQ305" s="46"/>
      <c r="AR305" s="46"/>
      <c r="AS305" s="46" t="s">
        <v>586</v>
      </c>
      <c r="AT305" s="46" t="s">
        <v>308</v>
      </c>
      <c r="AU305" s="46" t="s">
        <v>626</v>
      </c>
      <c r="AV305" s="46" t="s">
        <v>2376</v>
      </c>
      <c r="AW305" s="46" t="s">
        <v>3114</v>
      </c>
      <c r="AX305" s="46" t="s">
        <v>34</v>
      </c>
      <c r="AY305" s="46"/>
      <c r="AZ305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</row>
    <row r="306" spans="1:75" ht="75" x14ac:dyDescent="0.25">
      <c r="A306" s="47" t="s">
        <v>3189</v>
      </c>
      <c r="B306" s="45" t="s">
        <v>305</v>
      </c>
      <c r="C306" s="45" t="s">
        <v>3401</v>
      </c>
      <c r="D306" s="46" t="s">
        <v>3343</v>
      </c>
      <c r="E306" s="25" t="s">
        <v>2</v>
      </c>
      <c r="F306" s="48" t="s">
        <v>314</v>
      </c>
      <c r="G306" s="62" t="s">
        <v>3376</v>
      </c>
      <c r="H306" s="63" t="s">
        <v>3114</v>
      </c>
      <c r="I306" s="46" t="s">
        <v>194</v>
      </c>
      <c r="J306" s="46" t="s">
        <v>1064</v>
      </c>
      <c r="K306" s="46" t="s">
        <v>626</v>
      </c>
      <c r="L306" s="46" t="s">
        <v>626</v>
      </c>
      <c r="M306" s="46" t="s">
        <v>4274</v>
      </c>
      <c r="N306" s="46" t="s">
        <v>4191</v>
      </c>
      <c r="O306" s="46" t="s">
        <v>626</v>
      </c>
      <c r="P306" s="46" t="s">
        <v>626</v>
      </c>
      <c r="Q306" s="46" t="s">
        <v>194</v>
      </c>
      <c r="R306" s="46" t="s">
        <v>194</v>
      </c>
      <c r="S306" s="46" t="s">
        <v>194</v>
      </c>
      <c r="T306" s="46"/>
      <c r="U306" s="46" t="s">
        <v>606</v>
      </c>
      <c r="V306" s="46" t="s">
        <v>1064</v>
      </c>
      <c r="W306" s="46" t="s">
        <v>1064</v>
      </c>
      <c r="X306" s="46"/>
      <c r="Y306" s="46"/>
      <c r="Z306" s="46"/>
      <c r="AA306" s="46"/>
      <c r="AB306" s="46"/>
      <c r="AC306" s="46" t="s">
        <v>1064</v>
      </c>
      <c r="AD306" s="46"/>
      <c r="AE306" s="46"/>
      <c r="AF306" s="46"/>
      <c r="AG306" s="46"/>
      <c r="AH306" s="46"/>
      <c r="AI306" s="46"/>
      <c r="AJ306" s="46"/>
      <c r="AK306" s="46"/>
      <c r="AL306" s="46" t="s">
        <v>1064</v>
      </c>
      <c r="AM306" s="46"/>
      <c r="AN306" s="46"/>
      <c r="AO306" s="46"/>
      <c r="AP306" s="46" t="s">
        <v>1064</v>
      </c>
      <c r="AQ306" s="46"/>
      <c r="AR306" s="46"/>
      <c r="AS306" s="46" t="s">
        <v>584</v>
      </c>
      <c r="AT306" s="46" t="s">
        <v>314</v>
      </c>
      <c r="AU306" s="46" t="s">
        <v>626</v>
      </c>
      <c r="AV306" s="46" t="s">
        <v>2378</v>
      </c>
      <c r="AW306" s="46" t="s">
        <v>3114</v>
      </c>
      <c r="AX306" s="46" t="s">
        <v>34</v>
      </c>
      <c r="AY306" s="46"/>
      <c r="AZ30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</row>
    <row r="307" spans="1:75" ht="75" x14ac:dyDescent="0.25">
      <c r="A307" s="47" t="s">
        <v>2380</v>
      </c>
      <c r="B307" s="45" t="s">
        <v>305</v>
      </c>
      <c r="C307" s="45" t="s">
        <v>2664</v>
      </c>
      <c r="D307" s="46" t="s">
        <v>3339</v>
      </c>
      <c r="E307" s="25" t="s">
        <v>2</v>
      </c>
      <c r="F307" s="48" t="s">
        <v>32</v>
      </c>
      <c r="G307" s="62" t="s">
        <v>2729</v>
      </c>
      <c r="H307" s="63" t="s">
        <v>2236</v>
      </c>
      <c r="I307" s="46" t="s">
        <v>194</v>
      </c>
      <c r="J307" s="46" t="s">
        <v>1064</v>
      </c>
      <c r="K307" s="46" t="s">
        <v>626</v>
      </c>
      <c r="L307" s="46" t="s">
        <v>626</v>
      </c>
      <c r="M307" s="46" t="s">
        <v>194</v>
      </c>
      <c r="N307" s="46" t="s">
        <v>626</v>
      </c>
      <c r="O307" s="46" t="s">
        <v>626</v>
      </c>
      <c r="P307" s="46" t="s">
        <v>626</v>
      </c>
      <c r="Q307" s="46" t="s">
        <v>194</v>
      </c>
      <c r="R307" s="46" t="s">
        <v>194</v>
      </c>
      <c r="S307" s="46" t="s">
        <v>194</v>
      </c>
      <c r="T307" s="46"/>
      <c r="U307" s="46" t="s">
        <v>1082</v>
      </c>
      <c r="V307" s="46" t="s">
        <v>1064</v>
      </c>
      <c r="W307" s="46" t="s">
        <v>1064</v>
      </c>
      <c r="X307" s="46"/>
      <c r="Y307" s="46"/>
      <c r="Z307" s="46"/>
      <c r="AA307" s="46"/>
      <c r="AB307" s="46"/>
      <c r="AC307" s="46" t="s">
        <v>1064</v>
      </c>
      <c r="AD307" s="46"/>
      <c r="AE307" s="46"/>
      <c r="AF307" s="46"/>
      <c r="AG307" s="46"/>
      <c r="AH307" s="46"/>
      <c r="AI307" s="46"/>
      <c r="AJ307" s="46"/>
      <c r="AK307" s="46"/>
      <c r="AL307" s="46" t="s">
        <v>4441</v>
      </c>
      <c r="AM307" s="46"/>
      <c r="AN307" s="46"/>
      <c r="AO307" s="46"/>
      <c r="AP307" s="46" t="s">
        <v>1064</v>
      </c>
      <c r="AQ307" s="46"/>
      <c r="AR307" s="46"/>
      <c r="AS307" s="46" t="s">
        <v>4483</v>
      </c>
      <c r="AT307" s="46" t="s">
        <v>2</v>
      </c>
      <c r="AU307" s="46" t="s">
        <v>4191</v>
      </c>
      <c r="AV307" s="46" t="s">
        <v>2380</v>
      </c>
      <c r="AW307" s="46" t="s">
        <v>2236</v>
      </c>
      <c r="AX307" s="46" t="s">
        <v>34</v>
      </c>
      <c r="AY307" s="46"/>
      <c r="AZ307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</row>
    <row r="308" spans="1:75" ht="75" x14ac:dyDescent="0.25">
      <c r="A308" s="47" t="s">
        <v>2382</v>
      </c>
      <c r="B308" s="45" t="s">
        <v>305</v>
      </c>
      <c r="C308" s="45" t="s">
        <v>2666</v>
      </c>
      <c r="D308" s="46" t="s">
        <v>3340</v>
      </c>
      <c r="E308" s="25" t="s">
        <v>2</v>
      </c>
      <c r="F308" s="48" t="s">
        <v>32</v>
      </c>
      <c r="G308" s="62" t="s">
        <v>2730</v>
      </c>
      <c r="H308" s="63" t="s">
        <v>2236</v>
      </c>
      <c r="I308" s="46" t="s">
        <v>194</v>
      </c>
      <c r="J308" s="46" t="s">
        <v>1064</v>
      </c>
      <c r="K308" s="46" t="s">
        <v>626</v>
      </c>
      <c r="L308" s="46" t="s">
        <v>626</v>
      </c>
      <c r="M308" s="46" t="s">
        <v>194</v>
      </c>
      <c r="N308" s="46" t="s">
        <v>626</v>
      </c>
      <c r="O308" s="46" t="s">
        <v>626</v>
      </c>
      <c r="P308" s="46" t="s">
        <v>626</v>
      </c>
      <c r="Q308" s="46" t="s">
        <v>194</v>
      </c>
      <c r="R308" s="46" t="s">
        <v>194</v>
      </c>
      <c r="S308" s="46" t="s">
        <v>194</v>
      </c>
      <c r="T308" s="46"/>
      <c r="U308" s="46" t="s">
        <v>1082</v>
      </c>
      <c r="V308" s="46" t="s">
        <v>1064</v>
      </c>
      <c r="W308" s="46" t="s">
        <v>1064</v>
      </c>
      <c r="X308" s="46"/>
      <c r="Y308" s="46"/>
      <c r="Z308" s="46"/>
      <c r="AA308" s="46"/>
      <c r="AB308" s="46"/>
      <c r="AC308" s="46" t="s">
        <v>1064</v>
      </c>
      <c r="AD308" s="46"/>
      <c r="AE308" s="46"/>
      <c r="AF308" s="46"/>
      <c r="AG308" s="46"/>
      <c r="AH308" s="46"/>
      <c r="AI308" s="46"/>
      <c r="AJ308" s="46"/>
      <c r="AK308" s="46"/>
      <c r="AL308" s="46" t="s">
        <v>4441</v>
      </c>
      <c r="AM308" s="46"/>
      <c r="AN308" s="46"/>
      <c r="AO308" s="46"/>
      <c r="AP308" s="46" t="s">
        <v>1064</v>
      </c>
      <c r="AQ308" s="46"/>
      <c r="AR308" s="46"/>
      <c r="AS308" s="46" t="s">
        <v>4483</v>
      </c>
      <c r="AT308" s="46" t="s">
        <v>308</v>
      </c>
      <c r="AU308" s="46" t="s">
        <v>4191</v>
      </c>
      <c r="AV308" s="46" t="s">
        <v>2382</v>
      </c>
      <c r="AW308" s="46" t="s">
        <v>2236</v>
      </c>
      <c r="AX308" s="46" t="s">
        <v>34</v>
      </c>
      <c r="AY308" s="46"/>
      <c r="AZ308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</row>
    <row r="309" spans="1:75" ht="75" x14ac:dyDescent="0.25">
      <c r="A309" s="47" t="s">
        <v>2384</v>
      </c>
      <c r="B309" s="45" t="s">
        <v>305</v>
      </c>
      <c r="C309" s="45" t="s">
        <v>2668</v>
      </c>
      <c r="D309" s="46" t="s">
        <v>3341</v>
      </c>
      <c r="E309" s="25" t="s">
        <v>2</v>
      </c>
      <c r="F309" s="48" t="s">
        <v>32</v>
      </c>
      <c r="G309" s="62" t="s">
        <v>2731</v>
      </c>
      <c r="H309" s="63" t="s">
        <v>2236</v>
      </c>
      <c r="I309" s="46" t="s">
        <v>194</v>
      </c>
      <c r="J309" s="46" t="s">
        <v>1064</v>
      </c>
      <c r="K309" s="46" t="s">
        <v>626</v>
      </c>
      <c r="L309" s="46" t="s">
        <v>626</v>
      </c>
      <c r="M309" s="46" t="s">
        <v>194</v>
      </c>
      <c r="N309" s="46" t="s">
        <v>626</v>
      </c>
      <c r="O309" s="46" t="s">
        <v>626</v>
      </c>
      <c r="P309" s="46" t="s">
        <v>626</v>
      </c>
      <c r="Q309" s="46" t="s">
        <v>194</v>
      </c>
      <c r="R309" s="46" t="s">
        <v>194</v>
      </c>
      <c r="S309" s="46" t="s">
        <v>194</v>
      </c>
      <c r="T309" s="46"/>
      <c r="U309" s="46" t="s">
        <v>1082</v>
      </c>
      <c r="V309" s="46" t="s">
        <v>1064</v>
      </c>
      <c r="W309" s="46" t="s">
        <v>1064</v>
      </c>
      <c r="X309" s="46"/>
      <c r="Y309" s="46"/>
      <c r="Z309" s="46"/>
      <c r="AA309" s="46"/>
      <c r="AB309" s="46"/>
      <c r="AC309" s="46" t="s">
        <v>1064</v>
      </c>
      <c r="AD309" s="46"/>
      <c r="AE309" s="46"/>
      <c r="AF309" s="46"/>
      <c r="AG309" s="46"/>
      <c r="AH309" s="46"/>
      <c r="AI309" s="46"/>
      <c r="AJ309" s="46"/>
      <c r="AK309" s="46"/>
      <c r="AL309" s="46" t="s">
        <v>4441</v>
      </c>
      <c r="AM309" s="46"/>
      <c r="AN309" s="46"/>
      <c r="AO309" s="46"/>
      <c r="AP309" s="46" t="s">
        <v>1064</v>
      </c>
      <c r="AQ309" s="46"/>
      <c r="AR309" s="46"/>
      <c r="AS309" s="46" t="s">
        <v>4483</v>
      </c>
      <c r="AT309" s="46" t="s">
        <v>314</v>
      </c>
      <c r="AU309" s="46" t="s">
        <v>4191</v>
      </c>
      <c r="AV309" s="46" t="s">
        <v>2384</v>
      </c>
      <c r="AW309" s="46" t="s">
        <v>2236</v>
      </c>
      <c r="AX309" s="46" t="s">
        <v>34</v>
      </c>
      <c r="AY309" s="46"/>
      <c r="AZ309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</row>
    <row r="310" spans="1:75" ht="75" x14ac:dyDescent="0.25">
      <c r="A310" s="47" t="s">
        <v>2386</v>
      </c>
      <c r="B310" s="45" t="s">
        <v>305</v>
      </c>
      <c r="C310" s="45" t="s">
        <v>2664</v>
      </c>
      <c r="D310" s="46" t="s">
        <v>3339</v>
      </c>
      <c r="E310" s="25" t="s">
        <v>2</v>
      </c>
      <c r="F310" s="48" t="s">
        <v>32</v>
      </c>
      <c r="G310" s="62" t="s">
        <v>2732</v>
      </c>
      <c r="H310" s="63" t="s">
        <v>2238</v>
      </c>
      <c r="I310" s="46" t="s">
        <v>194</v>
      </c>
      <c r="J310" s="46" t="s">
        <v>1064</v>
      </c>
      <c r="K310" s="46" t="s">
        <v>626</v>
      </c>
      <c r="L310" s="46" t="s">
        <v>626</v>
      </c>
      <c r="M310" s="46" t="s">
        <v>194</v>
      </c>
      <c r="N310" s="46" t="s">
        <v>626</v>
      </c>
      <c r="O310" s="46" t="s">
        <v>626</v>
      </c>
      <c r="P310" s="46" t="s">
        <v>626</v>
      </c>
      <c r="Q310" s="46" t="s">
        <v>194</v>
      </c>
      <c r="R310" s="46" t="s">
        <v>194</v>
      </c>
      <c r="S310" s="46" t="s">
        <v>194</v>
      </c>
      <c r="T310" s="46"/>
      <c r="U310" s="46" t="s">
        <v>1918</v>
      </c>
      <c r="V310" s="46" t="s">
        <v>1064</v>
      </c>
      <c r="W310" s="46" t="s">
        <v>1064</v>
      </c>
      <c r="X310" s="46"/>
      <c r="Y310" s="46"/>
      <c r="Z310" s="46"/>
      <c r="AA310" s="46"/>
      <c r="AB310" s="46"/>
      <c r="AC310" s="46" t="s">
        <v>1064</v>
      </c>
      <c r="AD310" s="46"/>
      <c r="AE310" s="46"/>
      <c r="AF310" s="46"/>
      <c r="AG310" s="46"/>
      <c r="AH310" s="46"/>
      <c r="AI310" s="46"/>
      <c r="AJ310" s="46"/>
      <c r="AK310" s="46"/>
      <c r="AL310" s="46" t="s">
        <v>4442</v>
      </c>
      <c r="AM310" s="46"/>
      <c r="AN310" s="46"/>
      <c r="AO310" s="46"/>
      <c r="AP310" s="46" t="s">
        <v>1064</v>
      </c>
      <c r="AQ310" s="46"/>
      <c r="AR310" s="46"/>
      <c r="AS310" s="46" t="s">
        <v>4483</v>
      </c>
      <c r="AT310" s="46" t="s">
        <v>2</v>
      </c>
      <c r="AU310" s="46" t="s">
        <v>4191</v>
      </c>
      <c r="AV310" s="46" t="s">
        <v>2386</v>
      </c>
      <c r="AW310" s="46" t="s">
        <v>2238</v>
      </c>
      <c r="AX310" s="46" t="s">
        <v>34</v>
      </c>
      <c r="AY310" s="46"/>
      <c r="AZ310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</row>
    <row r="311" spans="1:75" ht="75" x14ac:dyDescent="0.25">
      <c r="A311" s="47" t="s">
        <v>2388</v>
      </c>
      <c r="B311" s="45" t="s">
        <v>305</v>
      </c>
      <c r="C311" s="45" t="s">
        <v>2666</v>
      </c>
      <c r="D311" s="46" t="s">
        <v>3340</v>
      </c>
      <c r="E311" s="25" t="s">
        <v>2</v>
      </c>
      <c r="F311" s="48" t="s">
        <v>32</v>
      </c>
      <c r="G311" s="62" t="s">
        <v>2733</v>
      </c>
      <c r="H311" s="63" t="s">
        <v>2238</v>
      </c>
      <c r="I311" s="46" t="s">
        <v>194</v>
      </c>
      <c r="J311" s="46" t="s">
        <v>1064</v>
      </c>
      <c r="K311" s="46" t="s">
        <v>626</v>
      </c>
      <c r="L311" s="46" t="s">
        <v>626</v>
      </c>
      <c r="M311" s="46" t="s">
        <v>194</v>
      </c>
      <c r="N311" s="46" t="s">
        <v>626</v>
      </c>
      <c r="O311" s="46" t="s">
        <v>626</v>
      </c>
      <c r="P311" s="46" t="s">
        <v>626</v>
      </c>
      <c r="Q311" s="46" t="s">
        <v>194</v>
      </c>
      <c r="R311" s="46" t="s">
        <v>194</v>
      </c>
      <c r="S311" s="46" t="s">
        <v>194</v>
      </c>
      <c r="T311" s="46"/>
      <c r="U311" s="46" t="s">
        <v>1918</v>
      </c>
      <c r="V311" s="46" t="s">
        <v>1064</v>
      </c>
      <c r="W311" s="46" t="s">
        <v>1064</v>
      </c>
      <c r="X311" s="46"/>
      <c r="Y311" s="46"/>
      <c r="Z311" s="46"/>
      <c r="AA311" s="46"/>
      <c r="AB311" s="46"/>
      <c r="AC311" s="46" t="s">
        <v>1064</v>
      </c>
      <c r="AD311" s="46"/>
      <c r="AE311" s="46"/>
      <c r="AF311" s="46"/>
      <c r="AG311" s="46"/>
      <c r="AH311" s="46"/>
      <c r="AI311" s="46"/>
      <c r="AJ311" s="46"/>
      <c r="AK311" s="46"/>
      <c r="AL311" s="46" t="s">
        <v>4442</v>
      </c>
      <c r="AM311" s="46"/>
      <c r="AN311" s="46"/>
      <c r="AO311" s="46"/>
      <c r="AP311" s="46" t="s">
        <v>1064</v>
      </c>
      <c r="AQ311" s="46"/>
      <c r="AR311" s="46"/>
      <c r="AS311" s="46" t="s">
        <v>4483</v>
      </c>
      <c r="AT311" s="46" t="s">
        <v>308</v>
      </c>
      <c r="AU311" s="46" t="s">
        <v>4191</v>
      </c>
      <c r="AV311" s="46" t="s">
        <v>2388</v>
      </c>
      <c r="AW311" s="46" t="s">
        <v>2238</v>
      </c>
      <c r="AX311" s="46" t="s">
        <v>34</v>
      </c>
      <c r="AY311" s="46"/>
      <c r="AZ311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</row>
    <row r="312" spans="1:75" ht="75" x14ac:dyDescent="0.25">
      <c r="A312" s="47" t="s">
        <v>2390</v>
      </c>
      <c r="B312" s="45" t="s">
        <v>305</v>
      </c>
      <c r="C312" s="45" t="s">
        <v>2668</v>
      </c>
      <c r="D312" s="46" t="s">
        <v>3341</v>
      </c>
      <c r="E312" s="25" t="s">
        <v>2</v>
      </c>
      <c r="F312" s="48" t="s">
        <v>32</v>
      </c>
      <c r="G312" s="62" t="s">
        <v>2734</v>
      </c>
      <c r="H312" s="63" t="s">
        <v>2238</v>
      </c>
      <c r="I312" s="46" t="s">
        <v>194</v>
      </c>
      <c r="J312" s="46" t="s">
        <v>1064</v>
      </c>
      <c r="K312" s="46" t="s">
        <v>626</v>
      </c>
      <c r="L312" s="46" t="s">
        <v>626</v>
      </c>
      <c r="M312" s="46" t="s">
        <v>194</v>
      </c>
      <c r="N312" s="46" t="s">
        <v>626</v>
      </c>
      <c r="O312" s="46" t="s">
        <v>626</v>
      </c>
      <c r="P312" s="46" t="s">
        <v>626</v>
      </c>
      <c r="Q312" s="46" t="s">
        <v>194</v>
      </c>
      <c r="R312" s="46" t="s">
        <v>194</v>
      </c>
      <c r="S312" s="46" t="s">
        <v>194</v>
      </c>
      <c r="T312" s="46"/>
      <c r="U312" s="46" t="s">
        <v>1918</v>
      </c>
      <c r="V312" s="46" t="s">
        <v>1064</v>
      </c>
      <c r="W312" s="46" t="s">
        <v>1064</v>
      </c>
      <c r="X312" s="46"/>
      <c r="Y312" s="46"/>
      <c r="Z312" s="46"/>
      <c r="AA312" s="46"/>
      <c r="AB312" s="46"/>
      <c r="AC312" s="46" t="s">
        <v>1064</v>
      </c>
      <c r="AD312" s="46"/>
      <c r="AE312" s="46"/>
      <c r="AF312" s="46"/>
      <c r="AG312" s="46"/>
      <c r="AH312" s="46"/>
      <c r="AI312" s="46"/>
      <c r="AJ312" s="46"/>
      <c r="AK312" s="46"/>
      <c r="AL312" s="46" t="s">
        <v>4442</v>
      </c>
      <c r="AM312" s="46"/>
      <c r="AN312" s="46"/>
      <c r="AO312" s="46"/>
      <c r="AP312" s="46" t="s">
        <v>1064</v>
      </c>
      <c r="AQ312" s="46"/>
      <c r="AR312" s="46"/>
      <c r="AS312" s="46" t="s">
        <v>4483</v>
      </c>
      <c r="AT312" s="46" t="s">
        <v>314</v>
      </c>
      <c r="AU312" s="46" t="s">
        <v>4191</v>
      </c>
      <c r="AV312" s="46" t="s">
        <v>2390</v>
      </c>
      <c r="AW312" s="46" t="s">
        <v>2238</v>
      </c>
      <c r="AX312" s="46" t="s">
        <v>34</v>
      </c>
      <c r="AY312" s="46"/>
      <c r="AZ312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</row>
    <row r="313" spans="1:75" ht="165" x14ac:dyDescent="0.25">
      <c r="A313" s="47" t="s">
        <v>2325</v>
      </c>
      <c r="B313" s="45" t="s">
        <v>305</v>
      </c>
      <c r="C313" s="45" t="s">
        <v>2735</v>
      </c>
      <c r="D313" s="46" t="s">
        <v>2736</v>
      </c>
      <c r="E313" s="25" t="s">
        <v>2</v>
      </c>
      <c r="F313" s="48" t="s">
        <v>836</v>
      </c>
      <c r="G313" s="62" t="s">
        <v>4806</v>
      </c>
      <c r="H313" s="63" t="s">
        <v>2216</v>
      </c>
      <c r="I313" s="46" t="s">
        <v>4253</v>
      </c>
      <c r="J313" s="46" t="s">
        <v>1064</v>
      </c>
      <c r="K313" s="46" t="s">
        <v>626</v>
      </c>
      <c r="L313" s="46" t="s">
        <v>4191</v>
      </c>
      <c r="M313" s="46" t="s">
        <v>4443</v>
      </c>
      <c r="N313" s="46" t="s">
        <v>4191</v>
      </c>
      <c r="O313" s="46" t="s">
        <v>626</v>
      </c>
      <c r="P313" s="46" t="s">
        <v>626</v>
      </c>
      <c r="Q313" s="46" t="s">
        <v>194</v>
      </c>
      <c r="R313" s="46" t="s">
        <v>4444</v>
      </c>
      <c r="S313" s="46" t="s">
        <v>4445</v>
      </c>
      <c r="T313" s="46" t="s">
        <v>4191</v>
      </c>
      <c r="U313" s="46" t="s">
        <v>1918</v>
      </c>
      <c r="V313" s="46" t="s">
        <v>1064</v>
      </c>
      <c r="W313" s="46" t="s">
        <v>1064</v>
      </c>
      <c r="X313" s="46"/>
      <c r="Y313" s="46"/>
      <c r="Z313" s="46"/>
      <c r="AA313" s="46"/>
      <c r="AB313" s="46"/>
      <c r="AC313" s="46" t="s">
        <v>1064</v>
      </c>
      <c r="AD313" s="46"/>
      <c r="AE313" s="46"/>
      <c r="AF313" s="46"/>
      <c r="AG313" s="46"/>
      <c r="AH313" s="46"/>
      <c r="AI313" s="46"/>
      <c r="AJ313" s="46"/>
      <c r="AK313" s="46"/>
      <c r="AL313" s="46" t="s">
        <v>1064</v>
      </c>
      <c r="AM313" s="46"/>
      <c r="AN313" s="46"/>
      <c r="AO313" s="46"/>
      <c r="AP313" s="46" t="s">
        <v>1064</v>
      </c>
      <c r="AQ313" s="46"/>
      <c r="AR313" s="46"/>
      <c r="AS313" s="46" t="s">
        <v>583</v>
      </c>
      <c r="AT313" s="46" t="s">
        <v>2</v>
      </c>
      <c r="AU313" s="46" t="s">
        <v>626</v>
      </c>
      <c r="AV313" s="46" t="s">
        <v>2386</v>
      </c>
      <c r="AW313" s="46" t="s">
        <v>2216</v>
      </c>
      <c r="AX313" s="46" t="s">
        <v>34</v>
      </c>
      <c r="AY313" s="46"/>
      <c r="AZ313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</row>
    <row r="314" spans="1:75" ht="75" x14ac:dyDescent="0.25">
      <c r="A314" s="47" t="s">
        <v>2327</v>
      </c>
      <c r="B314" s="45" t="s">
        <v>305</v>
      </c>
      <c r="C314" s="45" t="s">
        <v>2737</v>
      </c>
      <c r="D314" s="46" t="s">
        <v>2736</v>
      </c>
      <c r="E314" s="25" t="s">
        <v>2</v>
      </c>
      <c r="F314" s="48" t="s">
        <v>549</v>
      </c>
      <c r="G314" s="62" t="s">
        <v>2738</v>
      </c>
      <c r="H314" s="63" t="s">
        <v>2216</v>
      </c>
      <c r="I314" s="46" t="s">
        <v>194</v>
      </c>
      <c r="J314" s="46" t="s">
        <v>1064</v>
      </c>
      <c r="K314" s="46" t="s">
        <v>626</v>
      </c>
      <c r="L314" s="46" t="s">
        <v>626</v>
      </c>
      <c r="M314" s="46" t="s">
        <v>4292</v>
      </c>
      <c r="N314" s="46" t="s">
        <v>4191</v>
      </c>
      <c r="O314" s="46" t="s">
        <v>626</v>
      </c>
      <c r="P314" s="46" t="s">
        <v>626</v>
      </c>
      <c r="Q314" s="46" t="s">
        <v>194</v>
      </c>
      <c r="R314" s="46" t="s">
        <v>194</v>
      </c>
      <c r="S314" s="46" t="s">
        <v>194</v>
      </c>
      <c r="T314" s="46" t="s">
        <v>626</v>
      </c>
      <c r="U314" s="46" t="s">
        <v>1918</v>
      </c>
      <c r="V314" s="46" t="s">
        <v>1064</v>
      </c>
      <c r="W314" s="46" t="s">
        <v>1064</v>
      </c>
      <c r="X314" s="46"/>
      <c r="Y314" s="46"/>
      <c r="Z314" s="46"/>
      <c r="AA314" s="46"/>
      <c r="AB314" s="46"/>
      <c r="AC314" s="46" t="s">
        <v>1064</v>
      </c>
      <c r="AD314" s="46"/>
      <c r="AE314" s="46"/>
      <c r="AF314" s="46"/>
      <c r="AG314" s="46"/>
      <c r="AH314" s="46"/>
      <c r="AI314" s="46"/>
      <c r="AJ314" s="46"/>
      <c r="AK314" s="46"/>
      <c r="AL314" s="46" t="s">
        <v>1064</v>
      </c>
      <c r="AM314" s="46"/>
      <c r="AN314" s="46"/>
      <c r="AO314" s="46"/>
      <c r="AP314" s="46" t="s">
        <v>1064</v>
      </c>
      <c r="AQ314" s="46"/>
      <c r="AR314" s="46"/>
      <c r="AS314" s="46" t="s">
        <v>4483</v>
      </c>
      <c r="AT314" s="46" t="s">
        <v>308</v>
      </c>
      <c r="AU314" s="46" t="s">
        <v>626</v>
      </c>
      <c r="AV314" s="46" t="s">
        <v>2388</v>
      </c>
      <c r="AW314" s="46" t="s">
        <v>2216</v>
      </c>
      <c r="AX314" s="46" t="s">
        <v>34</v>
      </c>
      <c r="AY314" s="46"/>
      <c r="AZ314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</row>
    <row r="315" spans="1:75" ht="75" x14ac:dyDescent="0.25">
      <c r="A315" s="47" t="s">
        <v>2329</v>
      </c>
      <c r="B315" s="45" t="s">
        <v>305</v>
      </c>
      <c r="C315" s="45" t="s">
        <v>2739</v>
      </c>
      <c r="D315" s="46" t="s">
        <v>2736</v>
      </c>
      <c r="E315" s="25" t="s">
        <v>2</v>
      </c>
      <c r="F315" s="48" t="s">
        <v>308</v>
      </c>
      <c r="G315" s="62" t="s">
        <v>2740</v>
      </c>
      <c r="H315" s="63" t="s">
        <v>2216</v>
      </c>
      <c r="I315" s="46" t="s">
        <v>194</v>
      </c>
      <c r="J315" s="46" t="s">
        <v>1064</v>
      </c>
      <c r="K315" s="46" t="s">
        <v>626</v>
      </c>
      <c r="L315" s="46" t="s">
        <v>626</v>
      </c>
      <c r="M315" s="46" t="s">
        <v>4292</v>
      </c>
      <c r="N315" s="46" t="s">
        <v>4191</v>
      </c>
      <c r="O315" s="46" t="s">
        <v>626</v>
      </c>
      <c r="P315" s="46" t="s">
        <v>626</v>
      </c>
      <c r="Q315" s="46" t="s">
        <v>194</v>
      </c>
      <c r="R315" s="46" t="s">
        <v>194</v>
      </c>
      <c r="S315" s="46" t="s">
        <v>194</v>
      </c>
      <c r="T315" s="46" t="s">
        <v>626</v>
      </c>
      <c r="U315" s="46" t="s">
        <v>1918</v>
      </c>
      <c r="V315" s="46" t="s">
        <v>1064</v>
      </c>
      <c r="W315" s="46" t="s">
        <v>1064</v>
      </c>
      <c r="X315" s="46"/>
      <c r="Y315" s="46"/>
      <c r="Z315" s="46"/>
      <c r="AA315" s="46"/>
      <c r="AB315" s="46"/>
      <c r="AC315" s="46" t="s">
        <v>1064</v>
      </c>
      <c r="AD315" s="46"/>
      <c r="AE315" s="46"/>
      <c r="AF315" s="46"/>
      <c r="AG315" s="46"/>
      <c r="AH315" s="46"/>
      <c r="AI315" s="46"/>
      <c r="AJ315" s="46"/>
      <c r="AK315" s="46"/>
      <c r="AL315" s="46" t="s">
        <v>1064</v>
      </c>
      <c r="AM315" s="46"/>
      <c r="AN315" s="46"/>
      <c r="AO315" s="46"/>
      <c r="AP315" s="46" t="s">
        <v>1064</v>
      </c>
      <c r="AQ315" s="46"/>
      <c r="AR315" s="46"/>
      <c r="AS315" s="46" t="s">
        <v>4483</v>
      </c>
      <c r="AT315" s="46" t="s">
        <v>314</v>
      </c>
      <c r="AU315" s="46" t="s">
        <v>626</v>
      </c>
      <c r="AV315" s="46" t="s">
        <v>2390</v>
      </c>
      <c r="AW315" s="46" t="s">
        <v>2216</v>
      </c>
      <c r="AX315" s="46" t="s">
        <v>34</v>
      </c>
      <c r="AY315" s="46"/>
      <c r="AZ315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</row>
    <row r="316" spans="1:75" ht="150" x14ac:dyDescent="0.25">
      <c r="A316" s="47" t="s">
        <v>2331</v>
      </c>
      <c r="B316" s="45" t="s">
        <v>305</v>
      </c>
      <c r="C316" s="45" t="s">
        <v>2741</v>
      </c>
      <c r="D316" s="46" t="s">
        <v>2736</v>
      </c>
      <c r="E316" s="25" t="s">
        <v>2</v>
      </c>
      <c r="F316" s="48" t="s">
        <v>836</v>
      </c>
      <c r="G316" s="62" t="s">
        <v>4807</v>
      </c>
      <c r="H316" s="63" t="s">
        <v>2218</v>
      </c>
      <c r="I316" s="46" t="s">
        <v>4253</v>
      </c>
      <c r="J316" s="46" t="s">
        <v>1064</v>
      </c>
      <c r="K316" s="46" t="s">
        <v>626</v>
      </c>
      <c r="L316" s="46" t="s">
        <v>4191</v>
      </c>
      <c r="M316" s="46" t="s">
        <v>4443</v>
      </c>
      <c r="N316" s="46" t="s">
        <v>4191</v>
      </c>
      <c r="O316" s="46" t="s">
        <v>626</v>
      </c>
      <c r="P316" s="46" t="s">
        <v>626</v>
      </c>
      <c r="Q316" s="46" t="s">
        <v>194</v>
      </c>
      <c r="R316" s="46" t="s">
        <v>4446</v>
      </c>
      <c r="S316" s="46" t="s">
        <v>4447</v>
      </c>
      <c r="T316" s="46" t="s">
        <v>4191</v>
      </c>
      <c r="U316" s="46" t="s">
        <v>1918</v>
      </c>
      <c r="V316" s="46" t="s">
        <v>1064</v>
      </c>
      <c r="W316" s="46" t="s">
        <v>1064</v>
      </c>
      <c r="X316" s="46"/>
      <c r="Y316" s="46"/>
      <c r="Z316" s="46"/>
      <c r="AA316" s="46"/>
      <c r="AB316" s="46"/>
      <c r="AC316" s="46" t="s">
        <v>1064</v>
      </c>
      <c r="AD316" s="46"/>
      <c r="AE316" s="46"/>
      <c r="AF316" s="46"/>
      <c r="AG316" s="46"/>
      <c r="AH316" s="46"/>
      <c r="AI316" s="46"/>
      <c r="AJ316" s="46"/>
      <c r="AK316" s="46"/>
      <c r="AL316" s="46" t="s">
        <v>1064</v>
      </c>
      <c r="AM316" s="46"/>
      <c r="AN316" s="46"/>
      <c r="AO316" s="46"/>
      <c r="AP316" s="46" t="s">
        <v>1064</v>
      </c>
      <c r="AQ316" s="46"/>
      <c r="AR316" s="46"/>
      <c r="AS316" s="46" t="s">
        <v>583</v>
      </c>
      <c r="AT316" s="46" t="s">
        <v>2</v>
      </c>
      <c r="AU316" s="46" t="s">
        <v>626</v>
      </c>
      <c r="AV316" s="46" t="s">
        <v>2386</v>
      </c>
      <c r="AW316" s="46" t="s">
        <v>2218</v>
      </c>
      <c r="AX316" s="46" t="s">
        <v>34</v>
      </c>
      <c r="AY316" s="46"/>
      <c r="AZ31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</row>
    <row r="317" spans="1:75" ht="75" x14ac:dyDescent="0.25">
      <c r="A317" s="47" t="s">
        <v>2333</v>
      </c>
      <c r="B317" s="45" t="s">
        <v>305</v>
      </c>
      <c r="C317" s="45" t="s">
        <v>2742</v>
      </c>
      <c r="D317" s="46" t="s">
        <v>2736</v>
      </c>
      <c r="E317" s="25" t="s">
        <v>2</v>
      </c>
      <c r="F317" s="48" t="s">
        <v>549</v>
      </c>
      <c r="G317" s="62" t="s">
        <v>2738</v>
      </c>
      <c r="H317" s="63" t="s">
        <v>2218</v>
      </c>
      <c r="I317" s="46" t="s">
        <v>194</v>
      </c>
      <c r="J317" s="46" t="s">
        <v>1064</v>
      </c>
      <c r="K317" s="46" t="s">
        <v>626</v>
      </c>
      <c r="L317" s="46" t="s">
        <v>626</v>
      </c>
      <c r="M317" s="46" t="s">
        <v>4292</v>
      </c>
      <c r="N317" s="46" t="s">
        <v>4191</v>
      </c>
      <c r="O317" s="46" t="s">
        <v>626</v>
      </c>
      <c r="P317" s="46" t="s">
        <v>626</v>
      </c>
      <c r="Q317" s="46" t="s">
        <v>194</v>
      </c>
      <c r="R317" s="46" t="s">
        <v>194</v>
      </c>
      <c r="S317" s="46" t="s">
        <v>194</v>
      </c>
      <c r="T317" s="46" t="s">
        <v>626</v>
      </c>
      <c r="U317" s="46" t="s">
        <v>1918</v>
      </c>
      <c r="V317" s="46" t="s">
        <v>1064</v>
      </c>
      <c r="W317" s="46" t="s">
        <v>1064</v>
      </c>
      <c r="X317" s="46"/>
      <c r="Y317" s="46"/>
      <c r="Z317" s="46"/>
      <c r="AA317" s="46"/>
      <c r="AB317" s="46"/>
      <c r="AC317" s="46" t="s">
        <v>1064</v>
      </c>
      <c r="AD317" s="46"/>
      <c r="AE317" s="46"/>
      <c r="AF317" s="46"/>
      <c r="AG317" s="46"/>
      <c r="AH317" s="46"/>
      <c r="AI317" s="46"/>
      <c r="AJ317" s="46"/>
      <c r="AK317" s="46"/>
      <c r="AL317" s="46" t="s">
        <v>1064</v>
      </c>
      <c r="AM317" s="46"/>
      <c r="AN317" s="46"/>
      <c r="AO317" s="46"/>
      <c r="AP317" s="46" t="s">
        <v>1064</v>
      </c>
      <c r="AQ317" s="46"/>
      <c r="AR317" s="46"/>
      <c r="AS317" s="46" t="s">
        <v>4483</v>
      </c>
      <c r="AT317" s="46" t="s">
        <v>308</v>
      </c>
      <c r="AU317" s="46" t="s">
        <v>626</v>
      </c>
      <c r="AV317" s="46" t="s">
        <v>2388</v>
      </c>
      <c r="AW317" s="46" t="s">
        <v>2218</v>
      </c>
      <c r="AX317" s="46" t="s">
        <v>34</v>
      </c>
      <c r="AY317" s="46"/>
      <c r="AZ317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</row>
    <row r="318" spans="1:75" ht="75" x14ac:dyDescent="0.25">
      <c r="A318" s="47" t="s">
        <v>2335</v>
      </c>
      <c r="B318" s="45" t="s">
        <v>305</v>
      </c>
      <c r="C318" s="45" t="s">
        <v>2743</v>
      </c>
      <c r="D318" s="46" t="s">
        <v>2736</v>
      </c>
      <c r="E318" s="25" t="s">
        <v>2</v>
      </c>
      <c r="F318" s="48" t="s">
        <v>308</v>
      </c>
      <c r="G318" s="62" t="s">
        <v>2740</v>
      </c>
      <c r="H318" s="63" t="s">
        <v>2218</v>
      </c>
      <c r="I318" s="46" t="s">
        <v>194</v>
      </c>
      <c r="J318" s="46" t="s">
        <v>1064</v>
      </c>
      <c r="K318" s="46" t="s">
        <v>626</v>
      </c>
      <c r="L318" s="46" t="s">
        <v>626</v>
      </c>
      <c r="M318" s="46" t="s">
        <v>4292</v>
      </c>
      <c r="N318" s="46" t="s">
        <v>4191</v>
      </c>
      <c r="O318" s="46" t="s">
        <v>626</v>
      </c>
      <c r="P318" s="46" t="s">
        <v>626</v>
      </c>
      <c r="Q318" s="46" t="s">
        <v>194</v>
      </c>
      <c r="R318" s="46" t="s">
        <v>194</v>
      </c>
      <c r="S318" s="46" t="s">
        <v>194</v>
      </c>
      <c r="T318" s="46" t="s">
        <v>626</v>
      </c>
      <c r="U318" s="46" t="s">
        <v>1918</v>
      </c>
      <c r="V318" s="46" t="s">
        <v>1064</v>
      </c>
      <c r="W318" s="46" t="s">
        <v>1064</v>
      </c>
      <c r="X318" s="46"/>
      <c r="Y318" s="46"/>
      <c r="Z318" s="46"/>
      <c r="AA318" s="46"/>
      <c r="AB318" s="46"/>
      <c r="AC318" s="46" t="s">
        <v>1064</v>
      </c>
      <c r="AD318" s="46"/>
      <c r="AE318" s="46"/>
      <c r="AF318" s="46"/>
      <c r="AG318" s="46"/>
      <c r="AH318" s="46"/>
      <c r="AI318" s="46"/>
      <c r="AJ318" s="46"/>
      <c r="AK318" s="46"/>
      <c r="AL318" s="46" t="s">
        <v>1064</v>
      </c>
      <c r="AM318" s="46"/>
      <c r="AN318" s="46"/>
      <c r="AO318" s="46"/>
      <c r="AP318" s="46" t="s">
        <v>1064</v>
      </c>
      <c r="AQ318" s="46"/>
      <c r="AR318" s="46"/>
      <c r="AS318" s="46" t="s">
        <v>4483</v>
      </c>
      <c r="AT318" s="46" t="s">
        <v>314</v>
      </c>
      <c r="AU318" s="46" t="s">
        <v>626</v>
      </c>
      <c r="AV318" s="46" t="s">
        <v>2390</v>
      </c>
      <c r="AW318" s="46" t="s">
        <v>2218</v>
      </c>
      <c r="AX318" s="46" t="s">
        <v>34</v>
      </c>
      <c r="AY318" s="46"/>
      <c r="AZ318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</row>
    <row r="319" spans="1:75" ht="150" x14ac:dyDescent="0.25">
      <c r="A319" s="47" t="s">
        <v>2337</v>
      </c>
      <c r="B319" s="45" t="s">
        <v>305</v>
      </c>
      <c r="C319" s="45" t="s">
        <v>2744</v>
      </c>
      <c r="D319" s="46" t="s">
        <v>2736</v>
      </c>
      <c r="E319" s="25" t="s">
        <v>2</v>
      </c>
      <c r="F319" s="48" t="s">
        <v>836</v>
      </c>
      <c r="G319" s="62" t="s">
        <v>4143</v>
      </c>
      <c r="H319" s="63" t="s">
        <v>2220</v>
      </c>
      <c r="I319" s="46" t="s">
        <v>4253</v>
      </c>
      <c r="J319" s="46" t="s">
        <v>1064</v>
      </c>
      <c r="K319" s="46" t="s">
        <v>626</v>
      </c>
      <c r="L319" s="46" t="s">
        <v>4191</v>
      </c>
      <c r="M319" s="46" t="s">
        <v>4443</v>
      </c>
      <c r="N319" s="46" t="s">
        <v>4191</v>
      </c>
      <c r="O319" s="46" t="s">
        <v>626</v>
      </c>
      <c r="P319" s="46" t="s">
        <v>626</v>
      </c>
      <c r="Q319" s="46" t="s">
        <v>194</v>
      </c>
      <c r="R319" s="46" t="s">
        <v>4448</v>
      </c>
      <c r="S319" s="46" t="s">
        <v>4449</v>
      </c>
      <c r="T319" s="46" t="s">
        <v>4191</v>
      </c>
      <c r="U319" s="46" t="s">
        <v>1918</v>
      </c>
      <c r="V319" s="46" t="s">
        <v>1064</v>
      </c>
      <c r="W319" s="46" t="s">
        <v>1064</v>
      </c>
      <c r="X319" s="46"/>
      <c r="Y319" s="46"/>
      <c r="Z319" s="46"/>
      <c r="AA319" s="46"/>
      <c r="AB319" s="46"/>
      <c r="AC319" s="46" t="s">
        <v>1064</v>
      </c>
      <c r="AD319" s="46"/>
      <c r="AE319" s="46"/>
      <c r="AF319" s="46"/>
      <c r="AG319" s="46"/>
      <c r="AH319" s="46"/>
      <c r="AI319" s="46"/>
      <c r="AJ319" s="46"/>
      <c r="AK319" s="46"/>
      <c r="AL319" s="46" t="s">
        <v>1064</v>
      </c>
      <c r="AM319" s="46"/>
      <c r="AN319" s="46"/>
      <c r="AO319" s="46"/>
      <c r="AP319" s="46" t="s">
        <v>1064</v>
      </c>
      <c r="AQ319" s="46"/>
      <c r="AR319" s="46"/>
      <c r="AS319" s="46" t="s">
        <v>583</v>
      </c>
      <c r="AT319" s="46" t="s">
        <v>2</v>
      </c>
      <c r="AU319" s="46" t="s">
        <v>626</v>
      </c>
      <c r="AV319" s="46" t="s">
        <v>2386</v>
      </c>
      <c r="AW319" s="46" t="s">
        <v>2220</v>
      </c>
      <c r="AX319" s="46" t="s">
        <v>34</v>
      </c>
      <c r="AY319" s="46"/>
      <c r="AZ319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</row>
    <row r="320" spans="1:75" ht="75" x14ac:dyDescent="0.25">
      <c r="A320" s="47" t="s">
        <v>2339</v>
      </c>
      <c r="B320" s="45" t="s">
        <v>305</v>
      </c>
      <c r="C320" s="45" t="s">
        <v>2745</v>
      </c>
      <c r="D320" s="46" t="s">
        <v>2736</v>
      </c>
      <c r="E320" s="25" t="s">
        <v>2</v>
      </c>
      <c r="F320" s="48" t="s">
        <v>549</v>
      </c>
      <c r="G320" s="62" t="s">
        <v>2738</v>
      </c>
      <c r="H320" s="63" t="s">
        <v>2220</v>
      </c>
      <c r="I320" s="46" t="s">
        <v>194</v>
      </c>
      <c r="J320" s="46" t="s">
        <v>1064</v>
      </c>
      <c r="K320" s="46" t="s">
        <v>626</v>
      </c>
      <c r="L320" s="46" t="s">
        <v>626</v>
      </c>
      <c r="M320" s="46" t="s">
        <v>4292</v>
      </c>
      <c r="N320" s="46" t="s">
        <v>4191</v>
      </c>
      <c r="O320" s="46" t="s">
        <v>626</v>
      </c>
      <c r="P320" s="46" t="s">
        <v>626</v>
      </c>
      <c r="Q320" s="46" t="s">
        <v>194</v>
      </c>
      <c r="R320" s="46" t="s">
        <v>194</v>
      </c>
      <c r="S320" s="46" t="s">
        <v>194</v>
      </c>
      <c r="T320" s="46" t="s">
        <v>626</v>
      </c>
      <c r="U320" s="46" t="s">
        <v>1918</v>
      </c>
      <c r="V320" s="46" t="s">
        <v>1064</v>
      </c>
      <c r="W320" s="46" t="s">
        <v>1064</v>
      </c>
      <c r="X320" s="46"/>
      <c r="Y320" s="46"/>
      <c r="Z320" s="46"/>
      <c r="AA320" s="46"/>
      <c r="AB320" s="46"/>
      <c r="AC320" s="46" t="s">
        <v>1064</v>
      </c>
      <c r="AD320" s="46"/>
      <c r="AE320" s="46"/>
      <c r="AF320" s="46"/>
      <c r="AG320" s="46"/>
      <c r="AH320" s="46"/>
      <c r="AI320" s="46"/>
      <c r="AJ320" s="46"/>
      <c r="AK320" s="46"/>
      <c r="AL320" s="46" t="s">
        <v>1064</v>
      </c>
      <c r="AM320" s="46"/>
      <c r="AN320" s="46"/>
      <c r="AO320" s="46"/>
      <c r="AP320" s="46" t="s">
        <v>1064</v>
      </c>
      <c r="AQ320" s="46"/>
      <c r="AR320" s="46"/>
      <c r="AS320" s="46" t="s">
        <v>4483</v>
      </c>
      <c r="AT320" s="46" t="s">
        <v>308</v>
      </c>
      <c r="AU320" s="46" t="s">
        <v>626</v>
      </c>
      <c r="AV320" s="46" t="s">
        <v>2388</v>
      </c>
      <c r="AW320" s="46" t="s">
        <v>2220</v>
      </c>
      <c r="AX320" s="46" t="s">
        <v>34</v>
      </c>
      <c r="AY320" s="46"/>
      <c r="AZ320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</row>
    <row r="321" spans="1:75" ht="75" x14ac:dyDescent="0.25">
      <c r="A321" s="47" t="s">
        <v>2341</v>
      </c>
      <c r="B321" s="45" t="s">
        <v>305</v>
      </c>
      <c r="C321" s="45" t="s">
        <v>2746</v>
      </c>
      <c r="D321" s="46" t="s">
        <v>2736</v>
      </c>
      <c r="E321" s="25" t="s">
        <v>2</v>
      </c>
      <c r="F321" s="48" t="s">
        <v>308</v>
      </c>
      <c r="G321" s="62" t="s">
        <v>2740</v>
      </c>
      <c r="H321" s="63" t="s">
        <v>2220</v>
      </c>
      <c r="I321" s="46" t="s">
        <v>194</v>
      </c>
      <c r="J321" s="46" t="s">
        <v>1064</v>
      </c>
      <c r="K321" s="46" t="s">
        <v>626</v>
      </c>
      <c r="L321" s="46" t="s">
        <v>626</v>
      </c>
      <c r="M321" s="46" t="s">
        <v>4292</v>
      </c>
      <c r="N321" s="46" t="s">
        <v>4191</v>
      </c>
      <c r="O321" s="46" t="s">
        <v>626</v>
      </c>
      <c r="P321" s="46" t="s">
        <v>626</v>
      </c>
      <c r="Q321" s="46" t="s">
        <v>194</v>
      </c>
      <c r="R321" s="46" t="s">
        <v>194</v>
      </c>
      <c r="S321" s="46" t="s">
        <v>194</v>
      </c>
      <c r="T321" s="46" t="s">
        <v>626</v>
      </c>
      <c r="U321" s="46" t="s">
        <v>1918</v>
      </c>
      <c r="V321" s="46" t="s">
        <v>1064</v>
      </c>
      <c r="W321" s="46" t="s">
        <v>1064</v>
      </c>
      <c r="X321" s="46"/>
      <c r="Y321" s="46"/>
      <c r="Z321" s="46"/>
      <c r="AA321" s="46"/>
      <c r="AB321" s="46"/>
      <c r="AC321" s="46" t="s">
        <v>1064</v>
      </c>
      <c r="AD321" s="46"/>
      <c r="AE321" s="46"/>
      <c r="AF321" s="46"/>
      <c r="AG321" s="46"/>
      <c r="AH321" s="46"/>
      <c r="AI321" s="46"/>
      <c r="AJ321" s="46"/>
      <c r="AK321" s="46"/>
      <c r="AL321" s="46" t="s">
        <v>1064</v>
      </c>
      <c r="AM321" s="46"/>
      <c r="AN321" s="46"/>
      <c r="AO321" s="46"/>
      <c r="AP321" s="46" t="s">
        <v>1064</v>
      </c>
      <c r="AQ321" s="46"/>
      <c r="AR321" s="46"/>
      <c r="AS321" s="46" t="s">
        <v>4483</v>
      </c>
      <c r="AT321" s="46" t="s">
        <v>314</v>
      </c>
      <c r="AU321" s="46" t="s">
        <v>626</v>
      </c>
      <c r="AV321" s="46" t="s">
        <v>2390</v>
      </c>
      <c r="AW321" s="46" t="s">
        <v>2220</v>
      </c>
      <c r="AX321" s="46" t="s">
        <v>34</v>
      </c>
      <c r="AY321" s="46"/>
      <c r="AZ321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</row>
    <row r="322" spans="1:75" ht="165" x14ac:dyDescent="0.25">
      <c r="A322" s="47" t="s">
        <v>2343</v>
      </c>
      <c r="B322" s="45" t="s">
        <v>305</v>
      </c>
      <c r="C322" s="45" t="s">
        <v>2747</v>
      </c>
      <c r="D322" s="46" t="s">
        <v>2736</v>
      </c>
      <c r="E322" s="25" t="s">
        <v>2</v>
      </c>
      <c r="F322" s="48" t="s">
        <v>836</v>
      </c>
      <c r="G322" s="62" t="s">
        <v>4144</v>
      </c>
      <c r="H322" s="63" t="s">
        <v>2222</v>
      </c>
      <c r="I322" s="46" t="s">
        <v>4253</v>
      </c>
      <c r="J322" s="46" t="s">
        <v>1064</v>
      </c>
      <c r="K322" s="46" t="s">
        <v>626</v>
      </c>
      <c r="L322" s="46" t="s">
        <v>4191</v>
      </c>
      <c r="M322" s="46" t="s">
        <v>4443</v>
      </c>
      <c r="N322" s="46" t="s">
        <v>4191</v>
      </c>
      <c r="O322" s="46" t="s">
        <v>626</v>
      </c>
      <c r="P322" s="46" t="s">
        <v>626</v>
      </c>
      <c r="Q322" s="46" t="s">
        <v>194</v>
      </c>
      <c r="R322" s="46" t="s">
        <v>4450</v>
      </c>
      <c r="S322" s="46" t="s">
        <v>4451</v>
      </c>
      <c r="T322" s="46" t="s">
        <v>4191</v>
      </c>
      <c r="U322" s="46" t="s">
        <v>1918</v>
      </c>
      <c r="V322" s="46" t="s">
        <v>1064</v>
      </c>
      <c r="W322" s="46" t="s">
        <v>1064</v>
      </c>
      <c r="X322" s="46"/>
      <c r="Y322" s="46"/>
      <c r="Z322" s="46"/>
      <c r="AA322" s="46"/>
      <c r="AB322" s="46"/>
      <c r="AC322" s="46" t="s">
        <v>1064</v>
      </c>
      <c r="AD322" s="46"/>
      <c r="AE322" s="46"/>
      <c r="AF322" s="46"/>
      <c r="AG322" s="46"/>
      <c r="AH322" s="46"/>
      <c r="AI322" s="46"/>
      <c r="AJ322" s="46"/>
      <c r="AK322" s="46"/>
      <c r="AL322" s="46" t="s">
        <v>1064</v>
      </c>
      <c r="AM322" s="46"/>
      <c r="AN322" s="46"/>
      <c r="AO322" s="46"/>
      <c r="AP322" s="46" t="s">
        <v>1064</v>
      </c>
      <c r="AQ322" s="46"/>
      <c r="AR322" s="46"/>
      <c r="AS322" s="46" t="s">
        <v>583</v>
      </c>
      <c r="AT322" s="46" t="s">
        <v>2</v>
      </c>
      <c r="AU322" s="46" t="s">
        <v>626</v>
      </c>
      <c r="AV322" s="46" t="s">
        <v>2386</v>
      </c>
      <c r="AW322" s="46" t="s">
        <v>2222</v>
      </c>
      <c r="AX322" s="46" t="s">
        <v>34</v>
      </c>
      <c r="AY322" s="46"/>
      <c r="AZ322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</row>
    <row r="323" spans="1:75" ht="75" x14ac:dyDescent="0.25">
      <c r="A323" s="47" t="s">
        <v>2345</v>
      </c>
      <c r="B323" s="45" t="s">
        <v>305</v>
      </c>
      <c r="C323" s="45" t="s">
        <v>2748</v>
      </c>
      <c r="D323" s="46" t="s">
        <v>2736</v>
      </c>
      <c r="E323" s="25" t="s">
        <v>2</v>
      </c>
      <c r="F323" s="48" t="s">
        <v>549</v>
      </c>
      <c r="G323" s="62" t="s">
        <v>2738</v>
      </c>
      <c r="H323" s="63" t="s">
        <v>2222</v>
      </c>
      <c r="I323" s="46" t="s">
        <v>194</v>
      </c>
      <c r="J323" s="46" t="s">
        <v>1064</v>
      </c>
      <c r="K323" s="46" t="s">
        <v>626</v>
      </c>
      <c r="L323" s="46" t="s">
        <v>626</v>
      </c>
      <c r="M323" s="46" t="s">
        <v>4292</v>
      </c>
      <c r="N323" s="46" t="s">
        <v>4191</v>
      </c>
      <c r="O323" s="46" t="s">
        <v>626</v>
      </c>
      <c r="P323" s="46" t="s">
        <v>626</v>
      </c>
      <c r="Q323" s="46" t="s">
        <v>194</v>
      </c>
      <c r="R323" s="46" t="s">
        <v>194</v>
      </c>
      <c r="S323" s="46" t="s">
        <v>194</v>
      </c>
      <c r="T323" s="46" t="s">
        <v>626</v>
      </c>
      <c r="U323" s="46" t="s">
        <v>1918</v>
      </c>
      <c r="V323" s="46" t="s">
        <v>1064</v>
      </c>
      <c r="W323" s="46" t="s">
        <v>1064</v>
      </c>
      <c r="X323" s="46"/>
      <c r="Y323" s="46"/>
      <c r="Z323" s="46"/>
      <c r="AA323" s="46"/>
      <c r="AB323" s="46"/>
      <c r="AC323" s="46" t="s">
        <v>1064</v>
      </c>
      <c r="AD323" s="46"/>
      <c r="AE323" s="46"/>
      <c r="AF323" s="46"/>
      <c r="AG323" s="46"/>
      <c r="AH323" s="46"/>
      <c r="AI323" s="46"/>
      <c r="AJ323" s="46"/>
      <c r="AK323" s="46"/>
      <c r="AL323" s="46" t="s">
        <v>1064</v>
      </c>
      <c r="AM323" s="46"/>
      <c r="AN323" s="46"/>
      <c r="AO323" s="46"/>
      <c r="AP323" s="46" t="s">
        <v>1064</v>
      </c>
      <c r="AQ323" s="46"/>
      <c r="AR323" s="46"/>
      <c r="AS323" s="46" t="s">
        <v>4483</v>
      </c>
      <c r="AT323" s="46" t="s">
        <v>308</v>
      </c>
      <c r="AU323" s="46" t="s">
        <v>626</v>
      </c>
      <c r="AV323" s="46" t="s">
        <v>2388</v>
      </c>
      <c r="AW323" s="46" t="s">
        <v>2222</v>
      </c>
      <c r="AX323" s="46" t="s">
        <v>34</v>
      </c>
      <c r="AY323" s="46"/>
      <c r="AZ323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</row>
    <row r="324" spans="1:75" ht="75" x14ac:dyDescent="0.25">
      <c r="A324" s="47" t="s">
        <v>2347</v>
      </c>
      <c r="B324" s="45" t="s">
        <v>305</v>
      </c>
      <c r="C324" s="45" t="s">
        <v>2749</v>
      </c>
      <c r="D324" s="46" t="s">
        <v>2736</v>
      </c>
      <c r="E324" s="25" t="s">
        <v>2</v>
      </c>
      <c r="F324" s="48" t="s">
        <v>308</v>
      </c>
      <c r="G324" s="62" t="s">
        <v>2740</v>
      </c>
      <c r="H324" s="63" t="s">
        <v>2222</v>
      </c>
      <c r="I324" s="46" t="s">
        <v>194</v>
      </c>
      <c r="J324" s="46" t="s">
        <v>1064</v>
      </c>
      <c r="K324" s="46" t="s">
        <v>626</v>
      </c>
      <c r="L324" s="46" t="s">
        <v>626</v>
      </c>
      <c r="M324" s="46" t="s">
        <v>4292</v>
      </c>
      <c r="N324" s="46" t="s">
        <v>4191</v>
      </c>
      <c r="O324" s="46" t="s">
        <v>626</v>
      </c>
      <c r="P324" s="46" t="s">
        <v>626</v>
      </c>
      <c r="Q324" s="46" t="s">
        <v>194</v>
      </c>
      <c r="R324" s="46" t="s">
        <v>194</v>
      </c>
      <c r="S324" s="46" t="s">
        <v>194</v>
      </c>
      <c r="T324" s="46" t="s">
        <v>626</v>
      </c>
      <c r="U324" s="46" t="s">
        <v>1918</v>
      </c>
      <c r="V324" s="46" t="s">
        <v>1064</v>
      </c>
      <c r="W324" s="46" t="s">
        <v>1064</v>
      </c>
      <c r="X324" s="46"/>
      <c r="Y324" s="46"/>
      <c r="Z324" s="46"/>
      <c r="AA324" s="46"/>
      <c r="AB324" s="46"/>
      <c r="AC324" s="46" t="s">
        <v>1064</v>
      </c>
      <c r="AD324" s="46"/>
      <c r="AE324" s="46"/>
      <c r="AF324" s="46"/>
      <c r="AG324" s="46"/>
      <c r="AH324" s="46"/>
      <c r="AI324" s="46"/>
      <c r="AJ324" s="46"/>
      <c r="AK324" s="46"/>
      <c r="AL324" s="46" t="s">
        <v>1064</v>
      </c>
      <c r="AM324" s="46"/>
      <c r="AN324" s="46"/>
      <c r="AO324" s="46"/>
      <c r="AP324" s="46" t="s">
        <v>1064</v>
      </c>
      <c r="AQ324" s="46"/>
      <c r="AR324" s="46"/>
      <c r="AS324" s="46" t="s">
        <v>4483</v>
      </c>
      <c r="AT324" s="46" t="s">
        <v>314</v>
      </c>
      <c r="AU324" s="46" t="s">
        <v>626</v>
      </c>
      <c r="AV324" s="46" t="s">
        <v>2390</v>
      </c>
      <c r="AW324" s="46" t="s">
        <v>2222</v>
      </c>
      <c r="AX324" s="46" t="s">
        <v>34</v>
      </c>
      <c r="AY324" s="46"/>
      <c r="AZ324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</row>
    <row r="325" spans="1:75" ht="165" x14ac:dyDescent="0.25">
      <c r="A325" s="47" t="s">
        <v>2349</v>
      </c>
      <c r="B325" s="45" t="s">
        <v>305</v>
      </c>
      <c r="C325" s="45" t="s">
        <v>2750</v>
      </c>
      <c r="D325" s="46" t="s">
        <v>2736</v>
      </c>
      <c r="E325" s="25" t="s">
        <v>2</v>
      </c>
      <c r="F325" s="48" t="s">
        <v>836</v>
      </c>
      <c r="G325" s="62" t="s">
        <v>4145</v>
      </c>
      <c r="H325" s="63" t="s">
        <v>2224</v>
      </c>
      <c r="I325" s="46" t="s">
        <v>4253</v>
      </c>
      <c r="J325" s="46" t="s">
        <v>1064</v>
      </c>
      <c r="K325" s="46" t="s">
        <v>626</v>
      </c>
      <c r="L325" s="46" t="s">
        <v>4191</v>
      </c>
      <c r="M325" s="46" t="s">
        <v>4443</v>
      </c>
      <c r="N325" s="46" t="s">
        <v>4191</v>
      </c>
      <c r="O325" s="46" t="s">
        <v>626</v>
      </c>
      <c r="P325" s="46" t="s">
        <v>626</v>
      </c>
      <c r="Q325" s="46" t="s">
        <v>194</v>
      </c>
      <c r="R325" s="46" t="s">
        <v>4452</v>
      </c>
      <c r="S325" s="46" t="s">
        <v>4453</v>
      </c>
      <c r="T325" s="46" t="s">
        <v>4191</v>
      </c>
      <c r="U325" s="46" t="s">
        <v>1918</v>
      </c>
      <c r="V325" s="46" t="s">
        <v>1064</v>
      </c>
      <c r="W325" s="46" t="s">
        <v>1064</v>
      </c>
      <c r="X325" s="46"/>
      <c r="Y325" s="46"/>
      <c r="Z325" s="46"/>
      <c r="AA325" s="46"/>
      <c r="AB325" s="46"/>
      <c r="AC325" s="46" t="s">
        <v>1064</v>
      </c>
      <c r="AD325" s="46"/>
      <c r="AE325" s="46"/>
      <c r="AF325" s="46"/>
      <c r="AG325" s="46"/>
      <c r="AH325" s="46"/>
      <c r="AI325" s="46"/>
      <c r="AJ325" s="46"/>
      <c r="AK325" s="46"/>
      <c r="AL325" s="46" t="s">
        <v>1064</v>
      </c>
      <c r="AM325" s="46"/>
      <c r="AN325" s="46"/>
      <c r="AO325" s="46"/>
      <c r="AP325" s="46" t="s">
        <v>1064</v>
      </c>
      <c r="AQ325" s="46"/>
      <c r="AR325" s="46"/>
      <c r="AS325" s="46" t="s">
        <v>583</v>
      </c>
      <c r="AT325" s="46" t="s">
        <v>2</v>
      </c>
      <c r="AU325" s="46" t="s">
        <v>626</v>
      </c>
      <c r="AV325" s="46" t="s">
        <v>2386</v>
      </c>
      <c r="AW325" s="46" t="s">
        <v>2224</v>
      </c>
      <c r="AX325" s="46" t="s">
        <v>34</v>
      </c>
      <c r="AY325" s="46"/>
      <c r="AZ325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</row>
    <row r="326" spans="1:75" ht="75" x14ac:dyDescent="0.25">
      <c r="A326" s="47" t="s">
        <v>2351</v>
      </c>
      <c r="B326" s="45" t="s">
        <v>305</v>
      </c>
      <c r="C326" s="45" t="s">
        <v>2751</v>
      </c>
      <c r="D326" s="46" t="s">
        <v>2736</v>
      </c>
      <c r="E326" s="25" t="s">
        <v>2</v>
      </c>
      <c r="F326" s="48" t="s">
        <v>549</v>
      </c>
      <c r="G326" s="62" t="s">
        <v>2738</v>
      </c>
      <c r="H326" s="63" t="s">
        <v>2224</v>
      </c>
      <c r="I326" s="46" t="s">
        <v>194</v>
      </c>
      <c r="J326" s="46" t="s">
        <v>1064</v>
      </c>
      <c r="K326" s="46" t="s">
        <v>626</v>
      </c>
      <c r="L326" s="46" t="s">
        <v>626</v>
      </c>
      <c r="M326" s="46" t="s">
        <v>4292</v>
      </c>
      <c r="N326" s="46" t="s">
        <v>4191</v>
      </c>
      <c r="O326" s="46" t="s">
        <v>626</v>
      </c>
      <c r="P326" s="46" t="s">
        <v>626</v>
      </c>
      <c r="Q326" s="46" t="s">
        <v>194</v>
      </c>
      <c r="R326" s="46" t="s">
        <v>194</v>
      </c>
      <c r="S326" s="46" t="s">
        <v>194</v>
      </c>
      <c r="T326" s="46" t="s">
        <v>626</v>
      </c>
      <c r="U326" s="46" t="s">
        <v>1918</v>
      </c>
      <c r="V326" s="46" t="s">
        <v>1064</v>
      </c>
      <c r="W326" s="46" t="s">
        <v>1064</v>
      </c>
      <c r="X326" s="46"/>
      <c r="Y326" s="46"/>
      <c r="Z326" s="46"/>
      <c r="AA326" s="46"/>
      <c r="AB326" s="46"/>
      <c r="AC326" s="46" t="s">
        <v>1064</v>
      </c>
      <c r="AD326" s="46"/>
      <c r="AE326" s="46"/>
      <c r="AF326" s="46"/>
      <c r="AG326" s="46"/>
      <c r="AH326" s="46"/>
      <c r="AI326" s="46"/>
      <c r="AJ326" s="46"/>
      <c r="AK326" s="46"/>
      <c r="AL326" s="46" t="s">
        <v>1064</v>
      </c>
      <c r="AM326" s="46"/>
      <c r="AN326" s="46"/>
      <c r="AO326" s="46"/>
      <c r="AP326" s="46" t="s">
        <v>1064</v>
      </c>
      <c r="AQ326" s="46"/>
      <c r="AR326" s="46"/>
      <c r="AS326" s="46" t="s">
        <v>4483</v>
      </c>
      <c r="AT326" s="46" t="s">
        <v>308</v>
      </c>
      <c r="AU326" s="46" t="s">
        <v>626</v>
      </c>
      <c r="AV326" s="46" t="s">
        <v>2388</v>
      </c>
      <c r="AW326" s="46" t="s">
        <v>2224</v>
      </c>
      <c r="AX326" s="46" t="s">
        <v>34</v>
      </c>
      <c r="AY326" s="46"/>
      <c r="AZ32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</row>
    <row r="327" spans="1:75" ht="75" x14ac:dyDescent="0.25">
      <c r="A327" s="47" t="s">
        <v>2353</v>
      </c>
      <c r="B327" s="45" t="s">
        <v>305</v>
      </c>
      <c r="C327" s="45" t="s">
        <v>2752</v>
      </c>
      <c r="D327" s="46" t="s">
        <v>2736</v>
      </c>
      <c r="E327" s="25" t="s">
        <v>2</v>
      </c>
      <c r="F327" s="48" t="s">
        <v>308</v>
      </c>
      <c r="G327" s="62" t="s">
        <v>2740</v>
      </c>
      <c r="H327" s="63" t="s">
        <v>2224</v>
      </c>
      <c r="I327" s="46" t="s">
        <v>194</v>
      </c>
      <c r="J327" s="46" t="s">
        <v>1064</v>
      </c>
      <c r="K327" s="46" t="s">
        <v>626</v>
      </c>
      <c r="L327" s="46" t="s">
        <v>626</v>
      </c>
      <c r="M327" s="46" t="s">
        <v>4292</v>
      </c>
      <c r="N327" s="46" t="s">
        <v>4191</v>
      </c>
      <c r="O327" s="46" t="s">
        <v>626</v>
      </c>
      <c r="P327" s="46" t="s">
        <v>626</v>
      </c>
      <c r="Q327" s="46" t="s">
        <v>194</v>
      </c>
      <c r="R327" s="46" t="s">
        <v>194</v>
      </c>
      <c r="S327" s="46" t="s">
        <v>194</v>
      </c>
      <c r="T327" s="46" t="s">
        <v>626</v>
      </c>
      <c r="U327" s="46" t="s">
        <v>1918</v>
      </c>
      <c r="V327" s="46" t="s">
        <v>1064</v>
      </c>
      <c r="W327" s="46" t="s">
        <v>1064</v>
      </c>
      <c r="X327" s="46"/>
      <c r="Y327" s="46"/>
      <c r="Z327" s="46"/>
      <c r="AA327" s="46"/>
      <c r="AB327" s="46"/>
      <c r="AC327" s="46" t="s">
        <v>1064</v>
      </c>
      <c r="AD327" s="46"/>
      <c r="AE327" s="46"/>
      <c r="AF327" s="46"/>
      <c r="AG327" s="46"/>
      <c r="AH327" s="46"/>
      <c r="AI327" s="46"/>
      <c r="AJ327" s="46"/>
      <c r="AK327" s="46"/>
      <c r="AL327" s="46" t="s">
        <v>1064</v>
      </c>
      <c r="AM327" s="46"/>
      <c r="AN327" s="46"/>
      <c r="AO327" s="46"/>
      <c r="AP327" s="46" t="s">
        <v>1064</v>
      </c>
      <c r="AQ327" s="46"/>
      <c r="AR327" s="46"/>
      <c r="AS327" s="46" t="s">
        <v>4483</v>
      </c>
      <c r="AT327" s="46" t="s">
        <v>314</v>
      </c>
      <c r="AU327" s="46" t="s">
        <v>626</v>
      </c>
      <c r="AV327" s="46" t="s">
        <v>2390</v>
      </c>
      <c r="AW327" s="46" t="s">
        <v>2224</v>
      </c>
      <c r="AX327" s="46" t="s">
        <v>34</v>
      </c>
      <c r="AY327" s="46"/>
      <c r="AZ327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</row>
    <row r="328" spans="1:75" ht="165" x14ac:dyDescent="0.25">
      <c r="A328" s="47" t="s">
        <v>2355</v>
      </c>
      <c r="B328" s="45" t="s">
        <v>305</v>
      </c>
      <c r="C328" s="45" t="s">
        <v>2753</v>
      </c>
      <c r="D328" s="46" t="s">
        <v>2736</v>
      </c>
      <c r="E328" s="25" t="s">
        <v>2</v>
      </c>
      <c r="F328" s="48" t="s">
        <v>836</v>
      </c>
      <c r="G328" s="62" t="s">
        <v>4146</v>
      </c>
      <c r="H328" s="63" t="s">
        <v>2226</v>
      </c>
      <c r="I328" s="46" t="s">
        <v>4253</v>
      </c>
      <c r="J328" s="46" t="s">
        <v>1064</v>
      </c>
      <c r="K328" s="46" t="s">
        <v>626</v>
      </c>
      <c r="L328" s="46" t="s">
        <v>4191</v>
      </c>
      <c r="M328" s="46" t="s">
        <v>4443</v>
      </c>
      <c r="N328" s="46" t="s">
        <v>4191</v>
      </c>
      <c r="O328" s="46" t="s">
        <v>626</v>
      </c>
      <c r="P328" s="46" t="s">
        <v>626</v>
      </c>
      <c r="Q328" s="46" t="s">
        <v>194</v>
      </c>
      <c r="R328" s="46" t="s">
        <v>4454</v>
      </c>
      <c r="S328" s="46" t="s">
        <v>4455</v>
      </c>
      <c r="T328" s="46" t="s">
        <v>4191</v>
      </c>
      <c r="U328" s="46" t="s">
        <v>1918</v>
      </c>
      <c r="V328" s="46" t="s">
        <v>1064</v>
      </c>
      <c r="W328" s="46" t="s">
        <v>1064</v>
      </c>
      <c r="X328" s="46"/>
      <c r="Y328" s="46"/>
      <c r="Z328" s="46"/>
      <c r="AA328" s="46"/>
      <c r="AB328" s="46"/>
      <c r="AC328" s="46" t="s">
        <v>1064</v>
      </c>
      <c r="AD328" s="46"/>
      <c r="AE328" s="46"/>
      <c r="AF328" s="46"/>
      <c r="AG328" s="46"/>
      <c r="AH328" s="46"/>
      <c r="AI328" s="46"/>
      <c r="AJ328" s="46"/>
      <c r="AK328" s="46"/>
      <c r="AL328" s="46" t="s">
        <v>1064</v>
      </c>
      <c r="AM328" s="46"/>
      <c r="AN328" s="46"/>
      <c r="AO328" s="46"/>
      <c r="AP328" s="46" t="s">
        <v>1064</v>
      </c>
      <c r="AQ328" s="46"/>
      <c r="AR328" s="46"/>
      <c r="AS328" s="46" t="s">
        <v>583</v>
      </c>
      <c r="AT328" s="46" t="s">
        <v>2</v>
      </c>
      <c r="AU328" s="46" t="s">
        <v>626</v>
      </c>
      <c r="AV328" s="46" t="s">
        <v>2386</v>
      </c>
      <c r="AW328" s="46" t="s">
        <v>2226</v>
      </c>
      <c r="AX328" s="46" t="s">
        <v>34</v>
      </c>
      <c r="AY328" s="46"/>
      <c r="AZ328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</row>
    <row r="329" spans="1:75" ht="75" x14ac:dyDescent="0.25">
      <c r="A329" s="47" t="s">
        <v>2357</v>
      </c>
      <c r="B329" s="45" t="s">
        <v>305</v>
      </c>
      <c r="C329" s="45" t="s">
        <v>2754</v>
      </c>
      <c r="D329" s="46" t="s">
        <v>2736</v>
      </c>
      <c r="E329" s="25" t="s">
        <v>2</v>
      </c>
      <c r="F329" s="48" t="s">
        <v>549</v>
      </c>
      <c r="G329" s="62" t="s">
        <v>2738</v>
      </c>
      <c r="H329" s="63" t="s">
        <v>2226</v>
      </c>
      <c r="I329" s="46" t="s">
        <v>194</v>
      </c>
      <c r="J329" s="46" t="s">
        <v>1064</v>
      </c>
      <c r="K329" s="46" t="s">
        <v>626</v>
      </c>
      <c r="L329" s="46" t="s">
        <v>626</v>
      </c>
      <c r="M329" s="46" t="s">
        <v>4292</v>
      </c>
      <c r="N329" s="46" t="s">
        <v>4191</v>
      </c>
      <c r="O329" s="46" t="s">
        <v>626</v>
      </c>
      <c r="P329" s="46" t="s">
        <v>626</v>
      </c>
      <c r="Q329" s="46" t="s">
        <v>194</v>
      </c>
      <c r="R329" s="46" t="s">
        <v>194</v>
      </c>
      <c r="S329" s="46" t="s">
        <v>194</v>
      </c>
      <c r="T329" s="46" t="s">
        <v>626</v>
      </c>
      <c r="U329" s="46" t="s">
        <v>1918</v>
      </c>
      <c r="V329" s="46" t="s">
        <v>1064</v>
      </c>
      <c r="W329" s="46" t="s">
        <v>1064</v>
      </c>
      <c r="X329" s="46"/>
      <c r="Y329" s="46"/>
      <c r="Z329" s="46"/>
      <c r="AA329" s="46"/>
      <c r="AB329" s="46"/>
      <c r="AC329" s="46" t="s">
        <v>1064</v>
      </c>
      <c r="AD329" s="46"/>
      <c r="AE329" s="46"/>
      <c r="AF329" s="46"/>
      <c r="AG329" s="46"/>
      <c r="AH329" s="46"/>
      <c r="AI329" s="46"/>
      <c r="AJ329" s="46"/>
      <c r="AK329" s="46"/>
      <c r="AL329" s="46" t="s">
        <v>1064</v>
      </c>
      <c r="AM329" s="46"/>
      <c r="AN329" s="46"/>
      <c r="AO329" s="46"/>
      <c r="AP329" s="46" t="s">
        <v>1064</v>
      </c>
      <c r="AQ329" s="46"/>
      <c r="AR329" s="46"/>
      <c r="AS329" s="46" t="s">
        <v>4483</v>
      </c>
      <c r="AT329" s="46" t="s">
        <v>308</v>
      </c>
      <c r="AU329" s="46" t="s">
        <v>626</v>
      </c>
      <c r="AV329" s="46" t="s">
        <v>2388</v>
      </c>
      <c r="AW329" s="46" t="s">
        <v>2226</v>
      </c>
      <c r="AX329" s="46" t="s">
        <v>34</v>
      </c>
      <c r="AY329" s="46"/>
      <c r="AZ329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</row>
    <row r="330" spans="1:75" ht="75" x14ac:dyDescent="0.25">
      <c r="A330" s="47" t="s">
        <v>2359</v>
      </c>
      <c r="B330" s="45" t="s">
        <v>305</v>
      </c>
      <c r="C330" s="45" t="s">
        <v>2755</v>
      </c>
      <c r="D330" s="46" t="s">
        <v>2736</v>
      </c>
      <c r="E330" s="25" t="s">
        <v>2</v>
      </c>
      <c r="F330" s="48" t="s">
        <v>308</v>
      </c>
      <c r="G330" s="62" t="s">
        <v>2740</v>
      </c>
      <c r="H330" s="63" t="s">
        <v>2226</v>
      </c>
      <c r="I330" s="46" t="s">
        <v>194</v>
      </c>
      <c r="J330" s="46" t="s">
        <v>1064</v>
      </c>
      <c r="K330" s="46" t="s">
        <v>626</v>
      </c>
      <c r="L330" s="46" t="s">
        <v>626</v>
      </c>
      <c r="M330" s="46" t="s">
        <v>4292</v>
      </c>
      <c r="N330" s="46" t="s">
        <v>4191</v>
      </c>
      <c r="O330" s="46" t="s">
        <v>626</v>
      </c>
      <c r="P330" s="46" t="s">
        <v>626</v>
      </c>
      <c r="Q330" s="46" t="s">
        <v>194</v>
      </c>
      <c r="R330" s="46" t="s">
        <v>194</v>
      </c>
      <c r="S330" s="46" t="s">
        <v>194</v>
      </c>
      <c r="T330" s="46" t="s">
        <v>626</v>
      </c>
      <c r="U330" s="46" t="s">
        <v>1918</v>
      </c>
      <c r="V330" s="46" t="s">
        <v>1064</v>
      </c>
      <c r="W330" s="46" t="s">
        <v>1064</v>
      </c>
      <c r="X330" s="46"/>
      <c r="Y330" s="46"/>
      <c r="Z330" s="46"/>
      <c r="AA330" s="46"/>
      <c r="AB330" s="46"/>
      <c r="AC330" s="46" t="s">
        <v>1064</v>
      </c>
      <c r="AD330" s="46"/>
      <c r="AE330" s="46"/>
      <c r="AF330" s="46"/>
      <c r="AG330" s="46"/>
      <c r="AH330" s="46"/>
      <c r="AI330" s="46"/>
      <c r="AJ330" s="46"/>
      <c r="AK330" s="46"/>
      <c r="AL330" s="46" t="s">
        <v>1064</v>
      </c>
      <c r="AM330" s="46"/>
      <c r="AN330" s="46"/>
      <c r="AO330" s="46"/>
      <c r="AP330" s="46" t="s">
        <v>1064</v>
      </c>
      <c r="AQ330" s="46"/>
      <c r="AR330" s="46"/>
      <c r="AS330" s="46" t="s">
        <v>4483</v>
      </c>
      <c r="AT330" s="46" t="s">
        <v>314</v>
      </c>
      <c r="AU330" s="46" t="s">
        <v>626</v>
      </c>
      <c r="AV330" s="46" t="s">
        <v>2390</v>
      </c>
      <c r="AW330" s="46" t="s">
        <v>2226</v>
      </c>
      <c r="AX330" s="46" t="s">
        <v>34</v>
      </c>
      <c r="AY330" s="46"/>
      <c r="AZ330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</row>
    <row r="331" spans="1:75" ht="75" x14ac:dyDescent="0.25">
      <c r="A331" s="47" t="s">
        <v>2392</v>
      </c>
      <c r="B331" s="45" t="s">
        <v>305</v>
      </c>
      <c r="C331" s="45" t="s">
        <v>2664</v>
      </c>
      <c r="D331" s="46" t="s">
        <v>3339</v>
      </c>
      <c r="E331" s="25" t="s">
        <v>2</v>
      </c>
      <c r="F331" s="48" t="s">
        <v>32</v>
      </c>
      <c r="G331" s="62" t="s">
        <v>2756</v>
      </c>
      <c r="H331" s="63" t="s">
        <v>2240</v>
      </c>
      <c r="I331" s="46" t="s">
        <v>194</v>
      </c>
      <c r="J331" s="46" t="s">
        <v>1064</v>
      </c>
      <c r="K331" s="46" t="s">
        <v>626</v>
      </c>
      <c r="L331" s="46" t="s">
        <v>626</v>
      </c>
      <c r="M331" s="46" t="s">
        <v>194</v>
      </c>
      <c r="N331" s="46" t="s">
        <v>626</v>
      </c>
      <c r="O331" s="46" t="s">
        <v>626</v>
      </c>
      <c r="P331" s="46" t="s">
        <v>626</v>
      </c>
      <c r="Q331" s="46" t="s">
        <v>194</v>
      </c>
      <c r="R331" s="46" t="s">
        <v>194</v>
      </c>
      <c r="S331" s="46" t="s">
        <v>194</v>
      </c>
      <c r="T331" s="46"/>
      <c r="U331" s="46" t="s">
        <v>2873</v>
      </c>
      <c r="V331" s="46" t="s">
        <v>1064</v>
      </c>
      <c r="W331" s="46" t="s">
        <v>1064</v>
      </c>
      <c r="X331" s="46"/>
      <c r="Y331" s="46"/>
      <c r="Z331" s="46"/>
      <c r="AA331" s="46"/>
      <c r="AB331" s="46"/>
      <c r="AC331" s="46" t="s">
        <v>1064</v>
      </c>
      <c r="AD331" s="46"/>
      <c r="AE331" s="46"/>
      <c r="AF331" s="46"/>
      <c r="AG331" s="46"/>
      <c r="AH331" s="46"/>
      <c r="AI331" s="46"/>
      <c r="AJ331" s="46"/>
      <c r="AK331" s="46"/>
      <c r="AL331" s="46" t="s">
        <v>4456</v>
      </c>
      <c r="AM331" s="46"/>
      <c r="AN331" s="46"/>
      <c r="AO331" s="46"/>
      <c r="AP331" s="46" t="s">
        <v>1064</v>
      </c>
      <c r="AQ331" s="46"/>
      <c r="AR331" s="46"/>
      <c r="AS331" s="46" t="s">
        <v>4483</v>
      </c>
      <c r="AT331" s="46" t="s">
        <v>2</v>
      </c>
      <c r="AU331" s="46" t="s">
        <v>4191</v>
      </c>
      <c r="AV331" s="46" t="s">
        <v>2392</v>
      </c>
      <c r="AW331" s="46" t="s">
        <v>2240</v>
      </c>
      <c r="AX331" s="46" t="s">
        <v>34</v>
      </c>
      <c r="AY331" s="46"/>
      <c r="AZ331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</row>
    <row r="332" spans="1:75" ht="75" x14ac:dyDescent="0.25">
      <c r="A332" s="47" t="s">
        <v>2394</v>
      </c>
      <c r="B332" s="45" t="s">
        <v>305</v>
      </c>
      <c r="C332" s="45" t="s">
        <v>2666</v>
      </c>
      <c r="D332" s="46" t="s">
        <v>3340</v>
      </c>
      <c r="E332" s="25" t="s">
        <v>2</v>
      </c>
      <c r="F332" s="48" t="s">
        <v>32</v>
      </c>
      <c r="G332" s="62" t="s">
        <v>2757</v>
      </c>
      <c r="H332" s="63" t="s">
        <v>2240</v>
      </c>
      <c r="I332" s="46" t="s">
        <v>194</v>
      </c>
      <c r="J332" s="46" t="s">
        <v>1064</v>
      </c>
      <c r="K332" s="46" t="s">
        <v>626</v>
      </c>
      <c r="L332" s="46" t="s">
        <v>626</v>
      </c>
      <c r="M332" s="46" t="s">
        <v>194</v>
      </c>
      <c r="N332" s="46" t="s">
        <v>626</v>
      </c>
      <c r="O332" s="46" t="s">
        <v>626</v>
      </c>
      <c r="P332" s="46" t="s">
        <v>626</v>
      </c>
      <c r="Q332" s="46" t="s">
        <v>194</v>
      </c>
      <c r="R332" s="46" t="s">
        <v>194</v>
      </c>
      <c r="S332" s="46" t="s">
        <v>194</v>
      </c>
      <c r="T332" s="46"/>
      <c r="U332" s="46" t="s">
        <v>2873</v>
      </c>
      <c r="V332" s="46" t="s">
        <v>1064</v>
      </c>
      <c r="W332" s="46" t="s">
        <v>1064</v>
      </c>
      <c r="X332" s="46"/>
      <c r="Y332" s="46"/>
      <c r="Z332" s="46"/>
      <c r="AA332" s="46"/>
      <c r="AB332" s="46"/>
      <c r="AC332" s="46" t="s">
        <v>1064</v>
      </c>
      <c r="AD332" s="46"/>
      <c r="AE332" s="46"/>
      <c r="AF332" s="46"/>
      <c r="AG332" s="46"/>
      <c r="AH332" s="46"/>
      <c r="AI332" s="46"/>
      <c r="AJ332" s="46"/>
      <c r="AK332" s="46"/>
      <c r="AL332" s="46" t="s">
        <v>4456</v>
      </c>
      <c r="AM332" s="46"/>
      <c r="AN332" s="46"/>
      <c r="AO332" s="46"/>
      <c r="AP332" s="46" t="s">
        <v>1064</v>
      </c>
      <c r="AQ332" s="46"/>
      <c r="AR332" s="46"/>
      <c r="AS332" s="46" t="s">
        <v>4483</v>
      </c>
      <c r="AT332" s="46" t="s">
        <v>308</v>
      </c>
      <c r="AU332" s="46" t="s">
        <v>4191</v>
      </c>
      <c r="AV332" s="46" t="s">
        <v>2394</v>
      </c>
      <c r="AW332" s="46" t="s">
        <v>2240</v>
      </c>
      <c r="AX332" s="46" t="s">
        <v>34</v>
      </c>
      <c r="AY332" s="46"/>
      <c r="AZ332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</row>
    <row r="333" spans="1:75" ht="75" x14ac:dyDescent="0.25">
      <c r="A333" s="47" t="s">
        <v>2396</v>
      </c>
      <c r="B333" s="45" t="s">
        <v>305</v>
      </c>
      <c r="C333" s="45" t="s">
        <v>2668</v>
      </c>
      <c r="D333" s="46" t="s">
        <v>3341</v>
      </c>
      <c r="E333" s="25" t="s">
        <v>2</v>
      </c>
      <c r="F333" s="48" t="s">
        <v>32</v>
      </c>
      <c r="G333" s="62" t="s">
        <v>2758</v>
      </c>
      <c r="H333" s="63" t="s">
        <v>2240</v>
      </c>
      <c r="I333" s="46" t="s">
        <v>194</v>
      </c>
      <c r="J333" s="46" t="s">
        <v>1064</v>
      </c>
      <c r="K333" s="46" t="s">
        <v>626</v>
      </c>
      <c r="L333" s="46" t="s">
        <v>626</v>
      </c>
      <c r="M333" s="46" t="s">
        <v>194</v>
      </c>
      <c r="N333" s="46" t="s">
        <v>626</v>
      </c>
      <c r="O333" s="46" t="s">
        <v>626</v>
      </c>
      <c r="P333" s="46" t="s">
        <v>626</v>
      </c>
      <c r="Q333" s="46" t="s">
        <v>194</v>
      </c>
      <c r="R333" s="46" t="s">
        <v>194</v>
      </c>
      <c r="S333" s="46" t="s">
        <v>194</v>
      </c>
      <c r="T333" s="46"/>
      <c r="U333" s="46" t="s">
        <v>2873</v>
      </c>
      <c r="V333" s="46" t="s">
        <v>1064</v>
      </c>
      <c r="W333" s="46" t="s">
        <v>1064</v>
      </c>
      <c r="X333" s="46"/>
      <c r="Y333" s="46"/>
      <c r="Z333" s="46"/>
      <c r="AA333" s="46"/>
      <c r="AB333" s="46"/>
      <c r="AC333" s="46" t="s">
        <v>1064</v>
      </c>
      <c r="AD333" s="46"/>
      <c r="AE333" s="46"/>
      <c r="AF333" s="46"/>
      <c r="AG333" s="46"/>
      <c r="AH333" s="46"/>
      <c r="AI333" s="46"/>
      <c r="AJ333" s="46"/>
      <c r="AK333" s="46"/>
      <c r="AL333" s="46" t="s">
        <v>4456</v>
      </c>
      <c r="AM333" s="46"/>
      <c r="AN333" s="46"/>
      <c r="AO333" s="46"/>
      <c r="AP333" s="46" t="s">
        <v>1064</v>
      </c>
      <c r="AQ333" s="46"/>
      <c r="AR333" s="46"/>
      <c r="AS333" s="46" t="s">
        <v>4483</v>
      </c>
      <c r="AT333" s="46" t="s">
        <v>314</v>
      </c>
      <c r="AU333" s="46" t="s">
        <v>4191</v>
      </c>
      <c r="AV333" s="46" t="s">
        <v>2396</v>
      </c>
      <c r="AW333" s="46" t="s">
        <v>2240</v>
      </c>
      <c r="AX333" s="46" t="s">
        <v>34</v>
      </c>
      <c r="AY333" s="46"/>
      <c r="AZ333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</row>
    <row r="334" spans="1:75" ht="150" x14ac:dyDescent="0.25">
      <c r="A334" s="47" t="s">
        <v>2424</v>
      </c>
      <c r="B334" s="45" t="s">
        <v>305</v>
      </c>
      <c r="C334" s="45" t="s">
        <v>2759</v>
      </c>
      <c r="D334" s="46" t="s">
        <v>2736</v>
      </c>
      <c r="E334" s="25" t="s">
        <v>2</v>
      </c>
      <c r="F334" s="48" t="s">
        <v>36</v>
      </c>
      <c r="G334" s="62" t="s">
        <v>2760</v>
      </c>
      <c r="H334" s="63" t="s">
        <v>2248</v>
      </c>
      <c r="I334" s="46" t="s">
        <v>4253</v>
      </c>
      <c r="J334" s="46" t="s">
        <v>1064</v>
      </c>
      <c r="K334" s="46" t="s">
        <v>626</v>
      </c>
      <c r="L334" s="46" t="s">
        <v>4191</v>
      </c>
      <c r="M334" s="46" t="s">
        <v>4443</v>
      </c>
      <c r="N334" s="46" t="s">
        <v>4191</v>
      </c>
      <c r="O334" s="46" t="s">
        <v>626</v>
      </c>
      <c r="P334" s="46" t="s">
        <v>626</v>
      </c>
      <c r="Q334" s="46" t="s">
        <v>194</v>
      </c>
      <c r="R334" s="46" t="s">
        <v>4293</v>
      </c>
      <c r="S334" s="46" t="s">
        <v>4294</v>
      </c>
      <c r="T334" s="46" t="s">
        <v>4191</v>
      </c>
      <c r="U334" s="46" t="s">
        <v>2873</v>
      </c>
      <c r="V334" s="46" t="s">
        <v>1064</v>
      </c>
      <c r="W334" s="46" t="s">
        <v>1064</v>
      </c>
      <c r="X334" s="46"/>
      <c r="Y334" s="46"/>
      <c r="Z334" s="46"/>
      <c r="AA334" s="46"/>
      <c r="AB334" s="46"/>
      <c r="AC334" s="46" t="s">
        <v>1064</v>
      </c>
      <c r="AD334" s="46"/>
      <c r="AE334" s="46"/>
      <c r="AF334" s="46"/>
      <c r="AG334" s="46"/>
      <c r="AH334" s="46"/>
      <c r="AI334" s="46"/>
      <c r="AJ334" s="46"/>
      <c r="AK334" s="46"/>
      <c r="AL334" s="46" t="s">
        <v>1064</v>
      </c>
      <c r="AM334" s="46"/>
      <c r="AN334" s="46"/>
      <c r="AO334" s="46"/>
      <c r="AP334" s="46" t="s">
        <v>1064</v>
      </c>
      <c r="AQ334" s="46"/>
      <c r="AR334" s="46"/>
      <c r="AS334" s="46" t="s">
        <v>583</v>
      </c>
      <c r="AT334" s="46" t="s">
        <v>2</v>
      </c>
      <c r="AU334" s="46" t="s">
        <v>626</v>
      </c>
      <c r="AV334" s="46" t="s">
        <v>2392</v>
      </c>
      <c r="AW334" s="46" t="s">
        <v>2248</v>
      </c>
      <c r="AX334" s="46" t="s">
        <v>34</v>
      </c>
      <c r="AY334" s="46"/>
      <c r="AZ334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</row>
    <row r="335" spans="1:75" ht="75" x14ac:dyDescent="0.25">
      <c r="A335" s="47" t="s">
        <v>2425</v>
      </c>
      <c r="B335" s="45" t="s">
        <v>305</v>
      </c>
      <c r="C335" s="45" t="s">
        <v>2761</v>
      </c>
      <c r="D335" s="46" t="s">
        <v>2736</v>
      </c>
      <c r="E335" s="25" t="s">
        <v>2</v>
      </c>
      <c r="F335" s="48" t="s">
        <v>90</v>
      </c>
      <c r="G335" s="62" t="s">
        <v>2844</v>
      </c>
      <c r="H335" s="63" t="s">
        <v>2248</v>
      </c>
      <c r="I335" s="46" t="s">
        <v>194</v>
      </c>
      <c r="J335" s="46" t="s">
        <v>1064</v>
      </c>
      <c r="K335" s="46" t="s">
        <v>626</v>
      </c>
      <c r="L335" s="46" t="s">
        <v>626</v>
      </c>
      <c r="M335" s="46" t="s">
        <v>4292</v>
      </c>
      <c r="N335" s="46" t="s">
        <v>4191</v>
      </c>
      <c r="O335" s="46" t="s">
        <v>626</v>
      </c>
      <c r="P335" s="46" t="s">
        <v>626</v>
      </c>
      <c r="Q335" s="46" t="s">
        <v>194</v>
      </c>
      <c r="R335" s="46" t="s">
        <v>194</v>
      </c>
      <c r="S335" s="46" t="s">
        <v>194</v>
      </c>
      <c r="T335" s="46" t="s">
        <v>626</v>
      </c>
      <c r="U335" s="46" t="s">
        <v>2873</v>
      </c>
      <c r="V335" s="46" t="s">
        <v>1064</v>
      </c>
      <c r="W335" s="46" t="s">
        <v>1064</v>
      </c>
      <c r="X335" s="46"/>
      <c r="Y335" s="46"/>
      <c r="Z335" s="46"/>
      <c r="AA335" s="46"/>
      <c r="AB335" s="46"/>
      <c r="AC335" s="46" t="s">
        <v>1064</v>
      </c>
      <c r="AD335" s="46"/>
      <c r="AE335" s="46"/>
      <c r="AF335" s="46"/>
      <c r="AG335" s="46"/>
      <c r="AH335" s="46"/>
      <c r="AI335" s="46"/>
      <c r="AJ335" s="46"/>
      <c r="AK335" s="46"/>
      <c r="AL335" s="46" t="s">
        <v>1064</v>
      </c>
      <c r="AM335" s="46"/>
      <c r="AN335" s="46"/>
      <c r="AO335" s="46"/>
      <c r="AP335" s="46" t="s">
        <v>1064</v>
      </c>
      <c r="AQ335" s="46"/>
      <c r="AR335" s="46"/>
      <c r="AS335" s="46" t="s">
        <v>586</v>
      </c>
      <c r="AT335" s="46" t="s">
        <v>308</v>
      </c>
      <c r="AU335" s="46" t="s">
        <v>626</v>
      </c>
      <c r="AV335" s="46" t="s">
        <v>2394</v>
      </c>
      <c r="AW335" s="46" t="s">
        <v>2248</v>
      </c>
      <c r="AX335" s="46" t="s">
        <v>34</v>
      </c>
      <c r="AY335" s="46"/>
      <c r="AZ335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</row>
    <row r="336" spans="1:75" ht="75" x14ac:dyDescent="0.25">
      <c r="A336" s="47" t="s">
        <v>2426</v>
      </c>
      <c r="B336" s="45" t="s">
        <v>305</v>
      </c>
      <c r="C336" s="45" t="s">
        <v>2762</v>
      </c>
      <c r="D336" s="46" t="s">
        <v>2736</v>
      </c>
      <c r="E336" s="25" t="s">
        <v>2</v>
      </c>
      <c r="F336" s="48" t="s">
        <v>314</v>
      </c>
      <c r="G336" s="62" t="s">
        <v>2845</v>
      </c>
      <c r="H336" s="63"/>
      <c r="I336" s="46" t="s">
        <v>194</v>
      </c>
      <c r="J336" s="46" t="s">
        <v>1064</v>
      </c>
      <c r="K336" s="46" t="s">
        <v>626</v>
      </c>
      <c r="L336" s="46" t="s">
        <v>626</v>
      </c>
      <c r="M336" s="46" t="s">
        <v>4292</v>
      </c>
      <c r="N336" s="46" t="s">
        <v>4191</v>
      </c>
      <c r="O336" s="46" t="s">
        <v>626</v>
      </c>
      <c r="P336" s="46" t="s">
        <v>626</v>
      </c>
      <c r="Q336" s="46" t="s">
        <v>194</v>
      </c>
      <c r="R336" s="46" t="s">
        <v>194</v>
      </c>
      <c r="S336" s="46" t="s">
        <v>194</v>
      </c>
      <c r="T336" s="46" t="s">
        <v>626</v>
      </c>
      <c r="U336" s="46" t="s">
        <v>2873</v>
      </c>
      <c r="V336" s="46" t="s">
        <v>1064</v>
      </c>
      <c r="W336" s="46" t="s">
        <v>1064</v>
      </c>
      <c r="X336" s="46"/>
      <c r="Y336" s="46"/>
      <c r="Z336" s="46"/>
      <c r="AA336" s="46"/>
      <c r="AB336" s="46"/>
      <c r="AC336" s="46" t="s">
        <v>1064</v>
      </c>
      <c r="AD336" s="46"/>
      <c r="AE336" s="46"/>
      <c r="AF336" s="46"/>
      <c r="AG336" s="46"/>
      <c r="AH336" s="46"/>
      <c r="AI336" s="46"/>
      <c r="AJ336" s="46"/>
      <c r="AK336" s="46"/>
      <c r="AL336" s="46" t="s">
        <v>1064</v>
      </c>
      <c r="AM336" s="46"/>
      <c r="AN336" s="46"/>
      <c r="AO336" s="46"/>
      <c r="AP336" s="46" t="s">
        <v>1064</v>
      </c>
      <c r="AQ336" s="46"/>
      <c r="AR336" s="46"/>
      <c r="AS336" s="46" t="s">
        <v>584</v>
      </c>
      <c r="AT336" s="46" t="s">
        <v>314</v>
      </c>
      <c r="AU336" s="46" t="s">
        <v>626</v>
      </c>
      <c r="AV336" s="46" t="s">
        <v>2396</v>
      </c>
      <c r="AW336" s="46"/>
      <c r="AX336" s="46"/>
      <c r="AY336" s="46"/>
      <c r="AZ33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</row>
    <row r="337" spans="1:75" ht="150" x14ac:dyDescent="0.25">
      <c r="A337" s="47" t="s">
        <v>2427</v>
      </c>
      <c r="B337" s="45" t="s">
        <v>305</v>
      </c>
      <c r="C337" s="45" t="s">
        <v>2763</v>
      </c>
      <c r="D337" s="46" t="s">
        <v>2736</v>
      </c>
      <c r="E337" s="25" t="s">
        <v>2</v>
      </c>
      <c r="F337" s="48" t="s">
        <v>36</v>
      </c>
      <c r="G337" s="62" t="s">
        <v>2760</v>
      </c>
      <c r="H337" s="63" t="s">
        <v>2249</v>
      </c>
      <c r="I337" s="46" t="s">
        <v>4253</v>
      </c>
      <c r="J337" s="46" t="s">
        <v>1064</v>
      </c>
      <c r="K337" s="46" t="s">
        <v>626</v>
      </c>
      <c r="L337" s="46" t="s">
        <v>4191</v>
      </c>
      <c r="M337" s="46" t="s">
        <v>4443</v>
      </c>
      <c r="N337" s="46" t="s">
        <v>4191</v>
      </c>
      <c r="O337" s="46" t="s">
        <v>626</v>
      </c>
      <c r="P337" s="46" t="s">
        <v>626</v>
      </c>
      <c r="Q337" s="46" t="s">
        <v>194</v>
      </c>
      <c r="R337" s="46" t="s">
        <v>4293</v>
      </c>
      <c r="S337" s="46" t="s">
        <v>4294</v>
      </c>
      <c r="T337" s="46" t="s">
        <v>4191</v>
      </c>
      <c r="U337" s="46" t="s">
        <v>2873</v>
      </c>
      <c r="V337" s="46" t="s">
        <v>1064</v>
      </c>
      <c r="W337" s="46" t="s">
        <v>1064</v>
      </c>
      <c r="X337" s="46"/>
      <c r="Y337" s="46"/>
      <c r="Z337" s="46"/>
      <c r="AA337" s="46"/>
      <c r="AB337" s="46"/>
      <c r="AC337" s="46" t="s">
        <v>1064</v>
      </c>
      <c r="AD337" s="46"/>
      <c r="AE337" s="46"/>
      <c r="AF337" s="46"/>
      <c r="AG337" s="46"/>
      <c r="AH337" s="46"/>
      <c r="AI337" s="46"/>
      <c r="AJ337" s="46"/>
      <c r="AK337" s="46"/>
      <c r="AL337" s="46" t="s">
        <v>1064</v>
      </c>
      <c r="AM337" s="46"/>
      <c r="AN337" s="46"/>
      <c r="AO337" s="46"/>
      <c r="AP337" s="46" t="s">
        <v>1064</v>
      </c>
      <c r="AQ337" s="46"/>
      <c r="AR337" s="46"/>
      <c r="AS337" s="46" t="s">
        <v>583</v>
      </c>
      <c r="AT337" s="46" t="s">
        <v>2</v>
      </c>
      <c r="AU337" s="46" t="s">
        <v>626</v>
      </c>
      <c r="AV337" s="46" t="s">
        <v>2392</v>
      </c>
      <c r="AW337" s="46" t="s">
        <v>2249</v>
      </c>
      <c r="AX337" s="46" t="s">
        <v>34</v>
      </c>
      <c r="AY337" s="46"/>
      <c r="AZ337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</row>
    <row r="338" spans="1:75" ht="75" x14ac:dyDescent="0.25">
      <c r="A338" s="47" t="s">
        <v>2428</v>
      </c>
      <c r="B338" s="45" t="s">
        <v>305</v>
      </c>
      <c r="C338" s="45" t="s">
        <v>2764</v>
      </c>
      <c r="D338" s="46" t="s">
        <v>2736</v>
      </c>
      <c r="E338" s="25" t="s">
        <v>2</v>
      </c>
      <c r="F338" s="48" t="s">
        <v>90</v>
      </c>
      <c r="G338" s="62" t="s">
        <v>2844</v>
      </c>
      <c r="H338" s="63" t="s">
        <v>2249</v>
      </c>
      <c r="I338" s="46" t="s">
        <v>194</v>
      </c>
      <c r="J338" s="46" t="s">
        <v>1064</v>
      </c>
      <c r="K338" s="46" t="s">
        <v>626</v>
      </c>
      <c r="L338" s="46" t="s">
        <v>626</v>
      </c>
      <c r="M338" s="46" t="s">
        <v>4292</v>
      </c>
      <c r="N338" s="46" t="s">
        <v>4191</v>
      </c>
      <c r="O338" s="46" t="s">
        <v>626</v>
      </c>
      <c r="P338" s="46" t="s">
        <v>626</v>
      </c>
      <c r="Q338" s="46" t="s">
        <v>194</v>
      </c>
      <c r="R338" s="46" t="s">
        <v>194</v>
      </c>
      <c r="S338" s="46" t="s">
        <v>194</v>
      </c>
      <c r="T338" s="46" t="s">
        <v>626</v>
      </c>
      <c r="U338" s="46" t="s">
        <v>2873</v>
      </c>
      <c r="V338" s="46" t="s">
        <v>1064</v>
      </c>
      <c r="W338" s="46" t="s">
        <v>1064</v>
      </c>
      <c r="X338" s="46"/>
      <c r="Y338" s="46"/>
      <c r="Z338" s="46"/>
      <c r="AA338" s="46"/>
      <c r="AB338" s="46"/>
      <c r="AC338" s="46" t="s">
        <v>1064</v>
      </c>
      <c r="AD338" s="46"/>
      <c r="AE338" s="46"/>
      <c r="AF338" s="46"/>
      <c r="AG338" s="46"/>
      <c r="AH338" s="46"/>
      <c r="AI338" s="46"/>
      <c r="AJ338" s="46"/>
      <c r="AK338" s="46"/>
      <c r="AL338" s="46" t="s">
        <v>1064</v>
      </c>
      <c r="AM338" s="46"/>
      <c r="AN338" s="46"/>
      <c r="AO338" s="46"/>
      <c r="AP338" s="46" t="s">
        <v>1064</v>
      </c>
      <c r="AQ338" s="46"/>
      <c r="AR338" s="46"/>
      <c r="AS338" s="46" t="s">
        <v>586</v>
      </c>
      <c r="AT338" s="46" t="s">
        <v>308</v>
      </c>
      <c r="AU338" s="46" t="s">
        <v>626</v>
      </c>
      <c r="AV338" s="46" t="s">
        <v>2394</v>
      </c>
      <c r="AW338" s="46" t="s">
        <v>2249</v>
      </c>
      <c r="AX338" s="46" t="s">
        <v>34</v>
      </c>
      <c r="AY338" s="46"/>
      <c r="AZ338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</row>
    <row r="339" spans="1:75" ht="75" x14ac:dyDescent="0.25">
      <c r="A339" s="47" t="s">
        <v>2430</v>
      </c>
      <c r="B339" s="45" t="s">
        <v>305</v>
      </c>
      <c r="C339" s="45" t="s">
        <v>2765</v>
      </c>
      <c r="D339" s="46" t="s">
        <v>2736</v>
      </c>
      <c r="E339" s="25" t="s">
        <v>2</v>
      </c>
      <c r="F339" s="48" t="s">
        <v>314</v>
      </c>
      <c r="G339" s="62" t="s">
        <v>2845</v>
      </c>
      <c r="H339" s="63"/>
      <c r="I339" s="46" t="s">
        <v>194</v>
      </c>
      <c r="J339" s="46" t="s">
        <v>1064</v>
      </c>
      <c r="K339" s="46" t="s">
        <v>626</v>
      </c>
      <c r="L339" s="46" t="s">
        <v>626</v>
      </c>
      <c r="M339" s="46" t="s">
        <v>4292</v>
      </c>
      <c r="N339" s="46" t="s">
        <v>4191</v>
      </c>
      <c r="O339" s="46" t="s">
        <v>626</v>
      </c>
      <c r="P339" s="46" t="s">
        <v>626</v>
      </c>
      <c r="Q339" s="46" t="s">
        <v>194</v>
      </c>
      <c r="R339" s="46" t="s">
        <v>194</v>
      </c>
      <c r="S339" s="46" t="s">
        <v>194</v>
      </c>
      <c r="T339" s="46" t="s">
        <v>626</v>
      </c>
      <c r="U339" s="46" t="s">
        <v>2873</v>
      </c>
      <c r="V339" s="46" t="s">
        <v>1064</v>
      </c>
      <c r="W339" s="46" t="s">
        <v>1064</v>
      </c>
      <c r="X339" s="46"/>
      <c r="Y339" s="46"/>
      <c r="Z339" s="46"/>
      <c r="AA339" s="46"/>
      <c r="AB339" s="46"/>
      <c r="AC339" s="46" t="s">
        <v>1064</v>
      </c>
      <c r="AD339" s="46"/>
      <c r="AE339" s="46"/>
      <c r="AF339" s="46"/>
      <c r="AG339" s="46"/>
      <c r="AH339" s="46"/>
      <c r="AI339" s="46"/>
      <c r="AJ339" s="46"/>
      <c r="AK339" s="46"/>
      <c r="AL339" s="46" t="s">
        <v>1064</v>
      </c>
      <c r="AM339" s="46"/>
      <c r="AN339" s="46"/>
      <c r="AO339" s="46"/>
      <c r="AP339" s="46" t="s">
        <v>1064</v>
      </c>
      <c r="AQ339" s="46"/>
      <c r="AR339" s="46"/>
      <c r="AS339" s="46" t="s">
        <v>584</v>
      </c>
      <c r="AT339" s="46" t="s">
        <v>314</v>
      </c>
      <c r="AU339" s="46" t="s">
        <v>626</v>
      </c>
      <c r="AV339" s="46" t="s">
        <v>2396</v>
      </c>
      <c r="AW339" s="46"/>
      <c r="AX339" s="46"/>
      <c r="AY339" s="46"/>
      <c r="AZ339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</row>
    <row r="340" spans="1:75" ht="150" x14ac:dyDescent="0.25">
      <c r="A340" s="47" t="s">
        <v>2431</v>
      </c>
      <c r="B340" s="45" t="s">
        <v>305</v>
      </c>
      <c r="C340" s="45" t="s">
        <v>2766</v>
      </c>
      <c r="D340" s="46" t="s">
        <v>2736</v>
      </c>
      <c r="E340" s="25" t="s">
        <v>2</v>
      </c>
      <c r="F340" s="48" t="s">
        <v>36</v>
      </c>
      <c r="G340" s="62" t="s">
        <v>2760</v>
      </c>
      <c r="H340" s="63" t="s">
        <v>2251</v>
      </c>
      <c r="I340" s="46" t="s">
        <v>4253</v>
      </c>
      <c r="J340" s="46" t="s">
        <v>1064</v>
      </c>
      <c r="K340" s="46" t="s">
        <v>626</v>
      </c>
      <c r="L340" s="46" t="s">
        <v>4191</v>
      </c>
      <c r="M340" s="46" t="s">
        <v>4443</v>
      </c>
      <c r="N340" s="46" t="s">
        <v>4191</v>
      </c>
      <c r="O340" s="46" t="s">
        <v>626</v>
      </c>
      <c r="P340" s="46" t="s">
        <v>626</v>
      </c>
      <c r="Q340" s="46" t="s">
        <v>194</v>
      </c>
      <c r="R340" s="46" t="s">
        <v>4293</v>
      </c>
      <c r="S340" s="46" t="s">
        <v>4294</v>
      </c>
      <c r="T340" s="46" t="s">
        <v>4191</v>
      </c>
      <c r="U340" s="46" t="s">
        <v>2873</v>
      </c>
      <c r="V340" s="46" t="s">
        <v>1064</v>
      </c>
      <c r="W340" s="46" t="s">
        <v>1064</v>
      </c>
      <c r="X340" s="46"/>
      <c r="Y340" s="46"/>
      <c r="Z340" s="46"/>
      <c r="AA340" s="46"/>
      <c r="AB340" s="46"/>
      <c r="AC340" s="46" t="s">
        <v>1064</v>
      </c>
      <c r="AD340" s="46"/>
      <c r="AE340" s="46"/>
      <c r="AF340" s="46"/>
      <c r="AG340" s="46"/>
      <c r="AH340" s="46"/>
      <c r="AI340" s="46"/>
      <c r="AJ340" s="46"/>
      <c r="AK340" s="46"/>
      <c r="AL340" s="46" t="s">
        <v>1064</v>
      </c>
      <c r="AM340" s="46"/>
      <c r="AN340" s="46"/>
      <c r="AO340" s="46"/>
      <c r="AP340" s="46" t="s">
        <v>1064</v>
      </c>
      <c r="AQ340" s="46"/>
      <c r="AR340" s="46"/>
      <c r="AS340" s="46" t="s">
        <v>583</v>
      </c>
      <c r="AT340" s="46" t="s">
        <v>2</v>
      </c>
      <c r="AU340" s="46" t="s">
        <v>626</v>
      </c>
      <c r="AV340" s="46" t="s">
        <v>2392</v>
      </c>
      <c r="AW340" s="46" t="s">
        <v>2251</v>
      </c>
      <c r="AX340" s="46" t="s">
        <v>34</v>
      </c>
      <c r="AY340" s="46"/>
      <c r="AZ340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</row>
    <row r="341" spans="1:75" ht="75" x14ac:dyDescent="0.25">
      <c r="A341" s="47" t="s">
        <v>2433</v>
      </c>
      <c r="B341" s="45" t="s">
        <v>305</v>
      </c>
      <c r="C341" s="45" t="s">
        <v>2767</v>
      </c>
      <c r="D341" s="46" t="s">
        <v>2736</v>
      </c>
      <c r="E341" s="25" t="s">
        <v>2</v>
      </c>
      <c r="F341" s="48" t="s">
        <v>90</v>
      </c>
      <c r="G341" s="62" t="s">
        <v>2844</v>
      </c>
      <c r="H341" s="63" t="s">
        <v>2251</v>
      </c>
      <c r="I341" s="46" t="s">
        <v>194</v>
      </c>
      <c r="J341" s="46" t="s">
        <v>1064</v>
      </c>
      <c r="K341" s="46" t="s">
        <v>626</v>
      </c>
      <c r="L341" s="46" t="s">
        <v>626</v>
      </c>
      <c r="M341" s="46" t="s">
        <v>4292</v>
      </c>
      <c r="N341" s="46" t="s">
        <v>4191</v>
      </c>
      <c r="O341" s="46" t="s">
        <v>626</v>
      </c>
      <c r="P341" s="46" t="s">
        <v>626</v>
      </c>
      <c r="Q341" s="46" t="s">
        <v>194</v>
      </c>
      <c r="R341" s="46" t="s">
        <v>194</v>
      </c>
      <c r="S341" s="46" t="s">
        <v>194</v>
      </c>
      <c r="T341" s="46" t="s">
        <v>626</v>
      </c>
      <c r="U341" s="46" t="s">
        <v>2873</v>
      </c>
      <c r="V341" s="46" t="s">
        <v>1064</v>
      </c>
      <c r="W341" s="46" t="s">
        <v>1064</v>
      </c>
      <c r="X341" s="46"/>
      <c r="Y341" s="46"/>
      <c r="Z341" s="46"/>
      <c r="AA341" s="46"/>
      <c r="AB341" s="46"/>
      <c r="AC341" s="46" t="s">
        <v>1064</v>
      </c>
      <c r="AD341" s="46"/>
      <c r="AE341" s="46"/>
      <c r="AF341" s="46"/>
      <c r="AG341" s="46"/>
      <c r="AH341" s="46"/>
      <c r="AI341" s="46"/>
      <c r="AJ341" s="46"/>
      <c r="AK341" s="46"/>
      <c r="AL341" s="46" t="s">
        <v>1064</v>
      </c>
      <c r="AM341" s="46"/>
      <c r="AN341" s="46"/>
      <c r="AO341" s="46"/>
      <c r="AP341" s="46" t="s">
        <v>1064</v>
      </c>
      <c r="AQ341" s="46"/>
      <c r="AR341" s="46"/>
      <c r="AS341" s="46" t="s">
        <v>586</v>
      </c>
      <c r="AT341" s="46" t="s">
        <v>308</v>
      </c>
      <c r="AU341" s="46" t="s">
        <v>626</v>
      </c>
      <c r="AV341" s="46" t="s">
        <v>2394</v>
      </c>
      <c r="AW341" s="46" t="s">
        <v>2251</v>
      </c>
      <c r="AX341" s="46" t="s">
        <v>34</v>
      </c>
      <c r="AY341" s="46"/>
      <c r="AZ341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</row>
    <row r="342" spans="1:75" ht="75" x14ac:dyDescent="0.25">
      <c r="A342" s="47" t="s">
        <v>2435</v>
      </c>
      <c r="B342" s="45" t="s">
        <v>305</v>
      </c>
      <c r="C342" s="45" t="s">
        <v>2768</v>
      </c>
      <c r="D342" s="46" t="s">
        <v>2736</v>
      </c>
      <c r="E342" s="25" t="s">
        <v>2</v>
      </c>
      <c r="F342" s="48" t="s">
        <v>314</v>
      </c>
      <c r="G342" s="62" t="s">
        <v>2845</v>
      </c>
      <c r="H342" s="63" t="s">
        <v>2251</v>
      </c>
      <c r="I342" s="46" t="s">
        <v>194</v>
      </c>
      <c r="J342" s="46" t="s">
        <v>1064</v>
      </c>
      <c r="K342" s="46" t="s">
        <v>626</v>
      </c>
      <c r="L342" s="46" t="s">
        <v>626</v>
      </c>
      <c r="M342" s="46" t="s">
        <v>4292</v>
      </c>
      <c r="N342" s="46" t="s">
        <v>4191</v>
      </c>
      <c r="O342" s="46" t="s">
        <v>626</v>
      </c>
      <c r="P342" s="46" t="s">
        <v>626</v>
      </c>
      <c r="Q342" s="46" t="s">
        <v>194</v>
      </c>
      <c r="R342" s="46" t="s">
        <v>194</v>
      </c>
      <c r="S342" s="46" t="s">
        <v>194</v>
      </c>
      <c r="T342" s="46" t="s">
        <v>626</v>
      </c>
      <c r="U342" s="46" t="s">
        <v>2873</v>
      </c>
      <c r="V342" s="46" t="s">
        <v>1064</v>
      </c>
      <c r="W342" s="46" t="s">
        <v>1064</v>
      </c>
      <c r="X342" s="46"/>
      <c r="Y342" s="46"/>
      <c r="Z342" s="46"/>
      <c r="AA342" s="46"/>
      <c r="AB342" s="46"/>
      <c r="AC342" s="46" t="s">
        <v>1064</v>
      </c>
      <c r="AD342" s="46"/>
      <c r="AE342" s="46"/>
      <c r="AF342" s="46"/>
      <c r="AG342" s="46"/>
      <c r="AH342" s="46"/>
      <c r="AI342" s="46"/>
      <c r="AJ342" s="46"/>
      <c r="AK342" s="46"/>
      <c r="AL342" s="46" t="s">
        <v>1064</v>
      </c>
      <c r="AM342" s="46"/>
      <c r="AN342" s="46"/>
      <c r="AO342" s="46"/>
      <c r="AP342" s="46" t="s">
        <v>1064</v>
      </c>
      <c r="AQ342" s="46"/>
      <c r="AR342" s="46"/>
      <c r="AS342" s="46" t="s">
        <v>584</v>
      </c>
      <c r="AT342" s="46" t="s">
        <v>314</v>
      </c>
      <c r="AU342" s="46" t="s">
        <v>626</v>
      </c>
      <c r="AV342" s="46" t="s">
        <v>2396</v>
      </c>
      <c r="AW342" s="46" t="s">
        <v>2251</v>
      </c>
      <c r="AX342" s="46" t="s">
        <v>34</v>
      </c>
      <c r="AY342" s="46"/>
      <c r="AZ342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</row>
    <row r="343" spans="1:75" ht="150" x14ac:dyDescent="0.25">
      <c r="A343" s="47" t="s">
        <v>2437</v>
      </c>
      <c r="B343" s="45" t="s">
        <v>305</v>
      </c>
      <c r="C343" s="45" t="s">
        <v>2769</v>
      </c>
      <c r="D343" s="46" t="s">
        <v>2736</v>
      </c>
      <c r="E343" s="25" t="s">
        <v>2</v>
      </c>
      <c r="F343" s="48" t="s">
        <v>36</v>
      </c>
      <c r="G343" s="62" t="s">
        <v>2760</v>
      </c>
      <c r="H343" s="63" t="s">
        <v>2253</v>
      </c>
      <c r="I343" s="46" t="s">
        <v>4253</v>
      </c>
      <c r="J343" s="46" t="s">
        <v>1064</v>
      </c>
      <c r="K343" s="46" t="s">
        <v>626</v>
      </c>
      <c r="L343" s="46" t="s">
        <v>4191</v>
      </c>
      <c r="M343" s="46" t="s">
        <v>4443</v>
      </c>
      <c r="N343" s="46" t="s">
        <v>4191</v>
      </c>
      <c r="O343" s="46" t="s">
        <v>626</v>
      </c>
      <c r="P343" s="46" t="s">
        <v>626</v>
      </c>
      <c r="Q343" s="46" t="s">
        <v>194</v>
      </c>
      <c r="R343" s="46" t="s">
        <v>4293</v>
      </c>
      <c r="S343" s="46" t="s">
        <v>4294</v>
      </c>
      <c r="T343" s="46" t="s">
        <v>4191</v>
      </c>
      <c r="U343" s="46" t="s">
        <v>2873</v>
      </c>
      <c r="V343" s="46" t="s">
        <v>1064</v>
      </c>
      <c r="W343" s="46" t="s">
        <v>1064</v>
      </c>
      <c r="X343" s="46"/>
      <c r="Y343" s="46"/>
      <c r="Z343" s="46"/>
      <c r="AA343" s="46"/>
      <c r="AB343" s="46"/>
      <c r="AC343" s="46" t="s">
        <v>1064</v>
      </c>
      <c r="AD343" s="46"/>
      <c r="AE343" s="46"/>
      <c r="AF343" s="46"/>
      <c r="AG343" s="46"/>
      <c r="AH343" s="46"/>
      <c r="AI343" s="46"/>
      <c r="AJ343" s="46"/>
      <c r="AK343" s="46"/>
      <c r="AL343" s="46" t="s">
        <v>1064</v>
      </c>
      <c r="AM343" s="46"/>
      <c r="AN343" s="46"/>
      <c r="AO343" s="46"/>
      <c r="AP343" s="46" t="s">
        <v>1064</v>
      </c>
      <c r="AQ343" s="46"/>
      <c r="AR343" s="46"/>
      <c r="AS343" s="46" t="s">
        <v>583</v>
      </c>
      <c r="AT343" s="46" t="s">
        <v>2</v>
      </c>
      <c r="AU343" s="46" t="s">
        <v>626</v>
      </c>
      <c r="AV343" s="46" t="s">
        <v>2392</v>
      </c>
      <c r="AW343" s="46" t="s">
        <v>2253</v>
      </c>
      <c r="AX343" s="46" t="s">
        <v>34</v>
      </c>
      <c r="AY343" s="46"/>
      <c r="AZ343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</row>
    <row r="344" spans="1:75" ht="75" x14ac:dyDescent="0.25">
      <c r="A344" s="47" t="s">
        <v>2438</v>
      </c>
      <c r="B344" s="45" t="s">
        <v>305</v>
      </c>
      <c r="C344" s="45" t="s">
        <v>2770</v>
      </c>
      <c r="D344" s="46" t="s">
        <v>2736</v>
      </c>
      <c r="E344" s="25" t="s">
        <v>2</v>
      </c>
      <c r="F344" s="48" t="s">
        <v>90</v>
      </c>
      <c r="G344" s="62" t="s">
        <v>2844</v>
      </c>
      <c r="H344" s="63" t="s">
        <v>2253</v>
      </c>
      <c r="I344" s="46" t="s">
        <v>194</v>
      </c>
      <c r="J344" s="46" t="s">
        <v>1064</v>
      </c>
      <c r="K344" s="46" t="s">
        <v>626</v>
      </c>
      <c r="L344" s="46" t="s">
        <v>626</v>
      </c>
      <c r="M344" s="46" t="s">
        <v>4292</v>
      </c>
      <c r="N344" s="46" t="s">
        <v>4191</v>
      </c>
      <c r="O344" s="46" t="s">
        <v>626</v>
      </c>
      <c r="P344" s="46" t="s">
        <v>626</v>
      </c>
      <c r="Q344" s="46" t="s">
        <v>194</v>
      </c>
      <c r="R344" s="46" t="s">
        <v>194</v>
      </c>
      <c r="S344" s="46" t="s">
        <v>194</v>
      </c>
      <c r="T344" s="46" t="s">
        <v>626</v>
      </c>
      <c r="U344" s="46" t="s">
        <v>2873</v>
      </c>
      <c r="V344" s="46" t="s">
        <v>1064</v>
      </c>
      <c r="W344" s="46" t="s">
        <v>1064</v>
      </c>
      <c r="X344" s="46"/>
      <c r="Y344" s="46"/>
      <c r="Z344" s="46"/>
      <c r="AA344" s="46"/>
      <c r="AB344" s="46"/>
      <c r="AC344" s="46" t="s">
        <v>1064</v>
      </c>
      <c r="AD344" s="46"/>
      <c r="AE344" s="46"/>
      <c r="AF344" s="46"/>
      <c r="AG344" s="46"/>
      <c r="AH344" s="46"/>
      <c r="AI344" s="46"/>
      <c r="AJ344" s="46"/>
      <c r="AK344" s="46"/>
      <c r="AL344" s="46" t="s">
        <v>1064</v>
      </c>
      <c r="AM344" s="46"/>
      <c r="AN344" s="46"/>
      <c r="AO344" s="46"/>
      <c r="AP344" s="46" t="s">
        <v>1064</v>
      </c>
      <c r="AQ344" s="46"/>
      <c r="AR344" s="46"/>
      <c r="AS344" s="46" t="s">
        <v>586</v>
      </c>
      <c r="AT344" s="46" t="s">
        <v>308</v>
      </c>
      <c r="AU344" s="46" t="s">
        <v>626</v>
      </c>
      <c r="AV344" s="46" t="s">
        <v>2394</v>
      </c>
      <c r="AW344" s="46" t="s">
        <v>2253</v>
      </c>
      <c r="AX344" s="46" t="s">
        <v>34</v>
      </c>
      <c r="AY344" s="46"/>
      <c r="AZ344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</row>
    <row r="345" spans="1:75" ht="75" x14ac:dyDescent="0.25">
      <c r="A345" s="47" t="s">
        <v>2439</v>
      </c>
      <c r="B345" s="45" t="s">
        <v>305</v>
      </c>
      <c r="C345" s="45" t="s">
        <v>2771</v>
      </c>
      <c r="D345" s="46" t="s">
        <v>2736</v>
      </c>
      <c r="E345" s="25" t="s">
        <v>2</v>
      </c>
      <c r="F345" s="48" t="s">
        <v>314</v>
      </c>
      <c r="G345" s="62" t="s">
        <v>2845</v>
      </c>
      <c r="H345" s="63"/>
      <c r="I345" s="46" t="s">
        <v>194</v>
      </c>
      <c r="J345" s="46" t="s">
        <v>1064</v>
      </c>
      <c r="K345" s="46" t="s">
        <v>626</v>
      </c>
      <c r="L345" s="46" t="s">
        <v>626</v>
      </c>
      <c r="M345" s="46" t="s">
        <v>4292</v>
      </c>
      <c r="N345" s="46" t="s">
        <v>4191</v>
      </c>
      <c r="O345" s="46" t="s">
        <v>626</v>
      </c>
      <c r="P345" s="46" t="s">
        <v>626</v>
      </c>
      <c r="Q345" s="46" t="s">
        <v>194</v>
      </c>
      <c r="R345" s="46" t="s">
        <v>194</v>
      </c>
      <c r="S345" s="46" t="s">
        <v>194</v>
      </c>
      <c r="T345" s="46" t="s">
        <v>626</v>
      </c>
      <c r="U345" s="46" t="s">
        <v>2873</v>
      </c>
      <c r="V345" s="46" t="s">
        <v>1064</v>
      </c>
      <c r="W345" s="46" t="s">
        <v>1064</v>
      </c>
      <c r="X345" s="46"/>
      <c r="Y345" s="46"/>
      <c r="Z345" s="46"/>
      <c r="AA345" s="46"/>
      <c r="AB345" s="46"/>
      <c r="AC345" s="46" t="s">
        <v>1064</v>
      </c>
      <c r="AD345" s="46"/>
      <c r="AE345" s="46"/>
      <c r="AF345" s="46"/>
      <c r="AG345" s="46"/>
      <c r="AH345" s="46"/>
      <c r="AI345" s="46"/>
      <c r="AJ345" s="46"/>
      <c r="AK345" s="46"/>
      <c r="AL345" s="46" t="s">
        <v>1064</v>
      </c>
      <c r="AM345" s="46"/>
      <c r="AN345" s="46"/>
      <c r="AO345" s="46"/>
      <c r="AP345" s="46" t="s">
        <v>1064</v>
      </c>
      <c r="AQ345" s="46"/>
      <c r="AR345" s="46"/>
      <c r="AS345" s="46" t="s">
        <v>584</v>
      </c>
      <c r="AT345" s="46" t="s">
        <v>314</v>
      </c>
      <c r="AU345" s="46" t="s">
        <v>626</v>
      </c>
      <c r="AV345" s="46" t="s">
        <v>2396</v>
      </c>
      <c r="AW345" s="46"/>
      <c r="AX345" s="46"/>
      <c r="AY345" s="46"/>
      <c r="AZ345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</row>
    <row r="346" spans="1:75" ht="150" x14ac:dyDescent="0.25">
      <c r="A346" s="47" t="s">
        <v>2372</v>
      </c>
      <c r="B346" s="45" t="s">
        <v>305</v>
      </c>
      <c r="C346" s="45" t="s">
        <v>2772</v>
      </c>
      <c r="D346" s="46" t="s">
        <v>2736</v>
      </c>
      <c r="E346" s="25" t="s">
        <v>2</v>
      </c>
      <c r="F346" s="48" t="s">
        <v>36</v>
      </c>
      <c r="G346" s="62" t="s">
        <v>2760</v>
      </c>
      <c r="H346" s="63" t="s">
        <v>2234</v>
      </c>
      <c r="I346" s="46" t="s">
        <v>4253</v>
      </c>
      <c r="J346" s="46" t="s">
        <v>1064</v>
      </c>
      <c r="K346" s="46" t="s">
        <v>626</v>
      </c>
      <c r="L346" s="46" t="s">
        <v>4191</v>
      </c>
      <c r="M346" s="46" t="s">
        <v>4443</v>
      </c>
      <c r="N346" s="46" t="s">
        <v>4191</v>
      </c>
      <c r="O346" s="46" t="s">
        <v>626</v>
      </c>
      <c r="P346" s="46" t="s">
        <v>626</v>
      </c>
      <c r="Q346" s="46" t="s">
        <v>194</v>
      </c>
      <c r="R346" s="46" t="s">
        <v>4293</v>
      </c>
      <c r="S346" s="46" t="s">
        <v>4294</v>
      </c>
      <c r="T346" s="46" t="s">
        <v>4191</v>
      </c>
      <c r="U346" s="46" t="s">
        <v>2873</v>
      </c>
      <c r="V346" s="46" t="s">
        <v>1064</v>
      </c>
      <c r="W346" s="46" t="s">
        <v>1064</v>
      </c>
      <c r="X346" s="46"/>
      <c r="Y346" s="46"/>
      <c r="Z346" s="46"/>
      <c r="AA346" s="46"/>
      <c r="AB346" s="46"/>
      <c r="AC346" s="46" t="s">
        <v>1064</v>
      </c>
      <c r="AD346" s="46"/>
      <c r="AE346" s="46"/>
      <c r="AF346" s="46"/>
      <c r="AG346" s="46"/>
      <c r="AH346" s="46"/>
      <c r="AI346" s="46"/>
      <c r="AJ346" s="46"/>
      <c r="AK346" s="46"/>
      <c r="AL346" s="46" t="s">
        <v>1064</v>
      </c>
      <c r="AM346" s="46"/>
      <c r="AN346" s="46"/>
      <c r="AO346" s="46"/>
      <c r="AP346" s="46" t="s">
        <v>1064</v>
      </c>
      <c r="AQ346" s="46"/>
      <c r="AR346" s="46"/>
      <c r="AS346" s="46" t="s">
        <v>583</v>
      </c>
      <c r="AT346" s="46" t="s">
        <v>2</v>
      </c>
      <c r="AU346" s="46" t="s">
        <v>626</v>
      </c>
      <c r="AV346" s="46" t="s">
        <v>2392</v>
      </c>
      <c r="AW346" s="46" t="s">
        <v>2234</v>
      </c>
      <c r="AX346" s="46" t="s">
        <v>34</v>
      </c>
      <c r="AY346" s="46"/>
      <c r="AZ3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</row>
    <row r="347" spans="1:75" ht="75" x14ac:dyDescent="0.25">
      <c r="A347" s="47" t="s">
        <v>2773</v>
      </c>
      <c r="B347" s="45" t="s">
        <v>305</v>
      </c>
      <c r="C347" s="45" t="s">
        <v>2774</v>
      </c>
      <c r="D347" s="46" t="s">
        <v>2736</v>
      </c>
      <c r="E347" s="25" t="s">
        <v>2</v>
      </c>
      <c r="F347" s="48" t="s">
        <v>90</v>
      </c>
      <c r="G347" s="62" t="s">
        <v>2844</v>
      </c>
      <c r="H347" s="63"/>
      <c r="I347" s="46" t="s">
        <v>194</v>
      </c>
      <c r="J347" s="46" t="s">
        <v>1064</v>
      </c>
      <c r="K347" s="46" t="s">
        <v>626</v>
      </c>
      <c r="L347" s="46" t="s">
        <v>626</v>
      </c>
      <c r="M347" s="46" t="s">
        <v>4292</v>
      </c>
      <c r="N347" s="46" t="s">
        <v>4191</v>
      </c>
      <c r="O347" s="46" t="s">
        <v>626</v>
      </c>
      <c r="P347" s="46" t="s">
        <v>626</v>
      </c>
      <c r="Q347" s="46" t="s">
        <v>194</v>
      </c>
      <c r="R347" s="46" t="s">
        <v>194</v>
      </c>
      <c r="S347" s="46" t="s">
        <v>194</v>
      </c>
      <c r="T347" s="46" t="s">
        <v>626</v>
      </c>
      <c r="U347" s="46" t="s">
        <v>2873</v>
      </c>
      <c r="V347" s="46" t="s">
        <v>1064</v>
      </c>
      <c r="W347" s="46" t="s">
        <v>1064</v>
      </c>
      <c r="X347" s="46"/>
      <c r="Y347" s="46"/>
      <c r="Z347" s="46"/>
      <c r="AA347" s="46"/>
      <c r="AB347" s="46"/>
      <c r="AC347" s="46" t="s">
        <v>1064</v>
      </c>
      <c r="AD347" s="46"/>
      <c r="AE347" s="46"/>
      <c r="AF347" s="46"/>
      <c r="AG347" s="46"/>
      <c r="AH347" s="46"/>
      <c r="AI347" s="46"/>
      <c r="AJ347" s="46"/>
      <c r="AK347" s="46"/>
      <c r="AL347" s="46" t="s">
        <v>1064</v>
      </c>
      <c r="AM347" s="46"/>
      <c r="AN347" s="46"/>
      <c r="AO347" s="46"/>
      <c r="AP347" s="46" t="s">
        <v>1064</v>
      </c>
      <c r="AQ347" s="46"/>
      <c r="AR347" s="46"/>
      <c r="AS347" s="46" t="s">
        <v>586</v>
      </c>
      <c r="AT347" s="46" t="s">
        <v>308</v>
      </c>
      <c r="AU347" s="46" t="s">
        <v>626</v>
      </c>
      <c r="AV347" s="46" t="s">
        <v>2394</v>
      </c>
      <c r="AW347" s="46"/>
      <c r="AX347" s="46"/>
      <c r="AY347" s="46"/>
      <c r="AZ347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</row>
    <row r="348" spans="1:75" ht="75" x14ac:dyDescent="0.25">
      <c r="A348" s="47" t="s">
        <v>2775</v>
      </c>
      <c r="B348" s="45" t="s">
        <v>305</v>
      </c>
      <c r="C348" s="45" t="s">
        <v>2776</v>
      </c>
      <c r="D348" s="46" t="s">
        <v>2736</v>
      </c>
      <c r="E348" s="25" t="s">
        <v>2</v>
      </c>
      <c r="F348" s="48" t="s">
        <v>314</v>
      </c>
      <c r="G348" s="62" t="s">
        <v>2845</v>
      </c>
      <c r="H348" s="63"/>
      <c r="I348" s="46" t="s">
        <v>194</v>
      </c>
      <c r="J348" s="46" t="s">
        <v>1064</v>
      </c>
      <c r="K348" s="46" t="s">
        <v>626</v>
      </c>
      <c r="L348" s="46" t="s">
        <v>626</v>
      </c>
      <c r="M348" s="46" t="s">
        <v>4292</v>
      </c>
      <c r="N348" s="46" t="s">
        <v>4191</v>
      </c>
      <c r="O348" s="46" t="s">
        <v>626</v>
      </c>
      <c r="P348" s="46" t="s">
        <v>626</v>
      </c>
      <c r="Q348" s="46" t="s">
        <v>194</v>
      </c>
      <c r="R348" s="46" t="s">
        <v>194</v>
      </c>
      <c r="S348" s="46" t="s">
        <v>194</v>
      </c>
      <c r="T348" s="46" t="s">
        <v>626</v>
      </c>
      <c r="U348" s="46" t="s">
        <v>2873</v>
      </c>
      <c r="V348" s="46" t="s">
        <v>1064</v>
      </c>
      <c r="W348" s="46" t="s">
        <v>1064</v>
      </c>
      <c r="X348" s="46"/>
      <c r="Y348" s="46"/>
      <c r="Z348" s="46"/>
      <c r="AA348" s="46"/>
      <c r="AB348" s="46"/>
      <c r="AC348" s="46" t="s">
        <v>1064</v>
      </c>
      <c r="AD348" s="46"/>
      <c r="AE348" s="46"/>
      <c r="AF348" s="46"/>
      <c r="AG348" s="46"/>
      <c r="AH348" s="46"/>
      <c r="AI348" s="46"/>
      <c r="AJ348" s="46"/>
      <c r="AK348" s="46"/>
      <c r="AL348" s="46" t="s">
        <v>1064</v>
      </c>
      <c r="AM348" s="46"/>
      <c r="AN348" s="46"/>
      <c r="AO348" s="46"/>
      <c r="AP348" s="46" t="s">
        <v>1064</v>
      </c>
      <c r="AQ348" s="46"/>
      <c r="AR348" s="46"/>
      <c r="AS348" s="46" t="s">
        <v>584</v>
      </c>
      <c r="AT348" s="46" t="s">
        <v>314</v>
      </c>
      <c r="AU348" s="46" t="s">
        <v>626</v>
      </c>
      <c r="AV348" s="46" t="s">
        <v>2396</v>
      </c>
      <c r="AW348" s="46"/>
      <c r="AX348" s="46"/>
      <c r="AY348" s="46"/>
      <c r="AZ348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</row>
    <row r="349" spans="1:75" ht="150" x14ac:dyDescent="0.25">
      <c r="A349" s="47" t="s">
        <v>2777</v>
      </c>
      <c r="B349" s="45" t="s">
        <v>305</v>
      </c>
      <c r="C349" s="45" t="s">
        <v>2778</v>
      </c>
      <c r="D349" s="46" t="s">
        <v>2736</v>
      </c>
      <c r="E349" s="25" t="s">
        <v>2</v>
      </c>
      <c r="F349" s="48" t="s">
        <v>36</v>
      </c>
      <c r="G349" s="62" t="s">
        <v>2760</v>
      </c>
      <c r="H349" s="63" t="s">
        <v>2641</v>
      </c>
      <c r="I349" s="46" t="s">
        <v>4253</v>
      </c>
      <c r="J349" s="46" t="s">
        <v>1064</v>
      </c>
      <c r="K349" s="46" t="s">
        <v>626</v>
      </c>
      <c r="L349" s="46" t="s">
        <v>4191</v>
      </c>
      <c r="M349" s="46" t="s">
        <v>4443</v>
      </c>
      <c r="N349" s="46" t="s">
        <v>4191</v>
      </c>
      <c r="O349" s="46" t="s">
        <v>626</v>
      </c>
      <c r="P349" s="46" t="s">
        <v>626</v>
      </c>
      <c r="Q349" s="46" t="s">
        <v>194</v>
      </c>
      <c r="R349" s="46" t="s">
        <v>4293</v>
      </c>
      <c r="S349" s="46" t="s">
        <v>4294</v>
      </c>
      <c r="T349" s="46" t="s">
        <v>4191</v>
      </c>
      <c r="U349" s="46" t="s">
        <v>2873</v>
      </c>
      <c r="V349" s="46" t="s">
        <v>1064</v>
      </c>
      <c r="W349" s="46" t="s">
        <v>1064</v>
      </c>
      <c r="X349" s="46"/>
      <c r="Y349" s="46"/>
      <c r="Z349" s="46"/>
      <c r="AA349" s="46"/>
      <c r="AB349" s="46"/>
      <c r="AC349" s="46" t="s">
        <v>1064</v>
      </c>
      <c r="AD349" s="46"/>
      <c r="AE349" s="46"/>
      <c r="AF349" s="46"/>
      <c r="AG349" s="46"/>
      <c r="AH349" s="46"/>
      <c r="AI349" s="46"/>
      <c r="AJ349" s="46"/>
      <c r="AK349" s="46"/>
      <c r="AL349" s="46" t="s">
        <v>1064</v>
      </c>
      <c r="AM349" s="46"/>
      <c r="AN349" s="46"/>
      <c r="AO349" s="46"/>
      <c r="AP349" s="46" t="s">
        <v>1064</v>
      </c>
      <c r="AQ349" s="46"/>
      <c r="AR349" s="46"/>
      <c r="AS349" s="46" t="s">
        <v>583</v>
      </c>
      <c r="AT349" s="46" t="s">
        <v>2</v>
      </c>
      <c r="AU349" s="46" t="s">
        <v>626</v>
      </c>
      <c r="AV349" s="46" t="s">
        <v>2392</v>
      </c>
      <c r="AW349" s="46" t="s">
        <v>2641</v>
      </c>
      <c r="AX349" s="46" t="s">
        <v>34</v>
      </c>
      <c r="AY349" s="46"/>
      <c r="AZ349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</row>
    <row r="350" spans="1:75" ht="75" x14ac:dyDescent="0.25">
      <c r="A350" s="47" t="s">
        <v>2779</v>
      </c>
      <c r="B350" s="45" t="s">
        <v>305</v>
      </c>
      <c r="C350" s="45" t="s">
        <v>2780</v>
      </c>
      <c r="D350" s="46" t="s">
        <v>2736</v>
      </c>
      <c r="E350" s="25" t="s">
        <v>2</v>
      </c>
      <c r="F350" s="48" t="s">
        <v>90</v>
      </c>
      <c r="G350" s="62" t="s">
        <v>2844</v>
      </c>
      <c r="H350" s="63"/>
      <c r="I350" s="46" t="s">
        <v>194</v>
      </c>
      <c r="J350" s="46" t="s">
        <v>1064</v>
      </c>
      <c r="K350" s="46" t="s">
        <v>626</v>
      </c>
      <c r="L350" s="46" t="s">
        <v>626</v>
      </c>
      <c r="M350" s="46" t="s">
        <v>4292</v>
      </c>
      <c r="N350" s="46" t="s">
        <v>4191</v>
      </c>
      <c r="O350" s="46" t="s">
        <v>626</v>
      </c>
      <c r="P350" s="46" t="s">
        <v>626</v>
      </c>
      <c r="Q350" s="46" t="s">
        <v>194</v>
      </c>
      <c r="R350" s="46" t="s">
        <v>194</v>
      </c>
      <c r="S350" s="46" t="s">
        <v>194</v>
      </c>
      <c r="T350" s="46" t="s">
        <v>626</v>
      </c>
      <c r="U350" s="46" t="s">
        <v>2873</v>
      </c>
      <c r="V350" s="46" t="s">
        <v>1064</v>
      </c>
      <c r="W350" s="46" t="s">
        <v>1064</v>
      </c>
      <c r="X350" s="46"/>
      <c r="Y350" s="46"/>
      <c r="Z350" s="46"/>
      <c r="AA350" s="46"/>
      <c r="AB350" s="46"/>
      <c r="AC350" s="46" t="s">
        <v>1064</v>
      </c>
      <c r="AD350" s="46"/>
      <c r="AE350" s="46"/>
      <c r="AF350" s="46"/>
      <c r="AG350" s="46"/>
      <c r="AH350" s="46"/>
      <c r="AI350" s="46"/>
      <c r="AJ350" s="46"/>
      <c r="AK350" s="46"/>
      <c r="AL350" s="46" t="s">
        <v>1064</v>
      </c>
      <c r="AM350" s="46"/>
      <c r="AN350" s="46"/>
      <c r="AO350" s="46"/>
      <c r="AP350" s="46" t="s">
        <v>1064</v>
      </c>
      <c r="AQ350" s="46"/>
      <c r="AR350" s="46"/>
      <c r="AS350" s="46" t="s">
        <v>586</v>
      </c>
      <c r="AT350" s="46" t="s">
        <v>308</v>
      </c>
      <c r="AU350" s="46" t="s">
        <v>626</v>
      </c>
      <c r="AV350" s="46" t="s">
        <v>2394</v>
      </c>
      <c r="AW350" s="46"/>
      <c r="AX350" s="46"/>
      <c r="AY350" s="46"/>
      <c r="AZ350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</row>
    <row r="351" spans="1:75" ht="75" x14ac:dyDescent="0.25">
      <c r="A351" s="47" t="s">
        <v>2781</v>
      </c>
      <c r="B351" s="45" t="s">
        <v>305</v>
      </c>
      <c r="C351" s="45" t="s">
        <v>2782</v>
      </c>
      <c r="D351" s="46" t="s">
        <v>2736</v>
      </c>
      <c r="E351" s="25" t="s">
        <v>2</v>
      </c>
      <c r="F351" s="48" t="s">
        <v>314</v>
      </c>
      <c r="G351" s="62" t="s">
        <v>2845</v>
      </c>
      <c r="H351" s="63"/>
      <c r="I351" s="46" t="s">
        <v>194</v>
      </c>
      <c r="J351" s="46" t="s">
        <v>1064</v>
      </c>
      <c r="K351" s="46" t="s">
        <v>626</v>
      </c>
      <c r="L351" s="46" t="s">
        <v>626</v>
      </c>
      <c r="M351" s="46" t="s">
        <v>4292</v>
      </c>
      <c r="N351" s="46" t="s">
        <v>4191</v>
      </c>
      <c r="O351" s="46" t="s">
        <v>626</v>
      </c>
      <c r="P351" s="46" t="s">
        <v>626</v>
      </c>
      <c r="Q351" s="46" t="s">
        <v>194</v>
      </c>
      <c r="R351" s="46" t="s">
        <v>194</v>
      </c>
      <c r="S351" s="46" t="s">
        <v>194</v>
      </c>
      <c r="T351" s="46" t="s">
        <v>626</v>
      </c>
      <c r="U351" s="46" t="s">
        <v>2873</v>
      </c>
      <c r="V351" s="46" t="s">
        <v>1064</v>
      </c>
      <c r="W351" s="46" t="s">
        <v>1064</v>
      </c>
      <c r="X351" s="46"/>
      <c r="Y351" s="46"/>
      <c r="Z351" s="46"/>
      <c r="AA351" s="46"/>
      <c r="AB351" s="46"/>
      <c r="AC351" s="46" t="s">
        <v>1064</v>
      </c>
      <c r="AD351" s="46"/>
      <c r="AE351" s="46"/>
      <c r="AF351" s="46"/>
      <c r="AG351" s="46"/>
      <c r="AH351" s="46"/>
      <c r="AI351" s="46"/>
      <c r="AJ351" s="46"/>
      <c r="AK351" s="46"/>
      <c r="AL351" s="46" t="s">
        <v>1064</v>
      </c>
      <c r="AM351" s="46"/>
      <c r="AN351" s="46"/>
      <c r="AO351" s="46"/>
      <c r="AP351" s="46" t="s">
        <v>1064</v>
      </c>
      <c r="AQ351" s="46"/>
      <c r="AR351" s="46"/>
      <c r="AS351" s="46" t="s">
        <v>584</v>
      </c>
      <c r="AT351" s="46" t="s">
        <v>314</v>
      </c>
      <c r="AU351" s="46" t="s">
        <v>626</v>
      </c>
      <c r="AV351" s="46" t="s">
        <v>2396</v>
      </c>
      <c r="AW351" s="46"/>
      <c r="AX351" s="46"/>
      <c r="AY351" s="46"/>
      <c r="AZ351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</row>
    <row r="352" spans="1:75" ht="75" x14ac:dyDescent="0.25">
      <c r="A352" s="47" t="s">
        <v>4010</v>
      </c>
      <c r="B352" s="45" t="s">
        <v>305</v>
      </c>
      <c r="C352" s="45" t="s">
        <v>2946</v>
      </c>
      <c r="D352" s="46" t="s">
        <v>2957</v>
      </c>
      <c r="E352" s="25" t="s">
        <v>2</v>
      </c>
      <c r="F352" s="48" t="s">
        <v>308</v>
      </c>
      <c r="G352" s="62" t="s">
        <v>4052</v>
      </c>
      <c r="H352" s="63" t="s">
        <v>2908</v>
      </c>
      <c r="I352" s="46" t="s">
        <v>4457</v>
      </c>
      <c r="J352" s="46" t="s">
        <v>1064</v>
      </c>
      <c r="K352" s="46" t="s">
        <v>626</v>
      </c>
      <c r="L352" s="46" t="s">
        <v>626</v>
      </c>
      <c r="M352" s="46" t="s">
        <v>194</v>
      </c>
      <c r="N352" s="46" t="s">
        <v>4191</v>
      </c>
      <c r="O352" s="46" t="s">
        <v>626</v>
      </c>
      <c r="P352" s="46" t="s">
        <v>626</v>
      </c>
      <c r="Q352" s="46" t="s">
        <v>194</v>
      </c>
      <c r="R352" s="46" t="s">
        <v>194</v>
      </c>
      <c r="S352" s="46" t="s">
        <v>194</v>
      </c>
      <c r="T352" s="46" t="s">
        <v>4191</v>
      </c>
      <c r="U352" s="46" t="s">
        <v>2873</v>
      </c>
      <c r="V352" s="46" t="s">
        <v>1064</v>
      </c>
      <c r="W352" s="46" t="s">
        <v>1064</v>
      </c>
      <c r="X352" s="46"/>
      <c r="Y352" s="46"/>
      <c r="Z352" s="46"/>
      <c r="AA352" s="46"/>
      <c r="AB352" s="46"/>
      <c r="AC352" s="46" t="s">
        <v>1064</v>
      </c>
      <c r="AD352" s="46"/>
      <c r="AE352" s="46"/>
      <c r="AF352" s="46"/>
      <c r="AG352" s="46"/>
      <c r="AH352" s="46"/>
      <c r="AI352" s="46"/>
      <c r="AJ352" s="46"/>
      <c r="AK352" s="46"/>
      <c r="AL352" s="46" t="s">
        <v>1064</v>
      </c>
      <c r="AM352" s="46"/>
      <c r="AN352" s="46"/>
      <c r="AO352" s="46"/>
      <c r="AP352" s="46" t="s">
        <v>1064</v>
      </c>
      <c r="AQ352" s="46"/>
      <c r="AR352" s="46"/>
      <c r="AS352" s="46" t="s">
        <v>584</v>
      </c>
      <c r="AT352" s="46" t="s">
        <v>2</v>
      </c>
      <c r="AU352" s="46" t="s">
        <v>4191</v>
      </c>
      <c r="AV352" s="46" t="s">
        <v>4010</v>
      </c>
      <c r="AW352" s="46" t="s">
        <v>2908</v>
      </c>
      <c r="AX352" s="46" t="s">
        <v>34</v>
      </c>
      <c r="AY352" s="46"/>
      <c r="AZ352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</row>
    <row r="353" spans="1:75" ht="75" x14ac:dyDescent="0.25">
      <c r="A353" s="47" t="s">
        <v>4012</v>
      </c>
      <c r="B353" s="45" t="s">
        <v>305</v>
      </c>
      <c r="C353" s="45" t="s">
        <v>2948</v>
      </c>
      <c r="D353" s="46" t="s">
        <v>2958</v>
      </c>
      <c r="E353" s="25" t="s">
        <v>2</v>
      </c>
      <c r="F353" s="48" t="s">
        <v>90</v>
      </c>
      <c r="G353" s="62" t="s">
        <v>4053</v>
      </c>
      <c r="H353" s="63" t="s">
        <v>2910</v>
      </c>
      <c r="I353" s="46" t="s">
        <v>4457</v>
      </c>
      <c r="J353" s="46" t="s">
        <v>1064</v>
      </c>
      <c r="K353" s="46" t="s">
        <v>626</v>
      </c>
      <c r="L353" s="46" t="s">
        <v>626</v>
      </c>
      <c r="M353" s="46" t="s">
        <v>194</v>
      </c>
      <c r="N353" s="46" t="s">
        <v>4191</v>
      </c>
      <c r="O353" s="46" t="s">
        <v>626</v>
      </c>
      <c r="P353" s="46" t="s">
        <v>626</v>
      </c>
      <c r="Q353" s="46" t="s">
        <v>194</v>
      </c>
      <c r="R353" s="46" t="s">
        <v>194</v>
      </c>
      <c r="S353" s="46" t="s">
        <v>194</v>
      </c>
      <c r="T353" s="46" t="s">
        <v>4191</v>
      </c>
      <c r="U353" s="46" t="s">
        <v>2873</v>
      </c>
      <c r="V353" s="46" t="s">
        <v>1064</v>
      </c>
      <c r="W353" s="46" t="s">
        <v>1064</v>
      </c>
      <c r="X353" s="46"/>
      <c r="Y353" s="46"/>
      <c r="Z353" s="46"/>
      <c r="AA353" s="46"/>
      <c r="AB353" s="46"/>
      <c r="AC353" s="46" t="s">
        <v>1064</v>
      </c>
      <c r="AD353" s="46"/>
      <c r="AE353" s="46"/>
      <c r="AF353" s="46"/>
      <c r="AG353" s="46"/>
      <c r="AH353" s="46"/>
      <c r="AI353" s="46"/>
      <c r="AJ353" s="46"/>
      <c r="AK353" s="46"/>
      <c r="AL353" s="46" t="s">
        <v>1064</v>
      </c>
      <c r="AM353" s="46"/>
      <c r="AN353" s="46"/>
      <c r="AO353" s="46"/>
      <c r="AP353" s="46" t="s">
        <v>1064</v>
      </c>
      <c r="AQ353" s="46"/>
      <c r="AR353" s="46"/>
      <c r="AS353" s="46" t="s">
        <v>586</v>
      </c>
      <c r="AT353" s="46" t="s">
        <v>2</v>
      </c>
      <c r="AU353" s="46" t="s">
        <v>4191</v>
      </c>
      <c r="AV353" s="46" t="s">
        <v>4012</v>
      </c>
      <c r="AW353" s="46" t="s">
        <v>2910</v>
      </c>
      <c r="AX353" s="46" t="s">
        <v>34</v>
      </c>
      <c r="AY353" s="46"/>
      <c r="AZ353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</row>
    <row r="354" spans="1:75" ht="150" x14ac:dyDescent="0.25">
      <c r="A354" s="47" t="s">
        <v>4014</v>
      </c>
      <c r="B354" s="45" t="s">
        <v>305</v>
      </c>
      <c r="C354" s="45" t="s">
        <v>2949</v>
      </c>
      <c r="D354" s="46" t="s">
        <v>2959</v>
      </c>
      <c r="E354" s="25" t="s">
        <v>2</v>
      </c>
      <c r="F354" s="48" t="s">
        <v>322</v>
      </c>
      <c r="G354" s="62" t="s">
        <v>4131</v>
      </c>
      <c r="H354" s="63" t="s">
        <v>2912</v>
      </c>
      <c r="I354" s="46" t="s">
        <v>4622</v>
      </c>
      <c r="J354" s="46" t="s">
        <v>1064</v>
      </c>
      <c r="K354" s="46" t="s">
        <v>626</v>
      </c>
      <c r="L354" s="46" t="s">
        <v>4191</v>
      </c>
      <c r="M354" s="46" t="s">
        <v>194</v>
      </c>
      <c r="N354" s="46" t="s">
        <v>4191</v>
      </c>
      <c r="O354" s="46" t="s">
        <v>626</v>
      </c>
      <c r="P354" s="46" t="s">
        <v>626</v>
      </c>
      <c r="Q354" s="46" t="s">
        <v>194</v>
      </c>
      <c r="R354" s="46" t="s">
        <v>4404</v>
      </c>
      <c r="S354" s="46" t="s">
        <v>4405</v>
      </c>
      <c r="T354" s="46" t="s">
        <v>4191</v>
      </c>
      <c r="U354" s="46" t="s">
        <v>2873</v>
      </c>
      <c r="V354" s="46" t="s">
        <v>1064</v>
      </c>
      <c r="W354" s="46" t="s">
        <v>1064</v>
      </c>
      <c r="X354" s="46"/>
      <c r="Y354" s="46"/>
      <c r="Z354" s="46"/>
      <c r="AA354" s="46"/>
      <c r="AB354" s="46"/>
      <c r="AC354" s="46" t="s">
        <v>1064</v>
      </c>
      <c r="AD354" s="46"/>
      <c r="AE354" s="46"/>
      <c r="AF354" s="46"/>
      <c r="AG354" s="46"/>
      <c r="AH354" s="46"/>
      <c r="AI354" s="46"/>
      <c r="AJ354" s="46"/>
      <c r="AK354" s="46"/>
      <c r="AL354" s="46" t="s">
        <v>1064</v>
      </c>
      <c r="AM354" s="46"/>
      <c r="AN354" s="46"/>
      <c r="AO354" s="46"/>
      <c r="AP354" s="46" t="s">
        <v>1064</v>
      </c>
      <c r="AQ354" s="46"/>
      <c r="AR354" s="46"/>
      <c r="AS354" s="46" t="s">
        <v>583</v>
      </c>
      <c r="AT354" s="46" t="s">
        <v>2</v>
      </c>
      <c r="AU354" s="46" t="s">
        <v>4191</v>
      </c>
      <c r="AV354" s="46" t="s">
        <v>4014</v>
      </c>
      <c r="AW354" s="46" t="s">
        <v>2912</v>
      </c>
      <c r="AX354" s="46" t="s">
        <v>34</v>
      </c>
      <c r="AY354" s="46"/>
      <c r="AZ354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</row>
    <row r="355" spans="1:75" ht="150" x14ac:dyDescent="0.25">
      <c r="A355" s="47" t="s">
        <v>4016</v>
      </c>
      <c r="B355" s="45" t="s">
        <v>305</v>
      </c>
      <c r="C355" s="45" t="s">
        <v>2950</v>
      </c>
      <c r="D355" s="46" t="s">
        <v>2960</v>
      </c>
      <c r="E355" s="25" t="s">
        <v>2</v>
      </c>
      <c r="F355" s="48" t="s">
        <v>590</v>
      </c>
      <c r="G355" s="62" t="s">
        <v>4468</v>
      </c>
      <c r="H355" s="63" t="s">
        <v>2914</v>
      </c>
      <c r="I355" s="46" t="s">
        <v>4622</v>
      </c>
      <c r="J355" s="46" t="s">
        <v>1064</v>
      </c>
      <c r="K355" s="46" t="s">
        <v>626</v>
      </c>
      <c r="L355" s="46" t="s">
        <v>4191</v>
      </c>
      <c r="M355" s="46" t="s">
        <v>194</v>
      </c>
      <c r="N355" s="46" t="s">
        <v>4191</v>
      </c>
      <c r="O355" s="46" t="s">
        <v>626</v>
      </c>
      <c r="P355" s="46" t="s">
        <v>626</v>
      </c>
      <c r="Q355" s="46" t="s">
        <v>194</v>
      </c>
      <c r="R355" s="46" t="s">
        <v>4467</v>
      </c>
      <c r="S355" s="46" t="s">
        <v>4406</v>
      </c>
      <c r="T355" s="46" t="s">
        <v>4191</v>
      </c>
      <c r="U355" s="46" t="s">
        <v>2873</v>
      </c>
      <c r="V355" s="46" t="s">
        <v>1064</v>
      </c>
      <c r="W355" s="46" t="s">
        <v>1064</v>
      </c>
      <c r="X355" s="46"/>
      <c r="Y355" s="46"/>
      <c r="Z355" s="46"/>
      <c r="AA355" s="46"/>
      <c r="AB355" s="46"/>
      <c r="AC355" s="46" t="s">
        <v>1064</v>
      </c>
      <c r="AD355" s="46"/>
      <c r="AE355" s="46"/>
      <c r="AF355" s="46"/>
      <c r="AG355" s="46"/>
      <c r="AH355" s="46"/>
      <c r="AI355" s="46"/>
      <c r="AJ355" s="46"/>
      <c r="AK355" s="46"/>
      <c r="AL355" s="46" t="s">
        <v>1064</v>
      </c>
      <c r="AM355" s="46"/>
      <c r="AN355" s="46"/>
      <c r="AO355" s="46"/>
      <c r="AP355" s="46" t="s">
        <v>1064</v>
      </c>
      <c r="AQ355" s="46"/>
      <c r="AR355" s="46"/>
      <c r="AS355" s="46" t="s">
        <v>583</v>
      </c>
      <c r="AT355" s="46" t="s">
        <v>2</v>
      </c>
      <c r="AU355" s="46" t="s">
        <v>4191</v>
      </c>
      <c r="AV355" s="46" t="s">
        <v>4016</v>
      </c>
      <c r="AW355" s="46" t="s">
        <v>2914</v>
      </c>
      <c r="AX355" s="46" t="s">
        <v>34</v>
      </c>
      <c r="AY355" s="46"/>
      <c r="AZ355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</row>
    <row r="356" spans="1:75" ht="90" x14ac:dyDescent="0.25">
      <c r="A356" s="47" t="s">
        <v>4036</v>
      </c>
      <c r="B356" s="45" t="s">
        <v>305</v>
      </c>
      <c r="C356" s="45" t="s">
        <v>4054</v>
      </c>
      <c r="D356" s="46" t="s">
        <v>4055</v>
      </c>
      <c r="E356" s="25" t="s">
        <v>2</v>
      </c>
      <c r="F356" s="48" t="s">
        <v>308</v>
      </c>
      <c r="G356" s="62" t="s">
        <v>4056</v>
      </c>
      <c r="H356" s="63" t="s">
        <v>4026</v>
      </c>
      <c r="I356" s="46" t="s">
        <v>4623</v>
      </c>
      <c r="J356" s="46" t="s">
        <v>1064</v>
      </c>
      <c r="K356" s="46" t="s">
        <v>626</v>
      </c>
      <c r="L356" s="46" t="s">
        <v>626</v>
      </c>
      <c r="M356" s="46" t="s">
        <v>194</v>
      </c>
      <c r="N356" s="46" t="s">
        <v>4191</v>
      </c>
      <c r="O356" s="46" t="s">
        <v>626</v>
      </c>
      <c r="P356" s="46" t="s">
        <v>626</v>
      </c>
      <c r="Q356" s="46" t="s">
        <v>194</v>
      </c>
      <c r="R356" s="46" t="s">
        <v>194</v>
      </c>
      <c r="S356" s="46" t="s">
        <v>194</v>
      </c>
      <c r="T356" s="46" t="s">
        <v>4191</v>
      </c>
      <c r="U356" s="46" t="s">
        <v>2873</v>
      </c>
      <c r="V356" s="46" t="s">
        <v>1064</v>
      </c>
      <c r="W356" s="46" t="s">
        <v>1064</v>
      </c>
      <c r="X356" s="46"/>
      <c r="Y356" s="46"/>
      <c r="Z356" s="46"/>
      <c r="AA356" s="46"/>
      <c r="AB356" s="46"/>
      <c r="AC356" s="46" t="s">
        <v>1064</v>
      </c>
      <c r="AD356" s="46"/>
      <c r="AE356" s="46"/>
      <c r="AF356" s="46"/>
      <c r="AG356" s="46"/>
      <c r="AH356" s="46"/>
      <c r="AI356" s="46"/>
      <c r="AJ356" s="46"/>
      <c r="AK356" s="46"/>
      <c r="AL356" s="46" t="s">
        <v>1064</v>
      </c>
      <c r="AM356" s="46"/>
      <c r="AN356" s="46"/>
      <c r="AO356" s="46"/>
      <c r="AP356" s="46" t="s">
        <v>1064</v>
      </c>
      <c r="AQ356" s="46"/>
      <c r="AR356" s="46"/>
      <c r="AS356" s="46" t="s">
        <v>584</v>
      </c>
      <c r="AT356" s="46" t="s">
        <v>2</v>
      </c>
      <c r="AU356" s="46" t="s">
        <v>4191</v>
      </c>
      <c r="AV356" s="46" t="s">
        <v>4036</v>
      </c>
      <c r="AW356" s="46" t="s">
        <v>4026</v>
      </c>
      <c r="AX356" s="46" t="s">
        <v>34</v>
      </c>
      <c r="AY356" s="46"/>
      <c r="AZ35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</row>
    <row r="357" spans="1:75" ht="90" x14ac:dyDescent="0.25">
      <c r="A357" s="47" t="s">
        <v>4039</v>
      </c>
      <c r="B357" s="45" t="s">
        <v>305</v>
      </c>
      <c r="C357" s="45" t="s">
        <v>4102</v>
      </c>
      <c r="D357" s="46" t="s">
        <v>4057</v>
      </c>
      <c r="E357" s="25" t="s">
        <v>2</v>
      </c>
      <c r="F357" s="48" t="s">
        <v>90</v>
      </c>
      <c r="G357" s="62" t="s">
        <v>4058</v>
      </c>
      <c r="H357" s="63" t="s">
        <v>4028</v>
      </c>
      <c r="I357" s="46" t="s">
        <v>4623</v>
      </c>
      <c r="J357" s="46" t="s">
        <v>1064</v>
      </c>
      <c r="K357" s="46" t="s">
        <v>626</v>
      </c>
      <c r="L357" s="46" t="s">
        <v>626</v>
      </c>
      <c r="M357" s="46" t="s">
        <v>194</v>
      </c>
      <c r="N357" s="46" t="s">
        <v>4191</v>
      </c>
      <c r="O357" s="46" t="s">
        <v>626</v>
      </c>
      <c r="P357" s="46" t="s">
        <v>626</v>
      </c>
      <c r="Q357" s="46" t="s">
        <v>194</v>
      </c>
      <c r="R357" s="46" t="s">
        <v>194</v>
      </c>
      <c r="S357" s="46" t="s">
        <v>194</v>
      </c>
      <c r="T357" s="46" t="s">
        <v>4191</v>
      </c>
      <c r="U357" s="46" t="s">
        <v>2873</v>
      </c>
      <c r="V357" s="46" t="s">
        <v>1064</v>
      </c>
      <c r="W357" s="46" t="s">
        <v>1064</v>
      </c>
      <c r="X357" s="46"/>
      <c r="Y357" s="46"/>
      <c r="Z357" s="46"/>
      <c r="AA357" s="46"/>
      <c r="AB357" s="46"/>
      <c r="AC357" s="46" t="s">
        <v>1064</v>
      </c>
      <c r="AD357" s="46"/>
      <c r="AE357" s="46"/>
      <c r="AF357" s="46"/>
      <c r="AG357" s="46"/>
      <c r="AH357" s="46"/>
      <c r="AI357" s="46"/>
      <c r="AJ357" s="46"/>
      <c r="AK357" s="46"/>
      <c r="AL357" s="46" t="s">
        <v>1064</v>
      </c>
      <c r="AM357" s="46"/>
      <c r="AN357" s="46"/>
      <c r="AO357" s="46"/>
      <c r="AP357" s="46" t="s">
        <v>1064</v>
      </c>
      <c r="AQ357" s="46"/>
      <c r="AR357" s="46"/>
      <c r="AS357" s="46" t="s">
        <v>586</v>
      </c>
      <c r="AT357" s="46" t="s">
        <v>2</v>
      </c>
      <c r="AU357" s="46" t="s">
        <v>4191</v>
      </c>
      <c r="AV357" s="46" t="s">
        <v>4039</v>
      </c>
      <c r="AW357" s="46" t="s">
        <v>4028</v>
      </c>
      <c r="AX357" s="46" t="s">
        <v>34</v>
      </c>
      <c r="AY357" s="46"/>
      <c r="AZ357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</row>
    <row r="358" spans="1:75" ht="165" x14ac:dyDescent="0.25">
      <c r="A358" s="47" t="s">
        <v>4042</v>
      </c>
      <c r="B358" s="45" t="s">
        <v>305</v>
      </c>
      <c r="C358" s="45" t="s">
        <v>4103</v>
      </c>
      <c r="D358" s="46" t="s">
        <v>4107</v>
      </c>
      <c r="E358" s="25" t="s">
        <v>2</v>
      </c>
      <c r="F358" s="48" t="s">
        <v>322</v>
      </c>
      <c r="G358" s="62" t="s">
        <v>4108</v>
      </c>
      <c r="H358" s="63" t="s">
        <v>4030</v>
      </c>
      <c r="I358" s="46" t="s">
        <v>4623</v>
      </c>
      <c r="J358" s="46" t="s">
        <v>1064</v>
      </c>
      <c r="K358" s="46" t="s">
        <v>626</v>
      </c>
      <c r="L358" s="46" t="s">
        <v>4191</v>
      </c>
      <c r="M358" s="46" t="s">
        <v>194</v>
      </c>
      <c r="N358" s="46" t="s">
        <v>4191</v>
      </c>
      <c r="O358" s="46" t="s">
        <v>626</v>
      </c>
      <c r="P358" s="46" t="s">
        <v>626</v>
      </c>
      <c r="Q358" s="46" t="s">
        <v>194</v>
      </c>
      <c r="R358" s="46" t="s">
        <v>4458</v>
      </c>
      <c r="S358" s="46" t="s">
        <v>4459</v>
      </c>
      <c r="T358" s="46" t="s">
        <v>4191</v>
      </c>
      <c r="U358" s="46" t="s">
        <v>2873</v>
      </c>
      <c r="V358" s="46" t="s">
        <v>1064</v>
      </c>
      <c r="W358" s="46" t="s">
        <v>1064</v>
      </c>
      <c r="X358" s="46"/>
      <c r="Y358" s="46"/>
      <c r="Z358" s="46"/>
      <c r="AA358" s="46"/>
      <c r="AB358" s="46"/>
      <c r="AC358" s="46" t="s">
        <v>1064</v>
      </c>
      <c r="AD358" s="46"/>
      <c r="AE358" s="46"/>
      <c r="AF358" s="46"/>
      <c r="AG358" s="46"/>
      <c r="AH358" s="46"/>
      <c r="AI358" s="46"/>
      <c r="AJ358" s="46"/>
      <c r="AK358" s="46"/>
      <c r="AL358" s="46" t="s">
        <v>1064</v>
      </c>
      <c r="AM358" s="46"/>
      <c r="AN358" s="46"/>
      <c r="AO358" s="46"/>
      <c r="AP358" s="46" t="s">
        <v>1064</v>
      </c>
      <c r="AQ358" s="46"/>
      <c r="AR358" s="46"/>
      <c r="AS358" s="46" t="s">
        <v>583</v>
      </c>
      <c r="AT358" s="46" t="s">
        <v>2</v>
      </c>
      <c r="AU358" s="46" t="s">
        <v>4191</v>
      </c>
      <c r="AV358" s="46" t="s">
        <v>4042</v>
      </c>
      <c r="AW358" s="46" t="s">
        <v>4030</v>
      </c>
      <c r="AX358" s="46" t="s">
        <v>34</v>
      </c>
      <c r="AY358" s="46"/>
      <c r="AZ358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</row>
    <row r="359" spans="1:75" ht="165" x14ac:dyDescent="0.25">
      <c r="A359" s="47" t="s">
        <v>4045</v>
      </c>
      <c r="B359" s="45" t="s">
        <v>305</v>
      </c>
      <c r="C359" s="45" t="s">
        <v>4104</v>
      </c>
      <c r="D359" s="46" t="s">
        <v>4059</v>
      </c>
      <c r="E359" s="25" t="s">
        <v>2</v>
      </c>
      <c r="F359" s="48" t="s">
        <v>590</v>
      </c>
      <c r="G359" s="62" t="s">
        <v>4109</v>
      </c>
      <c r="H359" s="63" t="s">
        <v>4032</v>
      </c>
      <c r="I359" s="46" t="s">
        <v>4623</v>
      </c>
      <c r="J359" s="46" t="s">
        <v>1064</v>
      </c>
      <c r="K359" s="46" t="s">
        <v>626</v>
      </c>
      <c r="L359" s="46" t="s">
        <v>4191</v>
      </c>
      <c r="M359" s="46" t="s">
        <v>194</v>
      </c>
      <c r="N359" s="46" t="s">
        <v>4191</v>
      </c>
      <c r="O359" s="46" t="s">
        <v>626</v>
      </c>
      <c r="P359" s="46" t="s">
        <v>626</v>
      </c>
      <c r="Q359" s="46" t="s">
        <v>194</v>
      </c>
      <c r="R359" s="46" t="s">
        <v>4460</v>
      </c>
      <c r="S359" s="46" t="s">
        <v>4461</v>
      </c>
      <c r="T359" s="46" t="s">
        <v>4191</v>
      </c>
      <c r="U359" s="46" t="s">
        <v>2873</v>
      </c>
      <c r="V359" s="46" t="s">
        <v>1064</v>
      </c>
      <c r="W359" s="46" t="s">
        <v>1064</v>
      </c>
      <c r="X359" s="46"/>
      <c r="Y359" s="46"/>
      <c r="Z359" s="46"/>
      <c r="AA359" s="46"/>
      <c r="AB359" s="46"/>
      <c r="AC359" s="46" t="s">
        <v>1064</v>
      </c>
      <c r="AD359" s="46"/>
      <c r="AE359" s="46"/>
      <c r="AF359" s="46"/>
      <c r="AG359" s="46"/>
      <c r="AH359" s="46"/>
      <c r="AI359" s="46"/>
      <c r="AJ359" s="46"/>
      <c r="AK359" s="46"/>
      <c r="AL359" s="46" t="s">
        <v>1064</v>
      </c>
      <c r="AM359" s="46"/>
      <c r="AN359" s="46"/>
      <c r="AO359" s="46"/>
      <c r="AP359" s="46" t="s">
        <v>1064</v>
      </c>
      <c r="AQ359" s="46"/>
      <c r="AR359" s="46"/>
      <c r="AS359" s="46" t="s">
        <v>583</v>
      </c>
      <c r="AT359" s="46" t="s">
        <v>2</v>
      </c>
      <c r="AU359" s="46" t="s">
        <v>4191</v>
      </c>
      <c r="AV359" s="46" t="s">
        <v>4045</v>
      </c>
      <c r="AW359" s="46" t="s">
        <v>4032</v>
      </c>
      <c r="AX359" s="46" t="s">
        <v>34</v>
      </c>
      <c r="AY359" s="46"/>
      <c r="AZ359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</row>
    <row r="360" spans="1:75" ht="75" x14ac:dyDescent="0.25">
      <c r="A360" s="47" t="s">
        <v>2398</v>
      </c>
      <c r="B360" s="45" t="s">
        <v>305</v>
      </c>
      <c r="C360" s="45" t="s">
        <v>2664</v>
      </c>
      <c r="D360" s="46" t="s">
        <v>3339</v>
      </c>
      <c r="E360" s="25" t="s">
        <v>2</v>
      </c>
      <c r="F360" s="48" t="s">
        <v>32</v>
      </c>
      <c r="G360" s="62" t="s">
        <v>2783</v>
      </c>
      <c r="H360" s="63" t="s">
        <v>2242</v>
      </c>
      <c r="I360" s="46" t="s">
        <v>194</v>
      </c>
      <c r="J360" s="46" t="s">
        <v>1064</v>
      </c>
      <c r="K360" s="46" t="s">
        <v>626</v>
      </c>
      <c r="L360" s="46" t="s">
        <v>626</v>
      </c>
      <c r="M360" s="46" t="s">
        <v>194</v>
      </c>
      <c r="N360" s="46" t="s">
        <v>626</v>
      </c>
      <c r="O360" s="46" t="s">
        <v>626</v>
      </c>
      <c r="P360" s="46" t="s">
        <v>626</v>
      </c>
      <c r="Q360" s="46" t="s">
        <v>194</v>
      </c>
      <c r="R360" s="46" t="s">
        <v>194</v>
      </c>
      <c r="S360" s="46" t="s">
        <v>194</v>
      </c>
      <c r="T360" s="46"/>
      <c r="U360" s="46" t="s">
        <v>2871</v>
      </c>
      <c r="V360" s="46" t="s">
        <v>1064</v>
      </c>
      <c r="W360" s="46" t="s">
        <v>1064</v>
      </c>
      <c r="X360" s="46"/>
      <c r="Y360" s="46"/>
      <c r="Z360" s="46"/>
      <c r="AA360" s="46"/>
      <c r="AB360" s="46"/>
      <c r="AC360" s="46" t="s">
        <v>1064</v>
      </c>
      <c r="AD360" s="46"/>
      <c r="AE360" s="46"/>
      <c r="AF360" s="46"/>
      <c r="AG360" s="46"/>
      <c r="AH360" s="46"/>
      <c r="AI360" s="46"/>
      <c r="AJ360" s="46"/>
      <c r="AK360" s="46"/>
      <c r="AL360" s="46" t="s">
        <v>4462</v>
      </c>
      <c r="AM360" s="46"/>
      <c r="AN360" s="46"/>
      <c r="AO360" s="46"/>
      <c r="AP360" s="46" t="s">
        <v>1064</v>
      </c>
      <c r="AQ360" s="46"/>
      <c r="AR360" s="46"/>
      <c r="AS360" s="46" t="s">
        <v>4483</v>
      </c>
      <c r="AT360" s="46" t="s">
        <v>2</v>
      </c>
      <c r="AU360" s="46" t="s">
        <v>4191</v>
      </c>
      <c r="AV360" s="46" t="s">
        <v>2398</v>
      </c>
      <c r="AW360" s="46" t="s">
        <v>2242</v>
      </c>
      <c r="AX360" s="46" t="s">
        <v>34</v>
      </c>
      <c r="AY360" s="46"/>
      <c r="AZ360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</row>
    <row r="361" spans="1:75" ht="75" x14ac:dyDescent="0.25">
      <c r="A361" s="47" t="s">
        <v>2400</v>
      </c>
      <c r="B361" s="45" t="s">
        <v>305</v>
      </c>
      <c r="C361" s="45" t="s">
        <v>2666</v>
      </c>
      <c r="D361" s="46" t="s">
        <v>3340</v>
      </c>
      <c r="E361" s="25" t="s">
        <v>2</v>
      </c>
      <c r="F361" s="48" t="s">
        <v>32</v>
      </c>
      <c r="G361" s="62" t="s">
        <v>2784</v>
      </c>
      <c r="H361" s="63" t="s">
        <v>2242</v>
      </c>
      <c r="I361" s="46" t="s">
        <v>194</v>
      </c>
      <c r="J361" s="46" t="s">
        <v>1064</v>
      </c>
      <c r="K361" s="46" t="s">
        <v>626</v>
      </c>
      <c r="L361" s="46" t="s">
        <v>626</v>
      </c>
      <c r="M361" s="46" t="s">
        <v>194</v>
      </c>
      <c r="N361" s="46" t="s">
        <v>626</v>
      </c>
      <c r="O361" s="46" t="s">
        <v>626</v>
      </c>
      <c r="P361" s="46" t="s">
        <v>626</v>
      </c>
      <c r="Q361" s="46" t="s">
        <v>194</v>
      </c>
      <c r="R361" s="46" t="s">
        <v>194</v>
      </c>
      <c r="S361" s="46" t="s">
        <v>194</v>
      </c>
      <c r="T361" s="46"/>
      <c r="U361" s="46" t="s">
        <v>2871</v>
      </c>
      <c r="V361" s="46" t="s">
        <v>1064</v>
      </c>
      <c r="W361" s="46" t="s">
        <v>1064</v>
      </c>
      <c r="X361" s="46"/>
      <c r="Y361" s="46"/>
      <c r="Z361" s="46"/>
      <c r="AA361" s="46"/>
      <c r="AB361" s="46"/>
      <c r="AC361" s="46" t="s">
        <v>1064</v>
      </c>
      <c r="AD361" s="46"/>
      <c r="AE361" s="46"/>
      <c r="AF361" s="46"/>
      <c r="AG361" s="46"/>
      <c r="AH361" s="46"/>
      <c r="AI361" s="46"/>
      <c r="AJ361" s="46"/>
      <c r="AK361" s="46"/>
      <c r="AL361" s="46" t="s">
        <v>4462</v>
      </c>
      <c r="AM361" s="46"/>
      <c r="AN361" s="46"/>
      <c r="AO361" s="46"/>
      <c r="AP361" s="46" t="s">
        <v>1064</v>
      </c>
      <c r="AQ361" s="46"/>
      <c r="AR361" s="46"/>
      <c r="AS361" s="46" t="s">
        <v>4483</v>
      </c>
      <c r="AT361" s="46" t="s">
        <v>308</v>
      </c>
      <c r="AU361" s="46" t="s">
        <v>4191</v>
      </c>
      <c r="AV361" s="46" t="s">
        <v>2400</v>
      </c>
      <c r="AW361" s="46" t="s">
        <v>2242</v>
      </c>
      <c r="AX361" s="46" t="s">
        <v>34</v>
      </c>
      <c r="AY361" s="46"/>
      <c r="AZ361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</row>
    <row r="362" spans="1:75" ht="75" x14ac:dyDescent="0.25">
      <c r="A362" s="47" t="s">
        <v>2402</v>
      </c>
      <c r="B362" s="45" t="s">
        <v>305</v>
      </c>
      <c r="C362" s="45" t="s">
        <v>2668</v>
      </c>
      <c r="D362" s="46" t="s">
        <v>3341</v>
      </c>
      <c r="E362" s="25" t="s">
        <v>2</v>
      </c>
      <c r="F362" s="48" t="s">
        <v>32</v>
      </c>
      <c r="G362" s="62" t="s">
        <v>2785</v>
      </c>
      <c r="H362" s="63" t="s">
        <v>2242</v>
      </c>
      <c r="I362" s="46" t="s">
        <v>194</v>
      </c>
      <c r="J362" s="46" t="s">
        <v>1064</v>
      </c>
      <c r="K362" s="46" t="s">
        <v>626</v>
      </c>
      <c r="L362" s="46" t="s">
        <v>626</v>
      </c>
      <c r="M362" s="46" t="s">
        <v>194</v>
      </c>
      <c r="N362" s="46" t="s">
        <v>626</v>
      </c>
      <c r="O362" s="46" t="s">
        <v>626</v>
      </c>
      <c r="P362" s="46" t="s">
        <v>626</v>
      </c>
      <c r="Q362" s="46" t="s">
        <v>194</v>
      </c>
      <c r="R362" s="46" t="s">
        <v>194</v>
      </c>
      <c r="S362" s="46" t="s">
        <v>194</v>
      </c>
      <c r="T362" s="46"/>
      <c r="U362" s="46" t="s">
        <v>2871</v>
      </c>
      <c r="V362" s="46" t="s">
        <v>1064</v>
      </c>
      <c r="W362" s="46" t="s">
        <v>1064</v>
      </c>
      <c r="X362" s="46"/>
      <c r="Y362" s="46"/>
      <c r="Z362" s="46"/>
      <c r="AA362" s="46"/>
      <c r="AB362" s="46"/>
      <c r="AC362" s="46" t="s">
        <v>1064</v>
      </c>
      <c r="AD362" s="46"/>
      <c r="AE362" s="46"/>
      <c r="AF362" s="46"/>
      <c r="AG362" s="46"/>
      <c r="AH362" s="46"/>
      <c r="AI362" s="46"/>
      <c r="AJ362" s="46"/>
      <c r="AK362" s="46"/>
      <c r="AL362" s="46" t="s">
        <v>4462</v>
      </c>
      <c r="AM362" s="46"/>
      <c r="AN362" s="46"/>
      <c r="AO362" s="46"/>
      <c r="AP362" s="46" t="s">
        <v>1064</v>
      </c>
      <c r="AQ362" s="46"/>
      <c r="AR362" s="46"/>
      <c r="AS362" s="46" t="s">
        <v>4483</v>
      </c>
      <c r="AT362" s="46" t="s">
        <v>314</v>
      </c>
      <c r="AU362" s="46" t="s">
        <v>4191</v>
      </c>
      <c r="AV362" s="46" t="s">
        <v>2402</v>
      </c>
      <c r="AW362" s="46" t="s">
        <v>2242</v>
      </c>
      <c r="AX362" s="46" t="s">
        <v>34</v>
      </c>
      <c r="AY362" s="46"/>
      <c r="AZ362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</row>
    <row r="363" spans="1:75" ht="150" x14ac:dyDescent="0.25">
      <c r="A363" s="47" t="s">
        <v>2440</v>
      </c>
      <c r="B363" s="45" t="s">
        <v>305</v>
      </c>
      <c r="C363" s="45" t="s">
        <v>2759</v>
      </c>
      <c r="D363" s="46" t="s">
        <v>2736</v>
      </c>
      <c r="E363" s="25" t="s">
        <v>2</v>
      </c>
      <c r="F363" s="48" t="s">
        <v>36</v>
      </c>
      <c r="G363" s="62" t="s">
        <v>2786</v>
      </c>
      <c r="H363" s="63" t="s">
        <v>2254</v>
      </c>
      <c r="I363" s="46" t="s">
        <v>4253</v>
      </c>
      <c r="J363" s="46" t="s">
        <v>1064</v>
      </c>
      <c r="K363" s="46" t="s">
        <v>626</v>
      </c>
      <c r="L363" s="46" t="s">
        <v>4191</v>
      </c>
      <c r="M363" s="46" t="s">
        <v>4443</v>
      </c>
      <c r="N363" s="46" t="s">
        <v>4191</v>
      </c>
      <c r="O363" s="46" t="s">
        <v>626</v>
      </c>
      <c r="P363" s="46" t="s">
        <v>626</v>
      </c>
      <c r="Q363" s="46" t="s">
        <v>194</v>
      </c>
      <c r="R363" s="46" t="s">
        <v>4293</v>
      </c>
      <c r="S363" s="46" t="s">
        <v>4294</v>
      </c>
      <c r="T363" s="46" t="s">
        <v>4191</v>
      </c>
      <c r="U363" s="46" t="s">
        <v>2871</v>
      </c>
      <c r="V363" s="46" t="s">
        <v>1064</v>
      </c>
      <c r="W363" s="46" t="s">
        <v>1064</v>
      </c>
      <c r="X363" s="46"/>
      <c r="Y363" s="46"/>
      <c r="Z363" s="46"/>
      <c r="AA363" s="46"/>
      <c r="AB363" s="46"/>
      <c r="AC363" s="46" t="s">
        <v>1064</v>
      </c>
      <c r="AD363" s="46"/>
      <c r="AE363" s="46"/>
      <c r="AF363" s="46"/>
      <c r="AG363" s="46"/>
      <c r="AH363" s="46"/>
      <c r="AI363" s="46"/>
      <c r="AJ363" s="46"/>
      <c r="AK363" s="46"/>
      <c r="AL363" s="46" t="s">
        <v>1064</v>
      </c>
      <c r="AM363" s="46"/>
      <c r="AN363" s="46"/>
      <c r="AO363" s="46"/>
      <c r="AP363" s="46" t="s">
        <v>1064</v>
      </c>
      <c r="AQ363" s="46"/>
      <c r="AR363" s="46"/>
      <c r="AS363" s="46" t="s">
        <v>583</v>
      </c>
      <c r="AT363" s="46" t="s">
        <v>2</v>
      </c>
      <c r="AU363" s="46" t="s">
        <v>626</v>
      </c>
      <c r="AV363" s="46" t="s">
        <v>2398</v>
      </c>
      <c r="AW363" s="46" t="s">
        <v>2254</v>
      </c>
      <c r="AX363" s="46" t="s">
        <v>34</v>
      </c>
      <c r="AY363" s="46"/>
      <c r="AZ363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</row>
    <row r="364" spans="1:75" ht="75" x14ac:dyDescent="0.25">
      <c r="A364" s="47" t="s">
        <v>2442</v>
      </c>
      <c r="B364" s="45" t="s">
        <v>305</v>
      </c>
      <c r="C364" s="45" t="s">
        <v>2761</v>
      </c>
      <c r="D364" s="46" t="s">
        <v>2736</v>
      </c>
      <c r="E364" s="25" t="s">
        <v>2</v>
      </c>
      <c r="F364" s="48" t="s">
        <v>90</v>
      </c>
      <c r="G364" s="62" t="s">
        <v>2846</v>
      </c>
      <c r="H364" s="63" t="s">
        <v>2254</v>
      </c>
      <c r="I364" s="46" t="s">
        <v>194</v>
      </c>
      <c r="J364" s="46" t="s">
        <v>1064</v>
      </c>
      <c r="K364" s="46" t="s">
        <v>626</v>
      </c>
      <c r="L364" s="46" t="s">
        <v>626</v>
      </c>
      <c r="M364" s="46" t="s">
        <v>4292</v>
      </c>
      <c r="N364" s="46" t="s">
        <v>4191</v>
      </c>
      <c r="O364" s="46" t="s">
        <v>626</v>
      </c>
      <c r="P364" s="46" t="s">
        <v>626</v>
      </c>
      <c r="Q364" s="46" t="s">
        <v>194</v>
      </c>
      <c r="R364" s="46" t="s">
        <v>194</v>
      </c>
      <c r="S364" s="46" t="s">
        <v>194</v>
      </c>
      <c r="T364" s="46" t="s">
        <v>626</v>
      </c>
      <c r="U364" s="46" t="s">
        <v>2871</v>
      </c>
      <c r="V364" s="46" t="s">
        <v>1064</v>
      </c>
      <c r="W364" s="46" t="s">
        <v>1064</v>
      </c>
      <c r="X364" s="46"/>
      <c r="Y364" s="46"/>
      <c r="Z364" s="46"/>
      <c r="AA364" s="46"/>
      <c r="AB364" s="46"/>
      <c r="AC364" s="46" t="s">
        <v>1064</v>
      </c>
      <c r="AD364" s="46"/>
      <c r="AE364" s="46"/>
      <c r="AF364" s="46"/>
      <c r="AG364" s="46"/>
      <c r="AH364" s="46"/>
      <c r="AI364" s="46"/>
      <c r="AJ364" s="46"/>
      <c r="AK364" s="46"/>
      <c r="AL364" s="46" t="s">
        <v>1064</v>
      </c>
      <c r="AM364" s="46"/>
      <c r="AN364" s="46"/>
      <c r="AO364" s="46"/>
      <c r="AP364" s="46" t="s">
        <v>1064</v>
      </c>
      <c r="AQ364" s="46"/>
      <c r="AR364" s="46"/>
      <c r="AS364" s="46" t="s">
        <v>586</v>
      </c>
      <c r="AT364" s="46" t="s">
        <v>308</v>
      </c>
      <c r="AU364" s="46" t="s">
        <v>626</v>
      </c>
      <c r="AV364" s="46" t="s">
        <v>2400</v>
      </c>
      <c r="AW364" s="46" t="s">
        <v>2254</v>
      </c>
      <c r="AX364" s="46" t="s">
        <v>34</v>
      </c>
      <c r="AY364" s="46"/>
      <c r="AZ364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</row>
    <row r="365" spans="1:75" ht="75" x14ac:dyDescent="0.25">
      <c r="A365" s="47" t="s">
        <v>2444</v>
      </c>
      <c r="B365" s="45" t="s">
        <v>305</v>
      </c>
      <c r="C365" s="45" t="s">
        <v>2762</v>
      </c>
      <c r="D365" s="46" t="s">
        <v>2736</v>
      </c>
      <c r="E365" s="25" t="s">
        <v>2</v>
      </c>
      <c r="F365" s="48" t="s">
        <v>314</v>
      </c>
      <c r="G365" s="62" t="s">
        <v>2787</v>
      </c>
      <c r="H365" s="63" t="s">
        <v>2254</v>
      </c>
      <c r="I365" s="46" t="s">
        <v>194</v>
      </c>
      <c r="J365" s="46" t="s">
        <v>1064</v>
      </c>
      <c r="K365" s="46" t="s">
        <v>626</v>
      </c>
      <c r="L365" s="46" t="s">
        <v>626</v>
      </c>
      <c r="M365" s="46" t="s">
        <v>4292</v>
      </c>
      <c r="N365" s="46" t="s">
        <v>4191</v>
      </c>
      <c r="O365" s="46" t="s">
        <v>626</v>
      </c>
      <c r="P365" s="46" t="s">
        <v>626</v>
      </c>
      <c r="Q365" s="46" t="s">
        <v>194</v>
      </c>
      <c r="R365" s="46" t="s">
        <v>194</v>
      </c>
      <c r="S365" s="46" t="s">
        <v>194</v>
      </c>
      <c r="T365" s="46" t="s">
        <v>626</v>
      </c>
      <c r="U365" s="46" t="s">
        <v>2871</v>
      </c>
      <c r="V365" s="46" t="s">
        <v>1064</v>
      </c>
      <c r="W365" s="46" t="s">
        <v>1064</v>
      </c>
      <c r="X365" s="46"/>
      <c r="Y365" s="46"/>
      <c r="Z365" s="46"/>
      <c r="AA365" s="46"/>
      <c r="AB365" s="46"/>
      <c r="AC365" s="46" t="s">
        <v>1064</v>
      </c>
      <c r="AD365" s="46"/>
      <c r="AE365" s="46"/>
      <c r="AF365" s="46"/>
      <c r="AG365" s="46"/>
      <c r="AH365" s="46"/>
      <c r="AI365" s="46"/>
      <c r="AJ365" s="46"/>
      <c r="AK365" s="46"/>
      <c r="AL365" s="46" t="s">
        <v>1064</v>
      </c>
      <c r="AM365" s="46"/>
      <c r="AN365" s="46"/>
      <c r="AO365" s="46"/>
      <c r="AP365" s="46" t="s">
        <v>1064</v>
      </c>
      <c r="AQ365" s="46"/>
      <c r="AR365" s="46"/>
      <c r="AS365" s="46" t="s">
        <v>4483</v>
      </c>
      <c r="AT365" s="46" t="s">
        <v>314</v>
      </c>
      <c r="AU365" s="46" t="s">
        <v>626</v>
      </c>
      <c r="AV365" s="46" t="s">
        <v>2402</v>
      </c>
      <c r="AW365" s="46" t="s">
        <v>2254</v>
      </c>
      <c r="AX365" s="46" t="s">
        <v>34</v>
      </c>
      <c r="AY365" s="46"/>
      <c r="AZ365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</row>
    <row r="366" spans="1:75" ht="150" x14ac:dyDescent="0.25">
      <c r="A366" s="47" t="s">
        <v>2446</v>
      </c>
      <c r="B366" s="45" t="s">
        <v>305</v>
      </c>
      <c r="C366" s="45" t="s">
        <v>2763</v>
      </c>
      <c r="D366" s="46" t="s">
        <v>2736</v>
      </c>
      <c r="E366" s="25" t="s">
        <v>2</v>
      </c>
      <c r="F366" s="48" t="s">
        <v>36</v>
      </c>
      <c r="G366" s="62" t="s">
        <v>2786</v>
      </c>
      <c r="H366" s="63" t="s">
        <v>2256</v>
      </c>
      <c r="I366" s="46" t="s">
        <v>4253</v>
      </c>
      <c r="J366" s="46" t="s">
        <v>1064</v>
      </c>
      <c r="K366" s="46" t="s">
        <v>626</v>
      </c>
      <c r="L366" s="46" t="s">
        <v>4191</v>
      </c>
      <c r="M366" s="46" t="s">
        <v>4443</v>
      </c>
      <c r="N366" s="46" t="s">
        <v>4191</v>
      </c>
      <c r="O366" s="46" t="s">
        <v>626</v>
      </c>
      <c r="P366" s="46" t="s">
        <v>626</v>
      </c>
      <c r="Q366" s="46" t="s">
        <v>194</v>
      </c>
      <c r="R366" s="46" t="s">
        <v>4293</v>
      </c>
      <c r="S366" s="46" t="s">
        <v>4294</v>
      </c>
      <c r="T366" s="46" t="s">
        <v>4191</v>
      </c>
      <c r="U366" s="46" t="s">
        <v>2871</v>
      </c>
      <c r="V366" s="46" t="s">
        <v>1064</v>
      </c>
      <c r="W366" s="46" t="s">
        <v>1064</v>
      </c>
      <c r="X366" s="46"/>
      <c r="Y366" s="46"/>
      <c r="Z366" s="46"/>
      <c r="AA366" s="46"/>
      <c r="AB366" s="46"/>
      <c r="AC366" s="46" t="s">
        <v>1064</v>
      </c>
      <c r="AD366" s="46"/>
      <c r="AE366" s="46"/>
      <c r="AF366" s="46"/>
      <c r="AG366" s="46"/>
      <c r="AH366" s="46"/>
      <c r="AI366" s="46"/>
      <c r="AJ366" s="46"/>
      <c r="AK366" s="46"/>
      <c r="AL366" s="46" t="s">
        <v>1064</v>
      </c>
      <c r="AM366" s="46"/>
      <c r="AN366" s="46"/>
      <c r="AO366" s="46"/>
      <c r="AP366" s="46" t="s">
        <v>1064</v>
      </c>
      <c r="AQ366" s="46"/>
      <c r="AR366" s="46"/>
      <c r="AS366" s="46" t="s">
        <v>583</v>
      </c>
      <c r="AT366" s="46" t="s">
        <v>2</v>
      </c>
      <c r="AU366" s="46" t="s">
        <v>626</v>
      </c>
      <c r="AV366" s="46" t="s">
        <v>2398</v>
      </c>
      <c r="AW366" s="46" t="s">
        <v>2256</v>
      </c>
      <c r="AX366" s="46" t="s">
        <v>34</v>
      </c>
      <c r="AY366" s="46"/>
      <c r="AZ36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</row>
    <row r="367" spans="1:75" ht="75" x14ac:dyDescent="0.25">
      <c r="A367" s="47" t="s">
        <v>2448</v>
      </c>
      <c r="B367" s="45" t="s">
        <v>305</v>
      </c>
      <c r="C367" s="45" t="s">
        <v>2764</v>
      </c>
      <c r="D367" s="46" t="s">
        <v>2736</v>
      </c>
      <c r="E367" s="25" t="s">
        <v>2</v>
      </c>
      <c r="F367" s="48" t="s">
        <v>90</v>
      </c>
      <c r="G367" s="62" t="s">
        <v>2846</v>
      </c>
      <c r="H367" s="63" t="s">
        <v>2256</v>
      </c>
      <c r="I367" s="46" t="s">
        <v>194</v>
      </c>
      <c r="J367" s="46" t="s">
        <v>1064</v>
      </c>
      <c r="K367" s="46" t="s">
        <v>626</v>
      </c>
      <c r="L367" s="46" t="s">
        <v>626</v>
      </c>
      <c r="M367" s="46" t="s">
        <v>4292</v>
      </c>
      <c r="N367" s="46" t="s">
        <v>4191</v>
      </c>
      <c r="O367" s="46" t="s">
        <v>626</v>
      </c>
      <c r="P367" s="46" t="s">
        <v>626</v>
      </c>
      <c r="Q367" s="46" t="s">
        <v>194</v>
      </c>
      <c r="R367" s="46" t="s">
        <v>194</v>
      </c>
      <c r="S367" s="46" t="s">
        <v>194</v>
      </c>
      <c r="T367" s="46" t="s">
        <v>626</v>
      </c>
      <c r="U367" s="46" t="s">
        <v>2871</v>
      </c>
      <c r="V367" s="46" t="s">
        <v>1064</v>
      </c>
      <c r="W367" s="46" t="s">
        <v>1064</v>
      </c>
      <c r="X367" s="46"/>
      <c r="Y367" s="46"/>
      <c r="Z367" s="46"/>
      <c r="AA367" s="46"/>
      <c r="AB367" s="46"/>
      <c r="AC367" s="46" t="s">
        <v>1064</v>
      </c>
      <c r="AD367" s="46"/>
      <c r="AE367" s="46"/>
      <c r="AF367" s="46"/>
      <c r="AG367" s="46"/>
      <c r="AH367" s="46"/>
      <c r="AI367" s="46"/>
      <c r="AJ367" s="46"/>
      <c r="AK367" s="46"/>
      <c r="AL367" s="46" t="s">
        <v>1064</v>
      </c>
      <c r="AM367" s="46"/>
      <c r="AN367" s="46"/>
      <c r="AO367" s="46"/>
      <c r="AP367" s="46" t="s">
        <v>1064</v>
      </c>
      <c r="AQ367" s="46"/>
      <c r="AR367" s="46"/>
      <c r="AS367" s="46" t="s">
        <v>586</v>
      </c>
      <c r="AT367" s="46" t="s">
        <v>308</v>
      </c>
      <c r="AU367" s="46" t="s">
        <v>626</v>
      </c>
      <c r="AV367" s="46" t="s">
        <v>2400</v>
      </c>
      <c r="AW367" s="46" t="s">
        <v>2256</v>
      </c>
      <c r="AX367" s="46" t="s">
        <v>34</v>
      </c>
      <c r="AY367" s="46"/>
      <c r="AZ367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</row>
    <row r="368" spans="1:75" ht="75" x14ac:dyDescent="0.25">
      <c r="A368" s="47" t="s">
        <v>2450</v>
      </c>
      <c r="B368" s="45" t="s">
        <v>305</v>
      </c>
      <c r="C368" s="45" t="s">
        <v>2765</v>
      </c>
      <c r="D368" s="46" t="s">
        <v>2736</v>
      </c>
      <c r="E368" s="25" t="s">
        <v>2</v>
      </c>
      <c r="F368" s="48" t="s">
        <v>314</v>
      </c>
      <c r="G368" s="62" t="s">
        <v>2787</v>
      </c>
      <c r="H368" s="63"/>
      <c r="I368" s="46" t="s">
        <v>194</v>
      </c>
      <c r="J368" s="46" t="s">
        <v>1064</v>
      </c>
      <c r="K368" s="46" t="s">
        <v>626</v>
      </c>
      <c r="L368" s="46" t="s">
        <v>626</v>
      </c>
      <c r="M368" s="46" t="s">
        <v>4292</v>
      </c>
      <c r="N368" s="46" t="s">
        <v>4191</v>
      </c>
      <c r="O368" s="46" t="s">
        <v>626</v>
      </c>
      <c r="P368" s="46" t="s">
        <v>626</v>
      </c>
      <c r="Q368" s="46" t="s">
        <v>194</v>
      </c>
      <c r="R368" s="46" t="s">
        <v>194</v>
      </c>
      <c r="S368" s="46" t="s">
        <v>194</v>
      </c>
      <c r="T368" s="46" t="s">
        <v>626</v>
      </c>
      <c r="U368" s="46" t="s">
        <v>2871</v>
      </c>
      <c r="V368" s="46" t="s">
        <v>1064</v>
      </c>
      <c r="W368" s="46" t="s">
        <v>1064</v>
      </c>
      <c r="X368" s="46"/>
      <c r="Y368" s="46"/>
      <c r="Z368" s="46"/>
      <c r="AA368" s="46"/>
      <c r="AB368" s="46"/>
      <c r="AC368" s="46" t="s">
        <v>1064</v>
      </c>
      <c r="AD368" s="46"/>
      <c r="AE368" s="46"/>
      <c r="AF368" s="46"/>
      <c r="AG368" s="46"/>
      <c r="AH368" s="46"/>
      <c r="AI368" s="46"/>
      <c r="AJ368" s="46"/>
      <c r="AK368" s="46"/>
      <c r="AL368" s="46" t="s">
        <v>1064</v>
      </c>
      <c r="AM368" s="46"/>
      <c r="AN368" s="46"/>
      <c r="AO368" s="46"/>
      <c r="AP368" s="46" t="s">
        <v>1064</v>
      </c>
      <c r="AQ368" s="46"/>
      <c r="AR368" s="46"/>
      <c r="AS368" s="46" t="s">
        <v>4483</v>
      </c>
      <c r="AT368" s="46" t="s">
        <v>314</v>
      </c>
      <c r="AU368" s="46" t="s">
        <v>626</v>
      </c>
      <c r="AV368" s="46" t="s">
        <v>2402</v>
      </c>
      <c r="AW368" s="46"/>
      <c r="AX368" s="46"/>
      <c r="AY368" s="46"/>
      <c r="AZ368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</row>
    <row r="369" spans="1:75" ht="150" x14ac:dyDescent="0.25">
      <c r="A369" s="47" t="s">
        <v>2451</v>
      </c>
      <c r="B369" s="45" t="s">
        <v>305</v>
      </c>
      <c r="C369" s="45" t="s">
        <v>2766</v>
      </c>
      <c r="D369" s="46" t="s">
        <v>2736</v>
      </c>
      <c r="E369" s="25" t="s">
        <v>2</v>
      </c>
      <c r="F369" s="48" t="s">
        <v>36</v>
      </c>
      <c r="G369" s="62" t="s">
        <v>2786</v>
      </c>
      <c r="H369" s="63" t="s">
        <v>2258</v>
      </c>
      <c r="I369" s="46" t="s">
        <v>4253</v>
      </c>
      <c r="J369" s="46" t="s">
        <v>1064</v>
      </c>
      <c r="K369" s="46" t="s">
        <v>626</v>
      </c>
      <c r="L369" s="46" t="s">
        <v>4191</v>
      </c>
      <c r="M369" s="46" t="s">
        <v>4443</v>
      </c>
      <c r="N369" s="46" t="s">
        <v>4191</v>
      </c>
      <c r="O369" s="46" t="s">
        <v>626</v>
      </c>
      <c r="P369" s="46" t="s">
        <v>626</v>
      </c>
      <c r="Q369" s="46" t="s">
        <v>194</v>
      </c>
      <c r="R369" s="46" t="s">
        <v>4293</v>
      </c>
      <c r="S369" s="46" t="s">
        <v>4294</v>
      </c>
      <c r="T369" s="46" t="s">
        <v>4191</v>
      </c>
      <c r="U369" s="46" t="s">
        <v>2871</v>
      </c>
      <c r="V369" s="46" t="s">
        <v>1064</v>
      </c>
      <c r="W369" s="46" t="s">
        <v>1064</v>
      </c>
      <c r="X369" s="46"/>
      <c r="Y369" s="46"/>
      <c r="Z369" s="46"/>
      <c r="AA369" s="46"/>
      <c r="AB369" s="46"/>
      <c r="AC369" s="46" t="s">
        <v>1064</v>
      </c>
      <c r="AD369" s="46"/>
      <c r="AE369" s="46"/>
      <c r="AF369" s="46"/>
      <c r="AG369" s="46"/>
      <c r="AH369" s="46"/>
      <c r="AI369" s="46"/>
      <c r="AJ369" s="46"/>
      <c r="AK369" s="46"/>
      <c r="AL369" s="46" t="s">
        <v>1064</v>
      </c>
      <c r="AM369" s="46"/>
      <c r="AN369" s="46"/>
      <c r="AO369" s="46"/>
      <c r="AP369" s="46" t="s">
        <v>1064</v>
      </c>
      <c r="AQ369" s="46"/>
      <c r="AR369" s="46"/>
      <c r="AS369" s="46" t="s">
        <v>583</v>
      </c>
      <c r="AT369" s="46" t="s">
        <v>2</v>
      </c>
      <c r="AU369" s="46" t="s">
        <v>626</v>
      </c>
      <c r="AV369" s="46" t="s">
        <v>2398</v>
      </c>
      <c r="AW369" s="46" t="s">
        <v>2258</v>
      </c>
      <c r="AX369" s="46" t="s">
        <v>34</v>
      </c>
      <c r="AY369" s="46"/>
      <c r="AZ369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</row>
    <row r="370" spans="1:75" ht="75" x14ac:dyDescent="0.25">
      <c r="A370" s="47" t="s">
        <v>2453</v>
      </c>
      <c r="B370" s="45" t="s">
        <v>305</v>
      </c>
      <c r="C370" s="45" t="s">
        <v>2767</v>
      </c>
      <c r="D370" s="46" t="s">
        <v>2736</v>
      </c>
      <c r="E370" s="25" t="s">
        <v>2</v>
      </c>
      <c r="F370" s="48" t="s">
        <v>90</v>
      </c>
      <c r="G370" s="62" t="s">
        <v>2846</v>
      </c>
      <c r="H370" s="63" t="s">
        <v>2258</v>
      </c>
      <c r="I370" s="46" t="s">
        <v>194</v>
      </c>
      <c r="J370" s="46" t="s">
        <v>1064</v>
      </c>
      <c r="K370" s="46" t="s">
        <v>626</v>
      </c>
      <c r="L370" s="46" t="s">
        <v>626</v>
      </c>
      <c r="M370" s="46" t="s">
        <v>4292</v>
      </c>
      <c r="N370" s="46" t="s">
        <v>4191</v>
      </c>
      <c r="O370" s="46" t="s">
        <v>626</v>
      </c>
      <c r="P370" s="46" t="s">
        <v>626</v>
      </c>
      <c r="Q370" s="46" t="s">
        <v>194</v>
      </c>
      <c r="R370" s="46" t="s">
        <v>194</v>
      </c>
      <c r="S370" s="46" t="s">
        <v>194</v>
      </c>
      <c r="T370" s="46" t="s">
        <v>626</v>
      </c>
      <c r="U370" s="46" t="s">
        <v>2871</v>
      </c>
      <c r="V370" s="46" t="s">
        <v>1064</v>
      </c>
      <c r="W370" s="46" t="s">
        <v>1064</v>
      </c>
      <c r="X370" s="46"/>
      <c r="Y370" s="46"/>
      <c r="Z370" s="46"/>
      <c r="AA370" s="46"/>
      <c r="AB370" s="46"/>
      <c r="AC370" s="46" t="s">
        <v>1064</v>
      </c>
      <c r="AD370" s="46"/>
      <c r="AE370" s="46"/>
      <c r="AF370" s="46"/>
      <c r="AG370" s="46"/>
      <c r="AH370" s="46"/>
      <c r="AI370" s="46"/>
      <c r="AJ370" s="46"/>
      <c r="AK370" s="46"/>
      <c r="AL370" s="46" t="s">
        <v>1064</v>
      </c>
      <c r="AM370" s="46"/>
      <c r="AN370" s="46"/>
      <c r="AO370" s="46"/>
      <c r="AP370" s="46" t="s">
        <v>1064</v>
      </c>
      <c r="AQ370" s="46"/>
      <c r="AR370" s="46"/>
      <c r="AS370" s="46" t="s">
        <v>586</v>
      </c>
      <c r="AT370" s="46" t="s">
        <v>308</v>
      </c>
      <c r="AU370" s="46" t="s">
        <v>626</v>
      </c>
      <c r="AV370" s="46" t="s">
        <v>2400</v>
      </c>
      <c r="AW370" s="46" t="s">
        <v>2258</v>
      </c>
      <c r="AX370" s="46" t="s">
        <v>34</v>
      </c>
      <c r="AY370" s="46"/>
      <c r="AZ370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</row>
    <row r="371" spans="1:75" ht="75" x14ac:dyDescent="0.25">
      <c r="A371" s="47" t="s">
        <v>2455</v>
      </c>
      <c r="B371" s="45" t="s">
        <v>305</v>
      </c>
      <c r="C371" s="45" t="s">
        <v>2768</v>
      </c>
      <c r="D371" s="46" t="s">
        <v>2736</v>
      </c>
      <c r="E371" s="25" t="s">
        <v>2</v>
      </c>
      <c r="F371" s="48" t="s">
        <v>314</v>
      </c>
      <c r="G371" s="62" t="s">
        <v>2787</v>
      </c>
      <c r="H371" s="63" t="s">
        <v>2258</v>
      </c>
      <c r="I371" s="46" t="s">
        <v>194</v>
      </c>
      <c r="J371" s="46" t="s">
        <v>1064</v>
      </c>
      <c r="K371" s="46" t="s">
        <v>626</v>
      </c>
      <c r="L371" s="46" t="s">
        <v>626</v>
      </c>
      <c r="M371" s="46" t="s">
        <v>4292</v>
      </c>
      <c r="N371" s="46" t="s">
        <v>4191</v>
      </c>
      <c r="O371" s="46" t="s">
        <v>626</v>
      </c>
      <c r="P371" s="46" t="s">
        <v>626</v>
      </c>
      <c r="Q371" s="46" t="s">
        <v>194</v>
      </c>
      <c r="R371" s="46" t="s">
        <v>194</v>
      </c>
      <c r="S371" s="46" t="s">
        <v>194</v>
      </c>
      <c r="T371" s="46" t="s">
        <v>626</v>
      </c>
      <c r="U371" s="46" t="s">
        <v>2871</v>
      </c>
      <c r="V371" s="46" t="s">
        <v>1064</v>
      </c>
      <c r="W371" s="46" t="s">
        <v>1064</v>
      </c>
      <c r="X371" s="46"/>
      <c r="Y371" s="46"/>
      <c r="Z371" s="46"/>
      <c r="AA371" s="46"/>
      <c r="AB371" s="46"/>
      <c r="AC371" s="46" t="s">
        <v>1064</v>
      </c>
      <c r="AD371" s="46"/>
      <c r="AE371" s="46"/>
      <c r="AF371" s="46"/>
      <c r="AG371" s="46"/>
      <c r="AH371" s="46"/>
      <c r="AI371" s="46"/>
      <c r="AJ371" s="46"/>
      <c r="AK371" s="46"/>
      <c r="AL371" s="46" t="s">
        <v>1064</v>
      </c>
      <c r="AM371" s="46"/>
      <c r="AN371" s="46"/>
      <c r="AO371" s="46"/>
      <c r="AP371" s="46" t="s">
        <v>1064</v>
      </c>
      <c r="AQ371" s="46"/>
      <c r="AR371" s="46"/>
      <c r="AS371" s="46" t="s">
        <v>4483</v>
      </c>
      <c r="AT371" s="46" t="s">
        <v>314</v>
      </c>
      <c r="AU371" s="46" t="s">
        <v>626</v>
      </c>
      <c r="AV371" s="46" t="s">
        <v>2402</v>
      </c>
      <c r="AW371" s="46" t="s">
        <v>2258</v>
      </c>
      <c r="AX371" s="46" t="s">
        <v>34</v>
      </c>
      <c r="AY371" s="46"/>
      <c r="AZ371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</row>
    <row r="372" spans="1:75" ht="150" x14ac:dyDescent="0.25">
      <c r="A372" s="47" t="s">
        <v>2457</v>
      </c>
      <c r="B372" s="45" t="s">
        <v>305</v>
      </c>
      <c r="C372" s="45" t="s">
        <v>2769</v>
      </c>
      <c r="D372" s="46" t="s">
        <v>2736</v>
      </c>
      <c r="E372" s="25" t="s">
        <v>2</v>
      </c>
      <c r="F372" s="48" t="s">
        <v>36</v>
      </c>
      <c r="G372" s="62" t="s">
        <v>2786</v>
      </c>
      <c r="H372" s="63" t="s">
        <v>2260</v>
      </c>
      <c r="I372" s="46" t="s">
        <v>4253</v>
      </c>
      <c r="J372" s="46" t="s">
        <v>1064</v>
      </c>
      <c r="K372" s="46" t="s">
        <v>626</v>
      </c>
      <c r="L372" s="46" t="s">
        <v>4191</v>
      </c>
      <c r="M372" s="46" t="s">
        <v>4443</v>
      </c>
      <c r="N372" s="46" t="s">
        <v>4191</v>
      </c>
      <c r="O372" s="46" t="s">
        <v>626</v>
      </c>
      <c r="P372" s="46" t="s">
        <v>626</v>
      </c>
      <c r="Q372" s="46" t="s">
        <v>194</v>
      </c>
      <c r="R372" s="46" t="s">
        <v>4293</v>
      </c>
      <c r="S372" s="46" t="s">
        <v>4294</v>
      </c>
      <c r="T372" s="46" t="s">
        <v>4191</v>
      </c>
      <c r="U372" s="46" t="s">
        <v>2871</v>
      </c>
      <c r="V372" s="46" t="s">
        <v>1064</v>
      </c>
      <c r="W372" s="46" t="s">
        <v>1064</v>
      </c>
      <c r="X372" s="46"/>
      <c r="Y372" s="46"/>
      <c r="Z372" s="46"/>
      <c r="AA372" s="46"/>
      <c r="AB372" s="46"/>
      <c r="AC372" s="46" t="s">
        <v>1064</v>
      </c>
      <c r="AD372" s="46"/>
      <c r="AE372" s="46"/>
      <c r="AF372" s="46"/>
      <c r="AG372" s="46"/>
      <c r="AH372" s="46"/>
      <c r="AI372" s="46"/>
      <c r="AJ372" s="46"/>
      <c r="AK372" s="46"/>
      <c r="AL372" s="46" t="s">
        <v>1064</v>
      </c>
      <c r="AM372" s="46"/>
      <c r="AN372" s="46"/>
      <c r="AO372" s="46"/>
      <c r="AP372" s="46" t="s">
        <v>1064</v>
      </c>
      <c r="AQ372" s="46"/>
      <c r="AR372" s="46"/>
      <c r="AS372" s="46" t="s">
        <v>583</v>
      </c>
      <c r="AT372" s="46" t="s">
        <v>2</v>
      </c>
      <c r="AU372" s="46" t="s">
        <v>626</v>
      </c>
      <c r="AV372" s="46" t="s">
        <v>2398</v>
      </c>
      <c r="AW372" s="46" t="s">
        <v>2260</v>
      </c>
      <c r="AX372" s="46" t="s">
        <v>34</v>
      </c>
      <c r="AY372" s="46"/>
      <c r="AZ372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</row>
    <row r="373" spans="1:75" ht="75" x14ac:dyDescent="0.25">
      <c r="A373" s="47" t="s">
        <v>2459</v>
      </c>
      <c r="B373" s="45" t="s">
        <v>305</v>
      </c>
      <c r="C373" s="45" t="s">
        <v>2770</v>
      </c>
      <c r="D373" s="46" t="s">
        <v>2736</v>
      </c>
      <c r="E373" s="25" t="s">
        <v>2</v>
      </c>
      <c r="F373" s="48" t="s">
        <v>90</v>
      </c>
      <c r="G373" s="62" t="s">
        <v>2846</v>
      </c>
      <c r="H373" s="63" t="s">
        <v>2260</v>
      </c>
      <c r="I373" s="46" t="s">
        <v>194</v>
      </c>
      <c r="J373" s="46" t="s">
        <v>1064</v>
      </c>
      <c r="K373" s="46" t="s">
        <v>626</v>
      </c>
      <c r="L373" s="46" t="s">
        <v>626</v>
      </c>
      <c r="M373" s="46" t="s">
        <v>4292</v>
      </c>
      <c r="N373" s="46" t="s">
        <v>4191</v>
      </c>
      <c r="O373" s="46" t="s">
        <v>626</v>
      </c>
      <c r="P373" s="46" t="s">
        <v>626</v>
      </c>
      <c r="Q373" s="46" t="s">
        <v>194</v>
      </c>
      <c r="R373" s="46" t="s">
        <v>194</v>
      </c>
      <c r="S373" s="46" t="s">
        <v>194</v>
      </c>
      <c r="T373" s="46" t="s">
        <v>626</v>
      </c>
      <c r="U373" s="46" t="s">
        <v>2871</v>
      </c>
      <c r="V373" s="46" t="s">
        <v>1064</v>
      </c>
      <c r="W373" s="46" t="s">
        <v>1064</v>
      </c>
      <c r="X373" s="46"/>
      <c r="Y373" s="46"/>
      <c r="Z373" s="46"/>
      <c r="AA373" s="46"/>
      <c r="AB373" s="46"/>
      <c r="AC373" s="46" t="s">
        <v>1064</v>
      </c>
      <c r="AD373" s="46"/>
      <c r="AE373" s="46"/>
      <c r="AF373" s="46"/>
      <c r="AG373" s="46"/>
      <c r="AH373" s="46"/>
      <c r="AI373" s="46"/>
      <c r="AJ373" s="46"/>
      <c r="AK373" s="46"/>
      <c r="AL373" s="46" t="s">
        <v>1064</v>
      </c>
      <c r="AM373" s="46"/>
      <c r="AN373" s="46"/>
      <c r="AO373" s="46"/>
      <c r="AP373" s="46" t="s">
        <v>1064</v>
      </c>
      <c r="AQ373" s="46"/>
      <c r="AR373" s="46"/>
      <c r="AS373" s="46" t="s">
        <v>586</v>
      </c>
      <c r="AT373" s="46" t="s">
        <v>308</v>
      </c>
      <c r="AU373" s="46" t="s">
        <v>626</v>
      </c>
      <c r="AV373" s="46" t="s">
        <v>2400</v>
      </c>
      <c r="AW373" s="46" t="s">
        <v>2260</v>
      </c>
      <c r="AX373" s="46" t="s">
        <v>34</v>
      </c>
      <c r="AY373" s="46"/>
      <c r="AZ373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</row>
    <row r="374" spans="1:75" ht="75" x14ac:dyDescent="0.25">
      <c r="A374" s="47" t="s">
        <v>2461</v>
      </c>
      <c r="B374" s="45" t="s">
        <v>305</v>
      </c>
      <c r="C374" s="45" t="s">
        <v>2771</v>
      </c>
      <c r="D374" s="46" t="s">
        <v>2736</v>
      </c>
      <c r="E374" s="25" t="s">
        <v>2</v>
      </c>
      <c r="F374" s="48" t="s">
        <v>314</v>
      </c>
      <c r="G374" s="62" t="s">
        <v>2787</v>
      </c>
      <c r="H374" s="63" t="s">
        <v>2260</v>
      </c>
      <c r="I374" s="46" t="s">
        <v>194</v>
      </c>
      <c r="J374" s="46" t="s">
        <v>1064</v>
      </c>
      <c r="K374" s="46" t="s">
        <v>626</v>
      </c>
      <c r="L374" s="46" t="s">
        <v>626</v>
      </c>
      <c r="M374" s="46" t="s">
        <v>4292</v>
      </c>
      <c r="N374" s="46" t="s">
        <v>4191</v>
      </c>
      <c r="O374" s="46" t="s">
        <v>626</v>
      </c>
      <c r="P374" s="46" t="s">
        <v>626</v>
      </c>
      <c r="Q374" s="46" t="s">
        <v>194</v>
      </c>
      <c r="R374" s="46" t="s">
        <v>194</v>
      </c>
      <c r="S374" s="46" t="s">
        <v>194</v>
      </c>
      <c r="T374" s="46" t="s">
        <v>626</v>
      </c>
      <c r="U374" s="46" t="s">
        <v>2871</v>
      </c>
      <c r="V374" s="46" t="s">
        <v>1064</v>
      </c>
      <c r="W374" s="46" t="s">
        <v>1064</v>
      </c>
      <c r="X374" s="46"/>
      <c r="Y374" s="46"/>
      <c r="Z374" s="46"/>
      <c r="AA374" s="46"/>
      <c r="AB374" s="46"/>
      <c r="AC374" s="46" t="s">
        <v>1064</v>
      </c>
      <c r="AD374" s="46"/>
      <c r="AE374" s="46"/>
      <c r="AF374" s="46"/>
      <c r="AG374" s="46"/>
      <c r="AH374" s="46"/>
      <c r="AI374" s="46"/>
      <c r="AJ374" s="46"/>
      <c r="AK374" s="46"/>
      <c r="AL374" s="46" t="s">
        <v>1064</v>
      </c>
      <c r="AM374" s="46"/>
      <c r="AN374" s="46"/>
      <c r="AO374" s="46"/>
      <c r="AP374" s="46" t="s">
        <v>1064</v>
      </c>
      <c r="AQ374" s="46"/>
      <c r="AR374" s="46"/>
      <c r="AS374" s="46" t="s">
        <v>4483</v>
      </c>
      <c r="AT374" s="46" t="s">
        <v>314</v>
      </c>
      <c r="AU374" s="46" t="s">
        <v>626</v>
      </c>
      <c r="AV374" s="46" t="s">
        <v>2402</v>
      </c>
      <c r="AW374" s="46" t="s">
        <v>2260</v>
      </c>
      <c r="AX374" s="46" t="s">
        <v>34</v>
      </c>
      <c r="AY374" s="46"/>
      <c r="AZ374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</row>
    <row r="375" spans="1:75" ht="75" x14ac:dyDescent="0.25">
      <c r="A375" s="47" t="s">
        <v>2404</v>
      </c>
      <c r="B375" s="45" t="s">
        <v>305</v>
      </c>
      <c r="C375" s="45" t="s">
        <v>2664</v>
      </c>
      <c r="D375" s="46" t="s">
        <v>3339</v>
      </c>
      <c r="E375" s="25" t="s">
        <v>2</v>
      </c>
      <c r="F375" s="48" t="s">
        <v>32</v>
      </c>
      <c r="G375" s="62" t="s">
        <v>2788</v>
      </c>
      <c r="H375" s="63" t="s">
        <v>2244</v>
      </c>
      <c r="I375" s="46" t="s">
        <v>194</v>
      </c>
      <c r="J375" s="46" t="s">
        <v>1064</v>
      </c>
      <c r="K375" s="46" t="s">
        <v>626</v>
      </c>
      <c r="L375" s="46" t="s">
        <v>626</v>
      </c>
      <c r="M375" s="46" t="s">
        <v>194</v>
      </c>
      <c r="N375" s="46" t="s">
        <v>626</v>
      </c>
      <c r="O375" s="46" t="s">
        <v>626</v>
      </c>
      <c r="P375" s="46" t="s">
        <v>626</v>
      </c>
      <c r="Q375" s="46" t="s">
        <v>194</v>
      </c>
      <c r="R375" s="46" t="s">
        <v>194</v>
      </c>
      <c r="S375" s="46" t="s">
        <v>194</v>
      </c>
      <c r="T375" s="46"/>
      <c r="U375" s="46" t="s">
        <v>2870</v>
      </c>
      <c r="V375" s="46" t="s">
        <v>1064</v>
      </c>
      <c r="W375" s="46" t="s">
        <v>1064</v>
      </c>
      <c r="X375" s="46"/>
      <c r="Y375" s="46"/>
      <c r="Z375" s="46"/>
      <c r="AA375" s="46"/>
      <c r="AB375" s="46"/>
      <c r="AC375" s="46" t="s">
        <v>1064</v>
      </c>
      <c r="AD375" s="46"/>
      <c r="AE375" s="46"/>
      <c r="AF375" s="46"/>
      <c r="AG375" s="46"/>
      <c r="AH375" s="46"/>
      <c r="AI375" s="46"/>
      <c r="AJ375" s="46"/>
      <c r="AK375" s="46"/>
      <c r="AL375" s="46" t="s">
        <v>4463</v>
      </c>
      <c r="AM375" s="46"/>
      <c r="AN375" s="46"/>
      <c r="AO375" s="46"/>
      <c r="AP375" s="46" t="s">
        <v>1064</v>
      </c>
      <c r="AQ375" s="46"/>
      <c r="AR375" s="46"/>
      <c r="AS375" s="46" t="s">
        <v>4483</v>
      </c>
      <c r="AT375" s="46" t="s">
        <v>2</v>
      </c>
      <c r="AU375" s="46" t="s">
        <v>4191</v>
      </c>
      <c r="AV375" s="46" t="s">
        <v>2404</v>
      </c>
      <c r="AW375" s="46" t="s">
        <v>2244</v>
      </c>
      <c r="AX375" s="46" t="s">
        <v>34</v>
      </c>
      <c r="AY375" s="46"/>
      <c r="AZ375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</row>
    <row r="376" spans="1:75" ht="75" x14ac:dyDescent="0.25">
      <c r="A376" s="47" t="s">
        <v>2406</v>
      </c>
      <c r="B376" s="45" t="s">
        <v>305</v>
      </c>
      <c r="C376" s="45" t="s">
        <v>2666</v>
      </c>
      <c r="D376" s="46" t="s">
        <v>3340</v>
      </c>
      <c r="E376" s="25" t="s">
        <v>2</v>
      </c>
      <c r="F376" s="48" t="s">
        <v>32</v>
      </c>
      <c r="G376" s="62" t="s">
        <v>2789</v>
      </c>
      <c r="H376" s="63" t="s">
        <v>2244</v>
      </c>
      <c r="I376" s="46" t="s">
        <v>194</v>
      </c>
      <c r="J376" s="46" t="s">
        <v>1064</v>
      </c>
      <c r="K376" s="46" t="s">
        <v>626</v>
      </c>
      <c r="L376" s="46" t="s">
        <v>626</v>
      </c>
      <c r="M376" s="46" t="s">
        <v>194</v>
      </c>
      <c r="N376" s="46" t="s">
        <v>626</v>
      </c>
      <c r="O376" s="46" t="s">
        <v>626</v>
      </c>
      <c r="P376" s="46" t="s">
        <v>626</v>
      </c>
      <c r="Q376" s="46" t="s">
        <v>194</v>
      </c>
      <c r="R376" s="46" t="s">
        <v>194</v>
      </c>
      <c r="S376" s="46" t="s">
        <v>194</v>
      </c>
      <c r="T376" s="46"/>
      <c r="U376" s="46" t="s">
        <v>2870</v>
      </c>
      <c r="V376" s="46" t="s">
        <v>1064</v>
      </c>
      <c r="W376" s="46" t="s">
        <v>1064</v>
      </c>
      <c r="X376" s="46"/>
      <c r="Y376" s="46"/>
      <c r="Z376" s="46"/>
      <c r="AA376" s="46"/>
      <c r="AB376" s="46"/>
      <c r="AC376" s="46" t="s">
        <v>1064</v>
      </c>
      <c r="AD376" s="46"/>
      <c r="AE376" s="46"/>
      <c r="AF376" s="46"/>
      <c r="AG376" s="46"/>
      <c r="AH376" s="46"/>
      <c r="AI376" s="46"/>
      <c r="AJ376" s="46"/>
      <c r="AK376" s="46"/>
      <c r="AL376" s="46" t="s">
        <v>4463</v>
      </c>
      <c r="AM376" s="46"/>
      <c r="AN376" s="46"/>
      <c r="AO376" s="46"/>
      <c r="AP376" s="46" t="s">
        <v>1064</v>
      </c>
      <c r="AQ376" s="46"/>
      <c r="AR376" s="46"/>
      <c r="AS376" s="46" t="s">
        <v>4483</v>
      </c>
      <c r="AT376" s="46" t="s">
        <v>308</v>
      </c>
      <c r="AU376" s="46" t="s">
        <v>4191</v>
      </c>
      <c r="AV376" s="46" t="s">
        <v>2406</v>
      </c>
      <c r="AW376" s="46" t="s">
        <v>2244</v>
      </c>
      <c r="AX376" s="46" t="s">
        <v>34</v>
      </c>
      <c r="AY376" s="46"/>
      <c r="AZ37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</row>
    <row r="377" spans="1:75" ht="75" x14ac:dyDescent="0.25">
      <c r="A377" s="47" t="s">
        <v>2408</v>
      </c>
      <c r="B377" s="45" t="s">
        <v>305</v>
      </c>
      <c r="C377" s="45" t="s">
        <v>2668</v>
      </c>
      <c r="D377" s="46" t="s">
        <v>3341</v>
      </c>
      <c r="E377" s="25" t="s">
        <v>2</v>
      </c>
      <c r="F377" s="48" t="s">
        <v>32</v>
      </c>
      <c r="G377" s="62" t="s">
        <v>2790</v>
      </c>
      <c r="H377" s="63" t="s">
        <v>2244</v>
      </c>
      <c r="I377" s="46" t="s">
        <v>194</v>
      </c>
      <c r="J377" s="46" t="s">
        <v>1064</v>
      </c>
      <c r="K377" s="46" t="s">
        <v>626</v>
      </c>
      <c r="L377" s="46" t="s">
        <v>626</v>
      </c>
      <c r="M377" s="46" t="s">
        <v>194</v>
      </c>
      <c r="N377" s="46" t="s">
        <v>626</v>
      </c>
      <c r="O377" s="46" t="s">
        <v>626</v>
      </c>
      <c r="P377" s="46" t="s">
        <v>626</v>
      </c>
      <c r="Q377" s="46" t="s">
        <v>194</v>
      </c>
      <c r="R377" s="46" t="s">
        <v>194</v>
      </c>
      <c r="S377" s="46" t="s">
        <v>194</v>
      </c>
      <c r="T377" s="46"/>
      <c r="U377" s="46" t="s">
        <v>2870</v>
      </c>
      <c r="V377" s="46" t="s">
        <v>1064</v>
      </c>
      <c r="W377" s="46" t="s">
        <v>1064</v>
      </c>
      <c r="X377" s="46"/>
      <c r="Y377" s="46"/>
      <c r="Z377" s="46"/>
      <c r="AA377" s="46"/>
      <c r="AB377" s="46"/>
      <c r="AC377" s="46" t="s">
        <v>1064</v>
      </c>
      <c r="AD377" s="46"/>
      <c r="AE377" s="46"/>
      <c r="AF377" s="46"/>
      <c r="AG377" s="46"/>
      <c r="AH377" s="46"/>
      <c r="AI377" s="46"/>
      <c r="AJ377" s="46"/>
      <c r="AK377" s="46"/>
      <c r="AL377" s="46" t="s">
        <v>4463</v>
      </c>
      <c r="AM377" s="46"/>
      <c r="AN377" s="46"/>
      <c r="AO377" s="46"/>
      <c r="AP377" s="46" t="s">
        <v>1064</v>
      </c>
      <c r="AQ377" s="46"/>
      <c r="AR377" s="46"/>
      <c r="AS377" s="46" t="s">
        <v>4483</v>
      </c>
      <c r="AT377" s="46" t="s">
        <v>314</v>
      </c>
      <c r="AU377" s="46" t="s">
        <v>4191</v>
      </c>
      <c r="AV377" s="46" t="s">
        <v>2408</v>
      </c>
      <c r="AW377" s="46" t="s">
        <v>2244</v>
      </c>
      <c r="AX377" s="46" t="s">
        <v>34</v>
      </c>
      <c r="AY377" s="46"/>
      <c r="AZ377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</row>
    <row r="378" spans="1:75" ht="150" x14ac:dyDescent="0.25">
      <c r="A378" s="47" t="s">
        <v>2463</v>
      </c>
      <c r="B378" s="45" t="s">
        <v>305</v>
      </c>
      <c r="C378" s="45" t="s">
        <v>2759</v>
      </c>
      <c r="D378" s="46" t="s">
        <v>2736</v>
      </c>
      <c r="E378" s="25" t="s">
        <v>2</v>
      </c>
      <c r="F378" s="48" t="s">
        <v>36</v>
      </c>
      <c r="G378" s="62" t="s">
        <v>2791</v>
      </c>
      <c r="H378" s="63" t="s">
        <v>2262</v>
      </c>
      <c r="I378" s="46" t="s">
        <v>4253</v>
      </c>
      <c r="J378" s="46" t="s">
        <v>1064</v>
      </c>
      <c r="K378" s="46" t="s">
        <v>626</v>
      </c>
      <c r="L378" s="46" t="s">
        <v>4191</v>
      </c>
      <c r="M378" s="46" t="s">
        <v>4443</v>
      </c>
      <c r="N378" s="46" t="s">
        <v>4191</v>
      </c>
      <c r="O378" s="46" t="s">
        <v>626</v>
      </c>
      <c r="P378" s="46" t="s">
        <v>626</v>
      </c>
      <c r="Q378" s="46" t="s">
        <v>194</v>
      </c>
      <c r="R378" s="46" t="s">
        <v>4293</v>
      </c>
      <c r="S378" s="46" t="s">
        <v>4294</v>
      </c>
      <c r="T378" s="46" t="s">
        <v>4191</v>
      </c>
      <c r="U378" s="46" t="s">
        <v>2870</v>
      </c>
      <c r="V378" s="46" t="s">
        <v>1064</v>
      </c>
      <c r="W378" s="46" t="s">
        <v>1064</v>
      </c>
      <c r="X378" s="46"/>
      <c r="Y378" s="46"/>
      <c r="Z378" s="46"/>
      <c r="AA378" s="46"/>
      <c r="AB378" s="46"/>
      <c r="AC378" s="46" t="s">
        <v>1064</v>
      </c>
      <c r="AD378" s="46"/>
      <c r="AE378" s="46"/>
      <c r="AF378" s="46"/>
      <c r="AG378" s="46"/>
      <c r="AH378" s="46"/>
      <c r="AI378" s="46"/>
      <c r="AJ378" s="46"/>
      <c r="AK378" s="46"/>
      <c r="AL378" s="46" t="s">
        <v>1064</v>
      </c>
      <c r="AM378" s="46"/>
      <c r="AN378" s="46"/>
      <c r="AO378" s="46"/>
      <c r="AP378" s="46" t="s">
        <v>1064</v>
      </c>
      <c r="AQ378" s="46"/>
      <c r="AR378" s="46"/>
      <c r="AS378" s="46" t="s">
        <v>583</v>
      </c>
      <c r="AT378" s="46" t="s">
        <v>2</v>
      </c>
      <c r="AU378" s="46" t="s">
        <v>626</v>
      </c>
      <c r="AV378" s="46" t="s">
        <v>2404</v>
      </c>
      <c r="AW378" s="46" t="s">
        <v>2262</v>
      </c>
      <c r="AX378" s="46" t="s">
        <v>34</v>
      </c>
      <c r="AY378" s="46"/>
      <c r="AZ378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</row>
    <row r="379" spans="1:75" ht="75" x14ac:dyDescent="0.25">
      <c r="A379" s="47" t="s">
        <v>2465</v>
      </c>
      <c r="B379" s="45" t="s">
        <v>305</v>
      </c>
      <c r="C379" s="45" t="s">
        <v>2761</v>
      </c>
      <c r="D379" s="46" t="s">
        <v>2736</v>
      </c>
      <c r="E379" s="25" t="s">
        <v>2</v>
      </c>
      <c r="F379" s="48" t="s">
        <v>90</v>
      </c>
      <c r="G379" s="62" t="s">
        <v>2847</v>
      </c>
      <c r="H379" s="63" t="s">
        <v>2262</v>
      </c>
      <c r="I379" s="46" t="s">
        <v>194</v>
      </c>
      <c r="J379" s="46" t="s">
        <v>1064</v>
      </c>
      <c r="K379" s="46" t="s">
        <v>626</v>
      </c>
      <c r="L379" s="46" t="s">
        <v>626</v>
      </c>
      <c r="M379" s="46" t="s">
        <v>4292</v>
      </c>
      <c r="N379" s="46" t="s">
        <v>4191</v>
      </c>
      <c r="O379" s="46" t="s">
        <v>626</v>
      </c>
      <c r="P379" s="46" t="s">
        <v>626</v>
      </c>
      <c r="Q379" s="46" t="s">
        <v>194</v>
      </c>
      <c r="R379" s="46" t="s">
        <v>194</v>
      </c>
      <c r="S379" s="46" t="s">
        <v>194</v>
      </c>
      <c r="T379" s="46" t="s">
        <v>626</v>
      </c>
      <c r="U379" s="46" t="s">
        <v>2870</v>
      </c>
      <c r="V379" s="46" t="s">
        <v>1064</v>
      </c>
      <c r="W379" s="46" t="s">
        <v>1064</v>
      </c>
      <c r="X379" s="46"/>
      <c r="Y379" s="46"/>
      <c r="Z379" s="46"/>
      <c r="AA379" s="46"/>
      <c r="AB379" s="46"/>
      <c r="AC379" s="46" t="s">
        <v>1064</v>
      </c>
      <c r="AD379" s="46"/>
      <c r="AE379" s="46"/>
      <c r="AF379" s="46"/>
      <c r="AG379" s="46"/>
      <c r="AH379" s="46"/>
      <c r="AI379" s="46"/>
      <c r="AJ379" s="46"/>
      <c r="AK379" s="46"/>
      <c r="AL379" s="46" t="s">
        <v>1064</v>
      </c>
      <c r="AM379" s="46"/>
      <c r="AN379" s="46"/>
      <c r="AO379" s="46"/>
      <c r="AP379" s="46" t="s">
        <v>1064</v>
      </c>
      <c r="AQ379" s="46"/>
      <c r="AR379" s="46"/>
      <c r="AS379" s="46" t="s">
        <v>586</v>
      </c>
      <c r="AT379" s="46" t="s">
        <v>308</v>
      </c>
      <c r="AU379" s="46" t="s">
        <v>626</v>
      </c>
      <c r="AV379" s="46" t="s">
        <v>2406</v>
      </c>
      <c r="AW379" s="46" t="s">
        <v>2262</v>
      </c>
      <c r="AX379" s="46" t="s">
        <v>34</v>
      </c>
      <c r="AY379" s="46"/>
      <c r="AZ379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</row>
    <row r="380" spans="1:75" ht="75" x14ac:dyDescent="0.25">
      <c r="A380" s="47" t="s">
        <v>2467</v>
      </c>
      <c r="B380" s="45" t="s">
        <v>305</v>
      </c>
      <c r="C380" s="45" t="s">
        <v>2762</v>
      </c>
      <c r="D380" s="46" t="s">
        <v>2736</v>
      </c>
      <c r="E380" s="25" t="s">
        <v>2</v>
      </c>
      <c r="F380" s="48" t="s">
        <v>314</v>
      </c>
      <c r="G380" s="62" t="s">
        <v>2792</v>
      </c>
      <c r="H380" s="63" t="s">
        <v>2262</v>
      </c>
      <c r="I380" s="46" t="s">
        <v>194</v>
      </c>
      <c r="J380" s="46" t="s">
        <v>1064</v>
      </c>
      <c r="K380" s="46" t="s">
        <v>626</v>
      </c>
      <c r="L380" s="46" t="s">
        <v>626</v>
      </c>
      <c r="M380" s="46" t="s">
        <v>4292</v>
      </c>
      <c r="N380" s="46" t="s">
        <v>4191</v>
      </c>
      <c r="O380" s="46" t="s">
        <v>626</v>
      </c>
      <c r="P380" s="46" t="s">
        <v>626</v>
      </c>
      <c r="Q380" s="46" t="s">
        <v>194</v>
      </c>
      <c r="R380" s="46" t="s">
        <v>194</v>
      </c>
      <c r="S380" s="46" t="s">
        <v>194</v>
      </c>
      <c r="T380" s="46" t="s">
        <v>626</v>
      </c>
      <c r="U380" s="46" t="s">
        <v>2870</v>
      </c>
      <c r="V380" s="46" t="s">
        <v>1064</v>
      </c>
      <c r="W380" s="46" t="s">
        <v>1064</v>
      </c>
      <c r="X380" s="46"/>
      <c r="Y380" s="46"/>
      <c r="Z380" s="46"/>
      <c r="AA380" s="46"/>
      <c r="AB380" s="46"/>
      <c r="AC380" s="46" t="s">
        <v>1064</v>
      </c>
      <c r="AD380" s="46"/>
      <c r="AE380" s="46"/>
      <c r="AF380" s="46"/>
      <c r="AG380" s="46"/>
      <c r="AH380" s="46"/>
      <c r="AI380" s="46"/>
      <c r="AJ380" s="46"/>
      <c r="AK380" s="46"/>
      <c r="AL380" s="46" t="s">
        <v>1064</v>
      </c>
      <c r="AM380" s="46"/>
      <c r="AN380" s="46"/>
      <c r="AO380" s="46"/>
      <c r="AP380" s="46" t="s">
        <v>1064</v>
      </c>
      <c r="AQ380" s="46"/>
      <c r="AR380" s="46"/>
      <c r="AS380" s="46" t="s">
        <v>4483</v>
      </c>
      <c r="AT380" s="46" t="s">
        <v>314</v>
      </c>
      <c r="AU380" s="46" t="s">
        <v>626</v>
      </c>
      <c r="AV380" s="46" t="s">
        <v>2408</v>
      </c>
      <c r="AW380" s="46" t="s">
        <v>2262</v>
      </c>
      <c r="AX380" s="46" t="s">
        <v>34</v>
      </c>
      <c r="AY380" s="46"/>
      <c r="AZ380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</row>
    <row r="381" spans="1:75" ht="150" x14ac:dyDescent="0.25">
      <c r="A381" s="47" t="s">
        <v>2469</v>
      </c>
      <c r="B381" s="45" t="s">
        <v>305</v>
      </c>
      <c r="C381" s="45" t="s">
        <v>2763</v>
      </c>
      <c r="D381" s="46" t="s">
        <v>2736</v>
      </c>
      <c r="E381" s="25" t="s">
        <v>2</v>
      </c>
      <c r="F381" s="48" t="s">
        <v>36</v>
      </c>
      <c r="G381" s="62" t="s">
        <v>2791</v>
      </c>
      <c r="H381" s="63" t="s">
        <v>2264</v>
      </c>
      <c r="I381" s="46" t="s">
        <v>4253</v>
      </c>
      <c r="J381" s="46" t="s">
        <v>1064</v>
      </c>
      <c r="K381" s="46" t="s">
        <v>626</v>
      </c>
      <c r="L381" s="46" t="s">
        <v>4191</v>
      </c>
      <c r="M381" s="46" t="s">
        <v>4443</v>
      </c>
      <c r="N381" s="46" t="s">
        <v>4191</v>
      </c>
      <c r="O381" s="46" t="s">
        <v>626</v>
      </c>
      <c r="P381" s="46" t="s">
        <v>626</v>
      </c>
      <c r="Q381" s="46" t="s">
        <v>194</v>
      </c>
      <c r="R381" s="46" t="s">
        <v>4293</v>
      </c>
      <c r="S381" s="46" t="s">
        <v>4294</v>
      </c>
      <c r="T381" s="46" t="s">
        <v>4191</v>
      </c>
      <c r="U381" s="46" t="s">
        <v>2870</v>
      </c>
      <c r="V381" s="46" t="s">
        <v>1064</v>
      </c>
      <c r="W381" s="46" t="s">
        <v>1064</v>
      </c>
      <c r="X381" s="46"/>
      <c r="Y381" s="46"/>
      <c r="Z381" s="46"/>
      <c r="AA381" s="46"/>
      <c r="AB381" s="46"/>
      <c r="AC381" s="46" t="s">
        <v>1064</v>
      </c>
      <c r="AD381" s="46"/>
      <c r="AE381" s="46"/>
      <c r="AF381" s="46"/>
      <c r="AG381" s="46"/>
      <c r="AH381" s="46"/>
      <c r="AI381" s="46"/>
      <c r="AJ381" s="46"/>
      <c r="AK381" s="46"/>
      <c r="AL381" s="46" t="s">
        <v>1064</v>
      </c>
      <c r="AM381" s="46"/>
      <c r="AN381" s="46"/>
      <c r="AO381" s="46"/>
      <c r="AP381" s="46" t="s">
        <v>1064</v>
      </c>
      <c r="AQ381" s="46"/>
      <c r="AR381" s="46"/>
      <c r="AS381" s="46" t="s">
        <v>583</v>
      </c>
      <c r="AT381" s="46" t="s">
        <v>2</v>
      </c>
      <c r="AU381" s="46" t="s">
        <v>626</v>
      </c>
      <c r="AV381" s="46" t="s">
        <v>2404</v>
      </c>
      <c r="AW381" s="46" t="s">
        <v>2264</v>
      </c>
      <c r="AX381" s="46" t="s">
        <v>34</v>
      </c>
      <c r="AY381" s="46"/>
      <c r="AZ381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</row>
    <row r="382" spans="1:75" ht="75" x14ac:dyDescent="0.25">
      <c r="A382" s="47" t="s">
        <v>2471</v>
      </c>
      <c r="B382" s="45" t="s">
        <v>305</v>
      </c>
      <c r="C382" s="45" t="s">
        <v>2764</v>
      </c>
      <c r="D382" s="46" t="s">
        <v>2736</v>
      </c>
      <c r="E382" s="25" t="s">
        <v>2</v>
      </c>
      <c r="F382" s="48" t="s">
        <v>90</v>
      </c>
      <c r="G382" s="62" t="s">
        <v>2847</v>
      </c>
      <c r="H382" s="63"/>
      <c r="I382" s="46" t="s">
        <v>194</v>
      </c>
      <c r="J382" s="46" t="s">
        <v>1064</v>
      </c>
      <c r="K382" s="46" t="s">
        <v>626</v>
      </c>
      <c r="L382" s="46" t="s">
        <v>626</v>
      </c>
      <c r="M382" s="46" t="s">
        <v>4292</v>
      </c>
      <c r="N382" s="46" t="s">
        <v>4191</v>
      </c>
      <c r="O382" s="46" t="s">
        <v>626</v>
      </c>
      <c r="P382" s="46" t="s">
        <v>626</v>
      </c>
      <c r="Q382" s="46" t="s">
        <v>194</v>
      </c>
      <c r="R382" s="46" t="s">
        <v>194</v>
      </c>
      <c r="S382" s="46" t="s">
        <v>194</v>
      </c>
      <c r="T382" s="46" t="s">
        <v>626</v>
      </c>
      <c r="U382" s="46" t="s">
        <v>2870</v>
      </c>
      <c r="V382" s="46" t="s">
        <v>1064</v>
      </c>
      <c r="W382" s="46" t="s">
        <v>1064</v>
      </c>
      <c r="X382" s="46"/>
      <c r="Y382" s="46"/>
      <c r="Z382" s="46"/>
      <c r="AA382" s="46"/>
      <c r="AB382" s="46"/>
      <c r="AC382" s="46" t="s">
        <v>1064</v>
      </c>
      <c r="AD382" s="46"/>
      <c r="AE382" s="46"/>
      <c r="AF382" s="46"/>
      <c r="AG382" s="46"/>
      <c r="AH382" s="46"/>
      <c r="AI382" s="46"/>
      <c r="AJ382" s="46"/>
      <c r="AK382" s="46"/>
      <c r="AL382" s="46" t="s">
        <v>1064</v>
      </c>
      <c r="AM382" s="46"/>
      <c r="AN382" s="46"/>
      <c r="AO382" s="46"/>
      <c r="AP382" s="46" t="s">
        <v>1064</v>
      </c>
      <c r="AQ382" s="46"/>
      <c r="AR382" s="46"/>
      <c r="AS382" s="46" t="s">
        <v>586</v>
      </c>
      <c r="AT382" s="46" t="s">
        <v>308</v>
      </c>
      <c r="AU382" s="46" t="s">
        <v>626</v>
      </c>
      <c r="AV382" s="46" t="s">
        <v>2406</v>
      </c>
      <c r="AW382" s="46"/>
      <c r="AX382" s="46"/>
      <c r="AY382" s="46"/>
      <c r="AZ382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</row>
    <row r="383" spans="1:75" ht="75" x14ac:dyDescent="0.25">
      <c r="A383" s="47" t="s">
        <v>2472</v>
      </c>
      <c r="B383" s="45" t="s">
        <v>305</v>
      </c>
      <c r="C383" s="45" t="s">
        <v>2765</v>
      </c>
      <c r="D383" s="46" t="s">
        <v>2736</v>
      </c>
      <c r="E383" s="25" t="s">
        <v>2</v>
      </c>
      <c r="F383" s="48" t="s">
        <v>314</v>
      </c>
      <c r="G383" s="62" t="s">
        <v>2792</v>
      </c>
      <c r="H383" s="63"/>
      <c r="I383" s="46" t="s">
        <v>194</v>
      </c>
      <c r="J383" s="46" t="s">
        <v>1064</v>
      </c>
      <c r="K383" s="46" t="s">
        <v>626</v>
      </c>
      <c r="L383" s="46" t="s">
        <v>626</v>
      </c>
      <c r="M383" s="46" t="s">
        <v>4292</v>
      </c>
      <c r="N383" s="46" t="s">
        <v>4191</v>
      </c>
      <c r="O383" s="46" t="s">
        <v>626</v>
      </c>
      <c r="P383" s="46" t="s">
        <v>626</v>
      </c>
      <c r="Q383" s="46" t="s">
        <v>194</v>
      </c>
      <c r="R383" s="46" t="s">
        <v>194</v>
      </c>
      <c r="S383" s="46" t="s">
        <v>194</v>
      </c>
      <c r="T383" s="46" t="s">
        <v>626</v>
      </c>
      <c r="U383" s="46" t="s">
        <v>2870</v>
      </c>
      <c r="V383" s="46" t="s">
        <v>1064</v>
      </c>
      <c r="W383" s="46" t="s">
        <v>1064</v>
      </c>
      <c r="X383" s="46"/>
      <c r="Y383" s="46"/>
      <c r="Z383" s="46"/>
      <c r="AA383" s="46"/>
      <c r="AB383" s="46"/>
      <c r="AC383" s="46" t="s">
        <v>1064</v>
      </c>
      <c r="AD383" s="46"/>
      <c r="AE383" s="46"/>
      <c r="AF383" s="46"/>
      <c r="AG383" s="46"/>
      <c r="AH383" s="46"/>
      <c r="AI383" s="46"/>
      <c r="AJ383" s="46"/>
      <c r="AK383" s="46"/>
      <c r="AL383" s="46" t="s">
        <v>1064</v>
      </c>
      <c r="AM383" s="46"/>
      <c r="AN383" s="46"/>
      <c r="AO383" s="46"/>
      <c r="AP383" s="46" t="s">
        <v>1064</v>
      </c>
      <c r="AQ383" s="46"/>
      <c r="AR383" s="46"/>
      <c r="AS383" s="46" t="s">
        <v>4483</v>
      </c>
      <c r="AT383" s="46" t="s">
        <v>314</v>
      </c>
      <c r="AU383" s="46" t="s">
        <v>626</v>
      </c>
      <c r="AV383" s="46" t="s">
        <v>2408</v>
      </c>
      <c r="AW383" s="46"/>
      <c r="AX383" s="46"/>
      <c r="AY383" s="46"/>
      <c r="AZ383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</row>
    <row r="384" spans="1:75" ht="150" x14ac:dyDescent="0.25">
      <c r="A384" s="47" t="s">
        <v>2473</v>
      </c>
      <c r="B384" s="45" t="s">
        <v>305</v>
      </c>
      <c r="C384" s="45" t="s">
        <v>2766</v>
      </c>
      <c r="D384" s="46" t="s">
        <v>2736</v>
      </c>
      <c r="E384" s="25" t="s">
        <v>2</v>
      </c>
      <c r="F384" s="48" t="s">
        <v>36</v>
      </c>
      <c r="G384" s="62" t="s">
        <v>2791</v>
      </c>
      <c r="H384" s="63" t="s">
        <v>2266</v>
      </c>
      <c r="I384" s="46" t="s">
        <v>4253</v>
      </c>
      <c r="J384" s="46" t="s">
        <v>1064</v>
      </c>
      <c r="K384" s="46" t="s">
        <v>626</v>
      </c>
      <c r="L384" s="46" t="s">
        <v>4191</v>
      </c>
      <c r="M384" s="46" t="s">
        <v>4443</v>
      </c>
      <c r="N384" s="46" t="s">
        <v>4191</v>
      </c>
      <c r="O384" s="46" t="s">
        <v>626</v>
      </c>
      <c r="P384" s="46" t="s">
        <v>626</v>
      </c>
      <c r="Q384" s="46" t="s">
        <v>194</v>
      </c>
      <c r="R384" s="46" t="s">
        <v>4293</v>
      </c>
      <c r="S384" s="46" t="s">
        <v>4294</v>
      </c>
      <c r="T384" s="46" t="s">
        <v>4191</v>
      </c>
      <c r="U384" s="46" t="s">
        <v>2870</v>
      </c>
      <c r="V384" s="46" t="s">
        <v>1064</v>
      </c>
      <c r="W384" s="46" t="s">
        <v>1064</v>
      </c>
      <c r="X384" s="46"/>
      <c r="Y384" s="46"/>
      <c r="Z384" s="46"/>
      <c r="AA384" s="46"/>
      <c r="AB384" s="46"/>
      <c r="AC384" s="46" t="s">
        <v>1064</v>
      </c>
      <c r="AD384" s="46"/>
      <c r="AE384" s="46"/>
      <c r="AF384" s="46"/>
      <c r="AG384" s="46"/>
      <c r="AH384" s="46"/>
      <c r="AI384" s="46"/>
      <c r="AJ384" s="46"/>
      <c r="AK384" s="46"/>
      <c r="AL384" s="46" t="s">
        <v>1064</v>
      </c>
      <c r="AM384" s="46"/>
      <c r="AN384" s="46"/>
      <c r="AO384" s="46"/>
      <c r="AP384" s="46" t="s">
        <v>1064</v>
      </c>
      <c r="AQ384" s="46"/>
      <c r="AR384" s="46"/>
      <c r="AS384" s="46" t="s">
        <v>583</v>
      </c>
      <c r="AT384" s="46" t="s">
        <v>2</v>
      </c>
      <c r="AU384" s="46" t="s">
        <v>626</v>
      </c>
      <c r="AV384" s="46" t="s">
        <v>2404</v>
      </c>
      <c r="AW384" s="46" t="s">
        <v>2266</v>
      </c>
      <c r="AX384" s="46" t="s">
        <v>28</v>
      </c>
      <c r="AY384" s="46"/>
      <c r="AZ384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</row>
    <row r="385" spans="1:75" ht="75" x14ac:dyDescent="0.25">
      <c r="A385" s="47" t="s">
        <v>2475</v>
      </c>
      <c r="B385" s="45" t="s">
        <v>305</v>
      </c>
      <c r="C385" s="45" t="s">
        <v>2767</v>
      </c>
      <c r="D385" s="46" t="s">
        <v>2736</v>
      </c>
      <c r="E385" s="25" t="s">
        <v>2</v>
      </c>
      <c r="F385" s="48" t="s">
        <v>90</v>
      </c>
      <c r="G385" s="62" t="s">
        <v>2847</v>
      </c>
      <c r="H385" s="63" t="s">
        <v>2266</v>
      </c>
      <c r="I385" s="46" t="s">
        <v>194</v>
      </c>
      <c r="J385" s="46" t="s">
        <v>1064</v>
      </c>
      <c r="K385" s="46" t="s">
        <v>626</v>
      </c>
      <c r="L385" s="46" t="s">
        <v>626</v>
      </c>
      <c r="M385" s="46" t="s">
        <v>4292</v>
      </c>
      <c r="N385" s="46" t="s">
        <v>4191</v>
      </c>
      <c r="O385" s="46" t="s">
        <v>626</v>
      </c>
      <c r="P385" s="46" t="s">
        <v>626</v>
      </c>
      <c r="Q385" s="46" t="s">
        <v>194</v>
      </c>
      <c r="R385" s="46" t="s">
        <v>194</v>
      </c>
      <c r="S385" s="46" t="s">
        <v>194</v>
      </c>
      <c r="T385" s="46" t="s">
        <v>626</v>
      </c>
      <c r="U385" s="46" t="s">
        <v>2870</v>
      </c>
      <c r="V385" s="46" t="s">
        <v>1064</v>
      </c>
      <c r="W385" s="46" t="s">
        <v>1064</v>
      </c>
      <c r="X385" s="46"/>
      <c r="Y385" s="46"/>
      <c r="Z385" s="46"/>
      <c r="AA385" s="46"/>
      <c r="AB385" s="46"/>
      <c r="AC385" s="46" t="s">
        <v>1064</v>
      </c>
      <c r="AD385" s="46"/>
      <c r="AE385" s="46"/>
      <c r="AF385" s="46"/>
      <c r="AG385" s="46"/>
      <c r="AH385" s="46"/>
      <c r="AI385" s="46"/>
      <c r="AJ385" s="46"/>
      <c r="AK385" s="46"/>
      <c r="AL385" s="46" t="s">
        <v>1064</v>
      </c>
      <c r="AM385" s="46"/>
      <c r="AN385" s="46"/>
      <c r="AO385" s="46"/>
      <c r="AP385" s="46" t="s">
        <v>1064</v>
      </c>
      <c r="AQ385" s="46"/>
      <c r="AR385" s="46"/>
      <c r="AS385" s="46" t="s">
        <v>586</v>
      </c>
      <c r="AT385" s="46" t="s">
        <v>308</v>
      </c>
      <c r="AU385" s="46" t="s">
        <v>626</v>
      </c>
      <c r="AV385" s="46" t="s">
        <v>2406</v>
      </c>
      <c r="AW385" s="46" t="s">
        <v>2266</v>
      </c>
      <c r="AX385" s="46" t="s">
        <v>28</v>
      </c>
      <c r="AY385" s="46"/>
      <c r="AZ385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</row>
    <row r="386" spans="1:75" ht="75" x14ac:dyDescent="0.25">
      <c r="A386" s="47" t="s">
        <v>2477</v>
      </c>
      <c r="B386" s="45" t="s">
        <v>305</v>
      </c>
      <c r="C386" s="45" t="s">
        <v>2768</v>
      </c>
      <c r="D386" s="46" t="s">
        <v>2736</v>
      </c>
      <c r="E386" s="25" t="s">
        <v>2</v>
      </c>
      <c r="F386" s="48" t="s">
        <v>314</v>
      </c>
      <c r="G386" s="62" t="s">
        <v>2792</v>
      </c>
      <c r="H386" s="63" t="s">
        <v>2266</v>
      </c>
      <c r="I386" s="46" t="s">
        <v>194</v>
      </c>
      <c r="J386" s="46" t="s">
        <v>1064</v>
      </c>
      <c r="K386" s="46" t="s">
        <v>626</v>
      </c>
      <c r="L386" s="46" t="s">
        <v>626</v>
      </c>
      <c r="M386" s="46" t="s">
        <v>4292</v>
      </c>
      <c r="N386" s="46" t="s">
        <v>4191</v>
      </c>
      <c r="O386" s="46" t="s">
        <v>626</v>
      </c>
      <c r="P386" s="46" t="s">
        <v>626</v>
      </c>
      <c r="Q386" s="46" t="s">
        <v>194</v>
      </c>
      <c r="R386" s="46" t="s">
        <v>194</v>
      </c>
      <c r="S386" s="46" t="s">
        <v>194</v>
      </c>
      <c r="T386" s="46" t="s">
        <v>626</v>
      </c>
      <c r="U386" s="46" t="s">
        <v>2870</v>
      </c>
      <c r="V386" s="46" t="s">
        <v>1064</v>
      </c>
      <c r="W386" s="46" t="s">
        <v>1064</v>
      </c>
      <c r="X386" s="46"/>
      <c r="Y386" s="46"/>
      <c r="Z386" s="46"/>
      <c r="AA386" s="46"/>
      <c r="AB386" s="46"/>
      <c r="AC386" s="46" t="s">
        <v>1064</v>
      </c>
      <c r="AD386" s="46"/>
      <c r="AE386" s="46"/>
      <c r="AF386" s="46"/>
      <c r="AG386" s="46"/>
      <c r="AH386" s="46"/>
      <c r="AI386" s="46"/>
      <c r="AJ386" s="46"/>
      <c r="AK386" s="46"/>
      <c r="AL386" s="46" t="s">
        <v>1064</v>
      </c>
      <c r="AM386" s="46"/>
      <c r="AN386" s="46"/>
      <c r="AO386" s="46"/>
      <c r="AP386" s="46" t="s">
        <v>1064</v>
      </c>
      <c r="AQ386" s="46"/>
      <c r="AR386" s="46"/>
      <c r="AS386" s="46" t="s">
        <v>4483</v>
      </c>
      <c r="AT386" s="46" t="s">
        <v>314</v>
      </c>
      <c r="AU386" s="46" t="s">
        <v>626</v>
      </c>
      <c r="AV386" s="46" t="s">
        <v>2408</v>
      </c>
      <c r="AW386" s="46" t="s">
        <v>2266</v>
      </c>
      <c r="AX386" s="46" t="s">
        <v>28</v>
      </c>
      <c r="AY386" s="46"/>
      <c r="AZ38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</row>
    <row r="387" spans="1:75" ht="150" x14ac:dyDescent="0.25">
      <c r="A387" s="47" t="s">
        <v>2479</v>
      </c>
      <c r="B387" s="45" t="s">
        <v>305</v>
      </c>
      <c r="C387" s="45" t="s">
        <v>2769</v>
      </c>
      <c r="D387" s="46" t="s">
        <v>2736</v>
      </c>
      <c r="E387" s="25" t="s">
        <v>2</v>
      </c>
      <c r="F387" s="48" t="s">
        <v>36</v>
      </c>
      <c r="G387" s="62" t="s">
        <v>2791</v>
      </c>
      <c r="H387" s="63" t="s">
        <v>2268</v>
      </c>
      <c r="I387" s="46" t="s">
        <v>4253</v>
      </c>
      <c r="J387" s="46" t="s">
        <v>1064</v>
      </c>
      <c r="K387" s="46" t="s">
        <v>626</v>
      </c>
      <c r="L387" s="46" t="s">
        <v>4191</v>
      </c>
      <c r="M387" s="46" t="s">
        <v>4443</v>
      </c>
      <c r="N387" s="46" t="s">
        <v>4191</v>
      </c>
      <c r="O387" s="46" t="s">
        <v>626</v>
      </c>
      <c r="P387" s="46" t="s">
        <v>626</v>
      </c>
      <c r="Q387" s="46" t="s">
        <v>194</v>
      </c>
      <c r="R387" s="46" t="s">
        <v>4293</v>
      </c>
      <c r="S387" s="46" t="s">
        <v>4294</v>
      </c>
      <c r="T387" s="46" t="s">
        <v>4191</v>
      </c>
      <c r="U387" s="46" t="s">
        <v>2870</v>
      </c>
      <c r="V387" s="46" t="s">
        <v>1064</v>
      </c>
      <c r="W387" s="46" t="s">
        <v>1064</v>
      </c>
      <c r="X387" s="46"/>
      <c r="Y387" s="46"/>
      <c r="Z387" s="46"/>
      <c r="AA387" s="46"/>
      <c r="AB387" s="46"/>
      <c r="AC387" s="46" t="s">
        <v>1064</v>
      </c>
      <c r="AD387" s="46"/>
      <c r="AE387" s="46"/>
      <c r="AF387" s="46"/>
      <c r="AG387" s="46"/>
      <c r="AH387" s="46"/>
      <c r="AI387" s="46"/>
      <c r="AJ387" s="46"/>
      <c r="AK387" s="46"/>
      <c r="AL387" s="46" t="s">
        <v>1064</v>
      </c>
      <c r="AM387" s="46"/>
      <c r="AN387" s="46"/>
      <c r="AO387" s="46"/>
      <c r="AP387" s="46" t="s">
        <v>1064</v>
      </c>
      <c r="AQ387" s="46"/>
      <c r="AR387" s="46"/>
      <c r="AS387" s="46" t="s">
        <v>583</v>
      </c>
      <c r="AT387" s="46" t="s">
        <v>2</v>
      </c>
      <c r="AU387" s="46" t="s">
        <v>626</v>
      </c>
      <c r="AV387" s="46" t="s">
        <v>2404</v>
      </c>
      <c r="AW387" s="46" t="s">
        <v>2268</v>
      </c>
      <c r="AX387" s="46" t="s">
        <v>34</v>
      </c>
      <c r="AY387" s="46"/>
      <c r="AZ387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</row>
    <row r="388" spans="1:75" ht="75" x14ac:dyDescent="0.25">
      <c r="A388" s="47" t="s">
        <v>2481</v>
      </c>
      <c r="B388" s="45" t="s">
        <v>305</v>
      </c>
      <c r="C388" s="45" t="s">
        <v>2770</v>
      </c>
      <c r="D388" s="46" t="s">
        <v>2736</v>
      </c>
      <c r="E388" s="25" t="s">
        <v>2</v>
      </c>
      <c r="F388" s="48" t="s">
        <v>90</v>
      </c>
      <c r="G388" s="62" t="s">
        <v>2847</v>
      </c>
      <c r="H388" s="63" t="s">
        <v>2268</v>
      </c>
      <c r="I388" s="46" t="s">
        <v>194</v>
      </c>
      <c r="J388" s="46" t="s">
        <v>1064</v>
      </c>
      <c r="K388" s="46" t="s">
        <v>626</v>
      </c>
      <c r="L388" s="46" t="s">
        <v>626</v>
      </c>
      <c r="M388" s="46" t="s">
        <v>4292</v>
      </c>
      <c r="N388" s="46" t="s">
        <v>4191</v>
      </c>
      <c r="O388" s="46" t="s">
        <v>626</v>
      </c>
      <c r="P388" s="46" t="s">
        <v>626</v>
      </c>
      <c r="Q388" s="46" t="s">
        <v>194</v>
      </c>
      <c r="R388" s="46" t="s">
        <v>194</v>
      </c>
      <c r="S388" s="46" t="s">
        <v>194</v>
      </c>
      <c r="T388" s="46" t="s">
        <v>626</v>
      </c>
      <c r="U388" s="46" t="s">
        <v>2870</v>
      </c>
      <c r="V388" s="46" t="s">
        <v>1064</v>
      </c>
      <c r="W388" s="46" t="s">
        <v>1064</v>
      </c>
      <c r="X388" s="46"/>
      <c r="Y388" s="46"/>
      <c r="Z388" s="46"/>
      <c r="AA388" s="46"/>
      <c r="AB388" s="46"/>
      <c r="AC388" s="46" t="s">
        <v>1064</v>
      </c>
      <c r="AD388" s="46"/>
      <c r="AE388" s="46"/>
      <c r="AF388" s="46"/>
      <c r="AG388" s="46"/>
      <c r="AH388" s="46"/>
      <c r="AI388" s="46"/>
      <c r="AJ388" s="46"/>
      <c r="AK388" s="46"/>
      <c r="AL388" s="46" t="s">
        <v>1064</v>
      </c>
      <c r="AM388" s="46"/>
      <c r="AN388" s="46"/>
      <c r="AO388" s="46"/>
      <c r="AP388" s="46" t="s">
        <v>1064</v>
      </c>
      <c r="AQ388" s="46"/>
      <c r="AR388" s="46"/>
      <c r="AS388" s="46" t="s">
        <v>586</v>
      </c>
      <c r="AT388" s="46" t="s">
        <v>308</v>
      </c>
      <c r="AU388" s="46" t="s">
        <v>626</v>
      </c>
      <c r="AV388" s="46" t="s">
        <v>2406</v>
      </c>
      <c r="AW388" s="46" t="s">
        <v>2268</v>
      </c>
      <c r="AX388" s="46" t="s">
        <v>34</v>
      </c>
      <c r="AY388" s="46"/>
      <c r="AZ388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</row>
    <row r="389" spans="1:75" ht="75" x14ac:dyDescent="0.25">
      <c r="A389" s="47" t="s">
        <v>2483</v>
      </c>
      <c r="B389" s="45" t="s">
        <v>305</v>
      </c>
      <c r="C389" s="45" t="s">
        <v>2771</v>
      </c>
      <c r="D389" s="46" t="s">
        <v>2736</v>
      </c>
      <c r="E389" s="25" t="s">
        <v>2</v>
      </c>
      <c r="F389" s="48" t="s">
        <v>314</v>
      </c>
      <c r="G389" s="62" t="s">
        <v>2792</v>
      </c>
      <c r="H389" s="63" t="s">
        <v>2268</v>
      </c>
      <c r="I389" s="46" t="s">
        <v>194</v>
      </c>
      <c r="J389" s="46" t="s">
        <v>1064</v>
      </c>
      <c r="K389" s="46" t="s">
        <v>626</v>
      </c>
      <c r="L389" s="46" t="s">
        <v>626</v>
      </c>
      <c r="M389" s="46" t="s">
        <v>4292</v>
      </c>
      <c r="N389" s="46" t="s">
        <v>4191</v>
      </c>
      <c r="O389" s="46" t="s">
        <v>626</v>
      </c>
      <c r="P389" s="46" t="s">
        <v>626</v>
      </c>
      <c r="Q389" s="46" t="s">
        <v>194</v>
      </c>
      <c r="R389" s="46" t="s">
        <v>194</v>
      </c>
      <c r="S389" s="46" t="s">
        <v>194</v>
      </c>
      <c r="T389" s="46" t="s">
        <v>626</v>
      </c>
      <c r="U389" s="46" t="s">
        <v>2870</v>
      </c>
      <c r="V389" s="46" t="s">
        <v>1064</v>
      </c>
      <c r="W389" s="46" t="s">
        <v>1064</v>
      </c>
      <c r="X389" s="46"/>
      <c r="Y389" s="46"/>
      <c r="Z389" s="46"/>
      <c r="AA389" s="46"/>
      <c r="AB389" s="46"/>
      <c r="AC389" s="46" t="s">
        <v>1064</v>
      </c>
      <c r="AD389" s="46"/>
      <c r="AE389" s="46"/>
      <c r="AF389" s="46"/>
      <c r="AG389" s="46"/>
      <c r="AH389" s="46"/>
      <c r="AI389" s="46"/>
      <c r="AJ389" s="46"/>
      <c r="AK389" s="46"/>
      <c r="AL389" s="46" t="s">
        <v>1064</v>
      </c>
      <c r="AM389" s="46"/>
      <c r="AN389" s="46"/>
      <c r="AO389" s="46"/>
      <c r="AP389" s="46" t="s">
        <v>1064</v>
      </c>
      <c r="AQ389" s="46"/>
      <c r="AR389" s="46"/>
      <c r="AS389" s="46" t="s">
        <v>4483</v>
      </c>
      <c r="AT389" s="46" t="s">
        <v>314</v>
      </c>
      <c r="AU389" s="46" t="s">
        <v>626</v>
      </c>
      <c r="AV389" s="46" t="s">
        <v>2408</v>
      </c>
      <c r="AW389" s="46" t="s">
        <v>2268</v>
      </c>
      <c r="AX389" s="46" t="s">
        <v>34</v>
      </c>
      <c r="AY389" s="46"/>
      <c r="AZ389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</row>
    <row r="390" spans="1:75" ht="75" x14ac:dyDescent="0.25">
      <c r="A390" s="47" t="s">
        <v>2410</v>
      </c>
      <c r="B390" s="45" t="s">
        <v>305</v>
      </c>
      <c r="C390" s="45" t="s">
        <v>2664</v>
      </c>
      <c r="D390" s="46" t="s">
        <v>3339</v>
      </c>
      <c r="E390" s="25" t="s">
        <v>2</v>
      </c>
      <c r="F390" s="48" t="s">
        <v>32</v>
      </c>
      <c r="G390" s="62" t="s">
        <v>2793</v>
      </c>
      <c r="H390" s="63" t="s">
        <v>2246</v>
      </c>
      <c r="I390" s="46" t="s">
        <v>194</v>
      </c>
      <c r="J390" s="46" t="s">
        <v>1064</v>
      </c>
      <c r="K390" s="46" t="s">
        <v>626</v>
      </c>
      <c r="L390" s="46" t="s">
        <v>626</v>
      </c>
      <c r="M390" s="46" t="s">
        <v>194</v>
      </c>
      <c r="N390" s="46" t="s">
        <v>626</v>
      </c>
      <c r="O390" s="46" t="s">
        <v>626</v>
      </c>
      <c r="P390" s="46" t="s">
        <v>626</v>
      </c>
      <c r="Q390" s="46" t="s">
        <v>194</v>
      </c>
      <c r="R390" s="46" t="s">
        <v>194</v>
      </c>
      <c r="S390" s="46" t="s">
        <v>194</v>
      </c>
      <c r="T390" s="46"/>
      <c r="U390" s="46" t="s">
        <v>2872</v>
      </c>
      <c r="V390" s="46" t="s">
        <v>1064</v>
      </c>
      <c r="W390" s="46" t="s">
        <v>1064</v>
      </c>
      <c r="X390" s="46"/>
      <c r="Y390" s="46"/>
      <c r="Z390" s="46"/>
      <c r="AA390" s="46"/>
      <c r="AB390" s="46"/>
      <c r="AC390" s="46" t="s">
        <v>1064</v>
      </c>
      <c r="AD390" s="46"/>
      <c r="AE390" s="46"/>
      <c r="AF390" s="46"/>
      <c r="AG390" s="46"/>
      <c r="AH390" s="46"/>
      <c r="AI390" s="46"/>
      <c r="AJ390" s="46"/>
      <c r="AK390" s="46"/>
      <c r="AL390" s="46" t="s">
        <v>4464</v>
      </c>
      <c r="AM390" s="46"/>
      <c r="AN390" s="46"/>
      <c r="AO390" s="46"/>
      <c r="AP390" s="46" t="s">
        <v>1064</v>
      </c>
      <c r="AQ390" s="46"/>
      <c r="AR390" s="46"/>
      <c r="AS390" s="46" t="s">
        <v>4483</v>
      </c>
      <c r="AT390" s="46" t="s">
        <v>2</v>
      </c>
      <c r="AU390" s="46" t="s">
        <v>4191</v>
      </c>
      <c r="AV390" s="46" t="s">
        <v>2410</v>
      </c>
      <c r="AW390" s="46" t="s">
        <v>2246</v>
      </c>
      <c r="AX390" s="46" t="s">
        <v>34</v>
      </c>
      <c r="AY390" s="46"/>
      <c r="AZ390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</row>
    <row r="391" spans="1:75" ht="75" x14ac:dyDescent="0.25">
      <c r="A391" s="47" t="s">
        <v>2412</v>
      </c>
      <c r="B391" s="45" t="s">
        <v>305</v>
      </c>
      <c r="C391" s="45" t="s">
        <v>2666</v>
      </c>
      <c r="D391" s="46" t="s">
        <v>3340</v>
      </c>
      <c r="E391" s="25" t="s">
        <v>2</v>
      </c>
      <c r="F391" s="48" t="s">
        <v>32</v>
      </c>
      <c r="G391" s="62" t="s">
        <v>2794</v>
      </c>
      <c r="H391" s="63" t="s">
        <v>2246</v>
      </c>
      <c r="I391" s="46" t="s">
        <v>194</v>
      </c>
      <c r="J391" s="46" t="s">
        <v>1064</v>
      </c>
      <c r="K391" s="46" t="s">
        <v>626</v>
      </c>
      <c r="L391" s="46" t="s">
        <v>626</v>
      </c>
      <c r="M391" s="46" t="s">
        <v>194</v>
      </c>
      <c r="N391" s="46" t="s">
        <v>626</v>
      </c>
      <c r="O391" s="46" t="s">
        <v>626</v>
      </c>
      <c r="P391" s="46" t="s">
        <v>626</v>
      </c>
      <c r="Q391" s="46" t="s">
        <v>194</v>
      </c>
      <c r="R391" s="46" t="s">
        <v>194</v>
      </c>
      <c r="S391" s="46" t="s">
        <v>194</v>
      </c>
      <c r="T391" s="46"/>
      <c r="U391" s="46" t="s">
        <v>2872</v>
      </c>
      <c r="V391" s="46" t="s">
        <v>1064</v>
      </c>
      <c r="W391" s="46" t="s">
        <v>1064</v>
      </c>
      <c r="X391" s="46"/>
      <c r="Y391" s="46"/>
      <c r="Z391" s="46"/>
      <c r="AA391" s="46"/>
      <c r="AB391" s="46"/>
      <c r="AC391" s="46" t="s">
        <v>1064</v>
      </c>
      <c r="AD391" s="46"/>
      <c r="AE391" s="46"/>
      <c r="AF391" s="46"/>
      <c r="AG391" s="46"/>
      <c r="AH391" s="46"/>
      <c r="AI391" s="46"/>
      <c r="AJ391" s="46"/>
      <c r="AK391" s="46"/>
      <c r="AL391" s="46" t="s">
        <v>4464</v>
      </c>
      <c r="AM391" s="46"/>
      <c r="AN391" s="46"/>
      <c r="AO391" s="46"/>
      <c r="AP391" s="46" t="s">
        <v>1064</v>
      </c>
      <c r="AQ391" s="46"/>
      <c r="AR391" s="46"/>
      <c r="AS391" s="46" t="s">
        <v>4483</v>
      </c>
      <c r="AT391" s="46" t="s">
        <v>308</v>
      </c>
      <c r="AU391" s="46" t="s">
        <v>4191</v>
      </c>
      <c r="AV391" s="46" t="s">
        <v>2412</v>
      </c>
      <c r="AW391" s="46" t="s">
        <v>2246</v>
      </c>
      <c r="AX391" s="46" t="s">
        <v>34</v>
      </c>
    </row>
    <row r="392" spans="1:75" ht="75" x14ac:dyDescent="0.25">
      <c r="A392" s="47" t="s">
        <v>2414</v>
      </c>
      <c r="B392" s="45" t="s">
        <v>305</v>
      </c>
      <c r="C392" s="45" t="s">
        <v>2668</v>
      </c>
      <c r="D392" s="46" t="s">
        <v>3341</v>
      </c>
      <c r="E392" s="25" t="s">
        <v>2</v>
      </c>
      <c r="F392" s="48" t="s">
        <v>32</v>
      </c>
      <c r="G392" s="62" t="s">
        <v>2795</v>
      </c>
      <c r="H392" s="63" t="s">
        <v>2246</v>
      </c>
      <c r="I392" s="46" t="s">
        <v>194</v>
      </c>
      <c r="J392" s="46" t="s">
        <v>1064</v>
      </c>
      <c r="K392" s="46" t="s">
        <v>626</v>
      </c>
      <c r="L392" s="46" t="s">
        <v>626</v>
      </c>
      <c r="M392" s="46" t="s">
        <v>194</v>
      </c>
      <c r="N392" s="46" t="s">
        <v>626</v>
      </c>
      <c r="O392" s="46" t="s">
        <v>626</v>
      </c>
      <c r="P392" s="46" t="s">
        <v>626</v>
      </c>
      <c r="Q392" s="46" t="s">
        <v>194</v>
      </c>
      <c r="R392" s="46" t="s">
        <v>194</v>
      </c>
      <c r="S392" s="46" t="s">
        <v>194</v>
      </c>
      <c r="T392" s="46"/>
      <c r="U392" s="46" t="s">
        <v>2872</v>
      </c>
      <c r="V392" s="46" t="s">
        <v>1064</v>
      </c>
      <c r="W392" s="46" t="s">
        <v>1064</v>
      </c>
      <c r="X392" s="46"/>
      <c r="Y392" s="46"/>
      <c r="Z392" s="46"/>
      <c r="AA392" s="46"/>
      <c r="AB392" s="46"/>
      <c r="AC392" s="46" t="s">
        <v>1064</v>
      </c>
      <c r="AD392" s="46"/>
      <c r="AE392" s="46"/>
      <c r="AF392" s="46"/>
      <c r="AG392" s="46"/>
      <c r="AH392" s="46"/>
      <c r="AI392" s="46"/>
      <c r="AJ392" s="46"/>
      <c r="AK392" s="46"/>
      <c r="AL392" s="46" t="s">
        <v>4464</v>
      </c>
      <c r="AM392" s="46"/>
      <c r="AN392" s="46"/>
      <c r="AO392" s="46"/>
      <c r="AP392" s="46" t="s">
        <v>1064</v>
      </c>
      <c r="AQ392" s="46"/>
      <c r="AR392" s="46"/>
      <c r="AS392" s="46" t="s">
        <v>4483</v>
      </c>
      <c r="AT392" s="46" t="s">
        <v>314</v>
      </c>
      <c r="AU392" s="46" t="s">
        <v>4191</v>
      </c>
      <c r="AV392" s="46" t="s">
        <v>2414</v>
      </c>
      <c r="AW392" s="46" t="s">
        <v>2246</v>
      </c>
      <c r="AX392" s="46" t="s">
        <v>34</v>
      </c>
    </row>
    <row r="393" spans="1:75" ht="150" x14ac:dyDescent="0.25">
      <c r="A393" s="47" t="s">
        <v>2485</v>
      </c>
      <c r="B393" s="45" t="s">
        <v>305</v>
      </c>
      <c r="C393" s="45" t="s">
        <v>2759</v>
      </c>
      <c r="D393" s="46" t="s">
        <v>2736</v>
      </c>
      <c r="E393" s="25" t="s">
        <v>2</v>
      </c>
      <c r="F393" s="48" t="s">
        <v>36</v>
      </c>
      <c r="G393" s="62" t="s">
        <v>2796</v>
      </c>
      <c r="H393" s="63" t="s">
        <v>2270</v>
      </c>
      <c r="I393" s="46" t="s">
        <v>4253</v>
      </c>
      <c r="J393" s="46" t="s">
        <v>1064</v>
      </c>
      <c r="K393" s="46" t="s">
        <v>626</v>
      </c>
      <c r="L393" s="46" t="s">
        <v>4191</v>
      </c>
      <c r="M393" s="46" t="s">
        <v>4443</v>
      </c>
      <c r="N393" s="46" t="s">
        <v>4191</v>
      </c>
      <c r="O393" s="46" t="s">
        <v>626</v>
      </c>
      <c r="P393" s="46" t="s">
        <v>626</v>
      </c>
      <c r="Q393" s="46" t="s">
        <v>194</v>
      </c>
      <c r="R393" s="46" t="s">
        <v>4293</v>
      </c>
      <c r="S393" s="46" t="s">
        <v>4294</v>
      </c>
      <c r="T393" s="46" t="s">
        <v>4191</v>
      </c>
      <c r="U393" s="46" t="s">
        <v>2872</v>
      </c>
      <c r="V393" s="46" t="s">
        <v>1064</v>
      </c>
      <c r="W393" s="46" t="s">
        <v>1064</v>
      </c>
      <c r="X393" s="46"/>
      <c r="Y393" s="46"/>
      <c r="Z393" s="46"/>
      <c r="AA393" s="46"/>
      <c r="AB393" s="46"/>
      <c r="AC393" s="46" t="s">
        <v>1064</v>
      </c>
      <c r="AD393" s="46"/>
      <c r="AE393" s="46"/>
      <c r="AF393" s="46"/>
      <c r="AG393" s="46"/>
      <c r="AH393" s="46"/>
      <c r="AI393" s="46"/>
      <c r="AJ393" s="46"/>
      <c r="AK393" s="46"/>
      <c r="AL393" s="46" t="s">
        <v>1064</v>
      </c>
      <c r="AM393" s="46"/>
      <c r="AN393" s="46"/>
      <c r="AO393" s="46"/>
      <c r="AP393" s="46" t="s">
        <v>1064</v>
      </c>
      <c r="AQ393" s="46"/>
      <c r="AR393" s="46"/>
      <c r="AS393" s="46" t="s">
        <v>583</v>
      </c>
      <c r="AT393" s="46" t="s">
        <v>2</v>
      </c>
      <c r="AU393" s="46" t="s">
        <v>626</v>
      </c>
      <c r="AV393" s="46" t="s">
        <v>2410</v>
      </c>
      <c r="AW393" s="46" t="s">
        <v>2270</v>
      </c>
      <c r="AX393" s="46" t="s">
        <v>34</v>
      </c>
    </row>
    <row r="394" spans="1:75" ht="75" x14ac:dyDescent="0.25">
      <c r="A394" s="47" t="s">
        <v>2487</v>
      </c>
      <c r="B394" s="45" t="s">
        <v>305</v>
      </c>
      <c r="C394" s="45" t="s">
        <v>2761</v>
      </c>
      <c r="D394" s="46" t="s">
        <v>2736</v>
      </c>
      <c r="E394" s="25" t="s">
        <v>2</v>
      </c>
      <c r="F394" s="48" t="s">
        <v>90</v>
      </c>
      <c r="G394" s="62" t="s">
        <v>2848</v>
      </c>
      <c r="H394" s="63" t="s">
        <v>2270</v>
      </c>
      <c r="I394" s="46" t="s">
        <v>194</v>
      </c>
      <c r="J394" s="46" t="s">
        <v>1064</v>
      </c>
      <c r="K394" s="46" t="s">
        <v>626</v>
      </c>
      <c r="L394" s="46" t="s">
        <v>626</v>
      </c>
      <c r="M394" s="46" t="s">
        <v>4292</v>
      </c>
      <c r="N394" s="46" t="s">
        <v>4191</v>
      </c>
      <c r="O394" s="46" t="s">
        <v>626</v>
      </c>
      <c r="P394" s="46" t="s">
        <v>626</v>
      </c>
      <c r="Q394" s="46" t="s">
        <v>194</v>
      </c>
      <c r="R394" s="46" t="s">
        <v>194</v>
      </c>
      <c r="S394" s="46" t="s">
        <v>194</v>
      </c>
      <c r="T394" s="46" t="s">
        <v>626</v>
      </c>
      <c r="U394" s="46" t="s">
        <v>2872</v>
      </c>
      <c r="V394" s="46" t="s">
        <v>1064</v>
      </c>
      <c r="W394" s="46" t="s">
        <v>1064</v>
      </c>
      <c r="X394" s="46"/>
      <c r="Y394" s="46"/>
      <c r="Z394" s="46"/>
      <c r="AA394" s="46"/>
      <c r="AB394" s="46"/>
      <c r="AC394" s="46" t="s">
        <v>1064</v>
      </c>
      <c r="AD394" s="46"/>
      <c r="AE394" s="46"/>
      <c r="AF394" s="46"/>
      <c r="AG394" s="46"/>
      <c r="AH394" s="46"/>
      <c r="AI394" s="46"/>
      <c r="AJ394" s="46"/>
      <c r="AK394" s="46"/>
      <c r="AL394" s="46" t="s">
        <v>1064</v>
      </c>
      <c r="AM394" s="46"/>
      <c r="AN394" s="46"/>
      <c r="AO394" s="46"/>
      <c r="AP394" s="46" t="s">
        <v>1064</v>
      </c>
      <c r="AQ394" s="46"/>
      <c r="AR394" s="46"/>
      <c r="AS394" s="46" t="s">
        <v>586</v>
      </c>
      <c r="AT394" s="46" t="s">
        <v>308</v>
      </c>
      <c r="AU394" s="46" t="s">
        <v>626</v>
      </c>
      <c r="AV394" s="46" t="s">
        <v>2412</v>
      </c>
      <c r="AW394" s="46" t="s">
        <v>2270</v>
      </c>
      <c r="AX394" s="46" t="s">
        <v>34</v>
      </c>
    </row>
    <row r="395" spans="1:75" ht="75" x14ac:dyDescent="0.25">
      <c r="A395" s="47" t="s">
        <v>2489</v>
      </c>
      <c r="B395" s="45" t="s">
        <v>305</v>
      </c>
      <c r="C395" s="45" t="s">
        <v>2762</v>
      </c>
      <c r="D395" s="46" t="s">
        <v>2736</v>
      </c>
      <c r="E395" s="25" t="s">
        <v>2</v>
      </c>
      <c r="F395" s="48" t="s">
        <v>314</v>
      </c>
      <c r="G395" s="62" t="s">
        <v>2797</v>
      </c>
      <c r="H395" s="63" t="s">
        <v>2270</v>
      </c>
      <c r="I395" s="46" t="s">
        <v>194</v>
      </c>
      <c r="J395" s="46" t="s">
        <v>1064</v>
      </c>
      <c r="K395" s="46" t="s">
        <v>626</v>
      </c>
      <c r="L395" s="46" t="s">
        <v>626</v>
      </c>
      <c r="M395" s="46" t="s">
        <v>4292</v>
      </c>
      <c r="N395" s="46" t="s">
        <v>4191</v>
      </c>
      <c r="O395" s="46" t="s">
        <v>626</v>
      </c>
      <c r="P395" s="46" t="s">
        <v>626</v>
      </c>
      <c r="Q395" s="46" t="s">
        <v>194</v>
      </c>
      <c r="R395" s="46" t="s">
        <v>194</v>
      </c>
      <c r="S395" s="46" t="s">
        <v>194</v>
      </c>
      <c r="T395" s="46" t="s">
        <v>626</v>
      </c>
      <c r="U395" s="46" t="s">
        <v>2872</v>
      </c>
      <c r="V395" s="46" t="s">
        <v>1064</v>
      </c>
      <c r="W395" s="46" t="s">
        <v>1064</v>
      </c>
      <c r="X395" s="46"/>
      <c r="Y395" s="46"/>
      <c r="Z395" s="46"/>
      <c r="AA395" s="46"/>
      <c r="AB395" s="46"/>
      <c r="AC395" s="46" t="s">
        <v>1064</v>
      </c>
      <c r="AD395" s="46"/>
      <c r="AE395" s="46"/>
      <c r="AF395" s="46"/>
      <c r="AG395" s="46"/>
      <c r="AH395" s="46"/>
      <c r="AI395" s="46"/>
      <c r="AJ395" s="46"/>
      <c r="AK395" s="46"/>
      <c r="AL395" s="46" t="s">
        <v>1064</v>
      </c>
      <c r="AM395" s="46"/>
      <c r="AN395" s="46"/>
      <c r="AO395" s="46"/>
      <c r="AP395" s="46" t="s">
        <v>1064</v>
      </c>
      <c r="AQ395" s="46"/>
      <c r="AR395" s="46"/>
      <c r="AS395" s="46" t="s">
        <v>4483</v>
      </c>
      <c r="AT395" s="46" t="s">
        <v>314</v>
      </c>
      <c r="AU395" s="46" t="s">
        <v>626</v>
      </c>
      <c r="AV395" s="46" t="s">
        <v>2414</v>
      </c>
      <c r="AW395" s="46" t="s">
        <v>2270</v>
      </c>
      <c r="AX395" s="46" t="s">
        <v>34</v>
      </c>
    </row>
    <row r="396" spans="1:75" ht="150" x14ac:dyDescent="0.25">
      <c r="A396" s="47" t="s">
        <v>2491</v>
      </c>
      <c r="B396" s="45" t="s">
        <v>305</v>
      </c>
      <c r="C396" s="45" t="s">
        <v>2763</v>
      </c>
      <c r="D396" s="46" t="s">
        <v>2736</v>
      </c>
      <c r="E396" s="25" t="s">
        <v>2</v>
      </c>
      <c r="F396" s="48" t="s">
        <v>36</v>
      </c>
      <c r="G396" s="62" t="s">
        <v>2796</v>
      </c>
      <c r="H396" s="63" t="s">
        <v>2272</v>
      </c>
      <c r="I396" s="46" t="s">
        <v>4253</v>
      </c>
      <c r="J396" s="46" t="s">
        <v>1064</v>
      </c>
      <c r="K396" s="46" t="s">
        <v>626</v>
      </c>
      <c r="L396" s="46" t="s">
        <v>4191</v>
      </c>
      <c r="M396" s="46" t="s">
        <v>4443</v>
      </c>
      <c r="N396" s="46" t="s">
        <v>4191</v>
      </c>
      <c r="O396" s="46" t="s">
        <v>626</v>
      </c>
      <c r="P396" s="46" t="s">
        <v>626</v>
      </c>
      <c r="Q396" s="46" t="s">
        <v>194</v>
      </c>
      <c r="R396" s="46" t="s">
        <v>4293</v>
      </c>
      <c r="S396" s="46" t="s">
        <v>4294</v>
      </c>
      <c r="T396" s="46" t="s">
        <v>4191</v>
      </c>
      <c r="U396" s="46" t="s">
        <v>2872</v>
      </c>
      <c r="V396" s="46" t="s">
        <v>1064</v>
      </c>
      <c r="W396" s="46" t="s">
        <v>1064</v>
      </c>
      <c r="X396" s="46"/>
      <c r="Y396" s="46"/>
      <c r="Z396" s="46"/>
      <c r="AA396" s="46"/>
      <c r="AB396" s="46"/>
      <c r="AC396" s="46" t="s">
        <v>1064</v>
      </c>
      <c r="AD396" s="46"/>
      <c r="AE396" s="46"/>
      <c r="AF396" s="46"/>
      <c r="AG396" s="46"/>
      <c r="AH396" s="46"/>
      <c r="AI396" s="46"/>
      <c r="AJ396" s="46"/>
      <c r="AK396" s="46"/>
      <c r="AL396" s="46" t="s">
        <v>1064</v>
      </c>
      <c r="AM396" s="46"/>
      <c r="AN396" s="46"/>
      <c r="AO396" s="46"/>
      <c r="AP396" s="46" t="s">
        <v>1064</v>
      </c>
      <c r="AQ396" s="46"/>
      <c r="AR396" s="46"/>
      <c r="AS396" s="46" t="s">
        <v>583</v>
      </c>
      <c r="AT396" s="46" t="s">
        <v>2</v>
      </c>
      <c r="AU396" s="46" t="s">
        <v>626</v>
      </c>
      <c r="AV396" s="46" t="s">
        <v>2410</v>
      </c>
      <c r="AW396" s="46" t="s">
        <v>2272</v>
      </c>
      <c r="AX396" s="46" t="s">
        <v>34</v>
      </c>
    </row>
    <row r="397" spans="1:75" ht="75" x14ac:dyDescent="0.25">
      <c r="A397" s="47" t="s">
        <v>2493</v>
      </c>
      <c r="B397" s="45" t="s">
        <v>305</v>
      </c>
      <c r="C397" s="45" t="s">
        <v>2764</v>
      </c>
      <c r="D397" s="46" t="s">
        <v>2736</v>
      </c>
      <c r="E397" s="25" t="s">
        <v>2</v>
      </c>
      <c r="F397" s="48" t="s">
        <v>90</v>
      </c>
      <c r="G397" s="62" t="s">
        <v>2848</v>
      </c>
      <c r="H397" s="63" t="s">
        <v>2272</v>
      </c>
      <c r="I397" s="46" t="s">
        <v>194</v>
      </c>
      <c r="J397" s="46" t="s">
        <v>1064</v>
      </c>
      <c r="K397" s="46" t="s">
        <v>626</v>
      </c>
      <c r="L397" s="46" t="s">
        <v>626</v>
      </c>
      <c r="M397" s="46" t="s">
        <v>4292</v>
      </c>
      <c r="N397" s="46" t="s">
        <v>4191</v>
      </c>
      <c r="O397" s="46" t="s">
        <v>626</v>
      </c>
      <c r="P397" s="46" t="s">
        <v>626</v>
      </c>
      <c r="Q397" s="46" t="s">
        <v>194</v>
      </c>
      <c r="R397" s="46" t="s">
        <v>194</v>
      </c>
      <c r="S397" s="46" t="s">
        <v>194</v>
      </c>
      <c r="T397" s="46" t="s">
        <v>626</v>
      </c>
      <c r="U397" s="46" t="s">
        <v>2872</v>
      </c>
      <c r="V397" s="46" t="s">
        <v>1064</v>
      </c>
      <c r="W397" s="46" t="s">
        <v>1064</v>
      </c>
      <c r="X397" s="46"/>
      <c r="Y397" s="46"/>
      <c r="Z397" s="46"/>
      <c r="AA397" s="46"/>
      <c r="AB397" s="46"/>
      <c r="AC397" s="46" t="s">
        <v>1064</v>
      </c>
      <c r="AD397" s="46"/>
      <c r="AE397" s="46"/>
      <c r="AF397" s="46"/>
      <c r="AG397" s="46"/>
      <c r="AH397" s="46"/>
      <c r="AI397" s="46"/>
      <c r="AJ397" s="46"/>
      <c r="AK397" s="46"/>
      <c r="AL397" s="46" t="s">
        <v>1064</v>
      </c>
      <c r="AM397" s="46"/>
      <c r="AN397" s="46"/>
      <c r="AO397" s="46"/>
      <c r="AP397" s="46" t="s">
        <v>1064</v>
      </c>
      <c r="AQ397" s="46"/>
      <c r="AR397" s="46"/>
      <c r="AS397" s="46" t="s">
        <v>586</v>
      </c>
      <c r="AT397" s="46" t="s">
        <v>308</v>
      </c>
      <c r="AU397" s="46" t="s">
        <v>626</v>
      </c>
      <c r="AV397" s="46" t="s">
        <v>2412</v>
      </c>
      <c r="AW397" s="46" t="s">
        <v>2272</v>
      </c>
      <c r="AX397" s="46" t="s">
        <v>34</v>
      </c>
    </row>
    <row r="398" spans="1:75" ht="75" x14ac:dyDescent="0.25">
      <c r="A398" s="47" t="s">
        <v>2494</v>
      </c>
      <c r="B398" s="45" t="s">
        <v>305</v>
      </c>
      <c r="C398" s="45" t="s">
        <v>2765</v>
      </c>
      <c r="D398" s="46" t="s">
        <v>2736</v>
      </c>
      <c r="E398" s="25" t="s">
        <v>2</v>
      </c>
      <c r="F398" s="48" t="s">
        <v>314</v>
      </c>
      <c r="G398" s="62" t="s">
        <v>2797</v>
      </c>
      <c r="H398" s="63" t="s">
        <v>2272</v>
      </c>
      <c r="I398" s="46" t="s">
        <v>194</v>
      </c>
      <c r="J398" s="46" t="s">
        <v>1064</v>
      </c>
      <c r="K398" s="46" t="s">
        <v>626</v>
      </c>
      <c r="L398" s="46" t="s">
        <v>626</v>
      </c>
      <c r="M398" s="46" t="s">
        <v>4292</v>
      </c>
      <c r="N398" s="46" t="s">
        <v>4191</v>
      </c>
      <c r="O398" s="46" t="s">
        <v>626</v>
      </c>
      <c r="P398" s="46" t="s">
        <v>626</v>
      </c>
      <c r="Q398" s="46" t="s">
        <v>194</v>
      </c>
      <c r="R398" s="46" t="s">
        <v>194</v>
      </c>
      <c r="S398" s="46" t="s">
        <v>194</v>
      </c>
      <c r="T398" s="46" t="s">
        <v>626</v>
      </c>
      <c r="U398" s="46" t="s">
        <v>2872</v>
      </c>
      <c r="V398" s="46" t="s">
        <v>1064</v>
      </c>
      <c r="W398" s="46" t="s">
        <v>1064</v>
      </c>
      <c r="X398" s="46"/>
      <c r="Y398" s="46"/>
      <c r="Z398" s="46"/>
      <c r="AA398" s="46"/>
      <c r="AB398" s="46"/>
      <c r="AC398" s="46" t="s">
        <v>1064</v>
      </c>
      <c r="AD398" s="46"/>
      <c r="AE398" s="46"/>
      <c r="AF398" s="46"/>
      <c r="AG398" s="46"/>
      <c r="AH398" s="46"/>
      <c r="AI398" s="46"/>
      <c r="AJ398" s="46"/>
      <c r="AK398" s="46"/>
      <c r="AL398" s="46" t="s">
        <v>1064</v>
      </c>
      <c r="AM398" s="46"/>
      <c r="AN398" s="46"/>
      <c r="AO398" s="46"/>
      <c r="AP398" s="46" t="s">
        <v>1064</v>
      </c>
      <c r="AQ398" s="46"/>
      <c r="AR398" s="46"/>
      <c r="AS398" s="46" t="s">
        <v>4483</v>
      </c>
      <c r="AT398" s="46" t="s">
        <v>314</v>
      </c>
      <c r="AU398" s="46" t="s">
        <v>626</v>
      </c>
      <c r="AV398" s="46" t="s">
        <v>2414</v>
      </c>
      <c r="AW398" s="46" t="s">
        <v>2272</v>
      </c>
      <c r="AX398" s="46" t="s">
        <v>34</v>
      </c>
    </row>
    <row r="399" spans="1:75" ht="150" x14ac:dyDescent="0.25">
      <c r="A399" s="47" t="s">
        <v>2495</v>
      </c>
      <c r="B399" s="45" t="s">
        <v>305</v>
      </c>
      <c r="C399" s="45" t="s">
        <v>2766</v>
      </c>
      <c r="D399" s="46" t="s">
        <v>2736</v>
      </c>
      <c r="E399" s="25" t="s">
        <v>2</v>
      </c>
      <c r="F399" s="48" t="s">
        <v>36</v>
      </c>
      <c r="G399" s="62" t="s">
        <v>2796</v>
      </c>
      <c r="H399" s="63" t="s">
        <v>2274</v>
      </c>
      <c r="I399" s="46" t="s">
        <v>4253</v>
      </c>
      <c r="J399" s="46" t="s">
        <v>1064</v>
      </c>
      <c r="K399" s="46" t="s">
        <v>626</v>
      </c>
      <c r="L399" s="46" t="s">
        <v>4191</v>
      </c>
      <c r="M399" s="46" t="s">
        <v>4443</v>
      </c>
      <c r="N399" s="46" t="s">
        <v>4191</v>
      </c>
      <c r="O399" s="46" t="s">
        <v>626</v>
      </c>
      <c r="P399" s="46" t="s">
        <v>626</v>
      </c>
      <c r="Q399" s="46" t="s">
        <v>194</v>
      </c>
      <c r="R399" s="46" t="s">
        <v>4293</v>
      </c>
      <c r="S399" s="46" t="s">
        <v>4294</v>
      </c>
      <c r="T399" s="46" t="s">
        <v>4191</v>
      </c>
      <c r="U399" s="46" t="s">
        <v>2872</v>
      </c>
      <c r="V399" s="46" t="s">
        <v>1064</v>
      </c>
      <c r="W399" s="46" t="s">
        <v>1064</v>
      </c>
      <c r="X399" s="46"/>
      <c r="Y399" s="46"/>
      <c r="Z399" s="46"/>
      <c r="AA399" s="46"/>
      <c r="AB399" s="46"/>
      <c r="AC399" s="46" t="s">
        <v>1064</v>
      </c>
      <c r="AD399" s="46"/>
      <c r="AE399" s="46"/>
      <c r="AF399" s="46"/>
      <c r="AG399" s="46"/>
      <c r="AH399" s="46"/>
      <c r="AI399" s="46"/>
      <c r="AJ399" s="46"/>
      <c r="AK399" s="46"/>
      <c r="AL399" s="46" t="s">
        <v>1064</v>
      </c>
      <c r="AM399" s="46"/>
      <c r="AN399" s="46"/>
      <c r="AO399" s="46"/>
      <c r="AP399" s="46" t="s">
        <v>1064</v>
      </c>
      <c r="AQ399" s="46"/>
      <c r="AR399" s="46"/>
      <c r="AS399" s="46" t="s">
        <v>583</v>
      </c>
      <c r="AT399" s="46" t="s">
        <v>2</v>
      </c>
      <c r="AU399" s="46" t="s">
        <v>626</v>
      </c>
      <c r="AV399" s="46" t="s">
        <v>2410</v>
      </c>
      <c r="AW399" s="46" t="s">
        <v>2274</v>
      </c>
      <c r="AX399" s="46" t="s">
        <v>34</v>
      </c>
    </row>
    <row r="400" spans="1:75" ht="75" x14ac:dyDescent="0.25">
      <c r="A400" s="47" t="s">
        <v>2497</v>
      </c>
      <c r="B400" s="45" t="s">
        <v>305</v>
      </c>
      <c r="C400" s="45" t="s">
        <v>2767</v>
      </c>
      <c r="D400" s="46" t="s">
        <v>2736</v>
      </c>
      <c r="E400" s="25" t="s">
        <v>2</v>
      </c>
      <c r="F400" s="48" t="s">
        <v>90</v>
      </c>
      <c r="G400" s="62" t="s">
        <v>2848</v>
      </c>
      <c r="H400" s="63" t="s">
        <v>2274</v>
      </c>
      <c r="I400" s="46" t="s">
        <v>194</v>
      </c>
      <c r="J400" s="46" t="s">
        <v>1064</v>
      </c>
      <c r="K400" s="46" t="s">
        <v>626</v>
      </c>
      <c r="L400" s="46" t="s">
        <v>626</v>
      </c>
      <c r="M400" s="46" t="s">
        <v>4292</v>
      </c>
      <c r="N400" s="46" t="s">
        <v>4191</v>
      </c>
      <c r="O400" s="46" t="s">
        <v>626</v>
      </c>
      <c r="P400" s="46" t="s">
        <v>626</v>
      </c>
      <c r="Q400" s="46" t="s">
        <v>194</v>
      </c>
      <c r="R400" s="46" t="s">
        <v>194</v>
      </c>
      <c r="S400" s="46" t="s">
        <v>194</v>
      </c>
      <c r="T400" s="46" t="s">
        <v>626</v>
      </c>
      <c r="U400" s="46" t="s">
        <v>2872</v>
      </c>
      <c r="V400" s="46" t="s">
        <v>1064</v>
      </c>
      <c r="W400" s="46" t="s">
        <v>1064</v>
      </c>
      <c r="X400" s="46"/>
      <c r="Y400" s="46"/>
      <c r="Z400" s="46"/>
      <c r="AA400" s="46"/>
      <c r="AB400" s="46"/>
      <c r="AC400" s="46" t="s">
        <v>1064</v>
      </c>
      <c r="AD400" s="46"/>
      <c r="AE400" s="46"/>
      <c r="AF400" s="46"/>
      <c r="AG400" s="46"/>
      <c r="AH400" s="46"/>
      <c r="AI400" s="46"/>
      <c r="AJ400" s="46"/>
      <c r="AK400" s="46"/>
      <c r="AL400" s="46" t="s">
        <v>1064</v>
      </c>
      <c r="AM400" s="46"/>
      <c r="AN400" s="46"/>
      <c r="AO400" s="46"/>
      <c r="AP400" s="46" t="s">
        <v>1064</v>
      </c>
      <c r="AQ400" s="46"/>
      <c r="AR400" s="46"/>
      <c r="AS400" s="46" t="s">
        <v>586</v>
      </c>
      <c r="AT400" s="46" t="s">
        <v>308</v>
      </c>
      <c r="AU400" s="46" t="s">
        <v>626</v>
      </c>
      <c r="AV400" s="46" t="s">
        <v>2412</v>
      </c>
      <c r="AW400" s="46" t="s">
        <v>2274</v>
      </c>
      <c r="AX400" s="46" t="s">
        <v>34</v>
      </c>
    </row>
    <row r="401" spans="1:50" ht="75" x14ac:dyDescent="0.25">
      <c r="A401" s="47" t="s">
        <v>2499</v>
      </c>
      <c r="B401" s="45" t="s">
        <v>305</v>
      </c>
      <c r="C401" s="45" t="s">
        <v>2768</v>
      </c>
      <c r="D401" s="46" t="s">
        <v>2736</v>
      </c>
      <c r="E401" s="25" t="s">
        <v>2</v>
      </c>
      <c r="F401" s="48" t="s">
        <v>314</v>
      </c>
      <c r="G401" s="62" t="s">
        <v>2797</v>
      </c>
      <c r="H401" s="63" t="s">
        <v>2274</v>
      </c>
      <c r="I401" s="46" t="s">
        <v>194</v>
      </c>
      <c r="J401" s="46" t="s">
        <v>1064</v>
      </c>
      <c r="K401" s="46" t="s">
        <v>626</v>
      </c>
      <c r="L401" s="46" t="s">
        <v>626</v>
      </c>
      <c r="M401" s="46" t="s">
        <v>4292</v>
      </c>
      <c r="N401" s="46" t="s">
        <v>4191</v>
      </c>
      <c r="O401" s="46" t="s">
        <v>626</v>
      </c>
      <c r="P401" s="46" t="s">
        <v>626</v>
      </c>
      <c r="Q401" s="46" t="s">
        <v>194</v>
      </c>
      <c r="R401" s="46" t="s">
        <v>194</v>
      </c>
      <c r="S401" s="46" t="s">
        <v>194</v>
      </c>
      <c r="T401" s="46" t="s">
        <v>626</v>
      </c>
      <c r="U401" s="46" t="s">
        <v>2872</v>
      </c>
      <c r="V401" s="46" t="s">
        <v>1064</v>
      </c>
      <c r="W401" s="46" t="s">
        <v>1064</v>
      </c>
      <c r="X401" s="46"/>
      <c r="Y401" s="46"/>
      <c r="Z401" s="46"/>
      <c r="AA401" s="46"/>
      <c r="AB401" s="46"/>
      <c r="AC401" s="46" t="s">
        <v>1064</v>
      </c>
      <c r="AD401" s="46"/>
      <c r="AE401" s="46"/>
      <c r="AF401" s="46"/>
      <c r="AG401" s="46"/>
      <c r="AH401" s="46"/>
      <c r="AI401" s="46"/>
      <c r="AJ401" s="46"/>
      <c r="AK401" s="46"/>
      <c r="AL401" s="46" t="s">
        <v>1064</v>
      </c>
      <c r="AM401" s="46"/>
      <c r="AN401" s="46"/>
      <c r="AO401" s="46"/>
      <c r="AP401" s="46" t="s">
        <v>1064</v>
      </c>
      <c r="AQ401" s="46"/>
      <c r="AR401" s="46"/>
      <c r="AS401" s="46" t="s">
        <v>4483</v>
      </c>
      <c r="AT401" s="46" t="s">
        <v>314</v>
      </c>
      <c r="AU401" s="46" t="s">
        <v>626</v>
      </c>
      <c r="AV401" s="46" t="s">
        <v>2414</v>
      </c>
      <c r="AW401" s="46" t="s">
        <v>2274</v>
      </c>
      <c r="AX401" s="46" t="s">
        <v>34</v>
      </c>
    </row>
    <row r="402" spans="1:50" ht="150" x14ac:dyDescent="0.25">
      <c r="A402" s="47" t="s">
        <v>2501</v>
      </c>
      <c r="B402" s="45" t="s">
        <v>305</v>
      </c>
      <c r="C402" s="45" t="s">
        <v>2769</v>
      </c>
      <c r="D402" s="46" t="s">
        <v>2736</v>
      </c>
      <c r="E402" s="25" t="s">
        <v>2</v>
      </c>
      <c r="F402" s="48" t="s">
        <v>36</v>
      </c>
      <c r="G402" s="62" t="s">
        <v>2796</v>
      </c>
      <c r="H402" s="63" t="s">
        <v>2276</v>
      </c>
      <c r="I402" s="46" t="s">
        <v>4253</v>
      </c>
      <c r="J402" s="46" t="s">
        <v>1064</v>
      </c>
      <c r="K402" s="46" t="s">
        <v>626</v>
      </c>
      <c r="L402" s="46" t="s">
        <v>4191</v>
      </c>
      <c r="M402" s="46" t="s">
        <v>4443</v>
      </c>
      <c r="N402" s="46" t="s">
        <v>4191</v>
      </c>
      <c r="O402" s="46" t="s">
        <v>626</v>
      </c>
      <c r="P402" s="46" t="s">
        <v>626</v>
      </c>
      <c r="Q402" s="46" t="s">
        <v>194</v>
      </c>
      <c r="R402" s="46" t="s">
        <v>4293</v>
      </c>
      <c r="S402" s="46" t="s">
        <v>4294</v>
      </c>
      <c r="T402" s="46" t="s">
        <v>4191</v>
      </c>
      <c r="U402" s="46" t="s">
        <v>2872</v>
      </c>
      <c r="V402" s="46" t="s">
        <v>1064</v>
      </c>
      <c r="W402" s="46" t="s">
        <v>1064</v>
      </c>
      <c r="X402" s="46"/>
      <c r="Y402" s="46"/>
      <c r="Z402" s="46"/>
      <c r="AA402" s="46"/>
      <c r="AB402" s="46"/>
      <c r="AC402" s="46" t="s">
        <v>1064</v>
      </c>
      <c r="AD402" s="46"/>
      <c r="AE402" s="46"/>
      <c r="AF402" s="46"/>
      <c r="AG402" s="46"/>
      <c r="AH402" s="46"/>
      <c r="AI402" s="46"/>
      <c r="AJ402" s="46"/>
      <c r="AK402" s="46"/>
      <c r="AL402" s="46" t="s">
        <v>1064</v>
      </c>
      <c r="AM402" s="46"/>
      <c r="AN402" s="46"/>
      <c r="AO402" s="46"/>
      <c r="AP402" s="46" t="s">
        <v>1064</v>
      </c>
      <c r="AQ402" s="46"/>
      <c r="AR402" s="46"/>
      <c r="AS402" s="46" t="s">
        <v>583</v>
      </c>
      <c r="AT402" s="46" t="s">
        <v>2</v>
      </c>
      <c r="AU402" s="46" t="s">
        <v>626</v>
      </c>
      <c r="AV402" s="46" t="s">
        <v>2410</v>
      </c>
      <c r="AW402" s="46" t="s">
        <v>2276</v>
      </c>
      <c r="AX402" s="46" t="s">
        <v>34</v>
      </c>
    </row>
    <row r="403" spans="1:50" ht="75" x14ac:dyDescent="0.25">
      <c r="A403" s="47" t="s">
        <v>2503</v>
      </c>
      <c r="B403" s="45" t="s">
        <v>305</v>
      </c>
      <c r="C403" s="45" t="s">
        <v>2770</v>
      </c>
      <c r="D403" s="46" t="s">
        <v>2736</v>
      </c>
      <c r="E403" s="25" t="s">
        <v>2</v>
      </c>
      <c r="F403" s="48" t="s">
        <v>90</v>
      </c>
      <c r="G403" s="62" t="s">
        <v>2848</v>
      </c>
      <c r="H403" s="63" t="s">
        <v>2276</v>
      </c>
      <c r="I403" s="46" t="s">
        <v>194</v>
      </c>
      <c r="J403" s="46" t="s">
        <v>1064</v>
      </c>
      <c r="K403" s="46" t="s">
        <v>626</v>
      </c>
      <c r="L403" s="46" t="s">
        <v>626</v>
      </c>
      <c r="M403" s="46" t="s">
        <v>4292</v>
      </c>
      <c r="N403" s="46" t="s">
        <v>4191</v>
      </c>
      <c r="O403" s="46" t="s">
        <v>626</v>
      </c>
      <c r="P403" s="46" t="s">
        <v>626</v>
      </c>
      <c r="Q403" s="46" t="s">
        <v>194</v>
      </c>
      <c r="R403" s="46" t="s">
        <v>194</v>
      </c>
      <c r="S403" s="46" t="s">
        <v>194</v>
      </c>
      <c r="T403" s="46" t="s">
        <v>626</v>
      </c>
      <c r="U403" s="46" t="s">
        <v>2872</v>
      </c>
      <c r="V403" s="46" t="s">
        <v>1064</v>
      </c>
      <c r="W403" s="46" t="s">
        <v>1064</v>
      </c>
      <c r="X403" s="46"/>
      <c r="Y403" s="46"/>
      <c r="Z403" s="46"/>
      <c r="AA403" s="46"/>
      <c r="AB403" s="46"/>
      <c r="AC403" s="46" t="s">
        <v>1064</v>
      </c>
      <c r="AD403" s="46"/>
      <c r="AE403" s="46"/>
      <c r="AF403" s="46"/>
      <c r="AG403" s="46"/>
      <c r="AH403" s="46"/>
      <c r="AI403" s="46"/>
      <c r="AJ403" s="46"/>
      <c r="AK403" s="46"/>
      <c r="AL403" s="46" t="s">
        <v>1064</v>
      </c>
      <c r="AM403" s="46"/>
      <c r="AN403" s="46"/>
      <c r="AO403" s="46"/>
      <c r="AP403" s="46" t="s">
        <v>1064</v>
      </c>
      <c r="AQ403" s="46"/>
      <c r="AR403" s="46"/>
      <c r="AS403" s="46" t="s">
        <v>586</v>
      </c>
      <c r="AT403" s="46" t="s">
        <v>308</v>
      </c>
      <c r="AU403" s="46" t="s">
        <v>626</v>
      </c>
      <c r="AV403" s="46" t="s">
        <v>2412</v>
      </c>
      <c r="AW403" s="46" t="s">
        <v>2276</v>
      </c>
      <c r="AX403" s="46" t="s">
        <v>34</v>
      </c>
    </row>
    <row r="404" spans="1:50" ht="75" x14ac:dyDescent="0.25">
      <c r="A404" s="47" t="s">
        <v>2505</v>
      </c>
      <c r="B404" s="45" t="s">
        <v>305</v>
      </c>
      <c r="C404" s="45" t="s">
        <v>2771</v>
      </c>
      <c r="D404" s="46" t="s">
        <v>2736</v>
      </c>
      <c r="E404" s="25" t="s">
        <v>2</v>
      </c>
      <c r="F404" s="48" t="s">
        <v>314</v>
      </c>
      <c r="G404" s="62" t="s">
        <v>2797</v>
      </c>
      <c r="H404" s="63" t="s">
        <v>2276</v>
      </c>
      <c r="I404" s="46" t="s">
        <v>194</v>
      </c>
      <c r="J404" s="46" t="s">
        <v>1064</v>
      </c>
      <c r="K404" s="46" t="s">
        <v>626</v>
      </c>
      <c r="L404" s="46" t="s">
        <v>626</v>
      </c>
      <c r="M404" s="46" t="s">
        <v>4292</v>
      </c>
      <c r="N404" s="46" t="s">
        <v>4191</v>
      </c>
      <c r="O404" s="46" t="s">
        <v>626</v>
      </c>
      <c r="P404" s="46" t="s">
        <v>626</v>
      </c>
      <c r="Q404" s="46" t="s">
        <v>194</v>
      </c>
      <c r="R404" s="46" t="s">
        <v>194</v>
      </c>
      <c r="S404" s="46" t="s">
        <v>194</v>
      </c>
      <c r="T404" s="46" t="s">
        <v>626</v>
      </c>
      <c r="U404" s="46" t="s">
        <v>2872</v>
      </c>
      <c r="V404" s="46" t="s">
        <v>1064</v>
      </c>
      <c r="W404" s="46" t="s">
        <v>1064</v>
      </c>
      <c r="X404" s="46"/>
      <c r="Y404" s="46"/>
      <c r="Z404" s="46"/>
      <c r="AA404" s="46"/>
      <c r="AB404" s="46"/>
      <c r="AC404" s="46" t="s">
        <v>1064</v>
      </c>
      <c r="AD404" s="46"/>
      <c r="AE404" s="46"/>
      <c r="AF404" s="46"/>
      <c r="AG404" s="46"/>
      <c r="AH404" s="46"/>
      <c r="AI404" s="46"/>
      <c r="AJ404" s="46"/>
      <c r="AK404" s="46"/>
      <c r="AL404" s="46" t="s">
        <v>1064</v>
      </c>
      <c r="AM404" s="46"/>
      <c r="AN404" s="46"/>
      <c r="AO404" s="46"/>
      <c r="AP404" s="46" t="s">
        <v>1064</v>
      </c>
      <c r="AQ404" s="46"/>
      <c r="AR404" s="46"/>
      <c r="AS404" s="46" t="s">
        <v>4483</v>
      </c>
      <c r="AT404" s="46" t="s">
        <v>314</v>
      </c>
      <c r="AU404" s="46" t="s">
        <v>626</v>
      </c>
      <c r="AV404" s="46" t="s">
        <v>2414</v>
      </c>
      <c r="AW404" s="46" t="s">
        <v>2276</v>
      </c>
      <c r="AX404" s="46" t="s">
        <v>34</v>
      </c>
    </row>
  </sheetData>
  <conditionalFormatting sqref="A6:A404">
    <cfRule type="duplicateValues" dxfId="7" priority="2386"/>
  </conditionalFormatting>
  <dataValidations count="2">
    <dataValidation type="list" allowBlank="1" showInputMessage="1" showErrorMessage="1" sqref="AW2">
      <formula1>_sp_rewlink</formula1>
    </dataValidation>
    <dataValidation type="list" allowBlank="1" showInputMessage="1" showErrorMessage="1" sqref="AX2">
      <formula1>_sp_date</formula1>
    </dataValidation>
  </dataValidations>
  <pageMargins left="0.19685039370078741" right="0.19685039370078741" top="0.19685039370078741" bottom="0.19685039370078741" header="0" footer="0.31496062992125984"/>
  <pageSetup paperSize="9" scale="2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3"/>
  <sheetViews>
    <sheetView tabSelected="1" workbookViewId="0">
      <selection activeCell="A5" sqref="A5:M253"/>
    </sheetView>
  </sheetViews>
  <sheetFormatPr defaultRowHeight="15" x14ac:dyDescent="0.25"/>
  <cols>
    <col min="1" max="1" width="17.7109375" bestFit="1" customWidth="1"/>
    <col min="2" max="2" width="15.85546875" customWidth="1"/>
    <col min="3" max="3" width="16.85546875" customWidth="1"/>
    <col min="4" max="4" width="21.28515625" customWidth="1"/>
    <col min="5" max="5" width="22.85546875" customWidth="1"/>
    <col min="6" max="6" width="23.28515625" customWidth="1"/>
    <col min="7" max="7" width="25.42578125" customWidth="1"/>
    <col min="8" max="8" width="19.140625" customWidth="1"/>
    <col min="9" max="9" width="23.85546875" customWidth="1"/>
    <col min="10" max="10" width="26" customWidth="1"/>
    <col min="11" max="11" width="34" customWidth="1"/>
    <col min="12" max="12" width="33.7109375" customWidth="1"/>
    <col min="13" max="13" width="12.42578125" customWidth="1"/>
  </cols>
  <sheetData>
    <row r="1" spans="1:13" x14ac:dyDescent="0.25">
      <c r="K1" s="6" t="s">
        <v>4778</v>
      </c>
      <c r="L1" s="6" t="s">
        <v>1797</v>
      </c>
    </row>
    <row r="2" spans="1:13" x14ac:dyDescent="0.25">
      <c r="K2" s="64" t="s">
        <v>602</v>
      </c>
      <c r="L2" s="64" t="s">
        <v>1309</v>
      </c>
    </row>
    <row r="3" spans="1:13" x14ac:dyDescent="0.25">
      <c r="K3" s="64" t="s">
        <v>4779</v>
      </c>
      <c r="L3" s="64" t="s">
        <v>1625</v>
      </c>
    </row>
    <row r="5" spans="1:13" x14ac:dyDescent="0.25">
      <c r="A5" s="1" t="s">
        <v>0</v>
      </c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2965</v>
      </c>
      <c r="H5" s="1" t="s">
        <v>582</v>
      </c>
      <c r="I5" s="1" t="s">
        <v>1091</v>
      </c>
      <c r="J5" s="1" t="s">
        <v>4018</v>
      </c>
      <c r="K5" s="1" t="s">
        <v>4782</v>
      </c>
      <c r="L5" s="1" t="s">
        <v>4783</v>
      </c>
      <c r="M5" s="1" t="s">
        <v>4777</v>
      </c>
    </row>
    <row r="6" spans="1:13" x14ac:dyDescent="0.25">
      <c r="A6" s="1" t="s">
        <v>2206</v>
      </c>
      <c r="B6" s="1" t="s">
        <v>583</v>
      </c>
      <c r="C6" s="1" t="s">
        <v>3402</v>
      </c>
      <c r="D6" s="1" t="s">
        <v>314</v>
      </c>
      <c r="E6" s="1" t="s">
        <v>194</v>
      </c>
      <c r="F6" s="1" t="s">
        <v>194</v>
      </c>
      <c r="G6" s="1" t="s">
        <v>194</v>
      </c>
      <c r="H6" s="1" t="s">
        <v>194</v>
      </c>
      <c r="I6" s="1" t="s">
        <v>2207</v>
      </c>
      <c r="J6" s="1" t="s">
        <v>3778</v>
      </c>
      <c r="K6" s="1" t="s">
        <v>4650</v>
      </c>
      <c r="L6" s="1" t="s">
        <v>575</v>
      </c>
      <c r="M6" s="1" t="s">
        <v>1064</v>
      </c>
    </row>
    <row r="7" spans="1:13" x14ac:dyDescent="0.25">
      <c r="A7" s="1" t="s">
        <v>2902</v>
      </c>
      <c r="B7" s="1" t="s">
        <v>586</v>
      </c>
      <c r="C7" s="1" t="s">
        <v>3402</v>
      </c>
      <c r="D7" s="1" t="s">
        <v>308</v>
      </c>
      <c r="E7" s="1" t="s">
        <v>314</v>
      </c>
      <c r="F7" s="1" t="s">
        <v>32</v>
      </c>
      <c r="G7" s="1" t="s">
        <v>32</v>
      </c>
      <c r="H7" s="1" t="s">
        <v>586</v>
      </c>
      <c r="I7" s="1" t="s">
        <v>2905</v>
      </c>
      <c r="J7" s="1" t="s">
        <v>3801</v>
      </c>
      <c r="K7" s="1" t="s">
        <v>4650</v>
      </c>
      <c r="L7" s="1" t="s">
        <v>575</v>
      </c>
      <c r="M7" s="1" t="s">
        <v>1064</v>
      </c>
    </row>
    <row r="8" spans="1:13" x14ac:dyDescent="0.25">
      <c r="A8" s="1" t="s">
        <v>2202</v>
      </c>
      <c r="B8" s="1" t="s">
        <v>583</v>
      </c>
      <c r="C8" s="1" t="s">
        <v>3402</v>
      </c>
      <c r="D8" s="1" t="s">
        <v>314</v>
      </c>
      <c r="E8" s="1" t="s">
        <v>194</v>
      </c>
      <c r="F8" s="1" t="s">
        <v>194</v>
      </c>
      <c r="G8" s="1" t="s">
        <v>194</v>
      </c>
      <c r="H8" s="1" t="s">
        <v>194</v>
      </c>
      <c r="I8" s="1" t="s">
        <v>2203</v>
      </c>
      <c r="J8" s="1" t="s">
        <v>3779</v>
      </c>
      <c r="K8" s="1" t="s">
        <v>4650</v>
      </c>
      <c r="L8" s="1"/>
      <c r="M8" s="1" t="s">
        <v>1064</v>
      </c>
    </row>
    <row r="9" spans="1:13" x14ac:dyDescent="0.25">
      <c r="A9" s="1" t="s">
        <v>2208</v>
      </c>
      <c r="B9" s="1" t="s">
        <v>583</v>
      </c>
      <c r="C9" s="1" t="s">
        <v>3402</v>
      </c>
      <c r="D9" s="1" t="s">
        <v>314</v>
      </c>
      <c r="E9" s="1" t="s">
        <v>194</v>
      </c>
      <c r="F9" s="1" t="s">
        <v>194</v>
      </c>
      <c r="G9" s="1" t="s">
        <v>194</v>
      </c>
      <c r="H9" s="1" t="s">
        <v>194</v>
      </c>
      <c r="I9" s="1" t="s">
        <v>2209</v>
      </c>
      <c r="J9" s="1" t="s">
        <v>3780</v>
      </c>
      <c r="K9" s="1" t="s">
        <v>4650</v>
      </c>
      <c r="L9" s="1" t="s">
        <v>575</v>
      </c>
      <c r="M9" s="1" t="s">
        <v>1064</v>
      </c>
    </row>
    <row r="10" spans="1:13" x14ac:dyDescent="0.25">
      <c r="A10" s="1" t="s">
        <v>2177</v>
      </c>
      <c r="B10" s="1" t="s">
        <v>583</v>
      </c>
      <c r="C10" s="1" t="s">
        <v>3402</v>
      </c>
      <c r="D10" s="1" t="s">
        <v>314</v>
      </c>
      <c r="E10" s="1" t="s">
        <v>194</v>
      </c>
      <c r="F10" s="1" t="s">
        <v>194</v>
      </c>
      <c r="G10" s="1" t="s">
        <v>194</v>
      </c>
      <c r="H10" s="1" t="s">
        <v>194</v>
      </c>
      <c r="I10" s="1" t="s">
        <v>2178</v>
      </c>
      <c r="J10" s="1" t="s">
        <v>3781</v>
      </c>
      <c r="K10" s="1" t="s">
        <v>4650</v>
      </c>
      <c r="L10" s="1" t="s">
        <v>561</v>
      </c>
      <c r="M10" s="1" t="s">
        <v>1064</v>
      </c>
    </row>
    <row r="11" spans="1:13" x14ac:dyDescent="0.25">
      <c r="A11" s="1" t="s">
        <v>1858</v>
      </c>
      <c r="B11" s="1" t="s">
        <v>583</v>
      </c>
      <c r="C11" s="1" t="s">
        <v>3402</v>
      </c>
      <c r="D11" s="1" t="s">
        <v>308</v>
      </c>
      <c r="E11" s="1" t="s">
        <v>36</v>
      </c>
      <c r="F11" s="1" t="s">
        <v>32</v>
      </c>
      <c r="G11" s="1" t="s">
        <v>32</v>
      </c>
      <c r="H11" s="1" t="s">
        <v>583</v>
      </c>
      <c r="I11" s="1" t="s">
        <v>1859</v>
      </c>
      <c r="J11" s="1" t="s">
        <v>3795</v>
      </c>
      <c r="K11" s="1" t="s">
        <v>4650</v>
      </c>
      <c r="L11" s="1" t="s">
        <v>575</v>
      </c>
      <c r="M11" s="1" t="s">
        <v>1064</v>
      </c>
    </row>
    <row r="12" spans="1:13" x14ac:dyDescent="0.25">
      <c r="A12" s="1" t="s">
        <v>2179</v>
      </c>
      <c r="B12" s="1" t="s">
        <v>583</v>
      </c>
      <c r="C12" s="1" t="s">
        <v>3402</v>
      </c>
      <c r="D12" s="1" t="s">
        <v>314</v>
      </c>
      <c r="E12" s="1" t="s">
        <v>194</v>
      </c>
      <c r="F12" s="1" t="s">
        <v>194</v>
      </c>
      <c r="G12" s="1" t="s">
        <v>194</v>
      </c>
      <c r="H12" s="1" t="s">
        <v>194</v>
      </c>
      <c r="I12" s="1" t="s">
        <v>2180</v>
      </c>
      <c r="J12" s="1" t="s">
        <v>3782</v>
      </c>
      <c r="K12" s="1" t="s">
        <v>4650</v>
      </c>
      <c r="L12" s="1" t="s">
        <v>561</v>
      </c>
      <c r="M12" s="1" t="s">
        <v>1064</v>
      </c>
    </row>
    <row r="13" spans="1:13" x14ac:dyDescent="0.25">
      <c r="A13" s="23" t="s">
        <v>1860</v>
      </c>
      <c r="B13" s="1" t="s">
        <v>583</v>
      </c>
      <c r="C13" s="1" t="s">
        <v>3402</v>
      </c>
      <c r="D13" s="1" t="s">
        <v>308</v>
      </c>
      <c r="E13" s="1" t="s">
        <v>36</v>
      </c>
      <c r="F13" s="1" t="s">
        <v>32</v>
      </c>
      <c r="G13" s="1" t="s">
        <v>32</v>
      </c>
      <c r="H13" s="1" t="s">
        <v>583</v>
      </c>
      <c r="I13" s="1" t="s">
        <v>1861</v>
      </c>
      <c r="J13" s="1" t="s">
        <v>3796</v>
      </c>
      <c r="K13" s="1" t="s">
        <v>4650</v>
      </c>
      <c r="L13" s="1" t="s">
        <v>575</v>
      </c>
      <c r="M13" s="1" t="s">
        <v>1064</v>
      </c>
    </row>
    <row r="14" spans="1:13" x14ac:dyDescent="0.25">
      <c r="A14" s="23" t="s">
        <v>2181</v>
      </c>
      <c r="B14" s="1" t="s">
        <v>583</v>
      </c>
      <c r="C14" s="1" t="s">
        <v>3402</v>
      </c>
      <c r="D14" s="1" t="s">
        <v>314</v>
      </c>
      <c r="E14" s="1" t="s">
        <v>194</v>
      </c>
      <c r="F14" s="1" t="s">
        <v>194</v>
      </c>
      <c r="G14" s="1" t="s">
        <v>194</v>
      </c>
      <c r="H14" s="1" t="s">
        <v>194</v>
      </c>
      <c r="I14" s="1" t="s">
        <v>2182</v>
      </c>
      <c r="J14" s="1" t="s">
        <v>3783</v>
      </c>
      <c r="K14" s="1" t="s">
        <v>4650</v>
      </c>
      <c r="L14" s="1" t="s">
        <v>561</v>
      </c>
      <c r="M14" s="1" t="s">
        <v>1064</v>
      </c>
    </row>
    <row r="15" spans="1:13" x14ac:dyDescent="0.25">
      <c r="A15" s="23" t="s">
        <v>1862</v>
      </c>
      <c r="B15" s="1" t="s">
        <v>583</v>
      </c>
      <c r="C15" s="1" t="s">
        <v>3402</v>
      </c>
      <c r="D15" s="1" t="s">
        <v>308</v>
      </c>
      <c r="E15" s="1" t="s">
        <v>36</v>
      </c>
      <c r="F15" s="1" t="s">
        <v>32</v>
      </c>
      <c r="G15" s="1" t="s">
        <v>32</v>
      </c>
      <c r="H15" s="1" t="s">
        <v>583</v>
      </c>
      <c r="I15" s="1" t="s">
        <v>1863</v>
      </c>
      <c r="J15" s="1" t="s">
        <v>3797</v>
      </c>
      <c r="K15" s="1" t="s">
        <v>4650</v>
      </c>
      <c r="L15" s="1" t="s">
        <v>575</v>
      </c>
      <c r="M15" s="1" t="s">
        <v>1064</v>
      </c>
    </row>
    <row r="16" spans="1:13" x14ac:dyDescent="0.25">
      <c r="A16" s="1" t="s">
        <v>2183</v>
      </c>
      <c r="B16" s="1" t="s">
        <v>583</v>
      </c>
      <c r="C16" s="1" t="s">
        <v>3402</v>
      </c>
      <c r="D16" s="1" t="s">
        <v>314</v>
      </c>
      <c r="E16" s="1" t="s">
        <v>194</v>
      </c>
      <c r="F16" s="1" t="s">
        <v>194</v>
      </c>
      <c r="G16" s="1" t="s">
        <v>194</v>
      </c>
      <c r="H16" s="1" t="s">
        <v>194</v>
      </c>
      <c r="I16" s="1" t="s">
        <v>2184</v>
      </c>
      <c r="J16" s="1" t="s">
        <v>3784</v>
      </c>
      <c r="K16" s="1" t="s">
        <v>4650</v>
      </c>
      <c r="L16" s="1" t="s">
        <v>561</v>
      </c>
      <c r="M16" s="1" t="s">
        <v>1064</v>
      </c>
    </row>
    <row r="17" spans="1:13" x14ac:dyDescent="0.25">
      <c r="A17" s="1" t="s">
        <v>1864</v>
      </c>
      <c r="B17" s="1" t="s">
        <v>583</v>
      </c>
      <c r="C17" s="1" t="s">
        <v>3402</v>
      </c>
      <c r="D17" s="1" t="s">
        <v>308</v>
      </c>
      <c r="E17" s="1" t="s">
        <v>36</v>
      </c>
      <c r="F17" s="1" t="s">
        <v>32</v>
      </c>
      <c r="G17" s="1" t="s">
        <v>32</v>
      </c>
      <c r="H17" s="1" t="s">
        <v>583</v>
      </c>
      <c r="I17" s="1" t="s">
        <v>1865</v>
      </c>
      <c r="J17" s="1" t="s">
        <v>3798</v>
      </c>
      <c r="K17" s="1" t="s">
        <v>4650</v>
      </c>
      <c r="L17" s="1" t="s">
        <v>575</v>
      </c>
      <c r="M17" s="1" t="s">
        <v>1064</v>
      </c>
    </row>
    <row r="18" spans="1:13" x14ac:dyDescent="0.25">
      <c r="A18" s="1" t="s">
        <v>2175</v>
      </c>
      <c r="B18" s="1" t="s">
        <v>583</v>
      </c>
      <c r="C18" s="1" t="s">
        <v>3402</v>
      </c>
      <c r="D18" s="1" t="s">
        <v>314</v>
      </c>
      <c r="E18" s="1" t="s">
        <v>194</v>
      </c>
      <c r="F18" s="1" t="s">
        <v>194</v>
      </c>
      <c r="G18" s="1" t="s">
        <v>194</v>
      </c>
      <c r="H18" s="1" t="s">
        <v>194</v>
      </c>
      <c r="I18" s="1" t="s">
        <v>2176</v>
      </c>
      <c r="J18" s="1" t="s">
        <v>3785</v>
      </c>
      <c r="K18" s="1" t="s">
        <v>4650</v>
      </c>
      <c r="L18" s="1" t="s">
        <v>575</v>
      </c>
      <c r="M18" s="1" t="s">
        <v>1064</v>
      </c>
    </row>
    <row r="19" spans="1:13" x14ac:dyDescent="0.25">
      <c r="A19" s="1" t="s">
        <v>1866</v>
      </c>
      <c r="B19" s="1" t="s">
        <v>583</v>
      </c>
      <c r="C19" s="1" t="s">
        <v>3402</v>
      </c>
      <c r="D19" s="1" t="s">
        <v>308</v>
      </c>
      <c r="E19" s="1" t="s">
        <v>36</v>
      </c>
      <c r="F19" s="1" t="s">
        <v>32</v>
      </c>
      <c r="G19" s="1" t="s">
        <v>32</v>
      </c>
      <c r="H19" s="1" t="s">
        <v>583</v>
      </c>
      <c r="I19" s="1" t="s">
        <v>1867</v>
      </c>
      <c r="J19" s="1" t="s">
        <v>3799</v>
      </c>
      <c r="K19" s="1" t="s">
        <v>4650</v>
      </c>
      <c r="L19" s="1" t="s">
        <v>575</v>
      </c>
      <c r="M19" s="1" t="s">
        <v>1064</v>
      </c>
    </row>
    <row r="20" spans="1:13" x14ac:dyDescent="0.25">
      <c r="A20" s="1" t="s">
        <v>2188</v>
      </c>
      <c r="B20" s="1" t="s">
        <v>583</v>
      </c>
      <c r="C20" s="1" t="s">
        <v>3402</v>
      </c>
      <c r="D20" s="1" t="s">
        <v>314</v>
      </c>
      <c r="E20" s="1" t="s">
        <v>194</v>
      </c>
      <c r="F20" s="1" t="s">
        <v>194</v>
      </c>
      <c r="G20" s="1" t="s">
        <v>194</v>
      </c>
      <c r="H20" s="1" t="s">
        <v>194</v>
      </c>
      <c r="I20" s="1" t="s">
        <v>2189</v>
      </c>
      <c r="J20" s="1" t="s">
        <v>3786</v>
      </c>
      <c r="K20" s="1" t="s">
        <v>4650</v>
      </c>
      <c r="L20" s="1" t="s">
        <v>2963</v>
      </c>
      <c r="M20" s="1" t="s">
        <v>1064</v>
      </c>
    </row>
    <row r="21" spans="1:13" x14ac:dyDescent="0.25">
      <c r="A21" s="1" t="s">
        <v>1868</v>
      </c>
      <c r="B21" s="1" t="s">
        <v>583</v>
      </c>
      <c r="C21" s="1" t="s">
        <v>3402</v>
      </c>
      <c r="D21" s="1" t="s">
        <v>308</v>
      </c>
      <c r="E21" s="1" t="s">
        <v>36</v>
      </c>
      <c r="F21" s="1" t="s">
        <v>32</v>
      </c>
      <c r="G21" s="1" t="s">
        <v>32</v>
      </c>
      <c r="H21" s="1" t="s">
        <v>583</v>
      </c>
      <c r="I21" s="1" t="s">
        <v>1869</v>
      </c>
      <c r="J21" s="1" t="s">
        <v>3800</v>
      </c>
      <c r="K21" s="1" t="s">
        <v>4650</v>
      </c>
      <c r="L21" s="1" t="s">
        <v>575</v>
      </c>
      <c r="M21" s="1" t="s">
        <v>1064</v>
      </c>
    </row>
    <row r="22" spans="1:13" x14ac:dyDescent="0.25">
      <c r="A22" s="1" t="s">
        <v>2190</v>
      </c>
      <c r="B22" s="1" t="s">
        <v>583</v>
      </c>
      <c r="C22" s="1" t="s">
        <v>3402</v>
      </c>
      <c r="D22" s="1" t="s">
        <v>314</v>
      </c>
      <c r="E22" s="1" t="s">
        <v>194</v>
      </c>
      <c r="F22" s="1" t="s">
        <v>194</v>
      </c>
      <c r="G22" s="1" t="s">
        <v>194</v>
      </c>
      <c r="H22" s="1" t="s">
        <v>194</v>
      </c>
      <c r="I22" s="1" t="s">
        <v>2191</v>
      </c>
      <c r="J22" s="1" t="s">
        <v>3787</v>
      </c>
      <c r="K22" s="1" t="s">
        <v>4650</v>
      </c>
      <c r="L22" s="1" t="s">
        <v>2963</v>
      </c>
      <c r="M22" s="1" t="s">
        <v>1064</v>
      </c>
    </row>
    <row r="23" spans="1:13" x14ac:dyDescent="0.25">
      <c r="A23" s="1" t="s">
        <v>72</v>
      </c>
      <c r="B23" s="1" t="s">
        <v>583</v>
      </c>
      <c r="C23" s="1" t="s">
        <v>3402</v>
      </c>
      <c r="D23" s="1" t="s">
        <v>314</v>
      </c>
      <c r="E23" s="1" t="s">
        <v>194</v>
      </c>
      <c r="F23" s="1" t="s">
        <v>194</v>
      </c>
      <c r="G23" s="1" t="s">
        <v>194</v>
      </c>
      <c r="H23" s="1" t="s">
        <v>194</v>
      </c>
      <c r="I23" s="1" t="s">
        <v>733</v>
      </c>
      <c r="J23" s="1" t="s">
        <v>3923</v>
      </c>
      <c r="K23" s="1" t="s">
        <v>4650</v>
      </c>
      <c r="L23" s="1" t="s">
        <v>575</v>
      </c>
      <c r="M23" s="1" t="s">
        <v>1064</v>
      </c>
    </row>
    <row r="24" spans="1:13" x14ac:dyDescent="0.25">
      <c r="A24" s="1" t="s">
        <v>2192</v>
      </c>
      <c r="B24" s="1" t="s">
        <v>583</v>
      </c>
      <c r="C24" s="1" t="s">
        <v>3402</v>
      </c>
      <c r="D24" s="1" t="s">
        <v>314</v>
      </c>
      <c r="E24" s="1" t="s">
        <v>194</v>
      </c>
      <c r="F24" s="1" t="s">
        <v>194</v>
      </c>
      <c r="G24" s="1" t="s">
        <v>194</v>
      </c>
      <c r="H24" s="1" t="s">
        <v>194</v>
      </c>
      <c r="I24" s="1" t="s">
        <v>2193</v>
      </c>
      <c r="J24" s="1" t="s">
        <v>3788</v>
      </c>
      <c r="K24" s="1" t="s">
        <v>4650</v>
      </c>
      <c r="L24" s="1" t="s">
        <v>2963</v>
      </c>
      <c r="M24" s="1" t="s">
        <v>1064</v>
      </c>
    </row>
    <row r="25" spans="1:13" x14ac:dyDescent="0.25">
      <c r="A25" s="1" t="s">
        <v>2916</v>
      </c>
      <c r="B25" s="1" t="s">
        <v>583</v>
      </c>
      <c r="C25" s="1" t="s">
        <v>3402</v>
      </c>
      <c r="D25" s="1" t="s">
        <v>314</v>
      </c>
      <c r="E25" s="1" t="s">
        <v>194</v>
      </c>
      <c r="F25" s="1" t="s">
        <v>194</v>
      </c>
      <c r="G25" s="1" t="s">
        <v>194</v>
      </c>
      <c r="H25" s="1" t="s">
        <v>194</v>
      </c>
      <c r="I25" s="1" t="s">
        <v>2917</v>
      </c>
      <c r="J25" s="1" t="s">
        <v>3789</v>
      </c>
      <c r="K25" s="1" t="s">
        <v>4650</v>
      </c>
      <c r="L25" s="1" t="s">
        <v>575</v>
      </c>
      <c r="M25" s="1" t="s">
        <v>1064</v>
      </c>
    </row>
    <row r="26" spans="1:13" x14ac:dyDescent="0.25">
      <c r="A26" s="1" t="s">
        <v>2172</v>
      </c>
      <c r="B26" s="1" t="s">
        <v>583</v>
      </c>
      <c r="C26" s="1" t="s">
        <v>3402</v>
      </c>
      <c r="D26" s="1" t="s">
        <v>308</v>
      </c>
      <c r="E26" s="1" t="s">
        <v>317</v>
      </c>
      <c r="F26" s="1" t="s">
        <v>317</v>
      </c>
      <c r="G26" s="1" t="s">
        <v>32</v>
      </c>
      <c r="H26" s="1" t="s">
        <v>583</v>
      </c>
      <c r="I26" s="1" t="s">
        <v>2173</v>
      </c>
      <c r="J26" s="1" t="s">
        <v>3803</v>
      </c>
      <c r="K26" s="1" t="s">
        <v>4650</v>
      </c>
      <c r="L26" s="1" t="s">
        <v>3543</v>
      </c>
      <c r="M26" s="1" t="s">
        <v>1064</v>
      </c>
    </row>
    <row r="27" spans="1:13" x14ac:dyDescent="0.25">
      <c r="A27" s="1" t="s">
        <v>2172</v>
      </c>
      <c r="B27" s="1" t="s">
        <v>586</v>
      </c>
      <c r="C27" s="1" t="s">
        <v>3402</v>
      </c>
      <c r="D27" s="1" t="s">
        <v>2</v>
      </c>
      <c r="E27" s="1" t="s">
        <v>32</v>
      </c>
      <c r="F27" s="1" t="s">
        <v>32</v>
      </c>
      <c r="G27" s="1" t="s">
        <v>585</v>
      </c>
      <c r="H27" s="1" t="s">
        <v>586</v>
      </c>
      <c r="I27" s="1" t="s">
        <v>2174</v>
      </c>
      <c r="J27" s="1" t="s">
        <v>3804</v>
      </c>
      <c r="K27" s="1" t="s">
        <v>4650</v>
      </c>
      <c r="L27" s="1" t="s">
        <v>3543</v>
      </c>
      <c r="M27" s="1" t="s">
        <v>1064</v>
      </c>
    </row>
    <row r="28" spans="1:13" x14ac:dyDescent="0.25">
      <c r="A28" s="1" t="s">
        <v>2918</v>
      </c>
      <c r="B28" s="1" t="s">
        <v>583</v>
      </c>
      <c r="C28" s="1" t="s">
        <v>3402</v>
      </c>
      <c r="D28" s="1" t="s">
        <v>314</v>
      </c>
      <c r="E28" s="1" t="s">
        <v>194</v>
      </c>
      <c r="F28" s="1" t="s">
        <v>194</v>
      </c>
      <c r="G28" s="1" t="s">
        <v>194</v>
      </c>
      <c r="H28" s="1" t="s">
        <v>194</v>
      </c>
      <c r="I28" s="1" t="s">
        <v>2919</v>
      </c>
      <c r="J28" s="1" t="s">
        <v>3790</v>
      </c>
      <c r="K28" s="1" t="s">
        <v>4650</v>
      </c>
      <c r="L28" s="1" t="s">
        <v>575</v>
      </c>
      <c r="M28" s="1" t="s">
        <v>1064</v>
      </c>
    </row>
    <row r="29" spans="1:13" x14ac:dyDescent="0.25">
      <c r="A29" s="1" t="s">
        <v>2194</v>
      </c>
      <c r="B29" s="1" t="s">
        <v>583</v>
      </c>
      <c r="C29" s="1" t="s">
        <v>3402</v>
      </c>
      <c r="D29" s="1" t="s">
        <v>308</v>
      </c>
      <c r="E29" s="1" t="s">
        <v>317</v>
      </c>
      <c r="F29" s="1" t="s">
        <v>32</v>
      </c>
      <c r="G29" s="1" t="s">
        <v>32</v>
      </c>
      <c r="H29" s="1" t="s">
        <v>583</v>
      </c>
      <c r="I29" s="1" t="s">
        <v>2195</v>
      </c>
      <c r="J29" s="1" t="s">
        <v>3824</v>
      </c>
      <c r="K29" s="1" t="s">
        <v>4650</v>
      </c>
      <c r="L29" s="1" t="s">
        <v>575</v>
      </c>
      <c r="M29" s="1" t="s">
        <v>1064</v>
      </c>
    </row>
    <row r="30" spans="1:13" x14ac:dyDescent="0.25">
      <c r="A30" s="1" t="s">
        <v>2194</v>
      </c>
      <c r="B30" s="1" t="s">
        <v>584</v>
      </c>
      <c r="C30" s="1" t="s">
        <v>3402</v>
      </c>
      <c r="D30" s="1" t="s">
        <v>2</v>
      </c>
      <c r="E30" s="1" t="s">
        <v>632</v>
      </c>
      <c r="F30" s="1" t="s">
        <v>632</v>
      </c>
      <c r="G30" s="1" t="s">
        <v>585</v>
      </c>
      <c r="H30" s="1" t="s">
        <v>584</v>
      </c>
      <c r="I30" s="1" t="s">
        <v>2196</v>
      </c>
      <c r="J30" s="1" t="s">
        <v>3825</v>
      </c>
      <c r="K30" s="1" t="s">
        <v>4650</v>
      </c>
      <c r="L30" s="1" t="s">
        <v>575</v>
      </c>
      <c r="M30" s="1" t="s">
        <v>1064</v>
      </c>
    </row>
    <row r="31" spans="1:13" x14ac:dyDescent="0.25">
      <c r="A31" s="1" t="s">
        <v>2194</v>
      </c>
      <c r="B31" s="1" t="s">
        <v>586</v>
      </c>
      <c r="C31" s="1" t="s">
        <v>3402</v>
      </c>
      <c r="D31" s="1" t="s">
        <v>308</v>
      </c>
      <c r="E31" s="1" t="s">
        <v>32</v>
      </c>
      <c r="F31" s="1" t="s">
        <v>314</v>
      </c>
      <c r="G31" s="1" t="s">
        <v>32</v>
      </c>
      <c r="H31" s="1" t="s">
        <v>586</v>
      </c>
      <c r="I31" s="1" t="s">
        <v>2197</v>
      </c>
      <c r="J31" s="1" t="s">
        <v>3826</v>
      </c>
      <c r="K31" s="1" t="s">
        <v>4650</v>
      </c>
      <c r="L31" s="1" t="s">
        <v>575</v>
      </c>
      <c r="M31" s="1" t="s">
        <v>1064</v>
      </c>
    </row>
    <row r="32" spans="1:13" x14ac:dyDescent="0.25">
      <c r="A32" s="1" t="s">
        <v>8</v>
      </c>
      <c r="B32" s="1" t="s">
        <v>583</v>
      </c>
      <c r="C32" s="1" t="s">
        <v>3402</v>
      </c>
      <c r="D32" s="1" t="s">
        <v>308</v>
      </c>
      <c r="E32" s="1" t="s">
        <v>36</v>
      </c>
      <c r="F32" s="1" t="s">
        <v>32</v>
      </c>
      <c r="G32" s="1" t="s">
        <v>32</v>
      </c>
      <c r="H32" s="1" t="s">
        <v>583</v>
      </c>
      <c r="I32" s="1" t="s">
        <v>744</v>
      </c>
      <c r="J32" s="1" t="s">
        <v>3937</v>
      </c>
      <c r="K32" s="1" t="s">
        <v>4650</v>
      </c>
      <c r="L32" s="1" t="s">
        <v>575</v>
      </c>
      <c r="M32" s="1" t="s">
        <v>1064</v>
      </c>
    </row>
    <row r="33" spans="1:13" x14ac:dyDescent="0.25">
      <c r="A33" s="1" t="s">
        <v>8</v>
      </c>
      <c r="B33" s="1" t="s">
        <v>586</v>
      </c>
      <c r="C33" s="1" t="s">
        <v>3402</v>
      </c>
      <c r="D33" s="1" t="s">
        <v>2</v>
      </c>
      <c r="E33" s="1" t="s">
        <v>32</v>
      </c>
      <c r="F33" s="1" t="s">
        <v>585</v>
      </c>
      <c r="G33" s="1" t="s">
        <v>32</v>
      </c>
      <c r="H33" s="1" t="s">
        <v>586</v>
      </c>
      <c r="I33" s="1" t="s">
        <v>743</v>
      </c>
      <c r="J33" s="1" t="s">
        <v>3938</v>
      </c>
      <c r="K33" s="1" t="s">
        <v>4650</v>
      </c>
      <c r="L33" s="1" t="s">
        <v>575</v>
      </c>
      <c r="M33" s="1" t="s">
        <v>1064</v>
      </c>
    </row>
    <row r="34" spans="1:13" x14ac:dyDescent="0.25">
      <c r="A34" s="1" t="s">
        <v>91</v>
      </c>
      <c r="B34" s="1" t="s">
        <v>583</v>
      </c>
      <c r="C34" s="1" t="s">
        <v>3402</v>
      </c>
      <c r="D34" s="1" t="s">
        <v>308</v>
      </c>
      <c r="E34" s="1" t="s">
        <v>36</v>
      </c>
      <c r="F34" s="1" t="s">
        <v>32</v>
      </c>
      <c r="G34" s="1" t="s">
        <v>32</v>
      </c>
      <c r="H34" s="1" t="s">
        <v>583</v>
      </c>
      <c r="I34" s="1" t="s">
        <v>742</v>
      </c>
      <c r="J34" s="1" t="s">
        <v>3935</v>
      </c>
      <c r="K34" s="1" t="s">
        <v>4650</v>
      </c>
      <c r="L34" s="1" t="s">
        <v>575</v>
      </c>
      <c r="M34" s="1" t="s">
        <v>1064</v>
      </c>
    </row>
    <row r="35" spans="1:13" x14ac:dyDescent="0.25">
      <c r="A35" s="1" t="s">
        <v>91</v>
      </c>
      <c r="B35" s="1" t="s">
        <v>586</v>
      </c>
      <c r="C35" s="1" t="s">
        <v>3402</v>
      </c>
      <c r="D35" s="1" t="s">
        <v>308</v>
      </c>
      <c r="E35" s="1" t="s">
        <v>32</v>
      </c>
      <c r="F35" s="1" t="s">
        <v>317</v>
      </c>
      <c r="G35" s="1" t="s">
        <v>32</v>
      </c>
      <c r="H35" s="1" t="s">
        <v>586</v>
      </c>
      <c r="I35" s="1" t="s">
        <v>741</v>
      </c>
      <c r="J35" s="1" t="s">
        <v>3936</v>
      </c>
      <c r="K35" s="1" t="s">
        <v>4650</v>
      </c>
      <c r="L35" s="1" t="s">
        <v>575</v>
      </c>
      <c r="M35" s="1" t="s">
        <v>1064</v>
      </c>
    </row>
    <row r="36" spans="1:13" x14ac:dyDescent="0.25">
      <c r="A36" s="1" t="s">
        <v>122</v>
      </c>
      <c r="B36" s="1" t="s">
        <v>583</v>
      </c>
      <c r="C36" s="1" t="s">
        <v>3402</v>
      </c>
      <c r="D36" s="1" t="s">
        <v>308</v>
      </c>
      <c r="E36" s="1" t="s">
        <v>314</v>
      </c>
      <c r="F36" s="1" t="s">
        <v>32</v>
      </c>
      <c r="G36" s="1" t="s">
        <v>32</v>
      </c>
      <c r="H36" s="1" t="s">
        <v>583</v>
      </c>
      <c r="I36" s="1" t="s">
        <v>759</v>
      </c>
      <c r="J36" s="1" t="s">
        <v>3954</v>
      </c>
      <c r="K36" s="1" t="s">
        <v>4650</v>
      </c>
      <c r="L36" s="1" t="s">
        <v>575</v>
      </c>
      <c r="M36" s="1" t="s">
        <v>1064</v>
      </c>
    </row>
    <row r="37" spans="1:13" x14ac:dyDescent="0.25">
      <c r="A37" s="1" t="s">
        <v>122</v>
      </c>
      <c r="B37" s="1" t="s">
        <v>584</v>
      </c>
      <c r="C37" s="1" t="s">
        <v>3402</v>
      </c>
      <c r="D37" s="1" t="s">
        <v>314</v>
      </c>
      <c r="E37" s="1" t="s">
        <v>32</v>
      </c>
      <c r="F37" s="1" t="s">
        <v>32</v>
      </c>
      <c r="G37" s="1" t="s">
        <v>585</v>
      </c>
      <c r="H37" s="1" t="s">
        <v>584</v>
      </c>
      <c r="I37" s="1" t="s">
        <v>757</v>
      </c>
      <c r="J37" s="1" t="s">
        <v>3955</v>
      </c>
      <c r="K37" s="1" t="s">
        <v>4650</v>
      </c>
      <c r="L37" s="1" t="s">
        <v>575</v>
      </c>
      <c r="M37" s="1" t="s">
        <v>1064</v>
      </c>
    </row>
    <row r="38" spans="1:13" x14ac:dyDescent="0.25">
      <c r="A38" s="1" t="s">
        <v>122</v>
      </c>
      <c r="B38" s="1" t="s">
        <v>586</v>
      </c>
      <c r="C38" s="1" t="s">
        <v>3402</v>
      </c>
      <c r="D38" s="1" t="s">
        <v>308</v>
      </c>
      <c r="E38" s="1" t="s">
        <v>32</v>
      </c>
      <c r="F38" s="1" t="s">
        <v>314</v>
      </c>
      <c r="G38" s="1" t="s">
        <v>32</v>
      </c>
      <c r="H38" s="1" t="s">
        <v>586</v>
      </c>
      <c r="I38" s="1" t="s">
        <v>758</v>
      </c>
      <c r="J38" s="1" t="s">
        <v>3956</v>
      </c>
      <c r="K38" s="1" t="s">
        <v>4650</v>
      </c>
      <c r="L38" s="1" t="s">
        <v>575</v>
      </c>
      <c r="M38" s="1" t="s">
        <v>1064</v>
      </c>
    </row>
    <row r="39" spans="1:13" x14ac:dyDescent="0.25">
      <c r="A39" s="1" t="s">
        <v>2920</v>
      </c>
      <c r="B39" s="1" t="s">
        <v>583</v>
      </c>
      <c r="C39" s="1" t="s">
        <v>3402</v>
      </c>
      <c r="D39" s="1" t="s">
        <v>314</v>
      </c>
      <c r="E39" s="1" t="s">
        <v>194</v>
      </c>
      <c r="F39" s="1" t="s">
        <v>194</v>
      </c>
      <c r="G39" s="1" t="s">
        <v>194</v>
      </c>
      <c r="H39" s="1" t="s">
        <v>194</v>
      </c>
      <c r="I39" s="1" t="s">
        <v>2921</v>
      </c>
      <c r="J39" s="1" t="s">
        <v>3791</v>
      </c>
      <c r="K39" s="1" t="s">
        <v>4650</v>
      </c>
      <c r="L39" s="1" t="s">
        <v>575</v>
      </c>
      <c r="M39" s="1" t="s">
        <v>1064</v>
      </c>
    </row>
    <row r="40" spans="1:13" x14ac:dyDescent="0.25">
      <c r="A40" s="1" t="s">
        <v>1229</v>
      </c>
      <c r="B40" s="1" t="s">
        <v>583</v>
      </c>
      <c r="C40" s="1" t="s">
        <v>3402</v>
      </c>
      <c r="D40" s="1" t="s">
        <v>308</v>
      </c>
      <c r="E40" s="1" t="s">
        <v>2</v>
      </c>
      <c r="F40" s="1" t="s">
        <v>32</v>
      </c>
      <c r="G40" s="1" t="s">
        <v>32</v>
      </c>
      <c r="H40" s="1" t="s">
        <v>583</v>
      </c>
      <c r="I40" s="1" t="s">
        <v>1235</v>
      </c>
      <c r="J40" s="1" t="s">
        <v>3957</v>
      </c>
      <c r="K40" s="1" t="s">
        <v>4650</v>
      </c>
      <c r="L40" s="1" t="s">
        <v>575</v>
      </c>
      <c r="M40" s="1" t="s">
        <v>1064</v>
      </c>
    </row>
    <row r="41" spans="1:13" x14ac:dyDescent="0.25">
      <c r="A41" s="1" t="s">
        <v>2222</v>
      </c>
      <c r="B41" s="1" t="s">
        <v>583</v>
      </c>
      <c r="C41" s="1" t="s">
        <v>3402</v>
      </c>
      <c r="D41" s="1" t="s">
        <v>308</v>
      </c>
      <c r="E41" s="1" t="s">
        <v>2</v>
      </c>
      <c r="F41" s="1" t="s">
        <v>308</v>
      </c>
      <c r="G41" s="1" t="s">
        <v>308</v>
      </c>
      <c r="H41" s="1" t="s">
        <v>583</v>
      </c>
      <c r="I41" s="1" t="s">
        <v>2223</v>
      </c>
      <c r="J41" s="1" t="s">
        <v>3855</v>
      </c>
      <c r="K41" s="1" t="s">
        <v>4660</v>
      </c>
      <c r="L41" s="1" t="s">
        <v>575</v>
      </c>
      <c r="M41" s="1" t="s">
        <v>1064</v>
      </c>
    </row>
    <row r="42" spans="1:13" x14ac:dyDescent="0.25">
      <c r="A42" s="1" t="s">
        <v>2922</v>
      </c>
      <c r="B42" s="1" t="s">
        <v>583</v>
      </c>
      <c r="C42" s="1" t="s">
        <v>3402</v>
      </c>
      <c r="D42" s="1" t="s">
        <v>314</v>
      </c>
      <c r="E42" s="1" t="s">
        <v>194</v>
      </c>
      <c r="F42" s="1" t="s">
        <v>194</v>
      </c>
      <c r="G42" s="1" t="s">
        <v>194</v>
      </c>
      <c r="H42" s="1" t="s">
        <v>194</v>
      </c>
      <c r="I42" s="1" t="s">
        <v>2923</v>
      </c>
      <c r="J42" s="1" t="s">
        <v>3792</v>
      </c>
      <c r="K42" s="1" t="s">
        <v>4650</v>
      </c>
      <c r="L42" s="1" t="s">
        <v>575</v>
      </c>
      <c r="M42" s="1" t="s">
        <v>1064</v>
      </c>
    </row>
    <row r="43" spans="1:13" x14ac:dyDescent="0.25">
      <c r="A43" s="1" t="s">
        <v>105</v>
      </c>
      <c r="B43" s="1" t="s">
        <v>583</v>
      </c>
      <c r="C43" s="1" t="s">
        <v>3402</v>
      </c>
      <c r="D43" s="1" t="s">
        <v>308</v>
      </c>
      <c r="E43" s="1" t="s">
        <v>590</v>
      </c>
      <c r="F43" s="1" t="s">
        <v>32</v>
      </c>
      <c r="G43" s="1" t="s">
        <v>32</v>
      </c>
      <c r="H43" s="1" t="s">
        <v>583</v>
      </c>
      <c r="I43" s="1" t="s">
        <v>752</v>
      </c>
      <c r="J43" s="1" t="s">
        <v>3943</v>
      </c>
      <c r="K43" s="1" t="s">
        <v>4650</v>
      </c>
      <c r="L43" s="1" t="s">
        <v>575</v>
      </c>
      <c r="M43" s="1" t="s">
        <v>1064</v>
      </c>
    </row>
    <row r="44" spans="1:13" x14ac:dyDescent="0.25">
      <c r="A44" s="1" t="s">
        <v>105</v>
      </c>
      <c r="B44" s="1" t="s">
        <v>584</v>
      </c>
      <c r="C44" s="1" t="s">
        <v>3402</v>
      </c>
      <c r="D44" s="1" t="s">
        <v>2</v>
      </c>
      <c r="E44" s="1" t="s">
        <v>32</v>
      </c>
      <c r="F44" s="1" t="s">
        <v>32</v>
      </c>
      <c r="G44" s="1" t="s">
        <v>585</v>
      </c>
      <c r="H44" s="1" t="s">
        <v>584</v>
      </c>
      <c r="I44" s="1" t="s">
        <v>750</v>
      </c>
      <c r="J44" s="1" t="s">
        <v>3944</v>
      </c>
      <c r="K44" s="1" t="s">
        <v>4650</v>
      </c>
      <c r="L44" s="1" t="s">
        <v>575</v>
      </c>
      <c r="M44" s="1" t="s">
        <v>1064</v>
      </c>
    </row>
    <row r="45" spans="1:13" x14ac:dyDescent="0.25">
      <c r="A45" s="1" t="s">
        <v>105</v>
      </c>
      <c r="B45" s="1" t="s">
        <v>586</v>
      </c>
      <c r="C45" s="1" t="s">
        <v>3402</v>
      </c>
      <c r="D45" s="1" t="s">
        <v>308</v>
      </c>
      <c r="E45" s="1" t="s">
        <v>32</v>
      </c>
      <c r="F45" s="1" t="s">
        <v>2</v>
      </c>
      <c r="G45" s="1" t="s">
        <v>32</v>
      </c>
      <c r="H45" s="1" t="s">
        <v>586</v>
      </c>
      <c r="I45" s="1" t="s">
        <v>751</v>
      </c>
      <c r="J45" s="1" t="s">
        <v>3945</v>
      </c>
      <c r="K45" s="1" t="s">
        <v>4650</v>
      </c>
      <c r="L45" s="1" t="s">
        <v>575</v>
      </c>
      <c r="M45" s="1" t="s">
        <v>1064</v>
      </c>
    </row>
    <row r="46" spans="1:13" x14ac:dyDescent="0.25">
      <c r="A46" s="1" t="s">
        <v>2224</v>
      </c>
      <c r="B46" s="1" t="s">
        <v>583</v>
      </c>
      <c r="C46" s="1" t="s">
        <v>3402</v>
      </c>
      <c r="D46" s="1" t="s">
        <v>308</v>
      </c>
      <c r="E46" s="1" t="s">
        <v>2</v>
      </c>
      <c r="F46" s="1" t="s">
        <v>308</v>
      </c>
      <c r="G46" s="1" t="s">
        <v>308</v>
      </c>
      <c r="H46" s="1" t="s">
        <v>583</v>
      </c>
      <c r="I46" s="1" t="s">
        <v>2225</v>
      </c>
      <c r="J46" s="1" t="s">
        <v>3856</v>
      </c>
      <c r="K46" s="1" t="s">
        <v>4660</v>
      </c>
      <c r="L46" s="1" t="s">
        <v>575</v>
      </c>
      <c r="M46" s="1" t="s">
        <v>1064</v>
      </c>
    </row>
    <row r="47" spans="1:13" x14ac:dyDescent="0.25">
      <c r="A47" s="1" t="s">
        <v>99</v>
      </c>
      <c r="B47" s="1" t="s">
        <v>583</v>
      </c>
      <c r="C47" s="1" t="s">
        <v>3402</v>
      </c>
      <c r="D47" s="1" t="s">
        <v>308</v>
      </c>
      <c r="E47" s="1" t="s">
        <v>36</v>
      </c>
      <c r="F47" s="1" t="s">
        <v>32</v>
      </c>
      <c r="G47" s="1" t="s">
        <v>32</v>
      </c>
      <c r="H47" s="1" t="s">
        <v>583</v>
      </c>
      <c r="I47" s="1" t="s">
        <v>747</v>
      </c>
      <c r="J47" s="1" t="s">
        <v>3939</v>
      </c>
      <c r="K47" s="1" t="s">
        <v>4650</v>
      </c>
      <c r="L47" s="1" t="s">
        <v>575</v>
      </c>
      <c r="M47" s="1" t="s">
        <v>1064</v>
      </c>
    </row>
    <row r="48" spans="1:13" x14ac:dyDescent="0.25">
      <c r="A48" s="1" t="s">
        <v>99</v>
      </c>
      <c r="B48" s="1" t="s">
        <v>586</v>
      </c>
      <c r="C48" s="1" t="s">
        <v>3402</v>
      </c>
      <c r="D48" s="1" t="s">
        <v>2</v>
      </c>
      <c r="E48" s="1" t="s">
        <v>32</v>
      </c>
      <c r="F48" s="1" t="s">
        <v>585</v>
      </c>
      <c r="G48" s="1" t="s">
        <v>32</v>
      </c>
      <c r="H48" s="1" t="s">
        <v>586</v>
      </c>
      <c r="I48" s="1" t="s">
        <v>746</v>
      </c>
      <c r="J48" s="1" t="s">
        <v>3940</v>
      </c>
      <c r="K48" s="1" t="s">
        <v>4650</v>
      </c>
      <c r="L48" s="1" t="s">
        <v>575</v>
      </c>
      <c r="M48" s="1" t="s">
        <v>1064</v>
      </c>
    </row>
    <row r="49" spans="1:13" x14ac:dyDescent="0.25">
      <c r="A49" s="1" t="s">
        <v>2204</v>
      </c>
      <c r="B49" s="1" t="s">
        <v>583</v>
      </c>
      <c r="C49" s="1" t="s">
        <v>3402</v>
      </c>
      <c r="D49" s="1" t="s">
        <v>314</v>
      </c>
      <c r="E49" s="1" t="s">
        <v>194</v>
      </c>
      <c r="F49" s="1" t="s">
        <v>194</v>
      </c>
      <c r="G49" s="1" t="s">
        <v>194</v>
      </c>
      <c r="H49" s="1" t="s">
        <v>194</v>
      </c>
      <c r="I49" s="1" t="s">
        <v>2205</v>
      </c>
      <c r="J49" s="1" t="s">
        <v>3793</v>
      </c>
      <c r="K49" s="1" t="s">
        <v>4663</v>
      </c>
      <c r="L49" s="1"/>
      <c r="M49" s="1" t="s">
        <v>1064</v>
      </c>
    </row>
    <row r="50" spans="1:13" x14ac:dyDescent="0.25">
      <c r="A50" s="1" t="s">
        <v>97</v>
      </c>
      <c r="B50" s="1" t="s">
        <v>583</v>
      </c>
      <c r="C50" s="1" t="s">
        <v>3402</v>
      </c>
      <c r="D50" s="1" t="s">
        <v>314</v>
      </c>
      <c r="E50" s="1" t="s">
        <v>194</v>
      </c>
      <c r="F50" s="1" t="s">
        <v>194</v>
      </c>
      <c r="G50" s="1" t="s">
        <v>194</v>
      </c>
      <c r="H50" s="1" t="s">
        <v>194</v>
      </c>
      <c r="I50" s="1" t="s">
        <v>745</v>
      </c>
      <c r="J50" s="1" t="s">
        <v>3932</v>
      </c>
      <c r="K50" s="1" t="s">
        <v>4650</v>
      </c>
      <c r="L50" s="1" t="s">
        <v>575</v>
      </c>
      <c r="M50" s="1" t="s">
        <v>1064</v>
      </c>
    </row>
    <row r="51" spans="1:13" x14ac:dyDescent="0.25">
      <c r="A51" s="1" t="s">
        <v>2226</v>
      </c>
      <c r="B51" s="1" t="s">
        <v>583</v>
      </c>
      <c r="C51" s="1" t="s">
        <v>3402</v>
      </c>
      <c r="D51" s="1" t="s">
        <v>308</v>
      </c>
      <c r="E51" s="1" t="s">
        <v>2</v>
      </c>
      <c r="F51" s="1" t="s">
        <v>2</v>
      </c>
      <c r="G51" s="1" t="s">
        <v>2</v>
      </c>
      <c r="H51" s="1" t="s">
        <v>583</v>
      </c>
      <c r="I51" s="1" t="s">
        <v>2227</v>
      </c>
      <c r="J51" s="1" t="s">
        <v>3857</v>
      </c>
      <c r="K51" s="1" t="s">
        <v>4660</v>
      </c>
      <c r="L51" s="1" t="s">
        <v>575</v>
      </c>
      <c r="M51" s="1" t="s">
        <v>1064</v>
      </c>
    </row>
    <row r="52" spans="1:13" x14ac:dyDescent="0.25">
      <c r="A52" s="1" t="s">
        <v>2232</v>
      </c>
      <c r="B52" s="1" t="s">
        <v>583</v>
      </c>
      <c r="C52" s="1" t="s">
        <v>3402</v>
      </c>
      <c r="D52" s="1" t="s">
        <v>314</v>
      </c>
      <c r="E52" s="1" t="s">
        <v>194</v>
      </c>
      <c r="F52" s="1" t="s">
        <v>194</v>
      </c>
      <c r="G52" s="1" t="s">
        <v>194</v>
      </c>
      <c r="H52" s="1" t="s">
        <v>194</v>
      </c>
      <c r="I52" s="1" t="s">
        <v>2233</v>
      </c>
      <c r="J52" s="1" t="s">
        <v>3794</v>
      </c>
      <c r="K52" s="1" t="s">
        <v>4650</v>
      </c>
      <c r="L52" s="1" t="s">
        <v>575</v>
      </c>
      <c r="M52" s="1" t="s">
        <v>1064</v>
      </c>
    </row>
    <row r="53" spans="1:13" x14ac:dyDescent="0.25">
      <c r="A53" s="1" t="s">
        <v>2216</v>
      </c>
      <c r="B53" s="1" t="s">
        <v>583</v>
      </c>
      <c r="C53" s="1" t="s">
        <v>3402</v>
      </c>
      <c r="D53" s="1" t="s">
        <v>308</v>
      </c>
      <c r="E53" s="1" t="s">
        <v>2</v>
      </c>
      <c r="F53" s="1" t="s">
        <v>308</v>
      </c>
      <c r="G53" s="1" t="s">
        <v>314</v>
      </c>
      <c r="H53" s="1" t="s">
        <v>583</v>
      </c>
      <c r="I53" s="1" t="s">
        <v>2217</v>
      </c>
      <c r="J53" s="1" t="s">
        <v>3852</v>
      </c>
      <c r="K53" s="1" t="s">
        <v>4660</v>
      </c>
      <c r="L53" s="1" t="s">
        <v>575</v>
      </c>
      <c r="M53" s="1" t="s">
        <v>1064</v>
      </c>
    </row>
    <row r="54" spans="1:13" x14ac:dyDescent="0.25">
      <c r="A54" s="1" t="s">
        <v>2218</v>
      </c>
      <c r="B54" s="1" t="s">
        <v>583</v>
      </c>
      <c r="C54" s="1" t="s">
        <v>3402</v>
      </c>
      <c r="D54" s="1" t="s">
        <v>308</v>
      </c>
      <c r="E54" s="1" t="s">
        <v>2</v>
      </c>
      <c r="F54" s="1" t="s">
        <v>308</v>
      </c>
      <c r="G54" s="1" t="s">
        <v>314</v>
      </c>
      <c r="H54" s="1" t="s">
        <v>583</v>
      </c>
      <c r="I54" s="1" t="s">
        <v>2219</v>
      </c>
      <c r="J54" s="1" t="s">
        <v>3853</v>
      </c>
      <c r="K54" s="1" t="s">
        <v>4660</v>
      </c>
      <c r="L54" s="1" t="s">
        <v>575</v>
      </c>
      <c r="M54" s="1" t="s">
        <v>1064</v>
      </c>
    </row>
    <row r="55" spans="1:13" x14ac:dyDescent="0.25">
      <c r="A55" s="1" t="s">
        <v>102</v>
      </c>
      <c r="B55" s="1" t="s">
        <v>583</v>
      </c>
      <c r="C55" s="1" t="s">
        <v>3402</v>
      </c>
      <c r="D55" s="1" t="s">
        <v>308</v>
      </c>
      <c r="E55" s="1" t="s">
        <v>322</v>
      </c>
      <c r="F55" s="1" t="s">
        <v>32</v>
      </c>
      <c r="G55" s="1" t="s">
        <v>32</v>
      </c>
      <c r="H55" s="1" t="s">
        <v>583</v>
      </c>
      <c r="I55" s="1" t="s">
        <v>749</v>
      </c>
      <c r="J55" s="1" t="s">
        <v>3941</v>
      </c>
      <c r="K55" s="1" t="s">
        <v>4650</v>
      </c>
      <c r="L55" s="1" t="s">
        <v>575</v>
      </c>
      <c r="M55" s="1" t="s">
        <v>1064</v>
      </c>
    </row>
    <row r="56" spans="1:13" x14ac:dyDescent="0.25">
      <c r="A56" s="1" t="s">
        <v>102</v>
      </c>
      <c r="B56" s="1" t="s">
        <v>584</v>
      </c>
      <c r="C56" s="1" t="s">
        <v>3402</v>
      </c>
      <c r="D56" s="1" t="s">
        <v>308</v>
      </c>
      <c r="E56" s="1" t="s">
        <v>32</v>
      </c>
      <c r="F56" s="1" t="s">
        <v>32</v>
      </c>
      <c r="G56" s="1" t="s">
        <v>2</v>
      </c>
      <c r="H56" s="1" t="s">
        <v>584</v>
      </c>
      <c r="I56" s="1" t="s">
        <v>748</v>
      </c>
      <c r="J56" s="1" t="s">
        <v>3942</v>
      </c>
      <c r="K56" s="1" t="s">
        <v>4650</v>
      </c>
      <c r="L56" s="1" t="s">
        <v>575</v>
      </c>
      <c r="M56" s="1" t="s">
        <v>1064</v>
      </c>
    </row>
    <row r="57" spans="1:13" x14ac:dyDescent="0.25">
      <c r="A57" s="1" t="s">
        <v>33</v>
      </c>
      <c r="B57" s="1" t="s">
        <v>583</v>
      </c>
      <c r="C57" s="1" t="s">
        <v>3402</v>
      </c>
      <c r="D57" s="1" t="s">
        <v>314</v>
      </c>
      <c r="E57" s="1" t="s">
        <v>194</v>
      </c>
      <c r="F57" s="1" t="s">
        <v>194</v>
      </c>
      <c r="G57" s="1" t="s">
        <v>194</v>
      </c>
      <c r="H57" s="1" t="s">
        <v>194</v>
      </c>
      <c r="I57" s="1" t="s">
        <v>714</v>
      </c>
      <c r="J57" s="1" t="s">
        <v>3902</v>
      </c>
      <c r="K57" s="1" t="s">
        <v>4650</v>
      </c>
      <c r="L57" s="1" t="s">
        <v>561</v>
      </c>
      <c r="M57" s="1" t="s">
        <v>1064</v>
      </c>
    </row>
    <row r="58" spans="1:13" x14ac:dyDescent="0.25">
      <c r="A58" s="1" t="s">
        <v>2220</v>
      </c>
      <c r="B58" s="1" t="s">
        <v>583</v>
      </c>
      <c r="C58" s="1" t="s">
        <v>3402</v>
      </c>
      <c r="D58" s="1" t="s">
        <v>308</v>
      </c>
      <c r="E58" s="1" t="s">
        <v>2</v>
      </c>
      <c r="F58" s="1" t="s">
        <v>2</v>
      </c>
      <c r="G58" s="1" t="s">
        <v>2</v>
      </c>
      <c r="H58" s="1" t="s">
        <v>583</v>
      </c>
      <c r="I58" s="1" t="s">
        <v>2221</v>
      </c>
      <c r="J58" s="1" t="s">
        <v>3854</v>
      </c>
      <c r="K58" s="1" t="s">
        <v>4660</v>
      </c>
      <c r="L58" s="1" t="s">
        <v>575</v>
      </c>
      <c r="M58" s="1" t="s">
        <v>1064</v>
      </c>
    </row>
    <row r="59" spans="1:13" x14ac:dyDescent="0.25">
      <c r="A59" s="1" t="s">
        <v>37</v>
      </c>
      <c r="B59" s="1" t="s">
        <v>583</v>
      </c>
      <c r="C59" s="1" t="s">
        <v>3402</v>
      </c>
      <c r="D59" s="1" t="s">
        <v>314</v>
      </c>
      <c r="E59" s="1" t="s">
        <v>194</v>
      </c>
      <c r="F59" s="1" t="s">
        <v>194</v>
      </c>
      <c r="G59" s="1" t="s">
        <v>194</v>
      </c>
      <c r="H59" s="1" t="s">
        <v>194</v>
      </c>
      <c r="I59" s="1" t="s">
        <v>715</v>
      </c>
      <c r="J59" s="1" t="s">
        <v>3903</v>
      </c>
      <c r="K59" s="1" t="s">
        <v>4650</v>
      </c>
      <c r="L59" s="1" t="s">
        <v>561</v>
      </c>
      <c r="M59" s="1" t="s">
        <v>1064</v>
      </c>
    </row>
    <row r="60" spans="1:13" x14ac:dyDescent="0.25">
      <c r="A60" s="1" t="s">
        <v>39</v>
      </c>
      <c r="B60" s="1" t="s">
        <v>583</v>
      </c>
      <c r="C60" s="1" t="s">
        <v>3402</v>
      </c>
      <c r="D60" s="1" t="s">
        <v>314</v>
      </c>
      <c r="E60" s="1" t="s">
        <v>194</v>
      </c>
      <c r="F60" s="1" t="s">
        <v>194</v>
      </c>
      <c r="G60" s="1" t="s">
        <v>194</v>
      </c>
      <c r="H60" s="1" t="s">
        <v>194</v>
      </c>
      <c r="I60" s="1" t="s">
        <v>716</v>
      </c>
      <c r="J60" s="1" t="s">
        <v>3904</v>
      </c>
      <c r="K60" s="1" t="s">
        <v>4650</v>
      </c>
      <c r="L60" s="1" t="s">
        <v>561</v>
      </c>
      <c r="M60" s="1" t="s">
        <v>1064</v>
      </c>
    </row>
    <row r="61" spans="1:13" x14ac:dyDescent="0.25">
      <c r="A61" s="1" t="s">
        <v>41</v>
      </c>
      <c r="B61" s="1" t="s">
        <v>583</v>
      </c>
      <c r="C61" s="1" t="s">
        <v>3402</v>
      </c>
      <c r="D61" s="1" t="s">
        <v>314</v>
      </c>
      <c r="E61" s="1" t="s">
        <v>194</v>
      </c>
      <c r="F61" s="1" t="s">
        <v>194</v>
      </c>
      <c r="G61" s="1" t="s">
        <v>194</v>
      </c>
      <c r="H61" s="1" t="s">
        <v>194</v>
      </c>
      <c r="I61" s="1" t="s">
        <v>717</v>
      </c>
      <c r="J61" s="1" t="s">
        <v>3905</v>
      </c>
      <c r="K61" s="1" t="s">
        <v>4650</v>
      </c>
      <c r="L61" s="1" t="s">
        <v>561</v>
      </c>
      <c r="M61" s="1" t="s">
        <v>1064</v>
      </c>
    </row>
    <row r="62" spans="1:13" x14ac:dyDescent="0.25">
      <c r="A62" s="1" t="s">
        <v>2236</v>
      </c>
      <c r="B62" s="1" t="s">
        <v>583</v>
      </c>
      <c r="C62" s="1" t="s">
        <v>3402</v>
      </c>
      <c r="D62" s="1" t="s">
        <v>314</v>
      </c>
      <c r="E62" s="1" t="s">
        <v>194</v>
      </c>
      <c r="F62" s="1" t="s">
        <v>194</v>
      </c>
      <c r="G62" s="1" t="s">
        <v>194</v>
      </c>
      <c r="H62" s="1" t="s">
        <v>194</v>
      </c>
      <c r="I62" s="1" t="s">
        <v>2237</v>
      </c>
      <c r="J62" s="1" t="s">
        <v>3850</v>
      </c>
      <c r="K62" s="1" t="s">
        <v>4665</v>
      </c>
      <c r="L62" s="1"/>
      <c r="M62" s="1" t="s">
        <v>1064</v>
      </c>
    </row>
    <row r="63" spans="1:13" x14ac:dyDescent="0.25">
      <c r="A63" s="1" t="s">
        <v>43</v>
      </c>
      <c r="B63" s="1" t="s">
        <v>583</v>
      </c>
      <c r="C63" s="1" t="s">
        <v>3402</v>
      </c>
      <c r="D63" s="1" t="s">
        <v>314</v>
      </c>
      <c r="E63" s="1" t="s">
        <v>194</v>
      </c>
      <c r="F63" s="1" t="s">
        <v>194</v>
      </c>
      <c r="G63" s="1" t="s">
        <v>194</v>
      </c>
      <c r="H63" s="1" t="s">
        <v>194</v>
      </c>
      <c r="I63" s="1" t="s">
        <v>718</v>
      </c>
      <c r="J63" s="1" t="s">
        <v>3906</v>
      </c>
      <c r="K63" s="1" t="s">
        <v>4650</v>
      </c>
      <c r="L63" s="1" t="s">
        <v>561</v>
      </c>
      <c r="M63" s="1" t="s">
        <v>1064</v>
      </c>
    </row>
    <row r="64" spans="1:13" x14ac:dyDescent="0.25">
      <c r="A64" s="1" t="s">
        <v>45</v>
      </c>
      <c r="B64" s="1" t="s">
        <v>583</v>
      </c>
      <c r="C64" s="1" t="s">
        <v>3402</v>
      </c>
      <c r="D64" s="1" t="s">
        <v>314</v>
      </c>
      <c r="E64" s="1" t="s">
        <v>194</v>
      </c>
      <c r="F64" s="1" t="s">
        <v>194</v>
      </c>
      <c r="G64" s="1" t="s">
        <v>194</v>
      </c>
      <c r="H64" s="1" t="s">
        <v>194</v>
      </c>
      <c r="I64" s="1" t="s">
        <v>719</v>
      </c>
      <c r="J64" s="1" t="s">
        <v>3907</v>
      </c>
      <c r="K64" s="1" t="s">
        <v>4650</v>
      </c>
      <c r="L64" s="1" t="s">
        <v>561</v>
      </c>
      <c r="M64" s="1" t="s">
        <v>1064</v>
      </c>
    </row>
    <row r="65" spans="1:13" x14ac:dyDescent="0.25">
      <c r="A65" s="1" t="s">
        <v>2238</v>
      </c>
      <c r="B65" s="1" t="s">
        <v>583</v>
      </c>
      <c r="C65" s="1" t="s">
        <v>3402</v>
      </c>
      <c r="D65" s="1" t="s">
        <v>314</v>
      </c>
      <c r="E65" s="1" t="s">
        <v>194</v>
      </c>
      <c r="F65" s="1" t="s">
        <v>194</v>
      </c>
      <c r="G65" s="1" t="s">
        <v>194</v>
      </c>
      <c r="H65" s="1" t="s">
        <v>194</v>
      </c>
      <c r="I65" s="1" t="s">
        <v>2239</v>
      </c>
      <c r="J65" s="1" t="s">
        <v>3851</v>
      </c>
      <c r="K65" s="1" t="s">
        <v>4660</v>
      </c>
      <c r="L65" s="1"/>
      <c r="M65" s="1" t="s">
        <v>1064</v>
      </c>
    </row>
    <row r="66" spans="1:13" x14ac:dyDescent="0.25">
      <c r="A66" s="1" t="s">
        <v>47</v>
      </c>
      <c r="B66" s="1" t="s">
        <v>583</v>
      </c>
      <c r="C66" s="1" t="s">
        <v>3402</v>
      </c>
      <c r="D66" s="1" t="s">
        <v>314</v>
      </c>
      <c r="E66" s="1" t="s">
        <v>194</v>
      </c>
      <c r="F66" s="1" t="s">
        <v>194</v>
      </c>
      <c r="G66" s="1" t="s">
        <v>194</v>
      </c>
      <c r="H66" s="1" t="s">
        <v>194</v>
      </c>
      <c r="I66" s="1" t="s">
        <v>720</v>
      </c>
      <c r="J66" s="1" t="s">
        <v>3908</v>
      </c>
      <c r="K66" s="1" t="s">
        <v>4650</v>
      </c>
      <c r="L66" s="1" t="s">
        <v>561</v>
      </c>
      <c r="M66" s="1" t="s">
        <v>1064</v>
      </c>
    </row>
    <row r="67" spans="1:13" x14ac:dyDescent="0.25">
      <c r="A67" s="1" t="s">
        <v>1344</v>
      </c>
      <c r="B67" s="1" t="s">
        <v>586</v>
      </c>
      <c r="C67" s="1" t="s">
        <v>3402</v>
      </c>
      <c r="D67" s="1" t="s">
        <v>308</v>
      </c>
      <c r="E67" s="1" t="s">
        <v>2</v>
      </c>
      <c r="F67" s="1" t="s">
        <v>32</v>
      </c>
      <c r="G67" s="1" t="s">
        <v>32</v>
      </c>
      <c r="H67" s="1" t="s">
        <v>586</v>
      </c>
      <c r="I67" s="1" t="s">
        <v>1347</v>
      </c>
      <c r="J67" s="1" t="s">
        <v>3926</v>
      </c>
      <c r="K67" s="1" t="s">
        <v>4650</v>
      </c>
      <c r="L67" s="1" t="s">
        <v>575</v>
      </c>
      <c r="M67" s="1" t="s">
        <v>1064</v>
      </c>
    </row>
    <row r="68" spans="1:13" x14ac:dyDescent="0.25">
      <c r="A68" s="1" t="s">
        <v>2240</v>
      </c>
      <c r="B68" s="1" t="s">
        <v>583</v>
      </c>
      <c r="C68" s="1" t="s">
        <v>3402</v>
      </c>
      <c r="D68" s="1" t="s">
        <v>314</v>
      </c>
      <c r="E68" s="1" t="s">
        <v>194</v>
      </c>
      <c r="F68" s="1" t="s">
        <v>194</v>
      </c>
      <c r="G68" s="1" t="s">
        <v>194</v>
      </c>
      <c r="H68" s="1" t="s">
        <v>194</v>
      </c>
      <c r="I68" s="1" t="s">
        <v>2241</v>
      </c>
      <c r="J68" s="1" t="s">
        <v>3858</v>
      </c>
      <c r="K68" s="1" t="s">
        <v>4668</v>
      </c>
      <c r="L68" s="1"/>
      <c r="M68" s="1" t="s">
        <v>1064</v>
      </c>
    </row>
    <row r="69" spans="1:13" x14ac:dyDescent="0.25">
      <c r="A69" s="1" t="s">
        <v>109</v>
      </c>
      <c r="B69" s="1" t="s">
        <v>583</v>
      </c>
      <c r="C69" s="1" t="s">
        <v>3402</v>
      </c>
      <c r="D69" s="1" t="s">
        <v>308</v>
      </c>
      <c r="E69" s="1" t="s">
        <v>2</v>
      </c>
      <c r="F69" s="1" t="s">
        <v>32</v>
      </c>
      <c r="G69" s="1" t="s">
        <v>32</v>
      </c>
      <c r="H69" s="1" t="s">
        <v>583</v>
      </c>
      <c r="I69" s="1" t="s">
        <v>753</v>
      </c>
      <c r="J69" s="1" t="s">
        <v>3949</v>
      </c>
      <c r="K69" s="1" t="s">
        <v>4650</v>
      </c>
      <c r="L69" s="1" t="s">
        <v>575</v>
      </c>
      <c r="M69" s="1" t="s">
        <v>1064</v>
      </c>
    </row>
    <row r="70" spans="1:13" x14ac:dyDescent="0.25">
      <c r="A70" s="1" t="s">
        <v>2242</v>
      </c>
      <c r="B70" s="1" t="s">
        <v>583</v>
      </c>
      <c r="C70" s="1" t="s">
        <v>3402</v>
      </c>
      <c r="D70" s="1" t="s">
        <v>314</v>
      </c>
      <c r="E70" s="1" t="s">
        <v>194</v>
      </c>
      <c r="F70" s="1" t="s">
        <v>194</v>
      </c>
      <c r="G70" s="1" t="s">
        <v>194</v>
      </c>
      <c r="H70" s="1" t="s">
        <v>194</v>
      </c>
      <c r="I70" s="1" t="s">
        <v>2243</v>
      </c>
      <c r="J70" s="1" t="s">
        <v>3892</v>
      </c>
      <c r="K70" s="1" t="s">
        <v>4670</v>
      </c>
      <c r="L70" s="1"/>
      <c r="M70" s="1" t="s">
        <v>1064</v>
      </c>
    </row>
    <row r="71" spans="1:13" x14ac:dyDescent="0.25">
      <c r="A71" s="1" t="s">
        <v>124</v>
      </c>
      <c r="B71" s="1" t="s">
        <v>583</v>
      </c>
      <c r="C71" s="1" t="s">
        <v>3402</v>
      </c>
      <c r="D71" s="1" t="s">
        <v>314</v>
      </c>
      <c r="E71" s="1" t="s">
        <v>194</v>
      </c>
      <c r="F71" s="1" t="s">
        <v>194</v>
      </c>
      <c r="G71" s="1" t="s">
        <v>194</v>
      </c>
      <c r="H71" s="1" t="s">
        <v>194</v>
      </c>
      <c r="I71" s="1" t="s">
        <v>760</v>
      </c>
      <c r="J71" s="1" t="s">
        <v>3946</v>
      </c>
      <c r="K71" s="1" t="s">
        <v>4650</v>
      </c>
      <c r="L71" s="1" t="s">
        <v>575</v>
      </c>
      <c r="M71" s="1" t="s">
        <v>1064</v>
      </c>
    </row>
    <row r="72" spans="1:13" x14ac:dyDescent="0.25">
      <c r="A72" s="1" t="s">
        <v>3117</v>
      </c>
      <c r="B72" s="1" t="s">
        <v>583</v>
      </c>
      <c r="C72" s="1" t="s">
        <v>3402</v>
      </c>
      <c r="D72" s="1" t="s">
        <v>308</v>
      </c>
      <c r="E72" s="1" t="s">
        <v>2</v>
      </c>
      <c r="F72" s="1" t="s">
        <v>2</v>
      </c>
      <c r="G72" s="1" t="s">
        <v>2</v>
      </c>
      <c r="H72" s="1" t="s">
        <v>583</v>
      </c>
      <c r="I72" s="1" t="s">
        <v>3118</v>
      </c>
      <c r="J72" s="1" t="s">
        <v>3802</v>
      </c>
      <c r="K72" s="1" t="s">
        <v>4650</v>
      </c>
      <c r="L72" s="1" t="s">
        <v>575</v>
      </c>
      <c r="M72" s="1" t="s">
        <v>1064</v>
      </c>
    </row>
    <row r="73" spans="1:13" x14ac:dyDescent="0.25">
      <c r="A73" s="1" t="s">
        <v>127</v>
      </c>
      <c r="B73" s="1" t="s">
        <v>583</v>
      </c>
      <c r="C73" s="1" t="s">
        <v>3402</v>
      </c>
      <c r="D73" s="1" t="s">
        <v>314</v>
      </c>
      <c r="E73" s="1" t="s">
        <v>194</v>
      </c>
      <c r="F73" s="1" t="s">
        <v>194</v>
      </c>
      <c r="G73" s="1" t="s">
        <v>194</v>
      </c>
      <c r="H73" s="1" t="s">
        <v>194</v>
      </c>
      <c r="I73" s="1" t="s">
        <v>761</v>
      </c>
      <c r="J73" s="1" t="s">
        <v>3947</v>
      </c>
      <c r="K73" s="1" t="s">
        <v>4650</v>
      </c>
      <c r="L73" s="1" t="s">
        <v>575</v>
      </c>
      <c r="M73" s="1" t="s">
        <v>1064</v>
      </c>
    </row>
    <row r="74" spans="1:13" x14ac:dyDescent="0.25">
      <c r="A74" s="1" t="s">
        <v>2244</v>
      </c>
      <c r="B74" s="1" t="s">
        <v>583</v>
      </c>
      <c r="C74" s="1" t="s">
        <v>3402</v>
      </c>
      <c r="D74" s="1" t="s">
        <v>314</v>
      </c>
      <c r="E74" s="1" t="s">
        <v>194</v>
      </c>
      <c r="F74" s="1" t="s">
        <v>194</v>
      </c>
      <c r="G74" s="1" t="s">
        <v>194</v>
      </c>
      <c r="H74" s="1" t="s">
        <v>194</v>
      </c>
      <c r="I74" s="1" t="s">
        <v>2245</v>
      </c>
      <c r="J74" s="1" t="s">
        <v>3897</v>
      </c>
      <c r="K74" s="1" t="s">
        <v>4672</v>
      </c>
      <c r="L74" s="1"/>
      <c r="M74" s="1" t="s">
        <v>1064</v>
      </c>
    </row>
    <row r="75" spans="1:13" x14ac:dyDescent="0.25">
      <c r="A75" s="1" t="s">
        <v>130</v>
      </c>
      <c r="B75" s="1" t="s">
        <v>583</v>
      </c>
      <c r="C75" s="1" t="s">
        <v>3402</v>
      </c>
      <c r="D75" s="1" t="s">
        <v>314</v>
      </c>
      <c r="E75" s="1" t="s">
        <v>194</v>
      </c>
      <c r="F75" s="1" t="s">
        <v>194</v>
      </c>
      <c r="G75" s="1" t="s">
        <v>194</v>
      </c>
      <c r="H75" s="1" t="s">
        <v>194</v>
      </c>
      <c r="I75" s="1" t="s">
        <v>762</v>
      </c>
      <c r="J75" s="1" t="s">
        <v>3948</v>
      </c>
      <c r="K75" s="1" t="s">
        <v>4650</v>
      </c>
      <c r="L75" s="1" t="s">
        <v>575</v>
      </c>
      <c r="M75" s="1" t="s">
        <v>1064</v>
      </c>
    </row>
    <row r="76" spans="1:13" x14ac:dyDescent="0.25">
      <c r="A76" s="1" t="s">
        <v>2246</v>
      </c>
      <c r="B76" s="1" t="s">
        <v>583</v>
      </c>
      <c r="C76" s="1" t="s">
        <v>3402</v>
      </c>
      <c r="D76" s="1" t="s">
        <v>314</v>
      </c>
      <c r="E76" s="1" t="s">
        <v>194</v>
      </c>
      <c r="F76" s="1" t="s">
        <v>194</v>
      </c>
      <c r="G76" s="1" t="s">
        <v>194</v>
      </c>
      <c r="H76" s="1" t="s">
        <v>194</v>
      </c>
      <c r="I76" s="1" t="s">
        <v>2247</v>
      </c>
      <c r="J76" s="1" t="s">
        <v>3910</v>
      </c>
      <c r="K76" s="1" t="s">
        <v>4674</v>
      </c>
      <c r="L76" s="1"/>
      <c r="M76" s="1" t="s">
        <v>1064</v>
      </c>
    </row>
    <row r="77" spans="1:13" x14ac:dyDescent="0.25">
      <c r="A77" s="1" t="s">
        <v>86</v>
      </c>
      <c r="B77" s="1" t="s">
        <v>583</v>
      </c>
      <c r="C77" s="1" t="s">
        <v>3402</v>
      </c>
      <c r="D77" s="1" t="s">
        <v>308</v>
      </c>
      <c r="E77" s="1" t="s">
        <v>322</v>
      </c>
      <c r="F77" s="1" t="s">
        <v>32</v>
      </c>
      <c r="G77" s="1" t="s">
        <v>32</v>
      </c>
      <c r="H77" s="1" t="s">
        <v>583</v>
      </c>
      <c r="I77" s="1" t="s">
        <v>740</v>
      </c>
      <c r="J77" s="1" t="s">
        <v>3931</v>
      </c>
      <c r="K77" s="1" t="s">
        <v>4650</v>
      </c>
      <c r="L77" s="1" t="s">
        <v>575</v>
      </c>
      <c r="M77" s="1" t="s">
        <v>1064</v>
      </c>
    </row>
    <row r="78" spans="1:13" x14ac:dyDescent="0.25">
      <c r="A78" s="1" t="s">
        <v>86</v>
      </c>
      <c r="B78" s="1" t="s">
        <v>584</v>
      </c>
      <c r="C78" s="1" t="s">
        <v>3402</v>
      </c>
      <c r="D78" s="1" t="s">
        <v>2</v>
      </c>
      <c r="E78" s="1" t="s">
        <v>32</v>
      </c>
      <c r="F78" s="1" t="s">
        <v>32</v>
      </c>
      <c r="G78" s="1" t="s">
        <v>585</v>
      </c>
      <c r="H78" s="1" t="s">
        <v>584</v>
      </c>
      <c r="I78" s="1" t="s">
        <v>738</v>
      </c>
      <c r="J78" s="1" t="s">
        <v>3933</v>
      </c>
      <c r="K78" s="1" t="s">
        <v>4650</v>
      </c>
      <c r="L78" s="1" t="s">
        <v>575</v>
      </c>
      <c r="M78" s="1" t="s">
        <v>1064</v>
      </c>
    </row>
    <row r="79" spans="1:13" x14ac:dyDescent="0.25">
      <c r="A79" s="1" t="s">
        <v>86</v>
      </c>
      <c r="B79" s="1" t="s">
        <v>586</v>
      </c>
      <c r="C79" s="1" t="s">
        <v>3402</v>
      </c>
      <c r="D79" s="1" t="s">
        <v>308</v>
      </c>
      <c r="E79" s="1" t="s">
        <v>32</v>
      </c>
      <c r="F79" s="1" t="s">
        <v>2</v>
      </c>
      <c r="G79" s="1" t="s">
        <v>32</v>
      </c>
      <c r="H79" s="1" t="s">
        <v>586</v>
      </c>
      <c r="I79" s="1" t="s">
        <v>739</v>
      </c>
      <c r="J79" s="1" t="s">
        <v>3934</v>
      </c>
      <c r="K79" s="1" t="s">
        <v>4650</v>
      </c>
      <c r="L79" s="1" t="s">
        <v>575</v>
      </c>
      <c r="M79" s="1" t="s">
        <v>1064</v>
      </c>
    </row>
    <row r="80" spans="1:13" x14ac:dyDescent="0.25">
      <c r="A80" s="1" t="s">
        <v>24</v>
      </c>
      <c r="B80" s="1" t="s">
        <v>583</v>
      </c>
      <c r="C80" s="1" t="s">
        <v>3402</v>
      </c>
      <c r="D80" s="1" t="s">
        <v>314</v>
      </c>
      <c r="E80" s="1" t="s">
        <v>194</v>
      </c>
      <c r="F80" s="1" t="s">
        <v>194</v>
      </c>
      <c r="G80" s="1" t="s">
        <v>194</v>
      </c>
      <c r="H80" s="1" t="s">
        <v>194</v>
      </c>
      <c r="I80" s="1" t="s">
        <v>713</v>
      </c>
      <c r="J80" s="1" t="s">
        <v>3901</v>
      </c>
      <c r="K80" s="1" t="s">
        <v>4650</v>
      </c>
      <c r="L80" s="1"/>
      <c r="M80" s="1" t="s">
        <v>1064</v>
      </c>
    </row>
    <row r="81" spans="1:13" x14ac:dyDescent="0.25">
      <c r="A81" s="1" t="s">
        <v>53</v>
      </c>
      <c r="B81" s="1" t="s">
        <v>583</v>
      </c>
      <c r="C81" s="1" t="s">
        <v>3402</v>
      </c>
      <c r="D81" s="1" t="s">
        <v>308</v>
      </c>
      <c r="E81" s="1" t="s">
        <v>2</v>
      </c>
      <c r="F81" s="1" t="s">
        <v>32</v>
      </c>
      <c r="G81" s="1" t="s">
        <v>32</v>
      </c>
      <c r="H81" s="1" t="s">
        <v>583</v>
      </c>
      <c r="I81" s="1" t="s">
        <v>725</v>
      </c>
      <c r="J81" s="1" t="s">
        <v>3924</v>
      </c>
      <c r="K81" s="1" t="s">
        <v>4650</v>
      </c>
      <c r="L81" s="1" t="s">
        <v>575</v>
      </c>
      <c r="M81" s="1" t="s">
        <v>1064</v>
      </c>
    </row>
    <row r="82" spans="1:13" x14ac:dyDescent="0.25">
      <c r="A82" s="1" t="s">
        <v>53</v>
      </c>
      <c r="B82" s="1" t="s">
        <v>586</v>
      </c>
      <c r="C82" s="1" t="s">
        <v>3402</v>
      </c>
      <c r="D82" s="1" t="s">
        <v>308</v>
      </c>
      <c r="E82" s="1" t="s">
        <v>32</v>
      </c>
      <c r="F82" s="1" t="s">
        <v>2</v>
      </c>
      <c r="G82" s="1" t="s">
        <v>2</v>
      </c>
      <c r="H82" s="1" t="s">
        <v>586</v>
      </c>
      <c r="I82" s="1" t="s">
        <v>724</v>
      </c>
      <c r="J82" s="1" t="s">
        <v>3925</v>
      </c>
      <c r="K82" s="1" t="s">
        <v>4650</v>
      </c>
      <c r="L82" s="1" t="s">
        <v>575</v>
      </c>
      <c r="M82" s="1" t="s">
        <v>1064</v>
      </c>
    </row>
    <row r="83" spans="1:13" x14ac:dyDescent="0.25">
      <c r="A83" s="1" t="s">
        <v>3087</v>
      </c>
      <c r="B83" s="1" t="s">
        <v>583</v>
      </c>
      <c r="C83" s="1" t="s">
        <v>3402</v>
      </c>
      <c r="D83" s="1" t="s">
        <v>314</v>
      </c>
      <c r="E83" s="1" t="s">
        <v>194</v>
      </c>
      <c r="F83" s="1" t="s">
        <v>194</v>
      </c>
      <c r="G83" s="1" t="s">
        <v>194</v>
      </c>
      <c r="H83" s="1" t="s">
        <v>194</v>
      </c>
      <c r="I83" s="1" t="s">
        <v>3088</v>
      </c>
      <c r="J83" s="1" t="s">
        <v>3805</v>
      </c>
      <c r="K83" s="1" t="s">
        <v>4650</v>
      </c>
      <c r="L83" s="1" t="s">
        <v>575</v>
      </c>
      <c r="M83" s="1" t="s">
        <v>1064</v>
      </c>
    </row>
    <row r="84" spans="1:13" x14ac:dyDescent="0.25">
      <c r="A84" s="1" t="s">
        <v>138</v>
      </c>
      <c r="B84" s="1" t="s">
        <v>583</v>
      </c>
      <c r="C84" s="1" t="s">
        <v>3402</v>
      </c>
      <c r="D84" s="1" t="s">
        <v>314</v>
      </c>
      <c r="E84" s="1" t="s">
        <v>194</v>
      </c>
      <c r="F84" s="1" t="s">
        <v>194</v>
      </c>
      <c r="G84" s="1" t="s">
        <v>194</v>
      </c>
      <c r="H84" s="1" t="s">
        <v>194</v>
      </c>
      <c r="I84" s="1" t="s">
        <v>766</v>
      </c>
      <c r="J84" s="1" t="s">
        <v>3951</v>
      </c>
      <c r="K84" s="1" t="s">
        <v>4650</v>
      </c>
      <c r="L84" s="1" t="s">
        <v>575</v>
      </c>
      <c r="M84" s="1" t="s">
        <v>1064</v>
      </c>
    </row>
    <row r="85" spans="1:13" x14ac:dyDescent="0.25">
      <c r="A85" s="1" t="s">
        <v>3135</v>
      </c>
      <c r="B85" s="1" t="s">
        <v>583</v>
      </c>
      <c r="C85" s="1" t="s">
        <v>3402</v>
      </c>
      <c r="D85" s="1" t="s">
        <v>314</v>
      </c>
      <c r="E85" s="1" t="s">
        <v>194</v>
      </c>
      <c r="F85" s="1" t="s">
        <v>194</v>
      </c>
      <c r="G85" s="1" t="s">
        <v>194</v>
      </c>
      <c r="H85" s="1" t="s">
        <v>194</v>
      </c>
      <c r="I85" s="1" t="s">
        <v>3136</v>
      </c>
      <c r="J85" s="1" t="s">
        <v>3806</v>
      </c>
      <c r="K85" s="1" t="s">
        <v>4650</v>
      </c>
      <c r="L85" s="1" t="s">
        <v>575</v>
      </c>
      <c r="M85" s="1" t="s">
        <v>1064</v>
      </c>
    </row>
    <row r="86" spans="1:13" x14ac:dyDescent="0.25">
      <c r="A86" s="1" t="s">
        <v>83</v>
      </c>
      <c r="B86" s="1" t="s">
        <v>583</v>
      </c>
      <c r="C86" s="1" t="s">
        <v>3402</v>
      </c>
      <c r="D86" s="1" t="s">
        <v>308</v>
      </c>
      <c r="E86" s="1" t="s">
        <v>317</v>
      </c>
      <c r="F86" s="1" t="s">
        <v>32</v>
      </c>
      <c r="G86" s="1" t="s">
        <v>32</v>
      </c>
      <c r="H86" s="1" t="s">
        <v>583</v>
      </c>
      <c r="I86" s="1" t="s">
        <v>737</v>
      </c>
      <c r="J86" s="1" t="s">
        <v>3930</v>
      </c>
      <c r="K86" s="1" t="s">
        <v>4650</v>
      </c>
      <c r="L86" s="1" t="s">
        <v>575</v>
      </c>
      <c r="M86" s="1" t="s">
        <v>1064</v>
      </c>
    </row>
    <row r="87" spans="1:13" x14ac:dyDescent="0.25">
      <c r="A87" s="1" t="s">
        <v>79</v>
      </c>
      <c r="B87" s="1" t="s">
        <v>583</v>
      </c>
      <c r="C87" s="1" t="s">
        <v>3402</v>
      </c>
      <c r="D87" s="1" t="s">
        <v>308</v>
      </c>
      <c r="E87" s="1" t="s">
        <v>314</v>
      </c>
      <c r="F87" s="1" t="s">
        <v>32</v>
      </c>
      <c r="G87" s="1" t="s">
        <v>32</v>
      </c>
      <c r="H87" s="1" t="s">
        <v>583</v>
      </c>
      <c r="I87" s="1" t="s">
        <v>736</v>
      </c>
      <c r="J87" s="1" t="s">
        <v>3929</v>
      </c>
      <c r="K87" s="1" t="s">
        <v>4650</v>
      </c>
      <c r="L87" s="1" t="s">
        <v>575</v>
      </c>
      <c r="M87" s="1" t="s">
        <v>1064</v>
      </c>
    </row>
    <row r="88" spans="1:13" x14ac:dyDescent="0.25">
      <c r="A88" s="1" t="s">
        <v>3089</v>
      </c>
      <c r="B88" s="1" t="s">
        <v>583</v>
      </c>
      <c r="C88" s="1" t="s">
        <v>3402</v>
      </c>
      <c r="D88" s="1" t="s">
        <v>314</v>
      </c>
      <c r="E88" s="1" t="s">
        <v>194</v>
      </c>
      <c r="F88" s="1" t="s">
        <v>194</v>
      </c>
      <c r="G88" s="1" t="s">
        <v>194</v>
      </c>
      <c r="H88" s="1" t="s">
        <v>194</v>
      </c>
      <c r="I88" s="1" t="s">
        <v>3090</v>
      </c>
      <c r="J88" s="1" t="s">
        <v>3807</v>
      </c>
      <c r="K88" s="1" t="s">
        <v>4650</v>
      </c>
      <c r="L88" s="1" t="s">
        <v>575</v>
      </c>
      <c r="M88" s="1" t="s">
        <v>1064</v>
      </c>
    </row>
    <row r="89" spans="1:13" x14ac:dyDescent="0.25">
      <c r="A89" s="1" t="s">
        <v>116</v>
      </c>
      <c r="B89" s="1" t="s">
        <v>583</v>
      </c>
      <c r="C89" s="1" t="s">
        <v>3402</v>
      </c>
      <c r="D89" s="1" t="s">
        <v>308</v>
      </c>
      <c r="E89" s="1" t="s">
        <v>322</v>
      </c>
      <c r="F89" s="1" t="s">
        <v>32</v>
      </c>
      <c r="G89" s="1" t="s">
        <v>32</v>
      </c>
      <c r="H89" s="1" t="s">
        <v>583</v>
      </c>
      <c r="I89" s="1" t="s">
        <v>755</v>
      </c>
      <c r="J89" s="1" t="s">
        <v>3950</v>
      </c>
      <c r="K89" s="1" t="s">
        <v>4650</v>
      </c>
      <c r="L89" s="1" t="s">
        <v>575</v>
      </c>
      <c r="M89" s="1" t="s">
        <v>1064</v>
      </c>
    </row>
    <row r="90" spans="1:13" x14ac:dyDescent="0.25">
      <c r="A90" s="1" t="s">
        <v>119</v>
      </c>
      <c r="B90" s="1" t="s">
        <v>583</v>
      </c>
      <c r="C90" s="1" t="s">
        <v>3402</v>
      </c>
      <c r="D90" s="1" t="s">
        <v>308</v>
      </c>
      <c r="E90" s="1" t="s">
        <v>308</v>
      </c>
      <c r="F90" s="1" t="s">
        <v>32</v>
      </c>
      <c r="G90" s="1" t="s">
        <v>32</v>
      </c>
      <c r="H90" s="1" t="s">
        <v>583</v>
      </c>
      <c r="I90" s="1" t="s">
        <v>756</v>
      </c>
      <c r="J90" s="1" t="s">
        <v>3953</v>
      </c>
      <c r="K90" s="1" t="s">
        <v>4650</v>
      </c>
      <c r="L90" s="1" t="s">
        <v>575</v>
      </c>
      <c r="M90" s="1" t="s">
        <v>1064</v>
      </c>
    </row>
    <row r="91" spans="1:13" x14ac:dyDescent="0.25">
      <c r="A91" s="1" t="s">
        <v>3091</v>
      </c>
      <c r="B91" s="1" t="s">
        <v>583</v>
      </c>
      <c r="C91" s="1" t="s">
        <v>3402</v>
      </c>
      <c r="D91" s="1" t="s">
        <v>314</v>
      </c>
      <c r="E91" s="1" t="s">
        <v>194</v>
      </c>
      <c r="F91" s="1" t="s">
        <v>194</v>
      </c>
      <c r="G91" s="1" t="s">
        <v>194</v>
      </c>
      <c r="H91" s="1" t="s">
        <v>194</v>
      </c>
      <c r="I91" s="1" t="s">
        <v>3092</v>
      </c>
      <c r="J91" s="1" t="s">
        <v>3808</v>
      </c>
      <c r="K91" s="1" t="s">
        <v>4650</v>
      </c>
      <c r="L91" s="1" t="s">
        <v>575</v>
      </c>
      <c r="M91" s="1" t="s">
        <v>1064</v>
      </c>
    </row>
    <row r="92" spans="1:13" x14ac:dyDescent="0.25">
      <c r="A92" s="1" t="s">
        <v>647</v>
      </c>
      <c r="B92" s="1" t="s">
        <v>583</v>
      </c>
      <c r="C92" s="1" t="s">
        <v>3402</v>
      </c>
      <c r="D92" s="1" t="s">
        <v>314</v>
      </c>
      <c r="E92" s="1" t="s">
        <v>194</v>
      </c>
      <c r="F92" s="1" t="s">
        <v>194</v>
      </c>
      <c r="G92" s="1" t="s">
        <v>194</v>
      </c>
      <c r="H92" s="1" t="s">
        <v>194</v>
      </c>
      <c r="I92" s="1" t="s">
        <v>767</v>
      </c>
      <c r="J92" s="1" t="s">
        <v>3952</v>
      </c>
      <c r="K92" s="1" t="s">
        <v>4650</v>
      </c>
      <c r="L92" s="1" t="s">
        <v>575</v>
      </c>
      <c r="M92" s="1" t="s">
        <v>1064</v>
      </c>
    </row>
    <row r="93" spans="1:13" x14ac:dyDescent="0.25">
      <c r="A93" s="1" t="s">
        <v>56</v>
      </c>
      <c r="B93" s="1" t="s">
        <v>583</v>
      </c>
      <c r="C93" s="1" t="s">
        <v>3402</v>
      </c>
      <c r="D93" s="1" t="s">
        <v>314</v>
      </c>
      <c r="E93" s="1" t="s">
        <v>194</v>
      </c>
      <c r="F93" s="1" t="s">
        <v>194</v>
      </c>
      <c r="G93" s="1" t="s">
        <v>194</v>
      </c>
      <c r="H93" s="1" t="s">
        <v>194</v>
      </c>
      <c r="I93" s="1" t="s">
        <v>726</v>
      </c>
      <c r="J93" s="1" t="s">
        <v>3916</v>
      </c>
      <c r="K93" s="1" t="s">
        <v>4650</v>
      </c>
      <c r="L93" s="1" t="s">
        <v>2798</v>
      </c>
      <c r="M93" s="1" t="s">
        <v>1064</v>
      </c>
    </row>
    <row r="94" spans="1:13" x14ac:dyDescent="0.25">
      <c r="A94" s="1" t="s">
        <v>3403</v>
      </c>
      <c r="B94" s="1" t="s">
        <v>586</v>
      </c>
      <c r="C94" s="1" t="s">
        <v>3402</v>
      </c>
      <c r="D94" s="1" t="s">
        <v>2</v>
      </c>
      <c r="E94" s="1" t="s">
        <v>32</v>
      </c>
      <c r="F94" s="1" t="s">
        <v>3723</v>
      </c>
      <c r="G94" s="1" t="s">
        <v>32</v>
      </c>
      <c r="H94" s="1" t="s">
        <v>586</v>
      </c>
      <c r="I94" s="1" t="s">
        <v>3404</v>
      </c>
      <c r="J94" s="1" t="s">
        <v>3809</v>
      </c>
      <c r="K94" s="1" t="s">
        <v>4650</v>
      </c>
      <c r="L94" s="1" t="s">
        <v>575</v>
      </c>
      <c r="M94" s="1" t="s">
        <v>1064</v>
      </c>
    </row>
    <row r="95" spans="1:13" x14ac:dyDescent="0.25">
      <c r="A95" s="1" t="s">
        <v>58</v>
      </c>
      <c r="B95" s="1" t="s">
        <v>583</v>
      </c>
      <c r="C95" s="1" t="s">
        <v>3402</v>
      </c>
      <c r="D95" s="1" t="s">
        <v>314</v>
      </c>
      <c r="E95" s="1" t="s">
        <v>194</v>
      </c>
      <c r="F95" s="1" t="s">
        <v>194</v>
      </c>
      <c r="G95" s="1" t="s">
        <v>194</v>
      </c>
      <c r="H95" s="1" t="s">
        <v>194</v>
      </c>
      <c r="I95" s="1" t="s">
        <v>727</v>
      </c>
      <c r="J95" s="1" t="s">
        <v>3917</v>
      </c>
      <c r="K95" s="1" t="s">
        <v>4650</v>
      </c>
      <c r="L95" s="1" t="s">
        <v>575</v>
      </c>
      <c r="M95" s="1" t="s">
        <v>1064</v>
      </c>
    </row>
    <row r="96" spans="1:13" x14ac:dyDescent="0.25">
      <c r="A96" s="1" t="s">
        <v>2200</v>
      </c>
      <c r="B96" s="1" t="s">
        <v>583</v>
      </c>
      <c r="C96" s="1" t="s">
        <v>3402</v>
      </c>
      <c r="D96" s="1" t="s">
        <v>308</v>
      </c>
      <c r="E96" s="1" t="s">
        <v>317</v>
      </c>
      <c r="F96" s="1" t="s">
        <v>317</v>
      </c>
      <c r="G96" s="1" t="s">
        <v>32</v>
      </c>
      <c r="H96" s="1" t="s">
        <v>583</v>
      </c>
      <c r="I96" s="1" t="s">
        <v>2201</v>
      </c>
      <c r="J96" s="1" t="s">
        <v>3810</v>
      </c>
      <c r="K96" s="1" t="s">
        <v>4650</v>
      </c>
      <c r="L96" s="1" t="s">
        <v>3543</v>
      </c>
      <c r="M96" s="1" t="s">
        <v>1064</v>
      </c>
    </row>
    <row r="97" spans="1:13" x14ac:dyDescent="0.25">
      <c r="A97" s="1" t="s">
        <v>2200</v>
      </c>
      <c r="B97" s="1" t="s">
        <v>586</v>
      </c>
      <c r="C97" s="1" t="s">
        <v>3402</v>
      </c>
      <c r="D97" s="1" t="s">
        <v>308</v>
      </c>
      <c r="E97" s="1" t="s">
        <v>32</v>
      </c>
      <c r="F97" s="1" t="s">
        <v>32</v>
      </c>
      <c r="G97" s="1" t="s">
        <v>317</v>
      </c>
      <c r="H97" s="1" t="s">
        <v>586</v>
      </c>
      <c r="I97" s="1" t="s">
        <v>2213</v>
      </c>
      <c r="J97" s="1" t="s">
        <v>3813</v>
      </c>
      <c r="K97" s="1" t="s">
        <v>4650</v>
      </c>
      <c r="L97" s="1" t="s">
        <v>3543</v>
      </c>
      <c r="M97" s="1" t="s">
        <v>1064</v>
      </c>
    </row>
    <row r="98" spans="1:13" x14ac:dyDescent="0.25">
      <c r="A98" s="1" t="s">
        <v>60</v>
      </c>
      <c r="B98" s="1" t="s">
        <v>583</v>
      </c>
      <c r="C98" s="1" t="s">
        <v>3402</v>
      </c>
      <c r="D98" s="1" t="s">
        <v>314</v>
      </c>
      <c r="E98" s="1" t="s">
        <v>194</v>
      </c>
      <c r="F98" s="1" t="s">
        <v>194</v>
      </c>
      <c r="G98" s="1" t="s">
        <v>194</v>
      </c>
      <c r="H98" s="1" t="s">
        <v>194</v>
      </c>
      <c r="I98" s="1" t="s">
        <v>728</v>
      </c>
      <c r="J98" s="1" t="s">
        <v>3918</v>
      </c>
      <c r="K98" s="1" t="s">
        <v>4650</v>
      </c>
      <c r="L98" s="1" t="s">
        <v>575</v>
      </c>
      <c r="M98" s="1" t="s">
        <v>1064</v>
      </c>
    </row>
    <row r="99" spans="1:13" x14ac:dyDescent="0.25">
      <c r="A99" s="1" t="s">
        <v>3131</v>
      </c>
      <c r="B99" s="1" t="s">
        <v>583</v>
      </c>
      <c r="C99" s="1" t="s">
        <v>3402</v>
      </c>
      <c r="D99" s="1" t="s">
        <v>314</v>
      </c>
      <c r="E99" s="1" t="s">
        <v>194</v>
      </c>
      <c r="F99" s="1" t="s">
        <v>194</v>
      </c>
      <c r="G99" s="1" t="s">
        <v>194</v>
      </c>
      <c r="H99" s="1" t="s">
        <v>194</v>
      </c>
      <c r="I99" s="1" t="s">
        <v>3132</v>
      </c>
      <c r="J99" s="1" t="s">
        <v>3811</v>
      </c>
      <c r="K99" s="1" t="s">
        <v>4650</v>
      </c>
      <c r="L99" s="1" t="s">
        <v>575</v>
      </c>
      <c r="M99" s="1" t="s">
        <v>1064</v>
      </c>
    </row>
    <row r="100" spans="1:13" x14ac:dyDescent="0.25">
      <c r="A100" s="1" t="s">
        <v>63</v>
      </c>
      <c r="B100" s="1" t="s">
        <v>583</v>
      </c>
      <c r="C100" s="1" t="s">
        <v>3402</v>
      </c>
      <c r="D100" s="1" t="s">
        <v>314</v>
      </c>
      <c r="E100" s="1" t="s">
        <v>194</v>
      </c>
      <c r="F100" s="1" t="s">
        <v>194</v>
      </c>
      <c r="G100" s="1" t="s">
        <v>194</v>
      </c>
      <c r="H100" s="1" t="s">
        <v>194</v>
      </c>
      <c r="I100" s="1" t="s">
        <v>729</v>
      </c>
      <c r="J100" s="1" t="s">
        <v>3919</v>
      </c>
      <c r="K100" s="1" t="s">
        <v>4650</v>
      </c>
      <c r="L100" s="1" t="s">
        <v>575</v>
      </c>
      <c r="M100" s="1" t="s">
        <v>1064</v>
      </c>
    </row>
    <row r="101" spans="1:13" x14ac:dyDescent="0.25">
      <c r="A101" s="1" t="s">
        <v>65</v>
      </c>
      <c r="B101" s="1" t="s">
        <v>583</v>
      </c>
      <c r="C101" s="1" t="s">
        <v>3402</v>
      </c>
      <c r="D101" s="1" t="s">
        <v>314</v>
      </c>
      <c r="E101" s="1" t="s">
        <v>194</v>
      </c>
      <c r="F101" s="1" t="s">
        <v>194</v>
      </c>
      <c r="G101" s="1" t="s">
        <v>194</v>
      </c>
      <c r="H101" s="1" t="s">
        <v>194</v>
      </c>
      <c r="I101" s="1" t="s">
        <v>730</v>
      </c>
      <c r="J101" s="1" t="s">
        <v>3920</v>
      </c>
      <c r="K101" s="1" t="s">
        <v>4650</v>
      </c>
      <c r="L101" s="1" t="s">
        <v>575</v>
      </c>
      <c r="M101" s="1" t="s">
        <v>1064</v>
      </c>
    </row>
    <row r="102" spans="1:13" x14ac:dyDescent="0.25">
      <c r="A102" s="1" t="s">
        <v>3133</v>
      </c>
      <c r="B102" s="1" t="s">
        <v>583</v>
      </c>
      <c r="C102" s="1" t="s">
        <v>3402</v>
      </c>
      <c r="D102" s="1" t="s">
        <v>314</v>
      </c>
      <c r="E102" s="1" t="s">
        <v>194</v>
      </c>
      <c r="F102" s="1" t="s">
        <v>194</v>
      </c>
      <c r="G102" s="1" t="s">
        <v>194</v>
      </c>
      <c r="H102" s="1" t="s">
        <v>194</v>
      </c>
      <c r="I102" s="1" t="s">
        <v>3134</v>
      </c>
      <c r="J102" s="1" t="s">
        <v>3812</v>
      </c>
      <c r="K102" s="1" t="s">
        <v>4650</v>
      </c>
      <c r="L102" s="1" t="s">
        <v>575</v>
      </c>
      <c r="M102" s="1" t="s">
        <v>1064</v>
      </c>
    </row>
    <row r="103" spans="1:13" x14ac:dyDescent="0.25">
      <c r="A103" s="1" t="s">
        <v>67</v>
      </c>
      <c r="B103" s="1" t="s">
        <v>583</v>
      </c>
      <c r="C103" s="1" t="s">
        <v>3402</v>
      </c>
      <c r="D103" s="1" t="s">
        <v>314</v>
      </c>
      <c r="E103" s="1" t="s">
        <v>194</v>
      </c>
      <c r="F103" s="1" t="s">
        <v>194</v>
      </c>
      <c r="G103" s="1" t="s">
        <v>194</v>
      </c>
      <c r="H103" s="1" t="s">
        <v>194</v>
      </c>
      <c r="I103" s="1" t="s">
        <v>731</v>
      </c>
      <c r="J103" s="1" t="s">
        <v>3921</v>
      </c>
      <c r="K103" s="1" t="s">
        <v>4650</v>
      </c>
      <c r="L103" s="1" t="s">
        <v>575</v>
      </c>
      <c r="M103" s="1" t="s">
        <v>1064</v>
      </c>
    </row>
    <row r="104" spans="1:13" x14ac:dyDescent="0.25">
      <c r="A104" s="1" t="s">
        <v>69</v>
      </c>
      <c r="B104" s="1" t="s">
        <v>583</v>
      </c>
      <c r="C104" s="1" t="s">
        <v>3402</v>
      </c>
      <c r="D104" s="1" t="s">
        <v>314</v>
      </c>
      <c r="E104" s="1" t="s">
        <v>194</v>
      </c>
      <c r="F104" s="1" t="s">
        <v>194</v>
      </c>
      <c r="G104" s="1" t="s">
        <v>194</v>
      </c>
      <c r="H104" s="1" t="s">
        <v>194</v>
      </c>
      <c r="I104" s="1" t="s">
        <v>732</v>
      </c>
      <c r="J104" s="1" t="s">
        <v>3922</v>
      </c>
      <c r="K104" s="1" t="s">
        <v>4650</v>
      </c>
      <c r="L104" s="1" t="s">
        <v>575</v>
      </c>
      <c r="M104" s="1" t="s">
        <v>1064</v>
      </c>
    </row>
    <row r="105" spans="1:13" x14ac:dyDescent="0.25">
      <c r="A105" s="1" t="s">
        <v>2228</v>
      </c>
      <c r="B105" s="1" t="s">
        <v>583</v>
      </c>
      <c r="C105" s="1" t="s">
        <v>3402</v>
      </c>
      <c r="D105" s="1" t="s">
        <v>308</v>
      </c>
      <c r="E105" s="1" t="s">
        <v>317</v>
      </c>
      <c r="F105" s="1" t="s">
        <v>32</v>
      </c>
      <c r="G105" s="1" t="s">
        <v>32</v>
      </c>
      <c r="H105" s="1" t="s">
        <v>583</v>
      </c>
      <c r="I105" s="1" t="s">
        <v>2231</v>
      </c>
      <c r="J105" s="1" t="s">
        <v>3814</v>
      </c>
      <c r="K105" s="1" t="s">
        <v>4650</v>
      </c>
      <c r="L105" s="1" t="s">
        <v>575</v>
      </c>
      <c r="M105" s="1" t="s">
        <v>1064</v>
      </c>
    </row>
    <row r="106" spans="1:13" x14ac:dyDescent="0.25">
      <c r="A106" s="1" t="s">
        <v>2228</v>
      </c>
      <c r="B106" s="1" t="s">
        <v>584</v>
      </c>
      <c r="C106" s="1" t="s">
        <v>3402</v>
      </c>
      <c r="D106" s="1" t="s">
        <v>2</v>
      </c>
      <c r="E106" s="1" t="s">
        <v>32</v>
      </c>
      <c r="F106" s="1" t="s">
        <v>32</v>
      </c>
      <c r="G106" s="1" t="s">
        <v>585</v>
      </c>
      <c r="H106" s="1" t="s">
        <v>584</v>
      </c>
      <c r="I106" s="1" t="s">
        <v>2229</v>
      </c>
      <c r="J106" s="1" t="s">
        <v>3815</v>
      </c>
      <c r="K106" s="1" t="s">
        <v>4650</v>
      </c>
      <c r="L106" s="1" t="s">
        <v>575</v>
      </c>
      <c r="M106" s="1" t="s">
        <v>1064</v>
      </c>
    </row>
    <row r="107" spans="1:13" x14ac:dyDescent="0.25">
      <c r="A107" s="1" t="s">
        <v>2228</v>
      </c>
      <c r="B107" s="1" t="s">
        <v>586</v>
      </c>
      <c r="C107" s="1" t="s">
        <v>3402</v>
      </c>
      <c r="D107" s="1" t="s">
        <v>308</v>
      </c>
      <c r="E107" s="1" t="s">
        <v>32</v>
      </c>
      <c r="F107" s="1" t="s">
        <v>314</v>
      </c>
      <c r="G107" s="1" t="s">
        <v>32</v>
      </c>
      <c r="H107" s="1" t="s">
        <v>586</v>
      </c>
      <c r="I107" s="1" t="s">
        <v>2230</v>
      </c>
      <c r="J107" s="1" t="s">
        <v>3816</v>
      </c>
      <c r="K107" s="1" t="s">
        <v>4650</v>
      </c>
      <c r="L107" s="1" t="s">
        <v>575</v>
      </c>
      <c r="M107" s="1" t="s">
        <v>1064</v>
      </c>
    </row>
    <row r="108" spans="1:13" x14ac:dyDescent="0.25">
      <c r="A108" s="1" t="s">
        <v>114</v>
      </c>
      <c r="B108" s="1" t="s">
        <v>583</v>
      </c>
      <c r="C108" s="1" t="s">
        <v>3402</v>
      </c>
      <c r="D108" s="1" t="s">
        <v>314</v>
      </c>
      <c r="E108" s="1" t="s">
        <v>194</v>
      </c>
      <c r="F108" s="1" t="s">
        <v>194</v>
      </c>
      <c r="G108" s="1" t="s">
        <v>194</v>
      </c>
      <c r="H108" s="1" t="s">
        <v>194</v>
      </c>
      <c r="I108" s="1" t="s">
        <v>754</v>
      </c>
      <c r="J108" s="1" t="s">
        <v>3915</v>
      </c>
      <c r="K108" s="1" t="s">
        <v>643</v>
      </c>
      <c r="L108" s="1"/>
      <c r="M108" s="1" t="s">
        <v>1064</v>
      </c>
    </row>
    <row r="109" spans="1:13" x14ac:dyDescent="0.25">
      <c r="A109" s="1" t="s">
        <v>3119</v>
      </c>
      <c r="B109" s="1" t="s">
        <v>583</v>
      </c>
      <c r="C109" s="1" t="s">
        <v>3402</v>
      </c>
      <c r="D109" s="1" t="s">
        <v>308</v>
      </c>
      <c r="E109" s="1" t="s">
        <v>36</v>
      </c>
      <c r="F109" s="1" t="s">
        <v>32</v>
      </c>
      <c r="G109" s="1" t="s">
        <v>32</v>
      </c>
      <c r="H109" s="1" t="s">
        <v>583</v>
      </c>
      <c r="I109" s="1" t="s">
        <v>3120</v>
      </c>
      <c r="J109" s="1" t="s">
        <v>3817</v>
      </c>
      <c r="K109" s="1" t="s">
        <v>4650</v>
      </c>
      <c r="L109" s="1" t="s">
        <v>575</v>
      </c>
      <c r="M109" s="1" t="s">
        <v>1064</v>
      </c>
    </row>
    <row r="110" spans="1:13" x14ac:dyDescent="0.25">
      <c r="A110" s="1" t="s">
        <v>3121</v>
      </c>
      <c r="B110" s="1" t="s">
        <v>583</v>
      </c>
      <c r="C110" s="1" t="s">
        <v>3402</v>
      </c>
      <c r="D110" s="1" t="s">
        <v>308</v>
      </c>
      <c r="E110" s="1" t="s">
        <v>36</v>
      </c>
      <c r="F110" s="1" t="s">
        <v>32</v>
      </c>
      <c r="G110" s="1" t="s">
        <v>32</v>
      </c>
      <c r="H110" s="1" t="s">
        <v>583</v>
      </c>
      <c r="I110" s="1" t="s">
        <v>3122</v>
      </c>
      <c r="J110" s="1" t="s">
        <v>3818</v>
      </c>
      <c r="K110" s="1" t="s">
        <v>4650</v>
      </c>
      <c r="L110" s="1" t="s">
        <v>575</v>
      </c>
      <c r="M110" s="1" t="s">
        <v>1064</v>
      </c>
    </row>
    <row r="111" spans="1:13" x14ac:dyDescent="0.25">
      <c r="A111" s="1" t="s">
        <v>3123</v>
      </c>
      <c r="B111" s="1" t="s">
        <v>583</v>
      </c>
      <c r="C111" s="1" t="s">
        <v>3402</v>
      </c>
      <c r="D111" s="1" t="s">
        <v>308</v>
      </c>
      <c r="E111" s="1" t="s">
        <v>317</v>
      </c>
      <c r="F111" s="1" t="s">
        <v>32</v>
      </c>
      <c r="G111" s="1" t="s">
        <v>32</v>
      </c>
      <c r="H111" s="1" t="s">
        <v>583</v>
      </c>
      <c r="I111" s="1" t="s">
        <v>3124</v>
      </c>
      <c r="J111" s="1" t="s">
        <v>3819</v>
      </c>
      <c r="K111" s="1" t="s">
        <v>4650</v>
      </c>
      <c r="L111" s="1" t="s">
        <v>575</v>
      </c>
      <c r="M111" s="1" t="s">
        <v>1064</v>
      </c>
    </row>
    <row r="112" spans="1:13" x14ac:dyDescent="0.25">
      <c r="A112" s="1" t="s">
        <v>2210</v>
      </c>
      <c r="B112" s="1" t="s">
        <v>583</v>
      </c>
      <c r="C112" s="1" t="s">
        <v>3402</v>
      </c>
      <c r="D112" s="1" t="s">
        <v>308</v>
      </c>
      <c r="E112" s="1" t="s">
        <v>317</v>
      </c>
      <c r="F112" s="1" t="s">
        <v>317</v>
      </c>
      <c r="G112" s="1" t="s">
        <v>32</v>
      </c>
      <c r="H112" s="1" t="s">
        <v>583</v>
      </c>
      <c r="I112" s="1" t="s">
        <v>2212</v>
      </c>
      <c r="J112" s="1" t="s">
        <v>3820</v>
      </c>
      <c r="K112" s="1" t="s">
        <v>4650</v>
      </c>
      <c r="L112" s="1" t="s">
        <v>575</v>
      </c>
      <c r="M112" s="1" t="s">
        <v>1064</v>
      </c>
    </row>
    <row r="113" spans="1:13" x14ac:dyDescent="0.25">
      <c r="A113" s="1" t="s">
        <v>2210</v>
      </c>
      <c r="B113" s="1" t="s">
        <v>586</v>
      </c>
      <c r="C113" s="1" t="s">
        <v>3402</v>
      </c>
      <c r="D113" s="1" t="s">
        <v>2</v>
      </c>
      <c r="E113" s="1" t="s">
        <v>32</v>
      </c>
      <c r="F113" s="1" t="s">
        <v>32</v>
      </c>
      <c r="G113" s="1" t="s">
        <v>585</v>
      </c>
      <c r="H113" s="1" t="s">
        <v>586</v>
      </c>
      <c r="I113" s="1" t="s">
        <v>2211</v>
      </c>
      <c r="J113" s="1" t="s">
        <v>3821</v>
      </c>
      <c r="K113" s="1" t="s">
        <v>4650</v>
      </c>
      <c r="L113" s="1" t="s">
        <v>575</v>
      </c>
      <c r="M113" s="1" t="s">
        <v>1064</v>
      </c>
    </row>
    <row r="114" spans="1:13" x14ac:dyDescent="0.25">
      <c r="A114" s="1" t="s">
        <v>2185</v>
      </c>
      <c r="B114" s="1" t="s">
        <v>583</v>
      </c>
      <c r="C114" s="1" t="s">
        <v>3402</v>
      </c>
      <c r="D114" s="1" t="s">
        <v>308</v>
      </c>
      <c r="E114" s="1" t="s">
        <v>317</v>
      </c>
      <c r="F114" s="1" t="s">
        <v>36</v>
      </c>
      <c r="G114" s="1" t="s">
        <v>32</v>
      </c>
      <c r="H114" s="1" t="s">
        <v>583</v>
      </c>
      <c r="I114" s="1" t="s">
        <v>2187</v>
      </c>
      <c r="J114" s="1" t="s">
        <v>3822</v>
      </c>
      <c r="K114" s="1" t="s">
        <v>4650</v>
      </c>
      <c r="L114" s="1" t="s">
        <v>575</v>
      </c>
      <c r="M114" s="1" t="s">
        <v>1064</v>
      </c>
    </row>
    <row r="115" spans="1:13" x14ac:dyDescent="0.25">
      <c r="A115" s="1" t="s">
        <v>2185</v>
      </c>
      <c r="B115" s="1" t="s">
        <v>584</v>
      </c>
      <c r="C115" s="1" t="s">
        <v>3402</v>
      </c>
      <c r="D115" s="1" t="s">
        <v>308</v>
      </c>
      <c r="E115" s="1" t="s">
        <v>32</v>
      </c>
      <c r="F115" s="1" t="s">
        <v>32</v>
      </c>
      <c r="G115" s="1" t="s">
        <v>2</v>
      </c>
      <c r="H115" s="1" t="s">
        <v>584</v>
      </c>
      <c r="I115" s="1" t="s">
        <v>2186</v>
      </c>
      <c r="J115" s="1" t="s">
        <v>3823</v>
      </c>
      <c r="K115" s="1" t="s">
        <v>4650</v>
      </c>
      <c r="L115" s="1" t="s">
        <v>575</v>
      </c>
      <c r="M115" s="1" t="s">
        <v>1064</v>
      </c>
    </row>
    <row r="116" spans="1:13" x14ac:dyDescent="0.25">
      <c r="A116" s="1" t="s">
        <v>74</v>
      </c>
      <c r="B116" s="1" t="s">
        <v>583</v>
      </c>
      <c r="C116" s="1" t="s">
        <v>3402</v>
      </c>
      <c r="D116" s="1" t="s">
        <v>308</v>
      </c>
      <c r="E116" s="1" t="s">
        <v>314</v>
      </c>
      <c r="F116" s="1" t="s">
        <v>32</v>
      </c>
      <c r="G116" s="1" t="s">
        <v>32</v>
      </c>
      <c r="H116" s="1" t="s">
        <v>583</v>
      </c>
      <c r="I116" s="1" t="s">
        <v>734</v>
      </c>
      <c r="J116" s="1" t="s">
        <v>3927</v>
      </c>
      <c r="K116" s="1" t="s">
        <v>4663</v>
      </c>
      <c r="L116" s="1" t="s">
        <v>575</v>
      </c>
      <c r="M116" s="1" t="s">
        <v>1064</v>
      </c>
    </row>
    <row r="117" spans="1:13" x14ac:dyDescent="0.25">
      <c r="A117" s="1" t="s">
        <v>74</v>
      </c>
      <c r="B117" s="1" t="s">
        <v>586</v>
      </c>
      <c r="C117" s="1" t="s">
        <v>3402</v>
      </c>
      <c r="D117" s="1" t="s">
        <v>308</v>
      </c>
      <c r="E117" s="1" t="s">
        <v>32</v>
      </c>
      <c r="F117" s="1" t="s">
        <v>314</v>
      </c>
      <c r="G117" s="1" t="s">
        <v>32</v>
      </c>
      <c r="H117" s="1" t="s">
        <v>586</v>
      </c>
      <c r="I117" s="1" t="s">
        <v>735</v>
      </c>
      <c r="J117" s="1" t="s">
        <v>3928</v>
      </c>
      <c r="K117" s="1" t="s">
        <v>4663</v>
      </c>
      <c r="L117" s="1" t="s">
        <v>575</v>
      </c>
      <c r="M117" s="1" t="s">
        <v>1064</v>
      </c>
    </row>
    <row r="118" spans="1:13" x14ac:dyDescent="0.25">
      <c r="A118" s="1" t="s">
        <v>3093</v>
      </c>
      <c r="B118" s="1" t="s">
        <v>583</v>
      </c>
      <c r="C118" s="1" t="s">
        <v>3402</v>
      </c>
      <c r="D118" s="1" t="s">
        <v>314</v>
      </c>
      <c r="E118" s="1" t="s">
        <v>194</v>
      </c>
      <c r="F118" s="1" t="s">
        <v>194</v>
      </c>
      <c r="G118" s="1" t="s">
        <v>194</v>
      </c>
      <c r="H118" s="1" t="s">
        <v>194</v>
      </c>
      <c r="I118" s="1" t="s">
        <v>3094</v>
      </c>
      <c r="J118" s="1" t="s">
        <v>3827</v>
      </c>
      <c r="K118" s="1" t="s">
        <v>4663</v>
      </c>
      <c r="L118" s="1" t="s">
        <v>575</v>
      </c>
      <c r="M118" s="1" t="s">
        <v>1064</v>
      </c>
    </row>
    <row r="119" spans="1:13" x14ac:dyDescent="0.25">
      <c r="A119" s="1" t="s">
        <v>3141</v>
      </c>
      <c r="B119" s="1" t="s">
        <v>583</v>
      </c>
      <c r="C119" s="1" t="s">
        <v>3402</v>
      </c>
      <c r="D119" s="1" t="s">
        <v>314</v>
      </c>
      <c r="E119" s="1" t="s">
        <v>194</v>
      </c>
      <c r="F119" s="1" t="s">
        <v>194</v>
      </c>
      <c r="G119" s="1" t="s">
        <v>194</v>
      </c>
      <c r="H119" s="1" t="s">
        <v>194</v>
      </c>
      <c r="I119" s="1" t="s">
        <v>3142</v>
      </c>
      <c r="J119" s="1" t="s">
        <v>3828</v>
      </c>
      <c r="K119" s="1" t="s">
        <v>4663</v>
      </c>
      <c r="L119" s="1" t="s">
        <v>575</v>
      </c>
      <c r="M119" s="1" t="s">
        <v>1064</v>
      </c>
    </row>
    <row r="120" spans="1:13" x14ac:dyDescent="0.25">
      <c r="A120" s="1" t="s">
        <v>3095</v>
      </c>
      <c r="B120" s="1" t="s">
        <v>583</v>
      </c>
      <c r="C120" s="1" t="s">
        <v>3402</v>
      </c>
      <c r="D120" s="1" t="s">
        <v>314</v>
      </c>
      <c r="E120" s="1" t="s">
        <v>194</v>
      </c>
      <c r="F120" s="1" t="s">
        <v>194</v>
      </c>
      <c r="G120" s="1" t="s">
        <v>194</v>
      </c>
      <c r="H120" s="1" t="s">
        <v>194</v>
      </c>
      <c r="I120" s="1" t="s">
        <v>3096</v>
      </c>
      <c r="J120" s="1" t="s">
        <v>3829</v>
      </c>
      <c r="K120" s="1" t="s">
        <v>4663</v>
      </c>
      <c r="L120" s="1" t="s">
        <v>575</v>
      </c>
      <c r="M120" s="1" t="s">
        <v>1064</v>
      </c>
    </row>
    <row r="121" spans="1:13" x14ac:dyDescent="0.25">
      <c r="A121" s="1" t="s">
        <v>3097</v>
      </c>
      <c r="B121" s="1" t="s">
        <v>583</v>
      </c>
      <c r="C121" s="1" t="s">
        <v>3402</v>
      </c>
      <c r="D121" s="1" t="s">
        <v>314</v>
      </c>
      <c r="E121" s="1" t="s">
        <v>194</v>
      </c>
      <c r="F121" s="1" t="s">
        <v>194</v>
      </c>
      <c r="G121" s="1" t="s">
        <v>194</v>
      </c>
      <c r="H121" s="1" t="s">
        <v>194</v>
      </c>
      <c r="I121" s="1" t="s">
        <v>3098</v>
      </c>
      <c r="J121" s="1" t="s">
        <v>3830</v>
      </c>
      <c r="K121" s="1" t="s">
        <v>4663</v>
      </c>
      <c r="L121" s="1" t="s">
        <v>575</v>
      </c>
      <c r="M121" s="1" t="s">
        <v>1064</v>
      </c>
    </row>
    <row r="122" spans="1:13" x14ac:dyDescent="0.25">
      <c r="A122" s="1" t="s">
        <v>2214</v>
      </c>
      <c r="B122" s="1" t="s">
        <v>583</v>
      </c>
      <c r="C122" s="1" t="s">
        <v>3402</v>
      </c>
      <c r="D122" s="1" t="s">
        <v>308</v>
      </c>
      <c r="E122" s="1" t="s">
        <v>2</v>
      </c>
      <c r="F122" s="1" t="s">
        <v>2</v>
      </c>
      <c r="G122" s="1" t="s">
        <v>2</v>
      </c>
      <c r="H122" s="1" t="s">
        <v>583</v>
      </c>
      <c r="I122" s="1" t="s">
        <v>2215</v>
      </c>
      <c r="J122" s="1" t="s">
        <v>3831</v>
      </c>
      <c r="K122" s="1" t="s">
        <v>4650</v>
      </c>
      <c r="L122" s="1" t="s">
        <v>575</v>
      </c>
      <c r="M122" s="1" t="s">
        <v>1064</v>
      </c>
    </row>
    <row r="123" spans="1:13" x14ac:dyDescent="0.25">
      <c r="A123" s="1" t="s">
        <v>2198</v>
      </c>
      <c r="B123" s="1" t="s">
        <v>583</v>
      </c>
      <c r="C123" s="1" t="s">
        <v>3402</v>
      </c>
      <c r="D123" s="1" t="s">
        <v>308</v>
      </c>
      <c r="E123" s="1" t="s">
        <v>317</v>
      </c>
      <c r="F123" s="1" t="s">
        <v>317</v>
      </c>
      <c r="G123" s="1" t="s">
        <v>317</v>
      </c>
      <c r="H123" s="1" t="s">
        <v>583</v>
      </c>
      <c r="I123" s="1" t="s">
        <v>2199</v>
      </c>
      <c r="J123" s="1" t="s">
        <v>3832</v>
      </c>
      <c r="K123" s="1" t="s">
        <v>4650</v>
      </c>
      <c r="L123" s="1" t="s">
        <v>575</v>
      </c>
      <c r="M123" s="1" t="s">
        <v>1064</v>
      </c>
    </row>
    <row r="124" spans="1:13" x14ac:dyDescent="0.25">
      <c r="A124" s="1" t="s">
        <v>3102</v>
      </c>
      <c r="B124" s="1" t="s">
        <v>583</v>
      </c>
      <c r="C124" s="1" t="s">
        <v>3402</v>
      </c>
      <c r="D124" s="1" t="s">
        <v>308</v>
      </c>
      <c r="E124" s="1" t="s">
        <v>314</v>
      </c>
      <c r="F124" s="1" t="s">
        <v>32</v>
      </c>
      <c r="G124" s="1" t="s">
        <v>32</v>
      </c>
      <c r="H124" s="1" t="s">
        <v>583</v>
      </c>
      <c r="I124" s="1" t="s">
        <v>3103</v>
      </c>
      <c r="J124" s="1" t="s">
        <v>3833</v>
      </c>
      <c r="K124" s="1" t="s">
        <v>4663</v>
      </c>
      <c r="L124" s="1" t="s">
        <v>575</v>
      </c>
      <c r="M124" s="1" t="s">
        <v>1064</v>
      </c>
    </row>
    <row r="125" spans="1:13" x14ac:dyDescent="0.25">
      <c r="A125" s="1" t="s">
        <v>3102</v>
      </c>
      <c r="B125" s="1" t="s">
        <v>586</v>
      </c>
      <c r="C125" s="1" t="s">
        <v>3402</v>
      </c>
      <c r="D125" s="1" t="s">
        <v>308</v>
      </c>
      <c r="E125" s="1" t="s">
        <v>32</v>
      </c>
      <c r="F125" s="1" t="s">
        <v>2</v>
      </c>
      <c r="G125" s="1" t="s">
        <v>308</v>
      </c>
      <c r="H125" s="1" t="s">
        <v>586</v>
      </c>
      <c r="I125" s="1" t="s">
        <v>3104</v>
      </c>
      <c r="J125" s="1" t="s">
        <v>3834</v>
      </c>
      <c r="K125" s="1" t="s">
        <v>4663</v>
      </c>
      <c r="L125" s="1" t="s">
        <v>575</v>
      </c>
      <c r="M125" s="1" t="s">
        <v>1064</v>
      </c>
    </row>
    <row r="126" spans="1:13" x14ac:dyDescent="0.25">
      <c r="A126" s="1" t="s">
        <v>3099</v>
      </c>
      <c r="B126" s="1" t="s">
        <v>583</v>
      </c>
      <c r="C126" s="1" t="s">
        <v>3402</v>
      </c>
      <c r="D126" s="1" t="s">
        <v>308</v>
      </c>
      <c r="E126" s="1" t="s">
        <v>314</v>
      </c>
      <c r="F126" s="1" t="s">
        <v>32</v>
      </c>
      <c r="G126" s="1" t="s">
        <v>32</v>
      </c>
      <c r="H126" s="1" t="s">
        <v>583</v>
      </c>
      <c r="I126" s="1" t="s">
        <v>3100</v>
      </c>
      <c r="J126" s="1" t="s">
        <v>3835</v>
      </c>
      <c r="K126" s="1" t="s">
        <v>4663</v>
      </c>
      <c r="L126" s="1" t="s">
        <v>575</v>
      </c>
      <c r="M126" s="1" t="s">
        <v>1064</v>
      </c>
    </row>
    <row r="127" spans="1:13" x14ac:dyDescent="0.25">
      <c r="A127" s="1" t="s">
        <v>3099</v>
      </c>
      <c r="B127" s="1" t="s">
        <v>586</v>
      </c>
      <c r="C127" s="1" t="s">
        <v>3402</v>
      </c>
      <c r="D127" s="1" t="s">
        <v>308</v>
      </c>
      <c r="E127" s="1" t="s">
        <v>32</v>
      </c>
      <c r="F127" s="1" t="s">
        <v>2</v>
      </c>
      <c r="G127" s="1" t="s">
        <v>308</v>
      </c>
      <c r="H127" s="1" t="s">
        <v>586</v>
      </c>
      <c r="I127" s="1" t="s">
        <v>3101</v>
      </c>
      <c r="J127" s="1" t="s">
        <v>3838</v>
      </c>
      <c r="K127" s="1" t="s">
        <v>4663</v>
      </c>
      <c r="L127" s="1" t="s">
        <v>575</v>
      </c>
      <c r="M127" s="1" t="s">
        <v>1064</v>
      </c>
    </row>
    <row r="128" spans="1:13" x14ac:dyDescent="0.25">
      <c r="A128" s="1" t="s">
        <v>3137</v>
      </c>
      <c r="B128" s="1" t="s">
        <v>583</v>
      </c>
      <c r="C128" s="1" t="s">
        <v>3402</v>
      </c>
      <c r="D128" s="1" t="s">
        <v>314</v>
      </c>
      <c r="E128" s="1" t="s">
        <v>194</v>
      </c>
      <c r="F128" s="1" t="s">
        <v>194</v>
      </c>
      <c r="G128" s="1" t="s">
        <v>194</v>
      </c>
      <c r="H128" s="1" t="s">
        <v>194</v>
      </c>
      <c r="I128" s="1" t="s">
        <v>3138</v>
      </c>
      <c r="J128" s="1" t="s">
        <v>3836</v>
      </c>
      <c r="K128" s="1" t="s">
        <v>4663</v>
      </c>
      <c r="L128" s="1" t="s">
        <v>575</v>
      </c>
      <c r="M128" s="1" t="s">
        <v>1064</v>
      </c>
    </row>
    <row r="129" spans="1:13" x14ac:dyDescent="0.25">
      <c r="A129" s="1" t="s">
        <v>3139</v>
      </c>
      <c r="B129" s="1" t="s">
        <v>583</v>
      </c>
      <c r="C129" s="1" t="s">
        <v>3402</v>
      </c>
      <c r="D129" s="1" t="s">
        <v>314</v>
      </c>
      <c r="E129" s="1" t="s">
        <v>194</v>
      </c>
      <c r="F129" s="1" t="s">
        <v>194</v>
      </c>
      <c r="G129" s="1" t="s">
        <v>194</v>
      </c>
      <c r="H129" s="1" t="s">
        <v>194</v>
      </c>
      <c r="I129" s="1" t="s">
        <v>3140</v>
      </c>
      <c r="J129" s="1" t="s">
        <v>3837</v>
      </c>
      <c r="K129" s="1" t="s">
        <v>4663</v>
      </c>
      <c r="L129" s="1" t="s">
        <v>575</v>
      </c>
      <c r="M129" s="1" t="s">
        <v>1064</v>
      </c>
    </row>
    <row r="130" spans="1:13" x14ac:dyDescent="0.25">
      <c r="A130" s="1" t="s">
        <v>3105</v>
      </c>
      <c r="B130" s="1" t="s">
        <v>583</v>
      </c>
      <c r="C130" s="1" t="s">
        <v>3402</v>
      </c>
      <c r="D130" s="1" t="s">
        <v>308</v>
      </c>
      <c r="E130" s="1" t="s">
        <v>314</v>
      </c>
      <c r="F130" s="1" t="s">
        <v>32</v>
      </c>
      <c r="G130" s="1" t="s">
        <v>32</v>
      </c>
      <c r="H130" s="1" t="s">
        <v>583</v>
      </c>
      <c r="I130" s="1" t="s">
        <v>3106</v>
      </c>
      <c r="J130" s="1" t="s">
        <v>3839</v>
      </c>
      <c r="K130" s="1" t="s">
        <v>4663</v>
      </c>
      <c r="L130" s="1" t="s">
        <v>575</v>
      </c>
      <c r="M130" s="1" t="s">
        <v>1064</v>
      </c>
    </row>
    <row r="131" spans="1:13" x14ac:dyDescent="0.25">
      <c r="A131" s="1" t="s">
        <v>3105</v>
      </c>
      <c r="B131" s="1" t="s">
        <v>586</v>
      </c>
      <c r="C131" s="1" t="s">
        <v>3402</v>
      </c>
      <c r="D131" s="1" t="s">
        <v>308</v>
      </c>
      <c r="E131" s="1" t="s">
        <v>32</v>
      </c>
      <c r="F131" s="1" t="s">
        <v>2</v>
      </c>
      <c r="G131" s="1" t="s">
        <v>308</v>
      </c>
      <c r="H131" s="1" t="s">
        <v>586</v>
      </c>
      <c r="I131" s="1" t="s">
        <v>3107</v>
      </c>
      <c r="J131" s="1" t="s">
        <v>3840</v>
      </c>
      <c r="K131" s="1" t="s">
        <v>4663</v>
      </c>
      <c r="L131" s="1" t="s">
        <v>575</v>
      </c>
      <c r="M131" s="1" t="s">
        <v>1064</v>
      </c>
    </row>
    <row r="132" spans="1:13" x14ac:dyDescent="0.25">
      <c r="A132" s="1" t="s">
        <v>3125</v>
      </c>
      <c r="B132" s="1" t="s">
        <v>583</v>
      </c>
      <c r="C132" s="1" t="s">
        <v>3402</v>
      </c>
      <c r="D132" s="1" t="s">
        <v>308</v>
      </c>
      <c r="E132" s="1" t="s">
        <v>317</v>
      </c>
      <c r="F132" s="1" t="s">
        <v>32</v>
      </c>
      <c r="G132" s="1" t="s">
        <v>32</v>
      </c>
      <c r="H132" s="1" t="s">
        <v>583</v>
      </c>
      <c r="I132" s="1" t="s">
        <v>3126</v>
      </c>
      <c r="J132" s="1" t="s">
        <v>3841</v>
      </c>
      <c r="K132" s="1" t="s">
        <v>4663</v>
      </c>
      <c r="L132" s="1" t="s">
        <v>575</v>
      </c>
      <c r="M132" s="1" t="s">
        <v>1064</v>
      </c>
    </row>
    <row r="133" spans="1:13" x14ac:dyDescent="0.25">
      <c r="A133" s="1" t="s">
        <v>3127</v>
      </c>
      <c r="B133" s="1" t="s">
        <v>583</v>
      </c>
      <c r="C133" s="1" t="s">
        <v>3402</v>
      </c>
      <c r="D133" s="1" t="s">
        <v>308</v>
      </c>
      <c r="E133" s="1" t="s">
        <v>317</v>
      </c>
      <c r="F133" s="1" t="s">
        <v>32</v>
      </c>
      <c r="G133" s="1" t="s">
        <v>32</v>
      </c>
      <c r="H133" s="1" t="s">
        <v>583</v>
      </c>
      <c r="I133" s="1" t="s">
        <v>3128</v>
      </c>
      <c r="J133" s="1" t="s">
        <v>3842</v>
      </c>
      <c r="K133" s="1" t="s">
        <v>4663</v>
      </c>
      <c r="L133" s="1" t="s">
        <v>575</v>
      </c>
      <c r="M133" s="1" t="s">
        <v>1064</v>
      </c>
    </row>
    <row r="134" spans="1:13" x14ac:dyDescent="0.25">
      <c r="A134" s="1" t="s">
        <v>3129</v>
      </c>
      <c r="B134" s="1" t="s">
        <v>583</v>
      </c>
      <c r="C134" s="1" t="s">
        <v>3402</v>
      </c>
      <c r="D134" s="1" t="s">
        <v>308</v>
      </c>
      <c r="E134" s="1" t="s">
        <v>317</v>
      </c>
      <c r="F134" s="1" t="s">
        <v>32</v>
      </c>
      <c r="G134" s="1" t="s">
        <v>32</v>
      </c>
      <c r="H134" s="1" t="s">
        <v>583</v>
      </c>
      <c r="I134" s="1" t="s">
        <v>3130</v>
      </c>
      <c r="J134" s="1" t="s">
        <v>3843</v>
      </c>
      <c r="K134" s="1" t="s">
        <v>4663</v>
      </c>
      <c r="L134" s="1" t="s">
        <v>575</v>
      </c>
      <c r="M134" s="1" t="s">
        <v>1064</v>
      </c>
    </row>
    <row r="135" spans="1:13" x14ac:dyDescent="0.25">
      <c r="A135" s="1" t="s">
        <v>3108</v>
      </c>
      <c r="B135" s="1" t="s">
        <v>583</v>
      </c>
      <c r="C135" s="1" t="s">
        <v>3402</v>
      </c>
      <c r="D135" s="1" t="s">
        <v>308</v>
      </c>
      <c r="E135" s="1" t="s">
        <v>314</v>
      </c>
      <c r="F135" s="1" t="s">
        <v>32</v>
      </c>
      <c r="G135" s="1" t="s">
        <v>32</v>
      </c>
      <c r="H135" s="1" t="s">
        <v>583</v>
      </c>
      <c r="I135" s="1" t="s">
        <v>3109</v>
      </c>
      <c r="J135" s="1" t="s">
        <v>3844</v>
      </c>
      <c r="K135" s="1" t="s">
        <v>4663</v>
      </c>
      <c r="L135" s="1" t="s">
        <v>575</v>
      </c>
      <c r="M135" s="1" t="s">
        <v>1064</v>
      </c>
    </row>
    <row r="136" spans="1:13" x14ac:dyDescent="0.25">
      <c r="A136" s="1" t="s">
        <v>3108</v>
      </c>
      <c r="B136" s="1" t="s">
        <v>586</v>
      </c>
      <c r="C136" s="1" t="s">
        <v>3402</v>
      </c>
      <c r="D136" s="1" t="s">
        <v>308</v>
      </c>
      <c r="E136" s="1" t="s">
        <v>32</v>
      </c>
      <c r="F136" s="1" t="s">
        <v>2</v>
      </c>
      <c r="G136" s="1" t="s">
        <v>308</v>
      </c>
      <c r="H136" s="1" t="s">
        <v>586</v>
      </c>
      <c r="I136" s="1" t="s">
        <v>3110</v>
      </c>
      <c r="J136" s="1" t="s">
        <v>3845</v>
      </c>
      <c r="K136" s="1" t="s">
        <v>4663</v>
      </c>
      <c r="L136" s="1" t="s">
        <v>575</v>
      </c>
      <c r="M136" s="1" t="s">
        <v>1064</v>
      </c>
    </row>
    <row r="137" spans="1:13" x14ac:dyDescent="0.25">
      <c r="A137" s="1" t="s">
        <v>3111</v>
      </c>
      <c r="B137" s="1" t="s">
        <v>583</v>
      </c>
      <c r="C137" s="1" t="s">
        <v>3402</v>
      </c>
      <c r="D137" s="1" t="s">
        <v>308</v>
      </c>
      <c r="E137" s="1" t="s">
        <v>314</v>
      </c>
      <c r="F137" s="1" t="s">
        <v>32</v>
      </c>
      <c r="G137" s="1" t="s">
        <v>32</v>
      </c>
      <c r="H137" s="1" t="s">
        <v>583</v>
      </c>
      <c r="I137" s="1" t="s">
        <v>3112</v>
      </c>
      <c r="J137" s="1" t="s">
        <v>3846</v>
      </c>
      <c r="K137" s="1" t="s">
        <v>4663</v>
      </c>
      <c r="L137" s="1" t="s">
        <v>575</v>
      </c>
      <c r="M137" s="1" t="s">
        <v>1064</v>
      </c>
    </row>
    <row r="138" spans="1:13" x14ac:dyDescent="0.25">
      <c r="A138" s="1" t="s">
        <v>3111</v>
      </c>
      <c r="B138" s="1" t="s">
        <v>586</v>
      </c>
      <c r="C138" s="1" t="s">
        <v>3402</v>
      </c>
      <c r="D138" s="1" t="s">
        <v>308</v>
      </c>
      <c r="E138" s="1" t="s">
        <v>32</v>
      </c>
      <c r="F138" s="1" t="s">
        <v>2</v>
      </c>
      <c r="G138" s="1" t="s">
        <v>308</v>
      </c>
      <c r="H138" s="1" t="s">
        <v>586</v>
      </c>
      <c r="I138" s="1" t="s">
        <v>3113</v>
      </c>
      <c r="J138" s="1" t="s">
        <v>3847</v>
      </c>
      <c r="K138" s="1" t="s">
        <v>4663</v>
      </c>
      <c r="L138" s="1" t="s">
        <v>575</v>
      </c>
      <c r="M138" s="1" t="s">
        <v>1064</v>
      </c>
    </row>
    <row r="139" spans="1:13" x14ac:dyDescent="0.25">
      <c r="A139" s="1" t="s">
        <v>3114</v>
      </c>
      <c r="B139" s="1" t="s">
        <v>583</v>
      </c>
      <c r="C139" s="1" t="s">
        <v>3402</v>
      </c>
      <c r="D139" s="1" t="s">
        <v>308</v>
      </c>
      <c r="E139" s="1" t="s">
        <v>314</v>
      </c>
      <c r="F139" s="1" t="s">
        <v>32</v>
      </c>
      <c r="G139" s="1" t="s">
        <v>32</v>
      </c>
      <c r="H139" s="1" t="s">
        <v>583</v>
      </c>
      <c r="I139" s="1" t="s">
        <v>3115</v>
      </c>
      <c r="J139" s="1" t="s">
        <v>3848</v>
      </c>
      <c r="K139" s="1" t="s">
        <v>4663</v>
      </c>
      <c r="L139" s="1" t="s">
        <v>575</v>
      </c>
      <c r="M139" s="1" t="s">
        <v>1064</v>
      </c>
    </row>
    <row r="140" spans="1:13" x14ac:dyDescent="0.25">
      <c r="A140" s="1" t="s">
        <v>3114</v>
      </c>
      <c r="B140" s="1" t="s">
        <v>586</v>
      </c>
      <c r="C140" s="1" t="s">
        <v>3402</v>
      </c>
      <c r="D140" s="1" t="s">
        <v>308</v>
      </c>
      <c r="E140" s="1" t="s">
        <v>32</v>
      </c>
      <c r="F140" s="1" t="s">
        <v>2</v>
      </c>
      <c r="G140" s="1" t="s">
        <v>308</v>
      </c>
      <c r="H140" s="1" t="s">
        <v>586</v>
      </c>
      <c r="I140" s="1" t="s">
        <v>3116</v>
      </c>
      <c r="J140" s="1" t="s">
        <v>3849</v>
      </c>
      <c r="K140" s="1" t="s">
        <v>4663</v>
      </c>
      <c r="L140" s="1" t="s">
        <v>575</v>
      </c>
      <c r="M140" s="1" t="s">
        <v>1064</v>
      </c>
    </row>
    <row r="141" spans="1:13" x14ac:dyDescent="0.25">
      <c r="A141" s="1" t="s">
        <v>2248</v>
      </c>
      <c r="B141" s="1" t="s">
        <v>586</v>
      </c>
      <c r="C141" s="1" t="s">
        <v>3724</v>
      </c>
      <c r="D141" s="1" t="s">
        <v>308</v>
      </c>
      <c r="E141" s="1" t="s">
        <v>2</v>
      </c>
      <c r="F141" s="1" t="s">
        <v>2</v>
      </c>
      <c r="G141" s="1" t="s">
        <v>32</v>
      </c>
      <c r="H141" s="1" t="s">
        <v>586</v>
      </c>
      <c r="I141" s="1" t="s">
        <v>2862</v>
      </c>
      <c r="J141" s="1" t="s">
        <v>3859</v>
      </c>
      <c r="K141" s="1" t="s">
        <v>4668</v>
      </c>
      <c r="L141" s="1" t="s">
        <v>575</v>
      </c>
      <c r="M141" s="1" t="s">
        <v>1064</v>
      </c>
    </row>
    <row r="142" spans="1:13" x14ac:dyDescent="0.25">
      <c r="A142" s="1" t="s">
        <v>2248</v>
      </c>
      <c r="B142" s="1" t="s">
        <v>586</v>
      </c>
      <c r="C142" s="1" t="s">
        <v>3725</v>
      </c>
      <c r="D142" s="1" t="s">
        <v>308</v>
      </c>
      <c r="E142" s="1" t="s">
        <v>2</v>
      </c>
      <c r="F142" s="1" t="s">
        <v>308</v>
      </c>
      <c r="G142" s="1" t="s">
        <v>32</v>
      </c>
      <c r="H142" s="1" t="s">
        <v>586</v>
      </c>
      <c r="I142" s="1" t="s">
        <v>2862</v>
      </c>
      <c r="J142" s="1" t="s">
        <v>3860</v>
      </c>
      <c r="K142" s="1" t="s">
        <v>4668</v>
      </c>
      <c r="L142" s="1" t="s">
        <v>575</v>
      </c>
      <c r="M142" s="1" t="s">
        <v>1064</v>
      </c>
    </row>
    <row r="143" spans="1:13" x14ac:dyDescent="0.25">
      <c r="A143" s="1" t="s">
        <v>2248</v>
      </c>
      <c r="B143" s="1" t="s">
        <v>586</v>
      </c>
      <c r="C143" s="1" t="s">
        <v>3726</v>
      </c>
      <c r="D143" s="1" t="s">
        <v>308</v>
      </c>
      <c r="E143" s="1" t="s">
        <v>2</v>
      </c>
      <c r="F143" s="1" t="s">
        <v>2</v>
      </c>
      <c r="G143" s="1" t="s">
        <v>32</v>
      </c>
      <c r="H143" s="1" t="s">
        <v>586</v>
      </c>
      <c r="I143" s="1" t="s">
        <v>2862</v>
      </c>
      <c r="J143" s="1" t="s">
        <v>3861</v>
      </c>
      <c r="K143" s="1" t="s">
        <v>4668</v>
      </c>
      <c r="L143" s="1" t="s">
        <v>575</v>
      </c>
      <c r="M143" s="1" t="s">
        <v>1064</v>
      </c>
    </row>
    <row r="144" spans="1:13" x14ac:dyDescent="0.25">
      <c r="A144" s="1" t="s">
        <v>2248</v>
      </c>
      <c r="B144" s="1" t="s">
        <v>586</v>
      </c>
      <c r="C144" s="1" t="s">
        <v>3727</v>
      </c>
      <c r="D144" s="1" t="s">
        <v>308</v>
      </c>
      <c r="E144" s="1" t="s">
        <v>549</v>
      </c>
      <c r="F144" s="1" t="s">
        <v>836</v>
      </c>
      <c r="G144" s="1" t="s">
        <v>32</v>
      </c>
      <c r="H144" s="1" t="s">
        <v>586</v>
      </c>
      <c r="I144" s="1" t="s">
        <v>2862</v>
      </c>
      <c r="J144" s="1" t="s">
        <v>3862</v>
      </c>
      <c r="K144" s="1" t="s">
        <v>4668</v>
      </c>
      <c r="L144" s="1" t="s">
        <v>575</v>
      </c>
      <c r="M144" s="1" t="s">
        <v>1064</v>
      </c>
    </row>
    <row r="145" spans="1:13" x14ac:dyDescent="0.25">
      <c r="A145" s="1" t="s">
        <v>2248</v>
      </c>
      <c r="B145" s="1" t="s">
        <v>586</v>
      </c>
      <c r="C145" s="1" t="s">
        <v>3728</v>
      </c>
      <c r="D145" s="1" t="s">
        <v>308</v>
      </c>
      <c r="E145" s="1" t="s">
        <v>314</v>
      </c>
      <c r="F145" s="1" t="s">
        <v>314</v>
      </c>
      <c r="G145" s="1" t="s">
        <v>32</v>
      </c>
      <c r="H145" s="1" t="s">
        <v>586</v>
      </c>
      <c r="I145" s="1" t="s">
        <v>2862</v>
      </c>
      <c r="J145" s="1" t="s">
        <v>3863</v>
      </c>
      <c r="K145" s="1" t="s">
        <v>4668</v>
      </c>
      <c r="L145" s="1" t="s">
        <v>575</v>
      </c>
      <c r="M145" s="1" t="s">
        <v>1064</v>
      </c>
    </row>
    <row r="146" spans="1:13" x14ac:dyDescent="0.25">
      <c r="A146" s="1" t="s">
        <v>2248</v>
      </c>
      <c r="B146" s="1" t="s">
        <v>586</v>
      </c>
      <c r="C146" s="1" t="s">
        <v>3729</v>
      </c>
      <c r="D146" s="1" t="s">
        <v>308</v>
      </c>
      <c r="E146" s="1" t="s">
        <v>2</v>
      </c>
      <c r="F146" s="1" t="s">
        <v>308</v>
      </c>
      <c r="G146" s="1" t="s">
        <v>32</v>
      </c>
      <c r="H146" s="1" t="s">
        <v>586</v>
      </c>
      <c r="I146" s="1" t="s">
        <v>2862</v>
      </c>
      <c r="J146" s="1" t="s">
        <v>3864</v>
      </c>
      <c r="K146" s="1" t="s">
        <v>4668</v>
      </c>
      <c r="L146" s="1" t="s">
        <v>575</v>
      </c>
      <c r="M146" s="1" t="s">
        <v>1064</v>
      </c>
    </row>
    <row r="147" spans="1:13" x14ac:dyDescent="0.25">
      <c r="A147" s="1" t="s">
        <v>2248</v>
      </c>
      <c r="B147" s="1" t="s">
        <v>586</v>
      </c>
      <c r="C147" s="1" t="s">
        <v>3730</v>
      </c>
      <c r="D147" s="1" t="s">
        <v>308</v>
      </c>
      <c r="E147" s="1" t="s">
        <v>2</v>
      </c>
      <c r="F147" s="1" t="s">
        <v>308</v>
      </c>
      <c r="G147" s="1" t="s">
        <v>32</v>
      </c>
      <c r="H147" s="1" t="s">
        <v>586</v>
      </c>
      <c r="I147" s="1" t="s">
        <v>2862</v>
      </c>
      <c r="J147" s="1" t="s">
        <v>3865</v>
      </c>
      <c r="K147" s="1" t="s">
        <v>4668</v>
      </c>
      <c r="L147" s="1" t="s">
        <v>575</v>
      </c>
      <c r="M147" s="1" t="s">
        <v>1064</v>
      </c>
    </row>
    <row r="148" spans="1:13" x14ac:dyDescent="0.25">
      <c r="A148" s="1" t="s">
        <v>2248</v>
      </c>
      <c r="B148" s="1" t="s">
        <v>586</v>
      </c>
      <c r="C148" s="1" t="s">
        <v>3731</v>
      </c>
      <c r="D148" s="1" t="s">
        <v>308</v>
      </c>
      <c r="E148" s="1" t="s">
        <v>2</v>
      </c>
      <c r="F148" s="1" t="s">
        <v>308</v>
      </c>
      <c r="G148" s="1" t="s">
        <v>32</v>
      </c>
      <c r="H148" s="1" t="s">
        <v>586</v>
      </c>
      <c r="I148" s="1" t="s">
        <v>2862</v>
      </c>
      <c r="J148" s="1" t="s">
        <v>3866</v>
      </c>
      <c r="K148" s="1" t="s">
        <v>4668</v>
      </c>
      <c r="L148" s="1" t="s">
        <v>575</v>
      </c>
      <c r="M148" s="1" t="s">
        <v>1064</v>
      </c>
    </row>
    <row r="149" spans="1:13" x14ac:dyDescent="0.25">
      <c r="A149" s="1" t="s">
        <v>2248</v>
      </c>
      <c r="B149" s="1" t="s">
        <v>586</v>
      </c>
      <c r="C149" s="1" t="s">
        <v>3732</v>
      </c>
      <c r="D149" s="1" t="s">
        <v>308</v>
      </c>
      <c r="E149" s="1" t="s">
        <v>2</v>
      </c>
      <c r="F149" s="1" t="s">
        <v>2</v>
      </c>
      <c r="G149" s="1" t="s">
        <v>32</v>
      </c>
      <c r="H149" s="1" t="s">
        <v>586</v>
      </c>
      <c r="I149" s="1" t="s">
        <v>2862</v>
      </c>
      <c r="J149" s="1" t="s">
        <v>3867</v>
      </c>
      <c r="K149" s="1" t="s">
        <v>4668</v>
      </c>
      <c r="L149" s="1" t="s">
        <v>575</v>
      </c>
      <c r="M149" s="1" t="s">
        <v>1064</v>
      </c>
    </row>
    <row r="150" spans="1:13" x14ac:dyDescent="0.25">
      <c r="A150" s="1" t="s">
        <v>2248</v>
      </c>
      <c r="B150" s="1" t="s">
        <v>586</v>
      </c>
      <c r="C150" s="1" t="s">
        <v>3733</v>
      </c>
      <c r="D150" s="1" t="s">
        <v>308</v>
      </c>
      <c r="E150" s="1" t="s">
        <v>308</v>
      </c>
      <c r="F150" s="1" t="s">
        <v>314</v>
      </c>
      <c r="G150" s="1" t="s">
        <v>32</v>
      </c>
      <c r="H150" s="1" t="s">
        <v>586</v>
      </c>
      <c r="I150" s="1" t="s">
        <v>2862</v>
      </c>
      <c r="J150" s="1" t="s">
        <v>3868</v>
      </c>
      <c r="K150" s="1" t="s">
        <v>4668</v>
      </c>
      <c r="L150" s="1" t="s">
        <v>575</v>
      </c>
      <c r="M150" s="1" t="s">
        <v>1064</v>
      </c>
    </row>
    <row r="151" spans="1:13" x14ac:dyDescent="0.25">
      <c r="A151" s="1" t="s">
        <v>2248</v>
      </c>
      <c r="B151" s="1" t="s">
        <v>586</v>
      </c>
      <c r="C151" s="1" t="s">
        <v>3734</v>
      </c>
      <c r="D151" s="1" t="s">
        <v>308</v>
      </c>
      <c r="E151" s="1" t="s">
        <v>2</v>
      </c>
      <c r="F151" s="1" t="s">
        <v>2</v>
      </c>
      <c r="G151" s="1" t="s">
        <v>32</v>
      </c>
      <c r="H151" s="1" t="s">
        <v>586</v>
      </c>
      <c r="I151" s="1" t="s">
        <v>2862</v>
      </c>
      <c r="J151" s="1" t="s">
        <v>3869</v>
      </c>
      <c r="K151" s="1" t="s">
        <v>4668</v>
      </c>
      <c r="L151" s="1" t="s">
        <v>575</v>
      </c>
      <c r="M151" s="1" t="s">
        <v>1064</v>
      </c>
    </row>
    <row r="152" spans="1:13" x14ac:dyDescent="0.25">
      <c r="A152" s="1" t="s">
        <v>2248</v>
      </c>
      <c r="B152" s="1" t="s">
        <v>586</v>
      </c>
      <c r="C152" s="1" t="s">
        <v>3402</v>
      </c>
      <c r="D152" s="1" t="s">
        <v>308</v>
      </c>
      <c r="E152" s="1" t="s">
        <v>2</v>
      </c>
      <c r="F152" s="1" t="s">
        <v>2</v>
      </c>
      <c r="G152" s="1" t="s">
        <v>32</v>
      </c>
      <c r="H152" s="1" t="s">
        <v>586</v>
      </c>
      <c r="I152" s="1" t="s">
        <v>2862</v>
      </c>
      <c r="J152" s="1" t="s">
        <v>3870</v>
      </c>
      <c r="K152" s="1" t="s">
        <v>4668</v>
      </c>
      <c r="L152" s="1" t="s">
        <v>575</v>
      </c>
      <c r="M152" s="1" t="s">
        <v>1064</v>
      </c>
    </row>
    <row r="153" spans="1:13" x14ac:dyDescent="0.25">
      <c r="A153" s="1" t="s">
        <v>2249</v>
      </c>
      <c r="B153" s="1" t="s">
        <v>583</v>
      </c>
      <c r="C153" s="1" t="s">
        <v>3402</v>
      </c>
      <c r="D153" s="1" t="s">
        <v>308</v>
      </c>
      <c r="E153" s="1" t="s">
        <v>317</v>
      </c>
      <c r="F153" s="1" t="s">
        <v>32</v>
      </c>
      <c r="G153" s="1" t="s">
        <v>32</v>
      </c>
      <c r="H153" s="1" t="s">
        <v>583</v>
      </c>
      <c r="I153" s="1" t="s">
        <v>2250</v>
      </c>
      <c r="J153" s="1" t="s">
        <v>3871</v>
      </c>
      <c r="K153" s="1" t="s">
        <v>4668</v>
      </c>
      <c r="L153" s="1" t="s">
        <v>575</v>
      </c>
      <c r="M153" s="1" t="s">
        <v>1064</v>
      </c>
    </row>
    <row r="154" spans="1:13" x14ac:dyDescent="0.25">
      <c r="A154" s="1" t="s">
        <v>2249</v>
      </c>
      <c r="B154" s="1" t="s">
        <v>586</v>
      </c>
      <c r="C154" s="1" t="s">
        <v>3402</v>
      </c>
      <c r="D154" s="1" t="s">
        <v>308</v>
      </c>
      <c r="E154" s="1" t="s">
        <v>32</v>
      </c>
      <c r="F154" s="1" t="s">
        <v>2</v>
      </c>
      <c r="G154" s="1" t="s">
        <v>32</v>
      </c>
      <c r="H154" s="1" t="s">
        <v>586</v>
      </c>
      <c r="I154" s="1" t="s">
        <v>2863</v>
      </c>
      <c r="J154" s="1" t="s">
        <v>3872</v>
      </c>
      <c r="K154" s="1" t="s">
        <v>4668</v>
      </c>
      <c r="L154" s="1" t="s">
        <v>575</v>
      </c>
      <c r="M154" s="1" t="s">
        <v>1064</v>
      </c>
    </row>
    <row r="155" spans="1:13" x14ac:dyDescent="0.25">
      <c r="A155" s="1" t="s">
        <v>2251</v>
      </c>
      <c r="B155" s="1" t="s">
        <v>586</v>
      </c>
      <c r="C155" s="1" t="s">
        <v>3402</v>
      </c>
      <c r="D155" s="1" t="s">
        <v>308</v>
      </c>
      <c r="E155" s="1" t="s">
        <v>2</v>
      </c>
      <c r="F155" s="1" t="s">
        <v>2</v>
      </c>
      <c r="G155" s="1" t="s">
        <v>2</v>
      </c>
      <c r="H155" s="1" t="s">
        <v>586</v>
      </c>
      <c r="I155" s="1" t="s">
        <v>2252</v>
      </c>
      <c r="J155" s="1" t="s">
        <v>3873</v>
      </c>
      <c r="K155" s="1" t="s">
        <v>4668</v>
      </c>
      <c r="L155" s="1" t="s">
        <v>575</v>
      </c>
      <c r="M155" s="1" t="s">
        <v>1064</v>
      </c>
    </row>
    <row r="156" spans="1:13" x14ac:dyDescent="0.25">
      <c r="A156" s="1" t="s">
        <v>2253</v>
      </c>
      <c r="B156" s="1" t="s">
        <v>586</v>
      </c>
      <c r="C156" s="1" t="s">
        <v>3724</v>
      </c>
      <c r="D156" s="1" t="s">
        <v>308</v>
      </c>
      <c r="E156" s="1" t="s">
        <v>2</v>
      </c>
      <c r="F156" s="1" t="s">
        <v>308</v>
      </c>
      <c r="G156" s="1" t="s">
        <v>32</v>
      </c>
      <c r="H156" s="1" t="s">
        <v>586</v>
      </c>
      <c r="I156" s="1" t="s">
        <v>2864</v>
      </c>
      <c r="J156" s="1" t="s">
        <v>3874</v>
      </c>
      <c r="K156" s="1" t="s">
        <v>4668</v>
      </c>
      <c r="L156" s="1" t="s">
        <v>575</v>
      </c>
      <c r="M156" s="1" t="s">
        <v>1064</v>
      </c>
    </row>
    <row r="157" spans="1:13" x14ac:dyDescent="0.25">
      <c r="A157" s="1" t="s">
        <v>2253</v>
      </c>
      <c r="B157" s="1" t="s">
        <v>586</v>
      </c>
      <c r="C157" s="1" t="s">
        <v>3725</v>
      </c>
      <c r="D157" s="1" t="s">
        <v>308</v>
      </c>
      <c r="E157" s="1" t="s">
        <v>314</v>
      </c>
      <c r="F157" s="1" t="s">
        <v>549</v>
      </c>
      <c r="G157" s="1" t="s">
        <v>32</v>
      </c>
      <c r="H157" s="1" t="s">
        <v>586</v>
      </c>
      <c r="I157" s="1" t="s">
        <v>2864</v>
      </c>
      <c r="J157" s="1" t="s">
        <v>3875</v>
      </c>
      <c r="K157" s="1" t="s">
        <v>4668</v>
      </c>
      <c r="L157" s="1" t="s">
        <v>575</v>
      </c>
      <c r="M157" s="1" t="s">
        <v>1064</v>
      </c>
    </row>
    <row r="158" spans="1:13" x14ac:dyDescent="0.25">
      <c r="A158" s="1" t="s">
        <v>2253</v>
      </c>
      <c r="B158" s="1" t="s">
        <v>586</v>
      </c>
      <c r="C158" s="1" t="s">
        <v>3726</v>
      </c>
      <c r="D158" s="1" t="s">
        <v>308</v>
      </c>
      <c r="E158" s="1" t="s">
        <v>2</v>
      </c>
      <c r="F158" s="1" t="s">
        <v>2</v>
      </c>
      <c r="G158" s="1" t="s">
        <v>32</v>
      </c>
      <c r="H158" s="1" t="s">
        <v>586</v>
      </c>
      <c r="I158" s="1" t="s">
        <v>2864</v>
      </c>
      <c r="J158" s="1" t="s">
        <v>3876</v>
      </c>
      <c r="K158" s="1" t="s">
        <v>4668</v>
      </c>
      <c r="L158" s="1" t="s">
        <v>575</v>
      </c>
      <c r="M158" s="1" t="s">
        <v>1064</v>
      </c>
    </row>
    <row r="159" spans="1:13" x14ac:dyDescent="0.25">
      <c r="A159" s="1" t="s">
        <v>2253</v>
      </c>
      <c r="B159" s="1" t="s">
        <v>586</v>
      </c>
      <c r="C159" s="1" t="s">
        <v>3727</v>
      </c>
      <c r="D159" s="1" t="s">
        <v>308</v>
      </c>
      <c r="E159" s="1" t="s">
        <v>801</v>
      </c>
      <c r="F159" s="1" t="s">
        <v>36</v>
      </c>
      <c r="G159" s="1" t="s">
        <v>32</v>
      </c>
      <c r="H159" s="1" t="s">
        <v>586</v>
      </c>
      <c r="I159" s="1" t="s">
        <v>2864</v>
      </c>
      <c r="J159" s="1" t="s">
        <v>3877</v>
      </c>
      <c r="K159" s="1" t="s">
        <v>4668</v>
      </c>
      <c r="L159" s="1" t="s">
        <v>575</v>
      </c>
      <c r="M159" s="1" t="s">
        <v>1064</v>
      </c>
    </row>
    <row r="160" spans="1:13" x14ac:dyDescent="0.25">
      <c r="A160" s="1" t="s">
        <v>2253</v>
      </c>
      <c r="B160" s="1" t="s">
        <v>586</v>
      </c>
      <c r="C160" s="1" t="s">
        <v>3728</v>
      </c>
      <c r="D160" s="1" t="s">
        <v>308</v>
      </c>
      <c r="E160" s="1" t="s">
        <v>317</v>
      </c>
      <c r="F160" s="1" t="s">
        <v>317</v>
      </c>
      <c r="G160" s="1" t="s">
        <v>32</v>
      </c>
      <c r="H160" s="1" t="s">
        <v>586</v>
      </c>
      <c r="I160" s="1" t="s">
        <v>2864</v>
      </c>
      <c r="J160" s="1" t="s">
        <v>3878</v>
      </c>
      <c r="K160" s="1" t="s">
        <v>4668</v>
      </c>
      <c r="L160" s="1" t="s">
        <v>575</v>
      </c>
      <c r="M160" s="1" t="s">
        <v>1064</v>
      </c>
    </row>
    <row r="161" spans="1:13" x14ac:dyDescent="0.25">
      <c r="A161" s="1" t="s">
        <v>2253</v>
      </c>
      <c r="B161" s="1" t="s">
        <v>586</v>
      </c>
      <c r="C161" s="1" t="s">
        <v>3729</v>
      </c>
      <c r="D161" s="1" t="s">
        <v>308</v>
      </c>
      <c r="E161" s="1" t="s">
        <v>308</v>
      </c>
      <c r="F161" s="1" t="s">
        <v>314</v>
      </c>
      <c r="G161" s="1" t="s">
        <v>32</v>
      </c>
      <c r="H161" s="1" t="s">
        <v>586</v>
      </c>
      <c r="I161" s="1" t="s">
        <v>2864</v>
      </c>
      <c r="J161" s="1" t="s">
        <v>3879</v>
      </c>
      <c r="K161" s="1" t="s">
        <v>4668</v>
      </c>
      <c r="L161" s="1" t="s">
        <v>575</v>
      </c>
      <c r="M161" s="1" t="s">
        <v>1064</v>
      </c>
    </row>
    <row r="162" spans="1:13" x14ac:dyDescent="0.25">
      <c r="A162" s="1" t="s">
        <v>2253</v>
      </c>
      <c r="B162" s="1" t="s">
        <v>586</v>
      </c>
      <c r="C162" s="1" t="s">
        <v>3730</v>
      </c>
      <c r="D162" s="1" t="s">
        <v>308</v>
      </c>
      <c r="E162" s="1" t="s">
        <v>308</v>
      </c>
      <c r="F162" s="1" t="s">
        <v>314</v>
      </c>
      <c r="G162" s="1" t="s">
        <v>32</v>
      </c>
      <c r="H162" s="1" t="s">
        <v>586</v>
      </c>
      <c r="I162" s="1" t="s">
        <v>2864</v>
      </c>
      <c r="J162" s="1" t="s">
        <v>3880</v>
      </c>
      <c r="K162" s="1" t="s">
        <v>4668</v>
      </c>
      <c r="L162" s="1" t="s">
        <v>575</v>
      </c>
      <c r="M162" s="1" t="s">
        <v>1064</v>
      </c>
    </row>
    <row r="163" spans="1:13" x14ac:dyDescent="0.25">
      <c r="A163" s="1" t="s">
        <v>2253</v>
      </c>
      <c r="B163" s="1" t="s">
        <v>586</v>
      </c>
      <c r="C163" s="1" t="s">
        <v>3731</v>
      </c>
      <c r="D163" s="1" t="s">
        <v>308</v>
      </c>
      <c r="E163" s="1" t="s">
        <v>2</v>
      </c>
      <c r="F163" s="1" t="s">
        <v>2</v>
      </c>
      <c r="G163" s="1" t="s">
        <v>32</v>
      </c>
      <c r="H163" s="1" t="s">
        <v>586</v>
      </c>
      <c r="I163" s="1" t="s">
        <v>2864</v>
      </c>
      <c r="J163" s="1" t="s">
        <v>3881</v>
      </c>
      <c r="K163" s="1" t="s">
        <v>4668</v>
      </c>
      <c r="L163" s="1" t="s">
        <v>575</v>
      </c>
      <c r="M163" s="1" t="s">
        <v>1064</v>
      </c>
    </row>
    <row r="164" spans="1:13" x14ac:dyDescent="0.25">
      <c r="A164" s="1" t="s">
        <v>2253</v>
      </c>
      <c r="B164" s="1" t="s">
        <v>586</v>
      </c>
      <c r="C164" s="1" t="s">
        <v>3732</v>
      </c>
      <c r="D164" s="1" t="s">
        <v>308</v>
      </c>
      <c r="E164" s="1" t="s">
        <v>2</v>
      </c>
      <c r="F164" s="1" t="s">
        <v>308</v>
      </c>
      <c r="G164" s="1" t="s">
        <v>32</v>
      </c>
      <c r="H164" s="1" t="s">
        <v>586</v>
      </c>
      <c r="I164" s="1" t="s">
        <v>2864</v>
      </c>
      <c r="J164" s="1" t="s">
        <v>3886</v>
      </c>
      <c r="K164" s="1" t="s">
        <v>4668</v>
      </c>
      <c r="L164" s="1" t="s">
        <v>575</v>
      </c>
      <c r="M164" s="1" t="s">
        <v>1064</v>
      </c>
    </row>
    <row r="165" spans="1:13" x14ac:dyDescent="0.25">
      <c r="A165" s="1" t="s">
        <v>2253</v>
      </c>
      <c r="B165" s="1" t="s">
        <v>586</v>
      </c>
      <c r="C165" s="1" t="s">
        <v>3733</v>
      </c>
      <c r="D165" s="1" t="s">
        <v>308</v>
      </c>
      <c r="E165" s="1" t="s">
        <v>549</v>
      </c>
      <c r="F165" s="1" t="s">
        <v>317</v>
      </c>
      <c r="G165" s="1" t="s">
        <v>32</v>
      </c>
      <c r="H165" s="1" t="s">
        <v>586</v>
      </c>
      <c r="I165" s="1" t="s">
        <v>2864</v>
      </c>
      <c r="J165" s="1" t="s">
        <v>3887</v>
      </c>
      <c r="K165" s="1" t="s">
        <v>4668</v>
      </c>
      <c r="L165" s="1" t="s">
        <v>575</v>
      </c>
      <c r="M165" s="1" t="s">
        <v>1064</v>
      </c>
    </row>
    <row r="166" spans="1:13" x14ac:dyDescent="0.25">
      <c r="A166" s="1" t="s">
        <v>2253</v>
      </c>
      <c r="B166" s="1" t="s">
        <v>586</v>
      </c>
      <c r="C166" s="1" t="s">
        <v>3734</v>
      </c>
      <c r="D166" s="1" t="s">
        <v>308</v>
      </c>
      <c r="E166" s="1" t="s">
        <v>2</v>
      </c>
      <c r="F166" s="1" t="s">
        <v>2</v>
      </c>
      <c r="G166" s="1" t="s">
        <v>32</v>
      </c>
      <c r="H166" s="1" t="s">
        <v>586</v>
      </c>
      <c r="I166" s="1" t="s">
        <v>2864</v>
      </c>
      <c r="J166" s="1" t="s">
        <v>3888</v>
      </c>
      <c r="K166" s="1" t="s">
        <v>4668</v>
      </c>
      <c r="L166" s="1" t="s">
        <v>575</v>
      </c>
      <c r="M166" s="1" t="s">
        <v>1064</v>
      </c>
    </row>
    <row r="167" spans="1:13" x14ac:dyDescent="0.25">
      <c r="A167" s="1" t="s">
        <v>2253</v>
      </c>
      <c r="B167" s="1" t="s">
        <v>586</v>
      </c>
      <c r="C167" s="1" t="s">
        <v>3402</v>
      </c>
      <c r="D167" s="1" t="s">
        <v>308</v>
      </c>
      <c r="E167" s="1" t="s">
        <v>2</v>
      </c>
      <c r="F167" s="1" t="s">
        <v>2</v>
      </c>
      <c r="G167" s="1" t="s">
        <v>32</v>
      </c>
      <c r="H167" s="1" t="s">
        <v>586</v>
      </c>
      <c r="I167" s="1" t="s">
        <v>2864</v>
      </c>
      <c r="J167" s="1" t="s">
        <v>3889</v>
      </c>
      <c r="K167" s="1" t="s">
        <v>4668</v>
      </c>
      <c r="L167" s="1" t="s">
        <v>575</v>
      </c>
      <c r="M167" s="1" t="s">
        <v>1064</v>
      </c>
    </row>
    <row r="168" spans="1:13" x14ac:dyDescent="0.25">
      <c r="A168" s="1" t="s">
        <v>2234</v>
      </c>
      <c r="B168" s="1" t="s">
        <v>583</v>
      </c>
      <c r="C168" s="1" t="s">
        <v>3402</v>
      </c>
      <c r="D168" s="1" t="s">
        <v>308</v>
      </c>
      <c r="E168" s="1" t="s">
        <v>322</v>
      </c>
      <c r="F168" s="1" t="s">
        <v>32</v>
      </c>
      <c r="G168" s="1" t="s">
        <v>32</v>
      </c>
      <c r="H168" s="1" t="s">
        <v>583</v>
      </c>
      <c r="I168" s="1" t="s">
        <v>2235</v>
      </c>
      <c r="J168" s="1" t="s">
        <v>3890</v>
      </c>
      <c r="K168" s="1" t="s">
        <v>4668</v>
      </c>
      <c r="L168" s="1" t="s">
        <v>575</v>
      </c>
      <c r="M168" s="1" t="s">
        <v>1064</v>
      </c>
    </row>
    <row r="169" spans="1:13" x14ac:dyDescent="0.25">
      <c r="A169" s="1" t="s">
        <v>2641</v>
      </c>
      <c r="B169" s="1" t="s">
        <v>583</v>
      </c>
      <c r="C169" s="1" t="s">
        <v>3402</v>
      </c>
      <c r="D169" s="1" t="s">
        <v>308</v>
      </c>
      <c r="E169" s="1" t="s">
        <v>322</v>
      </c>
      <c r="F169" s="1" t="s">
        <v>32</v>
      </c>
      <c r="G169" s="1" t="s">
        <v>32</v>
      </c>
      <c r="H169" s="1" t="s">
        <v>583</v>
      </c>
      <c r="I169" s="1" t="s">
        <v>2907</v>
      </c>
      <c r="J169" s="1" t="s">
        <v>3891</v>
      </c>
      <c r="K169" s="1" t="s">
        <v>4668</v>
      </c>
      <c r="L169" s="1" t="s">
        <v>575</v>
      </c>
      <c r="M169" s="1" t="s">
        <v>1064</v>
      </c>
    </row>
    <row r="170" spans="1:13" x14ac:dyDescent="0.25">
      <c r="A170" s="1" t="s">
        <v>2908</v>
      </c>
      <c r="B170" s="1" t="s">
        <v>583</v>
      </c>
      <c r="C170" s="1" t="s">
        <v>3402</v>
      </c>
      <c r="D170" s="1" t="s">
        <v>314</v>
      </c>
      <c r="E170" s="1" t="s">
        <v>194</v>
      </c>
      <c r="F170" s="1" t="s">
        <v>194</v>
      </c>
      <c r="G170" s="1" t="s">
        <v>194</v>
      </c>
      <c r="H170" s="1" t="s">
        <v>194</v>
      </c>
      <c r="I170" s="1" t="s">
        <v>2909</v>
      </c>
      <c r="J170" s="1" t="s">
        <v>3882</v>
      </c>
      <c r="K170" s="1" t="s">
        <v>4668</v>
      </c>
      <c r="L170" s="1" t="s">
        <v>575</v>
      </c>
      <c r="M170" s="1" t="s">
        <v>1064</v>
      </c>
    </row>
    <row r="171" spans="1:13" x14ac:dyDescent="0.25">
      <c r="A171" s="1" t="s">
        <v>2910</v>
      </c>
      <c r="B171" s="1" t="s">
        <v>583</v>
      </c>
      <c r="C171" s="1" t="s">
        <v>3402</v>
      </c>
      <c r="D171" s="1" t="s">
        <v>314</v>
      </c>
      <c r="E171" s="1" t="s">
        <v>194</v>
      </c>
      <c r="F171" s="1" t="s">
        <v>194</v>
      </c>
      <c r="G171" s="1" t="s">
        <v>194</v>
      </c>
      <c r="H171" s="1" t="s">
        <v>194</v>
      </c>
      <c r="I171" s="1" t="s">
        <v>2911</v>
      </c>
      <c r="J171" s="1" t="s">
        <v>3883</v>
      </c>
      <c r="K171" s="1" t="s">
        <v>4668</v>
      </c>
      <c r="L171" s="1" t="s">
        <v>575</v>
      </c>
      <c r="M171" s="1" t="s">
        <v>1064</v>
      </c>
    </row>
    <row r="172" spans="1:13" x14ac:dyDescent="0.25">
      <c r="A172" s="1" t="s">
        <v>2912</v>
      </c>
      <c r="B172" s="1" t="s">
        <v>583</v>
      </c>
      <c r="C172" s="1" t="s">
        <v>3402</v>
      </c>
      <c r="D172" s="1" t="s">
        <v>314</v>
      </c>
      <c r="E172" s="1" t="s">
        <v>194</v>
      </c>
      <c r="F172" s="1" t="s">
        <v>194</v>
      </c>
      <c r="G172" s="1" t="s">
        <v>194</v>
      </c>
      <c r="H172" s="1" t="s">
        <v>194</v>
      </c>
      <c r="I172" s="1" t="s">
        <v>2913</v>
      </c>
      <c r="J172" s="1" t="s">
        <v>3884</v>
      </c>
      <c r="K172" s="1" t="s">
        <v>4668</v>
      </c>
      <c r="L172" s="1" t="s">
        <v>575</v>
      </c>
      <c r="M172" s="1" t="s">
        <v>1064</v>
      </c>
    </row>
    <row r="173" spans="1:13" x14ac:dyDescent="0.25">
      <c r="A173" s="1" t="s">
        <v>2914</v>
      </c>
      <c r="B173" s="1" t="s">
        <v>583</v>
      </c>
      <c r="C173" s="1" t="s">
        <v>3402</v>
      </c>
      <c r="D173" s="1" t="s">
        <v>314</v>
      </c>
      <c r="E173" s="1" t="s">
        <v>194</v>
      </c>
      <c r="F173" s="1" t="s">
        <v>194</v>
      </c>
      <c r="G173" s="1" t="s">
        <v>194</v>
      </c>
      <c r="H173" s="1" t="s">
        <v>194</v>
      </c>
      <c r="I173" s="1" t="s">
        <v>2915</v>
      </c>
      <c r="J173" s="1" t="s">
        <v>3885</v>
      </c>
      <c r="K173" s="1" t="s">
        <v>4668</v>
      </c>
      <c r="L173" s="1" t="s">
        <v>575</v>
      </c>
      <c r="M173" s="1" t="s">
        <v>1064</v>
      </c>
    </row>
    <row r="174" spans="1:13" x14ac:dyDescent="0.25">
      <c r="A174" s="1" t="s">
        <v>2254</v>
      </c>
      <c r="B174" s="1" t="s">
        <v>583</v>
      </c>
      <c r="C174" s="1" t="s">
        <v>3402</v>
      </c>
      <c r="D174" s="1" t="s">
        <v>308</v>
      </c>
      <c r="E174" s="1" t="s">
        <v>2</v>
      </c>
      <c r="F174" s="1" t="s">
        <v>2</v>
      </c>
      <c r="G174" s="1" t="s">
        <v>308</v>
      </c>
      <c r="H174" s="1" t="s">
        <v>583</v>
      </c>
      <c r="I174" s="1" t="s">
        <v>2255</v>
      </c>
      <c r="J174" s="1" t="s">
        <v>3893</v>
      </c>
      <c r="K174" s="1" t="s">
        <v>4670</v>
      </c>
      <c r="L174" s="1" t="s">
        <v>575</v>
      </c>
      <c r="M174" s="1" t="s">
        <v>1064</v>
      </c>
    </row>
    <row r="175" spans="1:13" x14ac:dyDescent="0.25">
      <c r="A175" s="1" t="s">
        <v>2256</v>
      </c>
      <c r="B175" s="1" t="s">
        <v>583</v>
      </c>
      <c r="C175" s="1" t="s">
        <v>3402</v>
      </c>
      <c r="D175" s="1" t="s">
        <v>308</v>
      </c>
      <c r="E175" s="1" t="s">
        <v>2</v>
      </c>
      <c r="F175" s="1" t="s">
        <v>2</v>
      </c>
      <c r="G175" s="1" t="s">
        <v>32</v>
      </c>
      <c r="H175" s="1" t="s">
        <v>583</v>
      </c>
      <c r="I175" s="1" t="s">
        <v>2257</v>
      </c>
      <c r="J175" s="1" t="s">
        <v>3894</v>
      </c>
      <c r="K175" s="1" t="s">
        <v>4670</v>
      </c>
      <c r="L175" s="1" t="s">
        <v>575</v>
      </c>
      <c r="M175" s="1" t="s">
        <v>1064</v>
      </c>
    </row>
    <row r="176" spans="1:13" x14ac:dyDescent="0.25">
      <c r="A176" s="1" t="s">
        <v>2258</v>
      </c>
      <c r="B176" s="1" t="s">
        <v>583</v>
      </c>
      <c r="C176" s="1" t="s">
        <v>3402</v>
      </c>
      <c r="D176" s="1" t="s">
        <v>308</v>
      </c>
      <c r="E176" s="1" t="s">
        <v>2</v>
      </c>
      <c r="F176" s="1" t="s">
        <v>2</v>
      </c>
      <c r="G176" s="1" t="s">
        <v>2</v>
      </c>
      <c r="H176" s="1" t="s">
        <v>583</v>
      </c>
      <c r="I176" s="1" t="s">
        <v>2259</v>
      </c>
      <c r="J176" s="1" t="s">
        <v>3895</v>
      </c>
      <c r="K176" s="1" t="s">
        <v>4670</v>
      </c>
      <c r="L176" s="1" t="s">
        <v>575</v>
      </c>
      <c r="M176" s="1" t="s">
        <v>1064</v>
      </c>
    </row>
    <row r="177" spans="1:13" x14ac:dyDescent="0.25">
      <c r="A177" s="1" t="s">
        <v>2260</v>
      </c>
      <c r="B177" s="1" t="s">
        <v>583</v>
      </c>
      <c r="C177" s="1" t="s">
        <v>3402</v>
      </c>
      <c r="D177" s="1" t="s">
        <v>308</v>
      </c>
      <c r="E177" s="1" t="s">
        <v>2</v>
      </c>
      <c r="F177" s="1" t="s">
        <v>2</v>
      </c>
      <c r="G177" s="1" t="s">
        <v>308</v>
      </c>
      <c r="H177" s="1" t="s">
        <v>583</v>
      </c>
      <c r="I177" s="1" t="s">
        <v>2261</v>
      </c>
      <c r="J177" s="1" t="s">
        <v>3896</v>
      </c>
      <c r="K177" s="1" t="s">
        <v>4670</v>
      </c>
      <c r="L177" s="1" t="s">
        <v>575</v>
      </c>
      <c r="M177" s="1" t="s">
        <v>1064</v>
      </c>
    </row>
    <row r="178" spans="1:13" x14ac:dyDescent="0.25">
      <c r="A178" s="1" t="s">
        <v>2262</v>
      </c>
      <c r="B178" s="1" t="s">
        <v>583</v>
      </c>
      <c r="C178" s="1" t="s">
        <v>3402</v>
      </c>
      <c r="D178" s="1" t="s">
        <v>308</v>
      </c>
      <c r="E178" s="1" t="s">
        <v>2</v>
      </c>
      <c r="F178" s="1" t="s">
        <v>2</v>
      </c>
      <c r="G178" s="1" t="s">
        <v>308</v>
      </c>
      <c r="H178" s="1" t="s">
        <v>583</v>
      </c>
      <c r="I178" s="1" t="s">
        <v>2263</v>
      </c>
      <c r="J178" s="1" t="s">
        <v>3898</v>
      </c>
      <c r="K178" s="1" t="s">
        <v>4672</v>
      </c>
      <c r="L178" s="1" t="s">
        <v>575</v>
      </c>
      <c r="M178" s="1" t="s">
        <v>1064</v>
      </c>
    </row>
    <row r="179" spans="1:13" x14ac:dyDescent="0.25">
      <c r="A179" s="1" t="s">
        <v>2264</v>
      </c>
      <c r="B179" s="1" t="s">
        <v>583</v>
      </c>
      <c r="C179" s="1" t="s">
        <v>3402</v>
      </c>
      <c r="D179" s="1" t="s">
        <v>308</v>
      </c>
      <c r="E179" s="1" t="s">
        <v>2</v>
      </c>
      <c r="F179" s="1" t="s">
        <v>32</v>
      </c>
      <c r="G179" s="1" t="s">
        <v>32</v>
      </c>
      <c r="H179" s="1" t="s">
        <v>583</v>
      </c>
      <c r="I179" s="1" t="s">
        <v>2265</v>
      </c>
      <c r="J179" s="1" t="s">
        <v>3899</v>
      </c>
      <c r="K179" s="1" t="s">
        <v>4672</v>
      </c>
      <c r="L179" s="1" t="s">
        <v>575</v>
      </c>
      <c r="M179" s="1" t="s">
        <v>1064</v>
      </c>
    </row>
    <row r="180" spans="1:13" x14ac:dyDescent="0.25">
      <c r="A180" s="1" t="s">
        <v>2266</v>
      </c>
      <c r="B180" s="1" t="s">
        <v>583</v>
      </c>
      <c r="C180" s="1" t="s">
        <v>3402</v>
      </c>
      <c r="D180" s="1" t="s">
        <v>308</v>
      </c>
      <c r="E180" s="1" t="s">
        <v>2</v>
      </c>
      <c r="F180" s="1" t="s">
        <v>32</v>
      </c>
      <c r="G180" s="1" t="s">
        <v>32</v>
      </c>
      <c r="H180" s="1" t="s">
        <v>583</v>
      </c>
      <c r="I180" s="1" t="s">
        <v>2267</v>
      </c>
      <c r="J180" s="1" t="s">
        <v>3900</v>
      </c>
      <c r="K180" s="1" t="s">
        <v>4672</v>
      </c>
      <c r="L180" s="1" t="s">
        <v>575</v>
      </c>
      <c r="M180" s="1" t="s">
        <v>1064</v>
      </c>
    </row>
    <row r="181" spans="1:13" x14ac:dyDescent="0.25">
      <c r="A181" s="1" t="s">
        <v>2268</v>
      </c>
      <c r="B181" s="1" t="s">
        <v>583</v>
      </c>
      <c r="C181" s="1" t="s">
        <v>3402</v>
      </c>
      <c r="D181" s="1" t="s">
        <v>308</v>
      </c>
      <c r="E181" s="1" t="s">
        <v>2</v>
      </c>
      <c r="F181" s="1" t="s">
        <v>2</v>
      </c>
      <c r="G181" s="1" t="s">
        <v>308</v>
      </c>
      <c r="H181" s="1" t="s">
        <v>583</v>
      </c>
      <c r="I181" s="1" t="s">
        <v>2269</v>
      </c>
      <c r="J181" s="1" t="s">
        <v>3909</v>
      </c>
      <c r="K181" s="1" t="s">
        <v>4672</v>
      </c>
      <c r="L181" s="1" t="s">
        <v>575</v>
      </c>
      <c r="M181" s="1" t="s">
        <v>1064</v>
      </c>
    </row>
    <row r="182" spans="1:13" x14ac:dyDescent="0.25">
      <c r="A182" s="1" t="s">
        <v>2270</v>
      </c>
      <c r="B182" s="1" t="s">
        <v>583</v>
      </c>
      <c r="C182" s="1" t="s">
        <v>3402</v>
      </c>
      <c r="D182" s="1" t="s">
        <v>308</v>
      </c>
      <c r="E182" s="1" t="s">
        <v>2</v>
      </c>
      <c r="F182" s="1" t="s">
        <v>2</v>
      </c>
      <c r="G182" s="1" t="s">
        <v>314</v>
      </c>
      <c r="H182" s="1" t="s">
        <v>583</v>
      </c>
      <c r="I182" s="1" t="s">
        <v>2271</v>
      </c>
      <c r="J182" s="1" t="s">
        <v>3911</v>
      </c>
      <c r="K182" s="1" t="s">
        <v>4674</v>
      </c>
      <c r="L182" s="1" t="s">
        <v>575</v>
      </c>
      <c r="M182" s="1" t="s">
        <v>1064</v>
      </c>
    </row>
    <row r="183" spans="1:13" x14ac:dyDescent="0.25">
      <c r="A183" s="1" t="s">
        <v>2272</v>
      </c>
      <c r="B183" s="1" t="s">
        <v>583</v>
      </c>
      <c r="C183" s="1" t="s">
        <v>3402</v>
      </c>
      <c r="D183" s="1" t="s">
        <v>308</v>
      </c>
      <c r="E183" s="1" t="s">
        <v>2</v>
      </c>
      <c r="F183" s="1" t="s">
        <v>2</v>
      </c>
      <c r="G183" s="1" t="s">
        <v>314</v>
      </c>
      <c r="H183" s="1" t="s">
        <v>583</v>
      </c>
      <c r="I183" s="1" t="s">
        <v>2273</v>
      </c>
      <c r="J183" s="1" t="s">
        <v>3912</v>
      </c>
      <c r="K183" s="1" t="s">
        <v>4674</v>
      </c>
      <c r="L183" s="1" t="s">
        <v>575</v>
      </c>
      <c r="M183" s="1" t="s">
        <v>1064</v>
      </c>
    </row>
    <row r="184" spans="1:13" x14ac:dyDescent="0.25">
      <c r="A184" s="1" t="s">
        <v>2274</v>
      </c>
      <c r="B184" s="1" t="s">
        <v>583</v>
      </c>
      <c r="C184" s="1" t="s">
        <v>3402</v>
      </c>
      <c r="D184" s="1" t="s">
        <v>308</v>
      </c>
      <c r="E184" s="1" t="s">
        <v>2</v>
      </c>
      <c r="F184" s="1" t="s">
        <v>2</v>
      </c>
      <c r="G184" s="1" t="s">
        <v>314</v>
      </c>
      <c r="H184" s="1" t="s">
        <v>583</v>
      </c>
      <c r="I184" s="1" t="s">
        <v>2275</v>
      </c>
      <c r="J184" s="1" t="s">
        <v>3913</v>
      </c>
      <c r="K184" s="1" t="s">
        <v>4674</v>
      </c>
      <c r="L184" s="1" t="s">
        <v>575</v>
      </c>
      <c r="M184" s="1" t="s">
        <v>1064</v>
      </c>
    </row>
    <row r="185" spans="1:13" x14ac:dyDescent="0.25">
      <c r="A185" s="1" t="s">
        <v>2276</v>
      </c>
      <c r="B185" s="1" t="s">
        <v>583</v>
      </c>
      <c r="C185" s="1" t="s">
        <v>3402</v>
      </c>
      <c r="D185" s="1" t="s">
        <v>308</v>
      </c>
      <c r="E185" s="1" t="s">
        <v>2</v>
      </c>
      <c r="F185" s="1" t="s">
        <v>2</v>
      </c>
      <c r="G185" s="1" t="s">
        <v>314</v>
      </c>
      <c r="H185" s="1" t="s">
        <v>583</v>
      </c>
      <c r="I185" s="1" t="s">
        <v>2277</v>
      </c>
      <c r="J185" s="1" t="s">
        <v>3914</v>
      </c>
      <c r="K185" s="1" t="s">
        <v>4674</v>
      </c>
      <c r="L185" s="1" t="s">
        <v>575</v>
      </c>
      <c r="M185" s="1" t="s">
        <v>1064</v>
      </c>
    </row>
    <row r="186" spans="1:13" x14ac:dyDescent="0.25">
      <c r="A186" s="1" t="s">
        <v>1227</v>
      </c>
      <c r="B186" s="1" t="s">
        <v>586</v>
      </c>
      <c r="C186" s="1" t="s">
        <v>3402</v>
      </c>
      <c r="D186" s="1" t="s">
        <v>308</v>
      </c>
      <c r="E186" s="1" t="s">
        <v>32</v>
      </c>
      <c r="F186" s="1" t="s">
        <v>2</v>
      </c>
      <c r="G186" s="1" t="s">
        <v>32</v>
      </c>
      <c r="H186" s="1" t="s">
        <v>586</v>
      </c>
      <c r="I186" s="1" t="s">
        <v>1236</v>
      </c>
      <c r="J186" s="1" t="s">
        <v>3958</v>
      </c>
      <c r="K186" s="1" t="s">
        <v>4650</v>
      </c>
      <c r="L186" s="1" t="s">
        <v>575</v>
      </c>
      <c r="M186" s="1" t="s">
        <v>1064</v>
      </c>
    </row>
    <row r="187" spans="1:13" x14ac:dyDescent="0.25">
      <c r="A187" s="1" t="s">
        <v>1171</v>
      </c>
      <c r="B187" s="1" t="s">
        <v>583</v>
      </c>
      <c r="C187" s="1" t="s">
        <v>3402</v>
      </c>
      <c r="D187" s="1" t="s">
        <v>308</v>
      </c>
      <c r="E187" s="1" t="s">
        <v>314</v>
      </c>
      <c r="F187" s="1" t="s">
        <v>32</v>
      </c>
      <c r="G187" s="1" t="s">
        <v>32</v>
      </c>
      <c r="H187" s="1" t="s">
        <v>583</v>
      </c>
      <c r="I187" s="1" t="s">
        <v>1181</v>
      </c>
      <c r="J187" s="1" t="s">
        <v>3959</v>
      </c>
      <c r="K187" s="1" t="s">
        <v>4650</v>
      </c>
      <c r="L187" s="1" t="s">
        <v>575</v>
      </c>
      <c r="M187" s="1" t="s">
        <v>1064</v>
      </c>
    </row>
    <row r="188" spans="1:13" x14ac:dyDescent="0.25">
      <c r="A188" s="1" t="s">
        <v>1348</v>
      </c>
      <c r="B188" s="1" t="s">
        <v>583</v>
      </c>
      <c r="C188" s="1" t="s">
        <v>3402</v>
      </c>
      <c r="D188" s="1" t="s">
        <v>314</v>
      </c>
      <c r="E188" s="1" t="s">
        <v>194</v>
      </c>
      <c r="F188" s="1" t="s">
        <v>194</v>
      </c>
      <c r="G188" s="1" t="s">
        <v>194</v>
      </c>
      <c r="H188" s="1" t="s">
        <v>194</v>
      </c>
      <c r="I188" s="1" t="s">
        <v>1351</v>
      </c>
      <c r="J188" s="1" t="s">
        <v>3960</v>
      </c>
      <c r="K188" s="1" t="s">
        <v>4650</v>
      </c>
      <c r="L188" s="1" t="s">
        <v>575</v>
      </c>
      <c r="M188" s="1" t="s">
        <v>1064</v>
      </c>
    </row>
    <row r="189" spans="1:13" x14ac:dyDescent="0.25">
      <c r="A189" s="1" t="s">
        <v>112</v>
      </c>
      <c r="B189" s="1" t="s">
        <v>583</v>
      </c>
      <c r="C189" s="1" t="s">
        <v>3402</v>
      </c>
      <c r="D189" s="1" t="s">
        <v>314</v>
      </c>
      <c r="E189" s="1" t="s">
        <v>194</v>
      </c>
      <c r="F189" s="1" t="s">
        <v>194</v>
      </c>
      <c r="G189" s="1" t="s">
        <v>194</v>
      </c>
      <c r="H189" s="1" t="s">
        <v>194</v>
      </c>
      <c r="I189" s="1" t="s">
        <v>768</v>
      </c>
      <c r="J189" s="1" t="s">
        <v>3961</v>
      </c>
      <c r="K189" s="1" t="s">
        <v>4650</v>
      </c>
      <c r="L189" s="1" t="s">
        <v>575</v>
      </c>
      <c r="M189" s="1" t="s">
        <v>1064</v>
      </c>
    </row>
    <row r="190" spans="1:13" x14ac:dyDescent="0.25">
      <c r="A190" s="1" t="s">
        <v>648</v>
      </c>
      <c r="B190" s="1" t="s">
        <v>583</v>
      </c>
      <c r="C190" s="1" t="s">
        <v>3402</v>
      </c>
      <c r="D190" s="1" t="s">
        <v>314</v>
      </c>
      <c r="E190" s="1" t="s">
        <v>194</v>
      </c>
      <c r="F190" s="1" t="s">
        <v>194</v>
      </c>
      <c r="G190" s="1" t="s">
        <v>194</v>
      </c>
      <c r="H190" s="1" t="s">
        <v>194</v>
      </c>
      <c r="I190" s="1" t="s">
        <v>769</v>
      </c>
      <c r="J190" s="1" t="s">
        <v>3962</v>
      </c>
      <c r="K190" s="1" t="s">
        <v>4650</v>
      </c>
      <c r="L190" s="1" t="s">
        <v>575</v>
      </c>
      <c r="M190" s="1" t="s">
        <v>1064</v>
      </c>
    </row>
    <row r="191" spans="1:13" x14ac:dyDescent="0.25">
      <c r="A191" s="1" t="s">
        <v>692</v>
      </c>
      <c r="B191" s="1" t="s">
        <v>583</v>
      </c>
      <c r="C191" s="1" t="s">
        <v>3402</v>
      </c>
      <c r="D191" s="1" t="s">
        <v>314</v>
      </c>
      <c r="E191" s="1" t="s">
        <v>194</v>
      </c>
      <c r="F191" s="1" t="s">
        <v>194</v>
      </c>
      <c r="G191" s="1" t="s">
        <v>194</v>
      </c>
      <c r="H191" s="1" t="s">
        <v>194</v>
      </c>
      <c r="I191" s="1" t="s">
        <v>770</v>
      </c>
      <c r="J191" s="1" t="s">
        <v>3963</v>
      </c>
      <c r="K191" s="1" t="s">
        <v>4650</v>
      </c>
      <c r="L191" s="1" t="s">
        <v>575</v>
      </c>
      <c r="M191" s="1" t="s">
        <v>1064</v>
      </c>
    </row>
    <row r="192" spans="1:13" x14ac:dyDescent="0.25">
      <c r="A192" s="1" t="s">
        <v>1216</v>
      </c>
      <c r="B192" s="1" t="s">
        <v>583</v>
      </c>
      <c r="C192" s="1" t="s">
        <v>3402</v>
      </c>
      <c r="D192" s="1" t="s">
        <v>314</v>
      </c>
      <c r="E192" s="1" t="s">
        <v>194</v>
      </c>
      <c r="F192" s="1" t="s">
        <v>194</v>
      </c>
      <c r="G192" s="1" t="s">
        <v>194</v>
      </c>
      <c r="H192" s="1" t="s">
        <v>194</v>
      </c>
      <c r="I192" s="1" t="s">
        <v>1219</v>
      </c>
      <c r="J192" s="1" t="s">
        <v>3964</v>
      </c>
      <c r="K192" s="1" t="s">
        <v>4650</v>
      </c>
      <c r="L192" s="1" t="s">
        <v>575</v>
      </c>
      <c r="M192" s="1" t="s">
        <v>1064</v>
      </c>
    </row>
    <row r="193" spans="1:13" x14ac:dyDescent="0.25">
      <c r="A193" s="1" t="s">
        <v>1669</v>
      </c>
      <c r="B193" s="1" t="s">
        <v>583</v>
      </c>
      <c r="C193" s="1" t="s">
        <v>3402</v>
      </c>
      <c r="D193" s="1" t="s">
        <v>314</v>
      </c>
      <c r="E193" s="1" t="s">
        <v>194</v>
      </c>
      <c r="F193" s="1" t="s">
        <v>194</v>
      </c>
      <c r="G193" s="1" t="s">
        <v>194</v>
      </c>
      <c r="H193" s="1" t="s">
        <v>194</v>
      </c>
      <c r="I193" s="1" t="s">
        <v>1670</v>
      </c>
      <c r="J193" s="1" t="s">
        <v>3965</v>
      </c>
      <c r="K193" s="1" t="s">
        <v>4650</v>
      </c>
      <c r="L193" s="1" t="s">
        <v>575</v>
      </c>
      <c r="M193" s="1" t="s">
        <v>1064</v>
      </c>
    </row>
    <row r="194" spans="1:13" x14ac:dyDescent="0.25">
      <c r="A194" s="1" t="s">
        <v>1671</v>
      </c>
      <c r="B194" s="1" t="s">
        <v>583</v>
      </c>
      <c r="C194" s="1" t="s">
        <v>3402</v>
      </c>
      <c r="D194" s="1" t="s">
        <v>314</v>
      </c>
      <c r="E194" s="1" t="s">
        <v>194</v>
      </c>
      <c r="F194" s="1" t="s">
        <v>194</v>
      </c>
      <c r="G194" s="1" t="s">
        <v>194</v>
      </c>
      <c r="H194" s="1" t="s">
        <v>194</v>
      </c>
      <c r="I194" s="1" t="s">
        <v>1672</v>
      </c>
      <c r="J194" s="1" t="s">
        <v>3966</v>
      </c>
      <c r="K194" s="1" t="s">
        <v>4650</v>
      </c>
      <c r="L194" s="1" t="s">
        <v>575</v>
      </c>
      <c r="M194" s="1" t="s">
        <v>1064</v>
      </c>
    </row>
    <row r="195" spans="1:13" x14ac:dyDescent="0.25">
      <c r="A195" s="1" t="s">
        <v>1673</v>
      </c>
      <c r="B195" s="1" t="s">
        <v>583</v>
      </c>
      <c r="C195" s="1" t="s">
        <v>3402</v>
      </c>
      <c r="D195" s="1" t="s">
        <v>314</v>
      </c>
      <c r="E195" s="1" t="s">
        <v>194</v>
      </c>
      <c r="F195" s="1" t="s">
        <v>194</v>
      </c>
      <c r="G195" s="1" t="s">
        <v>194</v>
      </c>
      <c r="H195" s="1" t="s">
        <v>194</v>
      </c>
      <c r="I195" s="1" t="s">
        <v>1674</v>
      </c>
      <c r="J195" s="1" t="s">
        <v>3967</v>
      </c>
      <c r="K195" s="1" t="s">
        <v>4650</v>
      </c>
      <c r="L195" s="1" t="s">
        <v>575</v>
      </c>
      <c r="M195" s="1" t="s">
        <v>1064</v>
      </c>
    </row>
    <row r="196" spans="1:13" x14ac:dyDescent="0.25">
      <c r="A196" s="1" t="s">
        <v>1848</v>
      </c>
      <c r="B196" s="1" t="s">
        <v>583</v>
      </c>
      <c r="C196" s="1" t="s">
        <v>3402</v>
      </c>
      <c r="D196" s="1" t="s">
        <v>314</v>
      </c>
      <c r="E196" s="1" t="s">
        <v>194</v>
      </c>
      <c r="F196" s="1" t="s">
        <v>194</v>
      </c>
      <c r="G196" s="1" t="s">
        <v>194</v>
      </c>
      <c r="H196" s="1" t="s">
        <v>194</v>
      </c>
      <c r="I196" s="1" t="s">
        <v>1849</v>
      </c>
      <c r="J196" s="1" t="s">
        <v>3968</v>
      </c>
      <c r="K196" s="1" t="s">
        <v>4650</v>
      </c>
      <c r="L196" s="1" t="s">
        <v>575</v>
      </c>
      <c r="M196" s="1" t="s">
        <v>1064</v>
      </c>
    </row>
    <row r="197" spans="1:13" x14ac:dyDescent="0.25">
      <c r="A197" s="1" t="s">
        <v>1850</v>
      </c>
      <c r="B197" s="1" t="s">
        <v>583</v>
      </c>
      <c r="C197" s="1" t="s">
        <v>3402</v>
      </c>
      <c r="D197" s="1" t="s">
        <v>314</v>
      </c>
      <c r="E197" s="1" t="s">
        <v>194</v>
      </c>
      <c r="F197" s="1" t="s">
        <v>194</v>
      </c>
      <c r="G197" s="1" t="s">
        <v>194</v>
      </c>
      <c r="H197" s="1" t="s">
        <v>194</v>
      </c>
      <c r="I197" s="1" t="s">
        <v>1851</v>
      </c>
      <c r="J197" s="1" t="s">
        <v>3969</v>
      </c>
      <c r="K197" s="1" t="s">
        <v>4650</v>
      </c>
      <c r="L197" s="1" t="s">
        <v>1907</v>
      </c>
      <c r="M197" s="1" t="s">
        <v>1064</v>
      </c>
    </row>
    <row r="198" spans="1:13" x14ac:dyDescent="0.25">
      <c r="A198" s="1" t="s">
        <v>1852</v>
      </c>
      <c r="B198" s="1" t="s">
        <v>583</v>
      </c>
      <c r="C198" s="1" t="s">
        <v>3402</v>
      </c>
      <c r="D198" s="1" t="s">
        <v>314</v>
      </c>
      <c r="E198" s="1" t="s">
        <v>194</v>
      </c>
      <c r="F198" s="1" t="s">
        <v>194</v>
      </c>
      <c r="G198" s="1" t="s">
        <v>194</v>
      </c>
      <c r="H198" s="1" t="s">
        <v>194</v>
      </c>
      <c r="I198" s="1" t="s">
        <v>1853</v>
      </c>
      <c r="J198" s="1" t="s">
        <v>3970</v>
      </c>
      <c r="K198" s="1" t="s">
        <v>4650</v>
      </c>
      <c r="L198" s="1" t="s">
        <v>575</v>
      </c>
      <c r="M198" s="1" t="s">
        <v>1064</v>
      </c>
    </row>
    <row r="199" spans="1:13" x14ac:dyDescent="0.25">
      <c r="A199" s="1" t="s">
        <v>1854</v>
      </c>
      <c r="B199" s="1" t="s">
        <v>583</v>
      </c>
      <c r="C199" s="1" t="s">
        <v>3402</v>
      </c>
      <c r="D199" s="1" t="s">
        <v>314</v>
      </c>
      <c r="E199" s="1" t="s">
        <v>194</v>
      </c>
      <c r="F199" s="1" t="s">
        <v>194</v>
      </c>
      <c r="G199" s="1" t="s">
        <v>194</v>
      </c>
      <c r="H199" s="1" t="s">
        <v>194</v>
      </c>
      <c r="I199" s="1" t="s">
        <v>1855</v>
      </c>
      <c r="J199" s="1" t="s">
        <v>3971</v>
      </c>
      <c r="K199" s="1" t="s">
        <v>4650</v>
      </c>
      <c r="L199" s="1" t="s">
        <v>575</v>
      </c>
      <c r="M199" s="1" t="s">
        <v>1064</v>
      </c>
    </row>
    <row r="200" spans="1:13" x14ac:dyDescent="0.25">
      <c r="A200" s="1" t="s">
        <v>1856</v>
      </c>
      <c r="B200" s="1" t="s">
        <v>583</v>
      </c>
      <c r="C200" s="1" t="s">
        <v>3402</v>
      </c>
      <c r="D200" s="1" t="s">
        <v>314</v>
      </c>
      <c r="E200" s="1" t="s">
        <v>194</v>
      </c>
      <c r="F200" s="1" t="s">
        <v>194</v>
      </c>
      <c r="G200" s="1" t="s">
        <v>194</v>
      </c>
      <c r="H200" s="1" t="s">
        <v>194</v>
      </c>
      <c r="I200" s="1" t="s">
        <v>1857</v>
      </c>
      <c r="J200" s="1" t="s">
        <v>3972</v>
      </c>
      <c r="K200" s="1" t="s">
        <v>4650</v>
      </c>
      <c r="L200" s="1" t="s">
        <v>575</v>
      </c>
      <c r="M200" s="1" t="s">
        <v>1064</v>
      </c>
    </row>
    <row r="201" spans="1:13" x14ac:dyDescent="0.25">
      <c r="A201" s="1" t="s">
        <v>1171</v>
      </c>
      <c r="B201" s="1" t="s">
        <v>586</v>
      </c>
      <c r="C201" s="1" t="s">
        <v>3402</v>
      </c>
      <c r="D201" s="1" t="s">
        <v>2</v>
      </c>
      <c r="E201" s="1" t="s">
        <v>32</v>
      </c>
      <c r="F201" s="1" t="s">
        <v>1267</v>
      </c>
      <c r="G201" s="1" t="s">
        <v>32</v>
      </c>
      <c r="H201" s="1" t="s">
        <v>586</v>
      </c>
      <c r="I201" s="1" t="s">
        <v>1180</v>
      </c>
      <c r="J201" s="1" t="s">
        <v>3973</v>
      </c>
      <c r="K201" s="1" t="s">
        <v>4650</v>
      </c>
      <c r="L201" s="1" t="s">
        <v>575</v>
      </c>
      <c r="M201" s="1" t="s">
        <v>1064</v>
      </c>
    </row>
    <row r="202" spans="1:13" x14ac:dyDescent="0.25">
      <c r="A202" s="1" t="s">
        <v>1172</v>
      </c>
      <c r="B202" s="1" t="s">
        <v>583</v>
      </c>
      <c r="C202" s="1" t="s">
        <v>3402</v>
      </c>
      <c r="D202" s="1" t="s">
        <v>308</v>
      </c>
      <c r="E202" s="1" t="s">
        <v>314</v>
      </c>
      <c r="F202" s="1" t="s">
        <v>32</v>
      </c>
      <c r="G202" s="1" t="s">
        <v>32</v>
      </c>
      <c r="H202" s="1" t="s">
        <v>583</v>
      </c>
      <c r="I202" s="1" t="s">
        <v>1184</v>
      </c>
      <c r="J202" s="1" t="s">
        <v>3974</v>
      </c>
      <c r="K202" s="1" t="s">
        <v>4650</v>
      </c>
      <c r="L202" s="1" t="s">
        <v>575</v>
      </c>
      <c r="M202" s="1" t="s">
        <v>1064</v>
      </c>
    </row>
    <row r="203" spans="1:13" x14ac:dyDescent="0.25">
      <c r="A203" s="1" t="s">
        <v>1172</v>
      </c>
      <c r="B203" s="1" t="s">
        <v>584</v>
      </c>
      <c r="C203" s="1" t="s">
        <v>3402</v>
      </c>
      <c r="D203" s="1" t="s">
        <v>2</v>
      </c>
      <c r="E203" s="1" t="s">
        <v>32</v>
      </c>
      <c r="F203" s="1" t="s">
        <v>32</v>
      </c>
      <c r="G203" s="1" t="s">
        <v>2</v>
      </c>
      <c r="H203" s="1" t="s">
        <v>584</v>
      </c>
      <c r="I203" s="1" t="s">
        <v>1182</v>
      </c>
      <c r="J203" s="1" t="s">
        <v>3975</v>
      </c>
      <c r="K203" s="1" t="s">
        <v>4650</v>
      </c>
      <c r="L203" s="1" t="s">
        <v>575</v>
      </c>
      <c r="M203" s="1" t="s">
        <v>1064</v>
      </c>
    </row>
    <row r="204" spans="1:13" x14ac:dyDescent="0.25">
      <c r="A204" s="1" t="s">
        <v>1172</v>
      </c>
      <c r="B204" s="1" t="s">
        <v>586</v>
      </c>
      <c r="C204" s="1" t="s">
        <v>3402</v>
      </c>
      <c r="D204" s="1" t="s">
        <v>2</v>
      </c>
      <c r="E204" s="1" t="s">
        <v>32</v>
      </c>
      <c r="F204" s="1" t="s">
        <v>585</v>
      </c>
      <c r="G204" s="1" t="s">
        <v>32</v>
      </c>
      <c r="H204" s="1" t="s">
        <v>586</v>
      </c>
      <c r="I204" s="1" t="s">
        <v>1183</v>
      </c>
      <c r="J204" s="1" t="s">
        <v>3976</v>
      </c>
      <c r="K204" s="1" t="s">
        <v>4650</v>
      </c>
      <c r="L204" s="1" t="s">
        <v>575</v>
      </c>
      <c r="M204" s="1" t="s">
        <v>1064</v>
      </c>
    </row>
    <row r="205" spans="1:13" x14ac:dyDescent="0.25">
      <c r="A205" s="1" t="s">
        <v>1231</v>
      </c>
      <c r="B205" s="1" t="s">
        <v>583</v>
      </c>
      <c r="C205" s="1" t="s">
        <v>3402</v>
      </c>
      <c r="D205" s="1" t="s">
        <v>308</v>
      </c>
      <c r="E205" s="1" t="s">
        <v>314</v>
      </c>
      <c r="F205" s="1" t="s">
        <v>32</v>
      </c>
      <c r="G205" s="1" t="s">
        <v>32</v>
      </c>
      <c r="H205" s="1" t="s">
        <v>583</v>
      </c>
      <c r="I205" s="1" t="s">
        <v>1238</v>
      </c>
      <c r="J205" s="1" t="s">
        <v>3977</v>
      </c>
      <c r="K205" s="1" t="s">
        <v>4650</v>
      </c>
      <c r="L205" s="1" t="s">
        <v>575</v>
      </c>
      <c r="M205" s="1" t="s">
        <v>1064</v>
      </c>
    </row>
    <row r="206" spans="1:13" x14ac:dyDescent="0.25">
      <c r="A206" s="1" t="s">
        <v>1231</v>
      </c>
      <c r="B206" s="1" t="s">
        <v>586</v>
      </c>
      <c r="C206" s="1" t="s">
        <v>3402</v>
      </c>
      <c r="D206" s="1" t="s">
        <v>2</v>
      </c>
      <c r="E206" s="1" t="s">
        <v>32</v>
      </c>
      <c r="F206" s="1" t="s">
        <v>1267</v>
      </c>
      <c r="G206" s="1" t="s">
        <v>32</v>
      </c>
      <c r="H206" s="1" t="s">
        <v>586</v>
      </c>
      <c r="I206" s="1" t="s">
        <v>1237</v>
      </c>
      <c r="J206" s="1" t="s">
        <v>3978</v>
      </c>
      <c r="K206" s="1" t="s">
        <v>4650</v>
      </c>
      <c r="L206" s="1" t="s">
        <v>575</v>
      </c>
      <c r="M206" s="1" t="s">
        <v>1064</v>
      </c>
    </row>
    <row r="207" spans="1:13" x14ac:dyDescent="0.25">
      <c r="A207" s="1" t="s">
        <v>1702</v>
      </c>
      <c r="B207" s="1" t="s">
        <v>583</v>
      </c>
      <c r="C207" s="1" t="s">
        <v>3402</v>
      </c>
      <c r="D207" s="1" t="s">
        <v>314</v>
      </c>
      <c r="E207" s="1" t="s">
        <v>194</v>
      </c>
      <c r="F207" s="1" t="s">
        <v>194</v>
      </c>
      <c r="G207" s="1" t="s">
        <v>194</v>
      </c>
      <c r="H207" s="1" t="s">
        <v>194</v>
      </c>
      <c r="I207" s="1" t="s">
        <v>1734</v>
      </c>
      <c r="J207" s="1" t="s">
        <v>3979</v>
      </c>
      <c r="K207" s="1" t="s">
        <v>4650</v>
      </c>
      <c r="L207" s="1"/>
      <c r="M207" s="1" t="s">
        <v>1064</v>
      </c>
    </row>
    <row r="208" spans="1:13" x14ac:dyDescent="0.25">
      <c r="A208" s="1" t="s">
        <v>645</v>
      </c>
      <c r="B208" s="1" t="s">
        <v>583</v>
      </c>
      <c r="C208" s="1" t="s">
        <v>3402</v>
      </c>
      <c r="D208" s="1" t="s">
        <v>308</v>
      </c>
      <c r="E208" s="1" t="s">
        <v>314</v>
      </c>
      <c r="F208" s="1" t="s">
        <v>32</v>
      </c>
      <c r="G208" s="1" t="s">
        <v>32</v>
      </c>
      <c r="H208" s="1" t="s">
        <v>583</v>
      </c>
      <c r="I208" s="1" t="s">
        <v>764</v>
      </c>
      <c r="J208" s="1" t="s">
        <v>3980</v>
      </c>
      <c r="K208" s="1" t="s">
        <v>4663</v>
      </c>
      <c r="L208" s="1" t="s">
        <v>575</v>
      </c>
      <c r="M208" s="1" t="s">
        <v>1064</v>
      </c>
    </row>
    <row r="209" spans="1:13" x14ac:dyDescent="0.25">
      <c r="A209" s="1" t="s">
        <v>645</v>
      </c>
      <c r="B209" s="1" t="s">
        <v>586</v>
      </c>
      <c r="C209" s="1" t="s">
        <v>3402</v>
      </c>
      <c r="D209" s="1" t="s">
        <v>308</v>
      </c>
      <c r="E209" s="1" t="s">
        <v>32</v>
      </c>
      <c r="F209" s="1" t="s">
        <v>2</v>
      </c>
      <c r="G209" s="1" t="s">
        <v>32</v>
      </c>
      <c r="H209" s="1" t="s">
        <v>586</v>
      </c>
      <c r="I209" s="1" t="s">
        <v>763</v>
      </c>
      <c r="J209" s="1" t="s">
        <v>3981</v>
      </c>
      <c r="K209" s="1" t="s">
        <v>4663</v>
      </c>
      <c r="L209" s="1" t="s">
        <v>575</v>
      </c>
      <c r="M209" s="1" t="s">
        <v>1064</v>
      </c>
    </row>
    <row r="210" spans="1:13" x14ac:dyDescent="0.25">
      <c r="A210" s="1" t="s">
        <v>646</v>
      </c>
      <c r="B210" s="1" t="s">
        <v>583</v>
      </c>
      <c r="C210" s="1" t="s">
        <v>3402</v>
      </c>
      <c r="D210" s="1" t="s">
        <v>308</v>
      </c>
      <c r="E210" s="1" t="s">
        <v>314</v>
      </c>
      <c r="F210" s="1" t="s">
        <v>32</v>
      </c>
      <c r="G210" s="1" t="s">
        <v>32</v>
      </c>
      <c r="H210" s="1" t="s">
        <v>583</v>
      </c>
      <c r="I210" s="1" t="s">
        <v>765</v>
      </c>
      <c r="J210" s="1" t="s">
        <v>3982</v>
      </c>
      <c r="K210" s="1" t="s">
        <v>4663</v>
      </c>
      <c r="L210" s="1" t="s">
        <v>575</v>
      </c>
      <c r="M210" s="1" t="s">
        <v>1064</v>
      </c>
    </row>
    <row r="211" spans="1:13" x14ac:dyDescent="0.25">
      <c r="A211" s="1" t="s">
        <v>1352</v>
      </c>
      <c r="B211" s="1" t="s">
        <v>583</v>
      </c>
      <c r="C211" s="1" t="s">
        <v>3402</v>
      </c>
      <c r="D211" s="1" t="s">
        <v>308</v>
      </c>
      <c r="E211" s="1" t="s">
        <v>314</v>
      </c>
      <c r="F211" s="1" t="s">
        <v>32</v>
      </c>
      <c r="G211" s="1" t="s">
        <v>32</v>
      </c>
      <c r="H211" s="1" t="s">
        <v>583</v>
      </c>
      <c r="I211" s="1" t="s">
        <v>1358</v>
      </c>
      <c r="J211" s="1" t="s">
        <v>3983</v>
      </c>
      <c r="K211" s="1" t="s">
        <v>4663</v>
      </c>
      <c r="L211" s="1" t="s">
        <v>575</v>
      </c>
      <c r="M211" s="1" t="s">
        <v>1064</v>
      </c>
    </row>
    <row r="212" spans="1:13" x14ac:dyDescent="0.25">
      <c r="A212" s="1" t="s">
        <v>1352</v>
      </c>
      <c r="B212" s="1" t="s">
        <v>586</v>
      </c>
      <c r="C212" s="1" t="s">
        <v>3402</v>
      </c>
      <c r="D212" s="1" t="s">
        <v>2</v>
      </c>
      <c r="E212" s="1" t="s">
        <v>32</v>
      </c>
      <c r="F212" s="1" t="s">
        <v>585</v>
      </c>
      <c r="G212" s="1" t="s">
        <v>32</v>
      </c>
      <c r="H212" s="1" t="s">
        <v>586</v>
      </c>
      <c r="I212" s="1" t="s">
        <v>1355</v>
      </c>
      <c r="J212" s="1" t="s">
        <v>3984</v>
      </c>
      <c r="K212" s="1" t="s">
        <v>4663</v>
      </c>
      <c r="L212" s="1" t="s">
        <v>575</v>
      </c>
      <c r="M212" s="1" t="s">
        <v>1064</v>
      </c>
    </row>
    <row r="213" spans="1:13" x14ac:dyDescent="0.25">
      <c r="A213" s="1" t="s">
        <v>1359</v>
      </c>
      <c r="B213" s="1" t="s">
        <v>583</v>
      </c>
      <c r="C213" s="1" t="s">
        <v>3402</v>
      </c>
      <c r="D213" s="1" t="s">
        <v>308</v>
      </c>
      <c r="E213" s="1" t="s">
        <v>2</v>
      </c>
      <c r="F213" s="1" t="s">
        <v>32</v>
      </c>
      <c r="G213" s="1" t="s">
        <v>32</v>
      </c>
      <c r="H213" s="1" t="s">
        <v>583</v>
      </c>
      <c r="I213" s="1" t="s">
        <v>1365</v>
      </c>
      <c r="J213" s="1" t="s">
        <v>3985</v>
      </c>
      <c r="K213" s="1" t="s">
        <v>4663</v>
      </c>
      <c r="L213" s="1" t="s">
        <v>575</v>
      </c>
      <c r="M213" s="1" t="s">
        <v>1064</v>
      </c>
    </row>
    <row r="214" spans="1:13" x14ac:dyDescent="0.25">
      <c r="A214" s="1" t="s">
        <v>1359</v>
      </c>
      <c r="B214" s="1" t="s">
        <v>586</v>
      </c>
      <c r="C214" s="1" t="s">
        <v>3402</v>
      </c>
      <c r="D214" s="1" t="s">
        <v>308</v>
      </c>
      <c r="E214" s="1" t="s">
        <v>32</v>
      </c>
      <c r="F214" s="1" t="s">
        <v>2</v>
      </c>
      <c r="G214" s="1" t="s">
        <v>32</v>
      </c>
      <c r="H214" s="1" t="s">
        <v>586</v>
      </c>
      <c r="I214" s="1" t="s">
        <v>1362</v>
      </c>
      <c r="J214" s="1" t="s">
        <v>3986</v>
      </c>
      <c r="K214" s="1" t="s">
        <v>4663</v>
      </c>
      <c r="L214" s="1" t="s">
        <v>575</v>
      </c>
      <c r="M214" s="1" t="s">
        <v>1064</v>
      </c>
    </row>
    <row r="215" spans="1:13" x14ac:dyDescent="0.25">
      <c r="A215" s="1" t="s">
        <v>1366</v>
      </c>
      <c r="B215" s="1" t="s">
        <v>583</v>
      </c>
      <c r="C215" s="1" t="s">
        <v>3402</v>
      </c>
      <c r="D215" s="1" t="s">
        <v>308</v>
      </c>
      <c r="E215" s="1" t="s">
        <v>2</v>
      </c>
      <c r="F215" s="1" t="s">
        <v>32</v>
      </c>
      <c r="G215" s="1" t="s">
        <v>32</v>
      </c>
      <c r="H215" s="1" t="s">
        <v>583</v>
      </c>
      <c r="I215" s="1" t="s">
        <v>1372</v>
      </c>
      <c r="J215" s="1" t="s">
        <v>3987</v>
      </c>
      <c r="K215" s="1" t="s">
        <v>4663</v>
      </c>
      <c r="L215" s="1" t="s">
        <v>575</v>
      </c>
      <c r="M215" s="1" t="s">
        <v>1064</v>
      </c>
    </row>
    <row r="216" spans="1:13" x14ac:dyDescent="0.25">
      <c r="A216" s="1" t="s">
        <v>1366</v>
      </c>
      <c r="B216" s="1" t="s">
        <v>586</v>
      </c>
      <c r="C216" s="1" t="s">
        <v>3402</v>
      </c>
      <c r="D216" s="1" t="s">
        <v>2</v>
      </c>
      <c r="E216" s="1" t="s">
        <v>32</v>
      </c>
      <c r="F216" s="1" t="s">
        <v>585</v>
      </c>
      <c r="G216" s="1" t="s">
        <v>32</v>
      </c>
      <c r="H216" s="1" t="s">
        <v>586</v>
      </c>
      <c r="I216" s="1" t="s">
        <v>1369</v>
      </c>
      <c r="J216" s="1" t="s">
        <v>3988</v>
      </c>
      <c r="K216" s="1" t="s">
        <v>4663</v>
      </c>
      <c r="L216" s="1" t="s">
        <v>575</v>
      </c>
      <c r="M216" s="1" t="s">
        <v>1064</v>
      </c>
    </row>
    <row r="217" spans="1:13" x14ac:dyDescent="0.25">
      <c r="A217" s="1" t="s">
        <v>1373</v>
      </c>
      <c r="B217" s="1" t="s">
        <v>583</v>
      </c>
      <c r="C217" s="1" t="s">
        <v>3402</v>
      </c>
      <c r="D217" s="1" t="s">
        <v>308</v>
      </c>
      <c r="E217" s="1" t="s">
        <v>2</v>
      </c>
      <c r="F217" s="1" t="s">
        <v>32</v>
      </c>
      <c r="G217" s="1" t="s">
        <v>32</v>
      </c>
      <c r="H217" s="1" t="s">
        <v>583</v>
      </c>
      <c r="I217" s="1" t="s">
        <v>1379</v>
      </c>
      <c r="J217" s="1" t="s">
        <v>3989</v>
      </c>
      <c r="K217" s="1" t="s">
        <v>4663</v>
      </c>
      <c r="L217" s="1" t="s">
        <v>575</v>
      </c>
      <c r="M217" s="1" t="s">
        <v>1064</v>
      </c>
    </row>
    <row r="218" spans="1:13" x14ac:dyDescent="0.25">
      <c r="A218" s="1" t="s">
        <v>1373</v>
      </c>
      <c r="B218" s="1" t="s">
        <v>586</v>
      </c>
      <c r="C218" s="1" t="s">
        <v>3402</v>
      </c>
      <c r="D218" s="1" t="s">
        <v>308</v>
      </c>
      <c r="E218" s="1" t="s">
        <v>32</v>
      </c>
      <c r="F218" s="1" t="s">
        <v>2</v>
      </c>
      <c r="G218" s="1" t="s">
        <v>32</v>
      </c>
      <c r="H218" s="1" t="s">
        <v>586</v>
      </c>
      <c r="I218" s="1" t="s">
        <v>1376</v>
      </c>
      <c r="J218" s="1" t="s">
        <v>3990</v>
      </c>
      <c r="K218" s="1" t="s">
        <v>4663</v>
      </c>
      <c r="L218" s="1" t="s">
        <v>575</v>
      </c>
      <c r="M218" s="1" t="s">
        <v>1064</v>
      </c>
    </row>
    <row r="219" spans="1:13" x14ac:dyDescent="0.25">
      <c r="A219" s="1" t="s">
        <v>1380</v>
      </c>
      <c r="B219" s="1" t="s">
        <v>583</v>
      </c>
      <c r="C219" s="1" t="s">
        <v>3402</v>
      </c>
      <c r="D219" s="1" t="s">
        <v>308</v>
      </c>
      <c r="E219" s="1" t="s">
        <v>2</v>
      </c>
      <c r="F219" s="1" t="s">
        <v>32</v>
      </c>
      <c r="G219" s="1" t="s">
        <v>32</v>
      </c>
      <c r="H219" s="1" t="s">
        <v>583</v>
      </c>
      <c r="I219" s="1" t="s">
        <v>1386</v>
      </c>
      <c r="J219" s="1" t="s">
        <v>3991</v>
      </c>
      <c r="K219" s="1" t="s">
        <v>4663</v>
      </c>
      <c r="L219" s="1" t="s">
        <v>575</v>
      </c>
      <c r="M219" s="1" t="s">
        <v>1064</v>
      </c>
    </row>
    <row r="220" spans="1:13" x14ac:dyDescent="0.25">
      <c r="A220" s="1" t="s">
        <v>1380</v>
      </c>
      <c r="B220" s="1" t="s">
        <v>586</v>
      </c>
      <c r="C220" s="1" t="s">
        <v>3402</v>
      </c>
      <c r="D220" s="1" t="s">
        <v>308</v>
      </c>
      <c r="E220" s="1" t="s">
        <v>32</v>
      </c>
      <c r="F220" s="1" t="s">
        <v>2</v>
      </c>
      <c r="G220" s="1" t="s">
        <v>32</v>
      </c>
      <c r="H220" s="1" t="s">
        <v>586</v>
      </c>
      <c r="I220" s="1" t="s">
        <v>1383</v>
      </c>
      <c r="J220" s="1" t="s">
        <v>3992</v>
      </c>
      <c r="K220" s="1" t="s">
        <v>4663</v>
      </c>
      <c r="L220" s="1" t="s">
        <v>575</v>
      </c>
      <c r="M220" s="1" t="s">
        <v>1064</v>
      </c>
    </row>
    <row r="221" spans="1:13" x14ac:dyDescent="0.25">
      <c r="A221" s="1" t="s">
        <v>1675</v>
      </c>
      <c r="B221" s="1" t="s">
        <v>583</v>
      </c>
      <c r="C221" s="1" t="s">
        <v>3402</v>
      </c>
      <c r="D221" s="1" t="s">
        <v>314</v>
      </c>
      <c r="E221" s="1" t="s">
        <v>194</v>
      </c>
      <c r="F221" s="1" t="s">
        <v>194</v>
      </c>
      <c r="G221" s="1" t="s">
        <v>194</v>
      </c>
      <c r="H221" s="1" t="s">
        <v>194</v>
      </c>
      <c r="I221" s="1" t="s">
        <v>1676</v>
      </c>
      <c r="J221" s="1" t="s">
        <v>3993</v>
      </c>
      <c r="K221" s="1" t="s">
        <v>4663</v>
      </c>
      <c r="L221" s="1" t="s">
        <v>575</v>
      </c>
      <c r="M221" s="1" t="s">
        <v>1064</v>
      </c>
    </row>
    <row r="222" spans="1:13" x14ac:dyDescent="0.25">
      <c r="A222" s="1" t="s">
        <v>1677</v>
      </c>
      <c r="B222" s="1" t="s">
        <v>583</v>
      </c>
      <c r="C222" s="1" t="s">
        <v>3402</v>
      </c>
      <c r="D222" s="1" t="s">
        <v>314</v>
      </c>
      <c r="E222" s="1" t="s">
        <v>194</v>
      </c>
      <c r="F222" s="1" t="s">
        <v>194</v>
      </c>
      <c r="G222" s="1" t="s">
        <v>194</v>
      </c>
      <c r="H222" s="1" t="s">
        <v>194</v>
      </c>
      <c r="I222" s="1" t="s">
        <v>1678</v>
      </c>
      <c r="J222" s="1" t="s">
        <v>3994</v>
      </c>
      <c r="K222" s="1" t="s">
        <v>4663</v>
      </c>
      <c r="L222" s="1" t="s">
        <v>575</v>
      </c>
      <c r="M222" s="1" t="s">
        <v>1064</v>
      </c>
    </row>
    <row r="223" spans="1:13" x14ac:dyDescent="0.25">
      <c r="A223" s="1" t="s">
        <v>1679</v>
      </c>
      <c r="B223" s="1" t="s">
        <v>583</v>
      </c>
      <c r="C223" s="1" t="s">
        <v>3402</v>
      </c>
      <c r="D223" s="1" t="s">
        <v>314</v>
      </c>
      <c r="E223" s="1" t="s">
        <v>194</v>
      </c>
      <c r="F223" s="1" t="s">
        <v>194</v>
      </c>
      <c r="G223" s="1" t="s">
        <v>194</v>
      </c>
      <c r="H223" s="1" t="s">
        <v>194</v>
      </c>
      <c r="I223" s="1" t="s">
        <v>1680</v>
      </c>
      <c r="J223" s="1" t="s">
        <v>3995</v>
      </c>
      <c r="K223" s="1" t="s">
        <v>4663</v>
      </c>
      <c r="L223" s="1" t="s">
        <v>575</v>
      </c>
      <c r="M223" s="1" t="s">
        <v>1064</v>
      </c>
    </row>
    <row r="224" spans="1:13" x14ac:dyDescent="0.25">
      <c r="A224" s="1" t="s">
        <v>1054</v>
      </c>
      <c r="B224" s="1" t="s">
        <v>583</v>
      </c>
      <c r="C224" s="1" t="s">
        <v>3402</v>
      </c>
      <c r="D224" s="1" t="s">
        <v>314</v>
      </c>
      <c r="E224" s="1" t="s">
        <v>194</v>
      </c>
      <c r="F224" s="1" t="s">
        <v>194</v>
      </c>
      <c r="G224" s="1" t="s">
        <v>194</v>
      </c>
      <c r="H224" s="1" t="s">
        <v>194</v>
      </c>
      <c r="I224" s="1" t="s">
        <v>1058</v>
      </c>
      <c r="J224" s="1" t="s">
        <v>3996</v>
      </c>
      <c r="K224" s="1" t="s">
        <v>4665</v>
      </c>
      <c r="L224" s="1" t="s">
        <v>575</v>
      </c>
      <c r="M224" s="1" t="s">
        <v>1064</v>
      </c>
    </row>
    <row r="225" spans="1:13" x14ac:dyDescent="0.25">
      <c r="A225" s="1" t="s">
        <v>1056</v>
      </c>
      <c r="B225" s="1" t="s">
        <v>583</v>
      </c>
      <c r="C225" s="1" t="s">
        <v>3402</v>
      </c>
      <c r="D225" s="1" t="s">
        <v>314</v>
      </c>
      <c r="E225" s="1" t="s">
        <v>194</v>
      </c>
      <c r="F225" s="1" t="s">
        <v>194</v>
      </c>
      <c r="G225" s="1" t="s">
        <v>194</v>
      </c>
      <c r="H225" s="1" t="s">
        <v>194</v>
      </c>
      <c r="I225" s="1" t="s">
        <v>1059</v>
      </c>
      <c r="J225" s="1" t="s">
        <v>3997</v>
      </c>
      <c r="K225" s="1" t="s">
        <v>4665</v>
      </c>
      <c r="L225" s="1" t="s">
        <v>575</v>
      </c>
      <c r="M225" s="1" t="s">
        <v>1064</v>
      </c>
    </row>
    <row r="226" spans="1:13" x14ac:dyDescent="0.25">
      <c r="A226" s="1" t="s">
        <v>1057</v>
      </c>
      <c r="B226" s="1" t="s">
        <v>583</v>
      </c>
      <c r="C226" s="1" t="s">
        <v>3402</v>
      </c>
      <c r="D226" s="1" t="s">
        <v>314</v>
      </c>
      <c r="E226" s="1" t="s">
        <v>194</v>
      </c>
      <c r="F226" s="1" t="s">
        <v>194</v>
      </c>
      <c r="G226" s="1" t="s">
        <v>194</v>
      </c>
      <c r="H226" s="1" t="s">
        <v>194</v>
      </c>
      <c r="I226" s="1" t="s">
        <v>1060</v>
      </c>
      <c r="J226" s="1" t="s">
        <v>3998</v>
      </c>
      <c r="K226" s="1" t="s">
        <v>4665</v>
      </c>
      <c r="L226" s="1" t="s">
        <v>575</v>
      </c>
      <c r="M226" s="1" t="s">
        <v>1064</v>
      </c>
    </row>
    <row r="227" spans="1:13" x14ac:dyDescent="0.25">
      <c r="A227" s="1" t="s">
        <v>1387</v>
      </c>
      <c r="B227" s="1" t="s">
        <v>583</v>
      </c>
      <c r="C227" s="1" t="s">
        <v>3402</v>
      </c>
      <c r="D227" s="1" t="s">
        <v>314</v>
      </c>
      <c r="E227" s="1" t="s">
        <v>194</v>
      </c>
      <c r="F227" s="1" t="s">
        <v>194</v>
      </c>
      <c r="G227" s="1" t="s">
        <v>194</v>
      </c>
      <c r="H227" s="1" t="s">
        <v>194</v>
      </c>
      <c r="I227" s="1" t="s">
        <v>1390</v>
      </c>
      <c r="J227" s="1" t="s">
        <v>3999</v>
      </c>
      <c r="K227" s="1" t="s">
        <v>4665</v>
      </c>
      <c r="L227" s="1" t="s">
        <v>575</v>
      </c>
      <c r="M227" s="1" t="s">
        <v>1064</v>
      </c>
    </row>
    <row r="228" spans="1:13" x14ac:dyDescent="0.25">
      <c r="A228" s="1" t="s">
        <v>1391</v>
      </c>
      <c r="B228" s="1" t="s">
        <v>583</v>
      </c>
      <c r="C228" s="1" t="s">
        <v>3402</v>
      </c>
      <c r="D228" s="1" t="s">
        <v>314</v>
      </c>
      <c r="E228" s="1" t="s">
        <v>194</v>
      </c>
      <c r="F228" s="1" t="s">
        <v>194</v>
      </c>
      <c r="G228" s="1" t="s">
        <v>194</v>
      </c>
      <c r="H228" s="1" t="s">
        <v>194</v>
      </c>
      <c r="I228" s="1" t="s">
        <v>1394</v>
      </c>
      <c r="J228" s="1" t="s">
        <v>4000</v>
      </c>
      <c r="K228" s="1" t="s">
        <v>4665</v>
      </c>
      <c r="L228" s="1" t="s">
        <v>575</v>
      </c>
      <c r="M228" s="1" t="s">
        <v>1064</v>
      </c>
    </row>
    <row r="229" spans="1:13" x14ac:dyDescent="0.25">
      <c r="A229" s="1" t="s">
        <v>1395</v>
      </c>
      <c r="B229" s="1" t="s">
        <v>583</v>
      </c>
      <c r="C229" s="1" t="s">
        <v>3402</v>
      </c>
      <c r="D229" s="1" t="s">
        <v>314</v>
      </c>
      <c r="E229" s="1" t="s">
        <v>194</v>
      </c>
      <c r="F229" s="1" t="s">
        <v>194</v>
      </c>
      <c r="G229" s="1" t="s">
        <v>194</v>
      </c>
      <c r="H229" s="1" t="s">
        <v>194</v>
      </c>
      <c r="I229" s="1" t="s">
        <v>1398</v>
      </c>
      <c r="J229" s="1" t="s">
        <v>4001</v>
      </c>
      <c r="K229" s="1" t="s">
        <v>4665</v>
      </c>
      <c r="L229" s="1" t="s">
        <v>575</v>
      </c>
      <c r="M229" s="1" t="s">
        <v>1064</v>
      </c>
    </row>
    <row r="230" spans="1:13" x14ac:dyDescent="0.25">
      <c r="A230" s="1" t="s">
        <v>1399</v>
      </c>
      <c r="B230" s="1" t="s">
        <v>583</v>
      </c>
      <c r="C230" s="1" t="s">
        <v>3402</v>
      </c>
      <c r="D230" s="1" t="s">
        <v>314</v>
      </c>
      <c r="E230" s="1" t="s">
        <v>194</v>
      </c>
      <c r="F230" s="1" t="s">
        <v>194</v>
      </c>
      <c r="G230" s="1" t="s">
        <v>194</v>
      </c>
      <c r="H230" s="1" t="s">
        <v>194</v>
      </c>
      <c r="I230" s="1" t="s">
        <v>1402</v>
      </c>
      <c r="J230" s="1" t="s">
        <v>4002</v>
      </c>
      <c r="K230" s="1" t="s">
        <v>4665</v>
      </c>
      <c r="L230" s="1" t="s">
        <v>575</v>
      </c>
      <c r="M230" s="1" t="s">
        <v>1064</v>
      </c>
    </row>
    <row r="231" spans="1:13" x14ac:dyDescent="0.25">
      <c r="A231" s="1" t="s">
        <v>1403</v>
      </c>
      <c r="B231" s="1" t="s">
        <v>583</v>
      </c>
      <c r="C231" s="1" t="s">
        <v>3402</v>
      </c>
      <c r="D231" s="1" t="s">
        <v>314</v>
      </c>
      <c r="E231" s="1" t="s">
        <v>194</v>
      </c>
      <c r="F231" s="1" t="s">
        <v>194</v>
      </c>
      <c r="G231" s="1" t="s">
        <v>194</v>
      </c>
      <c r="H231" s="1" t="s">
        <v>194</v>
      </c>
      <c r="I231" s="1" t="s">
        <v>1406</v>
      </c>
      <c r="J231" s="1" t="s">
        <v>4003</v>
      </c>
      <c r="K231" s="1" t="s">
        <v>4665</v>
      </c>
      <c r="L231" s="1" t="s">
        <v>575</v>
      </c>
      <c r="M231" s="1" t="s">
        <v>1064</v>
      </c>
    </row>
    <row r="232" spans="1:13" x14ac:dyDescent="0.25">
      <c r="A232" s="1" t="s">
        <v>3688</v>
      </c>
      <c r="B232" s="1" t="s">
        <v>583</v>
      </c>
      <c r="C232" s="1" t="s">
        <v>3402</v>
      </c>
      <c r="D232" s="1" t="s">
        <v>314</v>
      </c>
      <c r="E232" s="1" t="s">
        <v>194</v>
      </c>
      <c r="F232" s="1" t="s">
        <v>194</v>
      </c>
      <c r="G232" s="1" t="s">
        <v>194</v>
      </c>
      <c r="H232" s="1" t="s">
        <v>194</v>
      </c>
      <c r="I232" s="1" t="s">
        <v>3691</v>
      </c>
      <c r="J232" s="1" t="s">
        <v>4004</v>
      </c>
      <c r="K232" s="1" t="s">
        <v>4650</v>
      </c>
      <c r="L232" s="1" t="s">
        <v>575</v>
      </c>
      <c r="M232" s="1" t="s">
        <v>1064</v>
      </c>
    </row>
    <row r="233" spans="1:13" x14ac:dyDescent="0.25">
      <c r="A233" s="1" t="s">
        <v>3692</v>
      </c>
      <c r="B233" s="1" t="s">
        <v>583</v>
      </c>
      <c r="C233" s="1" t="s">
        <v>3402</v>
      </c>
      <c r="D233" s="1" t="s">
        <v>314</v>
      </c>
      <c r="E233" s="1" t="s">
        <v>194</v>
      </c>
      <c r="F233" s="1" t="s">
        <v>194</v>
      </c>
      <c r="G233" s="1" t="s">
        <v>194</v>
      </c>
      <c r="H233" s="1" t="s">
        <v>194</v>
      </c>
      <c r="I233" s="1" t="s">
        <v>3695</v>
      </c>
      <c r="J233" s="1" t="s">
        <v>4005</v>
      </c>
      <c r="K233" s="1" t="s">
        <v>4650</v>
      </c>
      <c r="L233" s="1" t="s">
        <v>575</v>
      </c>
      <c r="M233" s="1" t="s">
        <v>1064</v>
      </c>
    </row>
    <row r="234" spans="1:13" x14ac:dyDescent="0.25">
      <c r="A234" s="1" t="s">
        <v>3696</v>
      </c>
      <c r="B234" s="1" t="s">
        <v>583</v>
      </c>
      <c r="C234" s="1" t="s">
        <v>3402</v>
      </c>
      <c r="D234" s="1" t="s">
        <v>314</v>
      </c>
      <c r="E234" s="1" t="s">
        <v>194</v>
      </c>
      <c r="F234" s="1" t="s">
        <v>194</v>
      </c>
      <c r="G234" s="1" t="s">
        <v>194</v>
      </c>
      <c r="H234" s="1" t="s">
        <v>194</v>
      </c>
      <c r="I234" s="1" t="s">
        <v>3699</v>
      </c>
      <c r="J234" s="1" t="s">
        <v>4006</v>
      </c>
      <c r="K234" s="1" t="s">
        <v>4650</v>
      </c>
      <c r="L234" s="1" t="s">
        <v>575</v>
      </c>
      <c r="M234" s="1" t="s">
        <v>1064</v>
      </c>
    </row>
    <row r="235" spans="1:13" x14ac:dyDescent="0.25">
      <c r="A235" s="1" t="s">
        <v>78</v>
      </c>
      <c r="B235" s="1" t="s">
        <v>583</v>
      </c>
      <c r="C235" s="1" t="s">
        <v>3402</v>
      </c>
      <c r="D235" s="1" t="s">
        <v>2</v>
      </c>
      <c r="E235" s="1" t="s">
        <v>588</v>
      </c>
      <c r="F235" s="1" t="s">
        <v>632</v>
      </c>
      <c r="G235" s="1" t="s">
        <v>632</v>
      </c>
      <c r="H235" s="1" t="s">
        <v>583</v>
      </c>
      <c r="I235" s="1" t="s">
        <v>723</v>
      </c>
      <c r="J235" s="1" t="s">
        <v>4007</v>
      </c>
      <c r="K235" s="1" t="s">
        <v>4650</v>
      </c>
      <c r="L235" s="1" t="s">
        <v>572</v>
      </c>
      <c r="M235" s="1" t="s">
        <v>1064</v>
      </c>
    </row>
    <row r="236" spans="1:13" x14ac:dyDescent="0.25">
      <c r="A236" s="1" t="s">
        <v>78</v>
      </c>
      <c r="B236" s="1" t="s">
        <v>584</v>
      </c>
      <c r="C236" s="1" t="s">
        <v>3402</v>
      </c>
      <c r="D236" s="1" t="s">
        <v>2</v>
      </c>
      <c r="E236" s="1" t="s">
        <v>632</v>
      </c>
      <c r="F236" s="1" t="s">
        <v>632</v>
      </c>
      <c r="G236" s="1" t="s">
        <v>585</v>
      </c>
      <c r="H236" s="1" t="s">
        <v>584</v>
      </c>
      <c r="I236" s="1" t="s">
        <v>721</v>
      </c>
      <c r="J236" s="1" t="s">
        <v>4008</v>
      </c>
      <c r="K236" s="1" t="s">
        <v>4650</v>
      </c>
      <c r="L236" s="1" t="s">
        <v>572</v>
      </c>
      <c r="M236" s="1" t="s">
        <v>1064</v>
      </c>
    </row>
    <row r="237" spans="1:13" x14ac:dyDescent="0.25">
      <c r="A237" s="1" t="s">
        <v>78</v>
      </c>
      <c r="B237" s="1" t="s">
        <v>586</v>
      </c>
      <c r="C237" s="1" t="s">
        <v>3402</v>
      </c>
      <c r="D237" s="1" t="s">
        <v>2</v>
      </c>
      <c r="E237" s="1" t="s">
        <v>632</v>
      </c>
      <c r="F237" s="1" t="s">
        <v>587</v>
      </c>
      <c r="G237" s="1" t="s">
        <v>632</v>
      </c>
      <c r="H237" s="1" t="s">
        <v>586</v>
      </c>
      <c r="I237" s="1" t="s">
        <v>722</v>
      </c>
      <c r="J237" s="1" t="s">
        <v>4009</v>
      </c>
      <c r="K237" s="1" t="s">
        <v>4650</v>
      </c>
      <c r="L237" s="1" t="s">
        <v>572</v>
      </c>
      <c r="M237" s="1" t="s">
        <v>1064</v>
      </c>
    </row>
    <row r="238" spans="1:13" x14ac:dyDescent="0.25">
      <c r="A238" s="1" t="s">
        <v>4026</v>
      </c>
      <c r="B238" s="1" t="s">
        <v>583</v>
      </c>
      <c r="C238" s="1" t="s">
        <v>3402</v>
      </c>
      <c r="D238" s="1" t="s">
        <v>314</v>
      </c>
      <c r="E238" s="1" t="s">
        <v>194</v>
      </c>
      <c r="F238" s="1" t="s">
        <v>194</v>
      </c>
      <c r="G238" s="1" t="s">
        <v>194</v>
      </c>
      <c r="H238" s="1" t="s">
        <v>194</v>
      </c>
      <c r="I238" s="1" t="s">
        <v>4038</v>
      </c>
      <c r="J238" s="1" t="s">
        <v>4027</v>
      </c>
      <c r="K238" s="1" t="s">
        <v>4668</v>
      </c>
      <c r="L238" s="1" t="s">
        <v>575</v>
      </c>
      <c r="M238" s="1" t="s">
        <v>1064</v>
      </c>
    </row>
    <row r="239" spans="1:13" x14ac:dyDescent="0.25">
      <c r="A239" s="1" t="s">
        <v>4028</v>
      </c>
      <c r="B239" s="1" t="s">
        <v>583</v>
      </c>
      <c r="C239" s="1" t="s">
        <v>3402</v>
      </c>
      <c r="D239" s="1" t="s">
        <v>314</v>
      </c>
      <c r="E239" s="1" t="s">
        <v>194</v>
      </c>
      <c r="F239" s="1" t="s">
        <v>194</v>
      </c>
      <c r="G239" s="1" t="s">
        <v>194</v>
      </c>
      <c r="H239" s="1" t="s">
        <v>194</v>
      </c>
      <c r="I239" s="1" t="s">
        <v>4041</v>
      </c>
      <c r="J239" s="1" t="s">
        <v>4029</v>
      </c>
      <c r="K239" s="1" t="s">
        <v>4668</v>
      </c>
      <c r="L239" s="1" t="s">
        <v>575</v>
      </c>
      <c r="M239" s="1" t="s">
        <v>1064</v>
      </c>
    </row>
    <row r="240" spans="1:13" x14ac:dyDescent="0.25">
      <c r="A240" s="1" t="s">
        <v>4030</v>
      </c>
      <c r="B240" s="1" t="s">
        <v>583</v>
      </c>
      <c r="C240" s="1" t="s">
        <v>3402</v>
      </c>
      <c r="D240" s="1" t="s">
        <v>314</v>
      </c>
      <c r="E240" s="1" t="s">
        <v>194</v>
      </c>
      <c r="F240" s="1" t="s">
        <v>194</v>
      </c>
      <c r="G240" s="1" t="s">
        <v>194</v>
      </c>
      <c r="H240" s="1" t="s">
        <v>194</v>
      </c>
      <c r="I240" s="1" t="s">
        <v>4044</v>
      </c>
      <c r="J240" s="1" t="s">
        <v>4031</v>
      </c>
      <c r="K240" s="1" t="s">
        <v>4668</v>
      </c>
      <c r="L240" s="1" t="s">
        <v>575</v>
      </c>
      <c r="M240" s="1" t="s">
        <v>1064</v>
      </c>
    </row>
    <row r="241" spans="1:13" x14ac:dyDescent="0.25">
      <c r="A241" s="1" t="s">
        <v>4032</v>
      </c>
      <c r="B241" s="1" t="s">
        <v>583</v>
      </c>
      <c r="C241" s="1" t="s">
        <v>3402</v>
      </c>
      <c r="D241" s="1" t="s">
        <v>314</v>
      </c>
      <c r="E241" s="1" t="s">
        <v>194</v>
      </c>
      <c r="F241" s="1" t="s">
        <v>194</v>
      </c>
      <c r="G241" s="1" t="s">
        <v>194</v>
      </c>
      <c r="H241" s="1" t="s">
        <v>194</v>
      </c>
      <c r="I241" s="1" t="s">
        <v>4047</v>
      </c>
      <c r="J241" s="1" t="s">
        <v>4033</v>
      </c>
      <c r="K241" s="1" t="s">
        <v>4668</v>
      </c>
      <c r="L241" s="1" t="s">
        <v>575</v>
      </c>
      <c r="M241" s="1" t="s">
        <v>1064</v>
      </c>
    </row>
    <row r="242" spans="1:13" x14ac:dyDescent="0.25">
      <c r="A242" s="1" t="s">
        <v>4034</v>
      </c>
      <c r="B242" s="1" t="s">
        <v>586</v>
      </c>
      <c r="C242" s="1" t="s">
        <v>3402</v>
      </c>
      <c r="D242" s="1" t="s">
        <v>308</v>
      </c>
      <c r="E242" s="1" t="s">
        <v>314</v>
      </c>
      <c r="F242" s="1" t="s">
        <v>32</v>
      </c>
      <c r="G242" s="1" t="s">
        <v>32</v>
      </c>
      <c r="H242" s="1" t="s">
        <v>586</v>
      </c>
      <c r="I242" s="1" t="s">
        <v>4050</v>
      </c>
      <c r="J242" s="1" t="s">
        <v>4035</v>
      </c>
      <c r="K242" s="1" t="s">
        <v>4650</v>
      </c>
      <c r="L242" s="1" t="s">
        <v>575</v>
      </c>
      <c r="M242" s="1" t="s">
        <v>1064</v>
      </c>
    </row>
    <row r="243" spans="1:13" x14ac:dyDescent="0.25">
      <c r="A243" s="1" t="s">
        <v>4081</v>
      </c>
      <c r="B243" s="1" t="s">
        <v>583</v>
      </c>
      <c r="C243" s="1" t="s">
        <v>3402</v>
      </c>
      <c r="D243" s="1" t="s">
        <v>308</v>
      </c>
      <c r="E243" s="1" t="s">
        <v>314</v>
      </c>
      <c r="F243" s="1" t="s">
        <v>32</v>
      </c>
      <c r="G243" s="1" t="s">
        <v>32</v>
      </c>
      <c r="H243" s="1" t="s">
        <v>583</v>
      </c>
      <c r="I243" s="1" t="s">
        <v>4086</v>
      </c>
      <c r="J243" s="1" t="s">
        <v>4087</v>
      </c>
      <c r="K243" s="1" t="s">
        <v>4650</v>
      </c>
      <c r="L243" s="1" t="s">
        <v>4073</v>
      </c>
      <c r="M243" s="1" t="s">
        <v>4825</v>
      </c>
    </row>
    <row r="244" spans="1:13" x14ac:dyDescent="0.25">
      <c r="A244" s="1" t="s">
        <v>4081</v>
      </c>
      <c r="B244" s="1" t="s">
        <v>583</v>
      </c>
      <c r="C244" s="1" t="s">
        <v>3402</v>
      </c>
      <c r="D244" s="1" t="s">
        <v>308</v>
      </c>
      <c r="E244" s="1" t="s">
        <v>314</v>
      </c>
      <c r="F244" s="1" t="s">
        <v>32</v>
      </c>
      <c r="G244" s="1" t="s">
        <v>32</v>
      </c>
      <c r="H244" s="1" t="s">
        <v>583</v>
      </c>
      <c r="I244" s="1" t="s">
        <v>4086</v>
      </c>
      <c r="J244" s="1" t="s">
        <v>4087</v>
      </c>
      <c r="K244" s="1" t="s">
        <v>4650</v>
      </c>
      <c r="L244" s="1" t="s">
        <v>4076</v>
      </c>
      <c r="M244" s="1" t="s">
        <v>4825</v>
      </c>
    </row>
    <row r="245" spans="1:13" x14ac:dyDescent="0.25">
      <c r="A245" s="1" t="s">
        <v>4081</v>
      </c>
      <c r="B245" s="1" t="s">
        <v>584</v>
      </c>
      <c r="C245" s="1" t="s">
        <v>3402</v>
      </c>
      <c r="D245" s="1" t="s">
        <v>314</v>
      </c>
      <c r="E245" s="1" t="s">
        <v>32</v>
      </c>
      <c r="F245" s="1" t="s">
        <v>32</v>
      </c>
      <c r="G245" s="1" t="s">
        <v>585</v>
      </c>
      <c r="H245" s="1" t="s">
        <v>584</v>
      </c>
      <c r="I245" s="1" t="s">
        <v>4088</v>
      </c>
      <c r="J245" s="1" t="s">
        <v>4089</v>
      </c>
      <c r="K245" s="1" t="s">
        <v>4650</v>
      </c>
      <c r="L245" s="1" t="s">
        <v>4073</v>
      </c>
      <c r="M245" s="1" t="s">
        <v>4825</v>
      </c>
    </row>
    <row r="246" spans="1:13" x14ac:dyDescent="0.25">
      <c r="A246" s="1" t="s">
        <v>4081</v>
      </c>
      <c r="B246" s="1" t="s">
        <v>584</v>
      </c>
      <c r="C246" s="1" t="s">
        <v>3402</v>
      </c>
      <c r="D246" s="1" t="s">
        <v>314</v>
      </c>
      <c r="E246" s="1" t="s">
        <v>32</v>
      </c>
      <c r="F246" s="1" t="s">
        <v>32</v>
      </c>
      <c r="G246" s="1" t="s">
        <v>585</v>
      </c>
      <c r="H246" s="1" t="s">
        <v>584</v>
      </c>
      <c r="I246" s="1" t="s">
        <v>4088</v>
      </c>
      <c r="J246" s="1" t="s">
        <v>4089</v>
      </c>
      <c r="K246" s="1" t="s">
        <v>4650</v>
      </c>
      <c r="L246" s="1" t="s">
        <v>4076</v>
      </c>
      <c r="M246" s="1" t="s">
        <v>4825</v>
      </c>
    </row>
    <row r="247" spans="1:13" x14ac:dyDescent="0.25">
      <c r="A247" s="1" t="s">
        <v>4081</v>
      </c>
      <c r="B247" s="1" t="s">
        <v>586</v>
      </c>
      <c r="C247" s="1" t="s">
        <v>3402</v>
      </c>
      <c r="D247" s="1" t="s">
        <v>308</v>
      </c>
      <c r="E247" s="1" t="s">
        <v>32</v>
      </c>
      <c r="F247" s="1" t="s">
        <v>314</v>
      </c>
      <c r="G247" s="1" t="s">
        <v>32</v>
      </c>
      <c r="H247" s="1" t="s">
        <v>586</v>
      </c>
      <c r="I247" s="1" t="s">
        <v>4090</v>
      </c>
      <c r="J247" s="1" t="s">
        <v>4091</v>
      </c>
      <c r="K247" s="1" t="s">
        <v>4650</v>
      </c>
      <c r="L247" s="1" t="s">
        <v>4073</v>
      </c>
      <c r="M247" s="1" t="s">
        <v>4825</v>
      </c>
    </row>
    <row r="248" spans="1:13" x14ac:dyDescent="0.25">
      <c r="A248" s="1" t="s">
        <v>4081</v>
      </c>
      <c r="B248" s="1" t="s">
        <v>586</v>
      </c>
      <c r="C248" s="1" t="s">
        <v>3402</v>
      </c>
      <c r="D248" s="1" t="s">
        <v>308</v>
      </c>
      <c r="E248" s="1" t="s">
        <v>32</v>
      </c>
      <c r="F248" s="1" t="s">
        <v>314</v>
      </c>
      <c r="G248" s="1" t="s">
        <v>32</v>
      </c>
      <c r="H248" s="1" t="s">
        <v>586</v>
      </c>
      <c r="I248" s="1" t="s">
        <v>4090</v>
      </c>
      <c r="J248" s="1" t="s">
        <v>4091</v>
      </c>
      <c r="K248" s="1" t="s">
        <v>4650</v>
      </c>
      <c r="L248" s="1" t="s">
        <v>4076</v>
      </c>
      <c r="M248" s="1" t="s">
        <v>4825</v>
      </c>
    </row>
    <row r="249" spans="1:13" x14ac:dyDescent="0.25">
      <c r="A249" s="1" t="s">
        <v>4832</v>
      </c>
      <c r="B249" s="1" t="s">
        <v>583</v>
      </c>
      <c r="C249" s="1" t="s">
        <v>3402</v>
      </c>
      <c r="D249" s="1" t="s">
        <v>308</v>
      </c>
      <c r="E249" s="1" t="s">
        <v>317</v>
      </c>
      <c r="F249" s="1" t="s">
        <v>32</v>
      </c>
      <c r="G249" s="1" t="s">
        <v>32</v>
      </c>
      <c r="H249" s="1" t="s">
        <v>583</v>
      </c>
      <c r="I249" s="1" t="s">
        <v>4835</v>
      </c>
      <c r="J249" s="1" t="s">
        <v>4843</v>
      </c>
      <c r="K249" s="1" t="s">
        <v>4650</v>
      </c>
      <c r="L249" s="1" t="s">
        <v>4864</v>
      </c>
      <c r="M249" s="1" t="s">
        <v>1064</v>
      </c>
    </row>
    <row r="250" spans="1:13" x14ac:dyDescent="0.25">
      <c r="A250" s="1" t="s">
        <v>4832</v>
      </c>
      <c r="B250" s="1" t="s">
        <v>584</v>
      </c>
      <c r="C250" s="1" t="s">
        <v>3402</v>
      </c>
      <c r="D250" s="1" t="s">
        <v>2</v>
      </c>
      <c r="E250" s="1" t="s">
        <v>32</v>
      </c>
      <c r="F250" s="1" t="s">
        <v>32</v>
      </c>
      <c r="G250" s="1" t="s">
        <v>585</v>
      </c>
      <c r="H250" s="1" t="s">
        <v>584</v>
      </c>
      <c r="I250" s="1" t="s">
        <v>4842</v>
      </c>
      <c r="J250" s="1" t="s">
        <v>4844</v>
      </c>
      <c r="K250" s="1" t="s">
        <v>4650</v>
      </c>
      <c r="L250" s="1" t="s">
        <v>4864</v>
      </c>
      <c r="M250" s="1" t="s">
        <v>1064</v>
      </c>
    </row>
    <row r="251" spans="1:13" x14ac:dyDescent="0.25">
      <c r="A251" s="1" t="s">
        <v>4832</v>
      </c>
      <c r="B251" s="1" t="s">
        <v>586</v>
      </c>
      <c r="C251" s="1" t="s">
        <v>3402</v>
      </c>
      <c r="D251" s="1" t="s">
        <v>308</v>
      </c>
      <c r="E251" s="1" t="s">
        <v>32</v>
      </c>
      <c r="F251" s="1" t="s">
        <v>314</v>
      </c>
      <c r="G251" s="1" t="s">
        <v>32</v>
      </c>
      <c r="H251" s="1" t="s">
        <v>586</v>
      </c>
      <c r="I251" s="1" t="s">
        <v>4839</v>
      </c>
      <c r="J251" s="1" t="s">
        <v>4845</v>
      </c>
      <c r="K251" s="1" t="s">
        <v>4650</v>
      </c>
      <c r="L251" s="1" t="s">
        <v>4864</v>
      </c>
      <c r="M251" s="1" t="s">
        <v>1064</v>
      </c>
    </row>
    <row r="252" spans="1:13" x14ac:dyDescent="0.25">
      <c r="A252" s="1" t="s">
        <v>4626</v>
      </c>
      <c r="B252" s="1" t="s">
        <v>583</v>
      </c>
      <c r="C252" s="1" t="s">
        <v>3402</v>
      </c>
      <c r="D252" s="1" t="s">
        <v>308</v>
      </c>
      <c r="E252" s="1" t="s">
        <v>2</v>
      </c>
      <c r="F252" s="1" t="s">
        <v>32</v>
      </c>
      <c r="G252" s="1" t="s">
        <v>32</v>
      </c>
      <c r="H252" s="1" t="s">
        <v>583</v>
      </c>
      <c r="I252" s="1" t="s">
        <v>4627</v>
      </c>
      <c r="J252" s="1" t="s">
        <v>4628</v>
      </c>
      <c r="K252" s="1" t="s">
        <v>4650</v>
      </c>
      <c r="L252" s="1" t="s">
        <v>575</v>
      </c>
      <c r="M252" s="1" t="s">
        <v>1064</v>
      </c>
    </row>
    <row r="253" spans="1:13" x14ac:dyDescent="0.25">
      <c r="A253" s="1" t="s">
        <v>4626</v>
      </c>
      <c r="B253" s="1" t="s">
        <v>586</v>
      </c>
      <c r="C253" s="1" t="s">
        <v>3402</v>
      </c>
      <c r="D253" s="1" t="s">
        <v>308</v>
      </c>
      <c r="E253" s="1" t="s">
        <v>32</v>
      </c>
      <c r="F253" s="1" t="s">
        <v>2</v>
      </c>
      <c r="G253" s="1" t="s">
        <v>32</v>
      </c>
      <c r="H253" s="1" t="s">
        <v>586</v>
      </c>
      <c r="I253" s="1" t="s">
        <v>4629</v>
      </c>
      <c r="J253" s="1" t="s">
        <v>4630</v>
      </c>
      <c r="K253" s="1" t="s">
        <v>4650</v>
      </c>
      <c r="L253" s="1" t="s">
        <v>575</v>
      </c>
      <c r="M253" s="1" t="s">
        <v>1064</v>
      </c>
    </row>
  </sheetData>
  <dataValidations count="2">
    <dataValidation type="list" allowBlank="1" showInputMessage="1" showErrorMessage="1" sqref="L2">
      <formula1>_sp_indicator</formula1>
    </dataValidation>
    <dataValidation type="list" allowBlank="1" showInputMessage="1" showErrorMessage="1" sqref="K2">
      <formula1>_sp_date</formula1>
    </dataValidation>
  </dataValidations>
  <pageMargins left="0.70866141732283472" right="0.70866141732283472" top="0.74803149606299213" bottom="0.74803149606299213" header="0.31496062992125984" footer="0.31496062992125984"/>
  <pageSetup paperSize="9" scale="61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6"/>
  <sheetViews>
    <sheetView zoomScale="85" zoomScaleNormal="85" workbookViewId="0">
      <selection activeCell="F347" sqref="F347"/>
    </sheetView>
  </sheetViews>
  <sheetFormatPr defaultRowHeight="15" x14ac:dyDescent="0.25"/>
  <cols>
    <col min="1" max="1" width="20.140625" customWidth="1"/>
    <col min="2" max="2" width="18.42578125" customWidth="1"/>
    <col min="3" max="3" width="21.28515625" bestFit="1" customWidth="1"/>
    <col min="4" max="4" width="45.28515625" bestFit="1" customWidth="1"/>
    <col min="5" max="5" width="23.85546875" bestFit="1" customWidth="1"/>
    <col min="6" max="6" width="69.5703125" customWidth="1"/>
    <col min="7" max="7" width="36" customWidth="1"/>
    <col min="8" max="8" width="15.42578125" customWidth="1"/>
    <col min="9" max="9" width="14.5703125" customWidth="1"/>
    <col min="10" max="10" width="4.85546875" customWidth="1"/>
    <col min="11" max="11" width="17" customWidth="1"/>
  </cols>
  <sheetData>
    <row r="1" spans="1:11" x14ac:dyDescent="0.25">
      <c r="E1" s="6" t="s">
        <v>1798</v>
      </c>
      <c r="F1" s="6" t="s">
        <v>4778</v>
      </c>
      <c r="G1" s="6" t="s">
        <v>1797</v>
      </c>
      <c r="H1" s="6" t="s">
        <v>1792</v>
      </c>
      <c r="I1" s="6" t="s">
        <v>4826</v>
      </c>
    </row>
    <row r="2" spans="1:11" x14ac:dyDescent="0.25">
      <c r="E2" s="51" t="s">
        <v>144</v>
      </c>
      <c r="F2" s="64" t="s">
        <v>11</v>
      </c>
      <c r="G2" s="64" t="s">
        <v>1309</v>
      </c>
      <c r="H2" s="64" t="s">
        <v>299</v>
      </c>
      <c r="I2" s="64" t="s">
        <v>602</v>
      </c>
    </row>
    <row r="3" spans="1:11" x14ac:dyDescent="0.25">
      <c r="E3" s="64" t="s">
        <v>1631</v>
      </c>
      <c r="F3" s="64" t="s">
        <v>4779</v>
      </c>
      <c r="G3" s="64" t="s">
        <v>1625</v>
      </c>
      <c r="H3" s="64" t="s">
        <v>1635</v>
      </c>
      <c r="I3" s="64" t="s">
        <v>1632</v>
      </c>
    </row>
    <row r="7" spans="1:11" s="26" customFormat="1" x14ac:dyDescent="0.25">
      <c r="A7" s="25" t="s">
        <v>0</v>
      </c>
      <c r="B7" s="25" t="s">
        <v>577</v>
      </c>
      <c r="C7" s="25" t="s">
        <v>298</v>
      </c>
      <c r="D7" s="25" t="s">
        <v>1092</v>
      </c>
      <c r="E7" s="25" t="s">
        <v>1091</v>
      </c>
      <c r="F7" s="25" t="s">
        <v>4827</v>
      </c>
      <c r="G7" s="25" t="s">
        <v>4783</v>
      </c>
      <c r="H7" s="25" t="s">
        <v>4777</v>
      </c>
      <c r="I7" s="25" t="s">
        <v>1089</v>
      </c>
      <c r="J7" s="25" t="s">
        <v>4018</v>
      </c>
      <c r="K7"/>
    </row>
    <row r="8" spans="1:11" hidden="1" x14ac:dyDescent="0.25">
      <c r="A8" s="1" t="s">
        <v>2206</v>
      </c>
      <c r="B8" s="1" t="s">
        <v>583</v>
      </c>
      <c r="C8" s="1" t="s">
        <v>2278</v>
      </c>
      <c r="D8" s="1" t="s">
        <v>2279</v>
      </c>
      <c r="E8" s="1" t="s">
        <v>2207</v>
      </c>
      <c r="F8" s="1" t="s">
        <v>2601</v>
      </c>
      <c r="G8" s="1" t="s">
        <v>575</v>
      </c>
      <c r="H8" s="1" t="s">
        <v>1064</v>
      </c>
      <c r="I8" s="1"/>
      <c r="J8" s="1"/>
    </row>
    <row r="9" spans="1:11" hidden="1" x14ac:dyDescent="0.25">
      <c r="A9" s="1" t="s">
        <v>2902</v>
      </c>
      <c r="B9" s="1" t="s">
        <v>586</v>
      </c>
      <c r="C9" s="1" t="s">
        <v>2903</v>
      </c>
      <c r="D9" s="1" t="s">
        <v>2904</v>
      </c>
      <c r="E9" s="1" t="s">
        <v>2905</v>
      </c>
      <c r="F9" s="1" t="s">
        <v>4120</v>
      </c>
      <c r="G9" s="1" t="s">
        <v>575</v>
      </c>
      <c r="H9" s="1" t="s">
        <v>1064</v>
      </c>
      <c r="I9" s="1"/>
      <c r="J9" s="1"/>
    </row>
    <row r="10" spans="1:11" hidden="1" x14ac:dyDescent="0.25">
      <c r="A10" s="1" t="s">
        <v>2208</v>
      </c>
      <c r="B10" s="1" t="s">
        <v>583</v>
      </c>
      <c r="C10" s="1" t="s">
        <v>2280</v>
      </c>
      <c r="D10" s="1" t="s">
        <v>2281</v>
      </c>
      <c r="E10" s="1" t="s">
        <v>2209</v>
      </c>
      <c r="F10" s="1" t="s">
        <v>2643</v>
      </c>
      <c r="G10" s="1" t="s">
        <v>575</v>
      </c>
      <c r="H10" s="1" t="s">
        <v>1064</v>
      </c>
      <c r="I10" s="1"/>
      <c r="J10" s="1"/>
    </row>
    <row r="11" spans="1:11" hidden="1" x14ac:dyDescent="0.25">
      <c r="A11" s="1" t="s">
        <v>2177</v>
      </c>
      <c r="B11" s="1" t="s">
        <v>583</v>
      </c>
      <c r="C11" s="1" t="s">
        <v>2416</v>
      </c>
      <c r="D11" s="1" t="s">
        <v>2417</v>
      </c>
      <c r="E11" s="1" t="s">
        <v>2178</v>
      </c>
      <c r="F11" s="1" t="s">
        <v>670</v>
      </c>
      <c r="G11" s="1" t="s">
        <v>561</v>
      </c>
      <c r="H11" s="1" t="s">
        <v>1064</v>
      </c>
      <c r="I11" s="1"/>
      <c r="J11" s="1"/>
    </row>
    <row r="12" spans="1:11" hidden="1" x14ac:dyDescent="0.25">
      <c r="A12" s="1" t="s">
        <v>2179</v>
      </c>
      <c r="B12" s="1" t="s">
        <v>583</v>
      </c>
      <c r="C12" s="1" t="s">
        <v>2418</v>
      </c>
      <c r="D12" s="1" t="s">
        <v>2419</v>
      </c>
      <c r="E12" s="1" t="s">
        <v>2180</v>
      </c>
      <c r="F12" s="1" t="s">
        <v>38</v>
      </c>
      <c r="G12" s="1" t="s">
        <v>561</v>
      </c>
      <c r="H12" s="1" t="s">
        <v>1064</v>
      </c>
      <c r="I12" s="1"/>
      <c r="J12" s="1"/>
    </row>
    <row r="13" spans="1:11" hidden="1" x14ac:dyDescent="0.25">
      <c r="A13" s="1" t="s">
        <v>2181</v>
      </c>
      <c r="B13" s="1" t="s">
        <v>583</v>
      </c>
      <c r="C13" s="1" t="s">
        <v>2420</v>
      </c>
      <c r="D13" s="1" t="s">
        <v>2421</v>
      </c>
      <c r="E13" s="1" t="s">
        <v>2182</v>
      </c>
      <c r="F13" s="1" t="s">
        <v>40</v>
      </c>
      <c r="G13" s="1" t="s">
        <v>561</v>
      </c>
      <c r="H13" s="1" t="s">
        <v>1064</v>
      </c>
      <c r="I13" s="1"/>
      <c r="J13" s="1"/>
    </row>
    <row r="14" spans="1:11" hidden="1" x14ac:dyDescent="0.25">
      <c r="A14" s="1" t="s">
        <v>2183</v>
      </c>
      <c r="B14" s="1" t="s">
        <v>583</v>
      </c>
      <c r="C14" s="1" t="s">
        <v>2422</v>
      </c>
      <c r="D14" s="1" t="s">
        <v>2423</v>
      </c>
      <c r="E14" s="1" t="s">
        <v>2184</v>
      </c>
      <c r="F14" s="1" t="s">
        <v>42</v>
      </c>
      <c r="G14" s="1" t="s">
        <v>561</v>
      </c>
      <c r="H14" s="1" t="s">
        <v>1064</v>
      </c>
      <c r="I14" s="1"/>
      <c r="J14" s="1"/>
    </row>
    <row r="15" spans="1:11" hidden="1" x14ac:dyDescent="0.25">
      <c r="A15" s="23" t="s">
        <v>2175</v>
      </c>
      <c r="B15" s="1" t="s">
        <v>583</v>
      </c>
      <c r="C15" s="1" t="s">
        <v>2282</v>
      </c>
      <c r="D15" s="1" t="s">
        <v>2283</v>
      </c>
      <c r="E15" s="1" t="s">
        <v>2176</v>
      </c>
      <c r="F15" s="1" t="s">
        <v>2602</v>
      </c>
      <c r="G15" s="1" t="s">
        <v>575</v>
      </c>
      <c r="H15" s="1" t="s">
        <v>1064</v>
      </c>
      <c r="I15" s="1"/>
      <c r="J15" s="1"/>
    </row>
    <row r="16" spans="1:11" hidden="1" x14ac:dyDescent="0.25">
      <c r="A16" s="23" t="s">
        <v>3688</v>
      </c>
      <c r="B16" s="1" t="s">
        <v>583</v>
      </c>
      <c r="C16" s="1" t="s">
        <v>3689</v>
      </c>
      <c r="D16" s="1" t="s">
        <v>3690</v>
      </c>
      <c r="E16" s="1" t="s">
        <v>3691</v>
      </c>
      <c r="F16" s="1" t="s">
        <v>3760</v>
      </c>
      <c r="G16" s="1" t="s">
        <v>575</v>
      </c>
      <c r="H16" s="1" t="s">
        <v>1064</v>
      </c>
      <c r="I16" s="1"/>
      <c r="J16" s="1"/>
    </row>
    <row r="17" spans="1:10" hidden="1" x14ac:dyDescent="0.25">
      <c r="A17" s="23" t="s">
        <v>2188</v>
      </c>
      <c r="B17" s="1" t="s">
        <v>583</v>
      </c>
      <c r="C17" s="1" t="s">
        <v>2284</v>
      </c>
      <c r="D17" s="1" t="s">
        <v>2285</v>
      </c>
      <c r="E17" s="1" t="s">
        <v>2189</v>
      </c>
      <c r="F17" s="1" t="s">
        <v>125</v>
      </c>
      <c r="G17" s="1" t="s">
        <v>2963</v>
      </c>
      <c r="H17" s="1" t="s">
        <v>1064</v>
      </c>
      <c r="I17" s="1"/>
      <c r="J17" s="1"/>
    </row>
    <row r="18" spans="1:10" hidden="1" x14ac:dyDescent="0.25">
      <c r="A18" s="1" t="s">
        <v>3692</v>
      </c>
      <c r="B18" s="1" t="s">
        <v>583</v>
      </c>
      <c r="C18" s="1" t="s">
        <v>3693</v>
      </c>
      <c r="D18" s="1" t="s">
        <v>3694</v>
      </c>
      <c r="E18" s="1" t="s">
        <v>3695</v>
      </c>
      <c r="F18" s="1" t="s">
        <v>3763</v>
      </c>
      <c r="G18" s="1" t="s">
        <v>575</v>
      </c>
      <c r="H18" s="1" t="s">
        <v>1064</v>
      </c>
      <c r="I18" s="1"/>
      <c r="J18" s="1"/>
    </row>
    <row r="19" spans="1:10" hidden="1" x14ac:dyDescent="0.25">
      <c r="A19" s="1" t="s">
        <v>2190</v>
      </c>
      <c r="B19" s="1" t="s">
        <v>583</v>
      </c>
      <c r="C19" s="1" t="s">
        <v>2286</v>
      </c>
      <c r="D19" s="1" t="s">
        <v>2287</v>
      </c>
      <c r="E19" s="1" t="s">
        <v>2191</v>
      </c>
      <c r="F19" s="1" t="s">
        <v>128</v>
      </c>
      <c r="G19" s="1" t="s">
        <v>2963</v>
      </c>
      <c r="H19" s="1" t="s">
        <v>1064</v>
      </c>
      <c r="I19" s="1"/>
      <c r="J19" s="1"/>
    </row>
    <row r="20" spans="1:10" hidden="1" x14ac:dyDescent="0.25">
      <c r="A20" s="1" t="s">
        <v>3696</v>
      </c>
      <c r="B20" s="1" t="s">
        <v>583</v>
      </c>
      <c r="C20" s="1" t="s">
        <v>3697</v>
      </c>
      <c r="D20" s="1" t="s">
        <v>3698</v>
      </c>
      <c r="E20" s="1" t="s">
        <v>3699</v>
      </c>
      <c r="F20" s="1" t="s">
        <v>3764</v>
      </c>
      <c r="G20" s="1" t="s">
        <v>575</v>
      </c>
      <c r="H20" s="1" t="s">
        <v>1064</v>
      </c>
      <c r="I20" s="1"/>
      <c r="J20" s="1"/>
    </row>
    <row r="21" spans="1:10" hidden="1" x14ac:dyDescent="0.25">
      <c r="A21" s="1" t="s">
        <v>2192</v>
      </c>
      <c r="B21" s="1" t="s">
        <v>583</v>
      </c>
      <c r="C21" s="1" t="s">
        <v>2288</v>
      </c>
      <c r="D21" s="1" t="s">
        <v>2289</v>
      </c>
      <c r="E21" s="1" t="s">
        <v>2193</v>
      </c>
      <c r="F21" s="1" t="s">
        <v>131</v>
      </c>
      <c r="G21" s="1" t="s">
        <v>2963</v>
      </c>
      <c r="H21" s="1" t="s">
        <v>1064</v>
      </c>
      <c r="I21" s="1"/>
      <c r="J21" s="1"/>
    </row>
    <row r="22" spans="1:10" hidden="1" x14ac:dyDescent="0.25">
      <c r="A22" s="1" t="s">
        <v>2202</v>
      </c>
      <c r="B22" s="1" t="s">
        <v>583</v>
      </c>
      <c r="C22" s="1" t="s">
        <v>2290</v>
      </c>
      <c r="D22" s="1" t="s">
        <v>2291</v>
      </c>
      <c r="E22" s="1" t="s">
        <v>2203</v>
      </c>
      <c r="F22" s="1" t="s">
        <v>2605</v>
      </c>
      <c r="G22" s="1"/>
      <c r="H22" s="1" t="s">
        <v>1064</v>
      </c>
      <c r="I22" s="1"/>
      <c r="J22" s="1"/>
    </row>
    <row r="23" spans="1:10" hidden="1" x14ac:dyDescent="0.25">
      <c r="A23" s="1" t="s">
        <v>2202</v>
      </c>
      <c r="B23" s="1" t="s">
        <v>583</v>
      </c>
      <c r="C23" s="1" t="s">
        <v>2292</v>
      </c>
      <c r="D23" s="1" t="s">
        <v>2293</v>
      </c>
      <c r="E23" s="1" t="s">
        <v>2203</v>
      </c>
      <c r="F23" s="1" t="s">
        <v>2605</v>
      </c>
      <c r="G23" s="1"/>
      <c r="H23" s="1" t="s">
        <v>1064</v>
      </c>
      <c r="I23" s="1"/>
      <c r="J23" s="1"/>
    </row>
    <row r="24" spans="1:10" hidden="1" x14ac:dyDescent="0.25">
      <c r="A24" s="1" t="s">
        <v>2202</v>
      </c>
      <c r="B24" s="1" t="s">
        <v>583</v>
      </c>
      <c r="C24" s="1" t="s">
        <v>2294</v>
      </c>
      <c r="D24" s="1" t="s">
        <v>2295</v>
      </c>
      <c r="E24" s="1" t="s">
        <v>2203</v>
      </c>
      <c r="F24" s="1" t="s">
        <v>2605</v>
      </c>
      <c r="G24" s="1"/>
      <c r="H24" s="1" t="s">
        <v>1064</v>
      </c>
      <c r="I24" s="1"/>
      <c r="J24" s="1"/>
    </row>
    <row r="25" spans="1:10" hidden="1" x14ac:dyDescent="0.25">
      <c r="A25" s="1" t="s">
        <v>2172</v>
      </c>
      <c r="B25" s="1" t="s">
        <v>583</v>
      </c>
      <c r="C25" s="1" t="s">
        <v>2298</v>
      </c>
      <c r="D25" s="1" t="s">
        <v>2299</v>
      </c>
      <c r="E25" s="1" t="s">
        <v>2173</v>
      </c>
      <c r="F25" s="1" t="s">
        <v>95</v>
      </c>
      <c r="G25" s="1" t="s">
        <v>3543</v>
      </c>
      <c r="H25" s="1" t="s">
        <v>1064</v>
      </c>
      <c r="I25" s="1"/>
      <c r="J25" s="1"/>
    </row>
    <row r="26" spans="1:10" hidden="1" x14ac:dyDescent="0.25">
      <c r="A26" s="1" t="s">
        <v>2172</v>
      </c>
      <c r="B26" s="1" t="s">
        <v>583</v>
      </c>
      <c r="C26" s="1" t="s">
        <v>2300</v>
      </c>
      <c r="D26" s="1" t="s">
        <v>3710</v>
      </c>
      <c r="E26" s="1" t="s">
        <v>2173</v>
      </c>
      <c r="F26" s="1" t="s">
        <v>95</v>
      </c>
      <c r="G26" s="1" t="s">
        <v>3543</v>
      </c>
      <c r="H26" s="1" t="s">
        <v>1064</v>
      </c>
      <c r="I26" s="1"/>
      <c r="J26" s="1"/>
    </row>
    <row r="27" spans="1:10" hidden="1" x14ac:dyDescent="0.25">
      <c r="A27" s="1" t="s">
        <v>2172</v>
      </c>
      <c r="B27" s="1" t="s">
        <v>586</v>
      </c>
      <c r="C27" s="1" t="s">
        <v>2675</v>
      </c>
      <c r="D27" s="1" t="s">
        <v>3711</v>
      </c>
      <c r="E27" s="1" t="s">
        <v>2174</v>
      </c>
      <c r="F27" s="1" t="s">
        <v>95</v>
      </c>
      <c r="G27" s="1" t="s">
        <v>3543</v>
      </c>
      <c r="H27" s="1" t="s">
        <v>1064</v>
      </c>
      <c r="I27" s="1"/>
      <c r="J27" s="1"/>
    </row>
    <row r="28" spans="1:10" hidden="1" x14ac:dyDescent="0.25">
      <c r="A28" s="1" t="s">
        <v>2194</v>
      </c>
      <c r="B28" s="1" t="s">
        <v>583</v>
      </c>
      <c r="C28" s="1" t="s">
        <v>2317</v>
      </c>
      <c r="D28" s="1" t="s">
        <v>2318</v>
      </c>
      <c r="E28" s="1" t="s">
        <v>2195</v>
      </c>
      <c r="F28" s="1" t="s">
        <v>87</v>
      </c>
      <c r="G28" s="1" t="s">
        <v>575</v>
      </c>
      <c r="H28" s="1" t="s">
        <v>1064</v>
      </c>
      <c r="I28" s="1"/>
      <c r="J28" s="1"/>
    </row>
    <row r="29" spans="1:10" hidden="1" x14ac:dyDescent="0.25">
      <c r="A29" s="1" t="s">
        <v>2194</v>
      </c>
      <c r="B29" s="1" t="s">
        <v>586</v>
      </c>
      <c r="C29" s="1" t="s">
        <v>2319</v>
      </c>
      <c r="D29" s="1" t="s">
        <v>2320</v>
      </c>
      <c r="E29" s="1" t="s">
        <v>2197</v>
      </c>
      <c r="F29" s="1" t="s">
        <v>87</v>
      </c>
      <c r="G29" s="1" t="s">
        <v>575</v>
      </c>
      <c r="H29" s="1" t="s">
        <v>1064</v>
      </c>
      <c r="I29" s="1"/>
      <c r="J29" s="1"/>
    </row>
    <row r="30" spans="1:10" hidden="1" x14ac:dyDescent="0.25">
      <c r="A30" s="1" t="s">
        <v>2194</v>
      </c>
      <c r="B30" s="1" t="s">
        <v>584</v>
      </c>
      <c r="C30" s="1" t="s">
        <v>2321</v>
      </c>
      <c r="D30" s="1" t="s">
        <v>2322</v>
      </c>
      <c r="E30" s="1" t="s">
        <v>2196</v>
      </c>
      <c r="F30" s="1" t="s">
        <v>87</v>
      </c>
      <c r="G30" s="1" t="s">
        <v>575</v>
      </c>
      <c r="H30" s="1" t="s">
        <v>1064</v>
      </c>
      <c r="I30" s="1"/>
      <c r="J30" s="1"/>
    </row>
    <row r="31" spans="1:10" hidden="1" x14ac:dyDescent="0.25">
      <c r="A31" s="1" t="s">
        <v>2222</v>
      </c>
      <c r="B31" s="1" t="s">
        <v>583</v>
      </c>
      <c r="C31" s="1" t="s">
        <v>2343</v>
      </c>
      <c r="D31" s="1" t="s">
        <v>2344</v>
      </c>
      <c r="E31" s="1" t="s">
        <v>2223</v>
      </c>
      <c r="F31" s="1" t="s">
        <v>2609</v>
      </c>
      <c r="G31" s="1" t="s">
        <v>575</v>
      </c>
      <c r="H31" s="1" t="s">
        <v>1064</v>
      </c>
      <c r="I31" s="1"/>
      <c r="J31" s="1"/>
    </row>
    <row r="32" spans="1:10" hidden="1" x14ac:dyDescent="0.25">
      <c r="A32" s="1" t="s">
        <v>2222</v>
      </c>
      <c r="B32" s="1" t="s">
        <v>583</v>
      </c>
      <c r="C32" s="1" t="s">
        <v>2345</v>
      </c>
      <c r="D32" s="1" t="s">
        <v>2346</v>
      </c>
      <c r="E32" s="1" t="s">
        <v>2223</v>
      </c>
      <c r="F32" s="1" t="s">
        <v>2609</v>
      </c>
      <c r="G32" s="1" t="s">
        <v>575</v>
      </c>
      <c r="H32" s="1" t="s">
        <v>1064</v>
      </c>
      <c r="I32" s="1"/>
      <c r="J32" s="1"/>
    </row>
    <row r="33" spans="1:10" hidden="1" x14ac:dyDescent="0.25">
      <c r="A33" s="1" t="s">
        <v>2222</v>
      </c>
      <c r="B33" s="1" t="s">
        <v>583</v>
      </c>
      <c r="C33" s="1" t="s">
        <v>2347</v>
      </c>
      <c r="D33" s="1" t="s">
        <v>2348</v>
      </c>
      <c r="E33" s="1" t="s">
        <v>2223</v>
      </c>
      <c r="F33" s="1" t="s">
        <v>2609</v>
      </c>
      <c r="G33" s="1" t="s">
        <v>575</v>
      </c>
      <c r="H33" s="1" t="s">
        <v>1064</v>
      </c>
      <c r="I33" s="1"/>
      <c r="J33" s="1"/>
    </row>
    <row r="34" spans="1:10" hidden="1" x14ac:dyDescent="0.25">
      <c r="A34" s="1" t="s">
        <v>2916</v>
      </c>
      <c r="B34" s="1" t="s">
        <v>583</v>
      </c>
      <c r="C34" s="1" t="s">
        <v>3700</v>
      </c>
      <c r="D34" s="1" t="s">
        <v>3701</v>
      </c>
      <c r="E34" s="1" t="s">
        <v>2917</v>
      </c>
      <c r="F34" s="1" t="s">
        <v>2946</v>
      </c>
      <c r="G34" s="1" t="s">
        <v>575</v>
      </c>
      <c r="H34" s="1" t="s">
        <v>1064</v>
      </c>
      <c r="I34" s="1"/>
      <c r="J34" s="1"/>
    </row>
    <row r="35" spans="1:10" hidden="1" x14ac:dyDescent="0.25">
      <c r="A35" s="1" t="s">
        <v>2224</v>
      </c>
      <c r="B35" s="1" t="s">
        <v>583</v>
      </c>
      <c r="C35" s="1" t="s">
        <v>2349</v>
      </c>
      <c r="D35" s="1" t="s">
        <v>2350</v>
      </c>
      <c r="E35" s="1" t="s">
        <v>2225</v>
      </c>
      <c r="F35" s="1" t="s">
        <v>2610</v>
      </c>
      <c r="G35" s="1" t="s">
        <v>575</v>
      </c>
      <c r="H35" s="1" t="s">
        <v>1064</v>
      </c>
      <c r="I35" s="1"/>
      <c r="J35" s="1"/>
    </row>
    <row r="36" spans="1:10" hidden="1" x14ac:dyDescent="0.25">
      <c r="A36" s="1" t="s">
        <v>2224</v>
      </c>
      <c r="B36" s="1" t="s">
        <v>583</v>
      </c>
      <c r="C36" s="1" t="s">
        <v>2351</v>
      </c>
      <c r="D36" s="1" t="s">
        <v>2352</v>
      </c>
      <c r="E36" s="1" t="s">
        <v>2225</v>
      </c>
      <c r="F36" s="1" t="s">
        <v>2610</v>
      </c>
      <c r="G36" s="1" t="s">
        <v>575</v>
      </c>
      <c r="H36" s="1" t="s">
        <v>1064</v>
      </c>
      <c r="I36" s="1"/>
      <c r="J36" s="1"/>
    </row>
    <row r="37" spans="1:10" hidden="1" x14ac:dyDescent="0.25">
      <c r="A37" s="1" t="s">
        <v>2224</v>
      </c>
      <c r="B37" s="1" t="s">
        <v>583</v>
      </c>
      <c r="C37" s="1" t="s">
        <v>2353</v>
      </c>
      <c r="D37" s="1" t="s">
        <v>2354</v>
      </c>
      <c r="E37" s="1" t="s">
        <v>2225</v>
      </c>
      <c r="F37" s="1" t="s">
        <v>2610</v>
      </c>
      <c r="G37" s="1" t="s">
        <v>575</v>
      </c>
      <c r="H37" s="1" t="s">
        <v>1064</v>
      </c>
      <c r="I37" s="1"/>
      <c r="J37" s="1"/>
    </row>
    <row r="38" spans="1:10" hidden="1" x14ac:dyDescent="0.25">
      <c r="A38" s="1" t="s">
        <v>33</v>
      </c>
      <c r="B38" s="1" t="s">
        <v>583</v>
      </c>
      <c r="C38" s="1" t="s">
        <v>312</v>
      </c>
      <c r="D38" s="1" t="s">
        <v>1095</v>
      </c>
      <c r="E38" s="1" t="s">
        <v>714</v>
      </c>
      <c r="F38" s="1" t="s">
        <v>670</v>
      </c>
      <c r="G38" s="1" t="s">
        <v>561</v>
      </c>
      <c r="H38" s="1" t="s">
        <v>1064</v>
      </c>
      <c r="I38" s="1"/>
      <c r="J38" s="1"/>
    </row>
    <row r="39" spans="1:10" hidden="1" x14ac:dyDescent="0.25">
      <c r="A39" s="1" t="s">
        <v>2918</v>
      </c>
      <c r="B39" s="1" t="s">
        <v>583</v>
      </c>
      <c r="C39" s="1" t="s">
        <v>3702</v>
      </c>
      <c r="D39" s="1" t="s">
        <v>3703</v>
      </c>
      <c r="E39" s="1" t="s">
        <v>2919</v>
      </c>
      <c r="F39" s="1" t="s">
        <v>2948</v>
      </c>
      <c r="G39" s="1" t="s">
        <v>575</v>
      </c>
      <c r="H39" s="1" t="s">
        <v>1064</v>
      </c>
      <c r="I39" s="1"/>
      <c r="J39" s="1"/>
    </row>
    <row r="40" spans="1:10" hidden="1" x14ac:dyDescent="0.25">
      <c r="A40" s="1" t="s">
        <v>37</v>
      </c>
      <c r="B40" s="1" t="s">
        <v>583</v>
      </c>
      <c r="C40" s="1" t="s">
        <v>315</v>
      </c>
      <c r="D40" s="1" t="s">
        <v>1096</v>
      </c>
      <c r="E40" s="1" t="s">
        <v>715</v>
      </c>
      <c r="F40" s="1" t="s">
        <v>38</v>
      </c>
      <c r="G40" s="1" t="s">
        <v>561</v>
      </c>
      <c r="H40" s="1" t="s">
        <v>1064</v>
      </c>
      <c r="I40" s="1"/>
      <c r="J40" s="1"/>
    </row>
    <row r="41" spans="1:10" hidden="1" x14ac:dyDescent="0.25">
      <c r="A41" s="1" t="s">
        <v>2226</v>
      </c>
      <c r="B41" s="1" t="s">
        <v>583</v>
      </c>
      <c r="C41" s="1" t="s">
        <v>2355</v>
      </c>
      <c r="D41" s="1" t="s">
        <v>2356</v>
      </c>
      <c r="E41" s="1" t="s">
        <v>2227</v>
      </c>
      <c r="F41" s="1" t="s">
        <v>2612</v>
      </c>
      <c r="G41" s="1" t="s">
        <v>575</v>
      </c>
      <c r="H41" s="1" t="s">
        <v>1064</v>
      </c>
      <c r="I41" s="1"/>
      <c r="J41" s="1"/>
    </row>
    <row r="42" spans="1:10" hidden="1" x14ac:dyDescent="0.25">
      <c r="A42" s="1" t="s">
        <v>2226</v>
      </c>
      <c r="B42" s="1" t="s">
        <v>583</v>
      </c>
      <c r="C42" s="1" t="s">
        <v>2357</v>
      </c>
      <c r="D42" s="1" t="s">
        <v>2358</v>
      </c>
      <c r="E42" s="1" t="s">
        <v>2227</v>
      </c>
      <c r="F42" s="1" t="s">
        <v>2612</v>
      </c>
      <c r="G42" s="1" t="s">
        <v>575</v>
      </c>
      <c r="H42" s="1" t="s">
        <v>1064</v>
      </c>
      <c r="I42" s="1"/>
      <c r="J42" s="1"/>
    </row>
    <row r="43" spans="1:10" hidden="1" x14ac:dyDescent="0.25">
      <c r="A43" s="1" t="s">
        <v>2226</v>
      </c>
      <c r="B43" s="1" t="s">
        <v>583</v>
      </c>
      <c r="C43" s="1" t="s">
        <v>2359</v>
      </c>
      <c r="D43" s="1" t="s">
        <v>2360</v>
      </c>
      <c r="E43" s="1" t="s">
        <v>2227</v>
      </c>
      <c r="F43" s="1" t="s">
        <v>2612</v>
      </c>
      <c r="G43" s="1" t="s">
        <v>575</v>
      </c>
      <c r="H43" s="1" t="s">
        <v>1064</v>
      </c>
      <c r="I43" s="1"/>
      <c r="J43" s="1"/>
    </row>
    <row r="44" spans="1:10" hidden="1" x14ac:dyDescent="0.25">
      <c r="A44" s="1" t="s">
        <v>39</v>
      </c>
      <c r="B44" s="1" t="s">
        <v>583</v>
      </c>
      <c r="C44" s="1" t="s">
        <v>318</v>
      </c>
      <c r="D44" s="1" t="s">
        <v>1097</v>
      </c>
      <c r="E44" s="1" t="s">
        <v>716</v>
      </c>
      <c r="F44" s="1" t="s">
        <v>40</v>
      </c>
      <c r="G44" s="1" t="s">
        <v>561</v>
      </c>
      <c r="H44" s="1" t="s">
        <v>1064</v>
      </c>
      <c r="I44" s="1"/>
      <c r="J44" s="1"/>
    </row>
    <row r="45" spans="1:10" hidden="1" x14ac:dyDescent="0.25">
      <c r="A45" s="1" t="s">
        <v>41</v>
      </c>
      <c r="B45" s="1" t="s">
        <v>583</v>
      </c>
      <c r="C45" s="1" t="s">
        <v>320</v>
      </c>
      <c r="D45" s="1" t="s">
        <v>1098</v>
      </c>
      <c r="E45" s="1" t="s">
        <v>717</v>
      </c>
      <c r="F45" s="1" t="s">
        <v>42</v>
      </c>
      <c r="G45" s="1" t="s">
        <v>561</v>
      </c>
      <c r="H45" s="1" t="s">
        <v>1064</v>
      </c>
      <c r="I45" s="1"/>
      <c r="J45" s="1"/>
    </row>
    <row r="46" spans="1:10" hidden="1" x14ac:dyDescent="0.25">
      <c r="A46" s="1" t="s">
        <v>43</v>
      </c>
      <c r="B46" s="1" t="s">
        <v>583</v>
      </c>
      <c r="C46" s="1" t="s">
        <v>323</v>
      </c>
      <c r="D46" s="1" t="s">
        <v>1099</v>
      </c>
      <c r="E46" s="1" t="s">
        <v>718</v>
      </c>
      <c r="F46" s="1" t="s">
        <v>44</v>
      </c>
      <c r="G46" s="1" t="s">
        <v>561</v>
      </c>
      <c r="H46" s="1" t="s">
        <v>1064</v>
      </c>
      <c r="I46" s="1"/>
      <c r="J46" s="1"/>
    </row>
    <row r="47" spans="1:10" hidden="1" x14ac:dyDescent="0.25">
      <c r="A47" s="1" t="s">
        <v>2920</v>
      </c>
      <c r="B47" s="1" t="s">
        <v>583</v>
      </c>
      <c r="C47" s="1" t="s">
        <v>3704</v>
      </c>
      <c r="D47" s="1" t="s">
        <v>3705</v>
      </c>
      <c r="E47" s="1" t="s">
        <v>2921</v>
      </c>
      <c r="F47" s="1" t="s">
        <v>2949</v>
      </c>
      <c r="G47" s="1" t="s">
        <v>575</v>
      </c>
      <c r="H47" s="1" t="s">
        <v>1064</v>
      </c>
      <c r="I47" s="1"/>
      <c r="J47" s="1"/>
    </row>
    <row r="48" spans="1:10" hidden="1" x14ac:dyDescent="0.25">
      <c r="A48" s="1" t="s">
        <v>2216</v>
      </c>
      <c r="B48" s="1" t="s">
        <v>583</v>
      </c>
      <c r="C48" s="1" t="s">
        <v>2325</v>
      </c>
      <c r="D48" s="1" t="s">
        <v>2326</v>
      </c>
      <c r="E48" s="1" t="s">
        <v>2217</v>
      </c>
      <c r="F48" s="1" t="s">
        <v>2614</v>
      </c>
      <c r="G48" s="1" t="s">
        <v>575</v>
      </c>
      <c r="H48" s="1" t="s">
        <v>1064</v>
      </c>
      <c r="I48" s="1"/>
      <c r="J48" s="1"/>
    </row>
    <row r="49" spans="1:10" hidden="1" x14ac:dyDescent="0.25">
      <c r="A49" s="1" t="s">
        <v>2216</v>
      </c>
      <c r="B49" s="1" t="s">
        <v>583</v>
      </c>
      <c r="C49" s="1" t="s">
        <v>2327</v>
      </c>
      <c r="D49" s="1" t="s">
        <v>2328</v>
      </c>
      <c r="E49" s="1" t="s">
        <v>2217</v>
      </c>
      <c r="F49" s="1" t="s">
        <v>2614</v>
      </c>
      <c r="G49" s="1" t="s">
        <v>575</v>
      </c>
      <c r="H49" s="1" t="s">
        <v>1064</v>
      </c>
      <c r="I49" s="1"/>
      <c r="J49" s="1"/>
    </row>
    <row r="50" spans="1:10" hidden="1" x14ac:dyDescent="0.25">
      <c r="A50" s="1" t="s">
        <v>2216</v>
      </c>
      <c r="B50" s="1" t="s">
        <v>583</v>
      </c>
      <c r="C50" s="1" t="s">
        <v>2329</v>
      </c>
      <c r="D50" s="1" t="s">
        <v>2330</v>
      </c>
      <c r="E50" s="1" t="s">
        <v>2217</v>
      </c>
      <c r="F50" s="1" t="s">
        <v>2614</v>
      </c>
      <c r="G50" s="1" t="s">
        <v>575</v>
      </c>
      <c r="H50" s="1" t="s">
        <v>1064</v>
      </c>
      <c r="I50" s="1"/>
      <c r="J50" s="1"/>
    </row>
    <row r="51" spans="1:10" hidden="1" x14ac:dyDescent="0.25">
      <c r="A51" s="1" t="s">
        <v>2922</v>
      </c>
      <c r="B51" s="1" t="s">
        <v>583</v>
      </c>
      <c r="C51" s="1" t="s">
        <v>3706</v>
      </c>
      <c r="D51" s="1" t="s">
        <v>3707</v>
      </c>
      <c r="E51" s="1" t="s">
        <v>2923</v>
      </c>
      <c r="F51" s="1" t="s">
        <v>2950</v>
      </c>
      <c r="G51" s="1" t="s">
        <v>575</v>
      </c>
      <c r="H51" s="1" t="s">
        <v>1064</v>
      </c>
      <c r="I51" s="1"/>
      <c r="J51" s="1"/>
    </row>
    <row r="52" spans="1:10" hidden="1" x14ac:dyDescent="0.25">
      <c r="A52" s="1" t="s">
        <v>2218</v>
      </c>
      <c r="B52" s="1" t="s">
        <v>583</v>
      </c>
      <c r="C52" s="1" t="s">
        <v>2331</v>
      </c>
      <c r="D52" s="1" t="s">
        <v>2332</v>
      </c>
      <c r="E52" s="1" t="s">
        <v>2219</v>
      </c>
      <c r="F52" s="1" t="s">
        <v>2616</v>
      </c>
      <c r="G52" s="1" t="s">
        <v>575</v>
      </c>
      <c r="H52" s="1" t="s">
        <v>1064</v>
      </c>
      <c r="I52" s="1"/>
      <c r="J52" s="1"/>
    </row>
    <row r="53" spans="1:10" hidden="1" x14ac:dyDescent="0.25">
      <c r="A53" s="1" t="s">
        <v>2218</v>
      </c>
      <c r="B53" s="1" t="s">
        <v>583</v>
      </c>
      <c r="C53" s="1" t="s">
        <v>2333</v>
      </c>
      <c r="D53" s="1" t="s">
        <v>2334</v>
      </c>
      <c r="E53" s="1" t="s">
        <v>2219</v>
      </c>
      <c r="F53" s="1" t="s">
        <v>2616</v>
      </c>
      <c r="G53" s="1" t="s">
        <v>575</v>
      </c>
      <c r="H53" s="1" t="s">
        <v>1064</v>
      </c>
      <c r="I53" s="1"/>
      <c r="J53" s="1"/>
    </row>
    <row r="54" spans="1:10" hidden="1" x14ac:dyDescent="0.25">
      <c r="A54" s="1" t="s">
        <v>2218</v>
      </c>
      <c r="B54" s="1" t="s">
        <v>583</v>
      </c>
      <c r="C54" s="1" t="s">
        <v>2335</v>
      </c>
      <c r="D54" s="1" t="s">
        <v>2336</v>
      </c>
      <c r="E54" s="1" t="s">
        <v>2219</v>
      </c>
      <c r="F54" s="1" t="s">
        <v>2616</v>
      </c>
      <c r="G54" s="1" t="s">
        <v>575</v>
      </c>
      <c r="H54" s="1" t="s">
        <v>1064</v>
      </c>
      <c r="I54" s="1"/>
      <c r="J54" s="1"/>
    </row>
    <row r="55" spans="1:10" hidden="1" x14ac:dyDescent="0.25">
      <c r="A55" s="1" t="s">
        <v>2220</v>
      </c>
      <c r="B55" s="1" t="s">
        <v>583</v>
      </c>
      <c r="C55" s="1" t="s">
        <v>2337</v>
      </c>
      <c r="D55" s="1" t="s">
        <v>2338</v>
      </c>
      <c r="E55" s="1" t="s">
        <v>2221</v>
      </c>
      <c r="F55" s="1" t="s">
        <v>2618</v>
      </c>
      <c r="G55" s="1" t="s">
        <v>575</v>
      </c>
      <c r="H55" s="1" t="s">
        <v>1064</v>
      </c>
      <c r="I55" s="1"/>
      <c r="J55" s="1"/>
    </row>
    <row r="56" spans="1:10" hidden="1" x14ac:dyDescent="0.25">
      <c r="A56" s="1" t="s">
        <v>2220</v>
      </c>
      <c r="B56" s="1" t="s">
        <v>583</v>
      </c>
      <c r="C56" s="1" t="s">
        <v>2339</v>
      </c>
      <c r="D56" s="1" t="s">
        <v>2340</v>
      </c>
      <c r="E56" s="1" t="s">
        <v>2221</v>
      </c>
      <c r="F56" s="1" t="s">
        <v>2618</v>
      </c>
      <c r="G56" s="1" t="s">
        <v>575</v>
      </c>
      <c r="H56" s="1" t="s">
        <v>1064</v>
      </c>
      <c r="I56" s="1"/>
      <c r="J56" s="1"/>
    </row>
    <row r="57" spans="1:10" hidden="1" x14ac:dyDescent="0.25">
      <c r="A57" s="1" t="s">
        <v>2220</v>
      </c>
      <c r="B57" s="1" t="s">
        <v>583</v>
      </c>
      <c r="C57" s="1" t="s">
        <v>2341</v>
      </c>
      <c r="D57" s="1" t="s">
        <v>2342</v>
      </c>
      <c r="E57" s="1" t="s">
        <v>2221</v>
      </c>
      <c r="F57" s="1" t="s">
        <v>2618</v>
      </c>
      <c r="G57" s="1" t="s">
        <v>575</v>
      </c>
      <c r="H57" s="1" t="s">
        <v>1064</v>
      </c>
      <c r="I57" s="1"/>
      <c r="J57" s="1"/>
    </row>
    <row r="58" spans="1:10" hidden="1" x14ac:dyDescent="0.25">
      <c r="A58" s="1" t="s">
        <v>2204</v>
      </c>
      <c r="B58" s="1" t="s">
        <v>583</v>
      </c>
      <c r="C58" s="1" t="s">
        <v>2374</v>
      </c>
      <c r="D58" s="1" t="s">
        <v>2375</v>
      </c>
      <c r="E58" s="1" t="s">
        <v>2205</v>
      </c>
      <c r="F58" s="1" t="s">
        <v>2620</v>
      </c>
      <c r="G58" s="1"/>
      <c r="H58" s="1" t="s">
        <v>1064</v>
      </c>
      <c r="I58" s="1"/>
      <c r="J58" s="1"/>
    </row>
    <row r="59" spans="1:10" hidden="1" x14ac:dyDescent="0.25">
      <c r="A59" s="1" t="s">
        <v>2204</v>
      </c>
      <c r="B59" s="1" t="s">
        <v>583</v>
      </c>
      <c r="C59" s="1" t="s">
        <v>2376</v>
      </c>
      <c r="D59" s="1" t="s">
        <v>2377</v>
      </c>
      <c r="E59" s="1" t="s">
        <v>2205</v>
      </c>
      <c r="F59" s="1" t="s">
        <v>2620</v>
      </c>
      <c r="G59" s="1"/>
      <c r="H59" s="1" t="s">
        <v>1064</v>
      </c>
      <c r="I59" s="1"/>
      <c r="J59" s="1"/>
    </row>
    <row r="60" spans="1:10" hidden="1" x14ac:dyDescent="0.25">
      <c r="A60" s="1" t="s">
        <v>2204</v>
      </c>
      <c r="B60" s="1" t="s">
        <v>583</v>
      </c>
      <c r="C60" s="1" t="s">
        <v>2378</v>
      </c>
      <c r="D60" s="1" t="s">
        <v>2379</v>
      </c>
      <c r="E60" s="1" t="s">
        <v>2205</v>
      </c>
      <c r="F60" s="1" t="s">
        <v>2620</v>
      </c>
      <c r="G60" s="1"/>
      <c r="H60" s="1" t="s">
        <v>1064</v>
      </c>
      <c r="I60" s="1"/>
      <c r="J60" s="1"/>
    </row>
    <row r="61" spans="1:10" hidden="1" x14ac:dyDescent="0.25">
      <c r="A61" s="1" t="s">
        <v>2236</v>
      </c>
      <c r="B61" s="1" t="s">
        <v>583</v>
      </c>
      <c r="C61" s="1" t="s">
        <v>2380</v>
      </c>
      <c r="D61" s="1" t="s">
        <v>2381</v>
      </c>
      <c r="E61" s="1" t="s">
        <v>2237</v>
      </c>
      <c r="F61" s="1" t="s">
        <v>2621</v>
      </c>
      <c r="G61" s="1"/>
      <c r="H61" s="1" t="s">
        <v>1064</v>
      </c>
      <c r="I61" s="1"/>
      <c r="J61" s="1"/>
    </row>
    <row r="62" spans="1:10" hidden="1" x14ac:dyDescent="0.25">
      <c r="A62" s="1" t="s">
        <v>2236</v>
      </c>
      <c r="B62" s="1" t="s">
        <v>583</v>
      </c>
      <c r="C62" s="1" t="s">
        <v>2382</v>
      </c>
      <c r="D62" s="1" t="s">
        <v>2383</v>
      </c>
      <c r="E62" s="1" t="s">
        <v>2237</v>
      </c>
      <c r="F62" s="1" t="s">
        <v>2621</v>
      </c>
      <c r="G62" s="1"/>
      <c r="H62" s="1" t="s">
        <v>1064</v>
      </c>
      <c r="I62" s="1"/>
      <c r="J62" s="1"/>
    </row>
    <row r="63" spans="1:10" hidden="1" x14ac:dyDescent="0.25">
      <c r="A63" s="1" t="s">
        <v>2236</v>
      </c>
      <c r="B63" s="1" t="s">
        <v>583</v>
      </c>
      <c r="C63" s="1" t="s">
        <v>2384</v>
      </c>
      <c r="D63" s="1" t="s">
        <v>2385</v>
      </c>
      <c r="E63" s="1" t="s">
        <v>2237</v>
      </c>
      <c r="F63" s="1" t="s">
        <v>2621</v>
      </c>
      <c r="G63" s="1"/>
      <c r="H63" s="1" t="s">
        <v>1064</v>
      </c>
      <c r="I63" s="1"/>
      <c r="J63" s="1"/>
    </row>
    <row r="64" spans="1:10" hidden="1" x14ac:dyDescent="0.25">
      <c r="A64" s="1" t="s">
        <v>2232</v>
      </c>
      <c r="B64" s="1" t="s">
        <v>583</v>
      </c>
      <c r="C64" s="1" t="s">
        <v>2296</v>
      </c>
      <c r="D64" s="1" t="s">
        <v>2297</v>
      </c>
      <c r="E64" s="1" t="s">
        <v>2233</v>
      </c>
      <c r="F64" s="1" t="s">
        <v>2650</v>
      </c>
      <c r="G64" s="1" t="s">
        <v>575</v>
      </c>
      <c r="H64" s="1" t="s">
        <v>1064</v>
      </c>
      <c r="I64" s="1"/>
      <c r="J64" s="1"/>
    </row>
    <row r="65" spans="1:10" hidden="1" x14ac:dyDescent="0.25">
      <c r="A65" s="1" t="s">
        <v>2238</v>
      </c>
      <c r="B65" s="1" t="s">
        <v>583</v>
      </c>
      <c r="C65" s="1" t="s">
        <v>2386</v>
      </c>
      <c r="D65" s="1" t="s">
        <v>2387</v>
      </c>
      <c r="E65" s="1" t="s">
        <v>2239</v>
      </c>
      <c r="F65" s="1" t="s">
        <v>2623</v>
      </c>
      <c r="G65" s="1"/>
      <c r="H65" s="1" t="s">
        <v>1064</v>
      </c>
      <c r="I65" s="1"/>
      <c r="J65" s="1"/>
    </row>
    <row r="66" spans="1:10" hidden="1" x14ac:dyDescent="0.25">
      <c r="A66" s="1" t="s">
        <v>2238</v>
      </c>
      <c r="B66" s="1" t="s">
        <v>583</v>
      </c>
      <c r="C66" s="1" t="s">
        <v>2388</v>
      </c>
      <c r="D66" s="1" t="s">
        <v>2389</v>
      </c>
      <c r="E66" s="1" t="s">
        <v>2239</v>
      </c>
      <c r="F66" s="1" t="s">
        <v>2623</v>
      </c>
      <c r="G66" s="1"/>
      <c r="H66" s="1" t="s">
        <v>1064</v>
      </c>
      <c r="I66" s="1"/>
      <c r="J66" s="1"/>
    </row>
    <row r="67" spans="1:10" hidden="1" x14ac:dyDescent="0.25">
      <c r="A67" s="1" t="s">
        <v>2238</v>
      </c>
      <c r="B67" s="1" t="s">
        <v>583</v>
      </c>
      <c r="C67" s="1" t="s">
        <v>2390</v>
      </c>
      <c r="D67" s="1" t="s">
        <v>2391</v>
      </c>
      <c r="E67" s="1" t="s">
        <v>2239</v>
      </c>
      <c r="F67" s="1" t="s">
        <v>2623</v>
      </c>
      <c r="G67" s="1"/>
      <c r="H67" s="1" t="s">
        <v>1064</v>
      </c>
      <c r="I67" s="1"/>
      <c r="J67" s="1"/>
    </row>
    <row r="68" spans="1:10" hidden="1" x14ac:dyDescent="0.25">
      <c r="A68" s="1" t="s">
        <v>3117</v>
      </c>
      <c r="B68" s="1" t="s">
        <v>583</v>
      </c>
      <c r="C68" s="1" t="s">
        <v>3191</v>
      </c>
      <c r="D68" s="1" t="s">
        <v>3192</v>
      </c>
      <c r="E68" s="1" t="s">
        <v>3118</v>
      </c>
      <c r="F68" s="1" t="s">
        <v>3299</v>
      </c>
      <c r="G68" s="1" t="s">
        <v>575</v>
      </c>
      <c r="H68" s="1" t="s">
        <v>1064</v>
      </c>
      <c r="I68" s="1"/>
      <c r="J68" s="1"/>
    </row>
    <row r="69" spans="1:10" hidden="1" x14ac:dyDescent="0.25">
      <c r="A69" s="1" t="s">
        <v>3117</v>
      </c>
      <c r="B69" s="1" t="s">
        <v>583</v>
      </c>
      <c r="C69" s="1" t="s">
        <v>3345</v>
      </c>
      <c r="D69" s="1" t="s">
        <v>3708</v>
      </c>
      <c r="E69" s="1" t="s">
        <v>3118</v>
      </c>
      <c r="F69" s="1" t="s">
        <v>3299</v>
      </c>
      <c r="G69" s="1" t="s">
        <v>575</v>
      </c>
      <c r="H69" s="1" t="s">
        <v>1064</v>
      </c>
      <c r="I69" s="1"/>
      <c r="J69" s="1"/>
    </row>
    <row r="70" spans="1:10" hidden="1" x14ac:dyDescent="0.25">
      <c r="A70" s="1" t="s">
        <v>3117</v>
      </c>
      <c r="B70" s="1" t="s">
        <v>583</v>
      </c>
      <c r="C70" s="1" t="s">
        <v>3347</v>
      </c>
      <c r="D70" s="1" t="s">
        <v>3709</v>
      </c>
      <c r="E70" s="1" t="s">
        <v>3118</v>
      </c>
      <c r="F70" s="1" t="s">
        <v>3299</v>
      </c>
      <c r="G70" s="1" t="s">
        <v>575</v>
      </c>
      <c r="H70" s="1" t="s">
        <v>1064</v>
      </c>
      <c r="I70" s="1"/>
      <c r="J70" s="1"/>
    </row>
    <row r="71" spans="1:10" hidden="1" x14ac:dyDescent="0.25">
      <c r="A71" s="1" t="s">
        <v>2240</v>
      </c>
      <c r="B71" s="1" t="s">
        <v>583</v>
      </c>
      <c r="C71" s="1" t="s">
        <v>2392</v>
      </c>
      <c r="D71" s="1" t="s">
        <v>2393</v>
      </c>
      <c r="E71" s="1" t="s">
        <v>2241</v>
      </c>
      <c r="F71" s="1" t="s">
        <v>2624</v>
      </c>
      <c r="G71" s="1"/>
      <c r="H71" s="1" t="s">
        <v>1064</v>
      </c>
      <c r="I71" s="1"/>
      <c r="J71" s="1"/>
    </row>
    <row r="72" spans="1:10" hidden="1" x14ac:dyDescent="0.25">
      <c r="A72" s="1" t="s">
        <v>2240</v>
      </c>
      <c r="B72" s="1" t="s">
        <v>583</v>
      </c>
      <c r="C72" s="1" t="s">
        <v>2394</v>
      </c>
      <c r="D72" s="1" t="s">
        <v>2395</v>
      </c>
      <c r="E72" s="1" t="s">
        <v>2241</v>
      </c>
      <c r="F72" s="1" t="s">
        <v>2624</v>
      </c>
      <c r="G72" s="1"/>
      <c r="H72" s="1" t="s">
        <v>1064</v>
      </c>
      <c r="I72" s="1"/>
      <c r="J72" s="1"/>
    </row>
    <row r="73" spans="1:10" hidden="1" x14ac:dyDescent="0.25">
      <c r="A73" s="1" t="s">
        <v>2240</v>
      </c>
      <c r="B73" s="1" t="s">
        <v>583</v>
      </c>
      <c r="C73" s="1" t="s">
        <v>2396</v>
      </c>
      <c r="D73" s="1" t="s">
        <v>2397</v>
      </c>
      <c r="E73" s="1" t="s">
        <v>2241</v>
      </c>
      <c r="F73" s="1" t="s">
        <v>2624</v>
      </c>
      <c r="G73" s="1"/>
      <c r="H73" s="1" t="s">
        <v>1064</v>
      </c>
      <c r="I73" s="1"/>
      <c r="J73" s="1"/>
    </row>
    <row r="74" spans="1:10" hidden="1" x14ac:dyDescent="0.25">
      <c r="A74" s="1" t="s">
        <v>2242</v>
      </c>
      <c r="B74" s="1" t="s">
        <v>583</v>
      </c>
      <c r="C74" s="1" t="s">
        <v>2398</v>
      </c>
      <c r="D74" s="1" t="s">
        <v>2399</v>
      </c>
      <c r="E74" s="1" t="s">
        <v>2243</v>
      </c>
      <c r="F74" s="1" t="s">
        <v>2625</v>
      </c>
      <c r="G74" s="1"/>
      <c r="H74" s="1" t="s">
        <v>1064</v>
      </c>
      <c r="I74" s="1"/>
      <c r="J74" s="1"/>
    </row>
    <row r="75" spans="1:10" hidden="1" x14ac:dyDescent="0.25">
      <c r="A75" s="1" t="s">
        <v>2242</v>
      </c>
      <c r="B75" s="1" t="s">
        <v>583</v>
      </c>
      <c r="C75" s="1" t="s">
        <v>2400</v>
      </c>
      <c r="D75" s="1" t="s">
        <v>2401</v>
      </c>
      <c r="E75" s="1" t="s">
        <v>2243</v>
      </c>
      <c r="F75" s="1" t="s">
        <v>2625</v>
      </c>
      <c r="G75" s="1"/>
      <c r="H75" s="1" t="s">
        <v>1064</v>
      </c>
      <c r="I75" s="1"/>
      <c r="J75" s="1"/>
    </row>
    <row r="76" spans="1:10" hidden="1" x14ac:dyDescent="0.25">
      <c r="A76" s="1" t="s">
        <v>2242</v>
      </c>
      <c r="B76" s="1" t="s">
        <v>583</v>
      </c>
      <c r="C76" s="1" t="s">
        <v>2402</v>
      </c>
      <c r="D76" s="1" t="s">
        <v>2403</v>
      </c>
      <c r="E76" s="1" t="s">
        <v>2243</v>
      </c>
      <c r="F76" s="1" t="s">
        <v>2625</v>
      </c>
      <c r="G76" s="1"/>
      <c r="H76" s="1" t="s">
        <v>1064</v>
      </c>
      <c r="I76" s="1"/>
      <c r="J76" s="1"/>
    </row>
    <row r="77" spans="1:10" hidden="1" x14ac:dyDescent="0.25">
      <c r="A77" s="1" t="s">
        <v>2244</v>
      </c>
      <c r="B77" s="1" t="s">
        <v>583</v>
      </c>
      <c r="C77" s="1" t="s">
        <v>2404</v>
      </c>
      <c r="D77" s="1" t="s">
        <v>2405</v>
      </c>
      <c r="E77" s="1" t="s">
        <v>2245</v>
      </c>
      <c r="F77" s="1" t="s">
        <v>2626</v>
      </c>
      <c r="G77" s="1"/>
      <c r="H77" s="1" t="s">
        <v>1064</v>
      </c>
      <c r="I77" s="1"/>
      <c r="J77" s="1"/>
    </row>
    <row r="78" spans="1:10" hidden="1" x14ac:dyDescent="0.25">
      <c r="A78" s="1" t="s">
        <v>2244</v>
      </c>
      <c r="B78" s="1" t="s">
        <v>583</v>
      </c>
      <c r="C78" s="1" t="s">
        <v>2406</v>
      </c>
      <c r="D78" s="1" t="s">
        <v>2407</v>
      </c>
      <c r="E78" s="1" t="s">
        <v>2245</v>
      </c>
      <c r="F78" s="1" t="s">
        <v>2626</v>
      </c>
      <c r="G78" s="1"/>
      <c r="H78" s="1" t="s">
        <v>1064</v>
      </c>
      <c r="I78" s="1"/>
      <c r="J78" s="1"/>
    </row>
    <row r="79" spans="1:10" hidden="1" x14ac:dyDescent="0.25">
      <c r="A79" s="1" t="s">
        <v>2244</v>
      </c>
      <c r="B79" s="1" t="s">
        <v>583</v>
      </c>
      <c r="C79" s="1" t="s">
        <v>2408</v>
      </c>
      <c r="D79" s="1" t="s">
        <v>2409</v>
      </c>
      <c r="E79" s="1" t="s">
        <v>2245</v>
      </c>
      <c r="F79" s="1" t="s">
        <v>2626</v>
      </c>
      <c r="G79" s="1"/>
      <c r="H79" s="1" t="s">
        <v>1064</v>
      </c>
      <c r="I79" s="1"/>
      <c r="J79" s="1"/>
    </row>
    <row r="80" spans="1:10" hidden="1" x14ac:dyDescent="0.25">
      <c r="A80" s="1" t="s">
        <v>2246</v>
      </c>
      <c r="B80" s="1" t="s">
        <v>583</v>
      </c>
      <c r="C80" s="1" t="s">
        <v>2410</v>
      </c>
      <c r="D80" s="1" t="s">
        <v>2411</v>
      </c>
      <c r="E80" s="1" t="s">
        <v>2247</v>
      </c>
      <c r="F80" s="1" t="s">
        <v>2627</v>
      </c>
      <c r="G80" s="1"/>
      <c r="H80" s="1" t="s">
        <v>1064</v>
      </c>
      <c r="I80" s="1"/>
      <c r="J80" s="1"/>
    </row>
    <row r="81" spans="1:10" hidden="1" x14ac:dyDescent="0.25">
      <c r="A81" s="1" t="s">
        <v>2246</v>
      </c>
      <c r="B81" s="1" t="s">
        <v>583</v>
      </c>
      <c r="C81" s="1" t="s">
        <v>2412</v>
      </c>
      <c r="D81" s="1" t="s">
        <v>2413</v>
      </c>
      <c r="E81" s="1" t="s">
        <v>2247</v>
      </c>
      <c r="F81" s="1" t="s">
        <v>2627</v>
      </c>
      <c r="G81" s="1"/>
      <c r="H81" s="1" t="s">
        <v>1064</v>
      </c>
      <c r="I81" s="1"/>
      <c r="J81" s="1"/>
    </row>
    <row r="82" spans="1:10" hidden="1" x14ac:dyDescent="0.25">
      <c r="A82" s="1" t="s">
        <v>2246</v>
      </c>
      <c r="B82" s="1" t="s">
        <v>583</v>
      </c>
      <c r="C82" s="1" t="s">
        <v>2414</v>
      </c>
      <c r="D82" s="1" t="s">
        <v>2415</v>
      </c>
      <c r="E82" s="1" t="s">
        <v>2247</v>
      </c>
      <c r="F82" s="1" t="s">
        <v>2627</v>
      </c>
      <c r="G82" s="1"/>
      <c r="H82" s="1" t="s">
        <v>1064</v>
      </c>
      <c r="I82" s="1"/>
      <c r="J82" s="1"/>
    </row>
    <row r="83" spans="1:10" hidden="1" x14ac:dyDescent="0.25">
      <c r="A83" s="1" t="s">
        <v>24</v>
      </c>
      <c r="B83" s="1" t="s">
        <v>583</v>
      </c>
      <c r="C83" s="1" t="s">
        <v>304</v>
      </c>
      <c r="D83" s="1" t="s">
        <v>1093</v>
      </c>
      <c r="E83" s="1" t="s">
        <v>713</v>
      </c>
      <c r="F83" s="1" t="s">
        <v>25</v>
      </c>
      <c r="G83" s="1"/>
      <c r="H83" s="1" t="s">
        <v>1064</v>
      </c>
      <c r="I83" s="1"/>
      <c r="J83" s="1"/>
    </row>
    <row r="84" spans="1:10" hidden="1" x14ac:dyDescent="0.25">
      <c r="A84" s="1" t="s">
        <v>24</v>
      </c>
      <c r="B84" s="1" t="s">
        <v>583</v>
      </c>
      <c r="C84" s="1" t="s">
        <v>309</v>
      </c>
      <c r="D84" s="1" t="s">
        <v>1094</v>
      </c>
      <c r="E84" s="1" t="s">
        <v>713</v>
      </c>
      <c r="F84" s="1" t="s">
        <v>25</v>
      </c>
      <c r="G84" s="1"/>
      <c r="H84" s="1" t="s">
        <v>1064</v>
      </c>
      <c r="I84" s="1"/>
      <c r="J84" s="1"/>
    </row>
    <row r="85" spans="1:10" hidden="1" x14ac:dyDescent="0.25">
      <c r="A85" s="1" t="s">
        <v>3403</v>
      </c>
      <c r="B85" s="1" t="s">
        <v>586</v>
      </c>
      <c r="C85" s="1" t="s">
        <v>3406</v>
      </c>
      <c r="D85" s="1" t="s">
        <v>3407</v>
      </c>
      <c r="E85" s="1" t="s">
        <v>3404</v>
      </c>
      <c r="F85" s="1" t="s">
        <v>3410</v>
      </c>
      <c r="G85" s="1" t="s">
        <v>575</v>
      </c>
      <c r="H85" s="1" t="s">
        <v>1064</v>
      </c>
      <c r="I85" s="1"/>
      <c r="J85" s="1"/>
    </row>
    <row r="86" spans="1:10" hidden="1" x14ac:dyDescent="0.25">
      <c r="A86" s="1" t="s">
        <v>2200</v>
      </c>
      <c r="B86" s="1" t="s">
        <v>583</v>
      </c>
      <c r="C86" s="1" t="s">
        <v>2301</v>
      </c>
      <c r="D86" s="1" t="s">
        <v>2302</v>
      </c>
      <c r="E86" s="1" t="s">
        <v>2201</v>
      </c>
      <c r="F86" s="1" t="s">
        <v>92</v>
      </c>
      <c r="G86" s="1" t="s">
        <v>3543</v>
      </c>
      <c r="H86" s="1" t="s">
        <v>1064</v>
      </c>
      <c r="I86" s="1"/>
      <c r="J86" s="1"/>
    </row>
    <row r="87" spans="1:10" hidden="1" x14ac:dyDescent="0.25">
      <c r="A87" s="1" t="s">
        <v>2200</v>
      </c>
      <c r="B87" s="1" t="s">
        <v>583</v>
      </c>
      <c r="C87" s="1" t="s">
        <v>2303</v>
      </c>
      <c r="D87" s="1" t="s">
        <v>3712</v>
      </c>
      <c r="E87" s="1" t="s">
        <v>2201</v>
      </c>
      <c r="F87" s="1" t="s">
        <v>92</v>
      </c>
      <c r="G87" s="1" t="s">
        <v>3543</v>
      </c>
      <c r="H87" s="1" t="s">
        <v>1064</v>
      </c>
      <c r="I87" s="1"/>
      <c r="J87" s="1"/>
    </row>
    <row r="88" spans="1:10" hidden="1" x14ac:dyDescent="0.25">
      <c r="A88" s="1" t="s">
        <v>2200</v>
      </c>
      <c r="B88" s="1" t="s">
        <v>586</v>
      </c>
      <c r="C88" s="1" t="s">
        <v>2682</v>
      </c>
      <c r="D88" s="1" t="s">
        <v>3713</v>
      </c>
      <c r="E88" s="1" t="s">
        <v>2213</v>
      </c>
      <c r="F88" s="1" t="s">
        <v>92</v>
      </c>
      <c r="G88" s="1" t="s">
        <v>3543</v>
      </c>
      <c r="H88" s="1" t="s">
        <v>1064</v>
      </c>
      <c r="I88" s="1"/>
      <c r="J88" s="1"/>
    </row>
    <row r="89" spans="1:10" hidden="1" x14ac:dyDescent="0.25">
      <c r="A89" s="1" t="s">
        <v>2228</v>
      </c>
      <c r="B89" s="1" t="s">
        <v>583</v>
      </c>
      <c r="C89" s="1" t="s">
        <v>2304</v>
      </c>
      <c r="D89" s="1" t="s">
        <v>2305</v>
      </c>
      <c r="E89" s="1" t="s">
        <v>2231</v>
      </c>
      <c r="F89" s="1" t="s">
        <v>106</v>
      </c>
      <c r="G89" s="1" t="s">
        <v>575</v>
      </c>
      <c r="H89" s="1" t="s">
        <v>1064</v>
      </c>
      <c r="I89" s="1"/>
      <c r="J89" s="1"/>
    </row>
    <row r="90" spans="1:10" hidden="1" x14ac:dyDescent="0.25">
      <c r="A90" s="1" t="s">
        <v>2228</v>
      </c>
      <c r="B90" s="1" t="s">
        <v>586</v>
      </c>
      <c r="C90" s="1" t="s">
        <v>2306</v>
      </c>
      <c r="D90" s="1" t="s">
        <v>2307</v>
      </c>
      <c r="E90" s="1" t="s">
        <v>2230</v>
      </c>
      <c r="F90" s="1" t="s">
        <v>106</v>
      </c>
      <c r="G90" s="1" t="s">
        <v>575</v>
      </c>
      <c r="H90" s="1" t="s">
        <v>1064</v>
      </c>
      <c r="I90" s="1"/>
      <c r="J90" s="1"/>
    </row>
    <row r="91" spans="1:10" hidden="1" x14ac:dyDescent="0.25">
      <c r="A91" s="1" t="s">
        <v>2228</v>
      </c>
      <c r="B91" s="1" t="s">
        <v>584</v>
      </c>
      <c r="C91" s="1" t="s">
        <v>2308</v>
      </c>
      <c r="D91" s="1" t="s">
        <v>2309</v>
      </c>
      <c r="E91" s="1" t="s">
        <v>2229</v>
      </c>
      <c r="F91" s="1" t="s">
        <v>106</v>
      </c>
      <c r="G91" s="1" t="s">
        <v>575</v>
      </c>
      <c r="H91" s="1" t="s">
        <v>1064</v>
      </c>
      <c r="I91" s="1"/>
      <c r="J91" s="1"/>
    </row>
    <row r="92" spans="1:10" hidden="1" x14ac:dyDescent="0.25">
      <c r="A92" s="1" t="s">
        <v>3087</v>
      </c>
      <c r="B92" s="1" t="s">
        <v>583</v>
      </c>
      <c r="C92" s="1" t="s">
        <v>3143</v>
      </c>
      <c r="D92" s="1" t="s">
        <v>3144</v>
      </c>
      <c r="E92" s="1" t="s">
        <v>3088</v>
      </c>
      <c r="F92" s="1" t="s">
        <v>3284</v>
      </c>
      <c r="G92" s="1" t="s">
        <v>575</v>
      </c>
      <c r="H92" s="1" t="s">
        <v>1064</v>
      </c>
      <c r="I92" s="1"/>
      <c r="J92" s="1"/>
    </row>
    <row r="93" spans="1:10" hidden="1" x14ac:dyDescent="0.25">
      <c r="A93" s="1" t="s">
        <v>3135</v>
      </c>
      <c r="B93" s="1" t="s">
        <v>583</v>
      </c>
      <c r="C93" s="1" t="s">
        <v>3209</v>
      </c>
      <c r="D93" s="1" t="s">
        <v>3210</v>
      </c>
      <c r="E93" s="1" t="s">
        <v>3136</v>
      </c>
      <c r="F93" s="1" t="s">
        <v>3312</v>
      </c>
      <c r="G93" s="1" t="s">
        <v>575</v>
      </c>
      <c r="H93" s="1" t="s">
        <v>1064</v>
      </c>
      <c r="I93" s="1"/>
      <c r="J93" s="1"/>
    </row>
    <row r="94" spans="1:10" hidden="1" x14ac:dyDescent="0.25">
      <c r="A94" s="1" t="s">
        <v>3089</v>
      </c>
      <c r="B94" s="1" t="s">
        <v>583</v>
      </c>
      <c r="C94" s="1" t="s">
        <v>3145</v>
      </c>
      <c r="D94" s="1" t="s">
        <v>3146</v>
      </c>
      <c r="E94" s="1" t="s">
        <v>3090</v>
      </c>
      <c r="F94" s="1" t="s">
        <v>3286</v>
      </c>
      <c r="G94" s="1" t="s">
        <v>575</v>
      </c>
      <c r="H94" s="1" t="s">
        <v>1064</v>
      </c>
      <c r="I94" s="1"/>
      <c r="J94" s="1"/>
    </row>
    <row r="95" spans="1:10" hidden="1" x14ac:dyDescent="0.25">
      <c r="A95" s="1" t="s">
        <v>3091</v>
      </c>
      <c r="B95" s="1" t="s">
        <v>583</v>
      </c>
      <c r="C95" s="1" t="s">
        <v>3147</v>
      </c>
      <c r="D95" s="1" t="s">
        <v>3148</v>
      </c>
      <c r="E95" s="1" t="s">
        <v>3092</v>
      </c>
      <c r="F95" s="1" t="s">
        <v>3287</v>
      </c>
      <c r="G95" s="1" t="s">
        <v>575</v>
      </c>
      <c r="H95" s="1" t="s">
        <v>1064</v>
      </c>
      <c r="I95" s="1"/>
      <c r="J95" s="1"/>
    </row>
    <row r="96" spans="1:10" hidden="1" x14ac:dyDescent="0.25">
      <c r="A96" s="1" t="s">
        <v>3119</v>
      </c>
      <c r="B96" s="1" t="s">
        <v>583</v>
      </c>
      <c r="C96" s="1" t="s">
        <v>3193</v>
      </c>
      <c r="D96" s="1" t="s">
        <v>3194</v>
      </c>
      <c r="E96" s="1" t="s">
        <v>3120</v>
      </c>
      <c r="F96" s="1" t="s">
        <v>3302</v>
      </c>
      <c r="G96" s="1" t="s">
        <v>575</v>
      </c>
      <c r="H96" s="1" t="s">
        <v>1064</v>
      </c>
      <c r="I96" s="1"/>
      <c r="J96" s="1"/>
    </row>
    <row r="97" spans="1:10" hidden="1" x14ac:dyDescent="0.25">
      <c r="A97" s="1" t="s">
        <v>3121</v>
      </c>
      <c r="B97" s="1" t="s">
        <v>583</v>
      </c>
      <c r="C97" s="1" t="s">
        <v>3195</v>
      </c>
      <c r="D97" s="1" t="s">
        <v>3196</v>
      </c>
      <c r="E97" s="1" t="s">
        <v>3122</v>
      </c>
      <c r="F97" s="1" t="s">
        <v>3304</v>
      </c>
      <c r="G97" s="1" t="s">
        <v>575</v>
      </c>
      <c r="H97" s="1" t="s">
        <v>1064</v>
      </c>
      <c r="I97" s="1"/>
      <c r="J97" s="1"/>
    </row>
    <row r="98" spans="1:10" hidden="1" x14ac:dyDescent="0.25">
      <c r="A98" s="1" t="s">
        <v>3123</v>
      </c>
      <c r="B98" s="1" t="s">
        <v>583</v>
      </c>
      <c r="C98" s="1" t="s">
        <v>3197</v>
      </c>
      <c r="D98" s="1" t="s">
        <v>3198</v>
      </c>
      <c r="E98" s="1" t="s">
        <v>3124</v>
      </c>
      <c r="F98" s="1" t="s">
        <v>3306</v>
      </c>
      <c r="G98" s="1" t="s">
        <v>575</v>
      </c>
      <c r="H98" s="1" t="s">
        <v>1064</v>
      </c>
      <c r="I98" s="1"/>
      <c r="J98" s="1"/>
    </row>
    <row r="99" spans="1:10" hidden="1" x14ac:dyDescent="0.25">
      <c r="A99" s="1" t="s">
        <v>3131</v>
      </c>
      <c r="B99" s="1" t="s">
        <v>583</v>
      </c>
      <c r="C99" s="1" t="s">
        <v>3205</v>
      </c>
      <c r="D99" s="1" t="s">
        <v>3206</v>
      </c>
      <c r="E99" s="1" t="s">
        <v>3132</v>
      </c>
      <c r="F99" s="1" t="s">
        <v>3310</v>
      </c>
      <c r="G99" s="1" t="s">
        <v>575</v>
      </c>
      <c r="H99" s="1" t="s">
        <v>1064</v>
      </c>
      <c r="I99" s="1"/>
      <c r="J99" s="1"/>
    </row>
    <row r="100" spans="1:10" hidden="1" x14ac:dyDescent="0.25">
      <c r="A100" s="1" t="s">
        <v>3133</v>
      </c>
      <c r="B100" s="1" t="s">
        <v>583</v>
      </c>
      <c r="C100" s="1" t="s">
        <v>3207</v>
      </c>
      <c r="D100" s="1" t="s">
        <v>3208</v>
      </c>
      <c r="E100" s="1" t="s">
        <v>3134</v>
      </c>
      <c r="F100" s="1" t="s">
        <v>3311</v>
      </c>
      <c r="G100" s="1" t="s">
        <v>575</v>
      </c>
      <c r="H100" s="1" t="s">
        <v>1064</v>
      </c>
      <c r="I100" s="1"/>
      <c r="J100" s="1"/>
    </row>
    <row r="101" spans="1:10" hidden="1" x14ac:dyDescent="0.25">
      <c r="A101" s="1" t="s">
        <v>2210</v>
      </c>
      <c r="B101" s="1" t="s">
        <v>583</v>
      </c>
      <c r="C101" s="1" t="s">
        <v>2310</v>
      </c>
      <c r="D101" s="1" t="s">
        <v>2311</v>
      </c>
      <c r="E101" s="1" t="s">
        <v>2212</v>
      </c>
      <c r="F101" s="1" t="s">
        <v>100</v>
      </c>
      <c r="G101" s="1" t="s">
        <v>575</v>
      </c>
      <c r="H101" s="1" t="s">
        <v>1064</v>
      </c>
      <c r="I101" s="1"/>
      <c r="J101" s="1"/>
    </row>
    <row r="102" spans="1:10" hidden="1" x14ac:dyDescent="0.25">
      <c r="A102" s="1" t="s">
        <v>2210</v>
      </c>
      <c r="B102" s="1" t="s">
        <v>583</v>
      </c>
      <c r="C102" s="1" t="s">
        <v>2312</v>
      </c>
      <c r="D102" s="1" t="s">
        <v>3714</v>
      </c>
      <c r="E102" s="1" t="s">
        <v>2212</v>
      </c>
      <c r="F102" s="1" t="s">
        <v>100</v>
      </c>
      <c r="G102" s="1" t="s">
        <v>575</v>
      </c>
      <c r="H102" s="1" t="s">
        <v>1064</v>
      </c>
      <c r="I102" s="1"/>
      <c r="J102" s="1"/>
    </row>
    <row r="103" spans="1:10" hidden="1" x14ac:dyDescent="0.25">
      <c r="A103" s="1" t="s">
        <v>2210</v>
      </c>
      <c r="B103" s="1" t="s">
        <v>586</v>
      </c>
      <c r="C103" s="1" t="s">
        <v>2691</v>
      </c>
      <c r="D103" s="1" t="s">
        <v>3715</v>
      </c>
      <c r="E103" s="1" t="s">
        <v>2211</v>
      </c>
      <c r="F103" s="1" t="s">
        <v>100</v>
      </c>
      <c r="G103" s="1" t="s">
        <v>575</v>
      </c>
      <c r="H103" s="1" t="s">
        <v>1064</v>
      </c>
      <c r="I103" s="1"/>
      <c r="J103" s="1"/>
    </row>
    <row r="104" spans="1:10" hidden="1" x14ac:dyDescent="0.25">
      <c r="A104" s="1" t="s">
        <v>2185</v>
      </c>
      <c r="B104" s="1" t="s">
        <v>583</v>
      </c>
      <c r="C104" s="1" t="s">
        <v>2313</v>
      </c>
      <c r="D104" s="1" t="s">
        <v>2314</v>
      </c>
      <c r="E104" s="1" t="s">
        <v>2187</v>
      </c>
      <c r="F104" s="1" t="s">
        <v>103</v>
      </c>
      <c r="G104" s="1" t="s">
        <v>575</v>
      </c>
      <c r="H104" s="1" t="s">
        <v>1064</v>
      </c>
      <c r="I104" s="1"/>
      <c r="J104" s="1"/>
    </row>
    <row r="105" spans="1:10" hidden="1" x14ac:dyDescent="0.25">
      <c r="A105" s="1" t="s">
        <v>2185</v>
      </c>
      <c r="B105" s="1" t="s">
        <v>583</v>
      </c>
      <c r="C105" s="1" t="s">
        <v>2696</v>
      </c>
      <c r="D105" s="1" t="s">
        <v>3716</v>
      </c>
      <c r="E105" s="1" t="s">
        <v>2187</v>
      </c>
      <c r="F105" s="1" t="s">
        <v>103</v>
      </c>
      <c r="G105" s="1" t="s">
        <v>575</v>
      </c>
      <c r="H105" s="1" t="s">
        <v>1064</v>
      </c>
      <c r="I105" s="1"/>
      <c r="J105" s="1"/>
    </row>
    <row r="106" spans="1:10" hidden="1" x14ac:dyDescent="0.25">
      <c r="A106" s="1" t="s">
        <v>2185</v>
      </c>
      <c r="B106" s="1" t="s">
        <v>584</v>
      </c>
      <c r="C106" s="1" t="s">
        <v>2315</v>
      </c>
      <c r="D106" s="1" t="s">
        <v>2316</v>
      </c>
      <c r="E106" s="1" t="s">
        <v>2186</v>
      </c>
      <c r="F106" s="1" t="s">
        <v>103</v>
      </c>
      <c r="G106" s="1" t="s">
        <v>575</v>
      </c>
      <c r="H106" s="1" t="s">
        <v>1064</v>
      </c>
      <c r="I106" s="1"/>
      <c r="J106" s="1"/>
    </row>
    <row r="107" spans="1:10" hidden="1" x14ac:dyDescent="0.25">
      <c r="A107" s="1" t="s">
        <v>2214</v>
      </c>
      <c r="B107" s="1" t="s">
        <v>583</v>
      </c>
      <c r="C107" s="1" t="s">
        <v>2323</v>
      </c>
      <c r="D107" s="1" t="s">
        <v>2324</v>
      </c>
      <c r="E107" s="1" t="s">
        <v>2215</v>
      </c>
      <c r="F107" s="1" t="s">
        <v>80</v>
      </c>
      <c r="G107" s="1" t="s">
        <v>575</v>
      </c>
      <c r="H107" s="1" t="s">
        <v>1064</v>
      </c>
      <c r="I107" s="1"/>
      <c r="J107" s="1"/>
    </row>
    <row r="108" spans="1:10" hidden="1" x14ac:dyDescent="0.25">
      <c r="A108" s="1" t="s">
        <v>2214</v>
      </c>
      <c r="B108" s="1" t="s">
        <v>583</v>
      </c>
      <c r="C108" s="1" t="s">
        <v>2711</v>
      </c>
      <c r="D108" s="1" t="s">
        <v>3717</v>
      </c>
      <c r="E108" s="1" t="s">
        <v>2215</v>
      </c>
      <c r="F108" s="1" t="s">
        <v>80</v>
      </c>
      <c r="G108" s="1" t="s">
        <v>575</v>
      </c>
      <c r="H108" s="1" t="s">
        <v>1064</v>
      </c>
      <c r="I108" s="1"/>
      <c r="J108" s="1"/>
    </row>
    <row r="109" spans="1:10" hidden="1" x14ac:dyDescent="0.25">
      <c r="A109" s="1" t="s">
        <v>2214</v>
      </c>
      <c r="B109" s="1" t="s">
        <v>583</v>
      </c>
      <c r="C109" s="1" t="s">
        <v>2714</v>
      </c>
      <c r="D109" s="1" t="s">
        <v>3718</v>
      </c>
      <c r="E109" s="1" t="s">
        <v>2215</v>
      </c>
      <c r="F109" s="1" t="s">
        <v>80</v>
      </c>
      <c r="G109" s="1" t="s">
        <v>575</v>
      </c>
      <c r="H109" s="1" t="s">
        <v>1064</v>
      </c>
      <c r="I109" s="1"/>
      <c r="J109" s="1"/>
    </row>
    <row r="110" spans="1:10" hidden="1" x14ac:dyDescent="0.25">
      <c r="A110" s="1" t="s">
        <v>2198</v>
      </c>
      <c r="B110" s="1" t="s">
        <v>583</v>
      </c>
      <c r="C110" s="1" t="s">
        <v>2370</v>
      </c>
      <c r="D110" s="1" t="s">
        <v>2371</v>
      </c>
      <c r="E110" s="1" t="s">
        <v>2199</v>
      </c>
      <c r="F110" s="1" t="s">
        <v>117</v>
      </c>
      <c r="G110" s="1" t="s">
        <v>575</v>
      </c>
      <c r="H110" s="1" t="s">
        <v>1064</v>
      </c>
      <c r="I110" s="1"/>
      <c r="J110" s="1"/>
    </row>
    <row r="111" spans="1:10" hidden="1" x14ac:dyDescent="0.25">
      <c r="A111" s="1" t="s">
        <v>2198</v>
      </c>
      <c r="B111" s="1" t="s">
        <v>583</v>
      </c>
      <c r="C111" s="1" t="s">
        <v>2720</v>
      </c>
      <c r="D111" s="1" t="s">
        <v>3719</v>
      </c>
      <c r="E111" s="1" t="s">
        <v>2199</v>
      </c>
      <c r="F111" s="1" t="s">
        <v>117</v>
      </c>
      <c r="G111" s="1" t="s">
        <v>575</v>
      </c>
      <c r="H111" s="1" t="s">
        <v>1064</v>
      </c>
      <c r="I111" s="1"/>
      <c r="J111" s="1"/>
    </row>
    <row r="112" spans="1:10" hidden="1" x14ac:dyDescent="0.25">
      <c r="A112" s="1" t="s">
        <v>2198</v>
      </c>
      <c r="B112" s="1" t="s">
        <v>583</v>
      </c>
      <c r="C112" s="1" t="s">
        <v>2724</v>
      </c>
      <c r="D112" s="1" t="s">
        <v>3720</v>
      </c>
      <c r="E112" s="1" t="s">
        <v>2199</v>
      </c>
      <c r="F112" s="1" t="s">
        <v>117</v>
      </c>
      <c r="G112" s="1" t="s">
        <v>575</v>
      </c>
      <c r="H112" s="1" t="s">
        <v>1064</v>
      </c>
      <c r="I112" s="1"/>
      <c r="J112" s="1"/>
    </row>
    <row r="113" spans="1:10" hidden="1" x14ac:dyDescent="0.25">
      <c r="A113" s="1" t="s">
        <v>3102</v>
      </c>
      <c r="B113" s="1" t="s">
        <v>583</v>
      </c>
      <c r="C113" s="1" t="s">
        <v>3161</v>
      </c>
      <c r="D113" s="1" t="s">
        <v>3162</v>
      </c>
      <c r="E113" s="1" t="s">
        <v>3103</v>
      </c>
      <c r="F113" s="1" t="s">
        <v>1419</v>
      </c>
      <c r="G113" s="1" t="s">
        <v>575</v>
      </c>
      <c r="H113" s="1" t="s">
        <v>1064</v>
      </c>
      <c r="I113" s="1"/>
      <c r="J113" s="1"/>
    </row>
    <row r="114" spans="1:10" hidden="1" x14ac:dyDescent="0.25">
      <c r="A114" s="1" t="s">
        <v>3102</v>
      </c>
      <c r="B114" s="1" t="s">
        <v>586</v>
      </c>
      <c r="C114" s="1" t="s">
        <v>3163</v>
      </c>
      <c r="D114" s="1" t="s">
        <v>3164</v>
      </c>
      <c r="E114" s="1" t="s">
        <v>3104</v>
      </c>
      <c r="F114" s="1" t="s">
        <v>1419</v>
      </c>
      <c r="G114" s="1" t="s">
        <v>575</v>
      </c>
      <c r="H114" s="1" t="s">
        <v>1064</v>
      </c>
      <c r="I114" s="1"/>
      <c r="J114" s="1"/>
    </row>
    <row r="115" spans="1:10" hidden="1" x14ac:dyDescent="0.25">
      <c r="A115" s="1" t="s">
        <v>3102</v>
      </c>
      <c r="B115" s="1" t="s">
        <v>586</v>
      </c>
      <c r="C115" s="1" t="s">
        <v>3165</v>
      </c>
      <c r="D115" s="1" t="s">
        <v>3166</v>
      </c>
      <c r="E115" s="1" t="s">
        <v>3104</v>
      </c>
      <c r="F115" s="1" t="s">
        <v>1419</v>
      </c>
      <c r="G115" s="1" t="s">
        <v>575</v>
      </c>
      <c r="H115" s="1" t="s">
        <v>1064</v>
      </c>
      <c r="I115" s="1"/>
      <c r="J115" s="1"/>
    </row>
    <row r="116" spans="1:10" hidden="1" x14ac:dyDescent="0.25">
      <c r="A116" s="1" t="s">
        <v>3099</v>
      </c>
      <c r="B116" s="1" t="s">
        <v>583</v>
      </c>
      <c r="C116" s="1" t="s">
        <v>3155</v>
      </c>
      <c r="D116" s="1" t="s">
        <v>3156</v>
      </c>
      <c r="E116" s="1" t="s">
        <v>3100</v>
      </c>
      <c r="F116" s="1" t="s">
        <v>75</v>
      </c>
      <c r="G116" s="1" t="s">
        <v>575</v>
      </c>
      <c r="H116" s="1" t="s">
        <v>1064</v>
      </c>
      <c r="I116" s="1"/>
      <c r="J116" s="1"/>
    </row>
    <row r="117" spans="1:10" hidden="1" x14ac:dyDescent="0.25">
      <c r="A117" s="1" t="s">
        <v>3099</v>
      </c>
      <c r="B117" s="1" t="s">
        <v>586</v>
      </c>
      <c r="C117" s="1" t="s">
        <v>3157</v>
      </c>
      <c r="D117" s="1" t="s">
        <v>3158</v>
      </c>
      <c r="E117" s="1" t="s">
        <v>3101</v>
      </c>
      <c r="F117" s="1" t="s">
        <v>75</v>
      </c>
      <c r="G117" s="1" t="s">
        <v>575</v>
      </c>
      <c r="H117" s="1" t="s">
        <v>1064</v>
      </c>
      <c r="I117" s="1"/>
      <c r="J117" s="1"/>
    </row>
    <row r="118" spans="1:10" hidden="1" x14ac:dyDescent="0.25">
      <c r="A118" s="1" t="s">
        <v>3099</v>
      </c>
      <c r="B118" s="1" t="s">
        <v>586</v>
      </c>
      <c r="C118" s="1" t="s">
        <v>3159</v>
      </c>
      <c r="D118" s="1" t="s">
        <v>3160</v>
      </c>
      <c r="E118" s="1" t="s">
        <v>3101</v>
      </c>
      <c r="F118" s="1" t="s">
        <v>75</v>
      </c>
      <c r="G118" s="1" t="s">
        <v>575</v>
      </c>
      <c r="H118" s="1" t="s">
        <v>1064</v>
      </c>
      <c r="I118" s="1"/>
      <c r="J118" s="1"/>
    </row>
    <row r="119" spans="1:10" hidden="1" x14ac:dyDescent="0.25">
      <c r="A119" s="1" t="s">
        <v>3093</v>
      </c>
      <c r="B119" s="1" t="s">
        <v>583</v>
      </c>
      <c r="C119" s="1" t="s">
        <v>3149</v>
      </c>
      <c r="D119" s="1" t="s">
        <v>3150</v>
      </c>
      <c r="E119" s="1" t="s">
        <v>3094</v>
      </c>
      <c r="F119" s="1" t="s">
        <v>3289</v>
      </c>
      <c r="G119" s="1" t="s">
        <v>575</v>
      </c>
      <c r="H119" s="1" t="s">
        <v>1064</v>
      </c>
      <c r="I119" s="1"/>
      <c r="J119" s="1"/>
    </row>
    <row r="120" spans="1:10" hidden="1" x14ac:dyDescent="0.25">
      <c r="A120" s="1" t="s">
        <v>3141</v>
      </c>
      <c r="B120" s="1" t="s">
        <v>583</v>
      </c>
      <c r="C120" s="1" t="s">
        <v>3215</v>
      </c>
      <c r="D120" s="1" t="s">
        <v>3216</v>
      </c>
      <c r="E120" s="1" t="s">
        <v>3142</v>
      </c>
      <c r="F120" s="1" t="s">
        <v>3312</v>
      </c>
      <c r="G120" s="1" t="s">
        <v>575</v>
      </c>
      <c r="H120" s="1" t="s">
        <v>1064</v>
      </c>
      <c r="I120" s="1"/>
      <c r="J120" s="1"/>
    </row>
    <row r="121" spans="1:10" hidden="1" x14ac:dyDescent="0.25">
      <c r="A121" s="1" t="s">
        <v>3095</v>
      </c>
      <c r="B121" s="1" t="s">
        <v>583</v>
      </c>
      <c r="C121" s="1" t="s">
        <v>3151</v>
      </c>
      <c r="D121" s="1" t="s">
        <v>3152</v>
      </c>
      <c r="E121" s="1" t="s">
        <v>3096</v>
      </c>
      <c r="F121" s="1" t="s">
        <v>3291</v>
      </c>
      <c r="G121" s="1" t="s">
        <v>575</v>
      </c>
      <c r="H121" s="1" t="s">
        <v>1064</v>
      </c>
      <c r="I121" s="1"/>
      <c r="J121" s="1"/>
    </row>
    <row r="122" spans="1:10" hidden="1" x14ac:dyDescent="0.25">
      <c r="A122" s="1" t="s">
        <v>3097</v>
      </c>
      <c r="B122" s="1" t="s">
        <v>583</v>
      </c>
      <c r="C122" s="1" t="s">
        <v>3153</v>
      </c>
      <c r="D122" s="1" t="s">
        <v>3154</v>
      </c>
      <c r="E122" s="1" t="s">
        <v>3098</v>
      </c>
      <c r="F122" s="1" t="s">
        <v>3292</v>
      </c>
      <c r="G122" s="1" t="s">
        <v>575</v>
      </c>
      <c r="H122" s="1" t="s">
        <v>1064</v>
      </c>
      <c r="I122" s="1"/>
      <c r="J122" s="1"/>
    </row>
    <row r="123" spans="1:10" hidden="1" x14ac:dyDescent="0.25">
      <c r="A123" s="1" t="s">
        <v>3105</v>
      </c>
      <c r="B123" s="1" t="s">
        <v>583</v>
      </c>
      <c r="C123" s="1" t="s">
        <v>3167</v>
      </c>
      <c r="D123" s="1" t="s">
        <v>3168</v>
      </c>
      <c r="E123" s="1" t="s">
        <v>3106</v>
      </c>
      <c r="F123" s="1" t="s">
        <v>1425</v>
      </c>
      <c r="G123" s="1" t="s">
        <v>575</v>
      </c>
      <c r="H123" s="1" t="s">
        <v>1064</v>
      </c>
      <c r="I123" s="1"/>
      <c r="J123" s="1"/>
    </row>
    <row r="124" spans="1:10" hidden="1" x14ac:dyDescent="0.25">
      <c r="A124" s="1" t="s">
        <v>3105</v>
      </c>
      <c r="B124" s="1" t="s">
        <v>586</v>
      </c>
      <c r="C124" s="1" t="s">
        <v>3169</v>
      </c>
      <c r="D124" s="1" t="s">
        <v>3170</v>
      </c>
      <c r="E124" s="1" t="s">
        <v>3107</v>
      </c>
      <c r="F124" s="1" t="s">
        <v>1425</v>
      </c>
      <c r="G124" s="1" t="s">
        <v>575</v>
      </c>
      <c r="H124" s="1" t="s">
        <v>1064</v>
      </c>
      <c r="I124" s="1"/>
      <c r="J124" s="1"/>
    </row>
    <row r="125" spans="1:10" hidden="1" x14ac:dyDescent="0.25">
      <c r="A125" s="1" t="s">
        <v>3105</v>
      </c>
      <c r="B125" s="1" t="s">
        <v>586</v>
      </c>
      <c r="C125" s="1" t="s">
        <v>3171</v>
      </c>
      <c r="D125" s="1" t="s">
        <v>3172</v>
      </c>
      <c r="E125" s="1" t="s">
        <v>3107</v>
      </c>
      <c r="F125" s="1" t="s">
        <v>1425</v>
      </c>
      <c r="G125" s="1" t="s">
        <v>575</v>
      </c>
      <c r="H125" s="1" t="s">
        <v>1064</v>
      </c>
      <c r="I125" s="1"/>
      <c r="J125" s="1"/>
    </row>
    <row r="126" spans="1:10" hidden="1" x14ac:dyDescent="0.25">
      <c r="A126" s="1" t="s">
        <v>3125</v>
      </c>
      <c r="B126" s="1" t="s">
        <v>583</v>
      </c>
      <c r="C126" s="1" t="s">
        <v>3199</v>
      </c>
      <c r="D126" s="1" t="s">
        <v>3200</v>
      </c>
      <c r="E126" s="1" t="s">
        <v>3126</v>
      </c>
      <c r="F126" s="1" t="s">
        <v>3302</v>
      </c>
      <c r="G126" s="1" t="s">
        <v>575</v>
      </c>
      <c r="H126" s="1" t="s">
        <v>1064</v>
      </c>
      <c r="I126" s="1"/>
      <c r="J126" s="1"/>
    </row>
    <row r="127" spans="1:10" hidden="1" x14ac:dyDescent="0.25">
      <c r="A127" s="1" t="s">
        <v>3127</v>
      </c>
      <c r="B127" s="1" t="s">
        <v>583</v>
      </c>
      <c r="C127" s="1" t="s">
        <v>3201</v>
      </c>
      <c r="D127" s="1" t="s">
        <v>3202</v>
      </c>
      <c r="E127" s="1" t="s">
        <v>3128</v>
      </c>
      <c r="F127" s="1" t="s">
        <v>3304</v>
      </c>
      <c r="G127" s="1" t="s">
        <v>575</v>
      </c>
      <c r="H127" s="1" t="s">
        <v>1064</v>
      </c>
      <c r="I127" s="1"/>
      <c r="J127" s="1"/>
    </row>
    <row r="128" spans="1:10" hidden="1" x14ac:dyDescent="0.25">
      <c r="A128" s="1" t="s">
        <v>3129</v>
      </c>
      <c r="B128" s="1" t="s">
        <v>583</v>
      </c>
      <c r="C128" s="1" t="s">
        <v>3203</v>
      </c>
      <c r="D128" s="1" t="s">
        <v>3204</v>
      </c>
      <c r="E128" s="1" t="s">
        <v>3130</v>
      </c>
      <c r="F128" s="1" t="s">
        <v>3306</v>
      </c>
      <c r="G128" s="1" t="s">
        <v>575</v>
      </c>
      <c r="H128" s="1" t="s">
        <v>1064</v>
      </c>
      <c r="I128" s="1"/>
      <c r="J128" s="1"/>
    </row>
    <row r="129" spans="1:10" hidden="1" x14ac:dyDescent="0.25">
      <c r="A129" s="1" t="s">
        <v>3137</v>
      </c>
      <c r="B129" s="1" t="s">
        <v>583</v>
      </c>
      <c r="C129" s="1" t="s">
        <v>3211</v>
      </c>
      <c r="D129" s="1" t="s">
        <v>3212</v>
      </c>
      <c r="E129" s="1" t="s">
        <v>3138</v>
      </c>
      <c r="F129" s="1" t="s">
        <v>3313</v>
      </c>
      <c r="G129" s="1" t="s">
        <v>575</v>
      </c>
      <c r="H129" s="1" t="s">
        <v>1064</v>
      </c>
      <c r="I129" s="1"/>
      <c r="J129" s="1"/>
    </row>
    <row r="130" spans="1:10" hidden="1" x14ac:dyDescent="0.25">
      <c r="A130" s="1" t="s">
        <v>3139</v>
      </c>
      <c r="B130" s="1" t="s">
        <v>583</v>
      </c>
      <c r="C130" s="1" t="s">
        <v>3213</v>
      </c>
      <c r="D130" s="1" t="s">
        <v>3214</v>
      </c>
      <c r="E130" s="1" t="s">
        <v>3140</v>
      </c>
      <c r="F130" s="1" t="s">
        <v>3314</v>
      </c>
      <c r="G130" s="1" t="s">
        <v>575</v>
      </c>
      <c r="H130" s="1" t="s">
        <v>1064</v>
      </c>
      <c r="I130" s="1"/>
      <c r="J130" s="1"/>
    </row>
    <row r="131" spans="1:10" hidden="1" x14ac:dyDescent="0.25">
      <c r="A131" s="1" t="s">
        <v>3108</v>
      </c>
      <c r="B131" s="1" t="s">
        <v>583</v>
      </c>
      <c r="C131" s="1" t="s">
        <v>3173</v>
      </c>
      <c r="D131" s="1" t="s">
        <v>3174</v>
      </c>
      <c r="E131" s="1" t="s">
        <v>3109</v>
      </c>
      <c r="F131" s="1" t="s">
        <v>3293</v>
      </c>
      <c r="G131" s="1" t="s">
        <v>575</v>
      </c>
      <c r="H131" s="1" t="s">
        <v>1064</v>
      </c>
      <c r="I131" s="1"/>
      <c r="J131" s="1"/>
    </row>
    <row r="132" spans="1:10" hidden="1" x14ac:dyDescent="0.25">
      <c r="A132" s="1" t="s">
        <v>3108</v>
      </c>
      <c r="B132" s="1" t="s">
        <v>586</v>
      </c>
      <c r="C132" s="1" t="s">
        <v>3175</v>
      </c>
      <c r="D132" s="1" t="s">
        <v>3176</v>
      </c>
      <c r="E132" s="1" t="s">
        <v>3110</v>
      </c>
      <c r="F132" s="1" t="s">
        <v>3293</v>
      </c>
      <c r="G132" s="1" t="s">
        <v>575</v>
      </c>
      <c r="H132" s="1" t="s">
        <v>1064</v>
      </c>
      <c r="I132" s="1"/>
      <c r="J132" s="1"/>
    </row>
    <row r="133" spans="1:10" hidden="1" x14ac:dyDescent="0.25">
      <c r="A133" s="1" t="s">
        <v>3108</v>
      </c>
      <c r="B133" s="1" t="s">
        <v>586</v>
      </c>
      <c r="C133" s="1" t="s">
        <v>3177</v>
      </c>
      <c r="D133" s="1" t="s">
        <v>3178</v>
      </c>
      <c r="E133" s="1" t="s">
        <v>3110</v>
      </c>
      <c r="F133" s="1" t="s">
        <v>3293</v>
      </c>
      <c r="G133" s="1" t="s">
        <v>575</v>
      </c>
      <c r="H133" s="1" t="s">
        <v>1064</v>
      </c>
      <c r="I133" s="1"/>
      <c r="J133" s="1"/>
    </row>
    <row r="134" spans="1:10" hidden="1" x14ac:dyDescent="0.25">
      <c r="A134" s="1" t="s">
        <v>3111</v>
      </c>
      <c r="B134" s="1" t="s">
        <v>583</v>
      </c>
      <c r="C134" s="1" t="s">
        <v>3179</v>
      </c>
      <c r="D134" s="1" t="s">
        <v>3180</v>
      </c>
      <c r="E134" s="1" t="s">
        <v>3112</v>
      </c>
      <c r="F134" s="1" t="s">
        <v>3295</v>
      </c>
      <c r="G134" s="1" t="s">
        <v>575</v>
      </c>
      <c r="H134" s="1" t="s">
        <v>1064</v>
      </c>
      <c r="I134" s="1"/>
      <c r="J134" s="1"/>
    </row>
    <row r="135" spans="1:10" hidden="1" x14ac:dyDescent="0.25">
      <c r="A135" s="1" t="s">
        <v>3111</v>
      </c>
      <c r="B135" s="1" t="s">
        <v>586</v>
      </c>
      <c r="C135" s="1" t="s">
        <v>3181</v>
      </c>
      <c r="D135" s="1" t="s">
        <v>3182</v>
      </c>
      <c r="E135" s="1" t="s">
        <v>3113</v>
      </c>
      <c r="F135" s="1" t="s">
        <v>3295</v>
      </c>
      <c r="G135" s="1" t="s">
        <v>575</v>
      </c>
      <c r="H135" s="1" t="s">
        <v>1064</v>
      </c>
      <c r="I135" s="1"/>
      <c r="J135" s="1"/>
    </row>
    <row r="136" spans="1:10" hidden="1" x14ac:dyDescent="0.25">
      <c r="A136" s="1" t="s">
        <v>3111</v>
      </c>
      <c r="B136" s="1" t="s">
        <v>586</v>
      </c>
      <c r="C136" s="1" t="s">
        <v>3183</v>
      </c>
      <c r="D136" s="1" t="s">
        <v>3184</v>
      </c>
      <c r="E136" s="1" t="s">
        <v>3113</v>
      </c>
      <c r="F136" s="1" t="s">
        <v>3295</v>
      </c>
      <c r="G136" s="1" t="s">
        <v>575</v>
      </c>
      <c r="H136" s="1" t="s">
        <v>1064</v>
      </c>
      <c r="I136" s="1"/>
      <c r="J136" s="1"/>
    </row>
    <row r="137" spans="1:10" hidden="1" x14ac:dyDescent="0.25">
      <c r="A137" s="1" t="s">
        <v>3114</v>
      </c>
      <c r="B137" s="1" t="s">
        <v>583</v>
      </c>
      <c r="C137" s="1" t="s">
        <v>3185</v>
      </c>
      <c r="D137" s="1" t="s">
        <v>3186</v>
      </c>
      <c r="E137" s="1" t="s">
        <v>3115</v>
      </c>
      <c r="F137" s="1" t="s">
        <v>3297</v>
      </c>
      <c r="G137" s="1" t="s">
        <v>575</v>
      </c>
      <c r="H137" s="1" t="s">
        <v>1064</v>
      </c>
      <c r="I137" s="1"/>
      <c r="J137" s="1"/>
    </row>
    <row r="138" spans="1:10" hidden="1" x14ac:dyDescent="0.25">
      <c r="A138" s="1" t="s">
        <v>3114</v>
      </c>
      <c r="B138" s="1" t="s">
        <v>586</v>
      </c>
      <c r="C138" s="1" t="s">
        <v>3187</v>
      </c>
      <c r="D138" s="1" t="s">
        <v>3188</v>
      </c>
      <c r="E138" s="1" t="s">
        <v>3116</v>
      </c>
      <c r="F138" s="1" t="s">
        <v>3297</v>
      </c>
      <c r="G138" s="1" t="s">
        <v>575</v>
      </c>
      <c r="H138" s="1" t="s">
        <v>1064</v>
      </c>
      <c r="I138" s="1"/>
      <c r="J138" s="1"/>
    </row>
    <row r="139" spans="1:10" hidden="1" x14ac:dyDescent="0.25">
      <c r="A139" s="1" t="s">
        <v>3114</v>
      </c>
      <c r="B139" s="1" t="s">
        <v>586</v>
      </c>
      <c r="C139" s="1" t="s">
        <v>3189</v>
      </c>
      <c r="D139" s="1" t="s">
        <v>3190</v>
      </c>
      <c r="E139" s="1" t="s">
        <v>3116</v>
      </c>
      <c r="F139" s="1" t="s">
        <v>3297</v>
      </c>
      <c r="G139" s="1" t="s">
        <v>575</v>
      </c>
      <c r="H139" s="1" t="s">
        <v>1064</v>
      </c>
      <c r="I139" s="1"/>
      <c r="J139" s="1"/>
    </row>
    <row r="140" spans="1:10" hidden="1" x14ac:dyDescent="0.25">
      <c r="A140" s="1" t="s">
        <v>2248</v>
      </c>
      <c r="B140" s="1" t="s">
        <v>586</v>
      </c>
      <c r="C140" s="1" t="s">
        <v>2424</v>
      </c>
      <c r="D140" s="1" t="s">
        <v>2865</v>
      </c>
      <c r="E140" s="1" t="s">
        <v>2862</v>
      </c>
      <c r="F140" s="1" t="s">
        <v>2629</v>
      </c>
      <c r="G140" s="1" t="s">
        <v>575</v>
      </c>
      <c r="H140" s="1" t="s">
        <v>1064</v>
      </c>
      <c r="I140" s="1"/>
      <c r="J140" s="1"/>
    </row>
    <row r="141" spans="1:10" hidden="1" x14ac:dyDescent="0.25">
      <c r="A141" s="1" t="s">
        <v>2248</v>
      </c>
      <c r="B141" s="1" t="s">
        <v>586</v>
      </c>
      <c r="C141" s="1" t="s">
        <v>2425</v>
      </c>
      <c r="D141" s="1" t="s">
        <v>2866</v>
      </c>
      <c r="E141" s="1" t="s">
        <v>2862</v>
      </c>
      <c r="F141" s="1" t="s">
        <v>2629</v>
      </c>
      <c r="G141" s="1" t="s">
        <v>575</v>
      </c>
      <c r="H141" s="1" t="s">
        <v>1064</v>
      </c>
      <c r="I141" s="1"/>
      <c r="J141" s="1"/>
    </row>
    <row r="142" spans="1:10" hidden="1" x14ac:dyDescent="0.25">
      <c r="A142" s="1" t="s">
        <v>2249</v>
      </c>
      <c r="B142" s="1" t="s">
        <v>586</v>
      </c>
      <c r="C142" s="1" t="s">
        <v>2427</v>
      </c>
      <c r="D142" s="1" t="s">
        <v>2867</v>
      </c>
      <c r="E142" s="1" t="s">
        <v>2863</v>
      </c>
      <c r="F142" s="1" t="s">
        <v>2633</v>
      </c>
      <c r="G142" s="1" t="s">
        <v>575</v>
      </c>
      <c r="H142" s="1" t="s">
        <v>1064</v>
      </c>
      <c r="I142" s="1"/>
      <c r="J142" s="1"/>
    </row>
    <row r="143" spans="1:10" hidden="1" x14ac:dyDescent="0.25">
      <c r="A143" s="1" t="s">
        <v>2249</v>
      </c>
      <c r="B143" s="1" t="s">
        <v>583</v>
      </c>
      <c r="C143" s="1" t="s">
        <v>2428</v>
      </c>
      <c r="D143" s="1" t="s">
        <v>2429</v>
      </c>
      <c r="E143" s="1" t="s">
        <v>2250</v>
      </c>
      <c r="F143" s="1" t="s">
        <v>2633</v>
      </c>
      <c r="G143" s="1" t="s">
        <v>575</v>
      </c>
      <c r="H143" s="1" t="s">
        <v>1064</v>
      </c>
      <c r="I143" s="1"/>
      <c r="J143" s="1"/>
    </row>
    <row r="144" spans="1:10" hidden="1" x14ac:dyDescent="0.25">
      <c r="A144" s="1" t="s">
        <v>2251</v>
      </c>
      <c r="B144" s="1" t="s">
        <v>586</v>
      </c>
      <c r="C144" s="1" t="s">
        <v>2431</v>
      </c>
      <c r="D144" s="1" t="s">
        <v>2432</v>
      </c>
      <c r="E144" s="1" t="s">
        <v>2252</v>
      </c>
      <c r="F144" s="1" t="s">
        <v>2635</v>
      </c>
      <c r="G144" s="1" t="s">
        <v>575</v>
      </c>
      <c r="H144" s="1" t="s">
        <v>1064</v>
      </c>
      <c r="I144" s="1"/>
      <c r="J144" s="1"/>
    </row>
    <row r="145" spans="1:10" hidden="1" x14ac:dyDescent="0.25">
      <c r="A145" s="1" t="s">
        <v>2251</v>
      </c>
      <c r="B145" s="1" t="s">
        <v>586</v>
      </c>
      <c r="C145" s="1" t="s">
        <v>2433</v>
      </c>
      <c r="D145" s="1" t="s">
        <v>2434</v>
      </c>
      <c r="E145" s="1" t="s">
        <v>2252</v>
      </c>
      <c r="F145" s="1" t="s">
        <v>2635</v>
      </c>
      <c r="G145" s="1" t="s">
        <v>575</v>
      </c>
      <c r="H145" s="1" t="s">
        <v>1064</v>
      </c>
      <c r="I145" s="1"/>
      <c r="J145" s="1"/>
    </row>
    <row r="146" spans="1:10" hidden="1" x14ac:dyDescent="0.25">
      <c r="A146" s="1" t="s">
        <v>2251</v>
      </c>
      <c r="B146" s="1" t="s">
        <v>586</v>
      </c>
      <c r="C146" s="1" t="s">
        <v>2435</v>
      </c>
      <c r="D146" s="1" t="s">
        <v>2436</v>
      </c>
      <c r="E146" s="1" t="s">
        <v>2252</v>
      </c>
      <c r="F146" s="1" t="s">
        <v>2635</v>
      </c>
      <c r="G146" s="1" t="s">
        <v>575</v>
      </c>
      <c r="H146" s="1" t="s">
        <v>1064</v>
      </c>
      <c r="I146" s="1"/>
      <c r="J146" s="1"/>
    </row>
    <row r="147" spans="1:10" hidden="1" x14ac:dyDescent="0.25">
      <c r="A147" s="1" t="s">
        <v>2253</v>
      </c>
      <c r="B147" s="1" t="s">
        <v>586</v>
      </c>
      <c r="C147" s="1" t="s">
        <v>2437</v>
      </c>
      <c r="D147" s="1" t="s">
        <v>2868</v>
      </c>
      <c r="E147" s="1" t="s">
        <v>2864</v>
      </c>
      <c r="F147" s="1" t="s">
        <v>2638</v>
      </c>
      <c r="G147" s="1" t="s">
        <v>575</v>
      </c>
      <c r="H147" s="1" t="s">
        <v>1064</v>
      </c>
      <c r="I147" s="1"/>
      <c r="J147" s="1"/>
    </row>
    <row r="148" spans="1:10" hidden="1" x14ac:dyDescent="0.25">
      <c r="A148" s="1" t="s">
        <v>2253</v>
      </c>
      <c r="B148" s="1" t="s">
        <v>586</v>
      </c>
      <c r="C148" s="1" t="s">
        <v>2438</v>
      </c>
      <c r="D148" s="1" t="s">
        <v>2869</v>
      </c>
      <c r="E148" s="1" t="s">
        <v>2864</v>
      </c>
      <c r="F148" s="1" t="s">
        <v>2638</v>
      </c>
      <c r="G148" s="1" t="s">
        <v>575</v>
      </c>
      <c r="H148" s="1" t="s">
        <v>1064</v>
      </c>
      <c r="I148" s="1"/>
      <c r="J148" s="1"/>
    </row>
    <row r="149" spans="1:10" hidden="1" x14ac:dyDescent="0.25">
      <c r="A149" s="1" t="s">
        <v>2234</v>
      </c>
      <c r="B149" s="1" t="s">
        <v>583</v>
      </c>
      <c r="C149" s="1" t="s">
        <v>2372</v>
      </c>
      <c r="D149" s="1" t="s">
        <v>2373</v>
      </c>
      <c r="E149" s="1" t="s">
        <v>2235</v>
      </c>
      <c r="F149" s="1" t="s">
        <v>2942</v>
      </c>
      <c r="G149" s="1" t="s">
        <v>575</v>
      </c>
      <c r="H149" s="1" t="s">
        <v>1064</v>
      </c>
      <c r="I149" s="1"/>
      <c r="J149" s="1"/>
    </row>
    <row r="150" spans="1:10" hidden="1" x14ac:dyDescent="0.25">
      <c r="A150" s="1" t="s">
        <v>2641</v>
      </c>
      <c r="B150" s="1" t="s">
        <v>583</v>
      </c>
      <c r="C150" s="1" t="s">
        <v>2777</v>
      </c>
      <c r="D150" s="1" t="s">
        <v>2906</v>
      </c>
      <c r="E150" s="1" t="s">
        <v>2907</v>
      </c>
      <c r="F150" s="1" t="s">
        <v>2944</v>
      </c>
      <c r="G150" s="1" t="s">
        <v>575</v>
      </c>
      <c r="H150" s="1" t="s">
        <v>1064</v>
      </c>
      <c r="I150" s="1"/>
      <c r="J150" s="1"/>
    </row>
    <row r="151" spans="1:10" hidden="1" x14ac:dyDescent="0.25">
      <c r="A151" s="1" t="s">
        <v>2254</v>
      </c>
      <c r="B151" s="1" t="s">
        <v>583</v>
      </c>
      <c r="C151" s="1" t="s">
        <v>2440</v>
      </c>
      <c r="D151" s="1" t="s">
        <v>2441</v>
      </c>
      <c r="E151" s="1" t="s">
        <v>2255</v>
      </c>
      <c r="F151" s="1" t="s">
        <v>2629</v>
      </c>
      <c r="G151" s="1" t="s">
        <v>575</v>
      </c>
      <c r="H151" s="1" t="s">
        <v>1064</v>
      </c>
      <c r="I151" s="1"/>
      <c r="J151" s="1"/>
    </row>
    <row r="152" spans="1:10" hidden="1" x14ac:dyDescent="0.25">
      <c r="A152" s="1" t="s">
        <v>2254</v>
      </c>
      <c r="B152" s="1" t="s">
        <v>583</v>
      </c>
      <c r="C152" s="1" t="s">
        <v>2442</v>
      </c>
      <c r="D152" s="1" t="s">
        <v>2443</v>
      </c>
      <c r="E152" s="1" t="s">
        <v>2255</v>
      </c>
      <c r="F152" s="1" t="s">
        <v>2629</v>
      </c>
      <c r="G152" s="1" t="s">
        <v>575</v>
      </c>
      <c r="H152" s="1" t="s">
        <v>1064</v>
      </c>
      <c r="I152" s="1"/>
      <c r="J152" s="1"/>
    </row>
    <row r="153" spans="1:10" hidden="1" x14ac:dyDescent="0.25">
      <c r="A153" s="1" t="s">
        <v>2254</v>
      </c>
      <c r="B153" s="1" t="s">
        <v>583</v>
      </c>
      <c r="C153" s="1" t="s">
        <v>2444</v>
      </c>
      <c r="D153" s="1" t="s">
        <v>2445</v>
      </c>
      <c r="E153" s="1" t="s">
        <v>2255</v>
      </c>
      <c r="F153" s="1" t="s">
        <v>2629</v>
      </c>
      <c r="G153" s="1" t="s">
        <v>575</v>
      </c>
      <c r="H153" s="1" t="s">
        <v>1064</v>
      </c>
      <c r="I153" s="1"/>
      <c r="J153" s="1"/>
    </row>
    <row r="154" spans="1:10" hidden="1" x14ac:dyDescent="0.25">
      <c r="A154" s="1" t="s">
        <v>2256</v>
      </c>
      <c r="B154" s="1" t="s">
        <v>583</v>
      </c>
      <c r="C154" s="1" t="s">
        <v>2446</v>
      </c>
      <c r="D154" s="1" t="s">
        <v>2447</v>
      </c>
      <c r="E154" s="1" t="s">
        <v>2257</v>
      </c>
      <c r="F154" s="1" t="s">
        <v>2633</v>
      </c>
      <c r="G154" s="1" t="s">
        <v>575</v>
      </c>
      <c r="H154" s="1" t="s">
        <v>1064</v>
      </c>
      <c r="I154" s="1"/>
      <c r="J154" s="1"/>
    </row>
    <row r="155" spans="1:10" hidden="1" x14ac:dyDescent="0.25">
      <c r="A155" s="1" t="s">
        <v>2256</v>
      </c>
      <c r="B155" s="1" t="s">
        <v>583</v>
      </c>
      <c r="C155" s="1" t="s">
        <v>2448</v>
      </c>
      <c r="D155" s="1" t="s">
        <v>2449</v>
      </c>
      <c r="E155" s="1" t="s">
        <v>2257</v>
      </c>
      <c r="F155" s="1" t="s">
        <v>2633</v>
      </c>
      <c r="G155" s="1" t="s">
        <v>575</v>
      </c>
      <c r="H155" s="1" t="s">
        <v>1064</v>
      </c>
      <c r="I155" s="1"/>
      <c r="J155" s="1"/>
    </row>
    <row r="156" spans="1:10" hidden="1" x14ac:dyDescent="0.25">
      <c r="A156" s="1" t="s">
        <v>2258</v>
      </c>
      <c r="B156" s="1" t="s">
        <v>583</v>
      </c>
      <c r="C156" s="1" t="s">
        <v>2451</v>
      </c>
      <c r="D156" s="1" t="s">
        <v>2452</v>
      </c>
      <c r="E156" s="1" t="s">
        <v>2259</v>
      </c>
      <c r="F156" s="1" t="s">
        <v>2635</v>
      </c>
      <c r="G156" s="1" t="s">
        <v>575</v>
      </c>
      <c r="H156" s="1" t="s">
        <v>1064</v>
      </c>
      <c r="I156" s="1"/>
      <c r="J156" s="1"/>
    </row>
    <row r="157" spans="1:10" hidden="1" x14ac:dyDescent="0.25">
      <c r="A157" s="1" t="s">
        <v>2258</v>
      </c>
      <c r="B157" s="1" t="s">
        <v>583</v>
      </c>
      <c r="C157" s="1" t="s">
        <v>2453</v>
      </c>
      <c r="D157" s="1" t="s">
        <v>2454</v>
      </c>
      <c r="E157" s="1" t="s">
        <v>2259</v>
      </c>
      <c r="F157" s="1" t="s">
        <v>2635</v>
      </c>
      <c r="G157" s="1" t="s">
        <v>575</v>
      </c>
      <c r="H157" s="1" t="s">
        <v>1064</v>
      </c>
      <c r="I157" s="1"/>
      <c r="J157" s="1"/>
    </row>
    <row r="158" spans="1:10" hidden="1" x14ac:dyDescent="0.25">
      <c r="A158" s="1" t="s">
        <v>2258</v>
      </c>
      <c r="B158" s="1" t="s">
        <v>583</v>
      </c>
      <c r="C158" s="1" t="s">
        <v>2455</v>
      </c>
      <c r="D158" s="1" t="s">
        <v>2456</v>
      </c>
      <c r="E158" s="1" t="s">
        <v>2259</v>
      </c>
      <c r="F158" s="1" t="s">
        <v>2635</v>
      </c>
      <c r="G158" s="1" t="s">
        <v>575</v>
      </c>
      <c r="H158" s="1" t="s">
        <v>1064</v>
      </c>
      <c r="I158" s="1"/>
      <c r="J158" s="1"/>
    </row>
    <row r="159" spans="1:10" hidden="1" x14ac:dyDescent="0.25">
      <c r="A159" s="1" t="s">
        <v>2260</v>
      </c>
      <c r="B159" s="1" t="s">
        <v>583</v>
      </c>
      <c r="C159" s="1" t="s">
        <v>2457</v>
      </c>
      <c r="D159" s="1" t="s">
        <v>2458</v>
      </c>
      <c r="E159" s="1" t="s">
        <v>2261</v>
      </c>
      <c r="F159" s="1" t="s">
        <v>2638</v>
      </c>
      <c r="G159" s="1" t="s">
        <v>575</v>
      </c>
      <c r="H159" s="1" t="s">
        <v>1064</v>
      </c>
      <c r="I159" s="1"/>
      <c r="J159" s="1"/>
    </row>
    <row r="160" spans="1:10" hidden="1" x14ac:dyDescent="0.25">
      <c r="A160" s="1" t="s">
        <v>2260</v>
      </c>
      <c r="B160" s="1" t="s">
        <v>583</v>
      </c>
      <c r="C160" s="1" t="s">
        <v>2459</v>
      </c>
      <c r="D160" s="1" t="s">
        <v>2460</v>
      </c>
      <c r="E160" s="1" t="s">
        <v>2261</v>
      </c>
      <c r="F160" s="1" t="s">
        <v>2638</v>
      </c>
      <c r="G160" s="1" t="s">
        <v>575</v>
      </c>
      <c r="H160" s="1" t="s">
        <v>1064</v>
      </c>
      <c r="I160" s="1"/>
      <c r="J160" s="1"/>
    </row>
    <row r="161" spans="1:10" hidden="1" x14ac:dyDescent="0.25">
      <c r="A161" s="1" t="s">
        <v>2260</v>
      </c>
      <c r="B161" s="1" t="s">
        <v>583</v>
      </c>
      <c r="C161" s="1" t="s">
        <v>2461</v>
      </c>
      <c r="D161" s="1" t="s">
        <v>2462</v>
      </c>
      <c r="E161" s="1" t="s">
        <v>2261</v>
      </c>
      <c r="F161" s="1" t="s">
        <v>2638</v>
      </c>
      <c r="G161" s="1" t="s">
        <v>575</v>
      </c>
      <c r="H161" s="1" t="s">
        <v>1064</v>
      </c>
      <c r="I161" s="1"/>
      <c r="J161" s="1"/>
    </row>
    <row r="162" spans="1:10" hidden="1" x14ac:dyDescent="0.25">
      <c r="A162" s="1" t="s">
        <v>2262</v>
      </c>
      <c r="B162" s="1" t="s">
        <v>583</v>
      </c>
      <c r="C162" s="1" t="s">
        <v>2463</v>
      </c>
      <c r="D162" s="1" t="s">
        <v>2464</v>
      </c>
      <c r="E162" s="1" t="s">
        <v>2263</v>
      </c>
      <c r="F162" s="1" t="s">
        <v>2629</v>
      </c>
      <c r="G162" s="1" t="s">
        <v>575</v>
      </c>
      <c r="H162" s="1" t="s">
        <v>1064</v>
      </c>
      <c r="I162" s="1"/>
      <c r="J162" s="1"/>
    </row>
    <row r="163" spans="1:10" hidden="1" x14ac:dyDescent="0.25">
      <c r="A163" s="1" t="s">
        <v>2262</v>
      </c>
      <c r="B163" s="1" t="s">
        <v>583</v>
      </c>
      <c r="C163" s="1" t="s">
        <v>2465</v>
      </c>
      <c r="D163" s="1" t="s">
        <v>2466</v>
      </c>
      <c r="E163" s="1" t="s">
        <v>2263</v>
      </c>
      <c r="F163" s="1" t="s">
        <v>2629</v>
      </c>
      <c r="G163" s="1" t="s">
        <v>575</v>
      </c>
      <c r="H163" s="1" t="s">
        <v>1064</v>
      </c>
      <c r="I163" s="1"/>
      <c r="J163" s="1"/>
    </row>
    <row r="164" spans="1:10" hidden="1" x14ac:dyDescent="0.25">
      <c r="A164" s="1" t="s">
        <v>2262</v>
      </c>
      <c r="B164" s="1" t="s">
        <v>583</v>
      </c>
      <c r="C164" s="1" t="s">
        <v>2467</v>
      </c>
      <c r="D164" s="1" t="s">
        <v>2468</v>
      </c>
      <c r="E164" s="1" t="s">
        <v>2263</v>
      </c>
      <c r="F164" s="1" t="s">
        <v>2629</v>
      </c>
      <c r="G164" s="1" t="s">
        <v>575</v>
      </c>
      <c r="H164" s="1" t="s">
        <v>1064</v>
      </c>
      <c r="I164" s="1"/>
      <c r="J164" s="1"/>
    </row>
    <row r="165" spans="1:10" hidden="1" x14ac:dyDescent="0.25">
      <c r="A165" s="1" t="s">
        <v>2264</v>
      </c>
      <c r="B165" s="1" t="s">
        <v>583</v>
      </c>
      <c r="C165" s="1" t="s">
        <v>2469</v>
      </c>
      <c r="D165" s="1" t="s">
        <v>2470</v>
      </c>
      <c r="E165" s="1" t="s">
        <v>2265</v>
      </c>
      <c r="F165" s="1" t="s">
        <v>2633</v>
      </c>
      <c r="G165" s="1" t="s">
        <v>575</v>
      </c>
      <c r="H165" s="1" t="s">
        <v>1064</v>
      </c>
      <c r="I165" s="1"/>
      <c r="J165" s="1"/>
    </row>
    <row r="166" spans="1:10" hidden="1" x14ac:dyDescent="0.25">
      <c r="A166" s="1" t="s">
        <v>2266</v>
      </c>
      <c r="B166" s="1" t="s">
        <v>583</v>
      </c>
      <c r="C166" s="1" t="s">
        <v>2473</v>
      </c>
      <c r="D166" s="1" t="s">
        <v>2474</v>
      </c>
      <c r="E166" s="1" t="s">
        <v>2267</v>
      </c>
      <c r="F166" s="1" t="s">
        <v>2635</v>
      </c>
      <c r="G166" s="1" t="s">
        <v>575</v>
      </c>
      <c r="H166" s="1" t="s">
        <v>1064</v>
      </c>
      <c r="I166" s="1"/>
      <c r="J166" s="1"/>
    </row>
    <row r="167" spans="1:10" hidden="1" x14ac:dyDescent="0.25">
      <c r="A167" s="1" t="s">
        <v>2266</v>
      </c>
      <c r="B167" s="1" t="s">
        <v>583</v>
      </c>
      <c r="C167" s="1" t="s">
        <v>2475</v>
      </c>
      <c r="D167" s="1" t="s">
        <v>2476</v>
      </c>
      <c r="E167" s="1" t="s">
        <v>2267</v>
      </c>
      <c r="F167" s="1" t="s">
        <v>2635</v>
      </c>
      <c r="G167" s="1" t="s">
        <v>575</v>
      </c>
      <c r="H167" s="1" t="s">
        <v>1064</v>
      </c>
      <c r="I167" s="1"/>
      <c r="J167" s="1"/>
    </row>
    <row r="168" spans="1:10" hidden="1" x14ac:dyDescent="0.25">
      <c r="A168" s="1" t="s">
        <v>2266</v>
      </c>
      <c r="B168" s="1" t="s">
        <v>583</v>
      </c>
      <c r="C168" s="1" t="s">
        <v>2477</v>
      </c>
      <c r="D168" s="1" t="s">
        <v>2478</v>
      </c>
      <c r="E168" s="1" t="s">
        <v>2267</v>
      </c>
      <c r="F168" s="1" t="s">
        <v>2635</v>
      </c>
      <c r="G168" s="1" t="s">
        <v>575</v>
      </c>
      <c r="H168" s="1" t="s">
        <v>1064</v>
      </c>
      <c r="I168" s="1"/>
      <c r="J168" s="1"/>
    </row>
    <row r="169" spans="1:10" hidden="1" x14ac:dyDescent="0.25">
      <c r="A169" s="1" t="s">
        <v>2268</v>
      </c>
      <c r="B169" s="1" t="s">
        <v>583</v>
      </c>
      <c r="C169" s="1" t="s">
        <v>2479</v>
      </c>
      <c r="D169" s="1" t="s">
        <v>2480</v>
      </c>
      <c r="E169" s="1" t="s">
        <v>2269</v>
      </c>
      <c r="F169" s="1" t="s">
        <v>2638</v>
      </c>
      <c r="G169" s="1" t="s">
        <v>575</v>
      </c>
      <c r="H169" s="1" t="s">
        <v>1064</v>
      </c>
      <c r="I169" s="1"/>
      <c r="J169" s="1"/>
    </row>
    <row r="170" spans="1:10" hidden="1" x14ac:dyDescent="0.25">
      <c r="A170" s="1" t="s">
        <v>2268</v>
      </c>
      <c r="B170" s="1" t="s">
        <v>583</v>
      </c>
      <c r="C170" s="1" t="s">
        <v>2481</v>
      </c>
      <c r="D170" s="1" t="s">
        <v>2482</v>
      </c>
      <c r="E170" s="1" t="s">
        <v>2269</v>
      </c>
      <c r="F170" s="1" t="s">
        <v>2638</v>
      </c>
      <c r="G170" s="1" t="s">
        <v>575</v>
      </c>
      <c r="H170" s="1" t="s">
        <v>1064</v>
      </c>
      <c r="I170" s="1"/>
      <c r="J170" s="1"/>
    </row>
    <row r="171" spans="1:10" hidden="1" x14ac:dyDescent="0.25">
      <c r="A171" s="1" t="s">
        <v>2268</v>
      </c>
      <c r="B171" s="1" t="s">
        <v>583</v>
      </c>
      <c r="C171" s="1" t="s">
        <v>2483</v>
      </c>
      <c r="D171" s="1" t="s">
        <v>2484</v>
      </c>
      <c r="E171" s="1" t="s">
        <v>2269</v>
      </c>
      <c r="F171" s="1" t="s">
        <v>2638</v>
      </c>
      <c r="G171" s="1" t="s">
        <v>575</v>
      </c>
      <c r="H171" s="1" t="s">
        <v>1064</v>
      </c>
      <c r="I171" s="1"/>
      <c r="J171" s="1"/>
    </row>
    <row r="172" spans="1:10" hidden="1" x14ac:dyDescent="0.25">
      <c r="A172" s="1" t="s">
        <v>2270</v>
      </c>
      <c r="B172" s="1" t="s">
        <v>583</v>
      </c>
      <c r="C172" s="1" t="s">
        <v>2485</v>
      </c>
      <c r="D172" s="1" t="s">
        <v>2486</v>
      </c>
      <c r="E172" s="1" t="s">
        <v>2271</v>
      </c>
      <c r="F172" s="1" t="s">
        <v>2629</v>
      </c>
      <c r="G172" s="1" t="s">
        <v>575</v>
      </c>
      <c r="H172" s="1" t="s">
        <v>1064</v>
      </c>
      <c r="I172" s="1"/>
      <c r="J172" s="1"/>
    </row>
    <row r="173" spans="1:10" hidden="1" x14ac:dyDescent="0.25">
      <c r="A173" s="1" t="s">
        <v>2270</v>
      </c>
      <c r="B173" s="1" t="s">
        <v>583</v>
      </c>
      <c r="C173" s="1" t="s">
        <v>2487</v>
      </c>
      <c r="D173" s="1" t="s">
        <v>2488</v>
      </c>
      <c r="E173" s="1" t="s">
        <v>2271</v>
      </c>
      <c r="F173" s="1" t="s">
        <v>2629</v>
      </c>
      <c r="G173" s="1" t="s">
        <v>575</v>
      </c>
      <c r="H173" s="1" t="s">
        <v>1064</v>
      </c>
      <c r="I173" s="1"/>
      <c r="J173" s="1"/>
    </row>
    <row r="174" spans="1:10" hidden="1" x14ac:dyDescent="0.25">
      <c r="A174" s="1" t="s">
        <v>2270</v>
      </c>
      <c r="B174" s="1" t="s">
        <v>583</v>
      </c>
      <c r="C174" s="1" t="s">
        <v>2489</v>
      </c>
      <c r="D174" s="1" t="s">
        <v>2490</v>
      </c>
      <c r="E174" s="1" t="s">
        <v>2271</v>
      </c>
      <c r="F174" s="1" t="s">
        <v>2629</v>
      </c>
      <c r="G174" s="1" t="s">
        <v>575</v>
      </c>
      <c r="H174" s="1" t="s">
        <v>1064</v>
      </c>
      <c r="I174" s="1"/>
      <c r="J174" s="1"/>
    </row>
    <row r="175" spans="1:10" hidden="1" x14ac:dyDescent="0.25">
      <c r="A175" s="1" t="s">
        <v>2272</v>
      </c>
      <c r="B175" s="1" t="s">
        <v>583</v>
      </c>
      <c r="C175" s="1" t="s">
        <v>2491</v>
      </c>
      <c r="D175" s="1" t="s">
        <v>2492</v>
      </c>
      <c r="E175" s="1" t="s">
        <v>2273</v>
      </c>
      <c r="F175" s="1" t="s">
        <v>2633</v>
      </c>
      <c r="G175" s="1" t="s">
        <v>575</v>
      </c>
      <c r="H175" s="1" t="s">
        <v>1064</v>
      </c>
      <c r="I175" s="1"/>
      <c r="J175" s="1"/>
    </row>
    <row r="176" spans="1:10" hidden="1" x14ac:dyDescent="0.25">
      <c r="A176" s="1" t="s">
        <v>2272</v>
      </c>
      <c r="B176" s="1" t="s">
        <v>583</v>
      </c>
      <c r="C176" s="1" t="s">
        <v>2493</v>
      </c>
      <c r="D176" s="1" t="s">
        <v>3721</v>
      </c>
      <c r="E176" s="1" t="s">
        <v>2273</v>
      </c>
      <c r="F176" s="1" t="s">
        <v>2633</v>
      </c>
      <c r="G176" s="1" t="s">
        <v>575</v>
      </c>
      <c r="H176" s="1" t="s">
        <v>1064</v>
      </c>
      <c r="I176" s="1"/>
      <c r="J176" s="1"/>
    </row>
    <row r="177" spans="1:10" hidden="1" x14ac:dyDescent="0.25">
      <c r="A177" s="1" t="s">
        <v>2272</v>
      </c>
      <c r="B177" s="1" t="s">
        <v>583</v>
      </c>
      <c r="C177" s="1" t="s">
        <v>2494</v>
      </c>
      <c r="D177" s="1" t="s">
        <v>3722</v>
      </c>
      <c r="E177" s="1" t="s">
        <v>2273</v>
      </c>
      <c r="F177" s="1" t="s">
        <v>2633</v>
      </c>
      <c r="G177" s="1" t="s">
        <v>575</v>
      </c>
      <c r="H177" s="1" t="s">
        <v>1064</v>
      </c>
      <c r="I177" s="1"/>
      <c r="J177" s="1"/>
    </row>
    <row r="178" spans="1:10" hidden="1" x14ac:dyDescent="0.25">
      <c r="A178" s="1" t="s">
        <v>2274</v>
      </c>
      <c r="B178" s="1" t="s">
        <v>583</v>
      </c>
      <c r="C178" s="1" t="s">
        <v>2495</v>
      </c>
      <c r="D178" s="1" t="s">
        <v>2496</v>
      </c>
      <c r="E178" s="1" t="s">
        <v>2275</v>
      </c>
      <c r="F178" s="1" t="s">
        <v>2635</v>
      </c>
      <c r="G178" s="1" t="s">
        <v>575</v>
      </c>
      <c r="H178" s="1" t="s">
        <v>1064</v>
      </c>
      <c r="I178" s="1"/>
      <c r="J178" s="1"/>
    </row>
    <row r="179" spans="1:10" hidden="1" x14ac:dyDescent="0.25">
      <c r="A179" s="1" t="s">
        <v>2274</v>
      </c>
      <c r="B179" s="1" t="s">
        <v>583</v>
      </c>
      <c r="C179" s="1" t="s">
        <v>2497</v>
      </c>
      <c r="D179" s="1" t="s">
        <v>2498</v>
      </c>
      <c r="E179" s="1" t="s">
        <v>2275</v>
      </c>
      <c r="F179" s="1" t="s">
        <v>2635</v>
      </c>
      <c r="G179" s="1" t="s">
        <v>575</v>
      </c>
      <c r="H179" s="1" t="s">
        <v>1064</v>
      </c>
      <c r="I179" s="1"/>
      <c r="J179" s="1"/>
    </row>
    <row r="180" spans="1:10" hidden="1" x14ac:dyDescent="0.25">
      <c r="A180" s="1" t="s">
        <v>2274</v>
      </c>
      <c r="B180" s="1" t="s">
        <v>583</v>
      </c>
      <c r="C180" s="1" t="s">
        <v>2499</v>
      </c>
      <c r="D180" s="1" t="s">
        <v>2500</v>
      </c>
      <c r="E180" s="1" t="s">
        <v>2275</v>
      </c>
      <c r="F180" s="1" t="s">
        <v>2635</v>
      </c>
      <c r="G180" s="1" t="s">
        <v>575</v>
      </c>
      <c r="H180" s="1" t="s">
        <v>1064</v>
      </c>
      <c r="I180" s="1"/>
      <c r="J180" s="1"/>
    </row>
    <row r="181" spans="1:10" hidden="1" x14ac:dyDescent="0.25">
      <c r="A181" s="1" t="s">
        <v>2276</v>
      </c>
      <c r="B181" s="1" t="s">
        <v>583</v>
      </c>
      <c r="C181" s="1" t="s">
        <v>2501</v>
      </c>
      <c r="D181" s="1" t="s">
        <v>2502</v>
      </c>
      <c r="E181" s="1" t="s">
        <v>2277</v>
      </c>
      <c r="F181" s="1" t="s">
        <v>2638</v>
      </c>
      <c r="G181" s="1" t="s">
        <v>575</v>
      </c>
      <c r="H181" s="1" t="s">
        <v>1064</v>
      </c>
      <c r="I181" s="1"/>
      <c r="J181" s="1"/>
    </row>
    <row r="182" spans="1:10" hidden="1" x14ac:dyDescent="0.25">
      <c r="A182" s="1" t="s">
        <v>2276</v>
      </c>
      <c r="B182" s="1" t="s">
        <v>583</v>
      </c>
      <c r="C182" s="1" t="s">
        <v>2503</v>
      </c>
      <c r="D182" s="1" t="s">
        <v>2504</v>
      </c>
      <c r="E182" s="1" t="s">
        <v>2277</v>
      </c>
      <c r="F182" s="1" t="s">
        <v>2638</v>
      </c>
      <c r="G182" s="1" t="s">
        <v>575</v>
      </c>
      <c r="H182" s="1" t="s">
        <v>1064</v>
      </c>
      <c r="I182" s="1"/>
      <c r="J182" s="1"/>
    </row>
    <row r="183" spans="1:10" hidden="1" x14ac:dyDescent="0.25">
      <c r="A183" s="1" t="s">
        <v>2276</v>
      </c>
      <c r="B183" s="1" t="s">
        <v>583</v>
      </c>
      <c r="C183" s="1" t="s">
        <v>2505</v>
      </c>
      <c r="D183" s="1" t="s">
        <v>2506</v>
      </c>
      <c r="E183" s="1" t="s">
        <v>2277</v>
      </c>
      <c r="F183" s="1" t="s">
        <v>2638</v>
      </c>
      <c r="G183" s="1" t="s">
        <v>575</v>
      </c>
      <c r="H183" s="1" t="s">
        <v>1064</v>
      </c>
      <c r="I183" s="1"/>
      <c r="J183" s="1"/>
    </row>
    <row r="184" spans="1:10" hidden="1" x14ac:dyDescent="0.25">
      <c r="A184" s="1" t="s">
        <v>2908</v>
      </c>
      <c r="B184" s="1" t="s">
        <v>583</v>
      </c>
      <c r="C184" s="1" t="s">
        <v>4010</v>
      </c>
      <c r="D184" s="1" t="s">
        <v>4011</v>
      </c>
      <c r="E184" s="1" t="s">
        <v>2909</v>
      </c>
      <c r="F184" s="1" t="s">
        <v>2946</v>
      </c>
      <c r="G184" s="1" t="s">
        <v>575</v>
      </c>
      <c r="H184" s="1" t="s">
        <v>1064</v>
      </c>
      <c r="I184" s="1"/>
      <c r="J184" s="1"/>
    </row>
    <row r="185" spans="1:10" hidden="1" x14ac:dyDescent="0.25">
      <c r="A185" s="1" t="s">
        <v>2910</v>
      </c>
      <c r="B185" s="1" t="s">
        <v>583</v>
      </c>
      <c r="C185" s="1" t="s">
        <v>4012</v>
      </c>
      <c r="D185" s="1" t="s">
        <v>4013</v>
      </c>
      <c r="E185" s="1" t="s">
        <v>2911</v>
      </c>
      <c r="F185" s="1" t="s">
        <v>2948</v>
      </c>
      <c r="G185" s="1" t="s">
        <v>575</v>
      </c>
      <c r="H185" s="1" t="s">
        <v>1064</v>
      </c>
      <c r="I185" s="1"/>
      <c r="J185" s="1"/>
    </row>
    <row r="186" spans="1:10" hidden="1" x14ac:dyDescent="0.25">
      <c r="A186" s="1" t="s">
        <v>2912</v>
      </c>
      <c r="B186" s="1" t="s">
        <v>583</v>
      </c>
      <c r="C186" s="1" t="s">
        <v>4014</v>
      </c>
      <c r="D186" s="1" t="s">
        <v>4015</v>
      </c>
      <c r="E186" s="1" t="s">
        <v>2913</v>
      </c>
      <c r="F186" s="1" t="s">
        <v>2949</v>
      </c>
      <c r="G186" s="1" t="s">
        <v>575</v>
      </c>
      <c r="H186" s="1" t="s">
        <v>1064</v>
      </c>
      <c r="I186" s="1"/>
      <c r="J186" s="1"/>
    </row>
    <row r="187" spans="1:10" hidden="1" x14ac:dyDescent="0.25">
      <c r="A187" s="1" t="s">
        <v>2914</v>
      </c>
      <c r="B187" s="1" t="s">
        <v>583</v>
      </c>
      <c r="C187" s="1" t="s">
        <v>4016</v>
      </c>
      <c r="D187" s="1" t="s">
        <v>4017</v>
      </c>
      <c r="E187" s="1" t="s">
        <v>2915</v>
      </c>
      <c r="F187" s="1" t="s">
        <v>2950</v>
      </c>
      <c r="G187" s="1" t="s">
        <v>575</v>
      </c>
      <c r="H187" s="1" t="s">
        <v>1064</v>
      </c>
      <c r="I187" s="1"/>
      <c r="J187" s="1"/>
    </row>
    <row r="188" spans="1:10" hidden="1" x14ac:dyDescent="0.25">
      <c r="A188" s="1" t="s">
        <v>45</v>
      </c>
      <c r="B188" s="1" t="s">
        <v>583</v>
      </c>
      <c r="C188" s="1" t="s">
        <v>326</v>
      </c>
      <c r="D188" s="1" t="s">
        <v>1100</v>
      </c>
      <c r="E188" s="1" t="s">
        <v>719</v>
      </c>
      <c r="F188" s="1" t="s">
        <v>46</v>
      </c>
      <c r="G188" s="1" t="s">
        <v>561</v>
      </c>
      <c r="H188" s="1" t="s">
        <v>1064</v>
      </c>
      <c r="I188" s="1"/>
      <c r="J188" s="1"/>
    </row>
    <row r="189" spans="1:10" hidden="1" x14ac:dyDescent="0.25">
      <c r="A189" s="1" t="s">
        <v>47</v>
      </c>
      <c r="B189" s="1" t="s">
        <v>583</v>
      </c>
      <c r="C189" s="1" t="s">
        <v>329</v>
      </c>
      <c r="D189" s="1" t="s">
        <v>1101</v>
      </c>
      <c r="E189" s="1" t="s">
        <v>720</v>
      </c>
      <c r="F189" s="1" t="s">
        <v>48</v>
      </c>
      <c r="G189" s="1" t="s">
        <v>561</v>
      </c>
      <c r="H189" s="1" t="s">
        <v>1064</v>
      </c>
      <c r="I189" s="1"/>
      <c r="J189" s="1"/>
    </row>
    <row r="190" spans="1:10" hidden="1" x14ac:dyDescent="0.25">
      <c r="A190" s="1" t="s">
        <v>78</v>
      </c>
      <c r="B190" s="1" t="s">
        <v>584</v>
      </c>
      <c r="C190" s="1" t="s">
        <v>340</v>
      </c>
      <c r="D190" s="1" t="s">
        <v>1102</v>
      </c>
      <c r="E190" s="1" t="s">
        <v>721</v>
      </c>
      <c r="F190" s="1" t="s">
        <v>49</v>
      </c>
      <c r="G190" s="1" t="s">
        <v>572</v>
      </c>
      <c r="H190" s="1" t="s">
        <v>1064</v>
      </c>
      <c r="I190" s="1"/>
      <c r="J190" s="1"/>
    </row>
    <row r="191" spans="1:10" hidden="1" x14ac:dyDescent="0.25">
      <c r="A191" s="1" t="s">
        <v>78</v>
      </c>
      <c r="B191" s="1" t="s">
        <v>586</v>
      </c>
      <c r="C191" s="1" t="s">
        <v>342</v>
      </c>
      <c r="D191" s="1" t="s">
        <v>1103</v>
      </c>
      <c r="E191" s="1" t="s">
        <v>722</v>
      </c>
      <c r="F191" s="1" t="s">
        <v>49</v>
      </c>
      <c r="G191" s="1" t="s">
        <v>572</v>
      </c>
      <c r="H191" s="1" t="s">
        <v>1064</v>
      </c>
      <c r="I191" s="1"/>
      <c r="J191" s="1"/>
    </row>
    <row r="192" spans="1:10" hidden="1" x14ac:dyDescent="0.25">
      <c r="A192" s="1" t="s">
        <v>78</v>
      </c>
      <c r="B192" s="1" t="s">
        <v>583</v>
      </c>
      <c r="C192" s="1" t="s">
        <v>343</v>
      </c>
      <c r="D192" s="1" t="s">
        <v>1104</v>
      </c>
      <c r="E192" s="1" t="s">
        <v>723</v>
      </c>
      <c r="F192" s="1" t="s">
        <v>49</v>
      </c>
      <c r="G192" s="1" t="s">
        <v>572</v>
      </c>
      <c r="H192" s="1" t="s">
        <v>1064</v>
      </c>
      <c r="I192" s="1"/>
      <c r="J192" s="1"/>
    </row>
    <row r="193" spans="1:10" hidden="1" x14ac:dyDescent="0.25">
      <c r="A193" s="1" t="s">
        <v>53</v>
      </c>
      <c r="B193" s="1" t="s">
        <v>586</v>
      </c>
      <c r="C193" s="1" t="s">
        <v>350</v>
      </c>
      <c r="D193" s="1" t="s">
        <v>1105</v>
      </c>
      <c r="E193" s="1" t="s">
        <v>724</v>
      </c>
      <c r="F193" s="1" t="s">
        <v>54</v>
      </c>
      <c r="G193" s="1" t="s">
        <v>575</v>
      </c>
      <c r="H193" s="1" t="s">
        <v>1064</v>
      </c>
      <c r="I193" s="1"/>
      <c r="J193" s="1"/>
    </row>
    <row r="194" spans="1:10" hidden="1" x14ac:dyDescent="0.25">
      <c r="A194" s="1" t="s">
        <v>53</v>
      </c>
      <c r="B194" s="1" t="s">
        <v>583</v>
      </c>
      <c r="C194" s="1" t="s">
        <v>353</v>
      </c>
      <c r="D194" s="1" t="s">
        <v>1106</v>
      </c>
      <c r="E194" s="1" t="s">
        <v>725</v>
      </c>
      <c r="F194" s="1" t="s">
        <v>54</v>
      </c>
      <c r="G194" s="1" t="s">
        <v>575</v>
      </c>
      <c r="H194" s="1" t="s">
        <v>1064</v>
      </c>
      <c r="I194" s="1"/>
      <c r="J194" s="1"/>
    </row>
    <row r="195" spans="1:10" hidden="1" x14ac:dyDescent="0.25">
      <c r="A195" s="1" t="s">
        <v>114</v>
      </c>
      <c r="B195" s="1" t="s">
        <v>583</v>
      </c>
      <c r="C195" s="1" t="s">
        <v>529</v>
      </c>
      <c r="D195" s="1" t="s">
        <v>1135</v>
      </c>
      <c r="E195" s="1" t="s">
        <v>754</v>
      </c>
      <c r="F195" s="1" t="s">
        <v>115</v>
      </c>
      <c r="G195" s="1"/>
      <c r="H195" s="1" t="s">
        <v>1064</v>
      </c>
      <c r="I195" s="1"/>
      <c r="J195" s="1"/>
    </row>
    <row r="196" spans="1:10" hidden="1" x14ac:dyDescent="0.25">
      <c r="A196" s="1" t="s">
        <v>114</v>
      </c>
      <c r="B196" s="1" t="s">
        <v>583</v>
      </c>
      <c r="C196" s="1" t="s">
        <v>534</v>
      </c>
      <c r="D196" s="1" t="s">
        <v>1136</v>
      </c>
      <c r="E196" s="1" t="s">
        <v>754</v>
      </c>
      <c r="F196" s="1" t="s">
        <v>115</v>
      </c>
      <c r="G196" s="1"/>
      <c r="H196" s="1" t="s">
        <v>1064</v>
      </c>
      <c r="I196" s="1"/>
      <c r="J196" s="1"/>
    </row>
    <row r="197" spans="1:10" hidden="1" x14ac:dyDescent="0.25">
      <c r="A197" s="1" t="s">
        <v>56</v>
      </c>
      <c r="B197" s="1" t="s">
        <v>583</v>
      </c>
      <c r="C197" s="1" t="s">
        <v>358</v>
      </c>
      <c r="D197" s="1" t="s">
        <v>1107</v>
      </c>
      <c r="E197" s="1" t="s">
        <v>726</v>
      </c>
      <c r="F197" s="1" t="s">
        <v>57</v>
      </c>
      <c r="G197" s="1" t="s">
        <v>2798</v>
      </c>
      <c r="H197" s="1" t="s">
        <v>1064</v>
      </c>
      <c r="I197" s="1"/>
      <c r="J197" s="1"/>
    </row>
    <row r="198" spans="1:10" hidden="1" x14ac:dyDescent="0.25">
      <c r="A198" s="1" t="s">
        <v>58</v>
      </c>
      <c r="B198" s="1" t="s">
        <v>583</v>
      </c>
      <c r="C198" s="1" t="s">
        <v>361</v>
      </c>
      <c r="D198" s="1" t="s">
        <v>1108</v>
      </c>
      <c r="E198" s="1" t="s">
        <v>727</v>
      </c>
      <c r="F198" s="1" t="s">
        <v>59</v>
      </c>
      <c r="G198" s="1" t="s">
        <v>575</v>
      </c>
      <c r="H198" s="1" t="s">
        <v>1064</v>
      </c>
      <c r="I198" s="1"/>
      <c r="J198" s="1"/>
    </row>
    <row r="199" spans="1:10" hidden="1" x14ac:dyDescent="0.25">
      <c r="A199" s="1" t="s">
        <v>60</v>
      </c>
      <c r="B199" s="1" t="s">
        <v>583</v>
      </c>
      <c r="C199" s="1" t="s">
        <v>364</v>
      </c>
      <c r="D199" s="1" t="s">
        <v>1109</v>
      </c>
      <c r="E199" s="1" t="s">
        <v>728</v>
      </c>
      <c r="F199" s="1" t="s">
        <v>61</v>
      </c>
      <c r="G199" s="1" t="s">
        <v>575</v>
      </c>
      <c r="H199" s="1" t="s">
        <v>1064</v>
      </c>
      <c r="I199" s="1"/>
      <c r="J199" s="1"/>
    </row>
    <row r="200" spans="1:10" hidden="1" x14ac:dyDescent="0.25">
      <c r="A200" s="1" t="s">
        <v>63</v>
      </c>
      <c r="B200" s="1" t="s">
        <v>583</v>
      </c>
      <c r="C200" s="1" t="s">
        <v>367</v>
      </c>
      <c r="D200" s="1" t="s">
        <v>1110</v>
      </c>
      <c r="E200" s="1" t="s">
        <v>729</v>
      </c>
      <c r="F200" s="1" t="s">
        <v>64</v>
      </c>
      <c r="G200" s="1" t="s">
        <v>575</v>
      </c>
      <c r="H200" s="1" t="s">
        <v>1064</v>
      </c>
      <c r="I200" s="1"/>
      <c r="J200" s="1"/>
    </row>
    <row r="201" spans="1:10" hidden="1" x14ac:dyDescent="0.25">
      <c r="A201" s="1" t="s">
        <v>65</v>
      </c>
      <c r="B201" s="1" t="s">
        <v>583</v>
      </c>
      <c r="C201" s="1" t="s">
        <v>370</v>
      </c>
      <c r="D201" s="1" t="s">
        <v>1111</v>
      </c>
      <c r="E201" s="1" t="s">
        <v>730</v>
      </c>
      <c r="F201" s="1" t="s">
        <v>66</v>
      </c>
      <c r="G201" s="1" t="s">
        <v>575</v>
      </c>
      <c r="H201" s="1" t="s">
        <v>1064</v>
      </c>
      <c r="I201" s="1"/>
      <c r="J201" s="1"/>
    </row>
    <row r="202" spans="1:10" hidden="1" x14ac:dyDescent="0.25">
      <c r="A202" s="1" t="s">
        <v>67</v>
      </c>
      <c r="B202" s="1" t="s">
        <v>583</v>
      </c>
      <c r="C202" s="1" t="s">
        <v>373</v>
      </c>
      <c r="D202" s="1" t="s">
        <v>1112</v>
      </c>
      <c r="E202" s="1" t="s">
        <v>731</v>
      </c>
      <c r="F202" s="1" t="s">
        <v>68</v>
      </c>
      <c r="G202" s="1" t="s">
        <v>575</v>
      </c>
      <c r="H202" s="1" t="s">
        <v>1064</v>
      </c>
      <c r="I202" s="1"/>
      <c r="J202" s="1"/>
    </row>
    <row r="203" spans="1:10" hidden="1" x14ac:dyDescent="0.25">
      <c r="A203" s="1" t="s">
        <v>69</v>
      </c>
      <c r="B203" s="1" t="s">
        <v>583</v>
      </c>
      <c r="C203" s="1" t="s">
        <v>376</v>
      </c>
      <c r="D203" s="1" t="s">
        <v>1113</v>
      </c>
      <c r="E203" s="1" t="s">
        <v>732</v>
      </c>
      <c r="F203" s="1" t="s">
        <v>70</v>
      </c>
      <c r="G203" s="1" t="s">
        <v>575</v>
      </c>
      <c r="H203" s="1" t="s">
        <v>1064</v>
      </c>
      <c r="I203" s="1"/>
      <c r="J203" s="1"/>
    </row>
    <row r="204" spans="1:10" hidden="1" x14ac:dyDescent="0.25">
      <c r="A204" s="1" t="s">
        <v>72</v>
      </c>
      <c r="B204" s="1" t="s">
        <v>583</v>
      </c>
      <c r="C204" s="1" t="s">
        <v>380</v>
      </c>
      <c r="D204" s="1" t="s">
        <v>1114</v>
      </c>
      <c r="E204" s="1" t="s">
        <v>733</v>
      </c>
      <c r="F204" s="1" t="s">
        <v>73</v>
      </c>
      <c r="G204" s="1" t="s">
        <v>575</v>
      </c>
      <c r="H204" s="1" t="s">
        <v>1064</v>
      </c>
      <c r="I204" s="1"/>
      <c r="J204" s="1"/>
    </row>
    <row r="205" spans="1:10" hidden="1" x14ac:dyDescent="0.25">
      <c r="A205" s="1" t="s">
        <v>1344</v>
      </c>
      <c r="B205" s="1" t="s">
        <v>586</v>
      </c>
      <c r="C205" s="1" t="s">
        <v>1345</v>
      </c>
      <c r="D205" s="1" t="s">
        <v>1346</v>
      </c>
      <c r="E205" s="1" t="s">
        <v>1347</v>
      </c>
      <c r="F205" s="1" t="s">
        <v>1870</v>
      </c>
      <c r="G205" s="1" t="s">
        <v>575</v>
      </c>
      <c r="H205" s="1" t="s">
        <v>1064</v>
      </c>
      <c r="I205" s="1"/>
      <c r="J205" s="1"/>
    </row>
    <row r="206" spans="1:10" hidden="1" x14ac:dyDescent="0.25">
      <c r="A206" s="1" t="s">
        <v>74</v>
      </c>
      <c r="B206" s="1" t="s">
        <v>586</v>
      </c>
      <c r="C206" s="1" t="s">
        <v>389</v>
      </c>
      <c r="D206" s="1" t="s">
        <v>1115</v>
      </c>
      <c r="E206" s="1" t="s">
        <v>735</v>
      </c>
      <c r="F206" s="1" t="s">
        <v>75</v>
      </c>
      <c r="G206" s="1" t="s">
        <v>575</v>
      </c>
      <c r="H206" s="1" t="s">
        <v>1064</v>
      </c>
      <c r="I206" s="1"/>
      <c r="J206" s="1"/>
    </row>
    <row r="207" spans="1:10" hidden="1" x14ac:dyDescent="0.25">
      <c r="A207" s="1" t="s">
        <v>74</v>
      </c>
      <c r="B207" s="1" t="s">
        <v>583</v>
      </c>
      <c r="C207" s="1" t="s">
        <v>392</v>
      </c>
      <c r="D207" s="1" t="s">
        <v>1116</v>
      </c>
      <c r="E207" s="1" t="s">
        <v>734</v>
      </c>
      <c r="F207" s="1" t="s">
        <v>75</v>
      </c>
      <c r="G207" s="1" t="s">
        <v>575</v>
      </c>
      <c r="H207" s="1" t="s">
        <v>1064</v>
      </c>
      <c r="I207" s="1"/>
      <c r="J207" s="1"/>
    </row>
    <row r="208" spans="1:10" hidden="1" x14ac:dyDescent="0.25">
      <c r="A208" s="1" t="s">
        <v>79</v>
      </c>
      <c r="B208" s="1" t="s">
        <v>583</v>
      </c>
      <c r="C208" s="1" t="s">
        <v>404</v>
      </c>
      <c r="D208" s="1" t="s">
        <v>1117</v>
      </c>
      <c r="E208" s="1" t="s">
        <v>736</v>
      </c>
      <c r="F208" s="1" t="s">
        <v>80</v>
      </c>
      <c r="G208" s="1" t="s">
        <v>575</v>
      </c>
      <c r="H208" s="1" t="s">
        <v>1064</v>
      </c>
      <c r="I208" s="1"/>
      <c r="J208" s="1"/>
    </row>
    <row r="209" spans="1:10" hidden="1" x14ac:dyDescent="0.25">
      <c r="A209" s="1" t="s">
        <v>83</v>
      </c>
      <c r="B209" s="1" t="s">
        <v>583</v>
      </c>
      <c r="C209" s="1" t="s">
        <v>416</v>
      </c>
      <c r="D209" s="1" t="s">
        <v>1118</v>
      </c>
      <c r="E209" s="1" t="s">
        <v>737</v>
      </c>
      <c r="F209" s="1" t="s">
        <v>84</v>
      </c>
      <c r="G209" s="1" t="s">
        <v>575</v>
      </c>
      <c r="H209" s="1" t="s">
        <v>1064</v>
      </c>
      <c r="I209" s="1"/>
      <c r="J209" s="1"/>
    </row>
    <row r="210" spans="1:10" hidden="1" x14ac:dyDescent="0.25">
      <c r="A210" s="1" t="s">
        <v>86</v>
      </c>
      <c r="B210" s="1" t="s">
        <v>584</v>
      </c>
      <c r="C210" s="1" t="s">
        <v>419</v>
      </c>
      <c r="D210" s="1" t="s">
        <v>1119</v>
      </c>
      <c r="E210" s="1" t="s">
        <v>738</v>
      </c>
      <c r="F210" s="1" t="s">
        <v>87</v>
      </c>
      <c r="G210" s="1" t="s">
        <v>575</v>
      </c>
      <c r="H210" s="1" t="s">
        <v>1064</v>
      </c>
      <c r="I210" s="1"/>
      <c r="J210" s="1"/>
    </row>
    <row r="211" spans="1:10" hidden="1" x14ac:dyDescent="0.25">
      <c r="A211" s="1" t="s">
        <v>86</v>
      </c>
      <c r="B211" s="1" t="s">
        <v>586</v>
      </c>
      <c r="C211" s="1" t="s">
        <v>425</v>
      </c>
      <c r="D211" s="1" t="s">
        <v>1120</v>
      </c>
      <c r="E211" s="1" t="s">
        <v>739</v>
      </c>
      <c r="F211" s="1" t="s">
        <v>87</v>
      </c>
      <c r="G211" s="1" t="s">
        <v>575</v>
      </c>
      <c r="H211" s="1" t="s">
        <v>1064</v>
      </c>
      <c r="I211" s="1"/>
      <c r="J211" s="1"/>
    </row>
    <row r="212" spans="1:10" hidden="1" x14ac:dyDescent="0.25">
      <c r="A212" s="1" t="s">
        <v>86</v>
      </c>
      <c r="B212" s="1" t="s">
        <v>583</v>
      </c>
      <c r="C212" s="1" t="s">
        <v>428</v>
      </c>
      <c r="D212" s="1" t="s">
        <v>1121</v>
      </c>
      <c r="E212" s="1" t="s">
        <v>740</v>
      </c>
      <c r="F212" s="1" t="s">
        <v>87</v>
      </c>
      <c r="G212" s="1" t="s">
        <v>575</v>
      </c>
      <c r="H212" s="1" t="s">
        <v>1064</v>
      </c>
      <c r="I212" s="1"/>
      <c r="J212" s="1"/>
    </row>
    <row r="213" spans="1:10" hidden="1" x14ac:dyDescent="0.25">
      <c r="A213" s="1" t="s">
        <v>91</v>
      </c>
      <c r="B213" s="1" t="s">
        <v>586</v>
      </c>
      <c r="C213" s="1" t="s">
        <v>437</v>
      </c>
      <c r="D213" s="1" t="s">
        <v>1124</v>
      </c>
      <c r="E213" s="1" t="s">
        <v>741</v>
      </c>
      <c r="F213" s="1" t="s">
        <v>92</v>
      </c>
      <c r="G213" s="1" t="s">
        <v>575</v>
      </c>
      <c r="H213" s="1" t="s">
        <v>1064</v>
      </c>
      <c r="I213" s="1"/>
      <c r="J213" s="1"/>
    </row>
    <row r="214" spans="1:10" hidden="1" x14ac:dyDescent="0.25">
      <c r="A214" s="1" t="s">
        <v>91</v>
      </c>
      <c r="B214" s="1" t="s">
        <v>583</v>
      </c>
      <c r="C214" s="1" t="s">
        <v>440</v>
      </c>
      <c r="D214" s="1" t="s">
        <v>1125</v>
      </c>
      <c r="E214" s="1" t="s">
        <v>742</v>
      </c>
      <c r="F214" s="1" t="s">
        <v>92</v>
      </c>
      <c r="G214" s="1" t="s">
        <v>575</v>
      </c>
      <c r="H214" s="1" t="s">
        <v>1064</v>
      </c>
      <c r="I214" s="1"/>
      <c r="J214" s="1"/>
    </row>
    <row r="215" spans="1:10" hidden="1" x14ac:dyDescent="0.25">
      <c r="A215" s="1" t="s">
        <v>8</v>
      </c>
      <c r="B215" s="1" t="s">
        <v>586</v>
      </c>
      <c r="C215" s="1" t="s">
        <v>448</v>
      </c>
      <c r="D215" s="1" t="s">
        <v>1122</v>
      </c>
      <c r="E215" s="1" t="s">
        <v>743</v>
      </c>
      <c r="F215" s="1" t="s">
        <v>95</v>
      </c>
      <c r="G215" s="1" t="s">
        <v>575</v>
      </c>
      <c r="H215" s="1" t="s">
        <v>1064</v>
      </c>
      <c r="I215" s="1"/>
      <c r="J215" s="1"/>
    </row>
    <row r="216" spans="1:10" hidden="1" x14ac:dyDescent="0.25">
      <c r="A216" s="1" t="s">
        <v>8</v>
      </c>
      <c r="B216" s="1" t="s">
        <v>583</v>
      </c>
      <c r="C216" s="1" t="s">
        <v>451</v>
      </c>
      <c r="D216" s="1" t="s">
        <v>1123</v>
      </c>
      <c r="E216" s="1" t="s">
        <v>744</v>
      </c>
      <c r="F216" s="1" t="s">
        <v>95</v>
      </c>
      <c r="G216" s="1" t="s">
        <v>575</v>
      </c>
      <c r="H216" s="1" t="s">
        <v>1064</v>
      </c>
      <c r="I216" s="1"/>
      <c r="J216" s="1"/>
    </row>
    <row r="217" spans="1:10" hidden="1" x14ac:dyDescent="0.25">
      <c r="A217" s="1" t="s">
        <v>97</v>
      </c>
      <c r="B217" s="1" t="s">
        <v>583</v>
      </c>
      <c r="C217" s="1" t="s">
        <v>454</v>
      </c>
      <c r="D217" s="1" t="s">
        <v>1126</v>
      </c>
      <c r="E217" s="1" t="s">
        <v>745</v>
      </c>
      <c r="F217" s="1" t="s">
        <v>98</v>
      </c>
      <c r="G217" s="1" t="s">
        <v>575</v>
      </c>
      <c r="H217" s="1" t="s">
        <v>1064</v>
      </c>
      <c r="I217" s="1"/>
      <c r="J217" s="1"/>
    </row>
    <row r="218" spans="1:10" hidden="1" x14ac:dyDescent="0.25">
      <c r="A218" s="1" t="s">
        <v>99</v>
      </c>
      <c r="B218" s="1" t="s">
        <v>586</v>
      </c>
      <c r="C218" s="1" t="s">
        <v>463</v>
      </c>
      <c r="D218" s="1" t="s">
        <v>1127</v>
      </c>
      <c r="E218" s="1" t="s">
        <v>746</v>
      </c>
      <c r="F218" s="1" t="s">
        <v>100</v>
      </c>
      <c r="G218" s="1" t="s">
        <v>575</v>
      </c>
      <c r="H218" s="1" t="s">
        <v>1064</v>
      </c>
      <c r="I218" s="1"/>
      <c r="J218" s="1"/>
    </row>
    <row r="219" spans="1:10" hidden="1" x14ac:dyDescent="0.25">
      <c r="A219" s="1" t="s">
        <v>99</v>
      </c>
      <c r="B219" s="1" t="s">
        <v>583</v>
      </c>
      <c r="C219" s="1" t="s">
        <v>466</v>
      </c>
      <c r="D219" s="1" t="s">
        <v>1128</v>
      </c>
      <c r="E219" s="1" t="s">
        <v>747</v>
      </c>
      <c r="F219" s="1" t="s">
        <v>100</v>
      </c>
      <c r="G219" s="1" t="s">
        <v>575</v>
      </c>
      <c r="H219" s="1" t="s">
        <v>1064</v>
      </c>
      <c r="I219" s="1"/>
      <c r="J219" s="1"/>
    </row>
    <row r="220" spans="1:10" hidden="1" x14ac:dyDescent="0.25">
      <c r="A220" s="1" t="s">
        <v>102</v>
      </c>
      <c r="B220" s="1" t="s">
        <v>584</v>
      </c>
      <c r="C220" s="1" t="s">
        <v>469</v>
      </c>
      <c r="D220" s="1" t="s">
        <v>1129</v>
      </c>
      <c r="E220" s="1" t="s">
        <v>748</v>
      </c>
      <c r="F220" s="1" t="s">
        <v>103</v>
      </c>
      <c r="G220" s="1" t="s">
        <v>575</v>
      </c>
      <c r="H220" s="1" t="s">
        <v>1064</v>
      </c>
      <c r="I220" s="1"/>
      <c r="J220" s="1"/>
    </row>
    <row r="221" spans="1:10" hidden="1" x14ac:dyDescent="0.25">
      <c r="A221" s="1" t="s">
        <v>102</v>
      </c>
      <c r="B221" s="1" t="s">
        <v>583</v>
      </c>
      <c r="C221" s="1" t="s">
        <v>478</v>
      </c>
      <c r="D221" s="1" t="s">
        <v>1130</v>
      </c>
      <c r="E221" s="1" t="s">
        <v>749</v>
      </c>
      <c r="F221" s="1" t="s">
        <v>103</v>
      </c>
      <c r="G221" s="1" t="s">
        <v>575</v>
      </c>
      <c r="H221" s="1" t="s">
        <v>1064</v>
      </c>
      <c r="I221" s="1"/>
      <c r="J221" s="1"/>
    </row>
    <row r="222" spans="1:10" hidden="1" x14ac:dyDescent="0.25">
      <c r="A222" s="1" t="s">
        <v>105</v>
      </c>
      <c r="B222" s="1" t="s">
        <v>584</v>
      </c>
      <c r="C222" s="1" t="s">
        <v>481</v>
      </c>
      <c r="D222" s="1" t="s">
        <v>1131</v>
      </c>
      <c r="E222" s="1" t="s">
        <v>750</v>
      </c>
      <c r="F222" s="1" t="s">
        <v>106</v>
      </c>
      <c r="G222" s="1" t="s">
        <v>575</v>
      </c>
      <c r="H222" s="1" t="s">
        <v>1064</v>
      </c>
      <c r="I222" s="1"/>
      <c r="J222" s="1"/>
    </row>
    <row r="223" spans="1:10" hidden="1" x14ac:dyDescent="0.25">
      <c r="A223" s="1" t="s">
        <v>105</v>
      </c>
      <c r="B223" s="1" t="s">
        <v>586</v>
      </c>
      <c r="C223" s="1" t="s">
        <v>487</v>
      </c>
      <c r="D223" s="1" t="s">
        <v>1132</v>
      </c>
      <c r="E223" s="1" t="s">
        <v>751</v>
      </c>
      <c r="F223" s="1" t="s">
        <v>106</v>
      </c>
      <c r="G223" s="1" t="s">
        <v>575</v>
      </c>
      <c r="H223" s="1" t="s">
        <v>1064</v>
      </c>
      <c r="I223" s="1"/>
      <c r="J223" s="1"/>
    </row>
    <row r="224" spans="1:10" hidden="1" x14ac:dyDescent="0.25">
      <c r="A224" s="1" t="s">
        <v>105</v>
      </c>
      <c r="B224" s="1" t="s">
        <v>583</v>
      </c>
      <c r="C224" s="1" t="s">
        <v>490</v>
      </c>
      <c r="D224" s="1" t="s">
        <v>1133</v>
      </c>
      <c r="E224" s="1" t="s">
        <v>752</v>
      </c>
      <c r="F224" s="1" t="s">
        <v>106</v>
      </c>
      <c r="G224" s="1" t="s">
        <v>575</v>
      </c>
      <c r="H224" s="1" t="s">
        <v>1064</v>
      </c>
      <c r="I224" s="1"/>
      <c r="J224" s="1"/>
    </row>
    <row r="225" spans="1:10" hidden="1" x14ac:dyDescent="0.25">
      <c r="A225" s="1" t="s">
        <v>109</v>
      </c>
      <c r="B225" s="1" t="s">
        <v>583</v>
      </c>
      <c r="C225" s="1" t="s">
        <v>499</v>
      </c>
      <c r="D225" s="1" t="s">
        <v>1134</v>
      </c>
      <c r="E225" s="1" t="s">
        <v>753</v>
      </c>
      <c r="F225" s="1" t="s">
        <v>110</v>
      </c>
      <c r="G225" s="1" t="s">
        <v>575</v>
      </c>
      <c r="H225" s="1" t="s">
        <v>1064</v>
      </c>
      <c r="I225" s="1"/>
      <c r="J225" s="1"/>
    </row>
    <row r="226" spans="1:10" hidden="1" x14ac:dyDescent="0.25">
      <c r="A226" s="1" t="s">
        <v>116</v>
      </c>
      <c r="B226" s="1" t="s">
        <v>583</v>
      </c>
      <c r="C226" s="1" t="s">
        <v>511</v>
      </c>
      <c r="D226" s="1" t="s">
        <v>1137</v>
      </c>
      <c r="E226" s="1" t="s">
        <v>755</v>
      </c>
      <c r="F226" s="1" t="s">
        <v>117</v>
      </c>
      <c r="G226" s="1" t="s">
        <v>575</v>
      </c>
      <c r="H226" s="1" t="s">
        <v>1064</v>
      </c>
      <c r="I226" s="1"/>
      <c r="J226" s="1"/>
    </row>
    <row r="227" spans="1:10" hidden="1" x14ac:dyDescent="0.25">
      <c r="A227" s="1" t="s">
        <v>119</v>
      </c>
      <c r="B227" s="1" t="s">
        <v>583</v>
      </c>
      <c r="C227" s="1" t="s">
        <v>523</v>
      </c>
      <c r="D227" s="1" t="s">
        <v>1138</v>
      </c>
      <c r="E227" s="1" t="s">
        <v>756</v>
      </c>
      <c r="F227" s="1" t="s">
        <v>120</v>
      </c>
      <c r="G227" s="1" t="s">
        <v>575</v>
      </c>
      <c r="H227" s="1" t="s">
        <v>1064</v>
      </c>
      <c r="I227" s="1"/>
      <c r="J227" s="1"/>
    </row>
    <row r="228" spans="1:10" hidden="1" x14ac:dyDescent="0.25">
      <c r="A228" s="1" t="s">
        <v>122</v>
      </c>
      <c r="B228" s="1" t="s">
        <v>584</v>
      </c>
      <c r="C228" s="1" t="s">
        <v>535</v>
      </c>
      <c r="D228" s="1" t="s">
        <v>1139</v>
      </c>
      <c r="E228" s="1" t="s">
        <v>757</v>
      </c>
      <c r="F228" s="1" t="s">
        <v>123</v>
      </c>
      <c r="G228" s="1" t="s">
        <v>575</v>
      </c>
      <c r="H228" s="1" t="s">
        <v>1064</v>
      </c>
      <c r="I228" s="1"/>
      <c r="J228" s="1"/>
    </row>
    <row r="229" spans="1:10" hidden="1" x14ac:dyDescent="0.25">
      <c r="A229" s="1" t="s">
        <v>122</v>
      </c>
      <c r="B229" s="1" t="s">
        <v>586</v>
      </c>
      <c r="C229" s="1" t="s">
        <v>540</v>
      </c>
      <c r="D229" s="1" t="s">
        <v>1140</v>
      </c>
      <c r="E229" s="1" t="s">
        <v>758</v>
      </c>
      <c r="F229" s="1" t="s">
        <v>123</v>
      </c>
      <c r="G229" s="1" t="s">
        <v>575</v>
      </c>
      <c r="H229" s="1" t="s">
        <v>1064</v>
      </c>
      <c r="I229" s="1"/>
      <c r="J229" s="1"/>
    </row>
    <row r="230" spans="1:10" hidden="1" x14ac:dyDescent="0.25">
      <c r="A230" s="1" t="s">
        <v>122</v>
      </c>
      <c r="B230" s="1" t="s">
        <v>583</v>
      </c>
      <c r="C230" s="1" t="s">
        <v>542</v>
      </c>
      <c r="D230" s="1" t="s">
        <v>1141</v>
      </c>
      <c r="E230" s="1" t="s">
        <v>759</v>
      </c>
      <c r="F230" s="1" t="s">
        <v>123</v>
      </c>
      <c r="G230" s="1" t="s">
        <v>575</v>
      </c>
      <c r="H230" s="1" t="s">
        <v>1064</v>
      </c>
      <c r="I230" s="1"/>
      <c r="J230" s="1"/>
    </row>
    <row r="231" spans="1:10" hidden="1" x14ac:dyDescent="0.25">
      <c r="A231" s="1" t="s">
        <v>124</v>
      </c>
      <c r="B231" s="1" t="s">
        <v>583</v>
      </c>
      <c r="C231" s="1" t="s">
        <v>544</v>
      </c>
      <c r="D231" s="1" t="s">
        <v>1142</v>
      </c>
      <c r="E231" s="1" t="s">
        <v>760</v>
      </c>
      <c r="F231" s="1" t="s">
        <v>125</v>
      </c>
      <c r="G231" s="1" t="s">
        <v>575</v>
      </c>
      <c r="H231" s="1" t="s">
        <v>1064</v>
      </c>
      <c r="I231" s="1"/>
      <c r="J231" s="1"/>
    </row>
    <row r="232" spans="1:10" hidden="1" x14ac:dyDescent="0.25">
      <c r="A232" s="1" t="s">
        <v>127</v>
      </c>
      <c r="B232" s="1" t="s">
        <v>583</v>
      </c>
      <c r="C232" s="1" t="s">
        <v>545</v>
      </c>
      <c r="D232" s="1" t="s">
        <v>1143</v>
      </c>
      <c r="E232" s="1" t="s">
        <v>761</v>
      </c>
      <c r="F232" s="1" t="s">
        <v>128</v>
      </c>
      <c r="G232" s="1" t="s">
        <v>575</v>
      </c>
      <c r="H232" s="1" t="s">
        <v>1064</v>
      </c>
      <c r="I232" s="1"/>
      <c r="J232" s="1"/>
    </row>
    <row r="233" spans="1:10" hidden="1" x14ac:dyDescent="0.25">
      <c r="A233" s="1" t="s">
        <v>130</v>
      </c>
      <c r="B233" s="1" t="s">
        <v>583</v>
      </c>
      <c r="C233" s="1" t="s">
        <v>546</v>
      </c>
      <c r="D233" s="1" t="s">
        <v>1144</v>
      </c>
      <c r="E233" s="1" t="s">
        <v>762</v>
      </c>
      <c r="F233" s="1" t="s">
        <v>131</v>
      </c>
      <c r="G233" s="1" t="s">
        <v>575</v>
      </c>
      <c r="H233" s="1" t="s">
        <v>1064</v>
      </c>
      <c r="I233" s="1"/>
      <c r="J233" s="1"/>
    </row>
    <row r="234" spans="1:10" hidden="1" x14ac:dyDescent="0.25">
      <c r="A234" s="1" t="s">
        <v>1229</v>
      </c>
      <c r="B234" s="1" t="s">
        <v>583</v>
      </c>
      <c r="C234" s="1" t="s">
        <v>664</v>
      </c>
      <c r="D234" s="1" t="s">
        <v>1239</v>
      </c>
      <c r="E234" s="1" t="s">
        <v>1235</v>
      </c>
      <c r="F234" s="1" t="s">
        <v>1230</v>
      </c>
      <c r="G234" s="1" t="s">
        <v>575</v>
      </c>
      <c r="H234" s="1" t="s">
        <v>1064</v>
      </c>
      <c r="I234" s="1"/>
      <c r="J234" s="1"/>
    </row>
    <row r="235" spans="1:10" hidden="1" x14ac:dyDescent="0.25">
      <c r="A235" s="1" t="s">
        <v>1227</v>
      </c>
      <c r="B235" s="1" t="s">
        <v>586</v>
      </c>
      <c r="C235" s="1" t="s">
        <v>1240</v>
      </c>
      <c r="D235" s="1" t="s">
        <v>1241</v>
      </c>
      <c r="E235" s="1" t="s">
        <v>1236</v>
      </c>
      <c r="F235" s="1" t="s">
        <v>1841</v>
      </c>
      <c r="G235" s="1" t="s">
        <v>575</v>
      </c>
      <c r="H235" s="1" t="s">
        <v>1064</v>
      </c>
      <c r="I235" s="1"/>
      <c r="J235" s="1"/>
    </row>
    <row r="236" spans="1:10" hidden="1" x14ac:dyDescent="0.25">
      <c r="A236" s="1" t="s">
        <v>138</v>
      </c>
      <c r="B236" s="1" t="s">
        <v>583</v>
      </c>
      <c r="C236" s="1" t="s">
        <v>551</v>
      </c>
      <c r="D236" s="1" t="s">
        <v>1148</v>
      </c>
      <c r="E236" s="1" t="s">
        <v>766</v>
      </c>
      <c r="F236" s="1" t="s">
        <v>552</v>
      </c>
      <c r="G236" s="1" t="s">
        <v>575</v>
      </c>
      <c r="H236" s="1" t="s">
        <v>1064</v>
      </c>
      <c r="I236" s="1"/>
      <c r="J236" s="1"/>
    </row>
    <row r="237" spans="1:10" hidden="1" x14ac:dyDescent="0.25">
      <c r="A237" s="1" t="s">
        <v>647</v>
      </c>
      <c r="B237" s="1" t="s">
        <v>583</v>
      </c>
      <c r="C237" s="1" t="s">
        <v>655</v>
      </c>
      <c r="D237" s="1" t="s">
        <v>1149</v>
      </c>
      <c r="E237" s="1" t="s">
        <v>767</v>
      </c>
      <c r="F237" s="1" t="s">
        <v>658</v>
      </c>
      <c r="G237" s="1" t="s">
        <v>575</v>
      </c>
      <c r="H237" s="1" t="s">
        <v>1064</v>
      </c>
      <c r="I237" s="1"/>
      <c r="J237" s="1"/>
    </row>
    <row r="238" spans="1:10" hidden="1" x14ac:dyDescent="0.25">
      <c r="A238" s="1" t="s">
        <v>1171</v>
      </c>
      <c r="B238" s="1" t="s">
        <v>586</v>
      </c>
      <c r="C238" s="1" t="s">
        <v>1186</v>
      </c>
      <c r="D238" s="1" t="s">
        <v>1187</v>
      </c>
      <c r="E238" s="1" t="s">
        <v>1180</v>
      </c>
      <c r="F238" s="1" t="s">
        <v>1176</v>
      </c>
      <c r="G238" s="1" t="s">
        <v>575</v>
      </c>
      <c r="H238" s="1" t="s">
        <v>1064</v>
      </c>
      <c r="I238" s="1"/>
      <c r="J238" s="1"/>
    </row>
    <row r="239" spans="1:10" hidden="1" x14ac:dyDescent="0.25">
      <c r="A239" s="1" t="s">
        <v>1171</v>
      </c>
      <c r="B239" s="1" t="s">
        <v>583</v>
      </c>
      <c r="C239" s="1" t="s">
        <v>1188</v>
      </c>
      <c r="D239" s="1" t="s">
        <v>1189</v>
      </c>
      <c r="E239" s="1" t="s">
        <v>1181</v>
      </c>
      <c r="F239" s="1" t="s">
        <v>1176</v>
      </c>
      <c r="G239" s="1" t="s">
        <v>575</v>
      </c>
      <c r="H239" s="1" t="s">
        <v>1064</v>
      </c>
      <c r="I239" s="1"/>
      <c r="J239" s="1"/>
    </row>
    <row r="240" spans="1:10" hidden="1" x14ac:dyDescent="0.25">
      <c r="A240" s="1" t="s">
        <v>1172</v>
      </c>
      <c r="B240" s="1" t="s">
        <v>584</v>
      </c>
      <c r="C240" s="1" t="s">
        <v>1190</v>
      </c>
      <c r="D240" s="1" t="s">
        <v>1191</v>
      </c>
      <c r="E240" s="1" t="s">
        <v>1182</v>
      </c>
      <c r="F240" s="1" t="s">
        <v>1178</v>
      </c>
      <c r="G240" s="1" t="s">
        <v>575</v>
      </c>
      <c r="H240" s="1" t="s">
        <v>1064</v>
      </c>
      <c r="I240" s="1"/>
      <c r="J240" s="1"/>
    </row>
    <row r="241" spans="1:10" hidden="1" x14ac:dyDescent="0.25">
      <c r="A241" s="1" t="s">
        <v>1172</v>
      </c>
      <c r="B241" s="1" t="s">
        <v>586</v>
      </c>
      <c r="C241" s="1" t="s">
        <v>1192</v>
      </c>
      <c r="D241" s="1" t="s">
        <v>1193</v>
      </c>
      <c r="E241" s="1" t="s">
        <v>1183</v>
      </c>
      <c r="F241" s="1" t="s">
        <v>1178</v>
      </c>
      <c r="G241" s="1" t="s">
        <v>575</v>
      </c>
      <c r="H241" s="1" t="s">
        <v>1064</v>
      </c>
      <c r="I241" s="1"/>
      <c r="J241" s="1"/>
    </row>
    <row r="242" spans="1:10" hidden="1" x14ac:dyDescent="0.25">
      <c r="A242" s="1" t="s">
        <v>1172</v>
      </c>
      <c r="B242" s="1" t="s">
        <v>583</v>
      </c>
      <c r="C242" s="1" t="s">
        <v>1194</v>
      </c>
      <c r="D242" s="1" t="s">
        <v>1195</v>
      </c>
      <c r="E242" s="1" t="s">
        <v>1184</v>
      </c>
      <c r="F242" s="1" t="s">
        <v>1178</v>
      </c>
      <c r="G242" s="1" t="s">
        <v>575</v>
      </c>
      <c r="H242" s="1" t="s">
        <v>1064</v>
      </c>
      <c r="I242" s="1"/>
      <c r="J242" s="1"/>
    </row>
    <row r="243" spans="1:10" hidden="1" x14ac:dyDescent="0.25">
      <c r="A243" s="1" t="s">
        <v>1231</v>
      </c>
      <c r="B243" s="1" t="s">
        <v>586</v>
      </c>
      <c r="C243" s="1" t="s">
        <v>1244</v>
      </c>
      <c r="D243" s="1" t="s">
        <v>1245</v>
      </c>
      <c r="E243" s="1" t="s">
        <v>1237</v>
      </c>
      <c r="F243" s="1" t="s">
        <v>1232</v>
      </c>
      <c r="G243" s="1" t="s">
        <v>575</v>
      </c>
      <c r="H243" s="1" t="s">
        <v>1064</v>
      </c>
      <c r="I243" s="1"/>
      <c r="J243" s="1"/>
    </row>
    <row r="244" spans="1:10" hidden="1" x14ac:dyDescent="0.25">
      <c r="A244" s="1" t="s">
        <v>1231</v>
      </c>
      <c r="B244" s="1" t="s">
        <v>583</v>
      </c>
      <c r="C244" s="1" t="s">
        <v>1246</v>
      </c>
      <c r="D244" s="1" t="s">
        <v>1247</v>
      </c>
      <c r="E244" s="1" t="s">
        <v>1238</v>
      </c>
      <c r="F244" s="1" t="s">
        <v>1232</v>
      </c>
      <c r="G244" s="1" t="s">
        <v>575</v>
      </c>
      <c r="H244" s="1" t="s">
        <v>1064</v>
      </c>
      <c r="I244" s="1"/>
      <c r="J244" s="1"/>
    </row>
    <row r="245" spans="1:10" hidden="1" x14ac:dyDescent="0.25">
      <c r="A245" s="1" t="s">
        <v>1348</v>
      </c>
      <c r="B245" s="1" t="s">
        <v>583</v>
      </c>
      <c r="C245" s="1" t="s">
        <v>1349</v>
      </c>
      <c r="D245" s="1" t="s">
        <v>1350</v>
      </c>
      <c r="E245" s="1" t="s">
        <v>1351</v>
      </c>
      <c r="F245" s="1" t="s">
        <v>1418</v>
      </c>
      <c r="G245" s="1" t="s">
        <v>575</v>
      </c>
      <c r="H245" s="1" t="s">
        <v>1064</v>
      </c>
      <c r="I245" s="1"/>
      <c r="J245" s="1"/>
    </row>
    <row r="246" spans="1:10" hidden="1" x14ac:dyDescent="0.25">
      <c r="A246" s="1" t="s">
        <v>112</v>
      </c>
      <c r="B246" s="1" t="s">
        <v>583</v>
      </c>
      <c r="C246" s="1" t="s">
        <v>526</v>
      </c>
      <c r="D246" s="1" t="s">
        <v>1150</v>
      </c>
      <c r="E246" s="1" t="s">
        <v>768</v>
      </c>
      <c r="F246" s="1" t="s">
        <v>653</v>
      </c>
      <c r="G246" s="1" t="s">
        <v>575</v>
      </c>
      <c r="H246" s="1" t="s">
        <v>1064</v>
      </c>
      <c r="I246" s="1"/>
      <c r="J246" s="1"/>
    </row>
    <row r="247" spans="1:10" hidden="1" x14ac:dyDescent="0.25">
      <c r="A247" s="1" t="s">
        <v>648</v>
      </c>
      <c r="B247" s="1" t="s">
        <v>583</v>
      </c>
      <c r="C247" s="1" t="s">
        <v>654</v>
      </c>
      <c r="D247" s="1" t="s">
        <v>1151</v>
      </c>
      <c r="E247" s="1" t="s">
        <v>769</v>
      </c>
      <c r="F247" s="1" t="s">
        <v>113</v>
      </c>
      <c r="G247" s="1" t="s">
        <v>575</v>
      </c>
      <c r="H247" s="1" t="s">
        <v>1064</v>
      </c>
      <c r="I247" s="1"/>
      <c r="J247" s="1"/>
    </row>
    <row r="248" spans="1:10" hidden="1" x14ac:dyDescent="0.25">
      <c r="A248" s="1" t="s">
        <v>692</v>
      </c>
      <c r="B248" s="1" t="s">
        <v>583</v>
      </c>
      <c r="C248" s="1" t="s">
        <v>678</v>
      </c>
      <c r="D248" s="1" t="s">
        <v>1152</v>
      </c>
      <c r="E248" s="1" t="s">
        <v>770</v>
      </c>
      <c r="F248" s="1" t="s">
        <v>679</v>
      </c>
      <c r="G248" s="1" t="s">
        <v>575</v>
      </c>
      <c r="H248" s="1" t="s">
        <v>1064</v>
      </c>
      <c r="I248" s="1"/>
      <c r="J248" s="1"/>
    </row>
    <row r="249" spans="1:10" hidden="1" x14ac:dyDescent="0.25">
      <c r="A249" s="1" t="s">
        <v>1216</v>
      </c>
      <c r="B249" s="1" t="s">
        <v>583</v>
      </c>
      <c r="C249" s="1" t="s">
        <v>1220</v>
      </c>
      <c r="D249" s="1" t="s">
        <v>1221</v>
      </c>
      <c r="E249" s="1" t="s">
        <v>1219</v>
      </c>
      <c r="F249" s="1" t="s">
        <v>1217</v>
      </c>
      <c r="G249" s="1" t="s">
        <v>575</v>
      </c>
      <c r="H249" s="1" t="s">
        <v>1064</v>
      </c>
      <c r="I249" s="1"/>
      <c r="J249" s="1"/>
    </row>
    <row r="250" spans="1:10" hidden="1" x14ac:dyDescent="0.25">
      <c r="A250" s="1" t="s">
        <v>1669</v>
      </c>
      <c r="B250" s="1" t="s">
        <v>583</v>
      </c>
      <c r="C250" s="1" t="s">
        <v>1681</v>
      </c>
      <c r="D250" s="1" t="s">
        <v>1682</v>
      </c>
      <c r="E250" s="1" t="s">
        <v>1670</v>
      </c>
      <c r="F250" s="1" t="s">
        <v>1435</v>
      </c>
      <c r="G250" s="1" t="s">
        <v>575</v>
      </c>
      <c r="H250" s="1" t="s">
        <v>1064</v>
      </c>
      <c r="I250" s="1"/>
      <c r="J250" s="1"/>
    </row>
    <row r="251" spans="1:10" hidden="1" x14ac:dyDescent="0.25">
      <c r="A251" s="1" t="s">
        <v>1671</v>
      </c>
      <c r="B251" s="1" t="s">
        <v>583</v>
      </c>
      <c r="C251" s="1" t="s">
        <v>1683</v>
      </c>
      <c r="D251" s="1" t="s">
        <v>1684</v>
      </c>
      <c r="E251" s="1" t="s">
        <v>1672</v>
      </c>
      <c r="F251" s="1" t="s">
        <v>1436</v>
      </c>
      <c r="G251" s="1" t="s">
        <v>575</v>
      </c>
      <c r="H251" s="1" t="s">
        <v>1064</v>
      </c>
      <c r="I251" s="1"/>
      <c r="J251" s="1"/>
    </row>
    <row r="252" spans="1:10" hidden="1" x14ac:dyDescent="0.25">
      <c r="A252" s="1" t="s">
        <v>1673</v>
      </c>
      <c r="B252" s="1" t="s">
        <v>583</v>
      </c>
      <c r="C252" s="1" t="s">
        <v>1685</v>
      </c>
      <c r="D252" s="1" t="s">
        <v>1686</v>
      </c>
      <c r="E252" s="1" t="s">
        <v>1674</v>
      </c>
      <c r="F252" s="1" t="s">
        <v>1437</v>
      </c>
      <c r="G252" s="1" t="s">
        <v>575</v>
      </c>
      <c r="H252" s="1" t="s">
        <v>1064</v>
      </c>
      <c r="I252" s="1"/>
      <c r="J252" s="1"/>
    </row>
    <row r="253" spans="1:10" hidden="1" x14ac:dyDescent="0.25">
      <c r="A253" s="1" t="s">
        <v>1848</v>
      </c>
      <c r="B253" s="1" t="s">
        <v>583</v>
      </c>
      <c r="C253" s="1" t="s">
        <v>1878</v>
      </c>
      <c r="D253" s="1" t="s">
        <v>1879</v>
      </c>
      <c r="E253" s="1" t="s">
        <v>1849</v>
      </c>
      <c r="F253" s="1" t="s">
        <v>1871</v>
      </c>
      <c r="G253" s="1" t="s">
        <v>575</v>
      </c>
      <c r="H253" s="1" t="s">
        <v>1064</v>
      </c>
      <c r="I253" s="1"/>
      <c r="J253" s="1"/>
    </row>
    <row r="254" spans="1:10" hidden="1" x14ac:dyDescent="0.25">
      <c r="A254" s="1" t="s">
        <v>1850</v>
      </c>
      <c r="B254" s="1" t="s">
        <v>583</v>
      </c>
      <c r="C254" s="1" t="s">
        <v>1880</v>
      </c>
      <c r="D254" s="1" t="s">
        <v>1881</v>
      </c>
      <c r="E254" s="1" t="s">
        <v>1851</v>
      </c>
      <c r="F254" s="1" t="s">
        <v>1872</v>
      </c>
      <c r="G254" s="1" t="s">
        <v>1907</v>
      </c>
      <c r="H254" s="1" t="s">
        <v>1064</v>
      </c>
      <c r="I254" s="1"/>
      <c r="J254" s="1"/>
    </row>
    <row r="255" spans="1:10" hidden="1" x14ac:dyDescent="0.25">
      <c r="A255" s="1" t="s">
        <v>1852</v>
      </c>
      <c r="B255" s="1" t="s">
        <v>583</v>
      </c>
      <c r="C255" s="1" t="s">
        <v>1882</v>
      </c>
      <c r="D255" s="1" t="s">
        <v>1883</v>
      </c>
      <c r="E255" s="1" t="s">
        <v>1853</v>
      </c>
      <c r="F255" s="1" t="s">
        <v>1873</v>
      </c>
      <c r="G255" s="1" t="s">
        <v>575</v>
      </c>
      <c r="H255" s="1" t="s">
        <v>1064</v>
      </c>
      <c r="I255" s="1"/>
      <c r="J255" s="1"/>
    </row>
    <row r="256" spans="1:10" hidden="1" x14ac:dyDescent="0.25">
      <c r="A256" s="1" t="s">
        <v>1854</v>
      </c>
      <c r="B256" s="1" t="s">
        <v>583</v>
      </c>
      <c r="C256" s="1" t="s">
        <v>1902</v>
      </c>
      <c r="D256" s="1" t="s">
        <v>1943</v>
      </c>
      <c r="E256" s="1" t="s">
        <v>1855</v>
      </c>
      <c r="F256" s="1" t="s">
        <v>1962</v>
      </c>
      <c r="G256" s="1" t="s">
        <v>575</v>
      </c>
      <c r="H256" s="1" t="s">
        <v>1064</v>
      </c>
      <c r="I256" s="1"/>
      <c r="J256" s="1"/>
    </row>
    <row r="257" spans="1:10" hidden="1" x14ac:dyDescent="0.25">
      <c r="A257" s="1" t="s">
        <v>1856</v>
      </c>
      <c r="B257" s="1" t="s">
        <v>583</v>
      </c>
      <c r="C257" s="1" t="s">
        <v>1903</v>
      </c>
      <c r="D257" s="1" t="s">
        <v>1944</v>
      </c>
      <c r="E257" s="1" t="s">
        <v>1857</v>
      </c>
      <c r="F257" s="1" t="s">
        <v>1874</v>
      </c>
      <c r="G257" s="1" t="s">
        <v>575</v>
      </c>
      <c r="H257" s="1" t="s">
        <v>1064</v>
      </c>
      <c r="I257" s="1"/>
      <c r="J257" s="1"/>
    </row>
    <row r="258" spans="1:10" hidden="1" x14ac:dyDescent="0.25">
      <c r="A258" s="1" t="s">
        <v>1858</v>
      </c>
      <c r="B258" s="1" t="s">
        <v>583</v>
      </c>
      <c r="C258" s="1" t="s">
        <v>1884</v>
      </c>
      <c r="D258" s="1" t="s">
        <v>1885</v>
      </c>
      <c r="E258" s="1" t="s">
        <v>1859</v>
      </c>
      <c r="F258" s="1" t="s">
        <v>4765</v>
      </c>
      <c r="G258" s="1" t="s">
        <v>575</v>
      </c>
      <c r="H258" s="1" t="s">
        <v>1064</v>
      </c>
      <c r="I258" s="1"/>
      <c r="J258" s="1"/>
    </row>
    <row r="259" spans="1:10" hidden="1" x14ac:dyDescent="0.25">
      <c r="A259" s="1" t="s">
        <v>1860</v>
      </c>
      <c r="B259" s="1" t="s">
        <v>583</v>
      </c>
      <c r="C259" s="1" t="s">
        <v>1886</v>
      </c>
      <c r="D259" s="1" t="s">
        <v>1887</v>
      </c>
      <c r="E259" s="1" t="s">
        <v>1861</v>
      </c>
      <c r="F259" s="1" t="s">
        <v>4148</v>
      </c>
      <c r="G259" s="1" t="s">
        <v>575</v>
      </c>
      <c r="H259" s="1" t="s">
        <v>1064</v>
      </c>
      <c r="I259" s="1"/>
      <c r="J259" s="1"/>
    </row>
    <row r="260" spans="1:10" hidden="1" x14ac:dyDescent="0.25">
      <c r="A260" s="1" t="s">
        <v>1862</v>
      </c>
      <c r="B260" s="1" t="s">
        <v>583</v>
      </c>
      <c r="C260" s="1" t="s">
        <v>1888</v>
      </c>
      <c r="D260" s="1" t="s">
        <v>1889</v>
      </c>
      <c r="E260" s="1" t="s">
        <v>1863</v>
      </c>
      <c r="F260" s="1" t="s">
        <v>1875</v>
      </c>
      <c r="G260" s="1" t="s">
        <v>575</v>
      </c>
      <c r="H260" s="1" t="s">
        <v>1064</v>
      </c>
      <c r="I260" s="1"/>
      <c r="J260" s="1"/>
    </row>
    <row r="261" spans="1:10" hidden="1" x14ac:dyDescent="0.25">
      <c r="A261" s="1" t="s">
        <v>1864</v>
      </c>
      <c r="B261" s="1" t="s">
        <v>583</v>
      </c>
      <c r="C261" s="1" t="s">
        <v>1890</v>
      </c>
      <c r="D261" s="1" t="s">
        <v>1891</v>
      </c>
      <c r="E261" s="1" t="s">
        <v>1865</v>
      </c>
      <c r="F261" s="1" t="s">
        <v>1876</v>
      </c>
      <c r="G261" s="1" t="s">
        <v>575</v>
      </c>
      <c r="H261" s="1" t="s">
        <v>1064</v>
      </c>
      <c r="I261" s="1"/>
      <c r="J261" s="1"/>
    </row>
    <row r="262" spans="1:10" hidden="1" x14ac:dyDescent="0.25">
      <c r="A262" s="1" t="s">
        <v>1866</v>
      </c>
      <c r="B262" s="1" t="s">
        <v>583</v>
      </c>
      <c r="C262" s="1" t="s">
        <v>1892</v>
      </c>
      <c r="D262" s="1" t="s">
        <v>1893</v>
      </c>
      <c r="E262" s="1" t="s">
        <v>1867</v>
      </c>
      <c r="F262" s="1" t="s">
        <v>4149</v>
      </c>
      <c r="G262" s="1" t="s">
        <v>575</v>
      </c>
      <c r="H262" s="1" t="s">
        <v>1064</v>
      </c>
      <c r="I262" s="1"/>
      <c r="J262" s="1"/>
    </row>
    <row r="263" spans="1:10" hidden="1" x14ac:dyDescent="0.25">
      <c r="A263" s="1" t="s">
        <v>1868</v>
      </c>
      <c r="B263" s="1" t="s">
        <v>583</v>
      </c>
      <c r="C263" s="1" t="s">
        <v>1894</v>
      </c>
      <c r="D263" s="1" t="s">
        <v>1895</v>
      </c>
      <c r="E263" s="1" t="s">
        <v>1869</v>
      </c>
      <c r="F263" s="1" t="s">
        <v>1877</v>
      </c>
      <c r="G263" s="1" t="s">
        <v>575</v>
      </c>
      <c r="H263" s="1" t="s">
        <v>1064</v>
      </c>
      <c r="I263" s="1"/>
      <c r="J263" s="1"/>
    </row>
    <row r="264" spans="1:10" hidden="1" x14ac:dyDescent="0.25">
      <c r="A264" s="1" t="s">
        <v>1702</v>
      </c>
      <c r="B264" s="1" t="s">
        <v>583</v>
      </c>
      <c r="C264" s="1" t="s">
        <v>1732</v>
      </c>
      <c r="D264" s="1" t="s">
        <v>1733</v>
      </c>
      <c r="E264" s="1" t="s">
        <v>1734</v>
      </c>
      <c r="F264" s="1" t="s">
        <v>1703</v>
      </c>
      <c r="G264" s="1"/>
      <c r="H264" s="1" t="s">
        <v>1064</v>
      </c>
      <c r="I264" s="1"/>
      <c r="J264" s="1"/>
    </row>
    <row r="265" spans="1:10" hidden="1" x14ac:dyDescent="0.25">
      <c r="A265" s="1" t="s">
        <v>1702</v>
      </c>
      <c r="B265" s="1" t="s">
        <v>583</v>
      </c>
      <c r="C265" s="1" t="s">
        <v>1735</v>
      </c>
      <c r="D265" s="1" t="s">
        <v>1736</v>
      </c>
      <c r="E265" s="1" t="s">
        <v>1734</v>
      </c>
      <c r="F265" s="1" t="s">
        <v>1703</v>
      </c>
      <c r="G265" s="1"/>
      <c r="H265" s="1" t="s">
        <v>1064</v>
      </c>
      <c r="I265" s="1"/>
      <c r="J265" s="1"/>
    </row>
    <row r="266" spans="1:10" hidden="1" x14ac:dyDescent="0.25">
      <c r="A266" s="1" t="s">
        <v>1702</v>
      </c>
      <c r="B266" s="1" t="s">
        <v>583</v>
      </c>
      <c r="C266" s="1" t="s">
        <v>1737</v>
      </c>
      <c r="D266" s="1" t="s">
        <v>1738</v>
      </c>
      <c r="E266" s="1" t="s">
        <v>1734</v>
      </c>
      <c r="F266" s="1" t="s">
        <v>1703</v>
      </c>
      <c r="G266" s="1"/>
      <c r="H266" s="1" t="s">
        <v>1064</v>
      </c>
      <c r="I266" s="1"/>
      <c r="J266" s="1"/>
    </row>
    <row r="267" spans="1:10" hidden="1" x14ac:dyDescent="0.25">
      <c r="A267" s="1" t="s">
        <v>1702</v>
      </c>
      <c r="B267" s="1" t="s">
        <v>583</v>
      </c>
      <c r="C267" s="1" t="s">
        <v>1739</v>
      </c>
      <c r="D267" s="1" t="s">
        <v>1740</v>
      </c>
      <c r="E267" s="1" t="s">
        <v>1734</v>
      </c>
      <c r="F267" s="1" t="s">
        <v>1703</v>
      </c>
      <c r="G267" s="1"/>
      <c r="H267" s="1" t="s">
        <v>1064</v>
      </c>
      <c r="I267" s="1"/>
      <c r="J267" s="1"/>
    </row>
    <row r="268" spans="1:10" hidden="1" x14ac:dyDescent="0.25">
      <c r="A268" s="1" t="s">
        <v>1702</v>
      </c>
      <c r="B268" s="1" t="s">
        <v>583</v>
      </c>
      <c r="C268" s="1" t="s">
        <v>1741</v>
      </c>
      <c r="D268" s="1" t="s">
        <v>1742</v>
      </c>
      <c r="E268" s="1" t="s">
        <v>1734</v>
      </c>
      <c r="F268" s="1" t="s">
        <v>1703</v>
      </c>
      <c r="G268" s="1"/>
      <c r="H268" s="1" t="s">
        <v>1064</v>
      </c>
      <c r="I268" s="1"/>
      <c r="J268" s="1"/>
    </row>
    <row r="269" spans="1:10" hidden="1" x14ac:dyDescent="0.25">
      <c r="A269" s="1" t="s">
        <v>1702</v>
      </c>
      <c r="B269" s="1" t="s">
        <v>583</v>
      </c>
      <c r="C269" s="1" t="s">
        <v>1743</v>
      </c>
      <c r="D269" s="1" t="s">
        <v>1744</v>
      </c>
      <c r="E269" s="1" t="s">
        <v>1734</v>
      </c>
      <c r="F269" s="1" t="s">
        <v>1703</v>
      </c>
      <c r="G269" s="1"/>
      <c r="H269" s="1" t="s">
        <v>1064</v>
      </c>
      <c r="I269" s="1"/>
      <c r="J269" s="1"/>
    </row>
    <row r="270" spans="1:10" hidden="1" x14ac:dyDescent="0.25">
      <c r="A270" s="1" t="s">
        <v>1702</v>
      </c>
      <c r="B270" s="1" t="s">
        <v>583</v>
      </c>
      <c r="C270" s="1" t="s">
        <v>1745</v>
      </c>
      <c r="D270" s="1" t="s">
        <v>1746</v>
      </c>
      <c r="E270" s="1" t="s">
        <v>1734</v>
      </c>
      <c r="F270" s="1" t="s">
        <v>1703</v>
      </c>
      <c r="G270" s="1"/>
      <c r="H270" s="1" t="s">
        <v>1064</v>
      </c>
      <c r="I270" s="1"/>
      <c r="J270" s="1"/>
    </row>
    <row r="271" spans="1:10" hidden="1" x14ac:dyDescent="0.25">
      <c r="A271" s="1" t="s">
        <v>1702</v>
      </c>
      <c r="B271" s="1" t="s">
        <v>583</v>
      </c>
      <c r="C271" s="1" t="s">
        <v>1747</v>
      </c>
      <c r="D271" s="1" t="s">
        <v>1748</v>
      </c>
      <c r="E271" s="1" t="s">
        <v>1734</v>
      </c>
      <c r="F271" s="1" t="s">
        <v>1703</v>
      </c>
      <c r="G271" s="1"/>
      <c r="H271" s="1" t="s">
        <v>1064</v>
      </c>
      <c r="I271" s="1"/>
      <c r="J271" s="1"/>
    </row>
    <row r="272" spans="1:10" hidden="1" x14ac:dyDescent="0.25">
      <c r="A272" s="1" t="s">
        <v>1702</v>
      </c>
      <c r="B272" s="1" t="s">
        <v>583</v>
      </c>
      <c r="C272" s="1" t="s">
        <v>1749</v>
      </c>
      <c r="D272" s="1" t="s">
        <v>1750</v>
      </c>
      <c r="E272" s="1" t="s">
        <v>1734</v>
      </c>
      <c r="F272" s="1" t="s">
        <v>1703</v>
      </c>
      <c r="G272" s="1"/>
      <c r="H272" s="1" t="s">
        <v>1064</v>
      </c>
      <c r="I272" s="1"/>
      <c r="J272" s="1"/>
    </row>
    <row r="273" spans="1:10" hidden="1" x14ac:dyDescent="0.25">
      <c r="A273" s="1" t="s">
        <v>1702</v>
      </c>
      <c r="B273" s="1" t="s">
        <v>583</v>
      </c>
      <c r="C273" s="1" t="s">
        <v>1751</v>
      </c>
      <c r="D273" s="1" t="s">
        <v>1752</v>
      </c>
      <c r="E273" s="1" t="s">
        <v>1734</v>
      </c>
      <c r="F273" s="1" t="s">
        <v>1703</v>
      </c>
      <c r="G273" s="1"/>
      <c r="H273" s="1" t="s">
        <v>1064</v>
      </c>
      <c r="I273" s="1"/>
      <c r="J273" s="1"/>
    </row>
    <row r="274" spans="1:10" hidden="1" x14ac:dyDescent="0.25">
      <c r="A274" s="1" t="s">
        <v>1702</v>
      </c>
      <c r="B274" s="1" t="s">
        <v>583</v>
      </c>
      <c r="C274" s="1" t="s">
        <v>1753</v>
      </c>
      <c r="D274" s="1" t="s">
        <v>1754</v>
      </c>
      <c r="E274" s="1" t="s">
        <v>1734</v>
      </c>
      <c r="F274" s="1" t="s">
        <v>1703</v>
      </c>
      <c r="G274" s="1"/>
      <c r="H274" s="1" t="s">
        <v>1064</v>
      </c>
      <c r="I274" s="1"/>
      <c r="J274" s="1"/>
    </row>
    <row r="275" spans="1:10" hidden="1" x14ac:dyDescent="0.25">
      <c r="A275" s="1" t="s">
        <v>1702</v>
      </c>
      <c r="B275" s="1" t="s">
        <v>583</v>
      </c>
      <c r="C275" s="1" t="s">
        <v>1755</v>
      </c>
      <c r="D275" s="1" t="s">
        <v>1756</v>
      </c>
      <c r="E275" s="1" t="s">
        <v>1734</v>
      </c>
      <c r="F275" s="1" t="s">
        <v>1703</v>
      </c>
      <c r="G275" s="1"/>
      <c r="H275" s="1" t="s">
        <v>1064</v>
      </c>
      <c r="I275" s="1"/>
      <c r="J275" s="1"/>
    </row>
    <row r="276" spans="1:10" hidden="1" x14ac:dyDescent="0.25">
      <c r="A276" s="1" t="s">
        <v>1702</v>
      </c>
      <c r="B276" s="1" t="s">
        <v>583</v>
      </c>
      <c r="C276" s="1" t="s">
        <v>1757</v>
      </c>
      <c r="D276" s="1" t="s">
        <v>1758</v>
      </c>
      <c r="E276" s="1" t="s">
        <v>1734</v>
      </c>
      <c r="F276" s="1" t="s">
        <v>1703</v>
      </c>
      <c r="G276" s="1"/>
      <c r="H276" s="1" t="s">
        <v>1064</v>
      </c>
      <c r="I276" s="1"/>
      <c r="J276" s="1"/>
    </row>
    <row r="277" spans="1:10" hidden="1" x14ac:dyDescent="0.25">
      <c r="A277" s="1" t="s">
        <v>1702</v>
      </c>
      <c r="B277" s="1" t="s">
        <v>583</v>
      </c>
      <c r="C277" s="1" t="s">
        <v>1783</v>
      </c>
      <c r="D277" s="1" t="s">
        <v>1786</v>
      </c>
      <c r="E277" s="1" t="s">
        <v>1734</v>
      </c>
      <c r="F277" s="1" t="s">
        <v>1703</v>
      </c>
      <c r="G277" s="1"/>
      <c r="H277" s="1" t="s">
        <v>1064</v>
      </c>
      <c r="I277" s="1"/>
      <c r="J277" s="1"/>
    </row>
    <row r="278" spans="1:10" hidden="1" x14ac:dyDescent="0.25">
      <c r="A278" s="1" t="s">
        <v>1702</v>
      </c>
      <c r="B278" s="1" t="s">
        <v>583</v>
      </c>
      <c r="C278" s="1" t="s">
        <v>1968</v>
      </c>
      <c r="D278" s="1" t="s">
        <v>2361</v>
      </c>
      <c r="E278" s="1" t="s">
        <v>1734</v>
      </c>
      <c r="F278" s="1" t="s">
        <v>1703</v>
      </c>
      <c r="G278" s="1"/>
      <c r="H278" s="1" t="s">
        <v>1064</v>
      </c>
      <c r="I278" s="1"/>
      <c r="J278" s="1"/>
    </row>
    <row r="279" spans="1:10" hidden="1" x14ac:dyDescent="0.25">
      <c r="A279" s="1" t="s">
        <v>1702</v>
      </c>
      <c r="B279" s="1" t="s">
        <v>583</v>
      </c>
      <c r="C279" s="1" t="s">
        <v>1970</v>
      </c>
      <c r="D279" s="1" t="s">
        <v>2362</v>
      </c>
      <c r="E279" s="1" t="s">
        <v>1734</v>
      </c>
      <c r="F279" s="1" t="s">
        <v>1703</v>
      </c>
      <c r="G279" s="1"/>
      <c r="H279" s="1" t="s">
        <v>1064</v>
      </c>
      <c r="I279" s="1"/>
      <c r="J279" s="1"/>
    </row>
    <row r="280" spans="1:10" hidden="1" x14ac:dyDescent="0.25">
      <c r="A280" s="1" t="s">
        <v>1702</v>
      </c>
      <c r="B280" s="1" t="s">
        <v>583</v>
      </c>
      <c r="C280" s="1" t="s">
        <v>1972</v>
      </c>
      <c r="D280" s="1" t="s">
        <v>2363</v>
      </c>
      <c r="E280" s="1" t="s">
        <v>1734</v>
      </c>
      <c r="F280" s="1" t="s">
        <v>1703</v>
      </c>
      <c r="G280" s="1"/>
      <c r="H280" s="1" t="s">
        <v>1064</v>
      </c>
      <c r="I280" s="1"/>
      <c r="J280" s="1"/>
    </row>
    <row r="281" spans="1:10" hidden="1" x14ac:dyDescent="0.25">
      <c r="A281" s="1" t="s">
        <v>1702</v>
      </c>
      <c r="B281" s="1" t="s">
        <v>583</v>
      </c>
      <c r="C281" s="1" t="s">
        <v>1975</v>
      </c>
      <c r="D281" s="1" t="s">
        <v>2364</v>
      </c>
      <c r="E281" s="1" t="s">
        <v>1734</v>
      </c>
      <c r="F281" s="1" t="s">
        <v>1703</v>
      </c>
      <c r="G281" s="1"/>
      <c r="H281" s="1" t="s">
        <v>1064</v>
      </c>
      <c r="I281" s="1"/>
      <c r="J281" s="1"/>
    </row>
    <row r="282" spans="1:10" hidden="1" x14ac:dyDescent="0.25">
      <c r="A282" s="1" t="s">
        <v>1702</v>
      </c>
      <c r="B282" s="1" t="s">
        <v>583</v>
      </c>
      <c r="C282" s="1" t="s">
        <v>1976</v>
      </c>
      <c r="D282" s="1" t="s">
        <v>2365</v>
      </c>
      <c r="E282" s="1" t="s">
        <v>1734</v>
      </c>
      <c r="F282" s="1" t="s">
        <v>1703</v>
      </c>
      <c r="G282" s="1"/>
      <c r="H282" s="1" t="s">
        <v>1064</v>
      </c>
      <c r="I282" s="1"/>
      <c r="J282" s="1"/>
    </row>
    <row r="283" spans="1:10" hidden="1" x14ac:dyDescent="0.25">
      <c r="A283" s="1" t="s">
        <v>1702</v>
      </c>
      <c r="B283" s="1" t="s">
        <v>583</v>
      </c>
      <c r="C283" s="1" t="s">
        <v>1977</v>
      </c>
      <c r="D283" s="1" t="s">
        <v>2366</v>
      </c>
      <c r="E283" s="1" t="s">
        <v>1734</v>
      </c>
      <c r="F283" s="1" t="s">
        <v>1703</v>
      </c>
      <c r="G283" s="1"/>
      <c r="H283" s="1" t="s">
        <v>1064</v>
      </c>
      <c r="I283" s="1"/>
      <c r="J283" s="1"/>
    </row>
    <row r="284" spans="1:10" hidden="1" x14ac:dyDescent="0.25">
      <c r="A284" s="1" t="s">
        <v>1702</v>
      </c>
      <c r="B284" s="1" t="s">
        <v>583</v>
      </c>
      <c r="C284" s="1" t="s">
        <v>1978</v>
      </c>
      <c r="D284" s="1" t="s">
        <v>2367</v>
      </c>
      <c r="E284" s="1" t="s">
        <v>1734</v>
      </c>
      <c r="F284" s="1" t="s">
        <v>1703</v>
      </c>
      <c r="G284" s="1"/>
      <c r="H284" s="1" t="s">
        <v>1064</v>
      </c>
      <c r="I284" s="1"/>
      <c r="J284" s="1"/>
    </row>
    <row r="285" spans="1:10" hidden="1" x14ac:dyDescent="0.25">
      <c r="A285" s="1" t="s">
        <v>1702</v>
      </c>
      <c r="B285" s="1" t="s">
        <v>583</v>
      </c>
      <c r="C285" s="1" t="s">
        <v>1979</v>
      </c>
      <c r="D285" s="1" t="s">
        <v>2368</v>
      </c>
      <c r="E285" s="1" t="s">
        <v>1734</v>
      </c>
      <c r="F285" s="1" t="s">
        <v>1703</v>
      </c>
      <c r="G285" s="1"/>
      <c r="H285" s="1" t="s">
        <v>1064</v>
      </c>
      <c r="I285" s="1"/>
      <c r="J285" s="1"/>
    </row>
    <row r="286" spans="1:10" hidden="1" x14ac:dyDescent="0.25">
      <c r="A286" s="1" t="s">
        <v>1702</v>
      </c>
      <c r="B286" s="1" t="s">
        <v>583</v>
      </c>
      <c r="C286" s="1" t="s">
        <v>1980</v>
      </c>
      <c r="D286" s="1" t="s">
        <v>2369</v>
      </c>
      <c r="E286" s="1" t="s">
        <v>1734</v>
      </c>
      <c r="F286" s="1" t="s">
        <v>1703</v>
      </c>
      <c r="G286" s="1"/>
      <c r="H286" s="1" t="s">
        <v>1064</v>
      </c>
      <c r="I286" s="1"/>
      <c r="J286" s="1"/>
    </row>
    <row r="287" spans="1:10" hidden="1" x14ac:dyDescent="0.25">
      <c r="A287" s="1" t="s">
        <v>645</v>
      </c>
      <c r="B287" s="1" t="s">
        <v>586</v>
      </c>
      <c r="C287" s="1" t="s">
        <v>690</v>
      </c>
      <c r="D287" s="1" t="s">
        <v>1145</v>
      </c>
      <c r="E287" s="1" t="s">
        <v>763</v>
      </c>
      <c r="F287" s="1" t="s">
        <v>133</v>
      </c>
      <c r="G287" s="1" t="s">
        <v>575</v>
      </c>
      <c r="H287" s="1" t="s">
        <v>1064</v>
      </c>
      <c r="I287" s="1"/>
      <c r="J287" s="1"/>
    </row>
    <row r="288" spans="1:10" hidden="1" x14ac:dyDescent="0.25">
      <c r="A288" s="1" t="s">
        <v>645</v>
      </c>
      <c r="B288" s="1" t="s">
        <v>583</v>
      </c>
      <c r="C288" s="1" t="s">
        <v>691</v>
      </c>
      <c r="D288" s="1" t="s">
        <v>1146</v>
      </c>
      <c r="E288" s="1" t="s">
        <v>764</v>
      </c>
      <c r="F288" s="1" t="s">
        <v>133</v>
      </c>
      <c r="G288" s="1" t="s">
        <v>575</v>
      </c>
      <c r="H288" s="1" t="s">
        <v>1064</v>
      </c>
      <c r="I288" s="1"/>
      <c r="J288" s="1"/>
    </row>
    <row r="289" spans="1:10" hidden="1" x14ac:dyDescent="0.25">
      <c r="A289" s="1" t="s">
        <v>646</v>
      </c>
      <c r="B289" s="1" t="s">
        <v>583</v>
      </c>
      <c r="C289" s="1" t="s">
        <v>657</v>
      </c>
      <c r="D289" s="1" t="s">
        <v>1147</v>
      </c>
      <c r="E289" s="1" t="s">
        <v>765</v>
      </c>
      <c r="F289" s="1" t="s">
        <v>136</v>
      </c>
      <c r="G289" s="1" t="s">
        <v>575</v>
      </c>
      <c r="H289" s="1" t="s">
        <v>1064</v>
      </c>
      <c r="I289" s="1"/>
      <c r="J289" s="1"/>
    </row>
    <row r="290" spans="1:10" hidden="1" x14ac:dyDescent="0.25">
      <c r="A290" s="1" t="s">
        <v>1352</v>
      </c>
      <c r="B290" s="1" t="s">
        <v>586</v>
      </c>
      <c r="C290" s="1" t="s">
        <v>1353</v>
      </c>
      <c r="D290" s="1" t="s">
        <v>1354</v>
      </c>
      <c r="E290" s="1" t="s">
        <v>1355</v>
      </c>
      <c r="F290" s="1" t="s">
        <v>1419</v>
      </c>
      <c r="G290" s="1" t="s">
        <v>575</v>
      </c>
      <c r="H290" s="1" t="s">
        <v>1064</v>
      </c>
      <c r="I290" s="1"/>
      <c r="J290" s="1"/>
    </row>
    <row r="291" spans="1:10" hidden="1" x14ac:dyDescent="0.25">
      <c r="A291" s="1" t="s">
        <v>1352</v>
      </c>
      <c r="B291" s="1" t="s">
        <v>583</v>
      </c>
      <c r="C291" s="1" t="s">
        <v>1356</v>
      </c>
      <c r="D291" s="1" t="s">
        <v>1357</v>
      </c>
      <c r="E291" s="1" t="s">
        <v>1358</v>
      </c>
      <c r="F291" s="1" t="s">
        <v>1419</v>
      </c>
      <c r="G291" s="1" t="s">
        <v>575</v>
      </c>
      <c r="H291" s="1" t="s">
        <v>1064</v>
      </c>
      <c r="I291" s="1"/>
      <c r="J291" s="1"/>
    </row>
    <row r="292" spans="1:10" hidden="1" x14ac:dyDescent="0.25">
      <c r="A292" s="1" t="s">
        <v>1359</v>
      </c>
      <c r="B292" s="1" t="s">
        <v>586</v>
      </c>
      <c r="C292" s="1" t="s">
        <v>1360</v>
      </c>
      <c r="D292" s="1" t="s">
        <v>1361</v>
      </c>
      <c r="E292" s="1" t="s">
        <v>1362</v>
      </c>
      <c r="F292" s="1" t="s">
        <v>1421</v>
      </c>
      <c r="G292" s="1" t="s">
        <v>575</v>
      </c>
      <c r="H292" s="1" t="s">
        <v>1064</v>
      </c>
      <c r="I292" s="1"/>
      <c r="J292" s="1"/>
    </row>
    <row r="293" spans="1:10" hidden="1" x14ac:dyDescent="0.25">
      <c r="A293" s="1" t="s">
        <v>1359</v>
      </c>
      <c r="B293" s="1" t="s">
        <v>583</v>
      </c>
      <c r="C293" s="1" t="s">
        <v>1363</v>
      </c>
      <c r="D293" s="1" t="s">
        <v>1364</v>
      </c>
      <c r="E293" s="1" t="s">
        <v>1365</v>
      </c>
      <c r="F293" s="1" t="s">
        <v>1421</v>
      </c>
      <c r="G293" s="1" t="s">
        <v>575</v>
      </c>
      <c r="H293" s="1" t="s">
        <v>1064</v>
      </c>
      <c r="I293" s="1"/>
      <c r="J293" s="1"/>
    </row>
    <row r="294" spans="1:10" hidden="1" x14ac:dyDescent="0.25">
      <c r="A294" s="1" t="s">
        <v>1366</v>
      </c>
      <c r="B294" s="1" t="s">
        <v>586</v>
      </c>
      <c r="C294" s="1" t="s">
        <v>1367</v>
      </c>
      <c r="D294" s="1" t="s">
        <v>1368</v>
      </c>
      <c r="E294" s="1" t="s">
        <v>1369</v>
      </c>
      <c r="F294" s="1" t="s">
        <v>1423</v>
      </c>
      <c r="G294" s="1" t="s">
        <v>575</v>
      </c>
      <c r="H294" s="1" t="s">
        <v>1064</v>
      </c>
      <c r="I294" s="1"/>
      <c r="J294" s="1"/>
    </row>
    <row r="295" spans="1:10" hidden="1" x14ac:dyDescent="0.25">
      <c r="A295" s="1" t="s">
        <v>1366</v>
      </c>
      <c r="B295" s="1" t="s">
        <v>583</v>
      </c>
      <c r="C295" s="1" t="s">
        <v>1370</v>
      </c>
      <c r="D295" s="1" t="s">
        <v>1371</v>
      </c>
      <c r="E295" s="1" t="s">
        <v>1372</v>
      </c>
      <c r="F295" s="1" t="s">
        <v>1423</v>
      </c>
      <c r="G295" s="1" t="s">
        <v>575</v>
      </c>
      <c r="H295" s="1" t="s">
        <v>1064</v>
      </c>
      <c r="I295" s="1"/>
      <c r="J295" s="1"/>
    </row>
    <row r="296" spans="1:10" hidden="1" x14ac:dyDescent="0.25">
      <c r="A296" s="1" t="s">
        <v>1373</v>
      </c>
      <c r="B296" s="1" t="s">
        <v>586</v>
      </c>
      <c r="C296" s="1" t="s">
        <v>1374</v>
      </c>
      <c r="D296" s="1" t="s">
        <v>1375</v>
      </c>
      <c r="E296" s="1" t="s">
        <v>1376</v>
      </c>
      <c r="F296" s="1" t="s">
        <v>1425</v>
      </c>
      <c r="G296" s="1" t="s">
        <v>575</v>
      </c>
      <c r="H296" s="1" t="s">
        <v>1064</v>
      </c>
      <c r="I296" s="1"/>
      <c r="J296" s="1"/>
    </row>
    <row r="297" spans="1:10" hidden="1" x14ac:dyDescent="0.25">
      <c r="A297" s="1" t="s">
        <v>1373</v>
      </c>
      <c r="B297" s="1" t="s">
        <v>583</v>
      </c>
      <c r="C297" s="1" t="s">
        <v>1377</v>
      </c>
      <c r="D297" s="1" t="s">
        <v>1378</v>
      </c>
      <c r="E297" s="1" t="s">
        <v>1379</v>
      </c>
      <c r="F297" s="1" t="s">
        <v>1425</v>
      </c>
      <c r="G297" s="1" t="s">
        <v>575</v>
      </c>
      <c r="H297" s="1" t="s">
        <v>1064</v>
      </c>
      <c r="I297" s="1"/>
      <c r="J297" s="1"/>
    </row>
    <row r="298" spans="1:10" hidden="1" x14ac:dyDescent="0.25">
      <c r="A298" s="1" t="s">
        <v>1380</v>
      </c>
      <c r="B298" s="1" t="s">
        <v>586</v>
      </c>
      <c r="C298" s="1" t="s">
        <v>1381</v>
      </c>
      <c r="D298" s="1" t="s">
        <v>1382</v>
      </c>
      <c r="E298" s="1" t="s">
        <v>1383</v>
      </c>
      <c r="F298" s="1" t="s">
        <v>1427</v>
      </c>
      <c r="G298" s="1" t="s">
        <v>575</v>
      </c>
      <c r="H298" s="1" t="s">
        <v>1064</v>
      </c>
      <c r="I298" s="1"/>
      <c r="J298" s="1"/>
    </row>
    <row r="299" spans="1:10" hidden="1" x14ac:dyDescent="0.25">
      <c r="A299" s="1" t="s">
        <v>1380</v>
      </c>
      <c r="B299" s="1" t="s">
        <v>583</v>
      </c>
      <c r="C299" s="1" t="s">
        <v>1384</v>
      </c>
      <c r="D299" s="1" t="s">
        <v>1385</v>
      </c>
      <c r="E299" s="1" t="s">
        <v>1386</v>
      </c>
      <c r="F299" s="1" t="s">
        <v>1427</v>
      </c>
      <c r="G299" s="1" t="s">
        <v>575</v>
      </c>
      <c r="H299" s="1" t="s">
        <v>1064</v>
      </c>
      <c r="I299" s="1"/>
      <c r="J299" s="1"/>
    </row>
    <row r="300" spans="1:10" hidden="1" x14ac:dyDescent="0.25">
      <c r="A300" s="1" t="s">
        <v>1675</v>
      </c>
      <c r="B300" s="1" t="s">
        <v>583</v>
      </c>
      <c r="C300" s="1" t="s">
        <v>1687</v>
      </c>
      <c r="D300" s="1" t="s">
        <v>1688</v>
      </c>
      <c r="E300" s="1" t="s">
        <v>1676</v>
      </c>
      <c r="F300" s="1" t="s">
        <v>1435</v>
      </c>
      <c r="G300" s="1" t="s">
        <v>575</v>
      </c>
      <c r="H300" s="1" t="s">
        <v>1064</v>
      </c>
      <c r="I300" s="1"/>
      <c r="J300" s="1"/>
    </row>
    <row r="301" spans="1:10" hidden="1" x14ac:dyDescent="0.25">
      <c r="A301" s="1" t="s">
        <v>1677</v>
      </c>
      <c r="B301" s="1" t="s">
        <v>583</v>
      </c>
      <c r="C301" s="1" t="s">
        <v>1689</v>
      </c>
      <c r="D301" s="1" t="s">
        <v>1690</v>
      </c>
      <c r="E301" s="1" t="s">
        <v>1678</v>
      </c>
      <c r="F301" s="1" t="s">
        <v>1436</v>
      </c>
      <c r="G301" s="1" t="s">
        <v>575</v>
      </c>
      <c r="H301" s="1" t="s">
        <v>1064</v>
      </c>
      <c r="I301" s="1"/>
      <c r="J301" s="1"/>
    </row>
    <row r="302" spans="1:10" hidden="1" x14ac:dyDescent="0.25">
      <c r="A302" s="1" t="s">
        <v>1679</v>
      </c>
      <c r="B302" s="1" t="s">
        <v>583</v>
      </c>
      <c r="C302" s="1" t="s">
        <v>1691</v>
      </c>
      <c r="D302" s="1" t="s">
        <v>1692</v>
      </c>
      <c r="E302" s="1" t="s">
        <v>1680</v>
      </c>
      <c r="F302" s="1" t="s">
        <v>1437</v>
      </c>
      <c r="G302" s="1" t="s">
        <v>575</v>
      </c>
      <c r="H302" s="1" t="s">
        <v>1064</v>
      </c>
      <c r="I302" s="1"/>
      <c r="J302" s="1"/>
    </row>
    <row r="303" spans="1:10" hidden="1" x14ac:dyDescent="0.25">
      <c r="A303" s="1" t="s">
        <v>1054</v>
      </c>
      <c r="B303" s="1" t="s">
        <v>583</v>
      </c>
      <c r="C303" s="1" t="s">
        <v>1047</v>
      </c>
      <c r="D303" s="1" t="s">
        <v>1153</v>
      </c>
      <c r="E303" s="1" t="s">
        <v>1058</v>
      </c>
      <c r="F303" s="1" t="s">
        <v>1048</v>
      </c>
      <c r="G303" s="1" t="s">
        <v>575</v>
      </c>
      <c r="H303" s="1" t="s">
        <v>1064</v>
      </c>
      <c r="I303" s="1"/>
      <c r="J303" s="1"/>
    </row>
    <row r="304" spans="1:10" hidden="1" x14ac:dyDescent="0.25">
      <c r="A304" s="1" t="s">
        <v>1056</v>
      </c>
      <c r="B304" s="1" t="s">
        <v>583</v>
      </c>
      <c r="C304" s="1" t="s">
        <v>1049</v>
      </c>
      <c r="D304" s="1" t="s">
        <v>1154</v>
      </c>
      <c r="E304" s="1" t="s">
        <v>1059</v>
      </c>
      <c r="F304" s="1" t="s">
        <v>1050</v>
      </c>
      <c r="G304" s="1" t="s">
        <v>575</v>
      </c>
      <c r="H304" s="1" t="s">
        <v>1064</v>
      </c>
      <c r="I304" s="1"/>
      <c r="J304" s="1"/>
    </row>
    <row r="305" spans="1:10" hidden="1" x14ac:dyDescent="0.25">
      <c r="A305" s="1" t="s">
        <v>1057</v>
      </c>
      <c r="B305" s="1" t="s">
        <v>583</v>
      </c>
      <c r="C305" s="1" t="s">
        <v>1051</v>
      </c>
      <c r="D305" s="1" t="s">
        <v>1155</v>
      </c>
      <c r="E305" s="1" t="s">
        <v>1060</v>
      </c>
      <c r="F305" s="1" t="s">
        <v>1052</v>
      </c>
      <c r="G305" s="1" t="s">
        <v>575</v>
      </c>
      <c r="H305" s="1" t="s">
        <v>1064</v>
      </c>
      <c r="I305" s="1"/>
      <c r="J305" s="1"/>
    </row>
    <row r="306" spans="1:10" hidden="1" x14ac:dyDescent="0.25">
      <c r="A306" s="1" t="s">
        <v>1387</v>
      </c>
      <c r="B306" s="1" t="s">
        <v>583</v>
      </c>
      <c r="C306" s="1" t="s">
        <v>1388</v>
      </c>
      <c r="D306" s="1" t="s">
        <v>1389</v>
      </c>
      <c r="E306" s="1" t="s">
        <v>1390</v>
      </c>
      <c r="F306" s="1" t="s">
        <v>1429</v>
      </c>
      <c r="G306" s="1" t="s">
        <v>575</v>
      </c>
      <c r="H306" s="1" t="s">
        <v>1064</v>
      </c>
      <c r="I306" s="1"/>
      <c r="J306" s="1"/>
    </row>
    <row r="307" spans="1:10" hidden="1" x14ac:dyDescent="0.25">
      <c r="A307" s="1" t="s">
        <v>1391</v>
      </c>
      <c r="B307" s="1" t="s">
        <v>583</v>
      </c>
      <c r="C307" s="1" t="s">
        <v>1392</v>
      </c>
      <c r="D307" s="1" t="s">
        <v>1393</v>
      </c>
      <c r="E307" s="1" t="s">
        <v>1394</v>
      </c>
      <c r="F307" s="1" t="s">
        <v>1432</v>
      </c>
      <c r="G307" s="1" t="s">
        <v>575</v>
      </c>
      <c r="H307" s="1" t="s">
        <v>1064</v>
      </c>
      <c r="I307" s="1"/>
      <c r="J307" s="1"/>
    </row>
    <row r="308" spans="1:10" hidden="1" x14ac:dyDescent="0.25">
      <c r="A308" s="1" t="s">
        <v>1395</v>
      </c>
      <c r="B308" s="1" t="s">
        <v>583</v>
      </c>
      <c r="C308" s="1" t="s">
        <v>1396</v>
      </c>
      <c r="D308" s="1" t="s">
        <v>1397</v>
      </c>
      <c r="E308" s="1" t="s">
        <v>1398</v>
      </c>
      <c r="F308" s="1" t="s">
        <v>1435</v>
      </c>
      <c r="G308" s="1" t="s">
        <v>575</v>
      </c>
      <c r="H308" s="1" t="s">
        <v>1064</v>
      </c>
      <c r="I308" s="1"/>
      <c r="J308" s="1"/>
    </row>
    <row r="309" spans="1:10" hidden="1" x14ac:dyDescent="0.25">
      <c r="A309" s="1" t="s">
        <v>1399</v>
      </c>
      <c r="B309" s="1" t="s">
        <v>583</v>
      </c>
      <c r="C309" s="1" t="s">
        <v>1400</v>
      </c>
      <c r="D309" s="1" t="s">
        <v>1401</v>
      </c>
      <c r="E309" s="1" t="s">
        <v>1402</v>
      </c>
      <c r="F309" s="1" t="s">
        <v>1436</v>
      </c>
      <c r="G309" s="1" t="s">
        <v>575</v>
      </c>
      <c r="H309" s="1" t="s">
        <v>1064</v>
      </c>
      <c r="I309" s="1"/>
      <c r="J309" s="1"/>
    </row>
    <row r="310" spans="1:10" hidden="1" x14ac:dyDescent="0.25">
      <c r="A310" s="1" t="s">
        <v>1403</v>
      </c>
      <c r="B310" s="1" t="s">
        <v>583</v>
      </c>
      <c r="C310" s="1" t="s">
        <v>1404</v>
      </c>
      <c r="D310" s="1" t="s">
        <v>1405</v>
      </c>
      <c r="E310" s="1" t="s">
        <v>1406</v>
      </c>
      <c r="F310" s="1" t="s">
        <v>1437</v>
      </c>
      <c r="G310" s="1" t="s">
        <v>575</v>
      </c>
      <c r="H310" s="1" t="s">
        <v>1064</v>
      </c>
      <c r="I310" s="1"/>
      <c r="J310" s="1"/>
    </row>
    <row r="311" spans="1:10" hidden="1" x14ac:dyDescent="0.25">
      <c r="A311" s="1" t="s">
        <v>1702</v>
      </c>
      <c r="B311" s="1" t="s">
        <v>583</v>
      </c>
      <c r="C311" s="1" t="s">
        <v>3613</v>
      </c>
      <c r="D311" s="1" t="s">
        <v>3614</v>
      </c>
      <c r="E311" s="1" t="s">
        <v>1734</v>
      </c>
      <c r="F311" s="1" t="s">
        <v>1703</v>
      </c>
      <c r="G311" s="1"/>
      <c r="H311" s="1" t="s">
        <v>1064</v>
      </c>
      <c r="I311" s="1"/>
      <c r="J311" s="1"/>
    </row>
    <row r="312" spans="1:10" hidden="1" x14ac:dyDescent="0.25">
      <c r="A312" s="1" t="s">
        <v>1702</v>
      </c>
      <c r="B312" s="1" t="s">
        <v>583</v>
      </c>
      <c r="C312" s="1" t="s">
        <v>3615</v>
      </c>
      <c r="D312" s="1" t="s">
        <v>3616</v>
      </c>
      <c r="E312" s="1" t="s">
        <v>1734</v>
      </c>
      <c r="F312" s="1" t="s">
        <v>1703</v>
      </c>
      <c r="G312" s="1"/>
      <c r="H312" s="1" t="s">
        <v>1064</v>
      </c>
      <c r="I312" s="1"/>
      <c r="J312" s="1"/>
    </row>
    <row r="313" spans="1:10" hidden="1" x14ac:dyDescent="0.25">
      <c r="A313" s="1" t="s">
        <v>1702</v>
      </c>
      <c r="B313" s="1" t="s">
        <v>583</v>
      </c>
      <c r="C313" s="1" t="s">
        <v>3617</v>
      </c>
      <c r="D313" s="1" t="s">
        <v>3618</v>
      </c>
      <c r="E313" s="1" t="s">
        <v>1734</v>
      </c>
      <c r="F313" s="1" t="s">
        <v>1703</v>
      </c>
      <c r="G313" s="1"/>
      <c r="H313" s="1" t="s">
        <v>1064</v>
      </c>
      <c r="I313" s="1"/>
      <c r="J313" s="1"/>
    </row>
    <row r="314" spans="1:10" hidden="1" x14ac:dyDescent="0.25">
      <c r="A314" s="1" t="s">
        <v>1702</v>
      </c>
      <c r="B314" s="1" t="s">
        <v>583</v>
      </c>
      <c r="C314" s="1" t="s">
        <v>3619</v>
      </c>
      <c r="D314" s="1" t="s">
        <v>3620</v>
      </c>
      <c r="E314" s="1" t="s">
        <v>1734</v>
      </c>
      <c r="F314" s="1" t="s">
        <v>1703</v>
      </c>
      <c r="G314" s="1"/>
      <c r="H314" s="1" t="s">
        <v>1064</v>
      </c>
      <c r="I314" s="1"/>
      <c r="J314" s="1"/>
    </row>
    <row r="315" spans="1:10" hidden="1" x14ac:dyDescent="0.25">
      <c r="A315" s="1" t="s">
        <v>1702</v>
      </c>
      <c r="B315" s="1" t="s">
        <v>583</v>
      </c>
      <c r="C315" s="1" t="s">
        <v>3621</v>
      </c>
      <c r="D315" s="1" t="s">
        <v>3622</v>
      </c>
      <c r="E315" s="1" t="s">
        <v>1734</v>
      </c>
      <c r="F315" s="1" t="s">
        <v>1703</v>
      </c>
      <c r="G315" s="1"/>
      <c r="H315" s="1" t="s">
        <v>1064</v>
      </c>
      <c r="I315" s="1"/>
      <c r="J315" s="1"/>
    </row>
    <row r="316" spans="1:10" hidden="1" x14ac:dyDescent="0.25">
      <c r="A316" s="1" t="s">
        <v>1702</v>
      </c>
      <c r="B316" s="1" t="s">
        <v>583</v>
      </c>
      <c r="C316" s="1" t="s">
        <v>3623</v>
      </c>
      <c r="D316" s="1" t="s">
        <v>3624</v>
      </c>
      <c r="E316" s="1" t="s">
        <v>1734</v>
      </c>
      <c r="F316" s="1" t="s">
        <v>1703</v>
      </c>
      <c r="G316" s="1"/>
      <c r="H316" s="1" t="s">
        <v>1064</v>
      </c>
      <c r="I316" s="1"/>
      <c r="J316" s="1"/>
    </row>
    <row r="317" spans="1:10" hidden="1" x14ac:dyDescent="0.25">
      <c r="A317" s="1" t="s">
        <v>1702</v>
      </c>
      <c r="B317" s="1" t="s">
        <v>583</v>
      </c>
      <c r="C317" s="1" t="s">
        <v>3625</v>
      </c>
      <c r="D317" s="1" t="s">
        <v>3626</v>
      </c>
      <c r="E317" s="1" t="s">
        <v>1734</v>
      </c>
      <c r="F317" s="1" t="s">
        <v>1703</v>
      </c>
      <c r="G317" s="1"/>
      <c r="H317" s="1" t="s">
        <v>1064</v>
      </c>
      <c r="I317" s="1"/>
      <c r="J317" s="1"/>
    </row>
    <row r="318" spans="1:10" hidden="1" x14ac:dyDescent="0.25">
      <c r="A318" s="1" t="s">
        <v>1702</v>
      </c>
      <c r="B318" s="1" t="s">
        <v>583</v>
      </c>
      <c r="C318" s="1" t="s">
        <v>3627</v>
      </c>
      <c r="D318" s="1" t="s">
        <v>3628</v>
      </c>
      <c r="E318" s="1" t="s">
        <v>1734</v>
      </c>
      <c r="F318" s="1" t="s">
        <v>1703</v>
      </c>
      <c r="G318" s="1"/>
      <c r="H318" s="1" t="s">
        <v>1064</v>
      </c>
      <c r="I318" s="1"/>
      <c r="J318" s="1"/>
    </row>
    <row r="319" spans="1:10" hidden="1" x14ac:dyDescent="0.25">
      <c r="A319" s="1" t="s">
        <v>1702</v>
      </c>
      <c r="B319" s="1" t="s">
        <v>583</v>
      </c>
      <c r="C319" s="1" t="s">
        <v>3629</v>
      </c>
      <c r="D319" s="1" t="s">
        <v>3630</v>
      </c>
      <c r="E319" s="1" t="s">
        <v>1734</v>
      </c>
      <c r="F319" s="1" t="s">
        <v>1703</v>
      </c>
      <c r="G319" s="1"/>
      <c r="H319" s="1" t="s">
        <v>1064</v>
      </c>
      <c r="I319" s="1"/>
      <c r="J319" s="1"/>
    </row>
    <row r="320" spans="1:10" hidden="1" x14ac:dyDescent="0.25">
      <c r="A320" s="1" t="s">
        <v>1702</v>
      </c>
      <c r="B320" s="1" t="s">
        <v>583</v>
      </c>
      <c r="C320" s="1" t="s">
        <v>3631</v>
      </c>
      <c r="D320" s="1" t="s">
        <v>3632</v>
      </c>
      <c r="E320" s="1" t="s">
        <v>1734</v>
      </c>
      <c r="F320" s="1" t="s">
        <v>1703</v>
      </c>
      <c r="G320" s="1"/>
      <c r="H320" s="1" t="s">
        <v>1064</v>
      </c>
      <c r="I320" s="1"/>
      <c r="J320" s="1"/>
    </row>
    <row r="321" spans="1:10" hidden="1" x14ac:dyDescent="0.25">
      <c r="A321" s="1" t="s">
        <v>4026</v>
      </c>
      <c r="B321" s="1" t="s">
        <v>583</v>
      </c>
      <c r="C321" s="1" t="s">
        <v>4036</v>
      </c>
      <c r="D321" s="1" t="s">
        <v>4037</v>
      </c>
      <c r="E321" s="1" t="s">
        <v>4038</v>
      </c>
      <c r="F321" s="1" t="s">
        <v>4054</v>
      </c>
      <c r="G321" s="1" t="s">
        <v>575</v>
      </c>
      <c r="H321" s="1" t="s">
        <v>1064</v>
      </c>
      <c r="I321" s="1"/>
      <c r="J321" s="1"/>
    </row>
    <row r="322" spans="1:10" hidden="1" x14ac:dyDescent="0.25">
      <c r="A322" s="1" t="s">
        <v>4028</v>
      </c>
      <c r="B322" s="1" t="s">
        <v>583</v>
      </c>
      <c r="C322" s="1" t="s">
        <v>4039</v>
      </c>
      <c r="D322" s="1" t="s">
        <v>4040</v>
      </c>
      <c r="E322" s="1" t="s">
        <v>4041</v>
      </c>
      <c r="F322" s="1" t="s">
        <v>4102</v>
      </c>
      <c r="G322" s="1" t="s">
        <v>575</v>
      </c>
      <c r="H322" s="1" t="s">
        <v>1064</v>
      </c>
      <c r="I322" s="1"/>
      <c r="J322" s="1"/>
    </row>
    <row r="323" spans="1:10" hidden="1" x14ac:dyDescent="0.25">
      <c r="A323" s="1" t="s">
        <v>4030</v>
      </c>
      <c r="B323" s="1" t="s">
        <v>583</v>
      </c>
      <c r="C323" s="1" t="s">
        <v>4042</v>
      </c>
      <c r="D323" s="1" t="s">
        <v>4043</v>
      </c>
      <c r="E323" s="1" t="s">
        <v>4044</v>
      </c>
      <c r="F323" s="1" t="s">
        <v>4103</v>
      </c>
      <c r="G323" s="1" t="s">
        <v>575</v>
      </c>
      <c r="H323" s="1" t="s">
        <v>1064</v>
      </c>
      <c r="I323" s="1"/>
      <c r="J323" s="1"/>
    </row>
    <row r="324" spans="1:10" hidden="1" x14ac:dyDescent="0.25">
      <c r="A324" s="1" t="s">
        <v>4032</v>
      </c>
      <c r="B324" s="1" t="s">
        <v>583</v>
      </c>
      <c r="C324" s="1" t="s">
        <v>4045</v>
      </c>
      <c r="D324" s="1" t="s">
        <v>4046</v>
      </c>
      <c r="E324" s="1" t="s">
        <v>4047</v>
      </c>
      <c r="F324" s="1" t="s">
        <v>4104</v>
      </c>
      <c r="G324" s="1" t="s">
        <v>575</v>
      </c>
      <c r="H324" s="1" t="s">
        <v>1064</v>
      </c>
      <c r="I324" s="1"/>
      <c r="J324" s="1"/>
    </row>
    <row r="325" spans="1:10" hidden="1" x14ac:dyDescent="0.25">
      <c r="A325" s="1" t="s">
        <v>4034</v>
      </c>
      <c r="B325" s="1" t="s">
        <v>586</v>
      </c>
      <c r="C325" s="1" t="s">
        <v>4048</v>
      </c>
      <c r="D325" s="1" t="s">
        <v>4049</v>
      </c>
      <c r="E325" s="1" t="s">
        <v>4050</v>
      </c>
      <c r="F325" s="1" t="s">
        <v>4120</v>
      </c>
      <c r="G325" s="1" t="s">
        <v>575</v>
      </c>
      <c r="H325" s="1" t="s">
        <v>1064</v>
      </c>
      <c r="I325" s="1"/>
      <c r="J325" s="1"/>
    </row>
    <row r="326" spans="1:10" hidden="1" x14ac:dyDescent="0.25">
      <c r="A326" s="1" t="s">
        <v>4081</v>
      </c>
      <c r="B326" s="1" t="s">
        <v>584</v>
      </c>
      <c r="C326" s="1" t="s">
        <v>4079</v>
      </c>
      <c r="D326" s="1" t="s">
        <v>4092</v>
      </c>
      <c r="E326" s="1" t="s">
        <v>4088</v>
      </c>
      <c r="F326" s="1" t="s">
        <v>2158</v>
      </c>
      <c r="G326" s="1" t="s">
        <v>4073</v>
      </c>
      <c r="H326" s="1" t="s">
        <v>4825</v>
      </c>
      <c r="I326" s="1"/>
      <c r="J326" s="1"/>
    </row>
    <row r="327" spans="1:10" hidden="1" x14ac:dyDescent="0.25">
      <c r="A327" s="1" t="s">
        <v>4081</v>
      </c>
      <c r="B327" s="1" t="s">
        <v>584</v>
      </c>
      <c r="C327" s="1" t="s">
        <v>4079</v>
      </c>
      <c r="D327" s="1" t="s">
        <v>4092</v>
      </c>
      <c r="E327" s="1" t="s">
        <v>4088</v>
      </c>
      <c r="F327" s="1" t="s">
        <v>2158</v>
      </c>
      <c r="G327" s="1" t="s">
        <v>4076</v>
      </c>
      <c r="H327" s="1" t="s">
        <v>4825</v>
      </c>
      <c r="I327" s="1"/>
      <c r="J327" s="1"/>
    </row>
    <row r="328" spans="1:10" hidden="1" x14ac:dyDescent="0.25">
      <c r="A328" s="1" t="s">
        <v>4081</v>
      </c>
      <c r="B328" s="1" t="s">
        <v>586</v>
      </c>
      <c r="C328" s="1" t="s">
        <v>4082</v>
      </c>
      <c r="D328" s="1" t="s">
        <v>4093</v>
      </c>
      <c r="E328" s="1" t="s">
        <v>4090</v>
      </c>
      <c r="F328" s="1" t="s">
        <v>2158</v>
      </c>
      <c r="G328" s="1" t="s">
        <v>4073</v>
      </c>
      <c r="H328" s="1" t="s">
        <v>4825</v>
      </c>
      <c r="I328" s="1"/>
      <c r="J328" s="1"/>
    </row>
    <row r="329" spans="1:10" hidden="1" x14ac:dyDescent="0.25">
      <c r="A329" s="1" t="s">
        <v>4081</v>
      </c>
      <c r="B329" s="1" t="s">
        <v>586</v>
      </c>
      <c r="C329" s="1" t="s">
        <v>4082</v>
      </c>
      <c r="D329" s="1" t="s">
        <v>4093</v>
      </c>
      <c r="E329" s="1" t="s">
        <v>4090</v>
      </c>
      <c r="F329" s="1" t="s">
        <v>2158</v>
      </c>
      <c r="G329" s="1" t="s">
        <v>4076</v>
      </c>
      <c r="H329" s="1" t="s">
        <v>4825</v>
      </c>
      <c r="I329" s="1"/>
      <c r="J329" s="1"/>
    </row>
    <row r="330" spans="1:10" hidden="1" x14ac:dyDescent="0.25">
      <c r="A330" s="1" t="s">
        <v>4081</v>
      </c>
      <c r="B330" s="1" t="s">
        <v>583</v>
      </c>
      <c r="C330" s="1" t="s">
        <v>4084</v>
      </c>
      <c r="D330" s="1" t="s">
        <v>4094</v>
      </c>
      <c r="E330" s="1" t="s">
        <v>4086</v>
      </c>
      <c r="F330" s="1" t="s">
        <v>2158</v>
      </c>
      <c r="G330" s="1" t="s">
        <v>4073</v>
      </c>
      <c r="H330" s="1" t="s">
        <v>4825</v>
      </c>
      <c r="I330" s="1"/>
      <c r="J330" s="1"/>
    </row>
    <row r="331" spans="1:10" hidden="1" x14ac:dyDescent="0.25">
      <c r="A331" s="1" t="s">
        <v>4081</v>
      </c>
      <c r="B331" s="1" t="s">
        <v>583</v>
      </c>
      <c r="C331" s="1" t="s">
        <v>4084</v>
      </c>
      <c r="D331" s="1" t="s">
        <v>4094</v>
      </c>
      <c r="E331" s="1" t="s">
        <v>4086</v>
      </c>
      <c r="F331" s="1" t="s">
        <v>2158</v>
      </c>
      <c r="G331" s="1" t="s">
        <v>4076</v>
      </c>
      <c r="H331" s="1" t="s">
        <v>4825</v>
      </c>
      <c r="I331" s="1"/>
    </row>
    <row r="332" spans="1:10" x14ac:dyDescent="0.25">
      <c r="A332" s="1" t="s">
        <v>4832</v>
      </c>
      <c r="B332" s="1" t="s">
        <v>583</v>
      </c>
      <c r="C332" s="1" t="s">
        <v>4833</v>
      </c>
      <c r="D332" s="1" t="s">
        <v>4834</v>
      </c>
      <c r="E332" s="1" t="s">
        <v>4835</v>
      </c>
      <c r="F332" s="1" t="s">
        <v>106</v>
      </c>
      <c r="G332" s="1" t="s">
        <v>4864</v>
      </c>
      <c r="H332" s="1" t="s">
        <v>1064</v>
      </c>
      <c r="I332" s="1"/>
    </row>
    <row r="333" spans="1:10" x14ac:dyDescent="0.25">
      <c r="A333" s="1" t="s">
        <v>4832</v>
      </c>
      <c r="B333" s="1" t="s">
        <v>586</v>
      </c>
      <c r="C333" s="1" t="s">
        <v>4837</v>
      </c>
      <c r="D333" s="1" t="s">
        <v>4838</v>
      </c>
      <c r="E333" s="1" t="s">
        <v>4839</v>
      </c>
      <c r="F333" s="1" t="s">
        <v>106</v>
      </c>
      <c r="G333" s="1" t="s">
        <v>4864</v>
      </c>
      <c r="H333" s="1" t="s">
        <v>1064</v>
      </c>
      <c r="I333" s="1"/>
    </row>
    <row r="334" spans="1:10" x14ac:dyDescent="0.25">
      <c r="A334" s="1" t="s">
        <v>4832</v>
      </c>
      <c r="B334" s="1" t="s">
        <v>584</v>
      </c>
      <c r="C334" s="1" t="s">
        <v>4840</v>
      </c>
      <c r="D334" s="1" t="s">
        <v>4841</v>
      </c>
      <c r="E334" s="1" t="s">
        <v>4842</v>
      </c>
      <c r="F334" s="1" t="s">
        <v>106</v>
      </c>
      <c r="G334" s="1" t="s">
        <v>4864</v>
      </c>
      <c r="H334" s="1" t="s">
        <v>1064</v>
      </c>
    </row>
    <row r="335" spans="1:10" hidden="1" x14ac:dyDescent="0.25">
      <c r="A335" s="1" t="s">
        <v>4626</v>
      </c>
      <c r="B335" s="1" t="s">
        <v>583</v>
      </c>
      <c r="C335" s="1" t="s">
        <v>4631</v>
      </c>
      <c r="D335" s="1" t="s">
        <v>4632</v>
      </c>
      <c r="E335" s="1" t="s">
        <v>4627</v>
      </c>
      <c r="F335" s="1" t="s">
        <v>4645</v>
      </c>
      <c r="G335" s="1" t="s">
        <v>575</v>
      </c>
      <c r="H335" s="1" t="s">
        <v>1064</v>
      </c>
    </row>
    <row r="336" spans="1:10" hidden="1" x14ac:dyDescent="0.25">
      <c r="A336" s="1" t="s">
        <v>4626</v>
      </c>
      <c r="B336" s="1" t="s">
        <v>586</v>
      </c>
      <c r="C336" s="1" t="s">
        <v>4633</v>
      </c>
      <c r="D336" s="1" t="s">
        <v>4634</v>
      </c>
      <c r="E336" s="1" t="s">
        <v>4629</v>
      </c>
      <c r="F336" s="1" t="s">
        <v>4645</v>
      </c>
      <c r="G336" s="1" t="s">
        <v>575</v>
      </c>
      <c r="H336" s="1" t="s">
        <v>1064</v>
      </c>
    </row>
  </sheetData>
  <dataValidations count="5">
    <dataValidation type="list" allowBlank="1" showInputMessage="1" showErrorMessage="1" sqref="F2">
      <formula1>_sp_date</formula1>
    </dataValidation>
    <dataValidation type="list" allowBlank="1" showInputMessage="1" showErrorMessage="1" sqref="G2">
      <formula1>_sp_indicator</formula1>
    </dataValidation>
    <dataValidation type="list" allowBlank="1" showInputMessage="1" showErrorMessage="1" sqref="K6 H2">
      <formula1>_sp_reward</formula1>
    </dataValidation>
    <dataValidation type="list" allowBlank="1" showInputMessage="1" showErrorMessage="1" sqref="E2">
      <formula1>_sp_shedule</formula1>
    </dataValidation>
    <dataValidation type="list" allowBlank="1" showInputMessage="1" showErrorMessage="1" sqref="I2">
      <formula1>_sp_report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zoomScale="70" zoomScaleNormal="70" workbookViewId="0">
      <selection activeCell="C20" sqref="C20"/>
    </sheetView>
  </sheetViews>
  <sheetFormatPr defaultRowHeight="15" x14ac:dyDescent="0.25"/>
  <cols>
    <col min="1" max="1" width="22.42578125" customWidth="1"/>
    <col min="2" max="2" width="26.28515625" bestFit="1" customWidth="1"/>
    <col min="3" max="3" width="18.42578125" customWidth="1"/>
    <col min="4" max="4" width="17.7109375" customWidth="1"/>
    <col min="5" max="5" width="19.28515625" customWidth="1"/>
    <col min="6" max="6" width="42.5703125" customWidth="1"/>
    <col min="7" max="7" width="67.42578125" style="37" customWidth="1"/>
    <col min="8" max="8" width="12.5703125" bestFit="1" customWidth="1"/>
    <col min="9" max="9" width="15.28515625" bestFit="1" customWidth="1"/>
    <col min="10" max="10" width="20.140625" bestFit="1" customWidth="1"/>
    <col min="11" max="11" width="18.140625" bestFit="1" customWidth="1"/>
    <col min="12" max="12" width="13.42578125" bestFit="1" customWidth="1"/>
    <col min="13" max="13" width="28.42578125" customWidth="1"/>
    <col min="14" max="14" width="14.85546875" customWidth="1"/>
    <col min="15" max="15" width="14" customWidth="1"/>
    <col min="16" max="16" width="11.7109375" customWidth="1"/>
    <col min="17" max="17" width="20" customWidth="1"/>
    <col min="18" max="18" width="44.85546875" customWidth="1"/>
    <col min="19" max="19" width="12.85546875" customWidth="1"/>
    <col min="20" max="20" width="13.5703125" customWidth="1"/>
    <col min="21" max="22" width="15.42578125" customWidth="1"/>
    <col min="23" max="23" width="12.85546875" customWidth="1"/>
    <col min="24" max="24" width="20.28515625" customWidth="1"/>
    <col min="25" max="25" width="9" customWidth="1"/>
    <col min="26" max="26" width="4.85546875" customWidth="1"/>
    <col min="27" max="27" width="38.28515625" bestFit="1" customWidth="1"/>
  </cols>
  <sheetData>
    <row r="1" spans="1:24" x14ac:dyDescent="0.25">
      <c r="X1" s="6"/>
    </row>
    <row r="2" spans="1:24" x14ac:dyDescent="0.25">
      <c r="A2" s="1" t="s">
        <v>591</v>
      </c>
      <c r="B2" s="1" t="s">
        <v>604</v>
      </c>
      <c r="C2" s="1" t="s">
        <v>592</v>
      </c>
      <c r="D2" s="1" t="s">
        <v>593</v>
      </c>
      <c r="E2" s="1" t="s">
        <v>597</v>
      </c>
      <c r="F2" s="1" t="s">
        <v>598</v>
      </c>
      <c r="G2" s="16" t="s">
        <v>599</v>
      </c>
      <c r="H2" s="1" t="s">
        <v>600</v>
      </c>
      <c r="I2" s="1" t="s">
        <v>601</v>
      </c>
      <c r="J2" s="1" t="s">
        <v>602</v>
      </c>
      <c r="K2" s="1" t="s">
        <v>603</v>
      </c>
      <c r="L2" s="1" t="s">
        <v>2968</v>
      </c>
      <c r="M2" s="1" t="s">
        <v>2969</v>
      </c>
      <c r="N2" s="1" t="s">
        <v>2882</v>
      </c>
      <c r="O2" s="1" t="s">
        <v>2889</v>
      </c>
      <c r="P2" s="1" t="s">
        <v>2970</v>
      </c>
      <c r="Q2" s="1" t="s">
        <v>2971</v>
      </c>
      <c r="R2" s="1" t="s">
        <v>1985</v>
      </c>
      <c r="S2" s="1" t="s">
        <v>3415</v>
      </c>
      <c r="T2" s="1" t="s">
        <v>4777</v>
      </c>
      <c r="U2" s="1" t="s">
        <v>4874</v>
      </c>
      <c r="V2" s="1" t="s">
        <v>4875</v>
      </c>
    </row>
    <row r="3" spans="1:24" x14ac:dyDescent="0.25">
      <c r="A3" s="1" t="s">
        <v>595</v>
      </c>
      <c r="B3" s="1" t="s">
        <v>595</v>
      </c>
      <c r="C3" s="1" t="s">
        <v>596</v>
      </c>
      <c r="D3" s="1" t="s">
        <v>594</v>
      </c>
      <c r="E3" s="1" t="s">
        <v>607</v>
      </c>
      <c r="F3" s="1" t="s">
        <v>622</v>
      </c>
      <c r="G3" s="16" t="s">
        <v>623</v>
      </c>
      <c r="H3" s="1">
        <v>99</v>
      </c>
      <c r="I3" s="1">
        <v>0</v>
      </c>
      <c r="J3" s="1" t="s">
        <v>619</v>
      </c>
      <c r="K3" s="1">
        <v>0</v>
      </c>
      <c r="L3" s="1" t="s">
        <v>194</v>
      </c>
      <c r="M3" s="1" t="s">
        <v>194</v>
      </c>
      <c r="N3" s="1" t="s">
        <v>194</v>
      </c>
      <c r="O3" s="1" t="s">
        <v>32</v>
      </c>
      <c r="P3" s="1" t="s">
        <v>2</v>
      </c>
      <c r="Q3" s="1" t="s">
        <v>3084</v>
      </c>
      <c r="R3" s="1" t="s">
        <v>1986</v>
      </c>
      <c r="S3" s="1" t="s">
        <v>3416</v>
      </c>
      <c r="T3" s="1" t="s">
        <v>1064</v>
      </c>
      <c r="U3" s="1" t="s">
        <v>4876</v>
      </c>
      <c r="V3" s="1" t="s">
        <v>4877</v>
      </c>
    </row>
  </sheetData>
  <conditionalFormatting sqref="A3">
    <cfRule type="duplicateValues" dxfId="6" priority="2392"/>
    <cfRule type="duplicateValues" dxfId="5" priority="2393"/>
  </conditionalFormatting>
  <conditionalFormatting sqref="F3">
    <cfRule type="duplicateValues" dxfId="4" priority="2394"/>
    <cfRule type="duplicateValues" dxfId="3" priority="239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topLeftCell="C10" zoomScale="85" zoomScaleNormal="85" workbookViewId="0">
      <selection activeCell="D30" sqref="D30"/>
    </sheetView>
  </sheetViews>
  <sheetFormatPr defaultRowHeight="15" x14ac:dyDescent="0.25"/>
  <cols>
    <col min="1" max="1" width="11.7109375" bestFit="1" customWidth="1"/>
    <col min="2" max="2" width="31.140625" bestFit="1" customWidth="1"/>
    <col min="3" max="3" width="19.28515625" bestFit="1" customWidth="1"/>
    <col min="4" max="4" width="14.42578125" bestFit="1" customWidth="1"/>
    <col min="5" max="5" width="63.42578125" bestFit="1" customWidth="1"/>
    <col min="6" max="6" width="22.140625" bestFit="1" customWidth="1"/>
    <col min="7" max="7" width="17.140625" bestFit="1" customWidth="1"/>
    <col min="8" max="8" width="19.28515625" bestFit="1" customWidth="1"/>
    <col min="9" max="9" width="13.140625" bestFit="1" customWidth="1"/>
    <col min="10" max="10" width="18" bestFit="1" customWidth="1"/>
    <col min="11" max="11" width="20.85546875" bestFit="1" customWidth="1"/>
    <col min="12" max="12" width="21.5703125" bestFit="1" customWidth="1"/>
    <col min="13" max="13" width="11.85546875" bestFit="1" customWidth="1"/>
    <col min="14" max="14" width="8.5703125" bestFit="1" customWidth="1"/>
  </cols>
  <sheetData>
    <row r="1" spans="1:14" x14ac:dyDescent="0.25">
      <c r="A1" s="1" t="s">
        <v>600</v>
      </c>
      <c r="B1" s="1" t="s">
        <v>771</v>
      </c>
      <c r="C1" s="1" t="s">
        <v>772</v>
      </c>
      <c r="D1" s="1" t="s">
        <v>601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779</v>
      </c>
      <c r="L1" s="1" t="s">
        <v>2877</v>
      </c>
      <c r="M1" s="1" t="s">
        <v>3415</v>
      </c>
      <c r="N1" t="s">
        <v>2</v>
      </c>
    </row>
    <row r="2" spans="1:14" x14ac:dyDescent="0.25">
      <c r="A2" s="1" t="s">
        <v>620</v>
      </c>
      <c r="B2" s="1" t="s">
        <v>780</v>
      </c>
      <c r="C2" s="1" t="s">
        <v>780</v>
      </c>
      <c r="D2" s="1" t="s">
        <v>32</v>
      </c>
      <c r="E2" s="1" t="s">
        <v>194</v>
      </c>
      <c r="F2" s="1" t="s">
        <v>781</v>
      </c>
      <c r="G2" s="1" t="s">
        <v>32</v>
      </c>
      <c r="H2" s="1" t="s">
        <v>32</v>
      </c>
      <c r="I2" s="1" t="s">
        <v>32</v>
      </c>
      <c r="J2" s="1" t="s">
        <v>32</v>
      </c>
      <c r="K2" s="1" t="s">
        <v>194</v>
      </c>
      <c r="L2" s="1" t="s">
        <v>194</v>
      </c>
      <c r="M2" s="1" t="s">
        <v>3443</v>
      </c>
      <c r="N2" s="1" t="b">
        <f>VLOOKUP(_org_unit_[[#This Row],[TB_GOSB]],_org_unit___v20[TB_GOSB],1,0)=_org_unit_[[#This Row],[TB_GOSB]]</f>
        <v>1</v>
      </c>
    </row>
    <row r="3" spans="1:14" x14ac:dyDescent="0.25">
      <c r="A3" s="1" t="s">
        <v>621</v>
      </c>
      <c r="B3" s="1" t="s">
        <v>782</v>
      </c>
      <c r="C3" s="1" t="s">
        <v>782</v>
      </c>
      <c r="D3" s="1" t="s">
        <v>32</v>
      </c>
      <c r="E3" s="1" t="s">
        <v>194</v>
      </c>
      <c r="F3" s="1" t="s">
        <v>781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194</v>
      </c>
      <c r="L3" s="1" t="s">
        <v>194</v>
      </c>
      <c r="M3" s="1" t="s">
        <v>3442</v>
      </c>
      <c r="N3" s="1" t="b">
        <f>VLOOKUP(_org_unit_[[#This Row],[TB_GOSB]],_org_unit___v20[TB_GOSB],1,0)=_org_unit_[[#This Row],[TB_GOSB]]</f>
        <v>1</v>
      </c>
    </row>
    <row r="4" spans="1:14" x14ac:dyDescent="0.25">
      <c r="A4" s="1" t="s">
        <v>783</v>
      </c>
      <c r="B4" s="1" t="s">
        <v>784</v>
      </c>
      <c r="C4" s="1" t="s">
        <v>784</v>
      </c>
      <c r="D4" s="1" t="s">
        <v>32</v>
      </c>
      <c r="E4" s="1" t="s">
        <v>194</v>
      </c>
      <c r="F4" s="1" t="s">
        <v>785</v>
      </c>
      <c r="G4" s="1" t="s">
        <v>32</v>
      </c>
      <c r="H4" s="1" t="s">
        <v>32</v>
      </c>
      <c r="I4" s="1" t="s">
        <v>32</v>
      </c>
      <c r="J4" s="1" t="s">
        <v>32</v>
      </c>
      <c r="K4" s="1" t="s">
        <v>194</v>
      </c>
      <c r="L4" s="1" t="s">
        <v>194</v>
      </c>
      <c r="M4" s="1" t="s">
        <v>3536</v>
      </c>
      <c r="N4" s="1" t="e">
        <f>VLOOKUP(_org_unit_[[#This Row],[TB_GOSB]],_org_unit___v20[TB_GOSB],1,0)=_org_unit_[[#This Row],[TB_GOSB]]</f>
        <v>#N/A</v>
      </c>
    </row>
    <row r="5" spans="1:14" x14ac:dyDescent="0.25">
      <c r="A5" s="1" t="s">
        <v>605</v>
      </c>
      <c r="B5" s="1" t="s">
        <v>786</v>
      </c>
      <c r="C5" s="1" t="s">
        <v>787</v>
      </c>
      <c r="D5" s="1" t="s">
        <v>32</v>
      </c>
      <c r="E5" s="1" t="s">
        <v>788</v>
      </c>
      <c r="F5" s="1" t="s">
        <v>789</v>
      </c>
      <c r="G5" s="1" t="s">
        <v>2</v>
      </c>
      <c r="H5" s="1" t="s">
        <v>32</v>
      </c>
      <c r="I5" s="1" t="s">
        <v>32</v>
      </c>
      <c r="J5" s="1" t="s">
        <v>32</v>
      </c>
      <c r="K5" s="1" t="s">
        <v>194</v>
      </c>
      <c r="L5" s="1" t="s">
        <v>194</v>
      </c>
      <c r="M5" s="1" t="s">
        <v>3429</v>
      </c>
      <c r="N5" s="1" t="b">
        <f>VLOOKUP(_org_unit_[[#This Row],[TB_GOSB]],_org_unit___v20[TB_GOSB],1,0)=_org_unit_[[#This Row],[TB_GOSB]]</f>
        <v>1</v>
      </c>
    </row>
    <row r="6" spans="1:14" x14ac:dyDescent="0.25">
      <c r="A6" s="1" t="s">
        <v>605</v>
      </c>
      <c r="B6" s="1" t="s">
        <v>786</v>
      </c>
      <c r="C6" s="1" t="s">
        <v>787</v>
      </c>
      <c r="D6" s="1" t="s">
        <v>790</v>
      </c>
      <c r="E6" s="1" t="s">
        <v>791</v>
      </c>
      <c r="F6" s="1" t="s">
        <v>789</v>
      </c>
      <c r="G6" s="1" t="s">
        <v>2</v>
      </c>
      <c r="H6" s="1" t="s">
        <v>790</v>
      </c>
      <c r="I6" s="1" t="s">
        <v>792</v>
      </c>
      <c r="J6" s="1" t="s">
        <v>792</v>
      </c>
      <c r="K6" s="1" t="s">
        <v>194</v>
      </c>
      <c r="L6" s="1" t="s">
        <v>2878</v>
      </c>
      <c r="M6" s="1" t="s">
        <v>3509</v>
      </c>
      <c r="N6" s="1" t="b">
        <f>VLOOKUP(_org_unit_[[#This Row],[TB_GOSB]],_org_unit___v20[TB_GOSB],1,0)=_org_unit_[[#This Row],[TB_GOSB]]</f>
        <v>1</v>
      </c>
    </row>
    <row r="7" spans="1:14" x14ac:dyDescent="0.25">
      <c r="A7" s="1" t="s">
        <v>605</v>
      </c>
      <c r="B7" s="1" t="s">
        <v>786</v>
      </c>
      <c r="C7" s="1" t="s">
        <v>787</v>
      </c>
      <c r="D7" s="1" t="s">
        <v>793</v>
      </c>
      <c r="E7" s="1" t="s">
        <v>794</v>
      </c>
      <c r="F7" s="1" t="s">
        <v>785</v>
      </c>
      <c r="G7" s="1" t="s">
        <v>308</v>
      </c>
      <c r="H7" s="1" t="s">
        <v>793</v>
      </c>
      <c r="I7" s="1" t="s">
        <v>795</v>
      </c>
      <c r="J7" s="1" t="s">
        <v>795</v>
      </c>
      <c r="K7" s="1" t="s">
        <v>194</v>
      </c>
      <c r="L7" s="1" t="s">
        <v>194</v>
      </c>
      <c r="M7" s="1" t="s">
        <v>3504</v>
      </c>
      <c r="N7" s="1" t="b">
        <f>VLOOKUP(_org_unit_[[#This Row],[TB_GOSB]],_org_unit___v20[TB_GOSB],1,0)=_org_unit_[[#This Row],[TB_GOSB]]</f>
        <v>1</v>
      </c>
    </row>
    <row r="8" spans="1:14" x14ac:dyDescent="0.25">
      <c r="A8" s="1" t="s">
        <v>605</v>
      </c>
      <c r="B8" s="1" t="s">
        <v>786</v>
      </c>
      <c r="C8" s="1" t="s">
        <v>787</v>
      </c>
      <c r="D8" s="1" t="s">
        <v>796</v>
      </c>
      <c r="E8" s="1" t="s">
        <v>797</v>
      </c>
      <c r="F8" s="1" t="s">
        <v>785</v>
      </c>
      <c r="G8" s="1" t="s">
        <v>2</v>
      </c>
      <c r="H8" s="1" t="s">
        <v>796</v>
      </c>
      <c r="I8" s="1" t="s">
        <v>798</v>
      </c>
      <c r="J8" s="1" t="s">
        <v>798</v>
      </c>
      <c r="K8" s="1" t="s">
        <v>194</v>
      </c>
      <c r="L8" s="1" t="s">
        <v>194</v>
      </c>
      <c r="M8" s="1" t="s">
        <v>3503</v>
      </c>
      <c r="N8" s="1" t="b">
        <f>VLOOKUP(_org_unit_[[#This Row],[TB_GOSB]],_org_unit___v20[TB_GOSB],1,0)=_org_unit_[[#This Row],[TB_GOSB]]</f>
        <v>1</v>
      </c>
    </row>
    <row r="9" spans="1:14" x14ac:dyDescent="0.25">
      <c r="A9" s="1" t="s">
        <v>605</v>
      </c>
      <c r="B9" s="1" t="s">
        <v>786</v>
      </c>
      <c r="C9" s="1" t="s">
        <v>787</v>
      </c>
      <c r="D9" s="1" t="s">
        <v>1083</v>
      </c>
      <c r="E9" s="1" t="s">
        <v>1084</v>
      </c>
      <c r="F9" s="1" t="s">
        <v>785</v>
      </c>
      <c r="G9" s="1" t="s">
        <v>2</v>
      </c>
      <c r="H9" s="1" t="s">
        <v>1083</v>
      </c>
      <c r="I9" s="1" t="s">
        <v>798</v>
      </c>
      <c r="J9" s="1" t="s">
        <v>798</v>
      </c>
      <c r="K9" s="1" t="s">
        <v>194</v>
      </c>
      <c r="L9" s="1" t="s">
        <v>194</v>
      </c>
      <c r="M9" s="1" t="s">
        <v>3510</v>
      </c>
      <c r="N9" s="1" t="b">
        <f>VLOOKUP(_org_unit_[[#This Row],[TB_GOSB]],_org_unit___v20[TB_GOSB],1,0)=_org_unit_[[#This Row],[TB_GOSB]]</f>
        <v>1</v>
      </c>
    </row>
    <row r="10" spans="1:14" x14ac:dyDescent="0.25">
      <c r="A10" s="1" t="s">
        <v>605</v>
      </c>
      <c r="B10" s="1" t="s">
        <v>786</v>
      </c>
      <c r="C10" s="1" t="s">
        <v>787</v>
      </c>
      <c r="D10" s="1" t="s">
        <v>804</v>
      </c>
      <c r="E10" s="1" t="s">
        <v>805</v>
      </c>
      <c r="F10" s="1" t="s">
        <v>785</v>
      </c>
      <c r="G10" s="1" t="s">
        <v>549</v>
      </c>
      <c r="H10" s="1" t="s">
        <v>804</v>
      </c>
      <c r="I10" s="1" t="s">
        <v>806</v>
      </c>
      <c r="J10" s="1" t="s">
        <v>806</v>
      </c>
      <c r="K10" s="1" t="s">
        <v>194</v>
      </c>
      <c r="L10" s="1" t="s">
        <v>194</v>
      </c>
      <c r="M10" s="1" t="s">
        <v>3505</v>
      </c>
      <c r="N10" s="1" t="b">
        <f>VLOOKUP(_org_unit_[[#This Row],[TB_GOSB]],_org_unit___v20[TB_GOSB],1,0)=_org_unit_[[#This Row],[TB_GOSB]]</f>
        <v>1</v>
      </c>
    </row>
    <row r="11" spans="1:14" x14ac:dyDescent="0.25">
      <c r="A11" s="1" t="s">
        <v>605</v>
      </c>
      <c r="B11" s="1" t="s">
        <v>786</v>
      </c>
      <c r="C11" s="1" t="s">
        <v>787</v>
      </c>
      <c r="D11" s="1" t="s">
        <v>669</v>
      </c>
      <c r="E11" s="1" t="s">
        <v>807</v>
      </c>
      <c r="F11" s="1" t="s">
        <v>785</v>
      </c>
      <c r="G11" s="1" t="s">
        <v>314</v>
      </c>
      <c r="H11" s="1" t="s">
        <v>669</v>
      </c>
      <c r="I11" s="1" t="s">
        <v>36</v>
      </c>
      <c r="J11" s="1" t="s">
        <v>36</v>
      </c>
      <c r="K11" s="1" t="s">
        <v>194</v>
      </c>
      <c r="L11" s="1" t="s">
        <v>194</v>
      </c>
      <c r="M11" s="1" t="s">
        <v>3506</v>
      </c>
      <c r="N11" s="1" t="b">
        <f>VLOOKUP(_org_unit_[[#This Row],[TB_GOSB]],_org_unit___v20[TB_GOSB],1,0)=_org_unit_[[#This Row],[TB_GOSB]]</f>
        <v>1</v>
      </c>
    </row>
    <row r="12" spans="1:14" x14ac:dyDescent="0.25">
      <c r="A12" s="1" t="s">
        <v>605</v>
      </c>
      <c r="B12" s="1" t="s">
        <v>786</v>
      </c>
      <c r="C12" s="1" t="s">
        <v>787</v>
      </c>
      <c r="D12" s="1" t="s">
        <v>802</v>
      </c>
      <c r="E12" s="1" t="s">
        <v>803</v>
      </c>
      <c r="F12" s="1" t="s">
        <v>785</v>
      </c>
      <c r="G12" s="1" t="s">
        <v>549</v>
      </c>
      <c r="H12" s="1" t="s">
        <v>802</v>
      </c>
      <c r="I12" s="1" t="s">
        <v>90</v>
      </c>
      <c r="J12" s="1" t="s">
        <v>90</v>
      </c>
      <c r="K12" s="1" t="s">
        <v>194</v>
      </c>
      <c r="L12" s="1" t="s">
        <v>194</v>
      </c>
      <c r="M12" s="1" t="s">
        <v>3507</v>
      </c>
      <c r="N12" s="1" t="b">
        <f>VLOOKUP(_org_unit_[[#This Row],[TB_GOSB]],_org_unit___v20[TB_GOSB],1,0)=_org_unit_[[#This Row],[TB_GOSB]]</f>
        <v>1</v>
      </c>
    </row>
    <row r="13" spans="1:14" x14ac:dyDescent="0.25">
      <c r="A13" s="1" t="s">
        <v>605</v>
      </c>
      <c r="B13" s="1" t="s">
        <v>786</v>
      </c>
      <c r="C13" s="1" t="s">
        <v>787</v>
      </c>
      <c r="D13" s="1" t="s">
        <v>799</v>
      </c>
      <c r="E13" s="1" t="s">
        <v>800</v>
      </c>
      <c r="F13" s="1" t="s">
        <v>785</v>
      </c>
      <c r="G13" s="1" t="s">
        <v>549</v>
      </c>
      <c r="H13" s="1" t="s">
        <v>799</v>
      </c>
      <c r="I13" s="1" t="s">
        <v>801</v>
      </c>
      <c r="J13" s="1" t="s">
        <v>801</v>
      </c>
      <c r="K13" s="1" t="s">
        <v>194</v>
      </c>
      <c r="L13" s="1" t="s">
        <v>194</v>
      </c>
      <c r="M13" s="1" t="s">
        <v>3508</v>
      </c>
      <c r="N13" s="1" t="b">
        <f>VLOOKUP(_org_unit_[[#This Row],[TB_GOSB]],_org_unit___v20[TB_GOSB],1,0)=_org_unit_[[#This Row],[TB_GOSB]]</f>
        <v>1</v>
      </c>
    </row>
    <row r="14" spans="1:14" x14ac:dyDescent="0.25">
      <c r="A14" s="1" t="s">
        <v>608</v>
      </c>
      <c r="B14" s="1" t="s">
        <v>808</v>
      </c>
      <c r="C14" s="1" t="s">
        <v>809</v>
      </c>
      <c r="D14" s="1" t="s">
        <v>32</v>
      </c>
      <c r="E14" s="1" t="s">
        <v>788</v>
      </c>
      <c r="F14" s="1" t="s">
        <v>789</v>
      </c>
      <c r="G14" s="1" t="s">
        <v>2</v>
      </c>
      <c r="H14" s="1" t="s">
        <v>32</v>
      </c>
      <c r="I14" s="1" t="s">
        <v>32</v>
      </c>
      <c r="J14" s="1" t="s">
        <v>32</v>
      </c>
      <c r="K14" s="1" t="s">
        <v>194</v>
      </c>
      <c r="L14" s="1" t="s">
        <v>194</v>
      </c>
      <c r="M14" s="1" t="s">
        <v>3426</v>
      </c>
      <c r="N14" s="1" t="b">
        <f>VLOOKUP(_org_unit_[[#This Row],[TB_GOSB]],_org_unit___v20[TB_GOSB],1,0)=_org_unit_[[#This Row],[TB_GOSB]]</f>
        <v>1</v>
      </c>
    </row>
    <row r="15" spans="1:14" x14ac:dyDescent="0.25">
      <c r="A15" s="1" t="s">
        <v>608</v>
      </c>
      <c r="B15" s="1" t="s">
        <v>808</v>
      </c>
      <c r="C15" s="1" t="s">
        <v>809</v>
      </c>
      <c r="D15" s="1" t="s">
        <v>810</v>
      </c>
      <c r="E15" s="1" t="s">
        <v>811</v>
      </c>
      <c r="F15" s="1" t="s">
        <v>789</v>
      </c>
      <c r="G15" s="1" t="s">
        <v>2</v>
      </c>
      <c r="H15" s="1" t="s">
        <v>810</v>
      </c>
      <c r="I15" s="1" t="s">
        <v>812</v>
      </c>
      <c r="J15" s="1" t="s">
        <v>812</v>
      </c>
      <c r="K15" s="1" t="s">
        <v>194</v>
      </c>
      <c r="L15" s="1" t="s">
        <v>2878</v>
      </c>
      <c r="M15" s="1" t="s">
        <v>3511</v>
      </c>
      <c r="N15" s="1" t="b">
        <f>VLOOKUP(_org_unit_[[#This Row],[TB_GOSB]],_org_unit___v20[TB_GOSB],1,0)=_org_unit_[[#This Row],[TB_GOSB]]</f>
        <v>1</v>
      </c>
    </row>
    <row r="16" spans="1:14" x14ac:dyDescent="0.25">
      <c r="A16" s="1" t="s">
        <v>608</v>
      </c>
      <c r="B16" s="1" t="s">
        <v>808</v>
      </c>
      <c r="C16" s="1" t="s">
        <v>809</v>
      </c>
      <c r="D16" s="1" t="s">
        <v>813</v>
      </c>
      <c r="E16" s="1" t="s">
        <v>814</v>
      </c>
      <c r="F16" s="1" t="s">
        <v>785</v>
      </c>
      <c r="G16" s="1" t="s">
        <v>2</v>
      </c>
      <c r="H16" s="1" t="s">
        <v>813</v>
      </c>
      <c r="I16" s="1" t="s">
        <v>795</v>
      </c>
      <c r="J16" s="1" t="s">
        <v>795</v>
      </c>
      <c r="K16" s="1" t="s">
        <v>194</v>
      </c>
      <c r="L16" s="1" t="s">
        <v>194</v>
      </c>
      <c r="M16" s="1" t="s">
        <v>3444</v>
      </c>
      <c r="N16" s="1" t="b">
        <f>VLOOKUP(_org_unit_[[#This Row],[TB_GOSB]],_org_unit___v20[TB_GOSB],1,0)=_org_unit_[[#This Row],[TB_GOSB]]</f>
        <v>1</v>
      </c>
    </row>
    <row r="17" spans="1:14" x14ac:dyDescent="0.25">
      <c r="A17" s="1" t="s">
        <v>608</v>
      </c>
      <c r="B17" s="1" t="s">
        <v>808</v>
      </c>
      <c r="C17" s="1" t="s">
        <v>809</v>
      </c>
      <c r="D17" s="1" t="s">
        <v>815</v>
      </c>
      <c r="E17" s="1" t="s">
        <v>816</v>
      </c>
      <c r="F17" s="1" t="s">
        <v>785</v>
      </c>
      <c r="G17" s="1" t="s">
        <v>308</v>
      </c>
      <c r="H17" s="1" t="s">
        <v>815</v>
      </c>
      <c r="I17" s="1" t="s">
        <v>817</v>
      </c>
      <c r="J17" s="1" t="s">
        <v>817</v>
      </c>
      <c r="K17" s="1" t="s">
        <v>194</v>
      </c>
      <c r="L17" s="1" t="s">
        <v>194</v>
      </c>
      <c r="M17" s="1" t="s">
        <v>3458</v>
      </c>
      <c r="N17" s="1" t="b">
        <f>VLOOKUP(_org_unit_[[#This Row],[TB_GOSB]],_org_unit___v20[TB_GOSB],1,0)=_org_unit_[[#This Row],[TB_GOSB]]</f>
        <v>1</v>
      </c>
    </row>
    <row r="18" spans="1:14" x14ac:dyDescent="0.25">
      <c r="A18" s="1" t="s">
        <v>608</v>
      </c>
      <c r="B18" s="1" t="s">
        <v>808</v>
      </c>
      <c r="C18" s="1" t="s">
        <v>809</v>
      </c>
      <c r="D18" s="1" t="s">
        <v>818</v>
      </c>
      <c r="E18" s="1" t="s">
        <v>819</v>
      </c>
      <c r="F18" s="1" t="s">
        <v>785</v>
      </c>
      <c r="G18" s="1" t="s">
        <v>549</v>
      </c>
      <c r="H18" s="1" t="s">
        <v>818</v>
      </c>
      <c r="I18" s="1" t="s">
        <v>317</v>
      </c>
      <c r="J18" s="1" t="s">
        <v>317</v>
      </c>
      <c r="K18" s="1" t="s">
        <v>194</v>
      </c>
      <c r="L18" s="1" t="s">
        <v>194</v>
      </c>
      <c r="M18" s="1" t="s">
        <v>3456</v>
      </c>
      <c r="N18" s="1" t="b">
        <f>VLOOKUP(_org_unit_[[#This Row],[TB_GOSB]],_org_unit___v20[TB_GOSB],1,0)=_org_unit_[[#This Row],[TB_GOSB]]</f>
        <v>1</v>
      </c>
    </row>
    <row r="19" spans="1:14" x14ac:dyDescent="0.25">
      <c r="A19" s="1" t="s">
        <v>608</v>
      </c>
      <c r="B19" s="1" t="s">
        <v>808</v>
      </c>
      <c r="C19" s="1" t="s">
        <v>809</v>
      </c>
      <c r="D19" s="1" t="s">
        <v>820</v>
      </c>
      <c r="E19" s="1" t="s">
        <v>821</v>
      </c>
      <c r="F19" s="1" t="s">
        <v>785</v>
      </c>
      <c r="G19" s="1" t="s">
        <v>2</v>
      </c>
      <c r="H19" s="1" t="s">
        <v>820</v>
      </c>
      <c r="I19" s="1" t="s">
        <v>822</v>
      </c>
      <c r="J19" s="1" t="s">
        <v>822</v>
      </c>
      <c r="K19" s="1" t="s">
        <v>194</v>
      </c>
      <c r="L19" s="1" t="s">
        <v>194</v>
      </c>
      <c r="M19" s="1" t="s">
        <v>3457</v>
      </c>
      <c r="N19" s="1" t="b">
        <f>VLOOKUP(_org_unit_[[#This Row],[TB_GOSB]],_org_unit___v20[TB_GOSB],1,0)=_org_unit_[[#This Row],[TB_GOSB]]</f>
        <v>1</v>
      </c>
    </row>
    <row r="20" spans="1:14" x14ac:dyDescent="0.25">
      <c r="A20" s="1" t="s">
        <v>608</v>
      </c>
      <c r="B20" s="1" t="s">
        <v>808</v>
      </c>
      <c r="C20" s="1" t="s">
        <v>809</v>
      </c>
      <c r="D20" s="1" t="s">
        <v>823</v>
      </c>
      <c r="E20" s="1" t="s">
        <v>824</v>
      </c>
      <c r="F20" s="1" t="s">
        <v>785</v>
      </c>
      <c r="G20" s="1" t="s">
        <v>2</v>
      </c>
      <c r="H20" s="1" t="s">
        <v>823</v>
      </c>
      <c r="I20" s="1" t="s">
        <v>825</v>
      </c>
      <c r="J20" s="1" t="s">
        <v>825</v>
      </c>
      <c r="K20" s="1" t="s">
        <v>194</v>
      </c>
      <c r="L20" s="1" t="s">
        <v>194</v>
      </c>
      <c r="M20" s="1" t="s">
        <v>3455</v>
      </c>
      <c r="N20" s="1" t="b">
        <f>VLOOKUP(_org_unit_[[#This Row],[TB_GOSB]],_org_unit___v20[TB_GOSB],1,0)=_org_unit_[[#This Row],[TB_GOSB]]</f>
        <v>1</v>
      </c>
    </row>
    <row r="21" spans="1:14" x14ac:dyDescent="0.25">
      <c r="A21" s="1" t="s">
        <v>608</v>
      </c>
      <c r="B21" s="1" t="s">
        <v>808</v>
      </c>
      <c r="C21" s="1" t="s">
        <v>809</v>
      </c>
      <c r="D21" s="1" t="s">
        <v>826</v>
      </c>
      <c r="E21" s="1" t="s">
        <v>827</v>
      </c>
      <c r="F21" s="1" t="s">
        <v>785</v>
      </c>
      <c r="G21" s="1" t="s">
        <v>2</v>
      </c>
      <c r="H21" s="1" t="s">
        <v>826</v>
      </c>
      <c r="I21" s="1" t="s">
        <v>608</v>
      </c>
      <c r="J21" s="1" t="s">
        <v>608</v>
      </c>
      <c r="K21" s="1" t="s">
        <v>194</v>
      </c>
      <c r="L21" s="1" t="s">
        <v>194</v>
      </c>
      <c r="M21" s="1" t="s">
        <v>3460</v>
      </c>
      <c r="N21" s="1" t="b">
        <f>VLOOKUP(_org_unit_[[#This Row],[TB_GOSB]],_org_unit___v20[TB_GOSB],1,0)=_org_unit_[[#This Row],[TB_GOSB]]</f>
        <v>1</v>
      </c>
    </row>
    <row r="22" spans="1:14" x14ac:dyDescent="0.25">
      <c r="A22" s="1" t="s">
        <v>608</v>
      </c>
      <c r="B22" s="1" t="s">
        <v>808</v>
      </c>
      <c r="C22" s="1" t="s">
        <v>809</v>
      </c>
      <c r="D22" s="1" t="s">
        <v>828</v>
      </c>
      <c r="E22" s="1" t="s">
        <v>829</v>
      </c>
      <c r="F22" s="1" t="s">
        <v>785</v>
      </c>
      <c r="G22" s="1" t="s">
        <v>314</v>
      </c>
      <c r="H22" s="1" t="s">
        <v>828</v>
      </c>
      <c r="I22" s="1" t="s">
        <v>549</v>
      </c>
      <c r="J22" s="1" t="s">
        <v>549</v>
      </c>
      <c r="K22" s="1" t="s">
        <v>194</v>
      </c>
      <c r="L22" s="1" t="s">
        <v>194</v>
      </c>
      <c r="M22" s="1" t="s">
        <v>3459</v>
      </c>
      <c r="N22" s="1" t="b">
        <f>VLOOKUP(_org_unit_[[#This Row],[TB_GOSB]],_org_unit___v20[TB_GOSB],1,0)=_org_unit_[[#This Row],[TB_GOSB]]</f>
        <v>1</v>
      </c>
    </row>
    <row r="23" spans="1:14" x14ac:dyDescent="0.25">
      <c r="A23" s="1" t="s">
        <v>609</v>
      </c>
      <c r="B23" s="1" t="s">
        <v>830</v>
      </c>
      <c r="C23" s="1" t="s">
        <v>831</v>
      </c>
      <c r="D23" s="1" t="s">
        <v>832</v>
      </c>
      <c r="E23" s="1" t="s">
        <v>833</v>
      </c>
      <c r="F23" s="1" t="s">
        <v>789</v>
      </c>
      <c r="G23" s="1" t="s">
        <v>2</v>
      </c>
      <c r="H23" s="1" t="s">
        <v>832</v>
      </c>
      <c r="I23" s="1" t="s">
        <v>90</v>
      </c>
      <c r="J23" s="1" t="s">
        <v>90</v>
      </c>
      <c r="K23" s="1" t="s">
        <v>194</v>
      </c>
      <c r="L23" s="1" t="s">
        <v>2878</v>
      </c>
      <c r="M23" s="1" t="s">
        <v>3512</v>
      </c>
      <c r="N23" s="1" t="b">
        <f>VLOOKUP(_org_unit_[[#This Row],[TB_GOSB]],_org_unit___v20[TB_GOSB],1,0)=_org_unit_[[#This Row],[TB_GOSB]]</f>
        <v>1</v>
      </c>
    </row>
    <row r="24" spans="1:14" x14ac:dyDescent="0.25">
      <c r="A24" s="1" t="s">
        <v>609</v>
      </c>
      <c r="B24" s="1" t="s">
        <v>830</v>
      </c>
      <c r="C24" s="1" t="s">
        <v>831</v>
      </c>
      <c r="D24" s="1" t="s">
        <v>32</v>
      </c>
      <c r="E24" s="1" t="s">
        <v>788</v>
      </c>
      <c r="F24" s="1" t="s">
        <v>789</v>
      </c>
      <c r="G24" s="1" t="s">
        <v>2</v>
      </c>
      <c r="H24" s="1" t="s">
        <v>32</v>
      </c>
      <c r="I24" s="1" t="s">
        <v>32</v>
      </c>
      <c r="J24" s="1" t="s">
        <v>32</v>
      </c>
      <c r="K24" s="1" t="s">
        <v>194</v>
      </c>
      <c r="L24" s="1" t="s">
        <v>194</v>
      </c>
      <c r="M24" s="1" t="s">
        <v>3418</v>
      </c>
      <c r="N24" s="1" t="b">
        <f>VLOOKUP(_org_unit_[[#This Row],[TB_GOSB]],_org_unit___v20[TB_GOSB],1,0)=_org_unit_[[#This Row],[TB_GOSB]]</f>
        <v>1</v>
      </c>
    </row>
    <row r="25" spans="1:14" x14ac:dyDescent="0.25">
      <c r="A25" s="1" t="s">
        <v>609</v>
      </c>
      <c r="B25" s="1" t="s">
        <v>830</v>
      </c>
      <c r="C25" s="1" t="s">
        <v>831</v>
      </c>
      <c r="D25" s="1" t="s">
        <v>834</v>
      </c>
      <c r="E25" s="1" t="s">
        <v>835</v>
      </c>
      <c r="F25" s="1" t="s">
        <v>785</v>
      </c>
      <c r="G25" s="1" t="s">
        <v>549</v>
      </c>
      <c r="H25" s="1" t="s">
        <v>834</v>
      </c>
      <c r="I25" s="1" t="s">
        <v>836</v>
      </c>
      <c r="J25" s="1" t="s">
        <v>836</v>
      </c>
      <c r="K25" s="1" t="s">
        <v>194</v>
      </c>
      <c r="L25" s="1" t="s">
        <v>194</v>
      </c>
      <c r="M25" s="1" t="s">
        <v>3450</v>
      </c>
      <c r="N25" s="1" t="b">
        <f>VLOOKUP(_org_unit_[[#This Row],[TB_GOSB]],_org_unit___v20[TB_GOSB],1,0)=_org_unit_[[#This Row],[TB_GOSB]]</f>
        <v>1</v>
      </c>
    </row>
    <row r="26" spans="1:14" x14ac:dyDescent="0.25">
      <c r="A26" s="1" t="s">
        <v>609</v>
      </c>
      <c r="B26" s="1" t="s">
        <v>830</v>
      </c>
      <c r="C26" s="1" t="s">
        <v>831</v>
      </c>
      <c r="D26" s="1" t="s">
        <v>837</v>
      </c>
      <c r="E26" s="1" t="s">
        <v>838</v>
      </c>
      <c r="F26" s="1" t="s">
        <v>785</v>
      </c>
      <c r="G26" s="1" t="s">
        <v>2</v>
      </c>
      <c r="H26" s="1" t="s">
        <v>837</v>
      </c>
      <c r="I26" s="1" t="s">
        <v>839</v>
      </c>
      <c r="J26" s="1" t="s">
        <v>839</v>
      </c>
      <c r="K26" s="1" t="s">
        <v>194</v>
      </c>
      <c r="L26" s="1" t="s">
        <v>194</v>
      </c>
      <c r="M26" s="1" t="s">
        <v>3434</v>
      </c>
      <c r="N26" s="1" t="b">
        <f>VLOOKUP(_org_unit_[[#This Row],[TB_GOSB]],_org_unit___v20[TB_GOSB],1,0)=_org_unit_[[#This Row],[TB_GOSB]]</f>
        <v>1</v>
      </c>
    </row>
    <row r="27" spans="1:14" x14ac:dyDescent="0.25">
      <c r="A27" s="1" t="s">
        <v>609</v>
      </c>
      <c r="B27" s="1" t="s">
        <v>830</v>
      </c>
      <c r="C27" s="1" t="s">
        <v>831</v>
      </c>
      <c r="D27" s="1" t="s">
        <v>840</v>
      </c>
      <c r="E27" s="1" t="s">
        <v>841</v>
      </c>
      <c r="F27" s="1" t="s">
        <v>785</v>
      </c>
      <c r="G27" s="1" t="s">
        <v>314</v>
      </c>
      <c r="H27" s="1" t="s">
        <v>840</v>
      </c>
      <c r="I27" s="1" t="s">
        <v>836</v>
      </c>
      <c r="J27" s="1" t="s">
        <v>836</v>
      </c>
      <c r="K27" s="1" t="s">
        <v>194</v>
      </c>
      <c r="L27" s="1" t="s">
        <v>194</v>
      </c>
      <c r="M27" s="1" t="s">
        <v>3449</v>
      </c>
      <c r="N27" s="1" t="b">
        <f>VLOOKUP(_org_unit_[[#This Row],[TB_GOSB]],_org_unit___v20[TB_GOSB],1,0)=_org_unit_[[#This Row],[TB_GOSB]]</f>
        <v>1</v>
      </c>
    </row>
    <row r="28" spans="1:14" x14ac:dyDescent="0.25">
      <c r="A28" s="1" t="s">
        <v>609</v>
      </c>
      <c r="B28" s="1" t="s">
        <v>830</v>
      </c>
      <c r="C28" s="1" t="s">
        <v>831</v>
      </c>
      <c r="D28" s="1" t="s">
        <v>842</v>
      </c>
      <c r="E28" s="1" t="s">
        <v>843</v>
      </c>
      <c r="F28" s="1" t="s">
        <v>785</v>
      </c>
      <c r="G28" s="1" t="s">
        <v>308</v>
      </c>
      <c r="H28" s="1" t="s">
        <v>842</v>
      </c>
      <c r="I28" s="1" t="s">
        <v>90</v>
      </c>
      <c r="J28" s="1" t="s">
        <v>90</v>
      </c>
      <c r="K28" s="1" t="s">
        <v>194</v>
      </c>
      <c r="L28" s="1" t="s">
        <v>194</v>
      </c>
      <c r="M28" s="1" t="s">
        <v>3451</v>
      </c>
      <c r="N28" s="1" t="b">
        <f>VLOOKUP(_org_unit_[[#This Row],[TB_GOSB]],_org_unit___v20[TB_GOSB],1,0)=_org_unit_[[#This Row],[TB_GOSB]]</f>
        <v>1</v>
      </c>
    </row>
    <row r="29" spans="1:14" x14ac:dyDescent="0.25">
      <c r="A29" s="1" t="s">
        <v>610</v>
      </c>
      <c r="B29" s="1" t="s">
        <v>844</v>
      </c>
      <c r="C29" s="1" t="s">
        <v>845</v>
      </c>
      <c r="D29" s="1" t="s">
        <v>32</v>
      </c>
      <c r="E29" s="1" t="s">
        <v>788</v>
      </c>
      <c r="F29" s="1" t="s">
        <v>789</v>
      </c>
      <c r="G29" s="1" t="s">
        <v>2</v>
      </c>
      <c r="H29" s="1" t="s">
        <v>32</v>
      </c>
      <c r="I29" s="1" t="s">
        <v>32</v>
      </c>
      <c r="J29" s="1" t="s">
        <v>32</v>
      </c>
      <c r="K29" s="1" t="s">
        <v>194</v>
      </c>
      <c r="L29" s="1" t="s">
        <v>194</v>
      </c>
      <c r="M29" s="1" t="s">
        <v>3417</v>
      </c>
      <c r="N29" s="1" t="b">
        <f>VLOOKUP(_org_unit_[[#This Row],[TB_GOSB]],_org_unit___v20[TB_GOSB],1,0)=_org_unit_[[#This Row],[TB_GOSB]]</f>
        <v>1</v>
      </c>
    </row>
    <row r="30" spans="1:14" x14ac:dyDescent="0.25">
      <c r="A30" s="1" t="s">
        <v>610</v>
      </c>
      <c r="B30" s="1" t="s">
        <v>844</v>
      </c>
      <c r="C30" s="1" t="s">
        <v>845</v>
      </c>
      <c r="D30" s="1" t="s">
        <v>3534</v>
      </c>
      <c r="E30" s="1" t="s">
        <v>3535</v>
      </c>
      <c r="F30" s="1" t="s">
        <v>785</v>
      </c>
      <c r="G30" s="1" t="s">
        <v>2</v>
      </c>
      <c r="H30" s="1" t="s">
        <v>3534</v>
      </c>
      <c r="I30" s="1" t="s">
        <v>194</v>
      </c>
      <c r="J30" s="1" t="s">
        <v>194</v>
      </c>
      <c r="K30" s="1" t="s">
        <v>194</v>
      </c>
      <c r="L30" s="1" t="s">
        <v>194</v>
      </c>
      <c r="M30" s="1" t="s">
        <v>3537</v>
      </c>
      <c r="N30" s="1" t="b">
        <f>VLOOKUP(_org_unit_[[#This Row],[TB_GOSB]],_org_unit___v20[TB_GOSB],1,0)=_org_unit_[[#This Row],[TB_GOSB]]</f>
        <v>1</v>
      </c>
    </row>
    <row r="31" spans="1:14" x14ac:dyDescent="0.25">
      <c r="A31" s="1" t="s">
        <v>610</v>
      </c>
      <c r="B31" s="1" t="s">
        <v>844</v>
      </c>
      <c r="C31" s="1" t="s">
        <v>845</v>
      </c>
      <c r="D31" s="1" t="s">
        <v>666</v>
      </c>
      <c r="E31" s="1" t="s">
        <v>846</v>
      </c>
      <c r="F31" s="1" t="s">
        <v>847</v>
      </c>
      <c r="G31" s="1" t="s">
        <v>2</v>
      </c>
      <c r="H31" s="1" t="s">
        <v>666</v>
      </c>
      <c r="I31" s="1" t="s">
        <v>848</v>
      </c>
      <c r="J31" s="1" t="s">
        <v>848</v>
      </c>
      <c r="K31" s="1" t="s">
        <v>849</v>
      </c>
      <c r="L31" s="1" t="s">
        <v>194</v>
      </c>
      <c r="M31" s="1" t="s">
        <v>3513</v>
      </c>
      <c r="N31" s="1" t="b">
        <f>VLOOKUP(_org_unit_[[#This Row],[TB_GOSB]],_org_unit___v20[TB_GOSB],1,0)=_org_unit_[[#This Row],[TB_GOSB]]</f>
        <v>1</v>
      </c>
    </row>
    <row r="32" spans="1:14" x14ac:dyDescent="0.25">
      <c r="A32" s="1" t="s">
        <v>610</v>
      </c>
      <c r="B32" s="1" t="s">
        <v>844</v>
      </c>
      <c r="C32" s="1" t="s">
        <v>845</v>
      </c>
      <c r="D32" s="1" t="s">
        <v>665</v>
      </c>
      <c r="E32" s="1" t="s">
        <v>850</v>
      </c>
      <c r="F32" s="1" t="s">
        <v>847</v>
      </c>
      <c r="G32" s="1" t="s">
        <v>2</v>
      </c>
      <c r="H32" s="1" t="s">
        <v>665</v>
      </c>
      <c r="I32" s="1" t="s">
        <v>851</v>
      </c>
      <c r="J32" s="1" t="s">
        <v>851</v>
      </c>
      <c r="K32" s="1" t="s">
        <v>852</v>
      </c>
      <c r="L32" s="1" t="s">
        <v>194</v>
      </c>
      <c r="M32" s="1" t="s">
        <v>3514</v>
      </c>
      <c r="N32" s="1" t="b">
        <f>VLOOKUP(_org_unit_[[#This Row],[TB_GOSB]],_org_unit___v20[TB_GOSB],1,0)=_org_unit_[[#This Row],[TB_GOSB]]</f>
        <v>1</v>
      </c>
    </row>
    <row r="33" spans="1:14" x14ac:dyDescent="0.25">
      <c r="A33" s="1" t="s">
        <v>610</v>
      </c>
      <c r="B33" s="1" t="s">
        <v>844</v>
      </c>
      <c r="C33" s="1" t="s">
        <v>845</v>
      </c>
      <c r="D33" s="1" t="s">
        <v>853</v>
      </c>
      <c r="E33" s="1" t="s">
        <v>854</v>
      </c>
      <c r="F33" s="1" t="s">
        <v>847</v>
      </c>
      <c r="G33" s="1" t="s">
        <v>2</v>
      </c>
      <c r="H33" s="1" t="s">
        <v>853</v>
      </c>
      <c r="I33" s="1" t="s">
        <v>822</v>
      </c>
      <c r="J33" s="1" t="s">
        <v>822</v>
      </c>
      <c r="K33" s="1" t="s">
        <v>855</v>
      </c>
      <c r="L33" s="1" t="s">
        <v>194</v>
      </c>
      <c r="M33" s="1" t="s">
        <v>3515</v>
      </c>
      <c r="N33" s="1" t="b">
        <f>VLOOKUP(_org_unit_[[#This Row],[TB_GOSB]],_org_unit___v20[TB_GOSB],1,0)=_org_unit_[[#This Row],[TB_GOSB]]</f>
        <v>1</v>
      </c>
    </row>
    <row r="34" spans="1:14" x14ac:dyDescent="0.25">
      <c r="A34" s="1" t="s">
        <v>610</v>
      </c>
      <c r="B34" s="1" t="s">
        <v>844</v>
      </c>
      <c r="C34" s="1" t="s">
        <v>845</v>
      </c>
      <c r="D34" s="1" t="s">
        <v>856</v>
      </c>
      <c r="E34" s="1" t="s">
        <v>857</v>
      </c>
      <c r="F34" s="1" t="s">
        <v>847</v>
      </c>
      <c r="G34" s="1" t="s">
        <v>2</v>
      </c>
      <c r="H34" s="1" t="s">
        <v>856</v>
      </c>
      <c r="I34" s="1" t="s">
        <v>858</v>
      </c>
      <c r="J34" s="1" t="s">
        <v>858</v>
      </c>
      <c r="K34" s="1" t="s">
        <v>859</v>
      </c>
      <c r="L34" s="1" t="s">
        <v>194</v>
      </c>
      <c r="M34" s="1" t="s">
        <v>3516</v>
      </c>
      <c r="N34" s="1" t="b">
        <f>VLOOKUP(_org_unit_[[#This Row],[TB_GOSB]],_org_unit___v20[TB_GOSB],1,0)=_org_unit_[[#This Row],[TB_GOSB]]</f>
        <v>1</v>
      </c>
    </row>
    <row r="35" spans="1:14" x14ac:dyDescent="0.25">
      <c r="A35" s="1" t="s">
        <v>610</v>
      </c>
      <c r="B35" s="1" t="s">
        <v>844</v>
      </c>
      <c r="C35" s="1" t="s">
        <v>845</v>
      </c>
      <c r="D35" s="1" t="s">
        <v>860</v>
      </c>
      <c r="E35" s="1" t="s">
        <v>861</v>
      </c>
      <c r="F35" s="1" t="s">
        <v>847</v>
      </c>
      <c r="G35" s="1" t="s">
        <v>2</v>
      </c>
      <c r="H35" s="1" t="s">
        <v>860</v>
      </c>
      <c r="I35" s="1" t="s">
        <v>862</v>
      </c>
      <c r="J35" s="1" t="s">
        <v>862</v>
      </c>
      <c r="K35" s="1" t="s">
        <v>863</v>
      </c>
      <c r="L35" s="1" t="s">
        <v>194</v>
      </c>
      <c r="M35" s="1" t="s">
        <v>3517</v>
      </c>
      <c r="N35" s="1" t="b">
        <f>VLOOKUP(_org_unit_[[#This Row],[TB_GOSB]],_org_unit___v20[TB_GOSB],1,0)=_org_unit_[[#This Row],[TB_GOSB]]</f>
        <v>1</v>
      </c>
    </row>
    <row r="36" spans="1:14" x14ac:dyDescent="0.25">
      <c r="A36" s="1" t="s">
        <v>610</v>
      </c>
      <c r="B36" s="1" t="s">
        <v>844</v>
      </c>
      <c r="C36" s="1" t="s">
        <v>845</v>
      </c>
      <c r="D36" s="1" t="s">
        <v>667</v>
      </c>
      <c r="E36" s="1" t="s">
        <v>864</v>
      </c>
      <c r="F36" s="1" t="s">
        <v>847</v>
      </c>
      <c r="G36" s="1" t="s">
        <v>2</v>
      </c>
      <c r="H36" s="1" t="s">
        <v>667</v>
      </c>
      <c r="I36" s="1" t="s">
        <v>865</v>
      </c>
      <c r="J36" s="1" t="s">
        <v>865</v>
      </c>
      <c r="K36" s="1" t="s">
        <v>866</v>
      </c>
      <c r="L36" s="1" t="s">
        <v>194</v>
      </c>
      <c r="M36" s="1" t="s">
        <v>3439</v>
      </c>
      <c r="N36" s="1" t="b">
        <f>VLOOKUP(_org_unit_[[#This Row],[TB_GOSB]],_org_unit___v20[TB_GOSB],1,0)=_org_unit_[[#This Row],[TB_GOSB]]</f>
        <v>1</v>
      </c>
    </row>
    <row r="37" spans="1:14" x14ac:dyDescent="0.25">
      <c r="A37" s="1" t="s">
        <v>611</v>
      </c>
      <c r="B37" s="1" t="s">
        <v>867</v>
      </c>
      <c r="C37" s="1" t="s">
        <v>868</v>
      </c>
      <c r="D37" s="1" t="s">
        <v>869</v>
      </c>
      <c r="E37" s="1" t="s">
        <v>870</v>
      </c>
      <c r="F37" s="1" t="s">
        <v>789</v>
      </c>
      <c r="G37" s="1" t="s">
        <v>2</v>
      </c>
      <c r="H37" s="1" t="s">
        <v>869</v>
      </c>
      <c r="I37" s="1" t="s">
        <v>609</v>
      </c>
      <c r="J37" s="1" t="s">
        <v>609</v>
      </c>
      <c r="K37" s="1" t="s">
        <v>194</v>
      </c>
      <c r="L37" s="1" t="s">
        <v>2878</v>
      </c>
      <c r="M37" s="1" t="s">
        <v>3440</v>
      </c>
      <c r="N37" s="1" t="b">
        <f>VLOOKUP(_org_unit_[[#This Row],[TB_GOSB]],_org_unit___v20[TB_GOSB],1,0)=_org_unit_[[#This Row],[TB_GOSB]]</f>
        <v>1</v>
      </c>
    </row>
    <row r="38" spans="1:14" s="1" customFormat="1" x14ac:dyDescent="0.25">
      <c r="A38" s="1" t="s">
        <v>611</v>
      </c>
      <c r="B38" s="1" t="s">
        <v>867</v>
      </c>
      <c r="C38" s="1" t="s">
        <v>868</v>
      </c>
      <c r="D38" s="1" t="s">
        <v>3539</v>
      </c>
      <c r="E38" s="1" t="s">
        <v>3540</v>
      </c>
      <c r="F38" s="1" t="s">
        <v>785</v>
      </c>
      <c r="G38" s="1" t="s">
        <v>2</v>
      </c>
      <c r="H38" s="1" t="s">
        <v>3539</v>
      </c>
      <c r="I38" s="1" t="s">
        <v>32</v>
      </c>
      <c r="J38" s="1" t="s">
        <v>32</v>
      </c>
      <c r="K38" s="1" t="s">
        <v>194</v>
      </c>
      <c r="L38" s="1" t="s">
        <v>194</v>
      </c>
      <c r="M38" s="1" t="s">
        <v>3538</v>
      </c>
      <c r="N38" s="1" t="b">
        <f>VLOOKUP(_org_unit_[[#This Row],[TB_GOSB]],_org_unit___v20[TB_GOSB],1,0)=_org_unit_[[#This Row],[TB_GOSB]]</f>
        <v>1</v>
      </c>
    </row>
    <row r="39" spans="1:14" s="1" customFormat="1" x14ac:dyDescent="0.25">
      <c r="A39" s="1" t="s">
        <v>611</v>
      </c>
      <c r="B39" s="1" t="s">
        <v>867</v>
      </c>
      <c r="C39" s="1" t="s">
        <v>868</v>
      </c>
      <c r="D39" s="1" t="s">
        <v>32</v>
      </c>
      <c r="E39" s="1" t="s">
        <v>788</v>
      </c>
      <c r="F39" s="1" t="s">
        <v>789</v>
      </c>
      <c r="G39" s="1" t="s">
        <v>2</v>
      </c>
      <c r="H39" s="1" t="s">
        <v>32</v>
      </c>
      <c r="I39" s="1" t="s">
        <v>32</v>
      </c>
      <c r="J39" s="1" t="s">
        <v>32</v>
      </c>
      <c r="K39" s="1" t="s">
        <v>194</v>
      </c>
      <c r="L39" s="1" t="s">
        <v>194</v>
      </c>
      <c r="M39" s="1" t="s">
        <v>3425</v>
      </c>
      <c r="N39" s="1" t="b">
        <f>VLOOKUP(_org_unit_[[#This Row],[TB_GOSB]],_org_unit___v20[TB_GOSB],1,0)=_org_unit_[[#This Row],[TB_GOSB]]</f>
        <v>1</v>
      </c>
    </row>
    <row r="40" spans="1:14" x14ac:dyDescent="0.25">
      <c r="A40" s="1" t="s">
        <v>611</v>
      </c>
      <c r="B40" s="1" t="s">
        <v>867</v>
      </c>
      <c r="C40" s="1" t="s">
        <v>868</v>
      </c>
      <c r="D40" s="1" t="s">
        <v>876</v>
      </c>
      <c r="E40" s="1" t="s">
        <v>877</v>
      </c>
      <c r="F40" s="1" t="s">
        <v>785</v>
      </c>
      <c r="G40" s="1" t="s">
        <v>549</v>
      </c>
      <c r="H40" s="1" t="s">
        <v>876</v>
      </c>
      <c r="I40" s="1" t="s">
        <v>806</v>
      </c>
      <c r="J40" s="1" t="s">
        <v>806</v>
      </c>
      <c r="K40" s="1" t="s">
        <v>194</v>
      </c>
      <c r="L40" s="1" t="s">
        <v>194</v>
      </c>
      <c r="M40" s="1" t="s">
        <v>3497</v>
      </c>
      <c r="N40" s="1" t="b">
        <f>VLOOKUP(_org_unit_[[#This Row],[TB_GOSB]],_org_unit___v20[TB_GOSB],1,0)=_org_unit_[[#This Row],[TB_GOSB]]</f>
        <v>1</v>
      </c>
    </row>
    <row r="41" spans="1:14" x14ac:dyDescent="0.25">
      <c r="A41" s="1" t="s">
        <v>611</v>
      </c>
      <c r="B41" s="1" t="s">
        <v>867</v>
      </c>
      <c r="C41" s="1" t="s">
        <v>868</v>
      </c>
      <c r="D41" s="1" t="s">
        <v>871</v>
      </c>
      <c r="E41" s="1" t="s">
        <v>872</v>
      </c>
      <c r="F41" s="1" t="s">
        <v>785</v>
      </c>
      <c r="G41" s="1" t="s">
        <v>2</v>
      </c>
      <c r="H41" s="1" t="s">
        <v>871</v>
      </c>
      <c r="I41" s="1" t="s">
        <v>848</v>
      </c>
      <c r="J41" s="1" t="s">
        <v>848</v>
      </c>
      <c r="K41" s="1" t="s">
        <v>194</v>
      </c>
      <c r="L41" s="1" t="s">
        <v>194</v>
      </c>
      <c r="M41" s="1" t="s">
        <v>3518</v>
      </c>
      <c r="N41" s="1" t="b">
        <f>VLOOKUP(_org_unit_[[#This Row],[TB_GOSB]],_org_unit___v20[TB_GOSB],1,0)=_org_unit_[[#This Row],[TB_GOSB]]</f>
        <v>1</v>
      </c>
    </row>
    <row r="42" spans="1:14" x14ac:dyDescent="0.25">
      <c r="A42" s="1" t="s">
        <v>611</v>
      </c>
      <c r="B42" s="1" t="s">
        <v>867</v>
      </c>
      <c r="C42" s="1" t="s">
        <v>868</v>
      </c>
      <c r="D42" s="1" t="s">
        <v>624</v>
      </c>
      <c r="E42" s="1" t="s">
        <v>873</v>
      </c>
      <c r="F42" s="1" t="s">
        <v>785</v>
      </c>
      <c r="G42" s="1" t="s">
        <v>2</v>
      </c>
      <c r="H42" s="1" t="s">
        <v>624</v>
      </c>
      <c r="I42" s="1" t="s">
        <v>858</v>
      </c>
      <c r="J42" s="1" t="s">
        <v>858</v>
      </c>
      <c r="K42" s="1" t="s">
        <v>194</v>
      </c>
      <c r="L42" s="1" t="s">
        <v>194</v>
      </c>
      <c r="M42" s="1" t="s">
        <v>3432</v>
      </c>
      <c r="N42" s="1" t="b">
        <f>VLOOKUP(_org_unit_[[#This Row],[TB_GOSB]],_org_unit___v20[TB_GOSB],1,0)=_org_unit_[[#This Row],[TB_GOSB]]</f>
        <v>1</v>
      </c>
    </row>
    <row r="43" spans="1:14" x14ac:dyDescent="0.25">
      <c r="A43" s="1" t="s">
        <v>611</v>
      </c>
      <c r="B43" s="1" t="s">
        <v>867</v>
      </c>
      <c r="C43" s="1" t="s">
        <v>868</v>
      </c>
      <c r="D43" s="1" t="s">
        <v>884</v>
      </c>
      <c r="E43" s="1" t="s">
        <v>885</v>
      </c>
      <c r="F43" s="1" t="s">
        <v>785</v>
      </c>
      <c r="G43" s="1" t="s">
        <v>549</v>
      </c>
      <c r="H43" s="1" t="s">
        <v>884</v>
      </c>
      <c r="I43" s="1" t="s">
        <v>36</v>
      </c>
      <c r="J43" s="1" t="s">
        <v>36</v>
      </c>
      <c r="K43" s="1" t="s">
        <v>194</v>
      </c>
      <c r="L43" s="1" t="s">
        <v>194</v>
      </c>
      <c r="M43" s="1" t="s">
        <v>3494</v>
      </c>
      <c r="N43" s="1" t="b">
        <f>VLOOKUP(_org_unit_[[#This Row],[TB_GOSB]],_org_unit___v20[TB_GOSB],1,0)=_org_unit_[[#This Row],[TB_GOSB]]</f>
        <v>1</v>
      </c>
    </row>
    <row r="44" spans="1:14" x14ac:dyDescent="0.25">
      <c r="A44" s="1" t="s">
        <v>611</v>
      </c>
      <c r="B44" s="1" t="s">
        <v>867</v>
      </c>
      <c r="C44" s="1" t="s">
        <v>868</v>
      </c>
      <c r="D44" s="1" t="s">
        <v>874</v>
      </c>
      <c r="E44" s="1" t="s">
        <v>875</v>
      </c>
      <c r="F44" s="1" t="s">
        <v>785</v>
      </c>
      <c r="G44" s="1" t="s">
        <v>314</v>
      </c>
      <c r="H44" s="1" t="s">
        <v>874</v>
      </c>
      <c r="I44" s="1" t="s">
        <v>792</v>
      </c>
      <c r="J44" s="1" t="s">
        <v>792</v>
      </c>
      <c r="K44" s="1" t="s">
        <v>194</v>
      </c>
      <c r="L44" s="1" t="s">
        <v>194</v>
      </c>
      <c r="M44" s="1" t="s">
        <v>3498</v>
      </c>
      <c r="N44" s="1" t="b">
        <f>VLOOKUP(_org_unit_[[#This Row],[TB_GOSB]],_org_unit___v20[TB_GOSB],1,0)=_org_unit_[[#This Row],[TB_GOSB]]</f>
        <v>1</v>
      </c>
    </row>
    <row r="45" spans="1:14" x14ac:dyDescent="0.25">
      <c r="A45" s="1" t="s">
        <v>611</v>
      </c>
      <c r="B45" s="1" t="s">
        <v>867</v>
      </c>
      <c r="C45" s="1" t="s">
        <v>868</v>
      </c>
      <c r="D45" s="1" t="s">
        <v>886</v>
      </c>
      <c r="E45" s="1" t="s">
        <v>887</v>
      </c>
      <c r="F45" s="1" t="s">
        <v>785</v>
      </c>
      <c r="G45" s="1" t="s">
        <v>549</v>
      </c>
      <c r="H45" s="1" t="s">
        <v>886</v>
      </c>
      <c r="I45" s="1" t="s">
        <v>836</v>
      </c>
      <c r="J45" s="1" t="s">
        <v>836</v>
      </c>
      <c r="K45" s="1" t="s">
        <v>194</v>
      </c>
      <c r="L45" s="1" t="s">
        <v>194</v>
      </c>
      <c r="M45" s="1" t="s">
        <v>3495</v>
      </c>
      <c r="N45" s="1" t="b">
        <f>VLOOKUP(_org_unit_[[#This Row],[TB_GOSB]],_org_unit___v20[TB_GOSB],1,0)=_org_unit_[[#This Row],[TB_GOSB]]</f>
        <v>1</v>
      </c>
    </row>
    <row r="46" spans="1:14" x14ac:dyDescent="0.25">
      <c r="A46" s="1" t="s">
        <v>611</v>
      </c>
      <c r="B46" s="1" t="s">
        <v>867</v>
      </c>
      <c r="C46" s="1" t="s">
        <v>868</v>
      </c>
      <c r="D46" s="1" t="s">
        <v>880</v>
      </c>
      <c r="E46" s="1" t="s">
        <v>881</v>
      </c>
      <c r="F46" s="1" t="s">
        <v>785</v>
      </c>
      <c r="G46" s="1" t="s">
        <v>314</v>
      </c>
      <c r="H46" s="1" t="s">
        <v>880</v>
      </c>
      <c r="I46" s="1" t="s">
        <v>36</v>
      </c>
      <c r="J46" s="1" t="s">
        <v>36</v>
      </c>
      <c r="K46" s="1" t="s">
        <v>194</v>
      </c>
      <c r="L46" s="1" t="s">
        <v>194</v>
      </c>
      <c r="M46" s="1" t="s">
        <v>3499</v>
      </c>
      <c r="N46" s="1" t="b">
        <f>VLOOKUP(_org_unit_[[#This Row],[TB_GOSB]],_org_unit___v20[TB_GOSB],1,0)=_org_unit_[[#This Row],[TB_GOSB]]</f>
        <v>1</v>
      </c>
    </row>
    <row r="47" spans="1:14" x14ac:dyDescent="0.25">
      <c r="A47" s="1" t="s">
        <v>611</v>
      </c>
      <c r="B47" s="1" t="s">
        <v>867</v>
      </c>
      <c r="C47" s="1" t="s">
        <v>868</v>
      </c>
      <c r="D47" s="1" t="s">
        <v>882</v>
      </c>
      <c r="E47" s="1" t="s">
        <v>883</v>
      </c>
      <c r="F47" s="1" t="s">
        <v>785</v>
      </c>
      <c r="G47" s="1" t="s">
        <v>2</v>
      </c>
      <c r="H47" s="1" t="s">
        <v>882</v>
      </c>
      <c r="I47" s="1" t="s">
        <v>812</v>
      </c>
      <c r="J47" s="1" t="s">
        <v>812</v>
      </c>
      <c r="K47" s="1" t="s">
        <v>194</v>
      </c>
      <c r="L47" s="1" t="s">
        <v>194</v>
      </c>
      <c r="M47" s="1" t="s">
        <v>3447</v>
      </c>
      <c r="N47" s="1" t="b">
        <f>VLOOKUP(_org_unit_[[#This Row],[TB_GOSB]],_org_unit___v20[TB_GOSB],1,0)=_org_unit_[[#This Row],[TB_GOSB]]</f>
        <v>1</v>
      </c>
    </row>
    <row r="48" spans="1:14" x14ac:dyDescent="0.25">
      <c r="A48" s="1" t="s">
        <v>611</v>
      </c>
      <c r="B48" s="1" t="s">
        <v>867</v>
      </c>
      <c r="C48" s="1" t="s">
        <v>868</v>
      </c>
      <c r="D48" s="1" t="s">
        <v>878</v>
      </c>
      <c r="E48" s="1" t="s">
        <v>879</v>
      </c>
      <c r="F48" s="1" t="s">
        <v>785</v>
      </c>
      <c r="G48" s="1" t="s">
        <v>549</v>
      </c>
      <c r="H48" s="1" t="s">
        <v>878</v>
      </c>
      <c r="I48" s="1" t="s">
        <v>36</v>
      </c>
      <c r="J48" s="1" t="s">
        <v>36</v>
      </c>
      <c r="K48" s="1" t="s">
        <v>194</v>
      </c>
      <c r="L48" s="1" t="s">
        <v>194</v>
      </c>
      <c r="M48" s="1" t="s">
        <v>3500</v>
      </c>
      <c r="N48" s="1" t="b">
        <f>VLOOKUP(_org_unit_[[#This Row],[TB_GOSB]],_org_unit___v20[TB_GOSB],1,0)=_org_unit_[[#This Row],[TB_GOSB]]</f>
        <v>1</v>
      </c>
    </row>
    <row r="49" spans="1:14" x14ac:dyDescent="0.25">
      <c r="A49" s="1" t="s">
        <v>611</v>
      </c>
      <c r="B49" s="1" t="s">
        <v>867</v>
      </c>
      <c r="C49" s="1" t="s">
        <v>868</v>
      </c>
      <c r="D49" s="1" t="s">
        <v>888</v>
      </c>
      <c r="E49" s="1" t="s">
        <v>889</v>
      </c>
      <c r="F49" s="1" t="s">
        <v>785</v>
      </c>
      <c r="G49" s="1" t="s">
        <v>314</v>
      </c>
      <c r="H49" s="1" t="s">
        <v>888</v>
      </c>
      <c r="I49" s="1" t="s">
        <v>801</v>
      </c>
      <c r="J49" s="1" t="s">
        <v>801</v>
      </c>
      <c r="K49" s="1" t="s">
        <v>194</v>
      </c>
      <c r="L49" s="1" t="s">
        <v>194</v>
      </c>
      <c r="M49" s="1" t="s">
        <v>3501</v>
      </c>
      <c r="N49" s="1" t="b">
        <f>VLOOKUP(_org_unit_[[#This Row],[TB_GOSB]],_org_unit___v20[TB_GOSB],1,0)=_org_unit_[[#This Row],[TB_GOSB]]</f>
        <v>1</v>
      </c>
    </row>
    <row r="50" spans="1:14" x14ac:dyDescent="0.25">
      <c r="A50" s="1" t="s">
        <v>611</v>
      </c>
      <c r="B50" s="1" t="s">
        <v>867</v>
      </c>
      <c r="C50" s="1" t="s">
        <v>868</v>
      </c>
      <c r="D50" s="1" t="s">
        <v>890</v>
      </c>
      <c r="E50" s="1" t="s">
        <v>891</v>
      </c>
      <c r="F50" s="1" t="s">
        <v>785</v>
      </c>
      <c r="G50" s="1" t="s">
        <v>308</v>
      </c>
      <c r="H50" s="1" t="s">
        <v>890</v>
      </c>
      <c r="I50" s="1" t="s">
        <v>322</v>
      </c>
      <c r="J50" s="1" t="s">
        <v>322</v>
      </c>
      <c r="K50" s="1" t="s">
        <v>194</v>
      </c>
      <c r="L50" s="1" t="s">
        <v>194</v>
      </c>
      <c r="M50" s="1" t="s">
        <v>3502</v>
      </c>
      <c r="N50" s="1" t="b">
        <f>VLOOKUP(_org_unit_[[#This Row],[TB_GOSB]],_org_unit___v20[TB_GOSB],1,0)=_org_unit_[[#This Row],[TB_GOSB]]</f>
        <v>1</v>
      </c>
    </row>
    <row r="51" spans="1:14" x14ac:dyDescent="0.25">
      <c r="A51" s="1" t="s">
        <v>611</v>
      </c>
      <c r="B51" s="1" t="s">
        <v>867</v>
      </c>
      <c r="C51" s="1" t="s">
        <v>868</v>
      </c>
      <c r="D51" s="1" t="s">
        <v>668</v>
      </c>
      <c r="E51" s="1" t="s">
        <v>892</v>
      </c>
      <c r="F51" s="1" t="s">
        <v>785</v>
      </c>
      <c r="G51" s="1" t="s">
        <v>2</v>
      </c>
      <c r="H51" s="1" t="s">
        <v>668</v>
      </c>
      <c r="I51" s="1" t="s">
        <v>812</v>
      </c>
      <c r="J51" s="1" t="s">
        <v>812</v>
      </c>
      <c r="K51" s="1" t="s">
        <v>194</v>
      </c>
      <c r="L51" s="1" t="s">
        <v>194</v>
      </c>
      <c r="M51" s="1" t="s">
        <v>3424</v>
      </c>
      <c r="N51" s="1" t="b">
        <f>VLOOKUP(_org_unit_[[#This Row],[TB_GOSB]],_org_unit___v20[TB_GOSB],1,0)=_org_unit_[[#This Row],[TB_GOSB]]</f>
        <v>1</v>
      </c>
    </row>
    <row r="52" spans="1:14" x14ac:dyDescent="0.25">
      <c r="A52" s="1" t="s">
        <v>611</v>
      </c>
      <c r="B52" s="1" t="s">
        <v>867</v>
      </c>
      <c r="C52" s="1" t="s">
        <v>868</v>
      </c>
      <c r="D52" s="1" t="s">
        <v>893</v>
      </c>
      <c r="E52" s="1" t="s">
        <v>894</v>
      </c>
      <c r="F52" s="1" t="s">
        <v>785</v>
      </c>
      <c r="G52" s="1" t="s">
        <v>308</v>
      </c>
      <c r="H52" s="1" t="s">
        <v>893</v>
      </c>
      <c r="I52" s="1" t="s">
        <v>36</v>
      </c>
      <c r="J52" s="1" t="s">
        <v>36</v>
      </c>
      <c r="K52" s="1" t="s">
        <v>194</v>
      </c>
      <c r="L52" s="1" t="s">
        <v>194</v>
      </c>
      <c r="M52" s="1" t="s">
        <v>3496</v>
      </c>
      <c r="N52" s="1" t="b">
        <f>VLOOKUP(_org_unit_[[#This Row],[TB_GOSB]],_org_unit___v20[TB_GOSB],1,0)=_org_unit_[[#This Row],[TB_GOSB]]</f>
        <v>1</v>
      </c>
    </row>
    <row r="53" spans="1:14" x14ac:dyDescent="0.25">
      <c r="A53" s="1" t="s">
        <v>612</v>
      </c>
      <c r="B53" s="1" t="s">
        <v>895</v>
      </c>
      <c r="C53" s="1" t="s">
        <v>896</v>
      </c>
      <c r="D53" s="1" t="s">
        <v>897</v>
      </c>
      <c r="E53" s="1" t="s">
        <v>898</v>
      </c>
      <c r="F53" s="1" t="s">
        <v>789</v>
      </c>
      <c r="G53" s="1" t="s">
        <v>2</v>
      </c>
      <c r="H53" s="1" t="s">
        <v>897</v>
      </c>
      <c r="I53" s="1" t="s">
        <v>322</v>
      </c>
      <c r="J53" s="1" t="s">
        <v>322</v>
      </c>
      <c r="K53" s="1" t="s">
        <v>194</v>
      </c>
      <c r="L53" s="1" t="s">
        <v>2878</v>
      </c>
      <c r="M53" s="1" t="s">
        <v>3519</v>
      </c>
      <c r="N53" s="1" t="b">
        <f>VLOOKUP(_org_unit_[[#This Row],[TB_GOSB]],_org_unit___v20[TB_GOSB],1,0)=_org_unit_[[#This Row],[TB_GOSB]]</f>
        <v>1</v>
      </c>
    </row>
    <row r="54" spans="1:14" x14ac:dyDescent="0.25">
      <c r="A54" s="1" t="s">
        <v>612</v>
      </c>
      <c r="B54" s="1" t="s">
        <v>895</v>
      </c>
      <c r="C54" s="1" t="s">
        <v>896</v>
      </c>
      <c r="D54" s="1" t="s">
        <v>32</v>
      </c>
      <c r="E54" s="1" t="s">
        <v>788</v>
      </c>
      <c r="F54" s="1" t="s">
        <v>789</v>
      </c>
      <c r="G54" s="1" t="s">
        <v>2</v>
      </c>
      <c r="H54" s="1" t="s">
        <v>32</v>
      </c>
      <c r="I54" s="1" t="s">
        <v>32</v>
      </c>
      <c r="J54" s="1" t="s">
        <v>32</v>
      </c>
      <c r="K54" s="1" t="s">
        <v>194</v>
      </c>
      <c r="L54" s="1" t="s">
        <v>194</v>
      </c>
      <c r="M54" s="1" t="s">
        <v>3423</v>
      </c>
      <c r="N54" s="1" t="b">
        <f>VLOOKUP(_org_unit_[[#This Row],[TB_GOSB]],_org_unit___v20[TB_GOSB],1,0)=_org_unit_[[#This Row],[TB_GOSB]]</f>
        <v>1</v>
      </c>
    </row>
    <row r="55" spans="1:14" x14ac:dyDescent="0.25">
      <c r="A55" s="1" t="s">
        <v>612</v>
      </c>
      <c r="B55" s="1" t="s">
        <v>895</v>
      </c>
      <c r="C55" s="1" t="s">
        <v>896</v>
      </c>
      <c r="D55" s="1" t="s">
        <v>899</v>
      </c>
      <c r="E55" s="1" t="s">
        <v>900</v>
      </c>
      <c r="F55" s="1" t="s">
        <v>785</v>
      </c>
      <c r="G55" s="1" t="s">
        <v>2</v>
      </c>
      <c r="H55" s="1" t="s">
        <v>899</v>
      </c>
      <c r="I55" s="1" t="s">
        <v>901</v>
      </c>
      <c r="J55" s="1" t="s">
        <v>901</v>
      </c>
      <c r="K55" s="1" t="s">
        <v>194</v>
      </c>
      <c r="L55" s="1" t="s">
        <v>194</v>
      </c>
      <c r="M55" s="1" t="s">
        <v>3435</v>
      </c>
      <c r="N55" s="1" t="b">
        <f>VLOOKUP(_org_unit_[[#This Row],[TB_GOSB]],_org_unit___v20[TB_GOSB],1,0)=_org_unit_[[#This Row],[TB_GOSB]]</f>
        <v>1</v>
      </c>
    </row>
    <row r="56" spans="1:14" x14ac:dyDescent="0.25">
      <c r="A56" s="1" t="s">
        <v>612</v>
      </c>
      <c r="B56" s="1" t="s">
        <v>895</v>
      </c>
      <c r="C56" s="1" t="s">
        <v>896</v>
      </c>
      <c r="D56" s="1" t="s">
        <v>902</v>
      </c>
      <c r="E56" s="1" t="s">
        <v>903</v>
      </c>
      <c r="F56" s="1" t="s">
        <v>785</v>
      </c>
      <c r="G56" s="1" t="s">
        <v>314</v>
      </c>
      <c r="H56" s="1" t="s">
        <v>902</v>
      </c>
      <c r="I56" s="1" t="s">
        <v>36</v>
      </c>
      <c r="J56" s="1" t="s">
        <v>36</v>
      </c>
      <c r="K56" s="1" t="s">
        <v>194</v>
      </c>
      <c r="L56" s="1" t="s">
        <v>194</v>
      </c>
      <c r="M56" s="1" t="s">
        <v>3471</v>
      </c>
      <c r="N56" s="1" t="b">
        <f>VLOOKUP(_org_unit_[[#This Row],[TB_GOSB]],_org_unit___v20[TB_GOSB],1,0)=_org_unit_[[#This Row],[TB_GOSB]]</f>
        <v>1</v>
      </c>
    </row>
    <row r="57" spans="1:14" x14ac:dyDescent="0.25">
      <c r="A57" s="1" t="s">
        <v>612</v>
      </c>
      <c r="B57" s="1" t="s">
        <v>895</v>
      </c>
      <c r="C57" s="1" t="s">
        <v>896</v>
      </c>
      <c r="D57" s="1" t="s">
        <v>904</v>
      </c>
      <c r="E57" s="1" t="s">
        <v>905</v>
      </c>
      <c r="F57" s="1" t="s">
        <v>785</v>
      </c>
      <c r="G57" s="1" t="s">
        <v>2</v>
      </c>
      <c r="H57" s="1" t="s">
        <v>904</v>
      </c>
      <c r="I57" s="1" t="s">
        <v>379</v>
      </c>
      <c r="J57" s="1" t="s">
        <v>379</v>
      </c>
      <c r="K57" s="1" t="s">
        <v>194</v>
      </c>
      <c r="L57" s="1" t="s">
        <v>194</v>
      </c>
      <c r="M57" s="1" t="s">
        <v>3466</v>
      </c>
      <c r="N57" s="1" t="b">
        <f>VLOOKUP(_org_unit_[[#This Row],[TB_GOSB]],_org_unit___v20[TB_GOSB],1,0)=_org_unit_[[#This Row],[TB_GOSB]]</f>
        <v>1</v>
      </c>
    </row>
    <row r="58" spans="1:14" x14ac:dyDescent="0.25">
      <c r="A58" s="1" t="s">
        <v>612</v>
      </c>
      <c r="B58" s="1" t="s">
        <v>895</v>
      </c>
      <c r="C58" s="1" t="s">
        <v>896</v>
      </c>
      <c r="D58" s="1" t="s">
        <v>908</v>
      </c>
      <c r="E58" s="1" t="s">
        <v>909</v>
      </c>
      <c r="F58" s="1" t="s">
        <v>785</v>
      </c>
      <c r="G58" s="1" t="s">
        <v>314</v>
      </c>
      <c r="H58" s="1" t="s">
        <v>908</v>
      </c>
      <c r="I58" s="1" t="s">
        <v>36</v>
      </c>
      <c r="J58" s="1" t="s">
        <v>36</v>
      </c>
      <c r="K58" s="1" t="s">
        <v>194</v>
      </c>
      <c r="L58" s="1" t="s">
        <v>194</v>
      </c>
      <c r="M58" s="1" t="s">
        <v>3468</v>
      </c>
      <c r="N58" s="1" t="b">
        <f>VLOOKUP(_org_unit_[[#This Row],[TB_GOSB]],_org_unit___v20[TB_GOSB],1,0)=_org_unit_[[#This Row],[TB_GOSB]]</f>
        <v>1</v>
      </c>
    </row>
    <row r="59" spans="1:14" x14ac:dyDescent="0.25">
      <c r="A59" s="1" t="s">
        <v>612</v>
      </c>
      <c r="B59" s="1" t="s">
        <v>895</v>
      </c>
      <c r="C59" s="1" t="s">
        <v>896</v>
      </c>
      <c r="D59" s="1" t="s">
        <v>916</v>
      </c>
      <c r="E59" s="1" t="s">
        <v>917</v>
      </c>
      <c r="F59" s="1" t="s">
        <v>785</v>
      </c>
      <c r="G59" s="1" t="s">
        <v>317</v>
      </c>
      <c r="H59" s="1" t="s">
        <v>916</v>
      </c>
      <c r="I59" s="1" t="s">
        <v>549</v>
      </c>
      <c r="J59" s="1" t="s">
        <v>590</v>
      </c>
      <c r="K59" s="1" t="s">
        <v>194</v>
      </c>
      <c r="L59" s="1" t="s">
        <v>194</v>
      </c>
      <c r="M59" s="1" t="s">
        <v>3467</v>
      </c>
      <c r="N59" s="1" t="b">
        <f>VLOOKUP(_org_unit_[[#This Row],[TB_GOSB]],_org_unit___v20[TB_GOSB],1,0)=_org_unit_[[#This Row],[TB_GOSB]]</f>
        <v>1</v>
      </c>
    </row>
    <row r="60" spans="1:14" x14ac:dyDescent="0.25">
      <c r="A60" s="1" t="s">
        <v>612</v>
      </c>
      <c r="B60" s="1" t="s">
        <v>895</v>
      </c>
      <c r="C60" s="1" t="s">
        <v>896</v>
      </c>
      <c r="D60" s="1" t="s">
        <v>906</v>
      </c>
      <c r="E60" s="1" t="s">
        <v>907</v>
      </c>
      <c r="F60" s="1" t="s">
        <v>785</v>
      </c>
      <c r="G60" s="1" t="s">
        <v>549</v>
      </c>
      <c r="H60" s="1" t="s">
        <v>906</v>
      </c>
      <c r="I60" s="1" t="s">
        <v>836</v>
      </c>
      <c r="J60" s="1" t="s">
        <v>836</v>
      </c>
      <c r="K60" s="1" t="s">
        <v>194</v>
      </c>
      <c r="L60" s="1" t="s">
        <v>194</v>
      </c>
      <c r="M60" s="1" t="s">
        <v>3470</v>
      </c>
      <c r="N60" s="1" t="b">
        <f>VLOOKUP(_org_unit_[[#This Row],[TB_GOSB]],_org_unit___v20[TB_GOSB],1,0)=_org_unit_[[#This Row],[TB_GOSB]]</f>
        <v>1</v>
      </c>
    </row>
    <row r="61" spans="1:14" x14ac:dyDescent="0.25">
      <c r="A61" s="1" t="s">
        <v>612</v>
      </c>
      <c r="B61" s="1" t="s">
        <v>895</v>
      </c>
      <c r="C61" s="1" t="s">
        <v>896</v>
      </c>
      <c r="D61" s="1" t="s">
        <v>910</v>
      </c>
      <c r="E61" s="1" t="s">
        <v>911</v>
      </c>
      <c r="F61" s="1" t="s">
        <v>785</v>
      </c>
      <c r="G61" s="1" t="s">
        <v>2</v>
      </c>
      <c r="H61" s="1" t="s">
        <v>910</v>
      </c>
      <c r="I61" s="1" t="s">
        <v>795</v>
      </c>
      <c r="J61" s="1" t="s">
        <v>795</v>
      </c>
      <c r="K61" s="1" t="s">
        <v>194</v>
      </c>
      <c r="L61" s="1" t="s">
        <v>194</v>
      </c>
      <c r="M61" s="1" t="s">
        <v>3436</v>
      </c>
      <c r="N61" s="1" t="b">
        <f>VLOOKUP(_org_unit_[[#This Row],[TB_GOSB]],_org_unit___v20[TB_GOSB],1,0)=_org_unit_[[#This Row],[TB_GOSB]]</f>
        <v>1</v>
      </c>
    </row>
    <row r="62" spans="1:14" x14ac:dyDescent="0.25">
      <c r="A62" s="1" t="s">
        <v>612</v>
      </c>
      <c r="B62" s="1" t="s">
        <v>895</v>
      </c>
      <c r="C62" s="1" t="s">
        <v>896</v>
      </c>
      <c r="D62" s="1" t="s">
        <v>912</v>
      </c>
      <c r="E62" s="1" t="s">
        <v>913</v>
      </c>
      <c r="F62" s="1" t="s">
        <v>785</v>
      </c>
      <c r="G62" s="1" t="s">
        <v>308</v>
      </c>
      <c r="H62" s="1" t="s">
        <v>912</v>
      </c>
      <c r="I62" s="1" t="s">
        <v>806</v>
      </c>
      <c r="J62" s="1" t="s">
        <v>806</v>
      </c>
      <c r="K62" s="1" t="s">
        <v>194</v>
      </c>
      <c r="L62" s="1" t="s">
        <v>194</v>
      </c>
      <c r="M62" s="1" t="s">
        <v>3472</v>
      </c>
      <c r="N62" s="1" t="b">
        <f>VLOOKUP(_org_unit_[[#This Row],[TB_GOSB]],_org_unit___v20[TB_GOSB],1,0)=_org_unit_[[#This Row],[TB_GOSB]]</f>
        <v>1</v>
      </c>
    </row>
    <row r="63" spans="1:14" x14ac:dyDescent="0.25">
      <c r="A63" s="1" t="s">
        <v>612</v>
      </c>
      <c r="B63" s="1" t="s">
        <v>895</v>
      </c>
      <c r="C63" s="1" t="s">
        <v>896</v>
      </c>
      <c r="D63" s="1" t="s">
        <v>914</v>
      </c>
      <c r="E63" s="1" t="s">
        <v>915</v>
      </c>
      <c r="F63" s="1" t="s">
        <v>785</v>
      </c>
      <c r="G63" s="1" t="s">
        <v>549</v>
      </c>
      <c r="H63" s="1" t="s">
        <v>914</v>
      </c>
      <c r="I63" s="1" t="s">
        <v>801</v>
      </c>
      <c r="J63" s="1" t="s">
        <v>801</v>
      </c>
      <c r="K63" s="1" t="s">
        <v>194</v>
      </c>
      <c r="L63" s="1" t="s">
        <v>194</v>
      </c>
      <c r="M63" s="1" t="s">
        <v>3469</v>
      </c>
      <c r="N63" s="1" t="b">
        <f>VLOOKUP(_org_unit_[[#This Row],[TB_GOSB]],_org_unit___v20[TB_GOSB],1,0)=_org_unit_[[#This Row],[TB_GOSB]]</f>
        <v>1</v>
      </c>
    </row>
    <row r="64" spans="1:14" x14ac:dyDescent="0.25">
      <c r="A64" s="1" t="s">
        <v>613</v>
      </c>
      <c r="B64" s="1" t="s">
        <v>918</v>
      </c>
      <c r="C64" s="1" t="s">
        <v>919</v>
      </c>
      <c r="D64" s="1" t="s">
        <v>925</v>
      </c>
      <c r="E64" s="1" t="s">
        <v>926</v>
      </c>
      <c r="F64" s="1" t="s">
        <v>785</v>
      </c>
      <c r="G64" s="1" t="s">
        <v>317</v>
      </c>
      <c r="H64" s="1" t="s">
        <v>927</v>
      </c>
      <c r="I64" s="1" t="s">
        <v>32</v>
      </c>
      <c r="J64" s="1" t="s">
        <v>32</v>
      </c>
      <c r="K64" s="1" t="s">
        <v>194</v>
      </c>
      <c r="L64" s="1" t="s">
        <v>194</v>
      </c>
      <c r="M64" s="1" t="s">
        <v>3493</v>
      </c>
      <c r="N64" s="1" t="b">
        <f>VLOOKUP(_org_unit_[[#This Row],[TB_GOSB]],_org_unit___v20[TB_GOSB],1,0)=_org_unit_[[#This Row],[TB_GOSB]]</f>
        <v>1</v>
      </c>
    </row>
    <row r="65" spans="1:14" x14ac:dyDescent="0.25">
      <c r="A65" s="1" t="s">
        <v>613</v>
      </c>
      <c r="B65" s="1" t="s">
        <v>918</v>
      </c>
      <c r="C65" s="1" t="s">
        <v>919</v>
      </c>
      <c r="D65" s="1" t="s">
        <v>625</v>
      </c>
      <c r="E65" s="1" t="s">
        <v>931</v>
      </c>
      <c r="F65" s="1" t="s">
        <v>785</v>
      </c>
      <c r="G65" s="1" t="s">
        <v>308</v>
      </c>
      <c r="H65" s="1" t="s">
        <v>625</v>
      </c>
      <c r="I65" s="1" t="s">
        <v>932</v>
      </c>
      <c r="J65" s="1" t="s">
        <v>932</v>
      </c>
      <c r="K65" s="1" t="s">
        <v>194</v>
      </c>
      <c r="L65" s="1" t="s">
        <v>194</v>
      </c>
      <c r="M65" s="1" t="s">
        <v>3489</v>
      </c>
      <c r="N65" s="1" t="b">
        <f>VLOOKUP(_org_unit_[[#This Row],[TB_GOSB]],_org_unit___v20[TB_GOSB],1,0)=_org_unit_[[#This Row],[TB_GOSB]]</f>
        <v>1</v>
      </c>
    </row>
    <row r="66" spans="1:14" x14ac:dyDescent="0.25">
      <c r="A66" s="1" t="s">
        <v>613</v>
      </c>
      <c r="B66" s="1" t="s">
        <v>918</v>
      </c>
      <c r="C66" s="1" t="s">
        <v>919</v>
      </c>
      <c r="D66" s="1" t="s">
        <v>920</v>
      </c>
      <c r="E66" s="1" t="s">
        <v>921</v>
      </c>
      <c r="F66" s="1" t="s">
        <v>789</v>
      </c>
      <c r="G66" s="1" t="s">
        <v>2</v>
      </c>
      <c r="H66" s="1" t="s">
        <v>920</v>
      </c>
      <c r="I66" s="1" t="s">
        <v>605</v>
      </c>
      <c r="J66" s="1" t="s">
        <v>605</v>
      </c>
      <c r="K66" s="1" t="s">
        <v>194</v>
      </c>
      <c r="L66" s="1" t="s">
        <v>2878</v>
      </c>
      <c r="M66" s="1" t="s">
        <v>3437</v>
      </c>
      <c r="N66" s="1" t="b">
        <f>VLOOKUP(_org_unit_[[#This Row],[TB_GOSB]],_org_unit___v20[TB_GOSB],1,0)=_org_unit_[[#This Row],[TB_GOSB]]</f>
        <v>1</v>
      </c>
    </row>
    <row r="67" spans="1:14" x14ac:dyDescent="0.25">
      <c r="A67" s="1" t="s">
        <v>613</v>
      </c>
      <c r="B67" s="1" t="s">
        <v>918</v>
      </c>
      <c r="C67" s="1" t="s">
        <v>919</v>
      </c>
      <c r="D67" s="1" t="s">
        <v>32</v>
      </c>
      <c r="E67" s="1" t="s">
        <v>788</v>
      </c>
      <c r="F67" s="1" t="s">
        <v>789</v>
      </c>
      <c r="G67" s="1" t="s">
        <v>2</v>
      </c>
      <c r="H67" s="1" t="s">
        <v>32</v>
      </c>
      <c r="I67" s="1" t="s">
        <v>32</v>
      </c>
      <c r="J67" s="1" t="s">
        <v>32</v>
      </c>
      <c r="K67" s="1" t="s">
        <v>194</v>
      </c>
      <c r="L67" s="1" t="s">
        <v>194</v>
      </c>
      <c r="M67" s="1" t="s">
        <v>3419</v>
      </c>
      <c r="N67" s="1" t="b">
        <f>VLOOKUP(_org_unit_[[#This Row],[TB_GOSB]],_org_unit___v20[TB_GOSB],1,0)=_org_unit_[[#This Row],[TB_GOSB]]</f>
        <v>1</v>
      </c>
    </row>
    <row r="68" spans="1:14" x14ac:dyDescent="0.25">
      <c r="A68" s="1" t="s">
        <v>613</v>
      </c>
      <c r="B68" s="1" t="s">
        <v>918</v>
      </c>
      <c r="C68" s="1" t="s">
        <v>919</v>
      </c>
      <c r="D68" s="1" t="s">
        <v>922</v>
      </c>
      <c r="E68" s="1" t="s">
        <v>923</v>
      </c>
      <c r="F68" s="1" t="s">
        <v>785</v>
      </c>
      <c r="G68" s="1" t="s">
        <v>317</v>
      </c>
      <c r="H68" s="1" t="s">
        <v>924</v>
      </c>
      <c r="I68" s="1" t="s">
        <v>32</v>
      </c>
      <c r="J68" s="1" t="s">
        <v>32</v>
      </c>
      <c r="K68" s="1" t="s">
        <v>194</v>
      </c>
      <c r="L68" s="1" t="s">
        <v>194</v>
      </c>
      <c r="M68" s="1" t="s">
        <v>3520</v>
      </c>
      <c r="N68" s="1" t="b">
        <f>VLOOKUP(_org_unit_[[#This Row],[TB_GOSB]],_org_unit___v20[TB_GOSB],1,0)=_org_unit_[[#This Row],[TB_GOSB]]</f>
        <v>1</v>
      </c>
    </row>
    <row r="69" spans="1:14" x14ac:dyDescent="0.25">
      <c r="A69" s="1" t="s">
        <v>613</v>
      </c>
      <c r="B69" s="1" t="s">
        <v>918</v>
      </c>
      <c r="C69" s="1" t="s">
        <v>919</v>
      </c>
      <c r="D69" s="1" t="s">
        <v>933</v>
      </c>
      <c r="E69" s="1" t="s">
        <v>934</v>
      </c>
      <c r="F69" s="1" t="s">
        <v>785</v>
      </c>
      <c r="G69" s="1" t="s">
        <v>2</v>
      </c>
      <c r="H69" s="1" t="s">
        <v>933</v>
      </c>
      <c r="I69" s="1" t="s">
        <v>893</v>
      </c>
      <c r="J69" s="1" t="s">
        <v>893</v>
      </c>
      <c r="K69" s="1" t="s">
        <v>194</v>
      </c>
      <c r="L69" s="1" t="s">
        <v>194</v>
      </c>
      <c r="M69" s="1" t="s">
        <v>3487</v>
      </c>
      <c r="N69" s="1" t="b">
        <f>VLOOKUP(_org_unit_[[#This Row],[TB_GOSB]],_org_unit___v20[TB_GOSB],1,0)=_org_unit_[[#This Row],[TB_GOSB]]</f>
        <v>1</v>
      </c>
    </row>
    <row r="70" spans="1:14" x14ac:dyDescent="0.25">
      <c r="A70" s="1" t="s">
        <v>613</v>
      </c>
      <c r="B70" s="1" t="s">
        <v>918</v>
      </c>
      <c r="C70" s="1" t="s">
        <v>919</v>
      </c>
      <c r="D70" s="1" t="s">
        <v>935</v>
      </c>
      <c r="E70" s="1" t="s">
        <v>936</v>
      </c>
      <c r="F70" s="1" t="s">
        <v>785</v>
      </c>
      <c r="G70" s="1" t="s">
        <v>2</v>
      </c>
      <c r="H70" s="1" t="s">
        <v>935</v>
      </c>
      <c r="I70" s="1" t="s">
        <v>379</v>
      </c>
      <c r="J70" s="1" t="s">
        <v>379</v>
      </c>
      <c r="K70" s="1" t="s">
        <v>194</v>
      </c>
      <c r="L70" s="1" t="s">
        <v>194</v>
      </c>
      <c r="M70" s="1" t="s">
        <v>3491</v>
      </c>
      <c r="N70" s="1" t="b">
        <f>VLOOKUP(_org_unit_[[#This Row],[TB_GOSB]],_org_unit___v20[TB_GOSB],1,0)=_org_unit_[[#This Row],[TB_GOSB]]</f>
        <v>1</v>
      </c>
    </row>
    <row r="71" spans="1:14" x14ac:dyDescent="0.25">
      <c r="A71" s="1" t="s">
        <v>613</v>
      </c>
      <c r="B71" s="1" t="s">
        <v>918</v>
      </c>
      <c r="C71" s="1" t="s">
        <v>919</v>
      </c>
      <c r="D71" s="1" t="s">
        <v>928</v>
      </c>
      <c r="E71" s="1" t="s">
        <v>929</v>
      </c>
      <c r="F71" s="1" t="s">
        <v>785</v>
      </c>
      <c r="G71" s="1" t="s">
        <v>317</v>
      </c>
      <c r="H71" s="1" t="s">
        <v>930</v>
      </c>
      <c r="I71" s="1" t="s">
        <v>32</v>
      </c>
      <c r="J71" s="1" t="s">
        <v>32</v>
      </c>
      <c r="K71" s="1" t="s">
        <v>194</v>
      </c>
      <c r="L71" s="1" t="s">
        <v>194</v>
      </c>
      <c r="M71" s="1" t="s">
        <v>3521</v>
      </c>
      <c r="N71" s="1" t="b">
        <f>VLOOKUP(_org_unit_[[#This Row],[TB_GOSB]],_org_unit___v20[TB_GOSB],1,0)=_org_unit_[[#This Row],[TB_GOSB]]</f>
        <v>1</v>
      </c>
    </row>
    <row r="72" spans="1:14" x14ac:dyDescent="0.25">
      <c r="A72" s="1" t="s">
        <v>613</v>
      </c>
      <c r="B72" s="1" t="s">
        <v>918</v>
      </c>
      <c r="C72" s="1" t="s">
        <v>919</v>
      </c>
      <c r="D72" s="1" t="s">
        <v>924</v>
      </c>
      <c r="E72" s="1" t="s">
        <v>937</v>
      </c>
      <c r="F72" s="1" t="s">
        <v>785</v>
      </c>
      <c r="G72" s="1" t="s">
        <v>2</v>
      </c>
      <c r="H72" s="1" t="s">
        <v>924</v>
      </c>
      <c r="I72" s="1" t="s">
        <v>938</v>
      </c>
      <c r="J72" s="1" t="s">
        <v>938</v>
      </c>
      <c r="K72" s="1" t="s">
        <v>194</v>
      </c>
      <c r="L72" s="1" t="s">
        <v>194</v>
      </c>
      <c r="M72" s="1" t="s">
        <v>3490</v>
      </c>
      <c r="N72" s="1" t="b">
        <f>VLOOKUP(_org_unit_[[#This Row],[TB_GOSB]],_org_unit___v20[TB_GOSB],1,0)=_org_unit_[[#This Row],[TB_GOSB]]</f>
        <v>1</v>
      </c>
    </row>
    <row r="73" spans="1:14" x14ac:dyDescent="0.25">
      <c r="A73" s="1" t="s">
        <v>613</v>
      </c>
      <c r="B73" s="1" t="s">
        <v>918</v>
      </c>
      <c r="C73" s="1" t="s">
        <v>919</v>
      </c>
      <c r="D73" s="1" t="s">
        <v>927</v>
      </c>
      <c r="E73" s="1" t="s">
        <v>939</v>
      </c>
      <c r="F73" s="1" t="s">
        <v>785</v>
      </c>
      <c r="G73" s="1" t="s">
        <v>308</v>
      </c>
      <c r="H73" s="1" t="s">
        <v>927</v>
      </c>
      <c r="I73" s="1" t="s">
        <v>940</v>
      </c>
      <c r="J73" s="1" t="s">
        <v>940</v>
      </c>
      <c r="K73" s="1" t="s">
        <v>194</v>
      </c>
      <c r="L73" s="1" t="s">
        <v>194</v>
      </c>
      <c r="M73" s="1" t="s">
        <v>3492</v>
      </c>
      <c r="N73" s="1" t="b">
        <f>VLOOKUP(_org_unit_[[#This Row],[TB_GOSB]],_org_unit___v20[TB_GOSB],1,0)=_org_unit_[[#This Row],[TB_GOSB]]</f>
        <v>1</v>
      </c>
    </row>
    <row r="74" spans="1:14" x14ac:dyDescent="0.25">
      <c r="A74" s="1" t="s">
        <v>613</v>
      </c>
      <c r="B74" s="1" t="s">
        <v>918</v>
      </c>
      <c r="C74" s="1" t="s">
        <v>919</v>
      </c>
      <c r="D74" s="1" t="s">
        <v>930</v>
      </c>
      <c r="E74" s="1" t="s">
        <v>941</v>
      </c>
      <c r="F74" s="1" t="s">
        <v>785</v>
      </c>
      <c r="G74" s="1" t="s">
        <v>549</v>
      </c>
      <c r="H74" s="1" t="s">
        <v>930</v>
      </c>
      <c r="I74" s="1" t="s">
        <v>801</v>
      </c>
      <c r="J74" s="1" t="s">
        <v>801</v>
      </c>
      <c r="K74" s="1" t="s">
        <v>194</v>
      </c>
      <c r="L74" s="1" t="s">
        <v>194</v>
      </c>
      <c r="M74" s="1" t="s">
        <v>3488</v>
      </c>
      <c r="N74" s="1" t="b">
        <f>VLOOKUP(_org_unit_[[#This Row],[TB_GOSB]],_org_unit___v20[TB_GOSB],1,0)=_org_unit_[[#This Row],[TB_GOSB]]</f>
        <v>1</v>
      </c>
    </row>
    <row r="75" spans="1:14" x14ac:dyDescent="0.25">
      <c r="A75" s="1" t="s">
        <v>614</v>
      </c>
      <c r="B75" s="1" t="s">
        <v>942</v>
      </c>
      <c r="C75" s="1" t="s">
        <v>943</v>
      </c>
      <c r="D75" s="1" t="s">
        <v>951</v>
      </c>
      <c r="E75" s="1" t="s">
        <v>952</v>
      </c>
      <c r="F75" s="1" t="s">
        <v>785</v>
      </c>
      <c r="G75" s="1" t="s">
        <v>317</v>
      </c>
      <c r="H75" s="1" t="s">
        <v>953</v>
      </c>
      <c r="I75" s="1" t="s">
        <v>32</v>
      </c>
      <c r="J75" s="1" t="s">
        <v>32</v>
      </c>
      <c r="K75" s="1" t="s">
        <v>194</v>
      </c>
      <c r="L75" s="1" t="s">
        <v>194</v>
      </c>
      <c r="M75" s="1" t="s">
        <v>3524</v>
      </c>
      <c r="N75" s="1" t="b">
        <f>VLOOKUP(_org_unit_[[#This Row],[TB_GOSB]],_org_unit___v20[TB_GOSB],1,0)=_org_unit_[[#This Row],[TB_GOSB]]</f>
        <v>1</v>
      </c>
    </row>
    <row r="76" spans="1:14" x14ac:dyDescent="0.25">
      <c r="A76" s="1" t="s">
        <v>614</v>
      </c>
      <c r="B76" s="1" t="s">
        <v>942</v>
      </c>
      <c r="C76" s="1" t="s">
        <v>943</v>
      </c>
      <c r="D76" s="1" t="s">
        <v>32</v>
      </c>
      <c r="E76" s="1" t="s">
        <v>788</v>
      </c>
      <c r="F76" s="1" t="s">
        <v>789</v>
      </c>
      <c r="G76" s="1" t="s">
        <v>2</v>
      </c>
      <c r="H76" s="1" t="s">
        <v>32</v>
      </c>
      <c r="I76" s="1" t="s">
        <v>32</v>
      </c>
      <c r="J76" s="1" t="s">
        <v>32</v>
      </c>
      <c r="K76" s="1" t="s">
        <v>194</v>
      </c>
      <c r="L76" s="1" t="s">
        <v>194</v>
      </c>
      <c r="M76" s="1" t="s">
        <v>3422</v>
      </c>
      <c r="N76" s="1" t="b">
        <f>VLOOKUP(_org_unit_[[#This Row],[TB_GOSB]],_org_unit___v20[TB_GOSB],1,0)=_org_unit_[[#This Row],[TB_GOSB]]</f>
        <v>1</v>
      </c>
    </row>
    <row r="77" spans="1:14" x14ac:dyDescent="0.25">
      <c r="A77" s="1" t="s">
        <v>614</v>
      </c>
      <c r="B77" s="1" t="s">
        <v>942</v>
      </c>
      <c r="C77" s="1" t="s">
        <v>943</v>
      </c>
      <c r="D77" s="1" t="s">
        <v>944</v>
      </c>
      <c r="E77" s="1" t="s">
        <v>945</v>
      </c>
      <c r="F77" s="1" t="s">
        <v>789</v>
      </c>
      <c r="G77" s="1" t="s">
        <v>2</v>
      </c>
      <c r="H77" s="1" t="s">
        <v>944</v>
      </c>
      <c r="I77" s="1" t="s">
        <v>932</v>
      </c>
      <c r="J77" s="1" t="s">
        <v>932</v>
      </c>
      <c r="K77" s="1" t="s">
        <v>194</v>
      </c>
      <c r="L77" s="1" t="s">
        <v>2878</v>
      </c>
      <c r="M77" s="1" t="s">
        <v>3433</v>
      </c>
      <c r="N77" s="1" t="b">
        <f>VLOOKUP(_org_unit_[[#This Row],[TB_GOSB]],_org_unit___v20[TB_GOSB],1,0)=_org_unit_[[#This Row],[TB_GOSB]]</f>
        <v>1</v>
      </c>
    </row>
    <row r="78" spans="1:14" x14ac:dyDescent="0.25">
      <c r="A78" s="1" t="s">
        <v>614</v>
      </c>
      <c r="B78" s="1" t="s">
        <v>942</v>
      </c>
      <c r="C78" s="1" t="s">
        <v>943</v>
      </c>
      <c r="D78" s="1" t="s">
        <v>1085</v>
      </c>
      <c r="E78" s="1" t="s">
        <v>1086</v>
      </c>
      <c r="F78" s="1" t="s">
        <v>785</v>
      </c>
      <c r="G78" s="1" t="s">
        <v>2</v>
      </c>
      <c r="H78" s="1" t="s">
        <v>1085</v>
      </c>
      <c r="I78" s="1" t="s">
        <v>932</v>
      </c>
      <c r="J78" s="1" t="s">
        <v>932</v>
      </c>
      <c r="K78" s="1" t="s">
        <v>194</v>
      </c>
      <c r="L78" s="1" t="s">
        <v>194</v>
      </c>
      <c r="M78" s="1" t="s">
        <v>3522</v>
      </c>
      <c r="N78" s="1" t="b">
        <f>VLOOKUP(_org_unit_[[#This Row],[TB_GOSB]],_org_unit___v20[TB_GOSB],1,0)=_org_unit_[[#This Row],[TB_GOSB]]</f>
        <v>1</v>
      </c>
    </row>
    <row r="79" spans="1:14" x14ac:dyDescent="0.25">
      <c r="A79" s="1" t="s">
        <v>614</v>
      </c>
      <c r="B79" s="1" t="s">
        <v>942</v>
      </c>
      <c r="C79" s="1" t="s">
        <v>943</v>
      </c>
      <c r="D79" s="1" t="s">
        <v>946</v>
      </c>
      <c r="E79" s="1" t="s">
        <v>947</v>
      </c>
      <c r="F79" s="1" t="s">
        <v>785</v>
      </c>
      <c r="G79" s="1" t="s">
        <v>317</v>
      </c>
      <c r="H79" s="1" t="s">
        <v>946</v>
      </c>
      <c r="I79" s="1" t="s">
        <v>36</v>
      </c>
      <c r="J79" s="1" t="s">
        <v>590</v>
      </c>
      <c r="K79" s="1" t="s">
        <v>194</v>
      </c>
      <c r="L79" s="1" t="s">
        <v>944</v>
      </c>
      <c r="M79" s="1" t="s">
        <v>3523</v>
      </c>
      <c r="N79" s="1" t="b">
        <f>VLOOKUP(_org_unit_[[#This Row],[TB_GOSB]],_org_unit___v20[TB_GOSB],1,0)=_org_unit_[[#This Row],[TB_GOSB]]</f>
        <v>1</v>
      </c>
    </row>
    <row r="80" spans="1:14" x14ac:dyDescent="0.25">
      <c r="A80" s="1" t="s">
        <v>614</v>
      </c>
      <c r="B80" s="1" t="s">
        <v>942</v>
      </c>
      <c r="C80" s="1" t="s">
        <v>943</v>
      </c>
      <c r="D80" s="1" t="s">
        <v>954</v>
      </c>
      <c r="E80" s="1" t="s">
        <v>955</v>
      </c>
      <c r="F80" s="1" t="s">
        <v>785</v>
      </c>
      <c r="G80" s="1" t="s">
        <v>314</v>
      </c>
      <c r="H80" s="1" t="s">
        <v>954</v>
      </c>
      <c r="I80" s="1" t="s">
        <v>549</v>
      </c>
      <c r="J80" s="1" t="s">
        <v>549</v>
      </c>
      <c r="K80" s="1" t="s">
        <v>194</v>
      </c>
      <c r="L80" s="1" t="s">
        <v>194</v>
      </c>
      <c r="M80" s="1" t="s">
        <v>3484</v>
      </c>
      <c r="N80" s="1" t="b">
        <f>VLOOKUP(_org_unit_[[#This Row],[TB_GOSB]],_org_unit___v20[TB_GOSB],1,0)=_org_unit_[[#This Row],[TB_GOSB]]</f>
        <v>1</v>
      </c>
    </row>
    <row r="81" spans="1:14" x14ac:dyDescent="0.25">
      <c r="A81" s="1" t="s">
        <v>614</v>
      </c>
      <c r="B81" s="1" t="s">
        <v>942</v>
      </c>
      <c r="C81" s="1" t="s">
        <v>943</v>
      </c>
      <c r="D81" s="1" t="s">
        <v>956</v>
      </c>
      <c r="E81" s="1" t="s">
        <v>957</v>
      </c>
      <c r="F81" s="1" t="s">
        <v>785</v>
      </c>
      <c r="G81" s="1" t="s">
        <v>317</v>
      </c>
      <c r="H81" s="1" t="s">
        <v>956</v>
      </c>
      <c r="I81" s="1" t="s">
        <v>2</v>
      </c>
      <c r="J81" s="1" t="s">
        <v>590</v>
      </c>
      <c r="K81" s="1" t="s">
        <v>194</v>
      </c>
      <c r="L81" s="1" t="s">
        <v>194</v>
      </c>
      <c r="M81" s="1" t="s">
        <v>3525</v>
      </c>
      <c r="N81" s="1" t="b">
        <f>VLOOKUP(_org_unit_[[#This Row],[TB_GOSB]],_org_unit___v20[TB_GOSB],1,0)=_org_unit_[[#This Row],[TB_GOSB]]</f>
        <v>1</v>
      </c>
    </row>
    <row r="82" spans="1:14" x14ac:dyDescent="0.25">
      <c r="A82" s="1" t="s">
        <v>614</v>
      </c>
      <c r="B82" s="1" t="s">
        <v>942</v>
      </c>
      <c r="C82" s="1" t="s">
        <v>943</v>
      </c>
      <c r="D82" s="1" t="s">
        <v>971</v>
      </c>
      <c r="E82" s="1" t="s">
        <v>972</v>
      </c>
      <c r="F82" s="1" t="s">
        <v>785</v>
      </c>
      <c r="G82" s="1" t="s">
        <v>317</v>
      </c>
      <c r="H82" s="1" t="s">
        <v>971</v>
      </c>
      <c r="I82" s="1" t="s">
        <v>314</v>
      </c>
      <c r="J82" s="1" t="s">
        <v>590</v>
      </c>
      <c r="K82" s="1" t="s">
        <v>194</v>
      </c>
      <c r="L82" s="1" t="s">
        <v>194</v>
      </c>
      <c r="M82" s="1" t="s">
        <v>3485</v>
      </c>
      <c r="N82" s="1" t="b">
        <f>VLOOKUP(_org_unit_[[#This Row],[TB_GOSB]],_org_unit___v20[TB_GOSB],1,0)=_org_unit_[[#This Row],[TB_GOSB]]</f>
        <v>1</v>
      </c>
    </row>
    <row r="83" spans="1:14" x14ac:dyDescent="0.25">
      <c r="A83" s="1" t="s">
        <v>614</v>
      </c>
      <c r="B83" s="1" t="s">
        <v>942</v>
      </c>
      <c r="C83" s="1" t="s">
        <v>943</v>
      </c>
      <c r="D83" s="1" t="s">
        <v>958</v>
      </c>
      <c r="E83" s="1" t="s">
        <v>959</v>
      </c>
      <c r="F83" s="1" t="s">
        <v>785</v>
      </c>
      <c r="G83" s="1" t="s">
        <v>317</v>
      </c>
      <c r="H83" s="1" t="s">
        <v>958</v>
      </c>
      <c r="I83" s="1" t="s">
        <v>2</v>
      </c>
      <c r="J83" s="1" t="s">
        <v>590</v>
      </c>
      <c r="K83" s="1" t="s">
        <v>194</v>
      </c>
      <c r="L83" s="1" t="s">
        <v>194</v>
      </c>
      <c r="M83" s="1" t="s">
        <v>3526</v>
      </c>
      <c r="N83" s="1" t="b">
        <f>VLOOKUP(_org_unit_[[#This Row],[TB_GOSB]],_org_unit___v20[TB_GOSB],1,0)=_org_unit_[[#This Row],[TB_GOSB]]</f>
        <v>1</v>
      </c>
    </row>
    <row r="84" spans="1:14" x14ac:dyDescent="0.25">
      <c r="A84" s="1" t="s">
        <v>614</v>
      </c>
      <c r="B84" s="1" t="s">
        <v>942</v>
      </c>
      <c r="C84" s="1" t="s">
        <v>943</v>
      </c>
      <c r="D84" s="1" t="s">
        <v>966</v>
      </c>
      <c r="E84" s="1" t="s">
        <v>967</v>
      </c>
      <c r="F84" s="1" t="s">
        <v>785</v>
      </c>
      <c r="G84" s="1" t="s">
        <v>317</v>
      </c>
      <c r="H84" s="1" t="s">
        <v>966</v>
      </c>
      <c r="I84" s="1" t="s">
        <v>308</v>
      </c>
      <c r="J84" s="1" t="s">
        <v>590</v>
      </c>
      <c r="K84" s="1" t="s">
        <v>194</v>
      </c>
      <c r="L84" s="1" t="s">
        <v>194</v>
      </c>
      <c r="M84" s="1" t="s">
        <v>3528</v>
      </c>
      <c r="N84" s="1" t="b">
        <f>VLOOKUP(_org_unit_[[#This Row],[TB_GOSB]],_org_unit___v20[TB_GOSB],1,0)=_org_unit_[[#This Row],[TB_GOSB]]</f>
        <v>1</v>
      </c>
    </row>
    <row r="85" spans="1:14" x14ac:dyDescent="0.25">
      <c r="A85" s="1" t="s">
        <v>614</v>
      </c>
      <c r="B85" s="1" t="s">
        <v>942</v>
      </c>
      <c r="C85" s="1" t="s">
        <v>943</v>
      </c>
      <c r="D85" s="1" t="s">
        <v>961</v>
      </c>
      <c r="E85" s="1" t="s">
        <v>962</v>
      </c>
      <c r="F85" s="1" t="s">
        <v>785</v>
      </c>
      <c r="G85" s="1" t="s">
        <v>2</v>
      </c>
      <c r="H85" s="1" t="s">
        <v>961</v>
      </c>
      <c r="I85" s="1" t="s">
        <v>963</v>
      </c>
      <c r="J85" s="1" t="s">
        <v>963</v>
      </c>
      <c r="K85" s="1" t="s">
        <v>194</v>
      </c>
      <c r="L85" s="1" t="s">
        <v>194</v>
      </c>
      <c r="M85" s="1" t="s">
        <v>3482</v>
      </c>
      <c r="N85" s="1" t="b">
        <f>VLOOKUP(_org_unit_[[#This Row],[TB_GOSB]],_org_unit___v20[TB_GOSB],1,0)=_org_unit_[[#This Row],[TB_GOSB]]</f>
        <v>1</v>
      </c>
    </row>
    <row r="86" spans="1:14" x14ac:dyDescent="0.25">
      <c r="A86" s="1" t="s">
        <v>614</v>
      </c>
      <c r="B86" s="1" t="s">
        <v>942</v>
      </c>
      <c r="C86" s="1" t="s">
        <v>943</v>
      </c>
      <c r="D86" s="1" t="s">
        <v>964</v>
      </c>
      <c r="E86" s="1" t="s">
        <v>965</v>
      </c>
      <c r="F86" s="1" t="s">
        <v>785</v>
      </c>
      <c r="G86" s="1" t="s">
        <v>2</v>
      </c>
      <c r="H86" s="1" t="s">
        <v>964</v>
      </c>
      <c r="I86" s="1" t="s">
        <v>610</v>
      </c>
      <c r="J86" s="1" t="s">
        <v>610</v>
      </c>
      <c r="K86" s="1" t="s">
        <v>194</v>
      </c>
      <c r="L86" s="1" t="s">
        <v>194</v>
      </c>
      <c r="M86" s="1" t="s">
        <v>3483</v>
      </c>
      <c r="N86" s="1" t="b">
        <f>VLOOKUP(_org_unit_[[#This Row],[TB_GOSB]],_org_unit___v20[TB_GOSB],1,0)=_org_unit_[[#This Row],[TB_GOSB]]</f>
        <v>1</v>
      </c>
    </row>
    <row r="87" spans="1:14" x14ac:dyDescent="0.25">
      <c r="A87" s="1" t="s">
        <v>614</v>
      </c>
      <c r="B87" s="1" t="s">
        <v>942</v>
      </c>
      <c r="C87" s="1" t="s">
        <v>943</v>
      </c>
      <c r="D87" s="1" t="s">
        <v>969</v>
      </c>
      <c r="E87" s="1" t="s">
        <v>970</v>
      </c>
      <c r="F87" s="1" t="s">
        <v>785</v>
      </c>
      <c r="G87" s="1" t="s">
        <v>317</v>
      </c>
      <c r="H87" s="1" t="s">
        <v>969</v>
      </c>
      <c r="I87" s="1" t="s">
        <v>308</v>
      </c>
      <c r="J87" s="1" t="s">
        <v>590</v>
      </c>
      <c r="K87" s="1" t="s">
        <v>194</v>
      </c>
      <c r="L87" s="1" t="s">
        <v>194</v>
      </c>
      <c r="M87" s="1" t="s">
        <v>3486</v>
      </c>
      <c r="N87" s="1" t="b">
        <f>VLOOKUP(_org_unit_[[#This Row],[TB_GOSB]],_org_unit___v20[TB_GOSB],1,0)=_org_unit_[[#This Row],[TB_GOSB]]</f>
        <v>1</v>
      </c>
    </row>
    <row r="88" spans="1:14" x14ac:dyDescent="0.25">
      <c r="A88" s="1" t="s">
        <v>614</v>
      </c>
      <c r="B88" s="1" t="s">
        <v>942</v>
      </c>
      <c r="C88" s="1" t="s">
        <v>943</v>
      </c>
      <c r="D88" s="1" t="s">
        <v>950</v>
      </c>
      <c r="E88" s="1" t="s">
        <v>968</v>
      </c>
      <c r="F88" s="1" t="s">
        <v>785</v>
      </c>
      <c r="G88" s="1" t="s">
        <v>2</v>
      </c>
      <c r="H88" s="1" t="s">
        <v>950</v>
      </c>
      <c r="I88" s="1" t="s">
        <v>865</v>
      </c>
      <c r="J88" s="1" t="s">
        <v>865</v>
      </c>
      <c r="K88" s="1" t="s">
        <v>194</v>
      </c>
      <c r="L88" s="1" t="s">
        <v>194</v>
      </c>
      <c r="M88" s="1" t="s">
        <v>3446</v>
      </c>
      <c r="N88" s="1" t="b">
        <f>VLOOKUP(_org_unit_[[#This Row],[TB_GOSB]],_org_unit___v20[TB_GOSB],1,0)=_org_unit_[[#This Row],[TB_GOSB]]</f>
        <v>1</v>
      </c>
    </row>
    <row r="89" spans="1:14" x14ac:dyDescent="0.25">
      <c r="A89" s="1" t="s">
        <v>614</v>
      </c>
      <c r="B89" s="1" t="s">
        <v>942</v>
      </c>
      <c r="C89" s="1" t="s">
        <v>943</v>
      </c>
      <c r="D89" s="1" t="s">
        <v>948</v>
      </c>
      <c r="E89" s="1" t="s">
        <v>949</v>
      </c>
      <c r="F89" s="1" t="s">
        <v>785</v>
      </c>
      <c r="G89" s="1" t="s">
        <v>317</v>
      </c>
      <c r="H89" s="1" t="s">
        <v>950</v>
      </c>
      <c r="I89" s="1" t="s">
        <v>32</v>
      </c>
      <c r="J89" s="1" t="s">
        <v>32</v>
      </c>
      <c r="K89" s="1" t="s">
        <v>194</v>
      </c>
      <c r="L89" s="1" t="s">
        <v>194</v>
      </c>
      <c r="M89" s="1" t="s">
        <v>3481</v>
      </c>
      <c r="N89" s="1" t="b">
        <f>VLOOKUP(_org_unit_[[#This Row],[TB_GOSB]],_org_unit___v20[TB_GOSB],1,0)=_org_unit_[[#This Row],[TB_GOSB]]</f>
        <v>1</v>
      </c>
    </row>
    <row r="90" spans="1:14" x14ac:dyDescent="0.25">
      <c r="A90" s="1" t="s">
        <v>614</v>
      </c>
      <c r="B90" s="1" t="s">
        <v>942</v>
      </c>
      <c r="C90" s="1" t="s">
        <v>943</v>
      </c>
      <c r="D90" s="1" t="s">
        <v>953</v>
      </c>
      <c r="E90" s="1" t="s">
        <v>960</v>
      </c>
      <c r="F90" s="1" t="s">
        <v>785</v>
      </c>
      <c r="G90" s="1" t="s">
        <v>317</v>
      </c>
      <c r="H90" s="1" t="s">
        <v>953</v>
      </c>
      <c r="I90" s="1" t="s">
        <v>2</v>
      </c>
      <c r="J90" s="1" t="s">
        <v>590</v>
      </c>
      <c r="K90" s="1" t="s">
        <v>194</v>
      </c>
      <c r="L90" s="1" t="s">
        <v>194</v>
      </c>
      <c r="M90" s="1" t="s">
        <v>3527</v>
      </c>
      <c r="N90" s="1" t="b">
        <f>VLOOKUP(_org_unit_[[#This Row],[TB_GOSB]],_org_unit___v20[TB_GOSB],1,0)=_org_unit_[[#This Row],[TB_GOSB]]</f>
        <v>1</v>
      </c>
    </row>
    <row r="91" spans="1:14" x14ac:dyDescent="0.25">
      <c r="A91" s="1" t="s">
        <v>615</v>
      </c>
      <c r="B91" s="1" t="s">
        <v>973</v>
      </c>
      <c r="C91" s="1" t="s">
        <v>974</v>
      </c>
      <c r="D91" s="1" t="s">
        <v>975</v>
      </c>
      <c r="E91" s="1" t="s">
        <v>976</v>
      </c>
      <c r="F91" s="1" t="s">
        <v>789</v>
      </c>
      <c r="G91" s="1" t="s">
        <v>2</v>
      </c>
      <c r="H91" s="1" t="s">
        <v>975</v>
      </c>
      <c r="I91" s="1" t="s">
        <v>806</v>
      </c>
      <c r="J91" s="1" t="s">
        <v>806</v>
      </c>
      <c r="K91" s="1" t="s">
        <v>194</v>
      </c>
      <c r="L91" s="1" t="s">
        <v>2878</v>
      </c>
      <c r="M91" s="1" t="s">
        <v>3529</v>
      </c>
      <c r="N91" s="1" t="b">
        <f>VLOOKUP(_org_unit_[[#This Row],[TB_GOSB]],_org_unit___v20[TB_GOSB],1,0)=_org_unit_[[#This Row],[TB_GOSB]]</f>
        <v>1</v>
      </c>
    </row>
    <row r="92" spans="1:14" x14ac:dyDescent="0.25">
      <c r="A92" s="1" t="s">
        <v>615</v>
      </c>
      <c r="B92" s="1" t="s">
        <v>973</v>
      </c>
      <c r="C92" s="1" t="s">
        <v>974</v>
      </c>
      <c r="D92" s="1" t="s">
        <v>32</v>
      </c>
      <c r="E92" s="1" t="s">
        <v>788</v>
      </c>
      <c r="F92" s="1" t="s">
        <v>789</v>
      </c>
      <c r="G92" s="1" t="s">
        <v>2</v>
      </c>
      <c r="H92" s="1" t="s">
        <v>32</v>
      </c>
      <c r="I92" s="1" t="s">
        <v>32</v>
      </c>
      <c r="J92" s="1" t="s">
        <v>32</v>
      </c>
      <c r="K92" s="1" t="s">
        <v>194</v>
      </c>
      <c r="L92" s="1" t="s">
        <v>194</v>
      </c>
      <c r="M92" s="1" t="s">
        <v>3428</v>
      </c>
      <c r="N92" s="1" t="b">
        <f>VLOOKUP(_org_unit_[[#This Row],[TB_GOSB]],_org_unit___v20[TB_GOSB],1,0)=_org_unit_[[#This Row],[TB_GOSB]]</f>
        <v>1</v>
      </c>
    </row>
    <row r="93" spans="1:14" x14ac:dyDescent="0.25">
      <c r="A93" s="1" t="s">
        <v>615</v>
      </c>
      <c r="B93" s="1" t="s">
        <v>973</v>
      </c>
      <c r="C93" s="1" t="s">
        <v>974</v>
      </c>
      <c r="D93" s="1" t="s">
        <v>977</v>
      </c>
      <c r="E93" s="1" t="s">
        <v>978</v>
      </c>
      <c r="F93" s="1" t="s">
        <v>785</v>
      </c>
      <c r="G93" s="1" t="s">
        <v>549</v>
      </c>
      <c r="H93" s="1" t="s">
        <v>977</v>
      </c>
      <c r="I93" s="1" t="s">
        <v>836</v>
      </c>
      <c r="J93" s="1" t="s">
        <v>836</v>
      </c>
      <c r="K93" s="1" t="s">
        <v>194</v>
      </c>
      <c r="L93" s="1" t="s">
        <v>194</v>
      </c>
      <c r="M93" s="1" t="s">
        <v>3438</v>
      </c>
      <c r="N93" s="1" t="b">
        <f>VLOOKUP(_org_unit_[[#This Row],[TB_GOSB]],_org_unit___v20[TB_GOSB],1,0)=_org_unit_[[#This Row],[TB_GOSB]]</f>
        <v>1</v>
      </c>
    </row>
    <row r="94" spans="1:14" x14ac:dyDescent="0.25">
      <c r="A94" s="1" t="s">
        <v>615</v>
      </c>
      <c r="B94" s="1" t="s">
        <v>973</v>
      </c>
      <c r="C94" s="1" t="s">
        <v>974</v>
      </c>
      <c r="D94" s="1" t="s">
        <v>979</v>
      </c>
      <c r="E94" s="1" t="s">
        <v>980</v>
      </c>
      <c r="F94" s="1" t="s">
        <v>785</v>
      </c>
      <c r="G94" s="1" t="s">
        <v>308</v>
      </c>
      <c r="H94" s="1" t="s">
        <v>979</v>
      </c>
      <c r="I94" s="1" t="s">
        <v>609</v>
      </c>
      <c r="J94" s="1" t="s">
        <v>609</v>
      </c>
      <c r="K94" s="1" t="s">
        <v>194</v>
      </c>
      <c r="L94" s="1" t="s">
        <v>194</v>
      </c>
      <c r="M94" s="1" t="s">
        <v>3431</v>
      </c>
      <c r="N94" s="1" t="b">
        <f>VLOOKUP(_org_unit_[[#This Row],[TB_GOSB]],_org_unit___v20[TB_GOSB],1,0)=_org_unit_[[#This Row],[TB_GOSB]]</f>
        <v>1</v>
      </c>
    </row>
    <row r="95" spans="1:14" x14ac:dyDescent="0.25">
      <c r="A95" s="1" t="s">
        <v>615</v>
      </c>
      <c r="B95" s="1" t="s">
        <v>973</v>
      </c>
      <c r="C95" s="1" t="s">
        <v>974</v>
      </c>
      <c r="D95" s="1" t="s">
        <v>981</v>
      </c>
      <c r="E95" s="1" t="s">
        <v>982</v>
      </c>
      <c r="F95" s="1" t="s">
        <v>785</v>
      </c>
      <c r="G95" s="1" t="s">
        <v>308</v>
      </c>
      <c r="H95" s="1" t="s">
        <v>981</v>
      </c>
      <c r="I95" s="1" t="s">
        <v>792</v>
      </c>
      <c r="J95" s="1" t="s">
        <v>792</v>
      </c>
      <c r="K95" s="1" t="s">
        <v>194</v>
      </c>
      <c r="L95" s="1" t="s">
        <v>194</v>
      </c>
      <c r="M95" s="1" t="s">
        <v>3430</v>
      </c>
      <c r="N95" s="1" t="b">
        <f>VLOOKUP(_org_unit_[[#This Row],[TB_GOSB]],_org_unit___v20[TB_GOSB],1,0)=_org_unit_[[#This Row],[TB_GOSB]]</f>
        <v>1</v>
      </c>
    </row>
    <row r="96" spans="1:14" x14ac:dyDescent="0.25">
      <c r="A96" s="1" t="s">
        <v>615</v>
      </c>
      <c r="B96" s="1" t="s">
        <v>973</v>
      </c>
      <c r="C96" s="1" t="s">
        <v>974</v>
      </c>
      <c r="D96" s="1" t="s">
        <v>983</v>
      </c>
      <c r="E96" s="1" t="s">
        <v>984</v>
      </c>
      <c r="F96" s="1" t="s">
        <v>785</v>
      </c>
      <c r="G96" s="1" t="s">
        <v>314</v>
      </c>
      <c r="H96" s="1" t="s">
        <v>983</v>
      </c>
      <c r="I96" s="1" t="s">
        <v>36</v>
      </c>
      <c r="J96" s="1" t="s">
        <v>36</v>
      </c>
      <c r="K96" s="1" t="s">
        <v>194</v>
      </c>
      <c r="L96" s="1" t="s">
        <v>194</v>
      </c>
      <c r="M96" s="1" t="s">
        <v>3452</v>
      </c>
      <c r="N96" s="1" t="b">
        <f>VLOOKUP(_org_unit_[[#This Row],[TB_GOSB]],_org_unit___v20[TB_GOSB],1,0)=_org_unit_[[#This Row],[TB_GOSB]]</f>
        <v>1</v>
      </c>
    </row>
    <row r="97" spans="1:14" x14ac:dyDescent="0.25">
      <c r="A97" s="1" t="s">
        <v>615</v>
      </c>
      <c r="B97" s="1" t="s">
        <v>973</v>
      </c>
      <c r="C97" s="1" t="s">
        <v>974</v>
      </c>
      <c r="D97" s="1" t="s">
        <v>985</v>
      </c>
      <c r="E97" s="1" t="s">
        <v>986</v>
      </c>
      <c r="F97" s="1" t="s">
        <v>785</v>
      </c>
      <c r="G97" s="1" t="s">
        <v>2</v>
      </c>
      <c r="H97" s="1" t="s">
        <v>985</v>
      </c>
      <c r="I97" s="1" t="s">
        <v>938</v>
      </c>
      <c r="J97" s="1" t="s">
        <v>938</v>
      </c>
      <c r="K97" s="1" t="s">
        <v>194</v>
      </c>
      <c r="L97" s="1" t="s">
        <v>194</v>
      </c>
      <c r="M97" s="1" t="s">
        <v>3454</v>
      </c>
      <c r="N97" s="1" t="b">
        <f>VLOOKUP(_org_unit_[[#This Row],[TB_GOSB]],_org_unit___v20[TB_GOSB],1,0)=_org_unit_[[#This Row],[TB_GOSB]]</f>
        <v>1</v>
      </c>
    </row>
    <row r="98" spans="1:14" x14ac:dyDescent="0.25">
      <c r="A98" s="1" t="s">
        <v>615</v>
      </c>
      <c r="B98" s="1" t="s">
        <v>973</v>
      </c>
      <c r="C98" s="1" t="s">
        <v>974</v>
      </c>
      <c r="D98" s="1" t="s">
        <v>987</v>
      </c>
      <c r="E98" s="1" t="s">
        <v>988</v>
      </c>
      <c r="F98" s="1" t="s">
        <v>785</v>
      </c>
      <c r="G98" s="1" t="s">
        <v>308</v>
      </c>
      <c r="H98" s="1" t="s">
        <v>987</v>
      </c>
      <c r="I98" s="1" t="s">
        <v>893</v>
      </c>
      <c r="J98" s="1" t="s">
        <v>893</v>
      </c>
      <c r="K98" s="1" t="s">
        <v>194</v>
      </c>
      <c r="L98" s="1" t="s">
        <v>194</v>
      </c>
      <c r="M98" s="1" t="s">
        <v>3453</v>
      </c>
      <c r="N98" s="1" t="b">
        <f>VLOOKUP(_org_unit_[[#This Row],[TB_GOSB]],_org_unit___v20[TB_GOSB],1,0)=_org_unit_[[#This Row],[TB_GOSB]]</f>
        <v>1</v>
      </c>
    </row>
    <row r="99" spans="1:14" x14ac:dyDescent="0.25">
      <c r="A99" s="1" t="s">
        <v>615</v>
      </c>
      <c r="B99" s="1" t="s">
        <v>973</v>
      </c>
      <c r="C99" s="1" t="s">
        <v>974</v>
      </c>
      <c r="D99" s="1" t="s">
        <v>989</v>
      </c>
      <c r="E99" s="1" t="s">
        <v>990</v>
      </c>
      <c r="F99" s="1" t="s">
        <v>785</v>
      </c>
      <c r="G99" s="1" t="s">
        <v>314</v>
      </c>
      <c r="H99" s="1" t="s">
        <v>989</v>
      </c>
      <c r="I99" s="1" t="s">
        <v>801</v>
      </c>
      <c r="J99" s="1" t="s">
        <v>801</v>
      </c>
      <c r="K99" s="1" t="s">
        <v>194</v>
      </c>
      <c r="L99" s="1" t="s">
        <v>194</v>
      </c>
      <c r="M99" s="1" t="s">
        <v>3427</v>
      </c>
      <c r="N99" s="1" t="b">
        <f>VLOOKUP(_org_unit_[[#This Row],[TB_GOSB]],_org_unit___v20[TB_GOSB],1,0)=_org_unit_[[#This Row],[TB_GOSB]]</f>
        <v>1</v>
      </c>
    </row>
    <row r="100" spans="1:14" x14ac:dyDescent="0.25">
      <c r="A100" s="1" t="s">
        <v>616</v>
      </c>
      <c r="B100" s="1" t="s">
        <v>991</v>
      </c>
      <c r="C100" s="1" t="s">
        <v>992</v>
      </c>
      <c r="D100" s="1" t="s">
        <v>993</v>
      </c>
      <c r="E100" s="1" t="s">
        <v>994</v>
      </c>
      <c r="F100" s="1" t="s">
        <v>789</v>
      </c>
      <c r="G100" s="1" t="s">
        <v>2</v>
      </c>
      <c r="H100" s="1" t="s">
        <v>993</v>
      </c>
      <c r="I100" s="1" t="s">
        <v>609</v>
      </c>
      <c r="J100" s="1" t="s">
        <v>609</v>
      </c>
      <c r="K100" s="1" t="s">
        <v>194</v>
      </c>
      <c r="L100" s="1" t="s">
        <v>2878</v>
      </c>
      <c r="M100" s="1" t="s">
        <v>3445</v>
      </c>
      <c r="N100" s="1" t="b">
        <f>VLOOKUP(_org_unit_[[#This Row],[TB_GOSB]],_org_unit___v20[TB_GOSB],1,0)=_org_unit_[[#This Row],[TB_GOSB]]</f>
        <v>1</v>
      </c>
    </row>
    <row r="101" spans="1:14" x14ac:dyDescent="0.25">
      <c r="A101" s="1" t="s">
        <v>616</v>
      </c>
      <c r="B101" s="1" t="s">
        <v>991</v>
      </c>
      <c r="C101" s="1" t="s">
        <v>992</v>
      </c>
      <c r="D101" s="1" t="s">
        <v>32</v>
      </c>
      <c r="E101" s="1" t="s">
        <v>788</v>
      </c>
      <c r="F101" s="1" t="s">
        <v>789</v>
      </c>
      <c r="G101" s="1" t="s">
        <v>2</v>
      </c>
      <c r="H101" s="1" t="s">
        <v>32</v>
      </c>
      <c r="I101" s="1" t="s">
        <v>32</v>
      </c>
      <c r="J101" s="1" t="s">
        <v>32</v>
      </c>
      <c r="K101" s="1" t="s">
        <v>194</v>
      </c>
      <c r="L101" s="1" t="s">
        <v>194</v>
      </c>
      <c r="M101" s="1" t="s">
        <v>3421</v>
      </c>
      <c r="N101" s="1" t="b">
        <f>VLOOKUP(_org_unit_[[#This Row],[TB_GOSB]],_org_unit___v20[TB_GOSB],1,0)=_org_unit_[[#This Row],[TB_GOSB]]</f>
        <v>1</v>
      </c>
    </row>
    <row r="102" spans="1:14" x14ac:dyDescent="0.25">
      <c r="A102" s="1" t="s">
        <v>616</v>
      </c>
      <c r="B102" s="1" t="s">
        <v>991</v>
      </c>
      <c r="C102" s="1" t="s">
        <v>992</v>
      </c>
      <c r="D102" s="1" t="s">
        <v>995</v>
      </c>
      <c r="E102" s="1" t="s">
        <v>996</v>
      </c>
      <c r="F102" s="1" t="s">
        <v>785</v>
      </c>
      <c r="G102" s="1" t="s">
        <v>308</v>
      </c>
      <c r="H102" s="1" t="s">
        <v>995</v>
      </c>
      <c r="I102" s="1" t="s">
        <v>801</v>
      </c>
      <c r="J102" s="1" t="s">
        <v>801</v>
      </c>
      <c r="K102" s="1" t="s">
        <v>194</v>
      </c>
      <c r="L102" s="1" t="s">
        <v>194</v>
      </c>
      <c r="M102" s="1" t="s">
        <v>3479</v>
      </c>
      <c r="N102" s="1" t="b">
        <f>VLOOKUP(_org_unit_[[#This Row],[TB_GOSB]],_org_unit___v20[TB_GOSB],1,0)=_org_unit_[[#This Row],[TB_GOSB]]</f>
        <v>1</v>
      </c>
    </row>
    <row r="103" spans="1:14" x14ac:dyDescent="0.25">
      <c r="A103" s="1" t="s">
        <v>616</v>
      </c>
      <c r="B103" s="1" t="s">
        <v>991</v>
      </c>
      <c r="C103" s="1" t="s">
        <v>992</v>
      </c>
      <c r="D103" s="1" t="s">
        <v>997</v>
      </c>
      <c r="E103" s="1" t="s">
        <v>998</v>
      </c>
      <c r="F103" s="1" t="s">
        <v>785</v>
      </c>
      <c r="G103" s="1" t="s">
        <v>314</v>
      </c>
      <c r="H103" s="1" t="s">
        <v>997</v>
      </c>
      <c r="I103" s="1" t="s">
        <v>322</v>
      </c>
      <c r="J103" s="1" t="s">
        <v>322</v>
      </c>
      <c r="K103" s="1" t="s">
        <v>194</v>
      </c>
      <c r="L103" s="1" t="s">
        <v>194</v>
      </c>
      <c r="M103" s="1" t="s">
        <v>3480</v>
      </c>
      <c r="N103" s="1" t="b">
        <f>VLOOKUP(_org_unit_[[#This Row],[TB_GOSB]],_org_unit___v20[TB_GOSB],1,0)=_org_unit_[[#This Row],[TB_GOSB]]</f>
        <v>1</v>
      </c>
    </row>
    <row r="104" spans="1:14" x14ac:dyDescent="0.25">
      <c r="A104" s="1" t="s">
        <v>616</v>
      </c>
      <c r="B104" s="1" t="s">
        <v>991</v>
      </c>
      <c r="C104" s="1" t="s">
        <v>992</v>
      </c>
      <c r="D104" s="1" t="s">
        <v>999</v>
      </c>
      <c r="E104" s="1" t="s">
        <v>1000</v>
      </c>
      <c r="F104" s="1" t="s">
        <v>785</v>
      </c>
      <c r="G104" s="1" t="s">
        <v>2</v>
      </c>
      <c r="H104" s="1" t="s">
        <v>999</v>
      </c>
      <c r="I104" s="1" t="s">
        <v>1001</v>
      </c>
      <c r="J104" s="1" t="s">
        <v>1001</v>
      </c>
      <c r="K104" s="1" t="s">
        <v>194</v>
      </c>
      <c r="L104" s="1" t="s">
        <v>993</v>
      </c>
      <c r="M104" s="1" t="s">
        <v>3448</v>
      </c>
      <c r="N104" s="1" t="b">
        <f>VLOOKUP(_org_unit_[[#This Row],[TB_GOSB]],_org_unit___v20[TB_GOSB],1,0)=_org_unit_[[#This Row],[TB_GOSB]]</f>
        <v>1</v>
      </c>
    </row>
    <row r="105" spans="1:14" x14ac:dyDescent="0.25">
      <c r="A105" s="1" t="s">
        <v>616</v>
      </c>
      <c r="B105" s="1" t="s">
        <v>991</v>
      </c>
      <c r="C105" s="1" t="s">
        <v>992</v>
      </c>
      <c r="D105" s="1" t="s">
        <v>1002</v>
      </c>
      <c r="E105" s="1" t="s">
        <v>1003</v>
      </c>
      <c r="F105" s="1" t="s">
        <v>785</v>
      </c>
      <c r="G105" s="1" t="s">
        <v>308</v>
      </c>
      <c r="H105" s="1" t="s">
        <v>1002</v>
      </c>
      <c r="I105" s="1" t="s">
        <v>893</v>
      </c>
      <c r="J105" s="1" t="s">
        <v>893</v>
      </c>
      <c r="K105" s="1" t="s">
        <v>194</v>
      </c>
      <c r="L105" s="1" t="s">
        <v>2879</v>
      </c>
      <c r="M105" s="1" t="s">
        <v>3530</v>
      </c>
      <c r="N105" s="1" t="b">
        <f>VLOOKUP(_org_unit_[[#This Row],[TB_GOSB]],_org_unit___v20[TB_GOSB],1,0)=_org_unit_[[#This Row],[TB_GOSB]]</f>
        <v>1</v>
      </c>
    </row>
    <row r="106" spans="1:14" x14ac:dyDescent="0.25">
      <c r="A106" s="1" t="s">
        <v>616</v>
      </c>
      <c r="B106" s="1" t="s">
        <v>991</v>
      </c>
      <c r="C106" s="1" t="s">
        <v>992</v>
      </c>
      <c r="D106" s="1" t="s">
        <v>1004</v>
      </c>
      <c r="E106" s="1" t="s">
        <v>1005</v>
      </c>
      <c r="F106" s="1" t="s">
        <v>785</v>
      </c>
      <c r="G106" s="1" t="s">
        <v>314</v>
      </c>
      <c r="H106" s="1" t="s">
        <v>1004</v>
      </c>
      <c r="I106" s="1" t="s">
        <v>36</v>
      </c>
      <c r="J106" s="1" t="s">
        <v>36</v>
      </c>
      <c r="K106" s="1" t="s">
        <v>194</v>
      </c>
      <c r="L106" s="1" t="s">
        <v>194</v>
      </c>
      <c r="M106" s="1" t="s">
        <v>3473</v>
      </c>
      <c r="N106" s="1" t="b">
        <f>VLOOKUP(_org_unit_[[#This Row],[TB_GOSB]],_org_unit___v20[TB_GOSB],1,0)=_org_unit_[[#This Row],[TB_GOSB]]</f>
        <v>1</v>
      </c>
    </row>
    <row r="107" spans="1:14" x14ac:dyDescent="0.25">
      <c r="A107" s="1" t="s">
        <v>616</v>
      </c>
      <c r="B107" s="1" t="s">
        <v>991</v>
      </c>
      <c r="C107" s="1" t="s">
        <v>992</v>
      </c>
      <c r="D107" s="1" t="s">
        <v>1008</v>
      </c>
      <c r="E107" s="1" t="s">
        <v>1009</v>
      </c>
      <c r="F107" s="1" t="s">
        <v>785</v>
      </c>
      <c r="G107" s="1" t="s">
        <v>549</v>
      </c>
      <c r="H107" s="1" t="s">
        <v>1008</v>
      </c>
      <c r="I107" s="1" t="s">
        <v>36</v>
      </c>
      <c r="J107" s="1" t="s">
        <v>36</v>
      </c>
      <c r="K107" s="1" t="s">
        <v>194</v>
      </c>
      <c r="L107" s="1" t="s">
        <v>194</v>
      </c>
      <c r="M107" s="1" t="s">
        <v>3475</v>
      </c>
      <c r="N107" s="1" t="b">
        <f>VLOOKUP(_org_unit_[[#This Row],[TB_GOSB]],_org_unit___v20[TB_GOSB],1,0)=_org_unit_[[#This Row],[TB_GOSB]]</f>
        <v>1</v>
      </c>
    </row>
    <row r="108" spans="1:14" x14ac:dyDescent="0.25">
      <c r="A108" s="1" t="s">
        <v>616</v>
      </c>
      <c r="B108" s="1" t="s">
        <v>991</v>
      </c>
      <c r="C108" s="1" t="s">
        <v>992</v>
      </c>
      <c r="D108" s="1" t="s">
        <v>1006</v>
      </c>
      <c r="E108" s="1" t="s">
        <v>1007</v>
      </c>
      <c r="F108" s="1" t="s">
        <v>785</v>
      </c>
      <c r="G108" s="1" t="s">
        <v>314</v>
      </c>
      <c r="H108" s="1" t="s">
        <v>1006</v>
      </c>
      <c r="I108" s="1" t="s">
        <v>90</v>
      </c>
      <c r="J108" s="1" t="s">
        <v>90</v>
      </c>
      <c r="K108" s="1" t="s">
        <v>194</v>
      </c>
      <c r="L108" s="1" t="s">
        <v>194</v>
      </c>
      <c r="M108" s="1" t="s">
        <v>3478</v>
      </c>
      <c r="N108" s="1" t="b">
        <f>VLOOKUP(_org_unit_[[#This Row],[TB_GOSB]],_org_unit___v20[TB_GOSB],1,0)=_org_unit_[[#This Row],[TB_GOSB]]</f>
        <v>1</v>
      </c>
    </row>
    <row r="109" spans="1:14" x14ac:dyDescent="0.25">
      <c r="A109" s="1" t="s">
        <v>616</v>
      </c>
      <c r="B109" s="1" t="s">
        <v>991</v>
      </c>
      <c r="C109" s="1" t="s">
        <v>992</v>
      </c>
      <c r="D109" s="1" t="s">
        <v>1010</v>
      </c>
      <c r="E109" s="1" t="s">
        <v>1011</v>
      </c>
      <c r="F109" s="1" t="s">
        <v>785</v>
      </c>
      <c r="G109" s="1" t="s">
        <v>308</v>
      </c>
      <c r="H109" s="1" t="s">
        <v>1010</v>
      </c>
      <c r="I109" s="1" t="s">
        <v>317</v>
      </c>
      <c r="J109" s="1" t="s">
        <v>317</v>
      </c>
      <c r="K109" s="1" t="s">
        <v>194</v>
      </c>
      <c r="L109" s="1" t="s">
        <v>194</v>
      </c>
      <c r="M109" s="1" t="s">
        <v>3474</v>
      </c>
      <c r="N109" s="1" t="b">
        <f>VLOOKUP(_org_unit_[[#This Row],[TB_GOSB]],_org_unit___v20[TB_GOSB],1,0)=_org_unit_[[#This Row],[TB_GOSB]]</f>
        <v>1</v>
      </c>
    </row>
    <row r="110" spans="1:14" x14ac:dyDescent="0.25">
      <c r="A110" s="1" t="s">
        <v>616</v>
      </c>
      <c r="B110" s="1" t="s">
        <v>991</v>
      </c>
      <c r="C110" s="1" t="s">
        <v>992</v>
      </c>
      <c r="D110" s="1" t="s">
        <v>1012</v>
      </c>
      <c r="E110" s="1" t="s">
        <v>1013</v>
      </c>
      <c r="F110" s="1" t="s">
        <v>785</v>
      </c>
      <c r="G110" s="1" t="s">
        <v>549</v>
      </c>
      <c r="H110" s="1" t="s">
        <v>1012</v>
      </c>
      <c r="I110" s="1" t="s">
        <v>549</v>
      </c>
      <c r="J110" s="1" t="s">
        <v>549</v>
      </c>
      <c r="K110" s="1" t="s">
        <v>194</v>
      </c>
      <c r="L110" s="1" t="s">
        <v>194</v>
      </c>
      <c r="M110" s="1" t="s">
        <v>3476</v>
      </c>
      <c r="N110" s="1" t="b">
        <f>VLOOKUP(_org_unit_[[#This Row],[TB_GOSB]],_org_unit___v20[TB_GOSB],1,0)=_org_unit_[[#This Row],[TB_GOSB]]</f>
        <v>1</v>
      </c>
    </row>
    <row r="111" spans="1:14" x14ac:dyDescent="0.25">
      <c r="A111" s="1" t="s">
        <v>616</v>
      </c>
      <c r="B111" s="1" t="s">
        <v>991</v>
      </c>
      <c r="C111" s="1" t="s">
        <v>992</v>
      </c>
      <c r="D111" s="1" t="s">
        <v>1014</v>
      </c>
      <c r="E111" s="1" t="s">
        <v>1015</v>
      </c>
      <c r="F111" s="1" t="s">
        <v>785</v>
      </c>
      <c r="G111" s="1" t="s">
        <v>549</v>
      </c>
      <c r="H111" s="1" t="s">
        <v>1014</v>
      </c>
      <c r="I111" s="1" t="s">
        <v>317</v>
      </c>
      <c r="J111" s="1" t="s">
        <v>317</v>
      </c>
      <c r="K111" s="1" t="s">
        <v>194</v>
      </c>
      <c r="L111" s="1" t="s">
        <v>194</v>
      </c>
      <c r="M111" s="1" t="s">
        <v>3477</v>
      </c>
      <c r="N111" s="1" t="b">
        <f>VLOOKUP(_org_unit_[[#This Row],[TB_GOSB]],_org_unit___v20[TB_GOSB],1,0)=_org_unit_[[#This Row],[TB_GOSB]]</f>
        <v>1</v>
      </c>
    </row>
    <row r="112" spans="1:14" x14ac:dyDescent="0.25">
      <c r="A112" s="1" t="s">
        <v>617</v>
      </c>
      <c r="B112" s="1" t="s">
        <v>1016</v>
      </c>
      <c r="C112" s="1" t="s">
        <v>1017</v>
      </c>
      <c r="D112" s="1" t="s">
        <v>1018</v>
      </c>
      <c r="E112" s="1" t="s">
        <v>1019</v>
      </c>
      <c r="F112" s="1" t="s">
        <v>789</v>
      </c>
      <c r="G112" s="1" t="s">
        <v>2</v>
      </c>
      <c r="H112" s="1" t="s">
        <v>1018</v>
      </c>
      <c r="I112" s="1" t="s">
        <v>801</v>
      </c>
      <c r="J112" s="1" t="s">
        <v>801</v>
      </c>
      <c r="K112" s="1" t="s">
        <v>194</v>
      </c>
      <c r="L112" s="1" t="s">
        <v>2878</v>
      </c>
      <c r="M112" s="1" t="s">
        <v>3531</v>
      </c>
      <c r="N112" s="1" t="b">
        <f>VLOOKUP(_org_unit_[[#This Row],[TB_GOSB]],_org_unit___v20[TB_GOSB],1,0)=_org_unit_[[#This Row],[TB_GOSB]]</f>
        <v>1</v>
      </c>
    </row>
    <row r="113" spans="1:14" x14ac:dyDescent="0.25">
      <c r="A113" s="1" t="s">
        <v>617</v>
      </c>
      <c r="B113" s="1" t="s">
        <v>1016</v>
      </c>
      <c r="C113" s="1" t="s">
        <v>1017</v>
      </c>
      <c r="D113" s="1" t="s">
        <v>32</v>
      </c>
      <c r="E113" s="1" t="s">
        <v>788</v>
      </c>
      <c r="F113" s="1" t="s">
        <v>789</v>
      </c>
      <c r="G113" s="1" t="s">
        <v>2</v>
      </c>
      <c r="H113" s="1" t="s">
        <v>32</v>
      </c>
      <c r="I113" s="1" t="s">
        <v>32</v>
      </c>
      <c r="J113" s="1" t="s">
        <v>32</v>
      </c>
      <c r="K113" s="1" t="s">
        <v>194</v>
      </c>
      <c r="L113" s="1" t="s">
        <v>194</v>
      </c>
      <c r="M113" s="1" t="s">
        <v>3420</v>
      </c>
      <c r="N113" s="1" t="b">
        <f>VLOOKUP(_org_unit_[[#This Row],[TB_GOSB]],_org_unit___v20[TB_GOSB],1,0)=_org_unit_[[#This Row],[TB_GOSB]]</f>
        <v>1</v>
      </c>
    </row>
    <row r="114" spans="1:14" x14ac:dyDescent="0.25">
      <c r="A114" s="1" t="s">
        <v>617</v>
      </c>
      <c r="B114" s="1" t="s">
        <v>1016</v>
      </c>
      <c r="C114" s="1" t="s">
        <v>1017</v>
      </c>
      <c r="D114" s="1" t="s">
        <v>1030</v>
      </c>
      <c r="E114" s="1" t="s">
        <v>1031</v>
      </c>
      <c r="F114" s="1" t="s">
        <v>785</v>
      </c>
      <c r="G114" s="1" t="s">
        <v>317</v>
      </c>
      <c r="H114" s="1" t="s">
        <v>1030</v>
      </c>
      <c r="I114" s="1" t="s">
        <v>2</v>
      </c>
      <c r="J114" s="1" t="s">
        <v>590</v>
      </c>
      <c r="K114" s="1" t="s">
        <v>194</v>
      </c>
      <c r="L114" s="1" t="s">
        <v>194</v>
      </c>
      <c r="M114" s="1" t="s">
        <v>3532</v>
      </c>
      <c r="N114" s="1" t="b">
        <f>VLOOKUP(_org_unit_[[#This Row],[TB_GOSB]],_org_unit___v20[TB_GOSB],1,0)=_org_unit_[[#This Row],[TB_GOSB]]</f>
        <v>1</v>
      </c>
    </row>
    <row r="115" spans="1:14" x14ac:dyDescent="0.25">
      <c r="A115" s="1" t="s">
        <v>617</v>
      </c>
      <c r="B115" s="1" t="s">
        <v>1016</v>
      </c>
      <c r="C115" s="1" t="s">
        <v>1017</v>
      </c>
      <c r="D115" s="1" t="s">
        <v>1020</v>
      </c>
      <c r="E115" s="1" t="s">
        <v>1021</v>
      </c>
      <c r="F115" s="1" t="s">
        <v>785</v>
      </c>
      <c r="G115" s="1" t="s">
        <v>314</v>
      </c>
      <c r="H115" s="1" t="s">
        <v>1020</v>
      </c>
      <c r="I115" s="1" t="s">
        <v>90</v>
      </c>
      <c r="J115" s="1" t="s">
        <v>90</v>
      </c>
      <c r="K115" s="1" t="s">
        <v>194</v>
      </c>
      <c r="L115" s="1" t="s">
        <v>194</v>
      </c>
      <c r="M115" s="1" t="s">
        <v>3462</v>
      </c>
      <c r="N115" s="1" t="b">
        <f>VLOOKUP(_org_unit_[[#This Row],[TB_GOSB]],_org_unit___v20[TB_GOSB],1,0)=_org_unit_[[#This Row],[TB_GOSB]]</f>
        <v>1</v>
      </c>
    </row>
    <row r="116" spans="1:14" x14ac:dyDescent="0.25">
      <c r="A116" s="1" t="s">
        <v>617</v>
      </c>
      <c r="B116" s="1" t="s">
        <v>1016</v>
      </c>
      <c r="C116" s="1" t="s">
        <v>1017</v>
      </c>
      <c r="D116" s="1" t="s">
        <v>1022</v>
      </c>
      <c r="E116" s="1" t="s">
        <v>1023</v>
      </c>
      <c r="F116" s="1" t="s">
        <v>785</v>
      </c>
      <c r="G116" s="1" t="s">
        <v>549</v>
      </c>
      <c r="H116" s="1" t="s">
        <v>1022</v>
      </c>
      <c r="I116" s="1" t="s">
        <v>317</v>
      </c>
      <c r="J116" s="1" t="s">
        <v>317</v>
      </c>
      <c r="K116" s="1" t="s">
        <v>194</v>
      </c>
      <c r="L116" s="1" t="s">
        <v>194</v>
      </c>
      <c r="M116" s="1" t="s">
        <v>3465</v>
      </c>
      <c r="N116" s="1" t="b">
        <f>VLOOKUP(_org_unit_[[#This Row],[TB_GOSB]],_org_unit___v20[TB_GOSB],1,0)=_org_unit_[[#This Row],[TB_GOSB]]</f>
        <v>1</v>
      </c>
    </row>
    <row r="117" spans="1:14" x14ac:dyDescent="0.25">
      <c r="A117" s="1" t="s">
        <v>617</v>
      </c>
      <c r="B117" s="1" t="s">
        <v>1016</v>
      </c>
      <c r="C117" s="1" t="s">
        <v>1017</v>
      </c>
      <c r="D117" s="1" t="s">
        <v>1024</v>
      </c>
      <c r="E117" s="1" t="s">
        <v>1025</v>
      </c>
      <c r="F117" s="1" t="s">
        <v>785</v>
      </c>
      <c r="G117" s="1" t="s">
        <v>2</v>
      </c>
      <c r="H117" s="1" t="s">
        <v>1024</v>
      </c>
      <c r="I117" s="1" t="s">
        <v>795</v>
      </c>
      <c r="J117" s="1" t="s">
        <v>795</v>
      </c>
      <c r="K117" s="1" t="s">
        <v>194</v>
      </c>
      <c r="L117" s="1" t="s">
        <v>194</v>
      </c>
      <c r="M117" s="1" t="s">
        <v>3441</v>
      </c>
      <c r="N117" s="1" t="b">
        <f>VLOOKUP(_org_unit_[[#This Row],[TB_GOSB]],_org_unit___v20[TB_GOSB],1,0)=_org_unit_[[#This Row],[TB_GOSB]]</f>
        <v>1</v>
      </c>
    </row>
    <row r="118" spans="1:14" x14ac:dyDescent="0.25">
      <c r="A118" s="1" t="s">
        <v>617</v>
      </c>
      <c r="B118" s="1" t="s">
        <v>1016</v>
      </c>
      <c r="C118" s="1" t="s">
        <v>1017</v>
      </c>
      <c r="D118" s="1" t="s">
        <v>1034</v>
      </c>
      <c r="E118" s="1" t="s">
        <v>1035</v>
      </c>
      <c r="F118" s="1" t="s">
        <v>785</v>
      </c>
      <c r="G118" s="1" t="s">
        <v>317</v>
      </c>
      <c r="H118" s="1" t="s">
        <v>1034</v>
      </c>
      <c r="I118" s="1" t="s">
        <v>314</v>
      </c>
      <c r="J118" s="1" t="s">
        <v>590</v>
      </c>
      <c r="K118" s="1" t="s">
        <v>194</v>
      </c>
      <c r="L118" s="1" t="s">
        <v>194</v>
      </c>
      <c r="M118" s="1" t="s">
        <v>3464</v>
      </c>
      <c r="N118" s="1" t="b">
        <f>VLOOKUP(_org_unit_[[#This Row],[TB_GOSB]],_org_unit___v20[TB_GOSB],1,0)=_org_unit_[[#This Row],[TB_GOSB]]</f>
        <v>1</v>
      </c>
    </row>
    <row r="119" spans="1:14" x14ac:dyDescent="0.25">
      <c r="A119" s="1" t="s">
        <v>617</v>
      </c>
      <c r="B119" s="1" t="s">
        <v>1016</v>
      </c>
      <c r="C119" s="1" t="s">
        <v>1017</v>
      </c>
      <c r="D119" s="1" t="s">
        <v>1026</v>
      </c>
      <c r="E119" s="1" t="s">
        <v>1027</v>
      </c>
      <c r="F119" s="1" t="s">
        <v>785</v>
      </c>
      <c r="G119" s="1" t="s">
        <v>308</v>
      </c>
      <c r="H119" s="1" t="s">
        <v>1026</v>
      </c>
      <c r="I119" s="1" t="s">
        <v>608</v>
      </c>
      <c r="J119" s="1" t="s">
        <v>608</v>
      </c>
      <c r="K119" s="1" t="s">
        <v>194</v>
      </c>
      <c r="L119" s="1" t="s">
        <v>194</v>
      </c>
      <c r="M119" s="1" t="s">
        <v>3461</v>
      </c>
      <c r="N119" s="1" t="b">
        <f>VLOOKUP(_org_unit_[[#This Row],[TB_GOSB]],_org_unit___v20[TB_GOSB],1,0)=_org_unit_[[#This Row],[TB_GOSB]]</f>
        <v>1</v>
      </c>
    </row>
    <row r="120" spans="1:14" x14ac:dyDescent="0.25">
      <c r="A120" s="1" t="s">
        <v>617</v>
      </c>
      <c r="B120" s="1" t="s">
        <v>1016</v>
      </c>
      <c r="C120" s="1" t="s">
        <v>1017</v>
      </c>
      <c r="D120" s="1" t="s">
        <v>1032</v>
      </c>
      <c r="E120" s="1" t="s">
        <v>1033</v>
      </c>
      <c r="F120" s="1" t="s">
        <v>785</v>
      </c>
      <c r="G120" s="1" t="s">
        <v>317</v>
      </c>
      <c r="H120" s="1" t="s">
        <v>1032</v>
      </c>
      <c r="I120" s="1" t="s">
        <v>2</v>
      </c>
      <c r="J120" s="1" t="s">
        <v>590</v>
      </c>
      <c r="K120" s="1" t="s">
        <v>194</v>
      </c>
      <c r="L120" s="1" t="s">
        <v>194</v>
      </c>
      <c r="M120" s="1" t="s">
        <v>3533</v>
      </c>
      <c r="N120" s="1" t="b">
        <f>VLOOKUP(_org_unit_[[#This Row],[TB_GOSB]],_org_unit___v20[TB_GOSB],1,0)=_org_unit_[[#This Row],[TB_GOSB]]</f>
        <v>1</v>
      </c>
    </row>
    <row r="121" spans="1:14" x14ac:dyDescent="0.25">
      <c r="A121" s="1" t="s">
        <v>617</v>
      </c>
      <c r="B121" s="1" t="s">
        <v>1016</v>
      </c>
      <c r="C121" s="1" t="s">
        <v>1017</v>
      </c>
      <c r="D121" s="1" t="s">
        <v>1028</v>
      </c>
      <c r="E121" s="1" t="s">
        <v>1029</v>
      </c>
      <c r="F121" s="1" t="s">
        <v>785</v>
      </c>
      <c r="G121" s="1" t="s">
        <v>314</v>
      </c>
      <c r="H121" s="1" t="s">
        <v>1028</v>
      </c>
      <c r="I121" s="1" t="s">
        <v>801</v>
      </c>
      <c r="J121" s="1" t="s">
        <v>801</v>
      </c>
      <c r="K121" s="1" t="s">
        <v>194</v>
      </c>
      <c r="L121" s="1" t="s">
        <v>194</v>
      </c>
      <c r="M121" s="1" t="s">
        <v>3463</v>
      </c>
      <c r="N121" s="1" t="b">
        <f>VLOOKUP(_org_unit_[[#This Row],[TB_GOSB]],_org_unit___v20[TB_GOSB],1,0)=_org_unit_[[#This Row],[TB_GOSB]]</f>
        <v>1</v>
      </c>
    </row>
    <row r="122" spans="1:14" x14ac:dyDescent="0.25">
      <c r="A122" s="1" t="s">
        <v>618</v>
      </c>
      <c r="B122" s="1" t="s">
        <v>1036</v>
      </c>
      <c r="C122" s="1" t="s">
        <v>1037</v>
      </c>
      <c r="D122" s="1" t="s">
        <v>32</v>
      </c>
      <c r="E122" s="1" t="s">
        <v>194</v>
      </c>
      <c r="F122" s="1" t="s">
        <v>785</v>
      </c>
      <c r="G122" s="1" t="s">
        <v>32</v>
      </c>
      <c r="H122" s="1" t="s">
        <v>32</v>
      </c>
      <c r="I122" s="1" t="s">
        <v>32</v>
      </c>
      <c r="J122" s="1" t="s">
        <v>32</v>
      </c>
      <c r="K122" s="1" t="s">
        <v>194</v>
      </c>
      <c r="L122" s="1" t="s">
        <v>194</v>
      </c>
      <c r="M122" s="1" t="s">
        <v>3416</v>
      </c>
      <c r="N122" s="1" t="b">
        <f>VLOOKUP(_org_unit_[[#This Row],[TB_GOSB]],_org_unit___v20[TB_GOSB],1,0)=_org_unit_[[#This Row],[TB_GOSB]]</f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zoomScale="85" zoomScaleNormal="85" workbookViewId="0">
      <selection sqref="A1:N121"/>
    </sheetView>
  </sheetViews>
  <sheetFormatPr defaultRowHeight="15" x14ac:dyDescent="0.25"/>
  <cols>
    <col min="1" max="1" width="11.7109375" bestFit="1" customWidth="1"/>
    <col min="2" max="2" width="31.140625" bestFit="1" customWidth="1"/>
    <col min="3" max="3" width="19.28515625" bestFit="1" customWidth="1"/>
    <col min="4" max="4" width="14.42578125" bestFit="1" customWidth="1"/>
    <col min="5" max="5" width="63.42578125" bestFit="1" customWidth="1"/>
    <col min="6" max="6" width="22.140625" bestFit="1" customWidth="1"/>
    <col min="7" max="7" width="17.140625" bestFit="1" customWidth="1"/>
    <col min="8" max="8" width="19.28515625" bestFit="1" customWidth="1"/>
    <col min="9" max="9" width="13.140625" bestFit="1" customWidth="1"/>
    <col min="10" max="10" width="18" bestFit="1" customWidth="1"/>
    <col min="11" max="11" width="18.85546875" bestFit="1" customWidth="1"/>
    <col min="12" max="12" width="11.85546875" bestFit="1" customWidth="1"/>
    <col min="13" max="13" width="63.42578125" bestFit="1" customWidth="1"/>
    <col min="14" max="14" width="10.28515625" bestFit="1" customWidth="1"/>
  </cols>
  <sheetData>
    <row r="1" spans="1:14" x14ac:dyDescent="0.25">
      <c r="A1" s="1" t="s">
        <v>600</v>
      </c>
      <c r="B1" s="1" t="s">
        <v>771</v>
      </c>
      <c r="C1" s="1" t="s">
        <v>772</v>
      </c>
      <c r="D1" s="1" t="s">
        <v>601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2971</v>
      </c>
      <c r="L1" s="1" t="s">
        <v>3415</v>
      </c>
      <c r="M1" t="s">
        <v>2</v>
      </c>
      <c r="N1" t="s">
        <v>308</v>
      </c>
    </row>
    <row r="2" spans="1:14" x14ac:dyDescent="0.25">
      <c r="A2" s="1" t="s">
        <v>620</v>
      </c>
      <c r="B2" s="1" t="s">
        <v>780</v>
      </c>
      <c r="C2" s="1" t="s">
        <v>780</v>
      </c>
      <c r="D2" s="1" t="s">
        <v>32</v>
      </c>
      <c r="E2" s="1" t="s">
        <v>194</v>
      </c>
      <c r="F2" s="1" t="s">
        <v>781</v>
      </c>
      <c r="G2" s="1" t="s">
        <v>32</v>
      </c>
      <c r="H2" s="1" t="s">
        <v>32</v>
      </c>
      <c r="I2" s="1" t="s">
        <v>32</v>
      </c>
      <c r="J2" s="1" t="s">
        <v>32</v>
      </c>
      <c r="K2" s="1" t="s">
        <v>2973</v>
      </c>
      <c r="L2" s="1" t="s">
        <v>3443</v>
      </c>
      <c r="M2" s="1" t="str">
        <f>_org_unit___v20[[#This Row],[GOSB_NAME]]</f>
        <v/>
      </c>
      <c r="N2" s="1" t="str">
        <f>_org_unit___v20[[#This Row],[ORG_UNIT_CODE]]</f>
        <v>110000001</v>
      </c>
    </row>
    <row r="3" spans="1:14" x14ac:dyDescent="0.25">
      <c r="A3" s="1" t="s">
        <v>621</v>
      </c>
      <c r="B3" s="1" t="s">
        <v>782</v>
      </c>
      <c r="C3" s="1" t="s">
        <v>782</v>
      </c>
      <c r="D3" s="1" t="s">
        <v>32</v>
      </c>
      <c r="E3" s="1" t="s">
        <v>194</v>
      </c>
      <c r="F3" s="1" t="s">
        <v>781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2974</v>
      </c>
      <c r="L3" s="1" t="s">
        <v>3442</v>
      </c>
      <c r="M3" s="1" t="str">
        <f>_org_unit___v20[[#This Row],[GOSB_NAME]]</f>
        <v/>
      </c>
      <c r="N3" s="1" t="str">
        <f>_org_unit___v20[[#This Row],[ORG_UNIT_CODE]]</f>
        <v>800004668</v>
      </c>
    </row>
    <row r="4" spans="1:14" x14ac:dyDescent="0.25">
      <c r="A4" s="1" t="s">
        <v>605</v>
      </c>
      <c r="B4" s="1" t="s">
        <v>786</v>
      </c>
      <c r="C4" s="1" t="s">
        <v>787</v>
      </c>
      <c r="D4" s="1" t="s">
        <v>32</v>
      </c>
      <c r="E4" s="1" t="s">
        <v>788</v>
      </c>
      <c r="F4" s="1" t="s">
        <v>789</v>
      </c>
      <c r="G4" s="1" t="s">
        <v>2</v>
      </c>
      <c r="H4" s="1" t="s">
        <v>32</v>
      </c>
      <c r="I4" s="1" t="s">
        <v>32</v>
      </c>
      <c r="J4" s="1" t="s">
        <v>32</v>
      </c>
      <c r="K4" s="1" t="s">
        <v>2975</v>
      </c>
      <c r="L4" s="1" t="s">
        <v>3429</v>
      </c>
      <c r="M4" s="1" t="str">
        <f>_org_unit___v20[[#This Row],[GOSB_NAME]]</f>
        <v>Аппарат территориального банка</v>
      </c>
      <c r="N4" s="1" t="str">
        <f>_org_unit___v20[[#This Row],[ORG_UNIT_CODE]]</f>
        <v>10016678</v>
      </c>
    </row>
    <row r="5" spans="1:14" x14ac:dyDescent="0.25">
      <c r="A5" s="1" t="s">
        <v>605</v>
      </c>
      <c r="B5" s="1" t="s">
        <v>786</v>
      </c>
      <c r="C5" s="1" t="s">
        <v>787</v>
      </c>
      <c r="D5" s="1" t="s">
        <v>790</v>
      </c>
      <c r="E5" s="1" t="s">
        <v>791</v>
      </c>
      <c r="F5" s="1" t="s">
        <v>789</v>
      </c>
      <c r="G5" s="1" t="s">
        <v>2</v>
      </c>
      <c r="H5" s="1" t="s">
        <v>790</v>
      </c>
      <c r="I5" s="1" t="s">
        <v>792</v>
      </c>
      <c r="J5" s="1" t="s">
        <v>792</v>
      </c>
      <c r="K5" s="1" t="s">
        <v>2976</v>
      </c>
      <c r="L5" s="1" t="s">
        <v>3509</v>
      </c>
      <c r="M5" s="1" t="str">
        <f>_org_unit___v20[[#This Row],[GOSB_NAME]]</f>
        <v>Аппарат Центрально-Черноземного банка</v>
      </c>
      <c r="N5" s="1" t="str">
        <f>_org_unit___v20[[#This Row],[ORG_UNIT_CODE]]</f>
        <v>10293924</v>
      </c>
    </row>
    <row r="6" spans="1:14" x14ac:dyDescent="0.25">
      <c r="A6" s="1" t="s">
        <v>605</v>
      </c>
      <c r="B6" s="1" t="s">
        <v>786</v>
      </c>
      <c r="C6" s="1" t="s">
        <v>787</v>
      </c>
      <c r="D6" s="1" t="s">
        <v>793</v>
      </c>
      <c r="E6" s="1" t="s">
        <v>794</v>
      </c>
      <c r="F6" s="1" t="s">
        <v>785</v>
      </c>
      <c r="G6" s="1" t="s">
        <v>308</v>
      </c>
      <c r="H6" s="1" t="s">
        <v>793</v>
      </c>
      <c r="I6" s="1" t="s">
        <v>795</v>
      </c>
      <c r="J6" s="1" t="s">
        <v>795</v>
      </c>
      <c r="K6" s="1" t="s">
        <v>2977</v>
      </c>
      <c r="L6" s="1" t="s">
        <v>3504</v>
      </c>
      <c r="M6" s="1" t="str">
        <f>_org_unit___v20[[#This Row],[GOSB_NAME]]</f>
        <v xml:space="preserve">Белгородское ГОСБ </v>
      </c>
      <c r="N6" s="1" t="str">
        <f>_org_unit___v20[[#This Row],[ORG_UNIT_CODE]]</f>
        <v>10016696</v>
      </c>
    </row>
    <row r="7" spans="1:14" x14ac:dyDescent="0.25">
      <c r="A7" s="1" t="s">
        <v>605</v>
      </c>
      <c r="B7" s="1" t="s">
        <v>786</v>
      </c>
      <c r="C7" s="1" t="s">
        <v>787</v>
      </c>
      <c r="D7" s="1" t="s">
        <v>796</v>
      </c>
      <c r="E7" s="1" t="s">
        <v>797</v>
      </c>
      <c r="F7" s="1" t="s">
        <v>785</v>
      </c>
      <c r="G7" s="1" t="s">
        <v>2</v>
      </c>
      <c r="H7" s="1" t="s">
        <v>796</v>
      </c>
      <c r="I7" s="1" t="s">
        <v>798</v>
      </c>
      <c r="J7" s="1" t="s">
        <v>798</v>
      </c>
      <c r="K7" s="1" t="s">
        <v>2978</v>
      </c>
      <c r="L7" s="1" t="s">
        <v>3503</v>
      </c>
      <c r="M7" s="1" t="str">
        <f>_org_unit___v20[[#This Row],[GOSB_NAME]]</f>
        <v>ГО по Воронежской области</v>
      </c>
      <c r="N7" s="1" t="str">
        <f>_org_unit___v20[[#This Row],[ORG_UNIT_CODE]]</f>
        <v>10016705</v>
      </c>
    </row>
    <row r="8" spans="1:14" x14ac:dyDescent="0.25">
      <c r="A8" s="1" t="s">
        <v>605</v>
      </c>
      <c r="B8" s="1" t="s">
        <v>786</v>
      </c>
      <c r="C8" s="1" t="s">
        <v>787</v>
      </c>
      <c r="D8" s="1" t="s">
        <v>1083</v>
      </c>
      <c r="E8" s="1" t="s">
        <v>1084</v>
      </c>
      <c r="F8" s="1" t="s">
        <v>785</v>
      </c>
      <c r="G8" s="1" t="s">
        <v>2</v>
      </c>
      <c r="H8" s="1" t="s">
        <v>1083</v>
      </c>
      <c r="I8" s="1" t="s">
        <v>798</v>
      </c>
      <c r="J8" s="1" t="s">
        <v>798</v>
      </c>
      <c r="K8" s="1" t="s">
        <v>2979</v>
      </c>
      <c r="L8" s="1" t="s">
        <v>3510</v>
      </c>
      <c r="M8" s="1" t="str">
        <f>_org_unit___v20[[#This Row],[GOSB_NAME]]</f>
        <v>ГО по Луганской Народной Республике</v>
      </c>
      <c r="N8" s="1" t="str">
        <f>_org_unit___v20[[#This Row],[ORG_UNIT_CODE]]</f>
        <v>10354601</v>
      </c>
    </row>
    <row r="9" spans="1:14" x14ac:dyDescent="0.25">
      <c r="A9" s="1" t="s">
        <v>605</v>
      </c>
      <c r="B9" s="1" t="s">
        <v>786</v>
      </c>
      <c r="C9" s="1" t="s">
        <v>787</v>
      </c>
      <c r="D9" s="1" t="s">
        <v>799</v>
      </c>
      <c r="E9" s="1" t="s">
        <v>800</v>
      </c>
      <c r="F9" s="1" t="s">
        <v>785</v>
      </c>
      <c r="G9" s="1" t="s">
        <v>549</v>
      </c>
      <c r="H9" s="1" t="s">
        <v>799</v>
      </c>
      <c r="I9" s="1" t="s">
        <v>801</v>
      </c>
      <c r="J9" s="1" t="s">
        <v>801</v>
      </c>
      <c r="K9" s="1" t="s">
        <v>2980</v>
      </c>
      <c r="L9" s="1" t="s">
        <v>3508</v>
      </c>
      <c r="M9" s="1" t="str">
        <f>_org_unit___v20[[#This Row],[GOSB_NAME]]</f>
        <v xml:space="preserve">Тамбовское ГОСБ </v>
      </c>
      <c r="N9" s="1" t="str">
        <f>_org_unit___v20[[#This Row],[ORG_UNIT_CODE]]</f>
        <v>10016698</v>
      </c>
    </row>
    <row r="10" spans="1:14" x14ac:dyDescent="0.25">
      <c r="A10" s="1" t="s">
        <v>605</v>
      </c>
      <c r="B10" s="1" t="s">
        <v>786</v>
      </c>
      <c r="C10" s="1" t="s">
        <v>787</v>
      </c>
      <c r="D10" s="1" t="s">
        <v>802</v>
      </c>
      <c r="E10" s="1" t="s">
        <v>803</v>
      </c>
      <c r="F10" s="1" t="s">
        <v>785</v>
      </c>
      <c r="G10" s="1" t="s">
        <v>549</v>
      </c>
      <c r="H10" s="1" t="s">
        <v>802</v>
      </c>
      <c r="I10" s="1" t="s">
        <v>90</v>
      </c>
      <c r="J10" s="1" t="s">
        <v>90</v>
      </c>
      <c r="K10" s="1" t="s">
        <v>2981</v>
      </c>
      <c r="L10" s="1" t="s">
        <v>3507</v>
      </c>
      <c r="M10" s="1" t="str">
        <f>_org_unit___v20[[#This Row],[GOSB_NAME]]</f>
        <v xml:space="preserve">Орловское ГОСБ </v>
      </c>
      <c r="N10" s="1" t="str">
        <f>_org_unit___v20[[#This Row],[ORG_UNIT_CODE]]</f>
        <v>10113562</v>
      </c>
    </row>
    <row r="11" spans="1:14" x14ac:dyDescent="0.25">
      <c r="A11" s="1" t="s">
        <v>605</v>
      </c>
      <c r="B11" s="1" t="s">
        <v>786</v>
      </c>
      <c r="C11" s="1" t="s">
        <v>787</v>
      </c>
      <c r="D11" s="1" t="s">
        <v>804</v>
      </c>
      <c r="E11" s="1" t="s">
        <v>805</v>
      </c>
      <c r="F11" s="1" t="s">
        <v>785</v>
      </c>
      <c r="G11" s="1" t="s">
        <v>549</v>
      </c>
      <c r="H11" s="1" t="s">
        <v>804</v>
      </c>
      <c r="I11" s="1" t="s">
        <v>806</v>
      </c>
      <c r="J11" s="1" t="s">
        <v>806</v>
      </c>
      <c r="K11" s="1" t="s">
        <v>2982</v>
      </c>
      <c r="L11" s="1" t="s">
        <v>3505</v>
      </c>
      <c r="M11" s="1" t="str">
        <f>_org_unit___v20[[#This Row],[GOSB_NAME]]</f>
        <v xml:space="preserve">Курское ГОСБ </v>
      </c>
      <c r="N11" s="1" t="str">
        <f>_org_unit___v20[[#This Row],[ORG_UNIT_CODE]]</f>
        <v>10016699</v>
      </c>
    </row>
    <row r="12" spans="1:14" x14ac:dyDescent="0.25">
      <c r="A12" s="1" t="s">
        <v>605</v>
      </c>
      <c r="B12" s="1" t="s">
        <v>786</v>
      </c>
      <c r="C12" s="1" t="s">
        <v>787</v>
      </c>
      <c r="D12" s="1" t="s">
        <v>669</v>
      </c>
      <c r="E12" s="1" t="s">
        <v>807</v>
      </c>
      <c r="F12" s="1" t="s">
        <v>785</v>
      </c>
      <c r="G12" s="1" t="s">
        <v>314</v>
      </c>
      <c r="H12" s="1" t="s">
        <v>669</v>
      </c>
      <c r="I12" s="1" t="s">
        <v>36</v>
      </c>
      <c r="J12" s="1" t="s">
        <v>36</v>
      </c>
      <c r="K12" s="1" t="s">
        <v>2983</v>
      </c>
      <c r="L12" s="1" t="s">
        <v>3506</v>
      </c>
      <c r="M12" s="1" t="str">
        <f>_org_unit___v20[[#This Row],[GOSB_NAME]]</f>
        <v xml:space="preserve">Липецкое ГОСБ </v>
      </c>
      <c r="N12" s="1" t="str">
        <f>_org_unit___v20[[#This Row],[ORG_UNIT_CODE]]</f>
        <v>10016695</v>
      </c>
    </row>
    <row r="13" spans="1:14" x14ac:dyDescent="0.25">
      <c r="A13" s="1" t="s">
        <v>608</v>
      </c>
      <c r="B13" s="1" t="s">
        <v>808</v>
      </c>
      <c r="C13" s="1" t="s">
        <v>809</v>
      </c>
      <c r="D13" s="1" t="s">
        <v>32</v>
      </c>
      <c r="E13" s="1" t="s">
        <v>788</v>
      </c>
      <c r="F13" s="1" t="s">
        <v>789</v>
      </c>
      <c r="G13" s="1" t="s">
        <v>2</v>
      </c>
      <c r="H13" s="1" t="s">
        <v>32</v>
      </c>
      <c r="I13" s="1" t="s">
        <v>32</v>
      </c>
      <c r="J13" s="1" t="s">
        <v>32</v>
      </c>
      <c r="K13" s="1" t="s">
        <v>2984</v>
      </c>
      <c r="L13" s="1" t="s">
        <v>3426</v>
      </c>
      <c r="M13" s="1" t="str">
        <f>_org_unit___v20[[#This Row],[GOSB_NAME]]</f>
        <v>Аппарат территориального банка</v>
      </c>
      <c r="N13" s="1" t="str">
        <f>_org_unit___v20[[#This Row],[ORG_UNIT_CODE]]</f>
        <v>10016445</v>
      </c>
    </row>
    <row r="14" spans="1:14" x14ac:dyDescent="0.25">
      <c r="A14" s="1" t="s">
        <v>608</v>
      </c>
      <c r="B14" s="1" t="s">
        <v>808</v>
      </c>
      <c r="C14" s="1" t="s">
        <v>809</v>
      </c>
      <c r="D14" s="1" t="s">
        <v>810</v>
      </c>
      <c r="E14" s="1" t="s">
        <v>811</v>
      </c>
      <c r="F14" s="1" t="s">
        <v>789</v>
      </c>
      <c r="G14" s="1" t="s">
        <v>2</v>
      </c>
      <c r="H14" s="1" t="s">
        <v>810</v>
      </c>
      <c r="I14" s="1" t="s">
        <v>812</v>
      </c>
      <c r="J14" s="1" t="s">
        <v>812</v>
      </c>
      <c r="K14" s="1" t="s">
        <v>2985</v>
      </c>
      <c r="L14" s="1" t="s">
        <v>3511</v>
      </c>
      <c r="M14" s="1" t="str">
        <f>_org_unit___v20[[#This Row],[GOSB_NAME]]</f>
        <v>Аппарат Уральского банка</v>
      </c>
      <c r="N14" s="1" t="str">
        <f>_org_unit___v20[[#This Row],[ORG_UNIT_CODE]]</f>
        <v>10293489</v>
      </c>
    </row>
    <row r="15" spans="1:14" x14ac:dyDescent="0.25">
      <c r="A15" s="1" t="s">
        <v>608</v>
      </c>
      <c r="B15" s="1" t="s">
        <v>808</v>
      </c>
      <c r="C15" s="1" t="s">
        <v>809</v>
      </c>
      <c r="D15" s="1" t="s">
        <v>813</v>
      </c>
      <c r="E15" s="1" t="s">
        <v>814</v>
      </c>
      <c r="F15" s="1" t="s">
        <v>785</v>
      </c>
      <c r="G15" s="1" t="s">
        <v>2</v>
      </c>
      <c r="H15" s="1" t="s">
        <v>813</v>
      </c>
      <c r="I15" s="1" t="s">
        <v>795</v>
      </c>
      <c r="J15" s="1" t="s">
        <v>795</v>
      </c>
      <c r="K15" s="1" t="s">
        <v>2986</v>
      </c>
      <c r="L15" s="1" t="s">
        <v>3444</v>
      </c>
      <c r="M15" s="1" t="str">
        <f>_org_unit___v20[[#This Row],[GOSB_NAME]]</f>
        <v xml:space="preserve">Башкирское ГОСБ </v>
      </c>
      <c r="N15" s="1" t="str">
        <f>_org_unit___v20[[#This Row],[ORG_UNIT_CODE]]</f>
        <v>10016718</v>
      </c>
    </row>
    <row r="16" spans="1:14" x14ac:dyDescent="0.25">
      <c r="A16" s="1" t="s">
        <v>608</v>
      </c>
      <c r="B16" s="1" t="s">
        <v>808</v>
      </c>
      <c r="C16" s="1" t="s">
        <v>809</v>
      </c>
      <c r="D16" s="1" t="s">
        <v>815</v>
      </c>
      <c r="E16" s="1" t="s">
        <v>816</v>
      </c>
      <c r="F16" s="1" t="s">
        <v>785</v>
      </c>
      <c r="G16" s="1" t="s">
        <v>308</v>
      </c>
      <c r="H16" s="1" t="s">
        <v>815</v>
      </c>
      <c r="I16" s="1" t="s">
        <v>817</v>
      </c>
      <c r="J16" s="1" t="s">
        <v>817</v>
      </c>
      <c r="K16" s="1" t="s">
        <v>2987</v>
      </c>
      <c r="L16" s="1" t="s">
        <v>3458</v>
      </c>
      <c r="M16" s="1" t="str">
        <f>_org_unit___v20[[#This Row],[GOSB_NAME]]</f>
        <v xml:space="preserve">Западно-Сибирское ГОСБ </v>
      </c>
      <c r="N16" s="1" t="str">
        <f>_org_unit___v20[[#This Row],[ORG_UNIT_CODE]]</f>
        <v>10295881</v>
      </c>
    </row>
    <row r="17" spans="1:14" x14ac:dyDescent="0.25">
      <c r="A17" s="1" t="s">
        <v>608</v>
      </c>
      <c r="B17" s="1" t="s">
        <v>808</v>
      </c>
      <c r="C17" s="1" t="s">
        <v>809</v>
      </c>
      <c r="D17" s="1" t="s">
        <v>818</v>
      </c>
      <c r="E17" s="1" t="s">
        <v>819</v>
      </c>
      <c r="F17" s="1" t="s">
        <v>785</v>
      </c>
      <c r="G17" s="1" t="s">
        <v>549</v>
      </c>
      <c r="H17" s="1" t="s">
        <v>818</v>
      </c>
      <c r="I17" s="1" t="s">
        <v>317</v>
      </c>
      <c r="J17" s="1" t="s">
        <v>317</v>
      </c>
      <c r="K17" s="1" t="s">
        <v>2988</v>
      </c>
      <c r="L17" s="1" t="s">
        <v>3456</v>
      </c>
      <c r="M17" s="1" t="str">
        <f>_org_unit___v20[[#This Row],[GOSB_NAME]]</f>
        <v xml:space="preserve">Курганское ГОСБ </v>
      </c>
      <c r="N17" s="1" t="str">
        <f>_org_unit___v20[[#This Row],[ORG_UNIT_CODE]]</f>
        <v>10016723</v>
      </c>
    </row>
    <row r="18" spans="1:14" x14ac:dyDescent="0.25">
      <c r="A18" s="1" t="s">
        <v>608</v>
      </c>
      <c r="B18" s="1" t="s">
        <v>808</v>
      </c>
      <c r="C18" s="1" t="s">
        <v>809</v>
      </c>
      <c r="D18" s="1" t="s">
        <v>820</v>
      </c>
      <c r="E18" s="1" t="s">
        <v>821</v>
      </c>
      <c r="F18" s="1" t="s">
        <v>785</v>
      </c>
      <c r="G18" s="1" t="s">
        <v>2</v>
      </c>
      <c r="H18" s="1" t="s">
        <v>820</v>
      </c>
      <c r="I18" s="1" t="s">
        <v>822</v>
      </c>
      <c r="J18" s="1" t="s">
        <v>822</v>
      </c>
      <c r="K18" s="1" t="s">
        <v>2989</v>
      </c>
      <c r="L18" s="1" t="s">
        <v>3457</v>
      </c>
      <c r="M18" s="1" t="str">
        <f>_org_unit___v20[[#This Row],[GOSB_NAME]]</f>
        <v xml:space="preserve">Свердловское ГОСБ </v>
      </c>
      <c r="N18" s="1" t="str">
        <f>_org_unit___v20[[#This Row],[ORG_UNIT_CODE]]</f>
        <v>10087096</v>
      </c>
    </row>
    <row r="19" spans="1:14" x14ac:dyDescent="0.25">
      <c r="A19" s="1" t="s">
        <v>608</v>
      </c>
      <c r="B19" s="1" t="s">
        <v>808</v>
      </c>
      <c r="C19" s="1" t="s">
        <v>809</v>
      </c>
      <c r="D19" s="1" t="s">
        <v>823</v>
      </c>
      <c r="E19" s="1" t="s">
        <v>824</v>
      </c>
      <c r="F19" s="1" t="s">
        <v>785</v>
      </c>
      <c r="G19" s="1" t="s">
        <v>2</v>
      </c>
      <c r="H19" s="1" t="s">
        <v>823</v>
      </c>
      <c r="I19" s="1" t="s">
        <v>825</v>
      </c>
      <c r="J19" s="1" t="s">
        <v>825</v>
      </c>
      <c r="K19" s="1" t="s">
        <v>2990</v>
      </c>
      <c r="L19" s="1" t="s">
        <v>3455</v>
      </c>
      <c r="M19" s="1" t="str">
        <f>_org_unit___v20[[#This Row],[GOSB_NAME]]</f>
        <v xml:space="preserve">Челябинское ГОСБ </v>
      </c>
      <c r="N19" s="1" t="str">
        <f>_org_unit___v20[[#This Row],[ORG_UNIT_CODE]]</f>
        <v>10016641</v>
      </c>
    </row>
    <row r="20" spans="1:14" x14ac:dyDescent="0.25">
      <c r="A20" s="1" t="s">
        <v>608</v>
      </c>
      <c r="B20" s="1" t="s">
        <v>808</v>
      </c>
      <c r="C20" s="1" t="s">
        <v>809</v>
      </c>
      <c r="D20" s="1" t="s">
        <v>826</v>
      </c>
      <c r="E20" s="1" t="s">
        <v>827</v>
      </c>
      <c r="F20" s="1" t="s">
        <v>785</v>
      </c>
      <c r="G20" s="1" t="s">
        <v>2</v>
      </c>
      <c r="H20" s="1" t="s">
        <v>826</v>
      </c>
      <c r="I20" s="1" t="s">
        <v>608</v>
      </c>
      <c r="J20" s="1" t="s">
        <v>608</v>
      </c>
      <c r="K20" s="1" t="s">
        <v>2991</v>
      </c>
      <c r="L20" s="1" t="s">
        <v>3460</v>
      </c>
      <c r="M20" s="1" t="str">
        <f>_org_unit___v20[[#This Row],[GOSB_NAME]]</f>
        <v xml:space="preserve">Югорское отделение </v>
      </c>
      <c r="N20" s="1" t="str">
        <f>_org_unit___v20[[#This Row],[ORG_UNIT_CODE]]</f>
        <v>10297711</v>
      </c>
    </row>
    <row r="21" spans="1:14" x14ac:dyDescent="0.25">
      <c r="A21" s="1" t="s">
        <v>608</v>
      </c>
      <c r="B21" s="1" t="s">
        <v>808</v>
      </c>
      <c r="C21" s="1" t="s">
        <v>809</v>
      </c>
      <c r="D21" s="1" t="s">
        <v>828</v>
      </c>
      <c r="E21" s="1" t="s">
        <v>829</v>
      </c>
      <c r="F21" s="1" t="s">
        <v>785</v>
      </c>
      <c r="G21" s="1" t="s">
        <v>314</v>
      </c>
      <c r="H21" s="1" t="s">
        <v>828</v>
      </c>
      <c r="I21" s="1" t="s">
        <v>549</v>
      </c>
      <c r="J21" s="1" t="s">
        <v>549</v>
      </c>
      <c r="K21" s="1" t="s">
        <v>2992</v>
      </c>
      <c r="L21" s="1" t="s">
        <v>3459</v>
      </c>
      <c r="M21" s="1" t="str">
        <f>_org_unit___v20[[#This Row],[GOSB_NAME]]</f>
        <v xml:space="preserve">Ямало-Ненецкое отделение </v>
      </c>
      <c r="N21" s="1" t="str">
        <f>_org_unit___v20[[#This Row],[ORG_UNIT_CODE]]</f>
        <v>10297513</v>
      </c>
    </row>
    <row r="22" spans="1:14" x14ac:dyDescent="0.25">
      <c r="A22" s="1" t="s">
        <v>609</v>
      </c>
      <c r="B22" s="1" t="s">
        <v>830</v>
      </c>
      <c r="C22" s="1" t="s">
        <v>831</v>
      </c>
      <c r="D22" s="1" t="s">
        <v>32</v>
      </c>
      <c r="E22" s="1" t="s">
        <v>788</v>
      </c>
      <c r="F22" s="1" t="s">
        <v>789</v>
      </c>
      <c r="G22" s="1" t="s">
        <v>2</v>
      </c>
      <c r="H22" s="1" t="s">
        <v>32</v>
      </c>
      <c r="I22" s="1" t="s">
        <v>32</v>
      </c>
      <c r="J22" s="1" t="s">
        <v>32</v>
      </c>
      <c r="K22" s="1" t="s">
        <v>2993</v>
      </c>
      <c r="L22" s="1" t="s">
        <v>3418</v>
      </c>
      <c r="M22" s="1" t="str">
        <f>_org_unit___v20[[#This Row],[GOSB_NAME]]</f>
        <v>Аппарат территориального банка</v>
      </c>
      <c r="N22" s="1" t="str">
        <f>_org_unit___v20[[#This Row],[ORG_UNIT_CODE]]</f>
        <v>10016438</v>
      </c>
    </row>
    <row r="23" spans="1:14" x14ac:dyDescent="0.25">
      <c r="A23" s="1" t="s">
        <v>609</v>
      </c>
      <c r="B23" s="1" t="s">
        <v>830</v>
      </c>
      <c r="C23" s="1" t="s">
        <v>831</v>
      </c>
      <c r="D23" s="1" t="s">
        <v>832</v>
      </c>
      <c r="E23" s="1" t="s">
        <v>833</v>
      </c>
      <c r="F23" s="1" t="s">
        <v>789</v>
      </c>
      <c r="G23" s="1" t="s">
        <v>2</v>
      </c>
      <c r="H23" s="1" t="s">
        <v>832</v>
      </c>
      <c r="I23" s="1" t="s">
        <v>90</v>
      </c>
      <c r="J23" s="1" t="s">
        <v>90</v>
      </c>
      <c r="K23" s="1" t="s">
        <v>2994</v>
      </c>
      <c r="L23" s="1" t="s">
        <v>3512</v>
      </c>
      <c r="M23" s="1" t="str">
        <f>_org_unit___v20[[#This Row],[GOSB_NAME]]</f>
        <v>Аппарат Байкальского Банка</v>
      </c>
      <c r="N23" s="1" t="str">
        <f>_org_unit___v20[[#This Row],[ORG_UNIT_CODE]]</f>
        <v>10353225</v>
      </c>
    </row>
    <row r="24" spans="1:14" x14ac:dyDescent="0.25">
      <c r="A24" s="1" t="s">
        <v>609</v>
      </c>
      <c r="B24" s="1" t="s">
        <v>830</v>
      </c>
      <c r="C24" s="1" t="s">
        <v>831</v>
      </c>
      <c r="D24" s="1" t="s">
        <v>834</v>
      </c>
      <c r="E24" s="1" t="s">
        <v>835</v>
      </c>
      <c r="F24" s="1" t="s">
        <v>785</v>
      </c>
      <c r="G24" s="1" t="s">
        <v>549</v>
      </c>
      <c r="H24" s="1" t="s">
        <v>834</v>
      </c>
      <c r="I24" s="1" t="s">
        <v>836</v>
      </c>
      <c r="J24" s="1" t="s">
        <v>836</v>
      </c>
      <c r="K24" s="1" t="s">
        <v>2995</v>
      </c>
      <c r="L24" s="1" t="s">
        <v>3450</v>
      </c>
      <c r="M24" s="1" t="str">
        <f>_org_unit___v20[[#This Row],[GOSB_NAME]]</f>
        <v xml:space="preserve">Бурятское ГОСБ </v>
      </c>
      <c r="N24" s="1" t="str">
        <f>_org_unit___v20[[#This Row],[ORG_UNIT_CODE]]</f>
        <v>10016634</v>
      </c>
    </row>
    <row r="25" spans="1:14" x14ac:dyDescent="0.25">
      <c r="A25" s="1" t="s">
        <v>609</v>
      </c>
      <c r="B25" s="1" t="s">
        <v>830</v>
      </c>
      <c r="C25" s="1" t="s">
        <v>831</v>
      </c>
      <c r="D25" s="1" t="s">
        <v>837</v>
      </c>
      <c r="E25" s="1" t="s">
        <v>838</v>
      </c>
      <c r="F25" s="1" t="s">
        <v>785</v>
      </c>
      <c r="G25" s="1" t="s">
        <v>2</v>
      </c>
      <c r="H25" s="1" t="s">
        <v>837</v>
      </c>
      <c r="I25" s="1" t="s">
        <v>839</v>
      </c>
      <c r="J25" s="1" t="s">
        <v>839</v>
      </c>
      <c r="K25" s="1" t="s">
        <v>2996</v>
      </c>
      <c r="L25" s="1" t="s">
        <v>3434</v>
      </c>
      <c r="M25" s="1" t="str">
        <f>_org_unit___v20[[#This Row],[GOSB_NAME]]</f>
        <v xml:space="preserve">Иркутское ГОСБ </v>
      </c>
      <c r="N25" s="1" t="str">
        <f>_org_unit___v20[[#This Row],[ORG_UNIT_CODE]]</f>
        <v>10037967</v>
      </c>
    </row>
    <row r="26" spans="1:14" x14ac:dyDescent="0.25">
      <c r="A26" s="1" t="s">
        <v>609</v>
      </c>
      <c r="B26" s="1" t="s">
        <v>830</v>
      </c>
      <c r="C26" s="1" t="s">
        <v>831</v>
      </c>
      <c r="D26" s="1" t="s">
        <v>840</v>
      </c>
      <c r="E26" s="1" t="s">
        <v>841</v>
      </c>
      <c r="F26" s="1" t="s">
        <v>785</v>
      </c>
      <c r="G26" s="1" t="s">
        <v>314</v>
      </c>
      <c r="H26" s="1" t="s">
        <v>840</v>
      </c>
      <c r="I26" s="1" t="s">
        <v>836</v>
      </c>
      <c r="J26" s="1" t="s">
        <v>836</v>
      </c>
      <c r="K26" s="1" t="s">
        <v>2997</v>
      </c>
      <c r="L26" s="1" t="s">
        <v>3449</v>
      </c>
      <c r="M26" s="1" t="str">
        <f>_org_unit___v20[[#This Row],[GOSB_NAME]]</f>
        <v xml:space="preserve">Читинское ГОСБ </v>
      </c>
      <c r="N26" s="1" t="str">
        <f>_org_unit___v20[[#This Row],[ORG_UNIT_CODE]]</f>
        <v>10016635</v>
      </c>
    </row>
    <row r="27" spans="1:14" x14ac:dyDescent="0.25">
      <c r="A27" s="1" t="s">
        <v>609</v>
      </c>
      <c r="B27" s="1" t="s">
        <v>830</v>
      </c>
      <c r="C27" s="1" t="s">
        <v>831</v>
      </c>
      <c r="D27" s="1" t="s">
        <v>842</v>
      </c>
      <c r="E27" s="1" t="s">
        <v>843</v>
      </c>
      <c r="F27" s="1" t="s">
        <v>785</v>
      </c>
      <c r="G27" s="1" t="s">
        <v>308</v>
      </c>
      <c r="H27" s="1" t="s">
        <v>842</v>
      </c>
      <c r="I27" s="1" t="s">
        <v>90</v>
      </c>
      <c r="J27" s="1" t="s">
        <v>90</v>
      </c>
      <c r="K27" s="1" t="s">
        <v>2998</v>
      </c>
      <c r="L27" s="1" t="s">
        <v>3451</v>
      </c>
      <c r="M27" s="1" t="str">
        <f>_org_unit___v20[[#This Row],[GOSB_NAME]]</f>
        <v xml:space="preserve">Якутское ГОСБ </v>
      </c>
      <c r="N27" s="1" t="str">
        <f>_org_unit___v20[[#This Row],[ORG_UNIT_CODE]]</f>
        <v>10164582</v>
      </c>
    </row>
    <row r="28" spans="1:14" x14ac:dyDescent="0.25">
      <c r="A28" s="1" t="s">
        <v>610</v>
      </c>
      <c r="B28" s="1" t="s">
        <v>844</v>
      </c>
      <c r="C28" s="1" t="s">
        <v>845</v>
      </c>
      <c r="D28" s="1" t="s">
        <v>32</v>
      </c>
      <c r="E28" s="1" t="s">
        <v>788</v>
      </c>
      <c r="F28" s="1" t="s">
        <v>789</v>
      </c>
      <c r="G28" s="1" t="s">
        <v>2</v>
      </c>
      <c r="H28" s="1" t="s">
        <v>32</v>
      </c>
      <c r="I28" s="1" t="s">
        <v>32</v>
      </c>
      <c r="J28" s="1" t="s">
        <v>32</v>
      </c>
      <c r="K28" s="1" t="s">
        <v>2999</v>
      </c>
      <c r="L28" s="1" t="s">
        <v>3417</v>
      </c>
      <c r="M28" s="1" t="str">
        <f>_org_unit___v20[[#This Row],[GOSB_NAME]]</f>
        <v>Аппарат территориального банка</v>
      </c>
      <c r="N28" s="1" t="str">
        <f>_org_unit___v20[[#This Row],[ORG_UNIT_CODE]]</f>
        <v>10000367</v>
      </c>
    </row>
    <row r="29" spans="1:14" x14ac:dyDescent="0.25">
      <c r="A29" s="1" t="s">
        <v>610</v>
      </c>
      <c r="B29" s="1" t="s">
        <v>844</v>
      </c>
      <c r="C29" s="1" t="s">
        <v>845</v>
      </c>
      <c r="D29" s="1" t="s">
        <v>3534</v>
      </c>
      <c r="E29" s="1" t="s">
        <v>3535</v>
      </c>
      <c r="F29" s="1" t="s">
        <v>785</v>
      </c>
      <c r="G29" s="1" t="s">
        <v>2</v>
      </c>
      <c r="H29" s="1" t="s">
        <v>3534</v>
      </c>
      <c r="I29" s="1" t="s">
        <v>32</v>
      </c>
      <c r="J29" s="1" t="s">
        <v>32</v>
      </c>
      <c r="K29" s="1" t="s">
        <v>3541</v>
      </c>
      <c r="L29" s="1" t="s">
        <v>3537</v>
      </c>
      <c r="M29" s="1" t="str">
        <f>_org_unit___v20[[#This Row],[GOSB_NAME]]</f>
        <v>Отделение Московского банка</v>
      </c>
      <c r="N29" s="1" t="str">
        <f>_org_unit___v20[[#This Row],[ORG_UNIT_CODE]]</f>
        <v>10156582</v>
      </c>
    </row>
    <row r="30" spans="1:14" x14ac:dyDescent="0.25">
      <c r="A30" s="1" t="s">
        <v>610</v>
      </c>
      <c r="B30" s="1" t="s">
        <v>844</v>
      </c>
      <c r="C30" s="1" t="s">
        <v>845</v>
      </c>
      <c r="D30" s="1" t="s">
        <v>666</v>
      </c>
      <c r="E30" s="1" t="s">
        <v>846</v>
      </c>
      <c r="F30" s="1" t="s">
        <v>847</v>
      </c>
      <c r="G30" s="1" t="s">
        <v>2</v>
      </c>
      <c r="H30" s="1" t="s">
        <v>666</v>
      </c>
      <c r="I30" s="1" t="s">
        <v>848</v>
      </c>
      <c r="J30" s="1" t="s">
        <v>848</v>
      </c>
      <c r="K30" s="1" t="s">
        <v>849</v>
      </c>
      <c r="L30" s="1" t="s">
        <v>3513</v>
      </c>
      <c r="M30" s="1" t="str">
        <f>_org_unit___v20[[#This Row],[GOSB_NAME]]</f>
        <v>Управление МБ по работе с предприятиями инфраструктуры</v>
      </c>
      <c r="N30" s="1" t="str">
        <f>_org_unit___v20[[#This Row],[ORG_UNIT_CODE]]</f>
        <v>10242114</v>
      </c>
    </row>
    <row r="31" spans="1:14" x14ac:dyDescent="0.25">
      <c r="A31" s="1" t="s">
        <v>610</v>
      </c>
      <c r="B31" s="1" t="s">
        <v>844</v>
      </c>
      <c r="C31" s="1" t="s">
        <v>845</v>
      </c>
      <c r="D31" s="1" t="s">
        <v>665</v>
      </c>
      <c r="E31" s="1" t="s">
        <v>850</v>
      </c>
      <c r="F31" s="1" t="s">
        <v>847</v>
      </c>
      <c r="G31" s="1" t="s">
        <v>2</v>
      </c>
      <c r="H31" s="1" t="s">
        <v>665</v>
      </c>
      <c r="I31" s="1" t="s">
        <v>851</v>
      </c>
      <c r="J31" s="1" t="s">
        <v>851</v>
      </c>
      <c r="K31" s="1" t="s">
        <v>852</v>
      </c>
      <c r="L31" s="1" t="s">
        <v>3514</v>
      </c>
      <c r="M31" s="1" t="str">
        <f>_org_unit___v20[[#This Row],[GOSB_NAME]]</f>
        <v>Управление МБ по работе с предприятиями промышленности</v>
      </c>
      <c r="N31" s="1" t="str">
        <f>_org_unit___v20[[#This Row],[ORG_UNIT_CODE]]</f>
        <v>10242078</v>
      </c>
    </row>
    <row r="32" spans="1:14" x14ac:dyDescent="0.25">
      <c r="A32" s="1" t="s">
        <v>610</v>
      </c>
      <c r="B32" s="1" t="s">
        <v>844</v>
      </c>
      <c r="C32" s="1" t="s">
        <v>845</v>
      </c>
      <c r="D32" s="1" t="s">
        <v>853</v>
      </c>
      <c r="E32" s="1" t="s">
        <v>854</v>
      </c>
      <c r="F32" s="1" t="s">
        <v>847</v>
      </c>
      <c r="G32" s="1" t="s">
        <v>2</v>
      </c>
      <c r="H32" s="1" t="s">
        <v>853</v>
      </c>
      <c r="I32" s="1" t="s">
        <v>822</v>
      </c>
      <c r="J32" s="1" t="s">
        <v>822</v>
      </c>
      <c r="K32" s="1" t="s">
        <v>855</v>
      </c>
      <c r="L32" s="1" t="s">
        <v>3515</v>
      </c>
      <c r="M32" s="1" t="str">
        <f>_org_unit___v20[[#This Row],[GOSB_NAME]]</f>
        <v>Управление МБ по работе с предприятиями сферы недвижимости</v>
      </c>
      <c r="N32" s="1" t="str">
        <f>_org_unit___v20[[#This Row],[ORG_UNIT_CODE]]</f>
        <v>10240714</v>
      </c>
    </row>
    <row r="33" spans="1:14" x14ac:dyDescent="0.25">
      <c r="A33" s="1" t="s">
        <v>610</v>
      </c>
      <c r="B33" s="1" t="s">
        <v>844</v>
      </c>
      <c r="C33" s="1" t="s">
        <v>845</v>
      </c>
      <c r="D33" s="1" t="s">
        <v>856</v>
      </c>
      <c r="E33" s="1" t="s">
        <v>857</v>
      </c>
      <c r="F33" s="1" t="s">
        <v>847</v>
      </c>
      <c r="G33" s="1" t="s">
        <v>2</v>
      </c>
      <c r="H33" s="1" t="s">
        <v>856</v>
      </c>
      <c r="I33" s="1" t="s">
        <v>858</v>
      </c>
      <c r="J33" s="1" t="s">
        <v>858</v>
      </c>
      <c r="K33" s="1" t="s">
        <v>859</v>
      </c>
      <c r="L33" s="1" t="s">
        <v>3516</v>
      </c>
      <c r="M33" s="1" t="str">
        <f>_org_unit___v20[[#This Row],[GOSB_NAME]]</f>
        <v>Управление МБ по работе с предприятиями сферы услуг</v>
      </c>
      <c r="N33" s="1" t="str">
        <f>_org_unit___v20[[#This Row],[ORG_UNIT_CODE]]</f>
        <v>10241967</v>
      </c>
    </row>
    <row r="34" spans="1:14" x14ac:dyDescent="0.25">
      <c r="A34" s="1" t="s">
        <v>610</v>
      </c>
      <c r="B34" s="1" t="s">
        <v>844</v>
      </c>
      <c r="C34" s="1" t="s">
        <v>845</v>
      </c>
      <c r="D34" s="1" t="s">
        <v>860</v>
      </c>
      <c r="E34" s="1" t="s">
        <v>861</v>
      </c>
      <c r="F34" s="1" t="s">
        <v>847</v>
      </c>
      <c r="G34" s="1" t="s">
        <v>2</v>
      </c>
      <c r="H34" s="1" t="s">
        <v>860</v>
      </c>
      <c r="I34" s="1" t="s">
        <v>862</v>
      </c>
      <c r="J34" s="1" t="s">
        <v>862</v>
      </c>
      <c r="K34" s="1" t="s">
        <v>863</v>
      </c>
      <c r="L34" s="1" t="s">
        <v>3517</v>
      </c>
      <c r="M34" s="1" t="str">
        <f>_org_unit___v20[[#This Row],[GOSB_NAME]]</f>
        <v>Управление МБ по работе с предприятиями торговли</v>
      </c>
      <c r="N34" s="1" t="str">
        <f>_org_unit___v20[[#This Row],[ORG_UNIT_CODE]]</f>
        <v>10241463</v>
      </c>
    </row>
    <row r="35" spans="1:14" x14ac:dyDescent="0.25">
      <c r="A35" s="1" t="s">
        <v>610</v>
      </c>
      <c r="B35" s="1" t="s">
        <v>844</v>
      </c>
      <c r="C35" s="1" t="s">
        <v>845</v>
      </c>
      <c r="D35" s="1" t="s">
        <v>667</v>
      </c>
      <c r="E35" s="1" t="s">
        <v>864</v>
      </c>
      <c r="F35" s="1" t="s">
        <v>847</v>
      </c>
      <c r="G35" s="1" t="s">
        <v>2</v>
      </c>
      <c r="H35" s="1" t="s">
        <v>667</v>
      </c>
      <c r="I35" s="1" t="s">
        <v>865</v>
      </c>
      <c r="J35" s="1" t="s">
        <v>865</v>
      </c>
      <c r="K35" s="1" t="s">
        <v>866</v>
      </c>
      <c r="L35" s="1" t="s">
        <v>3439</v>
      </c>
      <c r="M35" s="1" t="str">
        <f>_org_unit___v20[[#This Row],[GOSB_NAME]]</f>
        <v>Управление МБ по работе с предприятиями транспорта</v>
      </c>
      <c r="N35" s="1" t="str">
        <f>_org_unit___v20[[#This Row],[ORG_UNIT_CODE]]</f>
        <v>10241962</v>
      </c>
    </row>
    <row r="36" spans="1:14" x14ac:dyDescent="0.25">
      <c r="A36" s="1" t="s">
        <v>611</v>
      </c>
      <c r="B36" s="1" t="s">
        <v>867</v>
      </c>
      <c r="C36" s="1" t="s">
        <v>868</v>
      </c>
      <c r="D36" s="1" t="s">
        <v>869</v>
      </c>
      <c r="E36" s="1" t="s">
        <v>870</v>
      </c>
      <c r="F36" s="1" t="s">
        <v>789</v>
      </c>
      <c r="G36" s="1" t="s">
        <v>2</v>
      </c>
      <c r="H36" s="1" t="s">
        <v>869</v>
      </c>
      <c r="I36" s="1" t="s">
        <v>609</v>
      </c>
      <c r="J36" s="1" t="s">
        <v>609</v>
      </c>
      <c r="K36" s="1" t="s">
        <v>3000</v>
      </c>
      <c r="L36" s="1" t="s">
        <v>3440</v>
      </c>
      <c r="M36" s="1" t="str">
        <f>_org_unit___v20[[#This Row],[GOSB_NAME]]</f>
        <v>Аппарат Среднерусского банка</v>
      </c>
      <c r="N36" s="1" t="str">
        <f>_org_unit___v20[[#This Row],[ORG_UNIT_CODE]]</f>
        <v>10290247</v>
      </c>
    </row>
    <row r="37" spans="1:14" x14ac:dyDescent="0.25">
      <c r="A37" s="1" t="s">
        <v>611</v>
      </c>
      <c r="B37" s="1" t="s">
        <v>867</v>
      </c>
      <c r="C37" s="1" t="s">
        <v>868</v>
      </c>
      <c r="D37" s="1" t="s">
        <v>3539</v>
      </c>
      <c r="E37" s="1" t="s">
        <v>3540</v>
      </c>
      <c r="F37" s="1" t="s">
        <v>785</v>
      </c>
      <c r="G37" s="1" t="s">
        <v>2</v>
      </c>
      <c r="H37" s="1" t="s">
        <v>3539</v>
      </c>
      <c r="I37" s="1" t="s">
        <v>32</v>
      </c>
      <c r="J37" s="1" t="s">
        <v>32</v>
      </c>
      <c r="K37" s="1" t="s">
        <v>3542</v>
      </c>
      <c r="L37" s="1" t="s">
        <v>3538</v>
      </c>
      <c r="M37" s="1" t="str">
        <f>_org_unit___v20[[#This Row],[GOSB_NAME]]</f>
        <v>Отделение Среднерусского банка</v>
      </c>
      <c r="N37" s="1" t="str">
        <f>_org_unit___v20[[#This Row],[ORG_UNIT_CODE]]</f>
        <v>10300825</v>
      </c>
    </row>
    <row r="38" spans="1:14" x14ac:dyDescent="0.25">
      <c r="A38" s="1" t="s">
        <v>611</v>
      </c>
      <c r="B38" s="1" t="s">
        <v>867</v>
      </c>
      <c r="C38" s="1" t="s">
        <v>868</v>
      </c>
      <c r="D38" s="1" t="s">
        <v>871</v>
      </c>
      <c r="E38" s="1" t="s">
        <v>872</v>
      </c>
      <c r="F38" s="1" t="s">
        <v>785</v>
      </c>
      <c r="G38" s="1" t="s">
        <v>2</v>
      </c>
      <c r="H38" s="1" t="s">
        <v>871</v>
      </c>
      <c r="I38" s="1" t="s">
        <v>848</v>
      </c>
      <c r="J38" s="1" t="s">
        <v>848</v>
      </c>
      <c r="K38" s="1" t="s">
        <v>3001</v>
      </c>
      <c r="L38" s="1" t="s">
        <v>3518</v>
      </c>
      <c r="M38" s="1" t="str">
        <f>_org_unit___v20[[#This Row],[GOSB_NAME]]</f>
        <v xml:space="preserve">Восточное ГОСБ </v>
      </c>
      <c r="N38" s="1" t="str">
        <f>_org_unit___v20[[#This Row],[ORG_UNIT_CODE]]</f>
        <v>10182580</v>
      </c>
    </row>
    <row r="39" spans="1:14" x14ac:dyDescent="0.25">
      <c r="A39" s="1" t="s">
        <v>611</v>
      </c>
      <c r="B39" s="1" t="s">
        <v>867</v>
      </c>
      <c r="C39" s="1" t="s">
        <v>868</v>
      </c>
      <c r="D39" s="1" t="s">
        <v>624</v>
      </c>
      <c r="E39" s="1" t="s">
        <v>873</v>
      </c>
      <c r="F39" s="1" t="s">
        <v>785</v>
      </c>
      <c r="G39" s="1" t="s">
        <v>2</v>
      </c>
      <c r="H39" s="1" t="s">
        <v>624</v>
      </c>
      <c r="I39" s="1" t="s">
        <v>858</v>
      </c>
      <c r="J39" s="1" t="s">
        <v>858</v>
      </c>
      <c r="K39" s="1" t="s">
        <v>3002</v>
      </c>
      <c r="L39" s="1" t="s">
        <v>3432</v>
      </c>
      <c r="M39" s="1" t="str">
        <f>_org_unit___v20[[#This Row],[GOSB_NAME]]</f>
        <v xml:space="preserve">Западное ГОСБ </v>
      </c>
      <c r="N39" s="1" t="str">
        <f>_org_unit___v20[[#This Row],[ORG_UNIT_CODE]]</f>
        <v>10182582</v>
      </c>
    </row>
    <row r="40" spans="1:14" x14ac:dyDescent="0.25">
      <c r="A40" s="1" t="s">
        <v>611</v>
      </c>
      <c r="B40" s="1" t="s">
        <v>867</v>
      </c>
      <c r="C40" s="1" t="s">
        <v>868</v>
      </c>
      <c r="D40" s="1" t="s">
        <v>874</v>
      </c>
      <c r="E40" s="1" t="s">
        <v>875</v>
      </c>
      <c r="F40" s="1" t="s">
        <v>785</v>
      </c>
      <c r="G40" s="1" t="s">
        <v>314</v>
      </c>
      <c r="H40" s="1" t="s">
        <v>874</v>
      </c>
      <c r="I40" s="1" t="s">
        <v>792</v>
      </c>
      <c r="J40" s="1" t="s">
        <v>792</v>
      </c>
      <c r="K40" s="1" t="s">
        <v>3003</v>
      </c>
      <c r="L40" s="1" t="s">
        <v>3498</v>
      </c>
      <c r="M40" s="1" t="str">
        <f>_org_unit___v20[[#This Row],[GOSB_NAME]]</f>
        <v xml:space="preserve">Калужское ГОСБ </v>
      </c>
      <c r="N40" s="1" t="str">
        <f>_org_unit___v20[[#This Row],[ORG_UNIT_CODE]]</f>
        <v>10016629</v>
      </c>
    </row>
    <row r="41" spans="1:14" x14ac:dyDescent="0.25">
      <c r="A41" s="1" t="s">
        <v>611</v>
      </c>
      <c r="B41" s="1" t="s">
        <v>867</v>
      </c>
      <c r="C41" s="1" t="s">
        <v>868</v>
      </c>
      <c r="D41" s="1" t="s">
        <v>876</v>
      </c>
      <c r="E41" s="1" t="s">
        <v>877</v>
      </c>
      <c r="F41" s="1" t="s">
        <v>785</v>
      </c>
      <c r="G41" s="1" t="s">
        <v>549</v>
      </c>
      <c r="H41" s="1" t="s">
        <v>876</v>
      </c>
      <c r="I41" s="1" t="s">
        <v>806</v>
      </c>
      <c r="J41" s="1" t="s">
        <v>806</v>
      </c>
      <c r="K41" s="1" t="s">
        <v>3004</v>
      </c>
      <c r="L41" s="1" t="s">
        <v>3497</v>
      </c>
      <c r="M41" s="1" t="str">
        <f>_org_unit___v20[[#This Row],[GOSB_NAME]]</f>
        <v xml:space="preserve">Брянское ГОСБ </v>
      </c>
      <c r="N41" s="1" t="str">
        <f>_org_unit___v20[[#This Row],[ORG_UNIT_CODE]]</f>
        <v>10016647</v>
      </c>
    </row>
    <row r="42" spans="1:14" x14ac:dyDescent="0.25">
      <c r="A42" s="1" t="s">
        <v>611</v>
      </c>
      <c r="B42" s="1" t="s">
        <v>867</v>
      </c>
      <c r="C42" s="1" t="s">
        <v>868</v>
      </c>
      <c r="D42" s="1" t="s">
        <v>878</v>
      </c>
      <c r="E42" s="1" t="s">
        <v>879</v>
      </c>
      <c r="F42" s="1" t="s">
        <v>785</v>
      </c>
      <c r="G42" s="1" t="s">
        <v>549</v>
      </c>
      <c r="H42" s="1" t="s">
        <v>878</v>
      </c>
      <c r="I42" s="1" t="s">
        <v>36</v>
      </c>
      <c r="J42" s="1" t="s">
        <v>36</v>
      </c>
      <c r="K42" s="1" t="s">
        <v>3005</v>
      </c>
      <c r="L42" s="1" t="s">
        <v>3500</v>
      </c>
      <c r="M42" s="1" t="str">
        <f>_org_unit___v20[[#This Row],[GOSB_NAME]]</f>
        <v xml:space="preserve">Смоленское ГОСБ </v>
      </c>
      <c r="N42" s="1" t="str">
        <f>_org_unit___v20[[#This Row],[ORG_UNIT_CODE]]</f>
        <v>10016649</v>
      </c>
    </row>
    <row r="43" spans="1:14" x14ac:dyDescent="0.25">
      <c r="A43" s="1" t="s">
        <v>611</v>
      </c>
      <c r="B43" s="1" t="s">
        <v>867</v>
      </c>
      <c r="C43" s="1" t="s">
        <v>868</v>
      </c>
      <c r="D43" s="1" t="s">
        <v>880</v>
      </c>
      <c r="E43" s="1" t="s">
        <v>881</v>
      </c>
      <c r="F43" s="1" t="s">
        <v>785</v>
      </c>
      <c r="G43" s="1" t="s">
        <v>314</v>
      </c>
      <c r="H43" s="1" t="s">
        <v>880</v>
      </c>
      <c r="I43" s="1" t="s">
        <v>36</v>
      </c>
      <c r="J43" s="1" t="s">
        <v>36</v>
      </c>
      <c r="K43" s="1" t="s">
        <v>3006</v>
      </c>
      <c r="L43" s="1" t="s">
        <v>3499</v>
      </c>
      <c r="M43" s="1" t="str">
        <f>_org_unit___v20[[#This Row],[GOSB_NAME]]</f>
        <v xml:space="preserve">Рязанское ГОСБ </v>
      </c>
      <c r="N43" s="1" t="str">
        <f>_org_unit___v20[[#This Row],[ORG_UNIT_CODE]]</f>
        <v>10016648</v>
      </c>
    </row>
    <row r="44" spans="1:14" x14ac:dyDescent="0.25">
      <c r="A44" s="1" t="s">
        <v>611</v>
      </c>
      <c r="B44" s="1" t="s">
        <v>867</v>
      </c>
      <c r="C44" s="1" t="s">
        <v>868</v>
      </c>
      <c r="D44" s="1" t="s">
        <v>882</v>
      </c>
      <c r="E44" s="1" t="s">
        <v>883</v>
      </c>
      <c r="F44" s="1" t="s">
        <v>785</v>
      </c>
      <c r="G44" s="1" t="s">
        <v>2</v>
      </c>
      <c r="H44" s="1" t="s">
        <v>882</v>
      </c>
      <c r="I44" s="1" t="s">
        <v>812</v>
      </c>
      <c r="J44" s="1" t="s">
        <v>812</v>
      </c>
      <c r="K44" s="1" t="s">
        <v>3007</v>
      </c>
      <c r="L44" s="1" t="s">
        <v>3447</v>
      </c>
      <c r="M44" s="1" t="str">
        <f>_org_unit___v20[[#This Row],[GOSB_NAME]]</f>
        <v xml:space="preserve">Северное ГОСБ </v>
      </c>
      <c r="N44" s="1" t="str">
        <f>_org_unit___v20[[#This Row],[ORG_UNIT_CODE]]</f>
        <v>10182583</v>
      </c>
    </row>
    <row r="45" spans="1:14" x14ac:dyDescent="0.25">
      <c r="A45" s="1" t="s">
        <v>611</v>
      </c>
      <c r="B45" s="1" t="s">
        <v>867</v>
      </c>
      <c r="C45" s="1" t="s">
        <v>868</v>
      </c>
      <c r="D45" s="1" t="s">
        <v>884</v>
      </c>
      <c r="E45" s="1" t="s">
        <v>885</v>
      </c>
      <c r="F45" s="1" t="s">
        <v>785</v>
      </c>
      <c r="G45" s="1" t="s">
        <v>549</v>
      </c>
      <c r="H45" s="1" t="s">
        <v>884</v>
      </c>
      <c r="I45" s="1" t="s">
        <v>36</v>
      </c>
      <c r="J45" s="1" t="s">
        <v>36</v>
      </c>
      <c r="K45" s="1" t="s">
        <v>3008</v>
      </c>
      <c r="L45" s="1" t="s">
        <v>3494</v>
      </c>
      <c r="M45" s="1" t="str">
        <f>_org_unit___v20[[#This Row],[GOSB_NAME]]</f>
        <v xml:space="preserve">Ивановское ГОСБ </v>
      </c>
      <c r="N45" s="1" t="str">
        <f>_org_unit___v20[[#This Row],[ORG_UNIT_CODE]]</f>
        <v>10265346</v>
      </c>
    </row>
    <row r="46" spans="1:14" x14ac:dyDescent="0.25">
      <c r="A46" s="1" t="s">
        <v>611</v>
      </c>
      <c r="B46" s="1" t="s">
        <v>867</v>
      </c>
      <c r="C46" s="1" t="s">
        <v>868</v>
      </c>
      <c r="D46" s="1" t="s">
        <v>886</v>
      </c>
      <c r="E46" s="1" t="s">
        <v>887</v>
      </c>
      <c r="F46" s="1" t="s">
        <v>785</v>
      </c>
      <c r="G46" s="1" t="s">
        <v>549</v>
      </c>
      <c r="H46" s="1" t="s">
        <v>886</v>
      </c>
      <c r="I46" s="1" t="s">
        <v>836</v>
      </c>
      <c r="J46" s="1" t="s">
        <v>836</v>
      </c>
      <c r="K46" s="1" t="s">
        <v>3009</v>
      </c>
      <c r="L46" s="1" t="s">
        <v>3495</v>
      </c>
      <c r="M46" s="1" t="str">
        <f>_org_unit___v20[[#This Row],[GOSB_NAME]]</f>
        <v xml:space="preserve">Костромское ГОСБ </v>
      </c>
      <c r="N46" s="1" t="str">
        <f>_org_unit___v20[[#This Row],[ORG_UNIT_CODE]]</f>
        <v>10265143</v>
      </c>
    </row>
    <row r="47" spans="1:14" x14ac:dyDescent="0.25">
      <c r="A47" s="1" t="s">
        <v>611</v>
      </c>
      <c r="B47" s="1" t="s">
        <v>867</v>
      </c>
      <c r="C47" s="1" t="s">
        <v>868</v>
      </c>
      <c r="D47" s="1" t="s">
        <v>888</v>
      </c>
      <c r="E47" s="1" t="s">
        <v>889</v>
      </c>
      <c r="F47" s="1" t="s">
        <v>785</v>
      </c>
      <c r="G47" s="1" t="s">
        <v>314</v>
      </c>
      <c r="H47" s="1" t="s">
        <v>888</v>
      </c>
      <c r="I47" s="1" t="s">
        <v>801</v>
      </c>
      <c r="J47" s="1" t="s">
        <v>801</v>
      </c>
      <c r="K47" s="1" t="s">
        <v>3010</v>
      </c>
      <c r="L47" s="1" t="s">
        <v>3501</v>
      </c>
      <c r="M47" s="1" t="str">
        <f>_org_unit___v20[[#This Row],[GOSB_NAME]]</f>
        <v xml:space="preserve">Тверское ГОСБ </v>
      </c>
      <c r="N47" s="1" t="str">
        <f>_org_unit___v20[[#This Row],[ORG_UNIT_CODE]]</f>
        <v>10016671</v>
      </c>
    </row>
    <row r="48" spans="1:14" x14ac:dyDescent="0.25">
      <c r="A48" s="1" t="s">
        <v>611</v>
      </c>
      <c r="B48" s="1" t="s">
        <v>867</v>
      </c>
      <c r="C48" s="1" t="s">
        <v>868</v>
      </c>
      <c r="D48" s="1" t="s">
        <v>890</v>
      </c>
      <c r="E48" s="1" t="s">
        <v>891</v>
      </c>
      <c r="F48" s="1" t="s">
        <v>785</v>
      </c>
      <c r="G48" s="1" t="s">
        <v>308</v>
      </c>
      <c r="H48" s="1" t="s">
        <v>890</v>
      </c>
      <c r="I48" s="1" t="s">
        <v>322</v>
      </c>
      <c r="J48" s="1" t="s">
        <v>322</v>
      </c>
      <c r="K48" s="1" t="s">
        <v>3011</v>
      </c>
      <c r="L48" s="1" t="s">
        <v>3502</v>
      </c>
      <c r="M48" s="1" t="str">
        <f>_org_unit___v20[[#This Row],[GOSB_NAME]]</f>
        <v xml:space="preserve">Тульское ГОСБ </v>
      </c>
      <c r="N48" s="1" t="str">
        <f>_org_unit___v20[[#This Row],[ORG_UNIT_CODE]]</f>
        <v>10016650</v>
      </c>
    </row>
    <row r="49" spans="1:14" x14ac:dyDescent="0.25">
      <c r="A49" s="1" t="s">
        <v>611</v>
      </c>
      <c r="B49" s="1" t="s">
        <v>867</v>
      </c>
      <c r="C49" s="1" t="s">
        <v>868</v>
      </c>
      <c r="D49" s="1" t="s">
        <v>668</v>
      </c>
      <c r="E49" s="1" t="s">
        <v>892</v>
      </c>
      <c r="F49" s="1" t="s">
        <v>785</v>
      </c>
      <c r="G49" s="1" t="s">
        <v>2</v>
      </c>
      <c r="H49" s="1" t="s">
        <v>668</v>
      </c>
      <c r="I49" s="1" t="s">
        <v>812</v>
      </c>
      <c r="J49" s="1" t="s">
        <v>812</v>
      </c>
      <c r="K49" s="1" t="s">
        <v>3012</v>
      </c>
      <c r="L49" s="1" t="s">
        <v>3424</v>
      </c>
      <c r="M49" s="1" t="str">
        <f>_org_unit___v20[[#This Row],[GOSB_NAME]]</f>
        <v xml:space="preserve">Южное ГОСБ </v>
      </c>
      <c r="N49" s="1" t="str">
        <f>_org_unit___v20[[#This Row],[ORG_UNIT_CODE]]</f>
        <v>10182581</v>
      </c>
    </row>
    <row r="50" spans="1:14" x14ac:dyDescent="0.25">
      <c r="A50" s="1" t="s">
        <v>611</v>
      </c>
      <c r="B50" s="1" t="s">
        <v>867</v>
      </c>
      <c r="C50" s="1" t="s">
        <v>868</v>
      </c>
      <c r="D50" s="1" t="s">
        <v>893</v>
      </c>
      <c r="E50" s="1" t="s">
        <v>894</v>
      </c>
      <c r="F50" s="1" t="s">
        <v>785</v>
      </c>
      <c r="G50" s="1" t="s">
        <v>308</v>
      </c>
      <c r="H50" s="1" t="s">
        <v>893</v>
      </c>
      <c r="I50" s="1" t="s">
        <v>36</v>
      </c>
      <c r="J50" s="1" t="s">
        <v>36</v>
      </c>
      <c r="K50" s="1" t="s">
        <v>3013</v>
      </c>
      <c r="L50" s="1" t="s">
        <v>3496</v>
      </c>
      <c r="M50" s="1" t="str">
        <f>_org_unit___v20[[#This Row],[GOSB_NAME]]</f>
        <v xml:space="preserve">Ярославское ГОСБ </v>
      </c>
      <c r="N50" s="1" t="str">
        <f>_org_unit___v20[[#This Row],[ORG_UNIT_CODE]]</f>
        <v>10265572</v>
      </c>
    </row>
    <row r="51" spans="1:14" x14ac:dyDescent="0.25">
      <c r="A51" s="1" t="s">
        <v>611</v>
      </c>
      <c r="B51" s="1" t="s">
        <v>867</v>
      </c>
      <c r="C51" s="1" t="s">
        <v>868</v>
      </c>
      <c r="D51" s="1" t="s">
        <v>32</v>
      </c>
      <c r="E51" s="1" t="s">
        <v>788</v>
      </c>
      <c r="F51" s="1" t="s">
        <v>789</v>
      </c>
      <c r="G51" s="1" t="s">
        <v>2</v>
      </c>
      <c r="H51" s="1" t="s">
        <v>32</v>
      </c>
      <c r="I51" s="1" t="s">
        <v>32</v>
      </c>
      <c r="J51" s="1" t="s">
        <v>32</v>
      </c>
      <c r="K51" s="1" t="s">
        <v>3014</v>
      </c>
      <c r="L51" s="1" t="s">
        <v>3425</v>
      </c>
      <c r="M51" s="1" t="str">
        <f>_org_unit___v20[[#This Row],[GOSB_NAME]]</f>
        <v>Аппарат территориального банка</v>
      </c>
      <c r="N51" s="1" t="str">
        <f>_org_unit___v20[[#This Row],[ORG_UNIT_CODE]]</f>
        <v>10016443</v>
      </c>
    </row>
    <row r="52" spans="1:14" x14ac:dyDescent="0.25">
      <c r="A52" s="1" t="s">
        <v>612</v>
      </c>
      <c r="B52" s="1" t="s">
        <v>895</v>
      </c>
      <c r="C52" s="1" t="s">
        <v>896</v>
      </c>
      <c r="D52" s="1" t="s">
        <v>32</v>
      </c>
      <c r="E52" s="1" t="s">
        <v>788</v>
      </c>
      <c r="F52" s="1" t="s">
        <v>789</v>
      </c>
      <c r="G52" s="1" t="s">
        <v>2</v>
      </c>
      <c r="H52" s="1" t="s">
        <v>32</v>
      </c>
      <c r="I52" s="1" t="s">
        <v>32</v>
      </c>
      <c r="J52" s="1" t="s">
        <v>32</v>
      </c>
      <c r="K52" s="1" t="s">
        <v>3015</v>
      </c>
      <c r="L52" s="1" t="s">
        <v>3423</v>
      </c>
      <c r="M52" s="1" t="str">
        <f>_org_unit___v20[[#This Row],[GOSB_NAME]]</f>
        <v>Аппарат территориального банка</v>
      </c>
      <c r="N52" s="1" t="str">
        <f>_org_unit___v20[[#This Row],[ORG_UNIT_CODE]]</f>
        <v>10037179</v>
      </c>
    </row>
    <row r="53" spans="1:14" x14ac:dyDescent="0.25">
      <c r="A53" s="1" t="s">
        <v>612</v>
      </c>
      <c r="B53" s="1" t="s">
        <v>895</v>
      </c>
      <c r="C53" s="1" t="s">
        <v>896</v>
      </c>
      <c r="D53" s="1" t="s">
        <v>897</v>
      </c>
      <c r="E53" s="1" t="s">
        <v>898</v>
      </c>
      <c r="F53" s="1" t="s">
        <v>789</v>
      </c>
      <c r="G53" s="1" t="s">
        <v>2</v>
      </c>
      <c r="H53" s="1" t="s">
        <v>897</v>
      </c>
      <c r="I53" s="1" t="s">
        <v>322</v>
      </c>
      <c r="J53" s="1" t="s">
        <v>322</v>
      </c>
      <c r="K53" s="1" t="s">
        <v>3016</v>
      </c>
      <c r="L53" s="1" t="s">
        <v>3519</v>
      </c>
      <c r="M53" s="1" t="str">
        <f>_org_unit___v20[[#This Row],[GOSB_NAME]]</f>
        <v>Аппарат Волго-Вятского банка</v>
      </c>
      <c r="N53" s="1" t="str">
        <f>_org_unit___v20[[#This Row],[ORG_UNIT_CODE]]</f>
        <v>10299006</v>
      </c>
    </row>
    <row r="54" spans="1:14" x14ac:dyDescent="0.25">
      <c r="A54" s="1" t="s">
        <v>612</v>
      </c>
      <c r="B54" s="1" t="s">
        <v>895</v>
      </c>
      <c r="C54" s="1" t="s">
        <v>896</v>
      </c>
      <c r="D54" s="1" t="s">
        <v>899</v>
      </c>
      <c r="E54" s="1" t="s">
        <v>900</v>
      </c>
      <c r="F54" s="1" t="s">
        <v>785</v>
      </c>
      <c r="G54" s="1" t="s">
        <v>2</v>
      </c>
      <c r="H54" s="1" t="s">
        <v>899</v>
      </c>
      <c r="I54" s="1" t="s">
        <v>901</v>
      </c>
      <c r="J54" s="1" t="s">
        <v>901</v>
      </c>
      <c r="K54" s="1" t="s">
        <v>3017</v>
      </c>
      <c r="L54" s="1" t="s">
        <v>3435</v>
      </c>
      <c r="M54" s="1" t="str">
        <f>_org_unit___v20[[#This Row],[GOSB_NAME]]</f>
        <v xml:space="preserve">Банк Татарстан ГОСБ </v>
      </c>
      <c r="N54" s="1" t="str">
        <f>_org_unit___v20[[#This Row],[ORG_UNIT_CODE]]</f>
        <v>10016633</v>
      </c>
    </row>
    <row r="55" spans="1:14" x14ac:dyDescent="0.25">
      <c r="A55" s="1" t="s">
        <v>612</v>
      </c>
      <c r="B55" s="1" t="s">
        <v>895</v>
      </c>
      <c r="C55" s="1" t="s">
        <v>896</v>
      </c>
      <c r="D55" s="1" t="s">
        <v>902</v>
      </c>
      <c r="E55" s="1" t="s">
        <v>903</v>
      </c>
      <c r="F55" s="1" t="s">
        <v>785</v>
      </c>
      <c r="G55" s="1" t="s">
        <v>314</v>
      </c>
      <c r="H55" s="1" t="s">
        <v>902</v>
      </c>
      <c r="I55" s="1" t="s">
        <v>36</v>
      </c>
      <c r="J55" s="1" t="s">
        <v>36</v>
      </c>
      <c r="K55" s="1" t="s">
        <v>3018</v>
      </c>
      <c r="L55" s="1" t="s">
        <v>3471</v>
      </c>
      <c r="M55" s="1" t="str">
        <f>_org_unit___v20[[#This Row],[GOSB_NAME]]</f>
        <v xml:space="preserve">Владимирское ГОСБ </v>
      </c>
      <c r="N55" s="1" t="str">
        <f>_org_unit___v20[[#This Row],[ORG_UNIT_CODE]]</f>
        <v>10083411</v>
      </c>
    </row>
    <row r="56" spans="1:14" x14ac:dyDescent="0.25">
      <c r="A56" s="1" t="s">
        <v>612</v>
      </c>
      <c r="B56" s="1" t="s">
        <v>895</v>
      </c>
      <c r="C56" s="1" t="s">
        <v>896</v>
      </c>
      <c r="D56" s="1" t="s">
        <v>904</v>
      </c>
      <c r="E56" s="1" t="s">
        <v>905</v>
      </c>
      <c r="F56" s="1" t="s">
        <v>785</v>
      </c>
      <c r="G56" s="1" t="s">
        <v>2</v>
      </c>
      <c r="H56" s="1" t="s">
        <v>904</v>
      </c>
      <c r="I56" s="1" t="s">
        <v>379</v>
      </c>
      <c r="J56" s="1" t="s">
        <v>379</v>
      </c>
      <c r="K56" s="1" t="s">
        <v>3019</v>
      </c>
      <c r="L56" s="1" t="s">
        <v>3466</v>
      </c>
      <c r="M56" s="1" t="str">
        <f>_org_unit___v20[[#This Row],[GOSB_NAME]]</f>
        <v>ГО по Нижегородской области</v>
      </c>
      <c r="N56" s="1" t="str">
        <f>_org_unit___v20[[#This Row],[ORG_UNIT_CODE]]</f>
        <v>10039796</v>
      </c>
    </row>
    <row r="57" spans="1:14" x14ac:dyDescent="0.25">
      <c r="A57" s="1" t="s">
        <v>612</v>
      </c>
      <c r="B57" s="1" t="s">
        <v>895</v>
      </c>
      <c r="C57" s="1" t="s">
        <v>896</v>
      </c>
      <c r="D57" s="1" t="s">
        <v>906</v>
      </c>
      <c r="E57" s="1" t="s">
        <v>907</v>
      </c>
      <c r="F57" s="1" t="s">
        <v>785</v>
      </c>
      <c r="G57" s="1" t="s">
        <v>549</v>
      </c>
      <c r="H57" s="1" t="s">
        <v>906</v>
      </c>
      <c r="I57" s="1" t="s">
        <v>836</v>
      </c>
      <c r="J57" s="1" t="s">
        <v>836</v>
      </c>
      <c r="K57" s="1" t="s">
        <v>3020</v>
      </c>
      <c r="L57" s="1" t="s">
        <v>3470</v>
      </c>
      <c r="M57" s="1" t="str">
        <f>_org_unit___v20[[#This Row],[GOSB_NAME]]</f>
        <v xml:space="preserve">Мордовское ГОСБ </v>
      </c>
      <c r="N57" s="1" t="str">
        <f>_org_unit___v20[[#This Row],[ORG_UNIT_CODE]]</f>
        <v>10016725</v>
      </c>
    </row>
    <row r="58" spans="1:14" x14ac:dyDescent="0.25">
      <c r="A58" s="1" t="s">
        <v>612</v>
      </c>
      <c r="B58" s="1" t="s">
        <v>895</v>
      </c>
      <c r="C58" s="1" t="s">
        <v>896</v>
      </c>
      <c r="D58" s="1" t="s">
        <v>908</v>
      </c>
      <c r="E58" s="1" t="s">
        <v>909</v>
      </c>
      <c r="F58" s="1" t="s">
        <v>785</v>
      </c>
      <c r="G58" s="1" t="s">
        <v>314</v>
      </c>
      <c r="H58" s="1" t="s">
        <v>908</v>
      </c>
      <c r="I58" s="1" t="s">
        <v>36</v>
      </c>
      <c r="J58" s="1" t="s">
        <v>36</v>
      </c>
      <c r="K58" s="1" t="s">
        <v>3021</v>
      </c>
      <c r="L58" s="1" t="s">
        <v>3468</v>
      </c>
      <c r="M58" s="1" t="str">
        <f>_org_unit___v20[[#This Row],[GOSB_NAME]]</f>
        <v xml:space="preserve">Кировское ГОСБ </v>
      </c>
      <c r="N58" s="1" t="str">
        <f>_org_unit___v20[[#This Row],[ORG_UNIT_CODE]]</f>
        <v>10016640</v>
      </c>
    </row>
    <row r="59" spans="1:14" x14ac:dyDescent="0.25">
      <c r="A59" s="1" t="s">
        <v>612</v>
      </c>
      <c r="B59" s="1" t="s">
        <v>895</v>
      </c>
      <c r="C59" s="1" t="s">
        <v>896</v>
      </c>
      <c r="D59" s="1" t="s">
        <v>910</v>
      </c>
      <c r="E59" s="1" t="s">
        <v>911</v>
      </c>
      <c r="F59" s="1" t="s">
        <v>785</v>
      </c>
      <c r="G59" s="1" t="s">
        <v>2</v>
      </c>
      <c r="H59" s="1" t="s">
        <v>910</v>
      </c>
      <c r="I59" s="1" t="s">
        <v>795</v>
      </c>
      <c r="J59" s="1" t="s">
        <v>795</v>
      </c>
      <c r="K59" s="1" t="s">
        <v>3022</v>
      </c>
      <c r="L59" s="1" t="s">
        <v>3436</v>
      </c>
      <c r="M59" s="1" t="str">
        <f>_org_unit___v20[[#This Row],[GOSB_NAME]]</f>
        <v xml:space="preserve">Пермское ГОСБ </v>
      </c>
      <c r="N59" s="1" t="str">
        <f>_org_unit___v20[[#This Row],[ORG_UNIT_CODE]]</f>
        <v>10266200</v>
      </c>
    </row>
    <row r="60" spans="1:14" x14ac:dyDescent="0.25">
      <c r="A60" s="1" t="s">
        <v>612</v>
      </c>
      <c r="B60" s="1" t="s">
        <v>895</v>
      </c>
      <c r="C60" s="1" t="s">
        <v>896</v>
      </c>
      <c r="D60" s="1" t="s">
        <v>912</v>
      </c>
      <c r="E60" s="1" t="s">
        <v>913</v>
      </c>
      <c r="F60" s="1" t="s">
        <v>785</v>
      </c>
      <c r="G60" s="1" t="s">
        <v>308</v>
      </c>
      <c r="H60" s="1" t="s">
        <v>912</v>
      </c>
      <c r="I60" s="1" t="s">
        <v>806</v>
      </c>
      <c r="J60" s="1" t="s">
        <v>806</v>
      </c>
      <c r="K60" s="1" t="s">
        <v>3023</v>
      </c>
      <c r="L60" s="1" t="s">
        <v>3472</v>
      </c>
      <c r="M60" s="1" t="str">
        <f>_org_unit___v20[[#This Row],[GOSB_NAME]]</f>
        <v xml:space="preserve">Удмуртское ГОСБ </v>
      </c>
      <c r="N60" s="1" t="str">
        <f>_org_unit___v20[[#This Row],[ORG_UNIT_CODE]]</f>
        <v>10267152</v>
      </c>
    </row>
    <row r="61" spans="1:14" x14ac:dyDescent="0.25">
      <c r="A61" s="1" t="s">
        <v>612</v>
      </c>
      <c r="B61" s="1" t="s">
        <v>895</v>
      </c>
      <c r="C61" s="1" t="s">
        <v>896</v>
      </c>
      <c r="D61" s="1" t="s">
        <v>914</v>
      </c>
      <c r="E61" s="1" t="s">
        <v>915</v>
      </c>
      <c r="F61" s="1" t="s">
        <v>785</v>
      </c>
      <c r="G61" s="1" t="s">
        <v>549</v>
      </c>
      <c r="H61" s="1" t="s">
        <v>914</v>
      </c>
      <c r="I61" s="1" t="s">
        <v>801</v>
      </c>
      <c r="J61" s="1" t="s">
        <v>801</v>
      </c>
      <c r="K61" s="1" t="s">
        <v>3024</v>
      </c>
      <c r="L61" s="1" t="s">
        <v>3469</v>
      </c>
      <c r="M61" s="1" t="str">
        <f>_org_unit___v20[[#This Row],[GOSB_NAME]]</f>
        <v xml:space="preserve">Чувашское ГОСБ </v>
      </c>
      <c r="N61" s="1" t="str">
        <f>_org_unit___v20[[#This Row],[ORG_UNIT_CODE]]</f>
        <v>10016645</v>
      </c>
    </row>
    <row r="62" spans="1:14" x14ac:dyDescent="0.25">
      <c r="A62" s="1" t="s">
        <v>612</v>
      </c>
      <c r="B62" s="1" t="s">
        <v>895</v>
      </c>
      <c r="C62" s="1" t="s">
        <v>896</v>
      </c>
      <c r="D62" s="1" t="s">
        <v>916</v>
      </c>
      <c r="E62" s="1" t="s">
        <v>917</v>
      </c>
      <c r="F62" s="1" t="s">
        <v>785</v>
      </c>
      <c r="G62" s="1" t="s">
        <v>317</v>
      </c>
      <c r="H62" s="1" t="s">
        <v>916</v>
      </c>
      <c r="I62" s="1" t="s">
        <v>549</v>
      </c>
      <c r="J62" s="1" t="s">
        <v>590</v>
      </c>
      <c r="K62" s="1" t="s">
        <v>3025</v>
      </c>
      <c r="L62" s="1" t="s">
        <v>3467</v>
      </c>
      <c r="M62" s="1" t="str">
        <f>_org_unit___v20[[#This Row],[GOSB_NAME]]</f>
        <v xml:space="preserve">Марий Эл ГОСБ </v>
      </c>
      <c r="N62" s="1" t="str">
        <f>_org_unit___v20[[#This Row],[ORG_UNIT_CODE]]</f>
        <v>10016423</v>
      </c>
    </row>
    <row r="63" spans="1:14" x14ac:dyDescent="0.25">
      <c r="A63" s="1" t="s">
        <v>613</v>
      </c>
      <c r="B63" s="1" t="s">
        <v>918</v>
      </c>
      <c r="C63" s="1" t="s">
        <v>919</v>
      </c>
      <c r="D63" s="1" t="s">
        <v>32</v>
      </c>
      <c r="E63" s="1" t="s">
        <v>788</v>
      </c>
      <c r="F63" s="1" t="s">
        <v>789</v>
      </c>
      <c r="G63" s="1" t="s">
        <v>2</v>
      </c>
      <c r="H63" s="1" t="s">
        <v>32</v>
      </c>
      <c r="I63" s="1" t="s">
        <v>32</v>
      </c>
      <c r="J63" s="1" t="s">
        <v>32</v>
      </c>
      <c r="K63" s="1" t="s">
        <v>3026</v>
      </c>
      <c r="L63" s="1" t="s">
        <v>3419</v>
      </c>
      <c r="M63" s="1" t="str">
        <f>_org_unit___v20[[#This Row],[GOSB_NAME]]</f>
        <v>Аппарат территориального банка</v>
      </c>
      <c r="N63" s="1" t="str">
        <f>_org_unit___v20[[#This Row],[ORG_UNIT_CODE]]</f>
        <v>10108866</v>
      </c>
    </row>
    <row r="64" spans="1:14" x14ac:dyDescent="0.25">
      <c r="A64" s="1" t="s">
        <v>613</v>
      </c>
      <c r="B64" s="1" t="s">
        <v>918</v>
      </c>
      <c r="C64" s="1" t="s">
        <v>919</v>
      </c>
      <c r="D64" s="1" t="s">
        <v>920</v>
      </c>
      <c r="E64" s="1" t="s">
        <v>921</v>
      </c>
      <c r="F64" s="1" t="s">
        <v>789</v>
      </c>
      <c r="G64" s="1" t="s">
        <v>2</v>
      </c>
      <c r="H64" s="1" t="s">
        <v>920</v>
      </c>
      <c r="I64" s="1" t="s">
        <v>605</v>
      </c>
      <c r="J64" s="1" t="s">
        <v>605</v>
      </c>
      <c r="K64" s="1" t="s">
        <v>3027</v>
      </c>
      <c r="L64" s="1" t="s">
        <v>3437</v>
      </c>
      <c r="M64" s="1" t="str">
        <f>_org_unit___v20[[#This Row],[GOSB_NAME]]</f>
        <v>Аппарат Сибирского банка</v>
      </c>
      <c r="N64" s="1" t="str">
        <f>_org_unit___v20[[#This Row],[ORG_UNIT_CODE]]</f>
        <v>10295911</v>
      </c>
    </row>
    <row r="65" spans="1:14" x14ac:dyDescent="0.25">
      <c r="A65" s="1" t="s">
        <v>613</v>
      </c>
      <c r="B65" s="1" t="s">
        <v>918</v>
      </c>
      <c r="C65" s="1" t="s">
        <v>919</v>
      </c>
      <c r="D65" s="1" t="s">
        <v>922</v>
      </c>
      <c r="E65" s="1" t="s">
        <v>923</v>
      </c>
      <c r="F65" s="1" t="s">
        <v>785</v>
      </c>
      <c r="G65" s="1" t="s">
        <v>317</v>
      </c>
      <c r="H65" s="1" t="s">
        <v>924</v>
      </c>
      <c r="I65" s="1" t="s">
        <v>32</v>
      </c>
      <c r="J65" s="1" t="s">
        <v>32</v>
      </c>
      <c r="K65" s="1" t="s">
        <v>3028</v>
      </c>
      <c r="L65" s="1" t="s">
        <v>3520</v>
      </c>
      <c r="M65" s="1" t="str">
        <f>_org_unit___v20[[#This Row],[GOSB_NAME]]</f>
        <v>Горно-Алтайское ГОСБ</v>
      </c>
      <c r="N65" s="1" t="str">
        <f>_org_unit___v20[[#This Row],[ORG_UNIT_CODE]]</f>
        <v>10038927</v>
      </c>
    </row>
    <row r="66" spans="1:14" x14ac:dyDescent="0.25">
      <c r="A66" s="1" t="s">
        <v>613</v>
      </c>
      <c r="B66" s="1" t="s">
        <v>918</v>
      </c>
      <c r="C66" s="1" t="s">
        <v>919</v>
      </c>
      <c r="D66" s="1" t="s">
        <v>925</v>
      </c>
      <c r="E66" s="1" t="s">
        <v>926</v>
      </c>
      <c r="F66" s="1" t="s">
        <v>785</v>
      </c>
      <c r="G66" s="1" t="s">
        <v>317</v>
      </c>
      <c r="H66" s="1" t="s">
        <v>927</v>
      </c>
      <c r="I66" s="1" t="s">
        <v>32</v>
      </c>
      <c r="J66" s="1" t="s">
        <v>32</v>
      </c>
      <c r="K66" s="1" t="s">
        <v>3029</v>
      </c>
      <c r="L66" s="1" t="s">
        <v>3493</v>
      </c>
      <c r="M66" s="1" t="str">
        <f>_org_unit___v20[[#This Row],[GOSB_NAME]]</f>
        <v>Абаканское ГОСБ</v>
      </c>
      <c r="N66" s="1" t="str">
        <f>_org_unit___v20[[#This Row],[ORG_UNIT_CODE]]</f>
        <v>10199468</v>
      </c>
    </row>
    <row r="67" spans="1:14" x14ac:dyDescent="0.25">
      <c r="A67" s="1" t="s">
        <v>613</v>
      </c>
      <c r="B67" s="1" t="s">
        <v>918</v>
      </c>
      <c r="C67" s="1" t="s">
        <v>919</v>
      </c>
      <c r="D67" s="1" t="s">
        <v>928</v>
      </c>
      <c r="E67" s="1" t="s">
        <v>929</v>
      </c>
      <c r="F67" s="1" t="s">
        <v>785</v>
      </c>
      <c r="G67" s="1" t="s">
        <v>317</v>
      </c>
      <c r="H67" s="1" t="s">
        <v>930</v>
      </c>
      <c r="I67" s="1" t="s">
        <v>32</v>
      </c>
      <c r="J67" s="1" t="s">
        <v>32</v>
      </c>
      <c r="K67" s="1" t="s">
        <v>3030</v>
      </c>
      <c r="L67" s="1" t="s">
        <v>3521</v>
      </c>
      <c r="M67" s="1" t="str">
        <f>_org_unit___v20[[#This Row],[GOSB_NAME]]</f>
        <v>Кызылское ГОСБ</v>
      </c>
      <c r="N67" s="1" t="str">
        <f>_org_unit___v20[[#This Row],[ORG_UNIT_CODE]]</f>
        <v>10199741</v>
      </c>
    </row>
    <row r="68" spans="1:14" x14ac:dyDescent="0.25">
      <c r="A68" s="1" t="s">
        <v>613</v>
      </c>
      <c r="B68" s="1" t="s">
        <v>918</v>
      </c>
      <c r="C68" s="1" t="s">
        <v>919</v>
      </c>
      <c r="D68" s="1" t="s">
        <v>625</v>
      </c>
      <c r="E68" s="1" t="s">
        <v>931</v>
      </c>
      <c r="F68" s="1" t="s">
        <v>785</v>
      </c>
      <c r="G68" s="1" t="s">
        <v>308</v>
      </c>
      <c r="H68" s="1" t="s">
        <v>625</v>
      </c>
      <c r="I68" s="1" t="s">
        <v>932</v>
      </c>
      <c r="J68" s="1" t="s">
        <v>932</v>
      </c>
      <c r="K68" s="1" t="s">
        <v>3031</v>
      </c>
      <c r="L68" s="1" t="s">
        <v>3489</v>
      </c>
      <c r="M68" s="1" t="str">
        <f>_org_unit___v20[[#This Row],[GOSB_NAME]]</f>
        <v xml:space="preserve">Алтайское ГОСБ </v>
      </c>
      <c r="N68" s="1" t="str">
        <f>_org_unit___v20[[#This Row],[ORG_UNIT_CODE]]</f>
        <v>10038642</v>
      </c>
    </row>
    <row r="69" spans="1:14" x14ac:dyDescent="0.25">
      <c r="A69" s="1" t="s">
        <v>613</v>
      </c>
      <c r="B69" s="1" t="s">
        <v>918</v>
      </c>
      <c r="C69" s="1" t="s">
        <v>919</v>
      </c>
      <c r="D69" s="1" t="s">
        <v>933</v>
      </c>
      <c r="E69" s="1" t="s">
        <v>934</v>
      </c>
      <c r="F69" s="1" t="s">
        <v>785</v>
      </c>
      <c r="G69" s="1" t="s">
        <v>2</v>
      </c>
      <c r="H69" s="1" t="s">
        <v>933</v>
      </c>
      <c r="I69" s="1" t="s">
        <v>893</v>
      </c>
      <c r="J69" s="1" t="s">
        <v>893</v>
      </c>
      <c r="K69" s="1" t="s">
        <v>3032</v>
      </c>
      <c r="L69" s="1" t="s">
        <v>3487</v>
      </c>
      <c r="M69" s="1" t="str">
        <f>_org_unit___v20[[#This Row],[GOSB_NAME]]</f>
        <v xml:space="preserve">Кемеровское ГОСБ </v>
      </c>
      <c r="N69" s="1" t="str">
        <f>_org_unit___v20[[#This Row],[ORG_UNIT_CODE]]</f>
        <v>10016700</v>
      </c>
    </row>
    <row r="70" spans="1:14" x14ac:dyDescent="0.25">
      <c r="A70" s="1" t="s">
        <v>613</v>
      </c>
      <c r="B70" s="1" t="s">
        <v>918</v>
      </c>
      <c r="C70" s="1" t="s">
        <v>919</v>
      </c>
      <c r="D70" s="1" t="s">
        <v>935</v>
      </c>
      <c r="E70" s="1" t="s">
        <v>936</v>
      </c>
      <c r="F70" s="1" t="s">
        <v>785</v>
      </c>
      <c r="G70" s="1" t="s">
        <v>2</v>
      </c>
      <c r="H70" s="1" t="s">
        <v>935</v>
      </c>
      <c r="I70" s="1" t="s">
        <v>379</v>
      </c>
      <c r="J70" s="1" t="s">
        <v>379</v>
      </c>
      <c r="K70" s="1" t="s">
        <v>3033</v>
      </c>
      <c r="L70" s="1" t="s">
        <v>3491</v>
      </c>
      <c r="M70" s="1" t="str">
        <f>_org_unit___v20[[#This Row],[GOSB_NAME]]</f>
        <v xml:space="preserve">Красноярское ГОСБ </v>
      </c>
      <c r="N70" s="1" t="str">
        <f>_org_unit___v20[[#This Row],[ORG_UNIT_CODE]]</f>
        <v>10198065</v>
      </c>
    </row>
    <row r="71" spans="1:14" x14ac:dyDescent="0.25">
      <c r="A71" s="1" t="s">
        <v>613</v>
      </c>
      <c r="B71" s="1" t="s">
        <v>918</v>
      </c>
      <c r="C71" s="1" t="s">
        <v>919</v>
      </c>
      <c r="D71" s="1" t="s">
        <v>924</v>
      </c>
      <c r="E71" s="1" t="s">
        <v>937</v>
      </c>
      <c r="F71" s="1" t="s">
        <v>785</v>
      </c>
      <c r="G71" s="1" t="s">
        <v>2</v>
      </c>
      <c r="H71" s="1" t="s">
        <v>924</v>
      </c>
      <c r="I71" s="1" t="s">
        <v>938</v>
      </c>
      <c r="J71" s="1" t="s">
        <v>938</v>
      </c>
      <c r="K71" s="1" t="s">
        <v>3034</v>
      </c>
      <c r="L71" s="1" t="s">
        <v>3490</v>
      </c>
      <c r="M71" s="1" t="str">
        <f>_org_unit___v20[[#This Row],[GOSB_NAME]]</f>
        <v xml:space="preserve">Новосибирское ГОСБ </v>
      </c>
      <c r="N71" s="1" t="str">
        <f>_org_unit___v20[[#This Row],[ORG_UNIT_CODE]]</f>
        <v>10038836</v>
      </c>
    </row>
    <row r="72" spans="1:14" x14ac:dyDescent="0.25">
      <c r="A72" s="1" t="s">
        <v>613</v>
      </c>
      <c r="B72" s="1" t="s">
        <v>918</v>
      </c>
      <c r="C72" s="1" t="s">
        <v>919</v>
      </c>
      <c r="D72" s="1" t="s">
        <v>927</v>
      </c>
      <c r="E72" s="1" t="s">
        <v>939</v>
      </c>
      <c r="F72" s="1" t="s">
        <v>785</v>
      </c>
      <c r="G72" s="1" t="s">
        <v>308</v>
      </c>
      <c r="H72" s="1" t="s">
        <v>927</v>
      </c>
      <c r="I72" s="1" t="s">
        <v>940</v>
      </c>
      <c r="J72" s="1" t="s">
        <v>940</v>
      </c>
      <c r="K72" s="1" t="s">
        <v>3035</v>
      </c>
      <c r="L72" s="1" t="s">
        <v>3492</v>
      </c>
      <c r="M72" s="1" t="str">
        <f>_org_unit___v20[[#This Row],[GOSB_NAME]]</f>
        <v xml:space="preserve">Омское ГОСБ </v>
      </c>
      <c r="N72" s="1" t="str">
        <f>_org_unit___v20[[#This Row],[ORG_UNIT_CODE]]</f>
        <v>10297137</v>
      </c>
    </row>
    <row r="73" spans="1:14" x14ac:dyDescent="0.25">
      <c r="A73" s="1" t="s">
        <v>613</v>
      </c>
      <c r="B73" s="1" t="s">
        <v>918</v>
      </c>
      <c r="C73" s="1" t="s">
        <v>919</v>
      </c>
      <c r="D73" s="1" t="s">
        <v>930</v>
      </c>
      <c r="E73" s="1" t="s">
        <v>941</v>
      </c>
      <c r="F73" s="1" t="s">
        <v>785</v>
      </c>
      <c r="G73" s="1" t="s">
        <v>549</v>
      </c>
      <c r="H73" s="1" t="s">
        <v>930</v>
      </c>
      <c r="I73" s="1" t="s">
        <v>801</v>
      </c>
      <c r="J73" s="1" t="s">
        <v>801</v>
      </c>
      <c r="K73" s="1" t="s">
        <v>3036</v>
      </c>
      <c r="L73" s="1" t="s">
        <v>3488</v>
      </c>
      <c r="M73" s="1" t="str">
        <f>_org_unit___v20[[#This Row],[GOSB_NAME]]</f>
        <v xml:space="preserve">Томское ГОСБ </v>
      </c>
      <c r="N73" s="1" t="str">
        <f>_org_unit___v20[[#This Row],[ORG_UNIT_CODE]]</f>
        <v>10016701</v>
      </c>
    </row>
    <row r="74" spans="1:14" x14ac:dyDescent="0.25">
      <c r="A74" s="1" t="s">
        <v>614</v>
      </c>
      <c r="B74" s="1" t="s">
        <v>942</v>
      </c>
      <c r="C74" s="1" t="s">
        <v>943</v>
      </c>
      <c r="D74" s="1" t="s">
        <v>32</v>
      </c>
      <c r="E74" s="1" t="s">
        <v>788</v>
      </c>
      <c r="F74" s="1" t="s">
        <v>789</v>
      </c>
      <c r="G74" s="1" t="s">
        <v>2</v>
      </c>
      <c r="H74" s="1" t="s">
        <v>32</v>
      </c>
      <c r="I74" s="1" t="s">
        <v>32</v>
      </c>
      <c r="J74" s="1" t="s">
        <v>32</v>
      </c>
      <c r="K74" s="1" t="s">
        <v>3037</v>
      </c>
      <c r="L74" s="1" t="s">
        <v>3422</v>
      </c>
      <c r="M74" s="1" t="str">
        <f>_org_unit___v20[[#This Row],[GOSB_NAME]]</f>
        <v>Аппарат территориального банка</v>
      </c>
      <c r="N74" s="1" t="str">
        <f>_org_unit___v20[[#This Row],[ORG_UNIT_CODE]]</f>
        <v>10101758</v>
      </c>
    </row>
    <row r="75" spans="1:14" x14ac:dyDescent="0.25">
      <c r="A75" s="1" t="s">
        <v>614</v>
      </c>
      <c r="B75" s="1" t="s">
        <v>942</v>
      </c>
      <c r="C75" s="1" t="s">
        <v>943</v>
      </c>
      <c r="D75" s="1" t="s">
        <v>944</v>
      </c>
      <c r="E75" s="1" t="s">
        <v>945</v>
      </c>
      <c r="F75" s="1" t="s">
        <v>789</v>
      </c>
      <c r="G75" s="1" t="s">
        <v>2</v>
      </c>
      <c r="H75" s="1" t="s">
        <v>944</v>
      </c>
      <c r="I75" s="1" t="s">
        <v>932</v>
      </c>
      <c r="J75" s="1" t="s">
        <v>932</v>
      </c>
      <c r="K75" s="1" t="s">
        <v>3038</v>
      </c>
      <c r="L75" s="1" t="s">
        <v>3433</v>
      </c>
      <c r="M75" s="1" t="str">
        <f>_org_unit___v20[[#This Row],[GOSB_NAME]]</f>
        <v>Аппарат Юго-Западного банка</v>
      </c>
      <c r="N75" s="1" t="str">
        <f>_org_unit___v20[[#This Row],[ORG_UNIT_CODE]]</f>
        <v>10295859</v>
      </c>
    </row>
    <row r="76" spans="1:14" x14ac:dyDescent="0.25">
      <c r="A76" s="1" t="s">
        <v>614</v>
      </c>
      <c r="B76" s="1" t="s">
        <v>942</v>
      </c>
      <c r="C76" s="1" t="s">
        <v>943</v>
      </c>
      <c r="D76" s="1" t="s">
        <v>1085</v>
      </c>
      <c r="E76" s="1" t="s">
        <v>1086</v>
      </c>
      <c r="F76" s="1" t="s">
        <v>785</v>
      </c>
      <c r="G76" s="1" t="s">
        <v>2</v>
      </c>
      <c r="H76" s="1" t="s">
        <v>1085</v>
      </c>
      <c r="I76" s="1" t="s">
        <v>932</v>
      </c>
      <c r="J76" s="1" t="s">
        <v>932</v>
      </c>
      <c r="K76" s="1" t="s">
        <v>3039</v>
      </c>
      <c r="L76" s="1" t="s">
        <v>3522</v>
      </c>
      <c r="M76" s="1" t="str">
        <f>_org_unit___v20[[#This Row],[GOSB_NAME]]</f>
        <v>ГО по Донецкой Народной Республике</v>
      </c>
      <c r="N76" s="1" t="str">
        <f>_org_unit___v20[[#This Row],[ORG_UNIT_CODE]]</f>
        <v>10354600</v>
      </c>
    </row>
    <row r="77" spans="1:14" x14ac:dyDescent="0.25">
      <c r="A77" s="1" t="s">
        <v>614</v>
      </c>
      <c r="B77" s="1" t="s">
        <v>942</v>
      </c>
      <c r="C77" s="1" t="s">
        <v>943</v>
      </c>
      <c r="D77" s="1" t="s">
        <v>946</v>
      </c>
      <c r="E77" s="1" t="s">
        <v>947</v>
      </c>
      <c r="F77" s="1" t="s">
        <v>785</v>
      </c>
      <c r="G77" s="1" t="s">
        <v>317</v>
      </c>
      <c r="H77" s="1" t="s">
        <v>946</v>
      </c>
      <c r="I77" s="1" t="s">
        <v>36</v>
      </c>
      <c r="J77" s="1" t="s">
        <v>590</v>
      </c>
      <c r="K77" s="1" t="s">
        <v>3040</v>
      </c>
      <c r="L77" s="1" t="s">
        <v>3523</v>
      </c>
      <c r="M77" s="1" t="str">
        <f>_org_unit___v20[[#This Row],[GOSB_NAME]]</f>
        <v>ГО по Республике Крым</v>
      </c>
      <c r="N77" s="1" t="str">
        <f>_org_unit___v20[[#This Row],[ORG_UNIT_CODE]]</f>
        <v>10337151</v>
      </c>
    </row>
    <row r="78" spans="1:14" x14ac:dyDescent="0.25">
      <c r="A78" s="1" t="s">
        <v>614</v>
      </c>
      <c r="B78" s="1" t="s">
        <v>942</v>
      </c>
      <c r="C78" s="1" t="s">
        <v>943</v>
      </c>
      <c r="D78" s="1" t="s">
        <v>948</v>
      </c>
      <c r="E78" s="1" t="s">
        <v>949</v>
      </c>
      <c r="F78" s="1" t="s">
        <v>785</v>
      </c>
      <c r="G78" s="1" t="s">
        <v>317</v>
      </c>
      <c r="H78" s="1" t="s">
        <v>950</v>
      </c>
      <c r="I78" s="1" t="s">
        <v>32</v>
      </c>
      <c r="J78" s="1" t="s">
        <v>32</v>
      </c>
      <c r="K78" s="1" t="s">
        <v>3041</v>
      </c>
      <c r="L78" s="1" t="s">
        <v>3481</v>
      </c>
      <c r="M78" s="1" t="str">
        <f>_org_unit___v20[[#This Row],[GOSB_NAME]]</f>
        <v xml:space="preserve">Центральное ГОСБ </v>
      </c>
      <c r="N78" s="1" t="str">
        <f>_org_unit___v20[[#This Row],[ORG_UNIT_CODE]]</f>
        <v>10102240</v>
      </c>
    </row>
    <row r="79" spans="1:14" x14ac:dyDescent="0.25">
      <c r="A79" s="1" t="s">
        <v>614</v>
      </c>
      <c r="B79" s="1" t="s">
        <v>942</v>
      </c>
      <c r="C79" s="1" t="s">
        <v>943</v>
      </c>
      <c r="D79" s="1" t="s">
        <v>951</v>
      </c>
      <c r="E79" s="1" t="s">
        <v>952</v>
      </c>
      <c r="F79" s="1" t="s">
        <v>785</v>
      </c>
      <c r="G79" s="1" t="s">
        <v>317</v>
      </c>
      <c r="H79" s="1" t="s">
        <v>953</v>
      </c>
      <c r="I79" s="1" t="s">
        <v>32</v>
      </c>
      <c r="J79" s="1" t="s">
        <v>32</v>
      </c>
      <c r="K79" s="1" t="s">
        <v>3042</v>
      </c>
      <c r="L79" s="1" t="s">
        <v>3524</v>
      </c>
      <c r="M79" s="1" t="str">
        <f>_org_unit___v20[[#This Row],[GOSB_NAME]]</f>
        <v xml:space="preserve">Адыгейское ГОСБ </v>
      </c>
      <c r="N79" s="1" t="str">
        <f>_org_unit___v20[[#This Row],[ORG_UNIT_CODE]]</f>
        <v>10102854</v>
      </c>
    </row>
    <row r="80" spans="1:14" x14ac:dyDescent="0.25">
      <c r="A80" s="1" t="s">
        <v>614</v>
      </c>
      <c r="B80" s="1" t="s">
        <v>942</v>
      </c>
      <c r="C80" s="1" t="s">
        <v>943</v>
      </c>
      <c r="D80" s="1" t="s">
        <v>954</v>
      </c>
      <c r="E80" s="1" t="s">
        <v>955</v>
      </c>
      <c r="F80" s="1" t="s">
        <v>785</v>
      </c>
      <c r="G80" s="1" t="s">
        <v>314</v>
      </c>
      <c r="H80" s="1" t="s">
        <v>954</v>
      </c>
      <c r="I80" s="1" t="s">
        <v>549</v>
      </c>
      <c r="J80" s="1" t="s">
        <v>549</v>
      </c>
      <c r="K80" s="1" t="s">
        <v>3043</v>
      </c>
      <c r="L80" s="1" t="s">
        <v>3484</v>
      </c>
      <c r="M80" s="1" t="str">
        <f>_org_unit___v20[[#This Row],[GOSB_NAME]]</f>
        <v xml:space="preserve">Дагестанское ОСБ </v>
      </c>
      <c r="N80" s="1" t="str">
        <f>_org_unit___v20[[#This Row],[ORG_UNIT_CODE]]</f>
        <v>10196938</v>
      </c>
    </row>
    <row r="81" spans="1:14" x14ac:dyDescent="0.25">
      <c r="A81" s="1" t="s">
        <v>614</v>
      </c>
      <c r="B81" s="1" t="s">
        <v>942</v>
      </c>
      <c r="C81" s="1" t="s">
        <v>943</v>
      </c>
      <c r="D81" s="1" t="s">
        <v>956</v>
      </c>
      <c r="E81" s="1" t="s">
        <v>957</v>
      </c>
      <c r="F81" s="1" t="s">
        <v>785</v>
      </c>
      <c r="G81" s="1" t="s">
        <v>317</v>
      </c>
      <c r="H81" s="1" t="s">
        <v>956</v>
      </c>
      <c r="I81" s="1" t="s">
        <v>2</v>
      </c>
      <c r="J81" s="1" t="s">
        <v>590</v>
      </c>
      <c r="K81" s="1" t="s">
        <v>3044</v>
      </c>
      <c r="L81" s="1" t="s">
        <v>3525</v>
      </c>
      <c r="M81" s="1" t="str">
        <f>_org_unit___v20[[#This Row],[GOSB_NAME]]</f>
        <v xml:space="preserve">Ингушское ОСБ </v>
      </c>
      <c r="N81" s="1" t="str">
        <f>_org_unit___v20[[#This Row],[ORG_UNIT_CODE]]</f>
        <v>10197087</v>
      </c>
    </row>
    <row r="82" spans="1:14" x14ac:dyDescent="0.25">
      <c r="A82" s="1" t="s">
        <v>614</v>
      </c>
      <c r="B82" s="1" t="s">
        <v>942</v>
      </c>
      <c r="C82" s="1" t="s">
        <v>943</v>
      </c>
      <c r="D82" s="1" t="s">
        <v>958</v>
      </c>
      <c r="E82" s="1" t="s">
        <v>959</v>
      </c>
      <c r="F82" s="1" t="s">
        <v>785</v>
      </c>
      <c r="G82" s="1" t="s">
        <v>317</v>
      </c>
      <c r="H82" s="1" t="s">
        <v>958</v>
      </c>
      <c r="I82" s="1" t="s">
        <v>2</v>
      </c>
      <c r="J82" s="1" t="s">
        <v>590</v>
      </c>
      <c r="K82" s="1" t="s">
        <v>3045</v>
      </c>
      <c r="L82" s="1" t="s">
        <v>3526</v>
      </c>
      <c r="M82" s="1" t="str">
        <f>_org_unit___v20[[#This Row],[GOSB_NAME]]</f>
        <v xml:space="preserve">Калмыцкое ОСБ </v>
      </c>
      <c r="N82" s="1" t="str">
        <f>_org_unit___v20[[#This Row],[ORG_UNIT_CODE]]</f>
        <v>10197395</v>
      </c>
    </row>
    <row r="83" spans="1:14" x14ac:dyDescent="0.25">
      <c r="A83" s="1" t="s">
        <v>614</v>
      </c>
      <c r="B83" s="1" t="s">
        <v>942</v>
      </c>
      <c r="C83" s="1" t="s">
        <v>943</v>
      </c>
      <c r="D83" s="1" t="s">
        <v>953</v>
      </c>
      <c r="E83" s="1" t="s">
        <v>960</v>
      </c>
      <c r="F83" s="1" t="s">
        <v>785</v>
      </c>
      <c r="G83" s="1" t="s">
        <v>317</v>
      </c>
      <c r="H83" s="1" t="s">
        <v>953</v>
      </c>
      <c r="I83" s="1" t="s">
        <v>2</v>
      </c>
      <c r="J83" s="1" t="s">
        <v>590</v>
      </c>
      <c r="K83" s="1" t="s">
        <v>3046</v>
      </c>
      <c r="L83" s="1" t="s">
        <v>3527</v>
      </c>
      <c r="M83" s="1" t="str">
        <f>_org_unit___v20[[#This Row],[GOSB_NAME]]</f>
        <v xml:space="preserve">Чеченское ОСБ </v>
      </c>
      <c r="N83" s="1" t="str">
        <f>_org_unit___v20[[#This Row],[ORG_UNIT_CODE]]</f>
        <v>10197789</v>
      </c>
    </row>
    <row r="84" spans="1:14" x14ac:dyDescent="0.25">
      <c r="A84" s="1" t="s">
        <v>614</v>
      </c>
      <c r="B84" s="1" t="s">
        <v>942</v>
      </c>
      <c r="C84" s="1" t="s">
        <v>943</v>
      </c>
      <c r="D84" s="1" t="s">
        <v>961</v>
      </c>
      <c r="E84" s="1" t="s">
        <v>962</v>
      </c>
      <c r="F84" s="1" t="s">
        <v>785</v>
      </c>
      <c r="G84" s="1" t="s">
        <v>2</v>
      </c>
      <c r="H84" s="1" t="s">
        <v>961</v>
      </c>
      <c r="I84" s="1" t="s">
        <v>963</v>
      </c>
      <c r="J84" s="1" t="s">
        <v>963</v>
      </c>
      <c r="K84" s="1" t="s">
        <v>3047</v>
      </c>
      <c r="L84" s="1" t="s">
        <v>3482</v>
      </c>
      <c r="M84" s="1" t="str">
        <f>_org_unit___v20[[#This Row],[GOSB_NAME]]</f>
        <v xml:space="preserve">Краснодарское ГОСБ </v>
      </c>
      <c r="N84" s="1" t="str">
        <f>_org_unit___v20[[#This Row],[ORG_UNIT_CODE]]</f>
        <v>10103881</v>
      </c>
    </row>
    <row r="85" spans="1:14" x14ac:dyDescent="0.25">
      <c r="A85" s="1" t="s">
        <v>614</v>
      </c>
      <c r="B85" s="1" t="s">
        <v>942</v>
      </c>
      <c r="C85" s="1" t="s">
        <v>943</v>
      </c>
      <c r="D85" s="1" t="s">
        <v>964</v>
      </c>
      <c r="E85" s="1" t="s">
        <v>965</v>
      </c>
      <c r="F85" s="1" t="s">
        <v>785</v>
      </c>
      <c r="G85" s="1" t="s">
        <v>2</v>
      </c>
      <c r="H85" s="1" t="s">
        <v>964</v>
      </c>
      <c r="I85" s="1" t="s">
        <v>610</v>
      </c>
      <c r="J85" s="1" t="s">
        <v>610</v>
      </c>
      <c r="K85" s="1" t="s">
        <v>3048</v>
      </c>
      <c r="L85" s="1" t="s">
        <v>3483</v>
      </c>
      <c r="M85" s="1" t="str">
        <f>_org_unit___v20[[#This Row],[GOSB_NAME]]</f>
        <v xml:space="preserve">Ростовское ГОСБ </v>
      </c>
      <c r="N85" s="1" t="str">
        <f>_org_unit___v20[[#This Row],[ORG_UNIT_CODE]]</f>
        <v>10107257</v>
      </c>
    </row>
    <row r="86" spans="1:14" x14ac:dyDescent="0.25">
      <c r="A86" s="1" t="s">
        <v>614</v>
      </c>
      <c r="B86" s="1" t="s">
        <v>942</v>
      </c>
      <c r="C86" s="1" t="s">
        <v>943</v>
      </c>
      <c r="D86" s="1" t="s">
        <v>966</v>
      </c>
      <c r="E86" s="1" t="s">
        <v>967</v>
      </c>
      <c r="F86" s="1" t="s">
        <v>785</v>
      </c>
      <c r="G86" s="1" t="s">
        <v>317</v>
      </c>
      <c r="H86" s="1" t="s">
        <v>966</v>
      </c>
      <c r="I86" s="1" t="s">
        <v>308</v>
      </c>
      <c r="J86" s="1" t="s">
        <v>590</v>
      </c>
      <c r="K86" s="1" t="s">
        <v>3049</v>
      </c>
      <c r="L86" s="1" t="s">
        <v>3528</v>
      </c>
      <c r="M86" s="1" t="str">
        <f>_org_unit___v20[[#This Row],[GOSB_NAME]]</f>
        <v xml:space="preserve">Карачаево-Черкесское ОСБ </v>
      </c>
      <c r="N86" s="1" t="str">
        <f>_org_unit___v20[[#This Row],[ORG_UNIT_CODE]]</f>
        <v>10197516</v>
      </c>
    </row>
    <row r="87" spans="1:14" x14ac:dyDescent="0.25">
      <c r="A87" s="1" t="s">
        <v>614</v>
      </c>
      <c r="B87" s="1" t="s">
        <v>942</v>
      </c>
      <c r="C87" s="1" t="s">
        <v>943</v>
      </c>
      <c r="D87" s="1" t="s">
        <v>950</v>
      </c>
      <c r="E87" s="1" t="s">
        <v>968</v>
      </c>
      <c r="F87" s="1" t="s">
        <v>785</v>
      </c>
      <c r="G87" s="1" t="s">
        <v>2</v>
      </c>
      <c r="H87" s="1" t="s">
        <v>950</v>
      </c>
      <c r="I87" s="1" t="s">
        <v>865</v>
      </c>
      <c r="J87" s="1" t="s">
        <v>865</v>
      </c>
      <c r="K87" s="1" t="s">
        <v>3050</v>
      </c>
      <c r="L87" s="1" t="s">
        <v>3446</v>
      </c>
      <c r="M87" s="1" t="str">
        <f>_org_unit___v20[[#This Row],[GOSB_NAME]]</f>
        <v xml:space="preserve">Ставропольское ГОСБ </v>
      </c>
      <c r="N87" s="1" t="str">
        <f>_org_unit___v20[[#This Row],[ORG_UNIT_CODE]]</f>
        <v>10193863</v>
      </c>
    </row>
    <row r="88" spans="1:14" x14ac:dyDescent="0.25">
      <c r="A88" s="1" t="s">
        <v>614</v>
      </c>
      <c r="B88" s="1" t="s">
        <v>942</v>
      </c>
      <c r="C88" s="1" t="s">
        <v>943</v>
      </c>
      <c r="D88" s="1" t="s">
        <v>969</v>
      </c>
      <c r="E88" s="1" t="s">
        <v>970</v>
      </c>
      <c r="F88" s="1" t="s">
        <v>785</v>
      </c>
      <c r="G88" s="1" t="s">
        <v>317</v>
      </c>
      <c r="H88" s="1" t="s">
        <v>969</v>
      </c>
      <c r="I88" s="1" t="s">
        <v>308</v>
      </c>
      <c r="J88" s="1" t="s">
        <v>590</v>
      </c>
      <c r="K88" s="1" t="s">
        <v>3051</v>
      </c>
      <c r="L88" s="1" t="s">
        <v>3486</v>
      </c>
      <c r="M88" s="1" t="str">
        <f>_org_unit___v20[[#This Row],[GOSB_NAME]]</f>
        <v xml:space="preserve">Северо-Осетинское ОСБ </v>
      </c>
      <c r="N88" s="1" t="str">
        <f>_org_unit___v20[[#This Row],[ORG_UNIT_CODE]]</f>
        <v>10197647</v>
      </c>
    </row>
    <row r="89" spans="1:14" x14ac:dyDescent="0.25">
      <c r="A89" s="1" t="s">
        <v>614</v>
      </c>
      <c r="B89" s="1" t="s">
        <v>942</v>
      </c>
      <c r="C89" s="1" t="s">
        <v>943</v>
      </c>
      <c r="D89" s="1" t="s">
        <v>971</v>
      </c>
      <c r="E89" s="1" t="s">
        <v>972</v>
      </c>
      <c r="F89" s="1" t="s">
        <v>785</v>
      </c>
      <c r="G89" s="1" t="s">
        <v>317</v>
      </c>
      <c r="H89" s="1" t="s">
        <v>971</v>
      </c>
      <c r="I89" s="1" t="s">
        <v>314</v>
      </c>
      <c r="J89" s="1" t="s">
        <v>590</v>
      </c>
      <c r="K89" s="1" t="s">
        <v>3052</v>
      </c>
      <c r="L89" s="1" t="s">
        <v>3485</v>
      </c>
      <c r="M89" s="1" t="str">
        <f>_org_unit___v20[[#This Row],[GOSB_NAME]]</f>
        <v xml:space="preserve">Кабардино-Балкарское ОСБ </v>
      </c>
      <c r="N89" s="1" t="str">
        <f>_org_unit___v20[[#This Row],[ORG_UNIT_CODE]]</f>
        <v>10197168</v>
      </c>
    </row>
    <row r="90" spans="1:14" x14ac:dyDescent="0.25">
      <c r="A90" s="1" t="s">
        <v>615</v>
      </c>
      <c r="B90" s="1" t="s">
        <v>973</v>
      </c>
      <c r="C90" s="1" t="s">
        <v>974</v>
      </c>
      <c r="D90" s="1" t="s">
        <v>32</v>
      </c>
      <c r="E90" s="1" t="s">
        <v>788</v>
      </c>
      <c r="F90" s="1" t="s">
        <v>789</v>
      </c>
      <c r="G90" s="1" t="s">
        <v>2</v>
      </c>
      <c r="H90" s="1" t="s">
        <v>32</v>
      </c>
      <c r="I90" s="1" t="s">
        <v>32</v>
      </c>
      <c r="J90" s="1" t="s">
        <v>32</v>
      </c>
      <c r="K90" s="1" t="s">
        <v>3053</v>
      </c>
      <c r="L90" s="1" t="s">
        <v>3428</v>
      </c>
      <c r="M90" s="1" t="str">
        <f>_org_unit___v20[[#This Row],[GOSB_NAME]]</f>
        <v>Аппарат территориального банка</v>
      </c>
      <c r="N90" s="1" t="str">
        <f>_org_unit___v20[[#This Row],[ORG_UNIT_CODE]]</f>
        <v>10016441</v>
      </c>
    </row>
    <row r="91" spans="1:14" x14ac:dyDescent="0.25">
      <c r="A91" s="1" t="s">
        <v>615</v>
      </c>
      <c r="B91" s="1" t="s">
        <v>973</v>
      </c>
      <c r="C91" s="1" t="s">
        <v>974</v>
      </c>
      <c r="D91" s="1" t="s">
        <v>975</v>
      </c>
      <c r="E91" s="1" t="s">
        <v>976</v>
      </c>
      <c r="F91" s="1" t="s">
        <v>789</v>
      </c>
      <c r="G91" s="1" t="s">
        <v>2</v>
      </c>
      <c r="H91" s="1" t="s">
        <v>975</v>
      </c>
      <c r="I91" s="1" t="s">
        <v>806</v>
      </c>
      <c r="J91" s="1" t="s">
        <v>806</v>
      </c>
      <c r="K91" s="1" t="s">
        <v>3054</v>
      </c>
      <c r="L91" s="1" t="s">
        <v>3529</v>
      </c>
      <c r="M91" s="1" t="str">
        <f>_org_unit___v20[[#This Row],[GOSB_NAME]]</f>
        <v>Аппарат Поволжского банка</v>
      </c>
      <c r="N91" s="1" t="str">
        <f>_org_unit___v20[[#This Row],[ORG_UNIT_CODE]]</f>
        <v>10295424</v>
      </c>
    </row>
    <row r="92" spans="1:14" x14ac:dyDescent="0.25">
      <c r="A92" s="1" t="s">
        <v>615</v>
      </c>
      <c r="B92" s="1" t="s">
        <v>973</v>
      </c>
      <c r="C92" s="1" t="s">
        <v>974</v>
      </c>
      <c r="D92" s="1" t="s">
        <v>977</v>
      </c>
      <c r="E92" s="1" t="s">
        <v>978</v>
      </c>
      <c r="F92" s="1" t="s">
        <v>785</v>
      </c>
      <c r="G92" s="1" t="s">
        <v>549</v>
      </c>
      <c r="H92" s="1" t="s">
        <v>977</v>
      </c>
      <c r="I92" s="1" t="s">
        <v>836</v>
      </c>
      <c r="J92" s="1" t="s">
        <v>836</v>
      </c>
      <c r="K92" s="1" t="s">
        <v>3055</v>
      </c>
      <c r="L92" s="1" t="s">
        <v>3438</v>
      </c>
      <c r="M92" s="1" t="str">
        <f>_org_unit___v20[[#This Row],[GOSB_NAME]]</f>
        <v xml:space="preserve">Астраханское ГОСБ </v>
      </c>
      <c r="N92" s="1" t="str">
        <f>_org_unit___v20[[#This Row],[ORG_UNIT_CODE]]</f>
        <v>10033835</v>
      </c>
    </row>
    <row r="93" spans="1:14" x14ac:dyDescent="0.25">
      <c r="A93" s="1" t="s">
        <v>615</v>
      </c>
      <c r="B93" s="1" t="s">
        <v>973</v>
      </c>
      <c r="C93" s="1" t="s">
        <v>974</v>
      </c>
      <c r="D93" s="1" t="s">
        <v>979</v>
      </c>
      <c r="E93" s="1" t="s">
        <v>980</v>
      </c>
      <c r="F93" s="1" t="s">
        <v>785</v>
      </c>
      <c r="G93" s="1" t="s">
        <v>308</v>
      </c>
      <c r="H93" s="1" t="s">
        <v>979</v>
      </c>
      <c r="I93" s="1" t="s">
        <v>609</v>
      </c>
      <c r="J93" s="1" t="s">
        <v>609</v>
      </c>
      <c r="K93" s="1" t="s">
        <v>3056</v>
      </c>
      <c r="L93" s="1" t="s">
        <v>3431</v>
      </c>
      <c r="M93" s="1" t="str">
        <f>_org_unit___v20[[#This Row],[GOSB_NAME]]</f>
        <v xml:space="preserve">Волгоградское ГОСБ </v>
      </c>
      <c r="N93" s="1" t="str">
        <f>_org_unit___v20[[#This Row],[ORG_UNIT_CODE]]</f>
        <v>10016651</v>
      </c>
    </row>
    <row r="94" spans="1:14" x14ac:dyDescent="0.25">
      <c r="A94" s="1" t="s">
        <v>615</v>
      </c>
      <c r="B94" s="1" t="s">
        <v>973</v>
      </c>
      <c r="C94" s="1" t="s">
        <v>974</v>
      </c>
      <c r="D94" s="1" t="s">
        <v>981</v>
      </c>
      <c r="E94" s="1" t="s">
        <v>982</v>
      </c>
      <c r="F94" s="1" t="s">
        <v>785</v>
      </c>
      <c r="G94" s="1" t="s">
        <v>308</v>
      </c>
      <c r="H94" s="1" t="s">
        <v>981</v>
      </c>
      <c r="I94" s="1" t="s">
        <v>792</v>
      </c>
      <c r="J94" s="1" t="s">
        <v>792</v>
      </c>
      <c r="K94" s="1" t="s">
        <v>3057</v>
      </c>
      <c r="L94" s="1" t="s">
        <v>3430</v>
      </c>
      <c r="M94" s="1" t="str">
        <f>_org_unit___v20[[#This Row],[GOSB_NAME]]</f>
        <v xml:space="preserve">Оренбургское ГОСБ </v>
      </c>
      <c r="N94" s="1" t="str">
        <f>_org_unit___v20[[#This Row],[ORG_UNIT_CODE]]</f>
        <v>10016642</v>
      </c>
    </row>
    <row r="95" spans="1:14" x14ac:dyDescent="0.25">
      <c r="A95" s="1" t="s">
        <v>615</v>
      </c>
      <c r="B95" s="1" t="s">
        <v>973</v>
      </c>
      <c r="C95" s="1" t="s">
        <v>974</v>
      </c>
      <c r="D95" s="1" t="s">
        <v>983</v>
      </c>
      <c r="E95" s="1" t="s">
        <v>984</v>
      </c>
      <c r="F95" s="1" t="s">
        <v>785</v>
      </c>
      <c r="G95" s="1" t="s">
        <v>314</v>
      </c>
      <c r="H95" s="1" t="s">
        <v>983</v>
      </c>
      <c r="I95" s="1" t="s">
        <v>36</v>
      </c>
      <c r="J95" s="1" t="s">
        <v>36</v>
      </c>
      <c r="K95" s="1" t="s">
        <v>3058</v>
      </c>
      <c r="L95" s="1" t="s">
        <v>3452</v>
      </c>
      <c r="M95" s="1" t="str">
        <f>_org_unit___v20[[#This Row],[GOSB_NAME]]</f>
        <v xml:space="preserve">Пензенское ГОСБ </v>
      </c>
      <c r="N95" s="1" t="str">
        <f>_org_unit___v20[[#This Row],[ORG_UNIT_CODE]]</f>
        <v>10016639</v>
      </c>
    </row>
    <row r="96" spans="1:14" x14ac:dyDescent="0.25">
      <c r="A96" s="1" t="s">
        <v>615</v>
      </c>
      <c r="B96" s="1" t="s">
        <v>973</v>
      </c>
      <c r="C96" s="1" t="s">
        <v>974</v>
      </c>
      <c r="D96" s="1" t="s">
        <v>985</v>
      </c>
      <c r="E96" s="1" t="s">
        <v>986</v>
      </c>
      <c r="F96" s="1" t="s">
        <v>785</v>
      </c>
      <c r="G96" s="1" t="s">
        <v>2</v>
      </c>
      <c r="H96" s="1" t="s">
        <v>985</v>
      </c>
      <c r="I96" s="1" t="s">
        <v>938</v>
      </c>
      <c r="J96" s="1" t="s">
        <v>938</v>
      </c>
      <c r="K96" s="1" t="s">
        <v>3059</v>
      </c>
      <c r="L96" s="1" t="s">
        <v>3454</v>
      </c>
      <c r="M96" s="1" t="str">
        <f>_org_unit___v20[[#This Row],[GOSB_NAME]]</f>
        <v xml:space="preserve">Самарское ГОСБ </v>
      </c>
      <c r="N96" s="1" t="str">
        <f>_org_unit___v20[[#This Row],[ORG_UNIT_CODE]]</f>
        <v>10034502</v>
      </c>
    </row>
    <row r="97" spans="1:14" x14ac:dyDescent="0.25">
      <c r="A97" s="1" t="s">
        <v>615</v>
      </c>
      <c r="B97" s="1" t="s">
        <v>973</v>
      </c>
      <c r="C97" s="1" t="s">
        <v>974</v>
      </c>
      <c r="D97" s="1" t="s">
        <v>987</v>
      </c>
      <c r="E97" s="1" t="s">
        <v>988</v>
      </c>
      <c r="F97" s="1" t="s">
        <v>785</v>
      </c>
      <c r="G97" s="1" t="s">
        <v>308</v>
      </c>
      <c r="H97" s="1" t="s">
        <v>987</v>
      </c>
      <c r="I97" s="1" t="s">
        <v>893</v>
      </c>
      <c r="J97" s="1" t="s">
        <v>893</v>
      </c>
      <c r="K97" s="1" t="s">
        <v>3060</v>
      </c>
      <c r="L97" s="1" t="s">
        <v>3453</v>
      </c>
      <c r="M97" s="1" t="str">
        <f>_org_unit___v20[[#This Row],[GOSB_NAME]]</f>
        <v xml:space="preserve">Саратовское ГОСБ </v>
      </c>
      <c r="N97" s="1" t="str">
        <f>_org_unit___v20[[#This Row],[ORG_UNIT_CODE]]</f>
        <v>10016652</v>
      </c>
    </row>
    <row r="98" spans="1:14" x14ac:dyDescent="0.25">
      <c r="A98" s="1" t="s">
        <v>615</v>
      </c>
      <c r="B98" s="1" t="s">
        <v>973</v>
      </c>
      <c r="C98" s="1" t="s">
        <v>974</v>
      </c>
      <c r="D98" s="1" t="s">
        <v>989</v>
      </c>
      <c r="E98" s="1" t="s">
        <v>990</v>
      </c>
      <c r="F98" s="1" t="s">
        <v>785</v>
      </c>
      <c r="G98" s="1" t="s">
        <v>314</v>
      </c>
      <c r="H98" s="1" t="s">
        <v>989</v>
      </c>
      <c r="I98" s="1" t="s">
        <v>801</v>
      </c>
      <c r="J98" s="1" t="s">
        <v>801</v>
      </c>
      <c r="K98" s="1" t="s">
        <v>3061</v>
      </c>
      <c r="L98" s="1" t="s">
        <v>3427</v>
      </c>
      <c r="M98" s="1" t="str">
        <f>_org_unit___v20[[#This Row],[GOSB_NAME]]</f>
        <v xml:space="preserve">Ульяновское ГОСБ </v>
      </c>
      <c r="N98" s="1" t="str">
        <f>_org_unit___v20[[#This Row],[ORG_UNIT_CODE]]</f>
        <v>10016636</v>
      </c>
    </row>
    <row r="99" spans="1:14" x14ac:dyDescent="0.25">
      <c r="A99" s="1" t="s">
        <v>616</v>
      </c>
      <c r="B99" s="1" t="s">
        <v>991</v>
      </c>
      <c r="C99" s="1" t="s">
        <v>992</v>
      </c>
      <c r="D99" s="1" t="s">
        <v>32</v>
      </c>
      <c r="E99" s="1" t="s">
        <v>788</v>
      </c>
      <c r="F99" s="1" t="s">
        <v>789</v>
      </c>
      <c r="G99" s="1" t="s">
        <v>2</v>
      </c>
      <c r="H99" s="1" t="s">
        <v>32</v>
      </c>
      <c r="I99" s="1" t="s">
        <v>32</v>
      </c>
      <c r="J99" s="1" t="s">
        <v>32</v>
      </c>
      <c r="K99" s="1" t="s">
        <v>3062</v>
      </c>
      <c r="L99" s="1" t="s">
        <v>3421</v>
      </c>
      <c r="M99" s="1" t="str">
        <f>_org_unit___v20[[#This Row],[GOSB_NAME]]</f>
        <v>Аппарат территориального банка</v>
      </c>
      <c r="N99" s="1" t="str">
        <f>_org_unit___v20[[#This Row],[ORG_UNIT_CODE]]</f>
        <v>10086568</v>
      </c>
    </row>
    <row r="100" spans="1:14" x14ac:dyDescent="0.25">
      <c r="A100" s="1" t="s">
        <v>616</v>
      </c>
      <c r="B100" s="1" t="s">
        <v>991</v>
      </c>
      <c r="C100" s="1" t="s">
        <v>992</v>
      </c>
      <c r="D100" s="1" t="s">
        <v>993</v>
      </c>
      <c r="E100" s="1" t="s">
        <v>994</v>
      </c>
      <c r="F100" s="1" t="s">
        <v>789</v>
      </c>
      <c r="G100" s="1" t="s">
        <v>2</v>
      </c>
      <c r="H100" s="1" t="s">
        <v>993</v>
      </c>
      <c r="I100" s="1" t="s">
        <v>609</v>
      </c>
      <c r="J100" s="1" t="s">
        <v>609</v>
      </c>
      <c r="K100" s="1" t="s">
        <v>3063</v>
      </c>
      <c r="L100" s="1" t="s">
        <v>3445</v>
      </c>
      <c r="M100" s="1" t="str">
        <f>_org_unit___v20[[#This Row],[GOSB_NAME]]</f>
        <v>Аппарат Северо-Западного банка</v>
      </c>
      <c r="N100" s="1" t="str">
        <f>_org_unit___v20[[#This Row],[ORG_UNIT_CODE]]</f>
        <v>10298976</v>
      </c>
    </row>
    <row r="101" spans="1:14" x14ac:dyDescent="0.25">
      <c r="A101" s="1" t="s">
        <v>616</v>
      </c>
      <c r="B101" s="1" t="s">
        <v>991</v>
      </c>
      <c r="C101" s="1" t="s">
        <v>992</v>
      </c>
      <c r="D101" s="1" t="s">
        <v>995</v>
      </c>
      <c r="E101" s="1" t="s">
        <v>996</v>
      </c>
      <c r="F101" s="1" t="s">
        <v>785</v>
      </c>
      <c r="G101" s="1" t="s">
        <v>308</v>
      </c>
      <c r="H101" s="1" t="s">
        <v>995</v>
      </c>
      <c r="I101" s="1" t="s">
        <v>801</v>
      </c>
      <c r="J101" s="1" t="s">
        <v>801</v>
      </c>
      <c r="K101" s="1" t="s">
        <v>3064</v>
      </c>
      <c r="L101" s="1" t="s">
        <v>3479</v>
      </c>
      <c r="M101" s="1" t="str">
        <f>_org_unit___v20[[#This Row],[GOSB_NAME]]</f>
        <v xml:space="preserve">Архангельское ГОСБ </v>
      </c>
      <c r="N101" s="1" t="str">
        <f>_org_unit___v20[[#This Row],[ORG_UNIT_CODE]]</f>
        <v>10263275</v>
      </c>
    </row>
    <row r="102" spans="1:14" x14ac:dyDescent="0.25">
      <c r="A102" s="1" t="s">
        <v>616</v>
      </c>
      <c r="B102" s="1" t="s">
        <v>991</v>
      </c>
      <c r="C102" s="1" t="s">
        <v>992</v>
      </c>
      <c r="D102" s="1" t="s">
        <v>997</v>
      </c>
      <c r="E102" s="1" t="s">
        <v>998</v>
      </c>
      <c r="F102" s="1" t="s">
        <v>785</v>
      </c>
      <c r="G102" s="1" t="s">
        <v>314</v>
      </c>
      <c r="H102" s="1" t="s">
        <v>997</v>
      </c>
      <c r="I102" s="1" t="s">
        <v>322</v>
      </c>
      <c r="J102" s="1" t="s">
        <v>322</v>
      </c>
      <c r="K102" s="1" t="s">
        <v>3065</v>
      </c>
      <c r="L102" s="1" t="s">
        <v>3480</v>
      </c>
      <c r="M102" s="1" t="str">
        <f>_org_unit___v20[[#This Row],[GOSB_NAME]]</f>
        <v xml:space="preserve">Вологодское ГОСБ </v>
      </c>
      <c r="N102" s="1" t="str">
        <f>_org_unit___v20[[#This Row],[ORG_UNIT_CODE]]</f>
        <v>10263631</v>
      </c>
    </row>
    <row r="103" spans="1:14" x14ac:dyDescent="0.25">
      <c r="A103" s="1" t="s">
        <v>616</v>
      </c>
      <c r="B103" s="1" t="s">
        <v>991</v>
      </c>
      <c r="C103" s="1" t="s">
        <v>992</v>
      </c>
      <c r="D103" s="1" t="s">
        <v>999</v>
      </c>
      <c r="E103" s="1" t="s">
        <v>1000</v>
      </c>
      <c r="F103" s="1" t="s">
        <v>785</v>
      </c>
      <c r="G103" s="1" t="s">
        <v>2</v>
      </c>
      <c r="H103" s="1" t="s">
        <v>999</v>
      </c>
      <c r="I103" s="1" t="s">
        <v>1001</v>
      </c>
      <c r="J103" s="1" t="s">
        <v>1001</v>
      </c>
      <c r="K103" s="1" t="s">
        <v>3066</v>
      </c>
      <c r="L103" s="1" t="s">
        <v>3448</v>
      </c>
      <c r="M103" s="1" t="str">
        <f>_org_unit___v20[[#This Row],[GOSB_NAME]]</f>
        <v>ГО по г. Санкт-Петербургу</v>
      </c>
      <c r="N103" s="1" t="str">
        <f>_org_unit___v20[[#This Row],[ORG_UNIT_CODE]]</f>
        <v>10086553</v>
      </c>
    </row>
    <row r="104" spans="1:14" x14ac:dyDescent="0.25">
      <c r="A104" s="1" t="s">
        <v>616</v>
      </c>
      <c r="B104" s="1" t="s">
        <v>991</v>
      </c>
      <c r="C104" s="1" t="s">
        <v>992</v>
      </c>
      <c r="D104" s="1" t="s">
        <v>1002</v>
      </c>
      <c r="E104" s="1" t="s">
        <v>1003</v>
      </c>
      <c r="F104" s="1" t="s">
        <v>785</v>
      </c>
      <c r="G104" s="1" t="s">
        <v>308</v>
      </c>
      <c r="H104" s="1" t="s">
        <v>1002</v>
      </c>
      <c r="I104" s="1" t="s">
        <v>893</v>
      </c>
      <c r="J104" s="1" t="s">
        <v>893</v>
      </c>
      <c r="K104" s="1" t="s">
        <v>3067</v>
      </c>
      <c r="L104" s="1" t="s">
        <v>3530</v>
      </c>
      <c r="M104" s="1" t="str">
        <f>_org_unit___v20[[#This Row],[GOSB_NAME]]</f>
        <v>ГО по Ленинградской области</v>
      </c>
      <c r="N104" s="1" t="str">
        <f>_org_unit___v20[[#This Row],[ORG_UNIT_CODE]]</f>
        <v>10086573</v>
      </c>
    </row>
    <row r="105" spans="1:14" x14ac:dyDescent="0.25">
      <c r="A105" s="1" t="s">
        <v>616</v>
      </c>
      <c r="B105" s="1" t="s">
        <v>991</v>
      </c>
      <c r="C105" s="1" t="s">
        <v>992</v>
      </c>
      <c r="D105" s="1" t="s">
        <v>1004</v>
      </c>
      <c r="E105" s="1" t="s">
        <v>1005</v>
      </c>
      <c r="F105" s="1" t="s">
        <v>785</v>
      </c>
      <c r="G105" s="1" t="s">
        <v>314</v>
      </c>
      <c r="H105" s="1" t="s">
        <v>1004</v>
      </c>
      <c r="I105" s="1" t="s">
        <v>36</v>
      </c>
      <c r="J105" s="1" t="s">
        <v>36</v>
      </c>
      <c r="K105" s="1" t="s">
        <v>3068</v>
      </c>
      <c r="L105" s="1" t="s">
        <v>3473</v>
      </c>
      <c r="M105" s="1" t="str">
        <f>_org_unit___v20[[#This Row],[GOSB_NAME]]</f>
        <v xml:space="preserve">Калининградское ГОСБ </v>
      </c>
      <c r="N105" s="1" t="str">
        <f>_org_unit___v20[[#This Row],[ORG_UNIT_CODE]]</f>
        <v>10086543</v>
      </c>
    </row>
    <row r="106" spans="1:14" x14ac:dyDescent="0.25">
      <c r="A106" s="1" t="s">
        <v>616</v>
      </c>
      <c r="B106" s="1" t="s">
        <v>991</v>
      </c>
      <c r="C106" s="1" t="s">
        <v>992</v>
      </c>
      <c r="D106" s="1" t="s">
        <v>1006</v>
      </c>
      <c r="E106" s="1" t="s">
        <v>1007</v>
      </c>
      <c r="F106" s="1" t="s">
        <v>785</v>
      </c>
      <c r="G106" s="1" t="s">
        <v>314</v>
      </c>
      <c r="H106" s="1" t="s">
        <v>1006</v>
      </c>
      <c r="I106" s="1" t="s">
        <v>90</v>
      </c>
      <c r="J106" s="1" t="s">
        <v>90</v>
      </c>
      <c r="K106" s="1" t="s">
        <v>3069</v>
      </c>
      <c r="L106" s="1" t="s">
        <v>3478</v>
      </c>
      <c r="M106" s="1" t="str">
        <f>_org_unit___v20[[#This Row],[GOSB_NAME]]</f>
        <v xml:space="preserve">Коми ГОСБ </v>
      </c>
      <c r="N106" s="1" t="str">
        <f>_org_unit___v20[[#This Row],[ORG_UNIT_CODE]]</f>
        <v>10264012</v>
      </c>
    </row>
    <row r="107" spans="1:14" x14ac:dyDescent="0.25">
      <c r="A107" s="1" t="s">
        <v>616</v>
      </c>
      <c r="B107" s="1" t="s">
        <v>991</v>
      </c>
      <c r="C107" s="1" t="s">
        <v>992</v>
      </c>
      <c r="D107" s="1" t="s">
        <v>1008</v>
      </c>
      <c r="E107" s="1" t="s">
        <v>1009</v>
      </c>
      <c r="F107" s="1" t="s">
        <v>785</v>
      </c>
      <c r="G107" s="1" t="s">
        <v>549</v>
      </c>
      <c r="H107" s="1" t="s">
        <v>1008</v>
      </c>
      <c r="I107" s="1" t="s">
        <v>36</v>
      </c>
      <c r="J107" s="1" t="s">
        <v>36</v>
      </c>
      <c r="K107" s="1" t="s">
        <v>3070</v>
      </c>
      <c r="L107" s="1" t="s">
        <v>3475</v>
      </c>
      <c r="M107" s="1" t="str">
        <f>_org_unit___v20[[#This Row],[GOSB_NAME]]</f>
        <v xml:space="preserve">Карельское ГОСБ </v>
      </c>
      <c r="N107" s="1" t="str">
        <f>_org_unit___v20[[#This Row],[ORG_UNIT_CODE]]</f>
        <v>10086650</v>
      </c>
    </row>
    <row r="108" spans="1:14" x14ac:dyDescent="0.25">
      <c r="A108" s="1" t="s">
        <v>616</v>
      </c>
      <c r="B108" s="1" t="s">
        <v>991</v>
      </c>
      <c r="C108" s="1" t="s">
        <v>992</v>
      </c>
      <c r="D108" s="1" t="s">
        <v>1010</v>
      </c>
      <c r="E108" s="1" t="s">
        <v>1011</v>
      </c>
      <c r="F108" s="1" t="s">
        <v>785</v>
      </c>
      <c r="G108" s="1" t="s">
        <v>308</v>
      </c>
      <c r="H108" s="1" t="s">
        <v>1010</v>
      </c>
      <c r="I108" s="1" t="s">
        <v>317</v>
      </c>
      <c r="J108" s="1" t="s">
        <v>317</v>
      </c>
      <c r="K108" s="1" t="s">
        <v>3071</v>
      </c>
      <c r="L108" s="1" t="s">
        <v>3474</v>
      </c>
      <c r="M108" s="1" t="str">
        <f>_org_unit___v20[[#This Row],[GOSB_NAME]]</f>
        <v xml:space="preserve">Мурманское ГОСБ </v>
      </c>
      <c r="N108" s="1" t="str">
        <f>_org_unit___v20[[#This Row],[ORG_UNIT_CODE]]</f>
        <v>10099906</v>
      </c>
    </row>
    <row r="109" spans="1:14" x14ac:dyDescent="0.25">
      <c r="A109" s="1" t="s">
        <v>616</v>
      </c>
      <c r="B109" s="1" t="s">
        <v>991</v>
      </c>
      <c r="C109" s="1" t="s">
        <v>992</v>
      </c>
      <c r="D109" s="1" t="s">
        <v>1012</v>
      </c>
      <c r="E109" s="1" t="s">
        <v>1013</v>
      </c>
      <c r="F109" s="1" t="s">
        <v>785</v>
      </c>
      <c r="G109" s="1" t="s">
        <v>549</v>
      </c>
      <c r="H109" s="1" t="s">
        <v>1012</v>
      </c>
      <c r="I109" s="1" t="s">
        <v>549</v>
      </c>
      <c r="J109" s="1" t="s">
        <v>549</v>
      </c>
      <c r="K109" s="1" t="s">
        <v>3072</v>
      </c>
      <c r="L109" s="1" t="s">
        <v>3476</v>
      </c>
      <c r="M109" s="1" t="str">
        <f>_org_unit___v20[[#This Row],[GOSB_NAME]]</f>
        <v xml:space="preserve">Новгородское ГОСБ </v>
      </c>
      <c r="N109" s="1" t="str">
        <f>_org_unit___v20[[#This Row],[ORG_UNIT_CODE]]</f>
        <v>10086651</v>
      </c>
    </row>
    <row r="110" spans="1:14" x14ac:dyDescent="0.25">
      <c r="A110" s="1" t="s">
        <v>616</v>
      </c>
      <c r="B110" s="1" t="s">
        <v>991</v>
      </c>
      <c r="C110" s="1" t="s">
        <v>992</v>
      </c>
      <c r="D110" s="1" t="s">
        <v>1014</v>
      </c>
      <c r="E110" s="1" t="s">
        <v>1015</v>
      </c>
      <c r="F110" s="1" t="s">
        <v>785</v>
      </c>
      <c r="G110" s="1" t="s">
        <v>549</v>
      </c>
      <c r="H110" s="1" t="s">
        <v>1014</v>
      </c>
      <c r="I110" s="1" t="s">
        <v>317</v>
      </c>
      <c r="J110" s="1" t="s">
        <v>317</v>
      </c>
      <c r="K110" s="1" t="s">
        <v>3073</v>
      </c>
      <c r="L110" s="1" t="s">
        <v>3477</v>
      </c>
      <c r="M110" s="1" t="str">
        <f>_org_unit___v20[[#This Row],[GOSB_NAME]]</f>
        <v xml:space="preserve">Псковское ГОСБ </v>
      </c>
      <c r="N110" s="1" t="str">
        <f>_org_unit___v20[[#This Row],[ORG_UNIT_CODE]]</f>
        <v>10086652</v>
      </c>
    </row>
    <row r="111" spans="1:14" x14ac:dyDescent="0.25">
      <c r="A111" s="1" t="s">
        <v>617</v>
      </c>
      <c r="B111" s="1" t="s">
        <v>1016</v>
      </c>
      <c r="C111" s="1" t="s">
        <v>1017</v>
      </c>
      <c r="D111" s="1" t="s">
        <v>32</v>
      </c>
      <c r="E111" s="1" t="s">
        <v>788</v>
      </c>
      <c r="F111" s="1" t="s">
        <v>789</v>
      </c>
      <c r="G111" s="1" t="s">
        <v>2</v>
      </c>
      <c r="H111" s="1" t="s">
        <v>32</v>
      </c>
      <c r="I111" s="1" t="s">
        <v>32</v>
      </c>
      <c r="J111" s="1" t="s">
        <v>32</v>
      </c>
      <c r="K111" s="1" t="s">
        <v>3074</v>
      </c>
      <c r="L111" s="1" t="s">
        <v>3420</v>
      </c>
      <c r="M111" s="1" t="str">
        <f>_org_unit___v20[[#This Row],[GOSB_NAME]]</f>
        <v>Аппарат территориального банка</v>
      </c>
      <c r="N111" s="1" t="str">
        <f>_org_unit___v20[[#This Row],[ORG_UNIT_CODE]]</f>
        <v>10016449</v>
      </c>
    </row>
    <row r="112" spans="1:14" x14ac:dyDescent="0.25">
      <c r="A112" s="1" t="s">
        <v>617</v>
      </c>
      <c r="B112" s="1" t="s">
        <v>1016</v>
      </c>
      <c r="C112" s="1" t="s">
        <v>1017</v>
      </c>
      <c r="D112" s="1" t="s">
        <v>1018</v>
      </c>
      <c r="E112" s="1" t="s">
        <v>1019</v>
      </c>
      <c r="F112" s="1" t="s">
        <v>789</v>
      </c>
      <c r="G112" s="1" t="s">
        <v>2</v>
      </c>
      <c r="H112" s="1" t="s">
        <v>1018</v>
      </c>
      <c r="I112" s="1" t="s">
        <v>801</v>
      </c>
      <c r="J112" s="1" t="s">
        <v>801</v>
      </c>
      <c r="K112" s="1" t="s">
        <v>3075</v>
      </c>
      <c r="L112" s="1" t="s">
        <v>3531</v>
      </c>
      <c r="M112" s="1" t="str">
        <f>_org_unit___v20[[#This Row],[GOSB_NAME]]</f>
        <v>Аппарат Дальневосточного банка</v>
      </c>
      <c r="N112" s="1" t="str">
        <f>_org_unit___v20[[#This Row],[ORG_UNIT_CODE]]</f>
        <v>10296390</v>
      </c>
    </row>
    <row r="113" spans="1:14" x14ac:dyDescent="0.25">
      <c r="A113" s="1" t="s">
        <v>617</v>
      </c>
      <c r="B113" s="1" t="s">
        <v>1016</v>
      </c>
      <c r="C113" s="1" t="s">
        <v>1017</v>
      </c>
      <c r="D113" s="1" t="s">
        <v>1020</v>
      </c>
      <c r="E113" s="1" t="s">
        <v>1021</v>
      </c>
      <c r="F113" s="1" t="s">
        <v>785</v>
      </c>
      <c r="G113" s="1" t="s">
        <v>314</v>
      </c>
      <c r="H113" s="1" t="s">
        <v>1020</v>
      </c>
      <c r="I113" s="1" t="s">
        <v>90</v>
      </c>
      <c r="J113" s="1" t="s">
        <v>90</v>
      </c>
      <c r="K113" s="1" t="s">
        <v>3076</v>
      </c>
      <c r="L113" s="1" t="s">
        <v>3462</v>
      </c>
      <c r="M113" s="1" t="str">
        <f>_org_unit___v20[[#This Row],[GOSB_NAME]]</f>
        <v xml:space="preserve">Благовещенское ГОСБ </v>
      </c>
      <c r="N113" s="1" t="str">
        <f>_org_unit___v20[[#This Row],[ORG_UNIT_CODE]]</f>
        <v>10016714</v>
      </c>
    </row>
    <row r="114" spans="1:14" x14ac:dyDescent="0.25">
      <c r="A114" s="1" t="s">
        <v>617</v>
      </c>
      <c r="B114" s="1" t="s">
        <v>1016</v>
      </c>
      <c r="C114" s="1" t="s">
        <v>1017</v>
      </c>
      <c r="D114" s="1" t="s">
        <v>1022</v>
      </c>
      <c r="E114" s="1" t="s">
        <v>1023</v>
      </c>
      <c r="F114" s="1" t="s">
        <v>785</v>
      </c>
      <c r="G114" s="1" t="s">
        <v>549</v>
      </c>
      <c r="H114" s="1" t="s">
        <v>1022</v>
      </c>
      <c r="I114" s="1" t="s">
        <v>317</v>
      </c>
      <c r="J114" s="1" t="s">
        <v>317</v>
      </c>
      <c r="K114" s="1" t="s">
        <v>3077</v>
      </c>
      <c r="L114" s="1" t="s">
        <v>3465</v>
      </c>
      <c r="M114" s="1" t="str">
        <f>_org_unit___v20[[#This Row],[GOSB_NAME]]</f>
        <v xml:space="preserve">Камчатское ГОСБ </v>
      </c>
      <c r="N114" s="1" t="str">
        <f>_org_unit___v20[[#This Row],[ORG_UNIT_CODE]]</f>
        <v>10162314</v>
      </c>
    </row>
    <row r="115" spans="1:14" x14ac:dyDescent="0.25">
      <c r="A115" s="1" t="s">
        <v>617</v>
      </c>
      <c r="B115" s="1" t="s">
        <v>1016</v>
      </c>
      <c r="C115" s="1" t="s">
        <v>1017</v>
      </c>
      <c r="D115" s="1" t="s">
        <v>1024</v>
      </c>
      <c r="E115" s="1" t="s">
        <v>1025</v>
      </c>
      <c r="F115" s="1" t="s">
        <v>785</v>
      </c>
      <c r="G115" s="1" t="s">
        <v>2</v>
      </c>
      <c r="H115" s="1" t="s">
        <v>1024</v>
      </c>
      <c r="I115" s="1" t="s">
        <v>795</v>
      </c>
      <c r="J115" s="1" t="s">
        <v>795</v>
      </c>
      <c r="K115" s="1" t="s">
        <v>3078</v>
      </c>
      <c r="L115" s="1" t="s">
        <v>3441</v>
      </c>
      <c r="M115" s="1" t="str">
        <f>_org_unit___v20[[#This Row],[GOSB_NAME]]</f>
        <v xml:space="preserve">Приморское ГОСБ </v>
      </c>
      <c r="N115" s="1" t="str">
        <f>_org_unit___v20[[#This Row],[ORG_UNIT_CODE]]</f>
        <v>10123013</v>
      </c>
    </row>
    <row r="116" spans="1:14" x14ac:dyDescent="0.25">
      <c r="A116" s="1" t="s">
        <v>617</v>
      </c>
      <c r="B116" s="1" t="s">
        <v>1016</v>
      </c>
      <c r="C116" s="1" t="s">
        <v>1017</v>
      </c>
      <c r="D116" s="1" t="s">
        <v>1026</v>
      </c>
      <c r="E116" s="1" t="s">
        <v>1027</v>
      </c>
      <c r="F116" s="1" t="s">
        <v>785</v>
      </c>
      <c r="G116" s="1" t="s">
        <v>308</v>
      </c>
      <c r="H116" s="1" t="s">
        <v>1026</v>
      </c>
      <c r="I116" s="1" t="s">
        <v>608</v>
      </c>
      <c r="J116" s="1" t="s">
        <v>608</v>
      </c>
      <c r="K116" s="1" t="s">
        <v>3079</v>
      </c>
      <c r="L116" s="1" t="s">
        <v>3461</v>
      </c>
      <c r="M116" s="1" t="str">
        <f>_org_unit___v20[[#This Row],[GOSB_NAME]]</f>
        <v xml:space="preserve">Хабаровское ГОСБ </v>
      </c>
      <c r="N116" s="1" t="str">
        <f>_org_unit___v20[[#This Row],[ORG_UNIT_CODE]]</f>
        <v>10122604</v>
      </c>
    </row>
    <row r="117" spans="1:14" x14ac:dyDescent="0.25">
      <c r="A117" s="1" t="s">
        <v>617</v>
      </c>
      <c r="B117" s="1" t="s">
        <v>1016</v>
      </c>
      <c r="C117" s="1" t="s">
        <v>1017</v>
      </c>
      <c r="D117" s="1" t="s">
        <v>1028</v>
      </c>
      <c r="E117" s="1" t="s">
        <v>1029</v>
      </c>
      <c r="F117" s="1" t="s">
        <v>785</v>
      </c>
      <c r="G117" s="1" t="s">
        <v>314</v>
      </c>
      <c r="H117" s="1" t="s">
        <v>1028</v>
      </c>
      <c r="I117" s="1" t="s">
        <v>801</v>
      </c>
      <c r="J117" s="1" t="s">
        <v>801</v>
      </c>
      <c r="K117" s="1" t="s">
        <v>3080</v>
      </c>
      <c r="L117" s="1" t="s">
        <v>3463</v>
      </c>
      <c r="M117" s="1" t="str">
        <f>_org_unit___v20[[#This Row],[GOSB_NAME]]</f>
        <v xml:space="preserve">Южно-Сахалинское ГОСБ </v>
      </c>
      <c r="N117" s="1" t="str">
        <f>_org_unit___v20[[#This Row],[ORG_UNIT_CODE]]</f>
        <v>10035960</v>
      </c>
    </row>
    <row r="118" spans="1:14" x14ac:dyDescent="0.25">
      <c r="A118" s="1" t="s">
        <v>617</v>
      </c>
      <c r="B118" s="1" t="s">
        <v>1016</v>
      </c>
      <c r="C118" s="1" t="s">
        <v>1017</v>
      </c>
      <c r="D118" s="1" t="s">
        <v>1030</v>
      </c>
      <c r="E118" s="1" t="s">
        <v>1031</v>
      </c>
      <c r="F118" s="1" t="s">
        <v>785</v>
      </c>
      <c r="G118" s="1" t="s">
        <v>317</v>
      </c>
      <c r="H118" s="1" t="s">
        <v>1030</v>
      </c>
      <c r="I118" s="1" t="s">
        <v>2</v>
      </c>
      <c r="J118" s="1" t="s">
        <v>590</v>
      </c>
      <c r="K118" s="1" t="s">
        <v>3081</v>
      </c>
      <c r="L118" s="1" t="s">
        <v>3532</v>
      </c>
      <c r="M118" s="1" t="str">
        <f>_org_unit___v20[[#This Row],[GOSB_NAME]]</f>
        <v xml:space="preserve">Биробиджанское ГОСБ </v>
      </c>
      <c r="N118" s="1" t="str">
        <f>_org_unit___v20[[#This Row],[ORG_UNIT_CODE]]</f>
        <v>10038415</v>
      </c>
    </row>
    <row r="119" spans="1:14" x14ac:dyDescent="0.25">
      <c r="A119" s="1" t="s">
        <v>617</v>
      </c>
      <c r="B119" s="1" t="s">
        <v>1016</v>
      </c>
      <c r="C119" s="1" t="s">
        <v>1017</v>
      </c>
      <c r="D119" s="1" t="s">
        <v>1032</v>
      </c>
      <c r="E119" s="1" t="s">
        <v>1033</v>
      </c>
      <c r="F119" s="1" t="s">
        <v>785</v>
      </c>
      <c r="G119" s="1" t="s">
        <v>317</v>
      </c>
      <c r="H119" s="1" t="s">
        <v>1032</v>
      </c>
      <c r="I119" s="1" t="s">
        <v>2</v>
      </c>
      <c r="J119" s="1" t="s">
        <v>590</v>
      </c>
      <c r="K119" s="1" t="s">
        <v>3082</v>
      </c>
      <c r="L119" s="1" t="s">
        <v>3533</v>
      </c>
      <c r="M119" s="1" t="str">
        <f>_org_unit___v20[[#This Row],[GOSB_NAME]]</f>
        <v xml:space="preserve">Чукотское ГОСБ </v>
      </c>
      <c r="N119" s="1" t="str">
        <f>_org_unit___v20[[#This Row],[ORG_UNIT_CODE]]</f>
        <v>10214308</v>
      </c>
    </row>
    <row r="120" spans="1:14" x14ac:dyDescent="0.25">
      <c r="A120" s="1" t="s">
        <v>617</v>
      </c>
      <c r="B120" s="1" t="s">
        <v>1016</v>
      </c>
      <c r="C120" s="1" t="s">
        <v>1017</v>
      </c>
      <c r="D120" s="1" t="s">
        <v>1034</v>
      </c>
      <c r="E120" s="1" t="s">
        <v>1035</v>
      </c>
      <c r="F120" s="1" t="s">
        <v>785</v>
      </c>
      <c r="G120" s="1" t="s">
        <v>317</v>
      </c>
      <c r="H120" s="1" t="s">
        <v>1034</v>
      </c>
      <c r="I120" s="1" t="s">
        <v>314</v>
      </c>
      <c r="J120" s="1" t="s">
        <v>590</v>
      </c>
      <c r="K120" s="1" t="s">
        <v>3083</v>
      </c>
      <c r="L120" s="1" t="s">
        <v>3464</v>
      </c>
      <c r="M120" s="1" t="str">
        <f>_org_unit___v20[[#This Row],[GOSB_NAME]]</f>
        <v xml:space="preserve">Северо-Восточное ГОСБ </v>
      </c>
      <c r="N120" s="1" t="str">
        <f>_org_unit___v20[[#This Row],[ORG_UNIT_CODE]]</f>
        <v>10162311</v>
      </c>
    </row>
    <row r="121" spans="1:14" x14ac:dyDescent="0.25">
      <c r="A121" s="1" t="s">
        <v>618</v>
      </c>
      <c r="B121" s="1" t="s">
        <v>1036</v>
      </c>
      <c r="C121" s="1" t="s">
        <v>1037</v>
      </c>
      <c r="D121" s="1" t="s">
        <v>32</v>
      </c>
      <c r="E121" s="1" t="s">
        <v>194</v>
      </c>
      <c r="F121" s="1" t="s">
        <v>785</v>
      </c>
      <c r="G121" s="1" t="s">
        <v>32</v>
      </c>
      <c r="H121" s="1" t="s">
        <v>32</v>
      </c>
      <c r="I121" s="1" t="s">
        <v>32</v>
      </c>
      <c r="J121" s="1" t="s">
        <v>32</v>
      </c>
      <c r="K121" s="1" t="s">
        <v>3084</v>
      </c>
      <c r="L121" s="1" t="s">
        <v>3416</v>
      </c>
      <c r="M121" s="1" t="str">
        <f>_org_unit___v20[[#This Row],[GOSB_NAME]]</f>
        <v/>
      </c>
      <c r="N121" s="1" t="str">
        <f>_org_unit___v20[[#This Row],[ORG_UNIT_CODE]]</f>
        <v>10000360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59"/>
  <sheetViews>
    <sheetView topLeftCell="A279" zoomScale="70" zoomScaleNormal="70" workbookViewId="0">
      <selection activeCell="A4" sqref="A4:A355"/>
    </sheetView>
  </sheetViews>
  <sheetFormatPr defaultRowHeight="15" outlineLevelCol="1" x14ac:dyDescent="0.25"/>
  <cols>
    <col min="1" max="1" width="30.28515625" style="38" customWidth="1"/>
    <col min="2" max="2" width="18.140625" style="38" customWidth="1"/>
    <col min="3" max="3" width="12.5703125" style="38" customWidth="1"/>
    <col min="4" max="4" width="10.85546875" style="38" customWidth="1"/>
    <col min="5" max="5" width="13.5703125" style="38" customWidth="1"/>
    <col min="6" max="6" width="25.85546875" style="38" customWidth="1" outlineLevel="1"/>
    <col min="7" max="7" width="24" style="38" customWidth="1" outlineLevel="1"/>
    <col min="8" max="8" width="24.85546875" style="38" customWidth="1" outlineLevel="1"/>
    <col min="9" max="9" width="26.42578125" style="38" customWidth="1" outlineLevel="1"/>
    <col min="10" max="10" width="115.28515625" style="38" customWidth="1" outlineLevel="1"/>
    <col min="11" max="11" width="24.42578125" style="38" customWidth="1" outlineLevel="1"/>
    <col min="12" max="12" width="18" style="38" customWidth="1" outlineLevel="1"/>
    <col min="13" max="13" width="38" style="38" customWidth="1" outlineLevel="1"/>
    <col min="14" max="14" width="13" style="38" customWidth="1" outlineLevel="1"/>
    <col min="15" max="15" width="45.5703125" style="38" customWidth="1" outlineLevel="1"/>
    <col min="16" max="16" width="12.7109375" style="38" customWidth="1" outlineLevel="1"/>
    <col min="17" max="17" width="14.5703125" style="38" customWidth="1" outlineLevel="1"/>
    <col min="18" max="18" width="17.42578125" style="38" customWidth="1"/>
    <col min="19" max="19" width="11.42578125" style="39" customWidth="1"/>
    <col min="20" max="20" width="8.7109375" style="39" customWidth="1"/>
    <col min="21" max="21" width="11.42578125" style="39" customWidth="1"/>
    <col min="22" max="22" width="16" style="39" customWidth="1" outlineLevel="1"/>
    <col min="23" max="23" width="26.5703125" style="38" customWidth="1" outlineLevel="1"/>
    <col min="24" max="24" width="12.5703125" style="38" customWidth="1" outlineLevel="1"/>
    <col min="25" max="25" width="69.5703125" style="38" customWidth="1"/>
    <col min="26" max="26" width="14.7109375" style="38" customWidth="1" outlineLevel="1"/>
    <col min="27" max="27" width="13.140625" style="38" customWidth="1" outlineLevel="1"/>
    <col min="28" max="28" width="16.28515625" style="38" customWidth="1" outlineLevel="1"/>
    <col min="29" max="16384" width="9.140625" style="38"/>
  </cols>
  <sheetData>
    <row r="1" spans="1:28" x14ac:dyDescent="0.25">
      <c r="S1" s="39" t="s">
        <v>577</v>
      </c>
      <c r="T1" s="39" t="s">
        <v>577</v>
      </c>
      <c r="U1" s="39" t="s">
        <v>577</v>
      </c>
      <c r="V1" s="39" t="s">
        <v>577</v>
      </c>
    </row>
    <row r="2" spans="1:28" x14ac:dyDescent="0.25">
      <c r="S2" s="39" t="s">
        <v>583</v>
      </c>
      <c r="T2" s="39" t="s">
        <v>586</v>
      </c>
      <c r="U2" s="39" t="s">
        <v>584</v>
      </c>
      <c r="V2" s="39" t="s">
        <v>589</v>
      </c>
      <c r="W2" s="38" t="s">
        <v>1309</v>
      </c>
      <c r="X2" s="38" t="s">
        <v>577</v>
      </c>
      <c r="Y2" s="38" t="s">
        <v>11</v>
      </c>
      <c r="Z2" s="38" t="s">
        <v>577</v>
      </c>
      <c r="AA2" s="38" t="s">
        <v>628</v>
      </c>
      <c r="AB2" s="38" t="s">
        <v>628</v>
      </c>
    </row>
    <row r="3" spans="1:28" x14ac:dyDescent="0.25">
      <c r="A3" s="14" t="s">
        <v>1</v>
      </c>
      <c r="B3" s="14" t="s">
        <v>140</v>
      </c>
      <c r="C3" s="14" t="s">
        <v>141</v>
      </c>
      <c r="D3" s="14" t="s">
        <v>142</v>
      </c>
      <c r="E3" s="14" t="s">
        <v>143</v>
      </c>
      <c r="F3" s="14" t="s">
        <v>1305</v>
      </c>
      <c r="G3" s="14" t="s">
        <v>1306</v>
      </c>
      <c r="H3" s="14" t="s">
        <v>2966</v>
      </c>
      <c r="I3" s="14" t="s">
        <v>2967</v>
      </c>
      <c r="J3" s="14" t="s">
        <v>1307</v>
      </c>
      <c r="K3" s="14" t="s">
        <v>144</v>
      </c>
      <c r="L3" s="14" t="s">
        <v>0</v>
      </c>
      <c r="M3" s="14" t="s">
        <v>21</v>
      </c>
      <c r="N3" s="14" t="s">
        <v>23</v>
      </c>
      <c r="O3" s="14" t="s">
        <v>1472</v>
      </c>
      <c r="P3" s="14" t="s">
        <v>4777</v>
      </c>
      <c r="Q3" s="40" t="s">
        <v>1089</v>
      </c>
      <c r="R3" s="55" t="s">
        <v>2843</v>
      </c>
      <c r="S3" s="57" t="s">
        <v>583</v>
      </c>
      <c r="T3" s="57" t="s">
        <v>586</v>
      </c>
      <c r="U3" s="57" t="s">
        <v>584</v>
      </c>
      <c r="V3" s="57" t="s">
        <v>589</v>
      </c>
      <c r="W3" s="33" t="s">
        <v>1625</v>
      </c>
      <c r="X3" s="32" t="s">
        <v>1630</v>
      </c>
      <c r="Y3" s="32" t="s">
        <v>1626</v>
      </c>
      <c r="Z3" s="32" t="s">
        <v>1636</v>
      </c>
      <c r="AA3" s="32" t="s">
        <v>1632</v>
      </c>
      <c r="AB3"/>
    </row>
    <row r="4" spans="1:28" x14ac:dyDescent="0.25">
      <c r="A4" s="14" t="s">
        <v>4060</v>
      </c>
      <c r="B4" s="14" t="s">
        <v>3652</v>
      </c>
      <c r="C4" s="14" t="s">
        <v>4019</v>
      </c>
      <c r="D4" s="14" t="s">
        <v>2542</v>
      </c>
      <c r="E4" s="14" t="s">
        <v>3545</v>
      </c>
      <c r="F4" s="14" t="s">
        <v>194</v>
      </c>
      <c r="G4" s="14" t="s">
        <v>194</v>
      </c>
      <c r="H4" s="14" t="s">
        <v>194</v>
      </c>
      <c r="I4" s="14" t="s">
        <v>194</v>
      </c>
      <c r="J4" s="14" t="s">
        <v>194</v>
      </c>
      <c r="K4" s="14" t="s">
        <v>34</v>
      </c>
      <c r="L4" s="14" t="s">
        <v>4034</v>
      </c>
      <c r="M4" s="14" t="s">
        <v>3603</v>
      </c>
      <c r="N4" s="14" t="s">
        <v>2</v>
      </c>
      <c r="O4" s="14" t="s">
        <v>4061</v>
      </c>
      <c r="P4" s="14" t="s">
        <v>1064</v>
      </c>
      <c r="R4" s="38">
        <f>IFERROR(COUNTIFS(_report[TOURNAMENT_CODE],_SCHEDULE_[[#This Row],[TOURNAMENT_CODE]],_report[CONTEST_CODE],_SCHEDULE_[[#This Row],[CONTEST_CODE]]),"-")</f>
        <v>0</v>
      </c>
      <c r="S4" s="41" t="str">
        <f>SUBSTITUTE(IFERROR(INDEX(_group_[],MATCH(CONCATENATE(_SCHEDULE_[[#This Row],[CONTEST_CODE]],"_",$S$2),_group_[ИД2],0),MATCH($S$1,_group_[#Headers],0)),"---"),".",",")</f>
        <v>---</v>
      </c>
      <c r="T4" s="41" t="str">
        <f>SUBSTITUTE(IFERROR(INDEX(_group_[],MATCH(CONCATENATE(_SCHEDULE_[[#This Row],[CONTEST_CODE]],"_",$T$2),_group_[ИД2],0),MATCH($T$1,_group_[#Headers],0)),"---"),".",",")</f>
        <v>TB</v>
      </c>
      <c r="U4" s="41" t="str">
        <f>SUBSTITUTE(IFERROR(INDEX(_group_[],MATCH(CONCATENATE(_SCHEDULE_[[#This Row],[CONTEST_CODE]],"_",$U$2),_group_[ИД2],0),MATCH($U$1,_group_[#Headers],0)),"---"),".",",")</f>
        <v>---</v>
      </c>
      <c r="V4" s="41" t="str">
        <f>SUBSTITUTE(IFERROR(INDEX(_group_[],MATCH(CONCATENATE(_SCHEDULE_[[#This Row],[CONTEST_CODE]],"_",$V$2),_group_[ИД2],0),MATCH($V$1,_group_[#Headers],0)),"---"),".",",")</f>
        <v>---</v>
      </c>
      <c r="W4" s="41" t="str">
        <f>IFERROR(INDEX(_INDICATOR_[],MATCH(_SCHEDULE_[[#This Row],[CONTEST_CODE]],_INDICATOR_[CONTEST_CODE],0),MATCH($W$2,_INDICATOR_[#Headers],0)),"-")</f>
        <v>WAIT</v>
      </c>
      <c r="X4" s="41" t="str">
        <f>IFERROR(INDEX(_group_[],MATCH(_SCHEDULE_[[#This Row],[CONTEST_CODE]],_group_[CONTEST_CODE],0),MATCH($X$2,_group_[#Headers],0)),"-")</f>
        <v>TB</v>
      </c>
      <c r="Y4" s="61" t="str">
        <f>IFERROR(INDEX(_DATA_[],MATCH(_SCHEDULE_[[#This Row],[CONTEST_CODE]],_DATA_[CONTEST_CODE],0),MATCH($Y$2,_DATA_[#Headers],0)),"-")</f>
        <v>Защита Бизнеса 360. Максимизируй комиссию</v>
      </c>
      <c r="Z4" s="41" t="str">
        <f>IFERROR(INDEX(_reward_link_[],MATCH(_SCHEDULE_[[#This Row],[CONTEST_CODE]],_reward_link_[CONTEST_CODE],0),MATCH($Z$2,_reward_link_[#Headers],0)),"-")</f>
        <v>TB</v>
      </c>
      <c r="AA4" s="41" t="str">
        <f>IFERROR(INDEX(_report[],MATCH(_SCHEDULE_[[#This Row],[CONTEST_CODE]],_report[CONTEST_CODE],0),MATCH($AA$2,_report[#Headers],0)),"-")</f>
        <v>-</v>
      </c>
      <c r="AB4"/>
    </row>
    <row r="5" spans="1:28" x14ac:dyDescent="0.25">
      <c r="A5" s="14" t="s">
        <v>3544</v>
      </c>
      <c r="B5" s="14" t="s">
        <v>146</v>
      </c>
      <c r="C5" s="14" t="s">
        <v>3219</v>
      </c>
      <c r="D5" s="14" t="s">
        <v>2542</v>
      </c>
      <c r="E5" s="14" t="s">
        <v>3545</v>
      </c>
      <c r="F5" s="14" t="s">
        <v>194</v>
      </c>
      <c r="G5" s="14" t="s">
        <v>194</v>
      </c>
      <c r="H5" s="14" t="s">
        <v>194</v>
      </c>
      <c r="I5" s="14" t="s">
        <v>194</v>
      </c>
      <c r="J5" s="14" t="s">
        <v>194</v>
      </c>
      <c r="K5" s="14" t="s">
        <v>34</v>
      </c>
      <c r="L5" s="14" t="s">
        <v>2641</v>
      </c>
      <c r="M5" s="14" t="s">
        <v>3596</v>
      </c>
      <c r="N5" s="14" t="s">
        <v>2</v>
      </c>
      <c r="O5" s="14" t="s">
        <v>3546</v>
      </c>
      <c r="P5" s="14" t="s">
        <v>1064</v>
      </c>
      <c r="R5" s="38">
        <f>IFERROR(COUNTIFS(_report[TOURNAMENT_CODE],_SCHEDULE_[[#This Row],[TOURNAMENT_CODE]],_report[CONTEST_CODE],_SCHEDULE_[[#This Row],[CONTEST_CODE]]),"-")</f>
        <v>0</v>
      </c>
      <c r="S5" s="41" t="str">
        <f>SUBSTITUTE(IFERROR(INDEX(_group_[],MATCH(CONCATENATE(_SCHEDULE_[[#This Row],[CONTEST_CODE]],"_",$S$2),_group_[ИД2],0),MATCH($S$1,_group_[#Headers],0)),"---"),".",",")</f>
        <v>BANK</v>
      </c>
      <c r="T5" s="41" t="str">
        <f>SUBSTITUTE(IFERROR(INDEX(_group_[],MATCH(CONCATENATE(_SCHEDULE_[[#This Row],[CONTEST_CODE]],"_",$T$2),_group_[ИД2],0),MATCH($T$1,_group_[#Headers],0)),"---"),".",",")</f>
        <v>---</v>
      </c>
      <c r="U5" s="41" t="str">
        <f>SUBSTITUTE(IFERROR(INDEX(_group_[],MATCH(CONCATENATE(_SCHEDULE_[[#This Row],[CONTEST_CODE]],"_",$U$2),_group_[ИД2],0),MATCH($U$1,_group_[#Headers],0)),"---"),".",",")</f>
        <v>---</v>
      </c>
      <c r="V5" s="41" t="str">
        <f>SUBSTITUTE(IFERROR(INDEX(_group_[],MATCH(CONCATENATE(_SCHEDULE_[[#This Row],[CONTEST_CODE]],"_",$V$2),_group_[ИД2],0),MATCH($V$1,_group_[#Headers],0)),"---"),".",",")</f>
        <v>---</v>
      </c>
      <c r="W5" s="41" t="str">
        <f>IFERROR(INDEX(_INDICATOR_[],MATCH(_SCHEDULE_[[#This Row],[CONTEST_CODE]],_INDICATOR_[CONTEST_CODE],0),MATCH($W$2,_INDICATOR_[#Headers],0)),"-")</f>
        <v>WAIT</v>
      </c>
      <c r="X5" s="41" t="str">
        <f>IFERROR(INDEX(_group_[],MATCH(_SCHEDULE_[[#This Row],[CONTEST_CODE]],_group_[CONTEST_CODE],0),MATCH($X$2,_group_[#Headers],0)),"-")</f>
        <v>BANK</v>
      </c>
      <c r="Y5" s="61" t="str">
        <f>IFERROR(INDEX(_DATA_[],MATCH(_SCHEDULE_[[#This Row],[CONTEST_CODE]],_DATA_[CONTEST_CODE],0),MATCH($Y$2,_DATA_[#Headers],0)),"-")</f>
        <v>Загадка Алтая</v>
      </c>
      <c r="Z5" s="41" t="str">
        <f>IFERROR(INDEX(_reward_link_[],MATCH(_SCHEDULE_[[#This Row],[CONTEST_CODE]],_reward_link_[CONTEST_CODE],0),MATCH($Z$2,_reward_link_[#Headers],0)),"-")</f>
        <v>BANK</v>
      </c>
      <c r="AA5" s="41" t="str">
        <f>IFERROR(INDEX(_report[],MATCH(_SCHEDULE_[[#This Row],[CONTEST_CODE]],_report[CONTEST_CODE],0),MATCH($AA$2,_report[#Headers],0)),"-")</f>
        <v>-</v>
      </c>
      <c r="AB5"/>
    </row>
    <row r="6" spans="1:28" hidden="1" x14ac:dyDescent="0.25">
      <c r="A6" s="14" t="s">
        <v>3547</v>
      </c>
      <c r="B6" s="14" t="s">
        <v>146</v>
      </c>
      <c r="C6" s="14" t="s">
        <v>3219</v>
      </c>
      <c r="D6" s="14" t="s">
        <v>2542</v>
      </c>
      <c r="E6" s="14" t="s">
        <v>3545</v>
      </c>
      <c r="F6" s="14" t="s">
        <v>194</v>
      </c>
      <c r="G6" s="14" t="s">
        <v>194</v>
      </c>
      <c r="H6" s="14" t="s">
        <v>194</v>
      </c>
      <c r="I6" s="14" t="s">
        <v>194</v>
      </c>
      <c r="J6" s="14" t="s">
        <v>194</v>
      </c>
      <c r="K6" s="14" t="s">
        <v>155</v>
      </c>
      <c r="L6" s="14" t="s">
        <v>2266</v>
      </c>
      <c r="M6" s="14" t="s">
        <v>3597</v>
      </c>
      <c r="N6" s="14" t="s">
        <v>2</v>
      </c>
      <c r="O6" s="14" t="s">
        <v>3548</v>
      </c>
      <c r="P6" s="14" t="s">
        <v>1064</v>
      </c>
      <c r="R6" s="38">
        <f>IFERROR(COUNTIFS(_report[TOURNAMENT_CODE],_SCHEDULE_[[#This Row],[TOURNAMENT_CODE]],_report[CONTEST_CODE],_SCHEDULE_[[#This Row],[CONTEST_CODE]]),"-")</f>
        <v>0</v>
      </c>
      <c r="S6" s="41" t="str">
        <f>SUBSTITUTE(IFERROR(INDEX(_group_[],MATCH(CONCATENATE(_SCHEDULE_[[#This Row],[CONTEST_CODE]],"_",$S$2),_group_[ИД2],0),MATCH($S$1,_group_[#Headers],0)),"---"),".",",")</f>
        <v>BANK</v>
      </c>
      <c r="T6" s="41" t="str">
        <f>SUBSTITUTE(IFERROR(INDEX(_group_[],MATCH(CONCATENATE(_SCHEDULE_[[#This Row],[CONTEST_CODE]],"_",$T$2),_group_[ИД2],0),MATCH($T$1,_group_[#Headers],0)),"---"),".",",")</f>
        <v>---</v>
      </c>
      <c r="U6" s="41" t="str">
        <f>SUBSTITUTE(IFERROR(INDEX(_group_[],MATCH(CONCATENATE(_SCHEDULE_[[#This Row],[CONTEST_CODE]],"_",$U$2),_group_[ИД2],0),MATCH($U$1,_group_[#Headers],0)),"---"),".",",")</f>
        <v>---</v>
      </c>
      <c r="V6" s="41" t="str">
        <f>SUBSTITUTE(IFERROR(INDEX(_group_[],MATCH(CONCATENATE(_SCHEDULE_[[#This Row],[CONTEST_CODE]],"_",$V$2),_group_[ИД2],0),MATCH($V$1,_group_[#Headers],0)),"---"),".",",")</f>
        <v>---</v>
      </c>
      <c r="W6" s="41" t="str">
        <f>IFERROR(INDEX(_INDICATOR_[],MATCH(_SCHEDULE_[[#This Row],[CONTEST_CODE]],_INDICATOR_[CONTEST_CODE],0),MATCH($W$2,_INDICATOR_[#Headers],0)),"-")</f>
        <v>WAIT</v>
      </c>
      <c r="X6" s="41" t="str">
        <f>IFERROR(INDEX(_group_[],MATCH(_SCHEDULE_[[#This Row],[CONTEST_CODE]],_group_[CONTEST_CODE],0),MATCH($X$2,_group_[#Headers],0)),"-")</f>
        <v>BANK</v>
      </c>
      <c r="Y6" s="61" t="str">
        <f>IFERROR(INDEX(_DATA_[],MATCH(_SCHEDULE_[[#This Row],[CONTEST_CODE]],_DATA_[CONTEST_CODE],0),MATCH($Y$2,_DATA_[#Headers],0)),"-")</f>
        <v>Ралли брокера</v>
      </c>
      <c r="Z6" s="41" t="str">
        <f>IFERROR(INDEX(_reward_link_[],MATCH(_SCHEDULE_[[#This Row],[CONTEST_CODE]],_reward_link_[CONTEST_CODE],0),MATCH($Z$2,_reward_link_[#Headers],0)),"-")</f>
        <v>BANK</v>
      </c>
      <c r="AA6" s="41" t="str">
        <f>IFERROR(INDEX(_report[],MATCH(_SCHEDULE_[[#This Row],[CONTEST_CODE]],_report[CONTEST_CODE],0),MATCH($AA$2,_report[#Headers],0)),"-")</f>
        <v>-</v>
      </c>
      <c r="AB6"/>
    </row>
    <row r="7" spans="1:28" hidden="1" x14ac:dyDescent="0.25">
      <c r="A7" s="14" t="s">
        <v>2924</v>
      </c>
      <c r="B7" s="14" t="s">
        <v>2533</v>
      </c>
      <c r="C7" s="14" t="s">
        <v>2508</v>
      </c>
      <c r="D7" s="14" t="s">
        <v>2534</v>
      </c>
      <c r="E7" s="14" t="s">
        <v>2535</v>
      </c>
      <c r="F7" s="14" t="s">
        <v>194</v>
      </c>
      <c r="G7" s="14" t="s">
        <v>194</v>
      </c>
      <c r="H7" s="14" t="s">
        <v>194</v>
      </c>
      <c r="I7" s="14" t="s">
        <v>194</v>
      </c>
      <c r="J7" s="14" t="s">
        <v>194</v>
      </c>
      <c r="K7" s="14" t="s">
        <v>155</v>
      </c>
      <c r="L7" s="14" t="s">
        <v>2641</v>
      </c>
      <c r="M7" s="14" t="s">
        <v>3596</v>
      </c>
      <c r="N7" s="14" t="s">
        <v>2</v>
      </c>
      <c r="O7" s="14" t="s">
        <v>2925</v>
      </c>
      <c r="P7" s="14" t="s">
        <v>1064</v>
      </c>
      <c r="R7" s="38">
        <f>IFERROR(COUNTIFS(_report[TOURNAMENT_CODE],_SCHEDULE_[[#This Row],[TOURNAMENT_CODE]],_report[CONTEST_CODE],_SCHEDULE_[[#This Row],[CONTEST_CODE]]),"-")</f>
        <v>0</v>
      </c>
      <c r="S7" s="41" t="str">
        <f>SUBSTITUTE(IFERROR(INDEX(_group_[],MATCH(CONCATENATE(_SCHEDULE_[[#This Row],[CONTEST_CODE]],"_",$S$2),_group_[ИД2],0),MATCH($S$1,_group_[#Headers],0)),"---"),".",",")</f>
        <v>BANK</v>
      </c>
      <c r="T7" s="41" t="str">
        <f>SUBSTITUTE(IFERROR(INDEX(_group_[],MATCH(CONCATENATE(_SCHEDULE_[[#This Row],[CONTEST_CODE]],"_",$T$2),_group_[ИД2],0),MATCH($T$1,_group_[#Headers],0)),"---"),".",",")</f>
        <v>---</v>
      </c>
      <c r="U7" s="41" t="str">
        <f>SUBSTITUTE(IFERROR(INDEX(_group_[],MATCH(CONCATENATE(_SCHEDULE_[[#This Row],[CONTEST_CODE]],"_",$U$2),_group_[ИД2],0),MATCH($U$1,_group_[#Headers],0)),"---"),".",",")</f>
        <v>---</v>
      </c>
      <c r="V7" s="41" t="str">
        <f>SUBSTITUTE(IFERROR(INDEX(_group_[],MATCH(CONCATENATE(_SCHEDULE_[[#This Row],[CONTEST_CODE]],"_",$V$2),_group_[ИД2],0),MATCH($V$1,_group_[#Headers],0)),"---"),".",",")</f>
        <v>---</v>
      </c>
      <c r="W7" s="41" t="str">
        <f>IFERROR(INDEX(_INDICATOR_[],MATCH(_SCHEDULE_[[#This Row],[CONTEST_CODE]],_INDICATOR_[CONTEST_CODE],0),MATCH($W$2,_INDICATOR_[#Headers],0)),"-")</f>
        <v>WAIT</v>
      </c>
      <c r="X7" s="41" t="str">
        <f>IFERROR(INDEX(_group_[],MATCH(_SCHEDULE_[[#This Row],[CONTEST_CODE]],_group_[CONTEST_CODE],0),MATCH($X$2,_group_[#Headers],0)),"-")</f>
        <v>BANK</v>
      </c>
      <c r="Y7" s="61" t="str">
        <f>IFERROR(INDEX(_DATA_[],MATCH(_SCHEDULE_[[#This Row],[CONTEST_CODE]],_DATA_[CONTEST_CODE],0),MATCH($Y$2,_DATA_[#Headers],0)),"-")</f>
        <v>Загадка Алтая</v>
      </c>
      <c r="Z7" s="41" t="str">
        <f>IFERROR(INDEX(_reward_link_[],MATCH(_SCHEDULE_[[#This Row],[CONTEST_CODE]],_reward_link_[CONTEST_CODE],0),MATCH($Z$2,_reward_link_[#Headers],0)),"-")</f>
        <v>BANK</v>
      </c>
      <c r="AA7" s="41" t="str">
        <f>IFERROR(INDEX(_report[],MATCH(_SCHEDULE_[[#This Row],[CONTEST_CODE]],_report[CONTEST_CODE],0),MATCH($AA$2,_report[#Headers],0)),"-")</f>
        <v>-</v>
      </c>
      <c r="AB7"/>
    </row>
    <row r="8" spans="1:28" hidden="1" x14ac:dyDescent="0.25">
      <c r="A8" s="14" t="s">
        <v>2589</v>
      </c>
      <c r="B8" s="14" t="s">
        <v>2533</v>
      </c>
      <c r="C8" s="14" t="s">
        <v>2508</v>
      </c>
      <c r="D8" s="14" t="s">
        <v>2534</v>
      </c>
      <c r="E8" s="14" t="s">
        <v>2554</v>
      </c>
      <c r="F8" s="14" t="s">
        <v>194</v>
      </c>
      <c r="G8" s="14" t="s">
        <v>194</v>
      </c>
      <c r="H8" s="14" t="s">
        <v>194</v>
      </c>
      <c r="I8" s="14" t="s">
        <v>194</v>
      </c>
      <c r="J8" s="14" t="s">
        <v>194</v>
      </c>
      <c r="K8" s="14" t="s">
        <v>155</v>
      </c>
      <c r="L8" s="14" t="s">
        <v>2266</v>
      </c>
      <c r="M8" s="14" t="s">
        <v>3597</v>
      </c>
      <c r="N8" s="14" t="s">
        <v>2</v>
      </c>
      <c r="O8" s="14" t="s">
        <v>2590</v>
      </c>
      <c r="P8" s="14" t="s">
        <v>1064</v>
      </c>
      <c r="R8" s="38">
        <f>IFERROR(COUNTIFS(_report[TOURNAMENT_CODE],_SCHEDULE_[[#This Row],[TOURNAMENT_CODE]],_report[CONTEST_CODE],_SCHEDULE_[[#This Row],[CONTEST_CODE]]),"-")</f>
        <v>0</v>
      </c>
      <c r="S8" s="41" t="str">
        <f>SUBSTITUTE(IFERROR(INDEX(_group_[],MATCH(CONCATENATE(_SCHEDULE_[[#This Row],[CONTEST_CODE]],"_",$S$2),_group_[ИД2],0),MATCH($S$1,_group_[#Headers],0)),"---"),".",",")</f>
        <v>BANK</v>
      </c>
      <c r="T8" s="41" t="str">
        <f>SUBSTITUTE(IFERROR(INDEX(_group_[],MATCH(CONCATENATE(_SCHEDULE_[[#This Row],[CONTEST_CODE]],"_",$T$2),_group_[ИД2],0),MATCH($T$1,_group_[#Headers],0)),"---"),".",",")</f>
        <v>---</v>
      </c>
      <c r="U8" s="41" t="str">
        <f>SUBSTITUTE(IFERROR(INDEX(_group_[],MATCH(CONCATENATE(_SCHEDULE_[[#This Row],[CONTEST_CODE]],"_",$U$2),_group_[ИД2],0),MATCH($U$1,_group_[#Headers],0)),"---"),".",",")</f>
        <v>---</v>
      </c>
      <c r="V8" s="41" t="str">
        <f>SUBSTITUTE(IFERROR(INDEX(_group_[],MATCH(CONCATENATE(_SCHEDULE_[[#This Row],[CONTEST_CODE]],"_",$V$2),_group_[ИД2],0),MATCH($V$1,_group_[#Headers],0)),"---"),".",",")</f>
        <v>---</v>
      </c>
      <c r="W8" s="41" t="str">
        <f>IFERROR(INDEX(_INDICATOR_[],MATCH(_SCHEDULE_[[#This Row],[CONTEST_CODE]],_INDICATOR_[CONTEST_CODE],0),MATCH($W$2,_INDICATOR_[#Headers],0)),"-")</f>
        <v>WAIT</v>
      </c>
      <c r="X8" s="41" t="str">
        <f>IFERROR(INDEX(_group_[],MATCH(_SCHEDULE_[[#This Row],[CONTEST_CODE]],_group_[CONTEST_CODE],0),MATCH($X$2,_group_[#Headers],0)),"-")</f>
        <v>BANK</v>
      </c>
      <c r="Y8" s="61" t="str">
        <f>IFERROR(INDEX(_DATA_[],MATCH(_SCHEDULE_[[#This Row],[CONTEST_CODE]],_DATA_[CONTEST_CODE],0),MATCH($Y$2,_DATA_[#Headers],0)),"-")</f>
        <v>Ралли брокера</v>
      </c>
      <c r="Z8" s="41" t="str">
        <f>IFERROR(INDEX(_reward_link_[],MATCH(_SCHEDULE_[[#This Row],[CONTEST_CODE]],_reward_link_[CONTEST_CODE],0),MATCH($Z$2,_reward_link_[#Headers],0)),"-")</f>
        <v>BANK</v>
      </c>
      <c r="AA8" s="41" t="str">
        <f>IFERROR(INDEX(_report[],MATCH(_SCHEDULE_[[#This Row],[CONTEST_CODE]],_report[CONTEST_CODE],0),MATCH($AA$2,_report[#Headers],0)),"-")</f>
        <v>-</v>
      </c>
      <c r="AB8"/>
    </row>
    <row r="9" spans="1:28" hidden="1" x14ac:dyDescent="0.25">
      <c r="A9" s="14" t="s">
        <v>145</v>
      </c>
      <c r="B9" s="14" t="s">
        <v>146</v>
      </c>
      <c r="C9" s="14" t="s">
        <v>147</v>
      </c>
      <c r="D9" s="14" t="s">
        <v>642</v>
      </c>
      <c r="E9" s="14" t="s">
        <v>1987</v>
      </c>
      <c r="F9" s="14" t="s">
        <v>194</v>
      </c>
      <c r="G9" s="14" t="s">
        <v>194</v>
      </c>
      <c r="H9" s="14" t="s">
        <v>194</v>
      </c>
      <c r="I9" s="14" t="s">
        <v>194</v>
      </c>
      <c r="J9" s="14" t="s">
        <v>194</v>
      </c>
      <c r="K9" s="14" t="s">
        <v>176</v>
      </c>
      <c r="L9" s="14" t="s">
        <v>33</v>
      </c>
      <c r="M9" s="14" t="s">
        <v>3598</v>
      </c>
      <c r="N9" s="14" t="s">
        <v>314</v>
      </c>
      <c r="O9" s="14" t="s">
        <v>1473</v>
      </c>
      <c r="P9" s="14" t="s">
        <v>1064</v>
      </c>
      <c r="R9" s="38">
        <f>IFERROR(COUNTIFS(_report[TOURNAMENT_CODE],_SCHEDULE_[[#This Row],[TOURNAMENT_CODE]],_report[CONTEST_CODE],_SCHEDULE_[[#This Row],[CONTEST_CODE]]),"-")</f>
        <v>0</v>
      </c>
      <c r="S9" s="41" t="str">
        <f>SUBSTITUTE(IFERROR(INDEX(_group_[],MATCH(CONCATENATE(_SCHEDULE_[[#This Row],[CONTEST_CODE]],"_",$S$2),_group_[ИД2],0),MATCH($S$1,_group_[#Headers],0)),"---"),".",",")</f>
        <v>BANK</v>
      </c>
      <c r="T9" s="41" t="str">
        <f>SUBSTITUTE(IFERROR(INDEX(_group_[],MATCH(CONCATENATE(_SCHEDULE_[[#This Row],[CONTEST_CODE]],"_",$T$2),_group_[ИД2],0),MATCH($T$1,_group_[#Headers],0)),"---"),".",",")</f>
        <v>---</v>
      </c>
      <c r="U9" s="41" t="str">
        <f>SUBSTITUTE(IFERROR(INDEX(_group_[],MATCH(CONCATENATE(_SCHEDULE_[[#This Row],[CONTEST_CODE]],"_",$U$2),_group_[ИД2],0),MATCH($U$1,_group_[#Headers],0)),"---"),".",",")</f>
        <v>---</v>
      </c>
      <c r="V9" s="41" t="str">
        <f>SUBSTITUTE(IFERROR(INDEX(_group_[],MATCH(CONCATENATE(_SCHEDULE_[[#This Row],[CONTEST_CODE]],"_",$V$2),_group_[ИД2],0),MATCH($V$1,_group_[#Headers],0)),"---"),".",",")</f>
        <v>---</v>
      </c>
      <c r="W9" s="41" t="str">
        <f>IFERROR(INDEX(_INDICATOR_[],MATCH(_SCHEDULE_[[#This Row],[CONTEST_CODE]],_INDICATOR_[CONTEST_CODE],0),MATCH($W$2,_INDICATOR_[#Headers],0)),"-")</f>
        <v>INCOME</v>
      </c>
      <c r="X9" s="41" t="str">
        <f>IFERROR(INDEX(_group_[],MATCH(_SCHEDULE_[[#This Row],[CONTEST_CODE]],_group_[CONTEST_CODE],0),MATCH($X$2,_group_[#Headers],0)),"-")</f>
        <v>BANK</v>
      </c>
      <c r="Y9" s="61" t="str">
        <f>IFERROR(INDEX(_DATA_[],MATCH(_SCHEDULE_[[#This Row],[CONTEST_CODE]],_DATA_[CONTEST_CODE],0),MATCH($Y$2,_DATA_[#Headers],0)),"-")</f>
        <v>Индия накопи 100</v>
      </c>
      <c r="Z9" s="41" t="str">
        <f>IFERROR(INDEX(_reward_link_[],MATCH(_SCHEDULE_[[#This Row],[CONTEST_CODE]],_reward_link_[CONTEST_CODE],0),MATCH($Z$2,_reward_link_[#Headers],0)),"-")</f>
        <v>BANK</v>
      </c>
      <c r="AA9" s="41" t="str">
        <f>IFERROR(INDEX(_report[],MATCH(_SCHEDULE_[[#This Row],[CONTEST_CODE]],_report[CONTEST_CODE],0),MATCH($AA$2,_report[#Headers],0)),"-")</f>
        <v>-</v>
      </c>
      <c r="AB9"/>
    </row>
    <row r="10" spans="1:28" hidden="1" x14ac:dyDescent="0.25">
      <c r="A10" s="14" t="s">
        <v>148</v>
      </c>
      <c r="B10" s="14" t="s">
        <v>146</v>
      </c>
      <c r="C10" s="14" t="s">
        <v>147</v>
      </c>
      <c r="D10" s="14" t="s">
        <v>642</v>
      </c>
      <c r="E10" s="14" t="s">
        <v>1987</v>
      </c>
      <c r="F10" s="14" t="s">
        <v>194</v>
      </c>
      <c r="G10" s="14" t="s">
        <v>194</v>
      </c>
      <c r="H10" s="14" t="s">
        <v>194</v>
      </c>
      <c r="I10" s="14" t="s">
        <v>194</v>
      </c>
      <c r="J10" s="14" t="s">
        <v>194</v>
      </c>
      <c r="K10" s="14" t="s">
        <v>176</v>
      </c>
      <c r="L10" s="14" t="s">
        <v>37</v>
      </c>
      <c r="M10" s="14" t="s">
        <v>3598</v>
      </c>
      <c r="N10" s="14" t="s">
        <v>314</v>
      </c>
      <c r="O10" s="14" t="s">
        <v>1474</v>
      </c>
      <c r="P10" s="14" t="s">
        <v>1064</v>
      </c>
      <c r="R10" s="38">
        <f>IFERROR(COUNTIFS(_report[TOURNAMENT_CODE],_SCHEDULE_[[#This Row],[TOURNAMENT_CODE]],_report[CONTEST_CODE],_SCHEDULE_[[#This Row],[CONTEST_CODE]]),"-")</f>
        <v>0</v>
      </c>
      <c r="S10" s="41" t="str">
        <f>SUBSTITUTE(IFERROR(INDEX(_group_[],MATCH(CONCATENATE(_SCHEDULE_[[#This Row],[CONTEST_CODE]],"_",$S$2),_group_[ИД2],0),MATCH($S$1,_group_[#Headers],0)),"---"),".",",")</f>
        <v>BANK</v>
      </c>
      <c r="T10" s="41" t="str">
        <f>SUBSTITUTE(IFERROR(INDEX(_group_[],MATCH(CONCATENATE(_SCHEDULE_[[#This Row],[CONTEST_CODE]],"_",$T$2),_group_[ИД2],0),MATCH($T$1,_group_[#Headers],0)),"---"),".",",")</f>
        <v>---</v>
      </c>
      <c r="U10" s="41" t="str">
        <f>SUBSTITUTE(IFERROR(INDEX(_group_[],MATCH(CONCATENATE(_SCHEDULE_[[#This Row],[CONTEST_CODE]],"_",$U$2),_group_[ИД2],0),MATCH($U$1,_group_[#Headers],0)),"---"),".",",")</f>
        <v>---</v>
      </c>
      <c r="V10" s="41" t="str">
        <f>SUBSTITUTE(IFERROR(INDEX(_group_[],MATCH(CONCATENATE(_SCHEDULE_[[#This Row],[CONTEST_CODE]],"_",$V$2),_group_[ИД2],0),MATCH($V$1,_group_[#Headers],0)),"---"),".",",")</f>
        <v>---</v>
      </c>
      <c r="W10" s="41" t="str">
        <f>IFERROR(INDEX(_INDICATOR_[],MATCH(_SCHEDULE_[[#This Row],[CONTEST_CODE]],_INDICATOR_[CONTEST_CODE],0),MATCH($W$2,_INDICATOR_[#Headers],0)),"-")</f>
        <v>INCOME</v>
      </c>
      <c r="X10" s="41" t="str">
        <f>IFERROR(INDEX(_group_[],MATCH(_SCHEDULE_[[#This Row],[CONTEST_CODE]],_group_[CONTEST_CODE],0),MATCH($X$2,_group_[#Headers],0)),"-")</f>
        <v>BANK</v>
      </c>
      <c r="Y10" s="61" t="str">
        <f>IFERROR(INDEX(_DATA_[],MATCH(_SCHEDULE_[[#This Row],[CONTEST_CODE]],_DATA_[CONTEST_CODE],0),MATCH($Y$2,_DATA_[#Headers],0)),"-")</f>
        <v>Индия накопи 500</v>
      </c>
      <c r="Z10" s="41" t="str">
        <f>IFERROR(INDEX(_reward_link_[],MATCH(_SCHEDULE_[[#This Row],[CONTEST_CODE]],_reward_link_[CONTEST_CODE],0),MATCH($Z$2,_reward_link_[#Headers],0)),"-")</f>
        <v>BANK</v>
      </c>
      <c r="AA10" s="41" t="str">
        <f>IFERROR(INDEX(_report[],MATCH(_SCHEDULE_[[#This Row],[CONTEST_CODE]],_report[CONTEST_CODE],0),MATCH($AA$2,_report[#Headers],0)),"-")</f>
        <v>-</v>
      </c>
      <c r="AB10"/>
    </row>
    <row r="11" spans="1:28" hidden="1" x14ac:dyDescent="0.25">
      <c r="A11" s="14" t="s">
        <v>149</v>
      </c>
      <c r="B11" s="14" t="s">
        <v>146</v>
      </c>
      <c r="C11" s="14" t="s">
        <v>147</v>
      </c>
      <c r="D11" s="14" t="s">
        <v>642</v>
      </c>
      <c r="E11" s="14" t="s">
        <v>1987</v>
      </c>
      <c r="F11" s="14" t="s">
        <v>194</v>
      </c>
      <c r="G11" s="14" t="s">
        <v>194</v>
      </c>
      <c r="H11" s="14" t="s">
        <v>194</v>
      </c>
      <c r="I11" s="14" t="s">
        <v>194</v>
      </c>
      <c r="J11" s="14" t="s">
        <v>194</v>
      </c>
      <c r="K11" s="14" t="s">
        <v>176</v>
      </c>
      <c r="L11" s="14" t="s">
        <v>39</v>
      </c>
      <c r="M11" s="14" t="s">
        <v>3598</v>
      </c>
      <c r="N11" s="14" t="s">
        <v>314</v>
      </c>
      <c r="O11" s="14" t="s">
        <v>1475</v>
      </c>
      <c r="P11" s="14" t="s">
        <v>1064</v>
      </c>
      <c r="R11" s="38">
        <f>IFERROR(COUNTIFS(_report[TOURNAMENT_CODE],_SCHEDULE_[[#This Row],[TOURNAMENT_CODE]],_report[CONTEST_CODE],_SCHEDULE_[[#This Row],[CONTEST_CODE]]),"-")</f>
        <v>0</v>
      </c>
      <c r="S11" s="41" t="str">
        <f>SUBSTITUTE(IFERROR(INDEX(_group_[],MATCH(CONCATENATE(_SCHEDULE_[[#This Row],[CONTEST_CODE]],"_",$S$2),_group_[ИД2],0),MATCH($S$1,_group_[#Headers],0)),"---"),".",",")</f>
        <v>BANK</v>
      </c>
      <c r="T11" s="41" t="str">
        <f>SUBSTITUTE(IFERROR(INDEX(_group_[],MATCH(CONCATENATE(_SCHEDULE_[[#This Row],[CONTEST_CODE]],"_",$T$2),_group_[ИД2],0),MATCH($T$1,_group_[#Headers],0)),"---"),".",",")</f>
        <v>---</v>
      </c>
      <c r="U11" s="41" t="str">
        <f>SUBSTITUTE(IFERROR(INDEX(_group_[],MATCH(CONCATENATE(_SCHEDULE_[[#This Row],[CONTEST_CODE]],"_",$U$2),_group_[ИД2],0),MATCH($U$1,_group_[#Headers],0)),"---"),".",",")</f>
        <v>---</v>
      </c>
      <c r="V11" s="41" t="str">
        <f>SUBSTITUTE(IFERROR(INDEX(_group_[],MATCH(CONCATENATE(_SCHEDULE_[[#This Row],[CONTEST_CODE]],"_",$V$2),_group_[ИД2],0),MATCH($V$1,_group_[#Headers],0)),"---"),".",",")</f>
        <v>---</v>
      </c>
      <c r="W11" s="41" t="str">
        <f>IFERROR(INDEX(_INDICATOR_[],MATCH(_SCHEDULE_[[#This Row],[CONTEST_CODE]],_INDICATOR_[CONTEST_CODE],0),MATCH($W$2,_INDICATOR_[#Headers],0)),"-")</f>
        <v>INCOME</v>
      </c>
      <c r="X11" s="41" t="str">
        <f>IFERROR(INDEX(_group_[],MATCH(_SCHEDULE_[[#This Row],[CONTEST_CODE]],_group_[CONTEST_CODE],0),MATCH($X$2,_group_[#Headers],0)),"-")</f>
        <v>BANK</v>
      </c>
      <c r="Y11" s="61" t="str">
        <f>IFERROR(INDEX(_DATA_[],MATCH(_SCHEDULE_[[#This Row],[CONTEST_CODE]],_DATA_[CONTEST_CODE],0),MATCH($Y$2,_DATA_[#Headers],0)),"-")</f>
        <v>Индия накопи 3000</v>
      </c>
      <c r="Z11" s="41" t="str">
        <f>IFERROR(INDEX(_reward_link_[],MATCH(_SCHEDULE_[[#This Row],[CONTEST_CODE]],_reward_link_[CONTEST_CODE],0),MATCH($Z$2,_reward_link_[#Headers],0)),"-")</f>
        <v>BANK</v>
      </c>
      <c r="AA11" s="41" t="str">
        <f>IFERROR(INDEX(_report[],MATCH(_SCHEDULE_[[#This Row],[CONTEST_CODE]],_report[CONTEST_CODE],0),MATCH($AA$2,_report[#Headers],0)),"-")</f>
        <v>-</v>
      </c>
      <c r="AB11"/>
    </row>
    <row r="12" spans="1:28" hidden="1" x14ac:dyDescent="0.25">
      <c r="A12" s="14" t="s">
        <v>150</v>
      </c>
      <c r="B12" s="14" t="s">
        <v>146</v>
      </c>
      <c r="C12" s="14" t="s">
        <v>147</v>
      </c>
      <c r="D12" s="14" t="s">
        <v>642</v>
      </c>
      <c r="E12" s="14" t="s">
        <v>1987</v>
      </c>
      <c r="F12" s="14" t="s">
        <v>194</v>
      </c>
      <c r="G12" s="14" t="s">
        <v>194</v>
      </c>
      <c r="H12" s="14" t="s">
        <v>194</v>
      </c>
      <c r="I12" s="14" t="s">
        <v>194</v>
      </c>
      <c r="J12" s="14" t="s">
        <v>194</v>
      </c>
      <c r="K12" s="14" t="s">
        <v>176</v>
      </c>
      <c r="L12" s="14" t="s">
        <v>41</v>
      </c>
      <c r="M12" s="14" t="s">
        <v>3598</v>
      </c>
      <c r="N12" s="14" t="s">
        <v>314</v>
      </c>
      <c r="O12" s="14" t="s">
        <v>1476</v>
      </c>
      <c r="P12" s="14" t="s">
        <v>1064</v>
      </c>
      <c r="R12" s="38">
        <f>IFERROR(COUNTIFS(_report[TOURNAMENT_CODE],_SCHEDULE_[[#This Row],[TOURNAMENT_CODE]],_report[CONTEST_CODE],_SCHEDULE_[[#This Row],[CONTEST_CODE]]),"-")</f>
        <v>0</v>
      </c>
      <c r="S12" s="41" t="str">
        <f>SUBSTITUTE(IFERROR(INDEX(_group_[],MATCH(CONCATENATE(_SCHEDULE_[[#This Row],[CONTEST_CODE]],"_",$S$2),_group_[ИД2],0),MATCH($S$1,_group_[#Headers],0)),"---"),".",",")</f>
        <v>BANK</v>
      </c>
      <c r="T12" s="41" t="str">
        <f>SUBSTITUTE(IFERROR(INDEX(_group_[],MATCH(CONCATENATE(_SCHEDULE_[[#This Row],[CONTEST_CODE]],"_",$T$2),_group_[ИД2],0),MATCH($T$1,_group_[#Headers],0)),"---"),".",",")</f>
        <v>---</v>
      </c>
      <c r="U12" s="41" t="str">
        <f>SUBSTITUTE(IFERROR(INDEX(_group_[],MATCH(CONCATENATE(_SCHEDULE_[[#This Row],[CONTEST_CODE]],"_",$U$2),_group_[ИД2],0),MATCH($U$1,_group_[#Headers],0)),"---"),".",",")</f>
        <v>---</v>
      </c>
      <c r="V12" s="41" t="str">
        <f>SUBSTITUTE(IFERROR(INDEX(_group_[],MATCH(CONCATENATE(_SCHEDULE_[[#This Row],[CONTEST_CODE]],"_",$V$2),_group_[ИД2],0),MATCH($V$1,_group_[#Headers],0)),"---"),".",",")</f>
        <v>---</v>
      </c>
      <c r="W12" s="41" t="str">
        <f>IFERROR(INDEX(_INDICATOR_[],MATCH(_SCHEDULE_[[#This Row],[CONTEST_CODE]],_INDICATOR_[CONTEST_CODE],0),MATCH($W$2,_INDICATOR_[#Headers],0)),"-")</f>
        <v>INCOME</v>
      </c>
      <c r="X12" s="41" t="str">
        <f>IFERROR(INDEX(_group_[],MATCH(_SCHEDULE_[[#This Row],[CONTEST_CODE]],_group_[CONTEST_CODE],0),MATCH($X$2,_group_[#Headers],0)),"-")</f>
        <v>BANK</v>
      </c>
      <c r="Y12" s="61" t="str">
        <f>IFERROR(INDEX(_DATA_[],MATCH(_SCHEDULE_[[#This Row],[CONTEST_CODE]],_DATA_[CONTEST_CODE],0),MATCH($Y$2,_DATA_[#Headers],0)),"-")</f>
        <v>Индия накопи 10000</v>
      </c>
      <c r="Z12" s="41" t="str">
        <f>IFERROR(INDEX(_reward_link_[],MATCH(_SCHEDULE_[[#This Row],[CONTEST_CODE]],_reward_link_[CONTEST_CODE],0),MATCH($Z$2,_reward_link_[#Headers],0)),"-")</f>
        <v>BANK</v>
      </c>
      <c r="AA12" s="41" t="str">
        <f>IFERROR(INDEX(_report[],MATCH(_SCHEDULE_[[#This Row],[CONTEST_CODE]],_report[CONTEST_CODE],0),MATCH($AA$2,_report[#Headers],0)),"-")</f>
        <v>-</v>
      </c>
      <c r="AB12"/>
    </row>
    <row r="13" spans="1:28" hidden="1" x14ac:dyDescent="0.25">
      <c r="A13" s="14" t="s">
        <v>151</v>
      </c>
      <c r="B13" s="14" t="s">
        <v>152</v>
      </c>
      <c r="C13" s="14" t="s">
        <v>26</v>
      </c>
      <c r="D13" s="14" t="s">
        <v>153</v>
      </c>
      <c r="E13" s="14" t="s">
        <v>154</v>
      </c>
      <c r="F13" s="14" t="s">
        <v>211</v>
      </c>
      <c r="G13" s="14" t="s">
        <v>212</v>
      </c>
      <c r="H13" s="14" t="s">
        <v>194</v>
      </c>
      <c r="I13" s="14" t="s">
        <v>194</v>
      </c>
      <c r="J13" s="14" t="s">
        <v>1919</v>
      </c>
      <c r="K13" s="14" t="s">
        <v>155</v>
      </c>
      <c r="L13" s="14" t="s">
        <v>43</v>
      </c>
      <c r="M13" s="14" t="s">
        <v>3599</v>
      </c>
      <c r="N13" s="14" t="s">
        <v>314</v>
      </c>
      <c r="O13" s="14" t="s">
        <v>1477</v>
      </c>
      <c r="P13" s="14" t="s">
        <v>1064</v>
      </c>
      <c r="R13" s="38">
        <f>IFERROR(COUNTIFS(_report[TOURNAMENT_CODE],_SCHEDULE_[[#This Row],[TOURNAMENT_CODE]],_report[CONTEST_CODE],_SCHEDULE_[[#This Row],[CONTEST_CODE]]),"-")</f>
        <v>0</v>
      </c>
      <c r="S13" s="41" t="str">
        <f>SUBSTITUTE(IFERROR(INDEX(_group_[],MATCH(CONCATENATE(_SCHEDULE_[[#This Row],[CONTEST_CODE]],"_",$S$2),_group_[ИД2],0),MATCH($S$1,_group_[#Headers],0)),"---"),".",",")</f>
        <v>BANK</v>
      </c>
      <c r="T13" s="41" t="str">
        <f>SUBSTITUTE(IFERROR(INDEX(_group_[],MATCH(CONCATENATE(_SCHEDULE_[[#This Row],[CONTEST_CODE]],"_",$T$2),_group_[ИД2],0),MATCH($T$1,_group_[#Headers],0)),"---"),".",",")</f>
        <v>---</v>
      </c>
      <c r="U13" s="41" t="str">
        <f>SUBSTITUTE(IFERROR(INDEX(_group_[],MATCH(CONCATENATE(_SCHEDULE_[[#This Row],[CONTEST_CODE]],"_",$U$2),_group_[ИД2],0),MATCH($U$1,_group_[#Headers],0)),"---"),".",",")</f>
        <v>---</v>
      </c>
      <c r="V13" s="41" t="str">
        <f>SUBSTITUTE(IFERROR(INDEX(_group_[],MATCH(CONCATENATE(_SCHEDULE_[[#This Row],[CONTEST_CODE]],"_",$V$2),_group_[ИД2],0),MATCH($V$1,_group_[#Headers],0)),"---"),".",",")</f>
        <v>---</v>
      </c>
      <c r="W13" s="41" t="str">
        <f>IFERROR(INDEX(_INDICATOR_[],MATCH(_SCHEDULE_[[#This Row],[CONTEST_CODE]],_INDICATOR_[CONTEST_CODE],0),MATCH($W$2,_INDICATOR_[#Headers],0)),"-")</f>
        <v>INCOME</v>
      </c>
      <c r="X13" s="41" t="str">
        <f>IFERROR(INDEX(_group_[],MATCH(_SCHEDULE_[[#This Row],[CONTEST_CODE]],_group_[CONTEST_CODE],0),MATCH($X$2,_group_[#Headers],0)),"-")</f>
        <v>BANK</v>
      </c>
      <c r="Y13" s="61" t="str">
        <f>IFERROR(INDEX(_DATA_[],MATCH(_SCHEDULE_[[#This Row],[CONTEST_CODE]],_DATA_[CONTEST_CODE],0),MATCH($Y$2,_DATA_[#Headers],0)),"-")</f>
        <v>Индия сделай х2</v>
      </c>
      <c r="Z13" s="41" t="str">
        <f>IFERROR(INDEX(_reward_link_[],MATCH(_SCHEDULE_[[#This Row],[CONTEST_CODE]],_reward_link_[CONTEST_CODE],0),MATCH($Z$2,_reward_link_[#Headers],0)),"-")</f>
        <v>BANK</v>
      </c>
      <c r="AA13" s="41" t="str">
        <f>IFERROR(INDEX(_report[],MATCH(_SCHEDULE_[[#This Row],[CONTEST_CODE]],_report[CONTEST_CODE],0),MATCH($AA$2,_report[#Headers],0)),"-")</f>
        <v>-</v>
      </c>
      <c r="AB13"/>
    </row>
    <row r="14" spans="1:28" hidden="1" x14ac:dyDescent="0.25">
      <c r="A14" s="14" t="s">
        <v>156</v>
      </c>
      <c r="B14" s="14" t="s">
        <v>152</v>
      </c>
      <c r="C14" s="14" t="s">
        <v>157</v>
      </c>
      <c r="D14" s="14" t="s">
        <v>154</v>
      </c>
      <c r="E14" s="14" t="s">
        <v>158</v>
      </c>
      <c r="F14" s="14" t="s">
        <v>26</v>
      </c>
      <c r="G14" s="14" t="s">
        <v>153</v>
      </c>
      <c r="H14" s="14" t="s">
        <v>194</v>
      </c>
      <c r="I14" s="14" t="s">
        <v>194</v>
      </c>
      <c r="J14" s="14" t="s">
        <v>1920</v>
      </c>
      <c r="K14" s="14" t="s">
        <v>155</v>
      </c>
      <c r="L14" s="14" t="s">
        <v>43</v>
      </c>
      <c r="M14" s="14" t="s">
        <v>3599</v>
      </c>
      <c r="N14" s="14" t="s">
        <v>314</v>
      </c>
      <c r="O14" s="14" t="s">
        <v>1478</v>
      </c>
      <c r="P14" s="14" t="s">
        <v>1064</v>
      </c>
      <c r="R14" s="38">
        <f>IFERROR(COUNTIFS(_report[TOURNAMENT_CODE],_SCHEDULE_[[#This Row],[TOURNAMENT_CODE]],_report[CONTEST_CODE],_SCHEDULE_[[#This Row],[CONTEST_CODE]]),"-")</f>
        <v>0</v>
      </c>
      <c r="S14" s="41" t="str">
        <f>SUBSTITUTE(IFERROR(INDEX(_group_[],MATCH(CONCATENATE(_SCHEDULE_[[#This Row],[CONTEST_CODE]],"_",$S$2),_group_[ИД2],0),MATCH($S$1,_group_[#Headers],0)),"---"),".",",")</f>
        <v>BANK</v>
      </c>
      <c r="T14" s="41" t="str">
        <f>SUBSTITUTE(IFERROR(INDEX(_group_[],MATCH(CONCATENATE(_SCHEDULE_[[#This Row],[CONTEST_CODE]],"_",$T$2),_group_[ИД2],0),MATCH($T$1,_group_[#Headers],0)),"---"),".",",")</f>
        <v>---</v>
      </c>
      <c r="U14" s="41" t="str">
        <f>SUBSTITUTE(IFERROR(INDEX(_group_[],MATCH(CONCATENATE(_SCHEDULE_[[#This Row],[CONTEST_CODE]],"_",$U$2),_group_[ИД2],0),MATCH($U$1,_group_[#Headers],0)),"---"),".",",")</f>
        <v>---</v>
      </c>
      <c r="V14" s="41" t="str">
        <f>SUBSTITUTE(IFERROR(INDEX(_group_[],MATCH(CONCATENATE(_SCHEDULE_[[#This Row],[CONTEST_CODE]],"_",$V$2),_group_[ИД2],0),MATCH($V$1,_group_[#Headers],0)),"---"),".",",")</f>
        <v>---</v>
      </c>
      <c r="W14" s="41" t="str">
        <f>IFERROR(INDEX(_INDICATOR_[],MATCH(_SCHEDULE_[[#This Row],[CONTEST_CODE]],_INDICATOR_[CONTEST_CODE],0),MATCH($W$2,_INDICATOR_[#Headers],0)),"-")</f>
        <v>INCOME</v>
      </c>
      <c r="X14" s="41" t="str">
        <f>IFERROR(INDEX(_group_[],MATCH(_SCHEDULE_[[#This Row],[CONTEST_CODE]],_group_[CONTEST_CODE],0),MATCH($X$2,_group_[#Headers],0)),"-")</f>
        <v>BANK</v>
      </c>
      <c r="Y14" s="61" t="str">
        <f>IFERROR(INDEX(_DATA_[],MATCH(_SCHEDULE_[[#This Row],[CONTEST_CODE]],_DATA_[CONTEST_CODE],0),MATCH($Y$2,_DATA_[#Headers],0)),"-")</f>
        <v>Индия сделай х2</v>
      </c>
      <c r="Z14" s="41" t="str">
        <f>IFERROR(INDEX(_reward_link_[],MATCH(_SCHEDULE_[[#This Row],[CONTEST_CODE]],_reward_link_[CONTEST_CODE],0),MATCH($Z$2,_reward_link_[#Headers],0)),"-")</f>
        <v>BANK</v>
      </c>
      <c r="AA14" s="41" t="str">
        <f>IFERROR(INDEX(_report[],MATCH(_SCHEDULE_[[#This Row],[CONTEST_CODE]],_report[CONTEST_CODE],0),MATCH($AA$2,_report[#Headers],0)),"-")</f>
        <v>-</v>
      </c>
      <c r="AB14"/>
    </row>
    <row r="15" spans="1:28" hidden="1" x14ac:dyDescent="0.25">
      <c r="A15" s="14" t="s">
        <v>159</v>
      </c>
      <c r="B15" s="14" t="s">
        <v>152</v>
      </c>
      <c r="C15" s="14" t="s">
        <v>160</v>
      </c>
      <c r="D15" s="14" t="s">
        <v>161</v>
      </c>
      <c r="E15" s="14" t="s">
        <v>162</v>
      </c>
      <c r="F15" s="14" t="s">
        <v>157</v>
      </c>
      <c r="G15" s="14" t="s">
        <v>154</v>
      </c>
      <c r="H15" s="14" t="s">
        <v>194</v>
      </c>
      <c r="I15" s="14" t="s">
        <v>194</v>
      </c>
      <c r="J15" s="14" t="s">
        <v>1921</v>
      </c>
      <c r="K15" s="14" t="s">
        <v>155</v>
      </c>
      <c r="L15" s="14" t="s">
        <v>43</v>
      </c>
      <c r="M15" s="14" t="s">
        <v>3599</v>
      </c>
      <c r="N15" s="14" t="s">
        <v>314</v>
      </c>
      <c r="O15" s="14" t="s">
        <v>1479</v>
      </c>
      <c r="P15" s="14" t="s">
        <v>1064</v>
      </c>
      <c r="R15" s="38">
        <f>IFERROR(COUNTIFS(_report[TOURNAMENT_CODE],_SCHEDULE_[[#This Row],[TOURNAMENT_CODE]],_report[CONTEST_CODE],_SCHEDULE_[[#This Row],[CONTEST_CODE]]),"-")</f>
        <v>0</v>
      </c>
      <c r="S15" s="41" t="str">
        <f>SUBSTITUTE(IFERROR(INDEX(_group_[],MATCH(CONCATENATE(_SCHEDULE_[[#This Row],[CONTEST_CODE]],"_",$S$2),_group_[ИД2],0),MATCH($S$1,_group_[#Headers],0)),"---"),".",",")</f>
        <v>BANK</v>
      </c>
      <c r="T15" s="41" t="str">
        <f>SUBSTITUTE(IFERROR(INDEX(_group_[],MATCH(CONCATENATE(_SCHEDULE_[[#This Row],[CONTEST_CODE]],"_",$T$2),_group_[ИД2],0),MATCH($T$1,_group_[#Headers],0)),"---"),".",",")</f>
        <v>---</v>
      </c>
      <c r="U15" s="41" t="str">
        <f>SUBSTITUTE(IFERROR(INDEX(_group_[],MATCH(CONCATENATE(_SCHEDULE_[[#This Row],[CONTEST_CODE]],"_",$U$2),_group_[ИД2],0),MATCH($U$1,_group_[#Headers],0)),"---"),".",",")</f>
        <v>---</v>
      </c>
      <c r="V15" s="41" t="str">
        <f>SUBSTITUTE(IFERROR(INDEX(_group_[],MATCH(CONCATENATE(_SCHEDULE_[[#This Row],[CONTEST_CODE]],"_",$V$2),_group_[ИД2],0),MATCH($V$1,_group_[#Headers],0)),"---"),".",",")</f>
        <v>---</v>
      </c>
      <c r="W15" s="41" t="str">
        <f>IFERROR(INDEX(_INDICATOR_[],MATCH(_SCHEDULE_[[#This Row],[CONTEST_CODE]],_INDICATOR_[CONTEST_CODE],0),MATCH($W$2,_INDICATOR_[#Headers],0)),"-")</f>
        <v>INCOME</v>
      </c>
      <c r="X15" s="41" t="str">
        <f>IFERROR(INDEX(_group_[],MATCH(_SCHEDULE_[[#This Row],[CONTEST_CODE]],_group_[CONTEST_CODE],0),MATCH($X$2,_group_[#Headers],0)),"-")</f>
        <v>BANK</v>
      </c>
      <c r="Y15" s="61" t="str">
        <f>IFERROR(INDEX(_DATA_[],MATCH(_SCHEDULE_[[#This Row],[CONTEST_CODE]],_DATA_[CONTEST_CODE],0),MATCH($Y$2,_DATA_[#Headers],0)),"-")</f>
        <v>Индия сделай х2</v>
      </c>
      <c r="Z15" s="41" t="str">
        <f>IFERROR(INDEX(_reward_link_[],MATCH(_SCHEDULE_[[#This Row],[CONTEST_CODE]],_reward_link_[CONTEST_CODE],0),MATCH($Z$2,_reward_link_[#Headers],0)),"-")</f>
        <v>BANK</v>
      </c>
      <c r="AA15" s="41" t="str">
        <f>IFERROR(INDEX(_report[],MATCH(_SCHEDULE_[[#This Row],[CONTEST_CODE]],_report[CONTEST_CODE],0),MATCH($AA$2,_report[#Headers],0)),"-")</f>
        <v>-</v>
      </c>
      <c r="AB15"/>
    </row>
    <row r="16" spans="1:28" hidden="1" x14ac:dyDescent="0.25">
      <c r="A16" s="14" t="s">
        <v>163</v>
      </c>
      <c r="B16" s="14" t="s">
        <v>152</v>
      </c>
      <c r="C16" s="14" t="s">
        <v>147</v>
      </c>
      <c r="D16" s="14" t="s">
        <v>164</v>
      </c>
      <c r="E16" s="14" t="s">
        <v>165</v>
      </c>
      <c r="F16" s="14" t="s">
        <v>160</v>
      </c>
      <c r="G16" s="14" t="s">
        <v>161</v>
      </c>
      <c r="H16" s="14" t="s">
        <v>194</v>
      </c>
      <c r="I16" s="14" t="s">
        <v>194</v>
      </c>
      <c r="J16" s="14" t="s">
        <v>1922</v>
      </c>
      <c r="K16" s="14" t="s">
        <v>155</v>
      </c>
      <c r="L16" s="14" t="s">
        <v>43</v>
      </c>
      <c r="M16" s="14" t="s">
        <v>3599</v>
      </c>
      <c r="N16" s="14" t="s">
        <v>314</v>
      </c>
      <c r="O16" s="14" t="s">
        <v>1480</v>
      </c>
      <c r="P16" s="14" t="s">
        <v>1064</v>
      </c>
      <c r="R16" s="38">
        <f>IFERROR(COUNTIFS(_report[TOURNAMENT_CODE],_SCHEDULE_[[#This Row],[TOURNAMENT_CODE]],_report[CONTEST_CODE],_SCHEDULE_[[#This Row],[CONTEST_CODE]]),"-")</f>
        <v>0</v>
      </c>
      <c r="S16" s="41" t="str">
        <f>SUBSTITUTE(IFERROR(INDEX(_group_[],MATCH(CONCATENATE(_SCHEDULE_[[#This Row],[CONTEST_CODE]],"_",$S$2),_group_[ИД2],0),MATCH($S$1,_group_[#Headers],0)),"---"),".",",")</f>
        <v>BANK</v>
      </c>
      <c r="T16" s="41" t="str">
        <f>SUBSTITUTE(IFERROR(INDEX(_group_[],MATCH(CONCATENATE(_SCHEDULE_[[#This Row],[CONTEST_CODE]],"_",$T$2),_group_[ИД2],0),MATCH($T$1,_group_[#Headers],0)),"---"),".",",")</f>
        <v>---</v>
      </c>
      <c r="U16" s="41" t="str">
        <f>SUBSTITUTE(IFERROR(INDEX(_group_[],MATCH(CONCATENATE(_SCHEDULE_[[#This Row],[CONTEST_CODE]],"_",$U$2),_group_[ИД2],0),MATCH($U$1,_group_[#Headers],0)),"---"),".",",")</f>
        <v>---</v>
      </c>
      <c r="V16" s="41" t="str">
        <f>SUBSTITUTE(IFERROR(INDEX(_group_[],MATCH(CONCATENATE(_SCHEDULE_[[#This Row],[CONTEST_CODE]],"_",$V$2),_group_[ИД2],0),MATCH($V$1,_group_[#Headers],0)),"---"),".",",")</f>
        <v>---</v>
      </c>
      <c r="W16" s="41" t="str">
        <f>IFERROR(INDEX(_INDICATOR_[],MATCH(_SCHEDULE_[[#This Row],[CONTEST_CODE]],_INDICATOR_[CONTEST_CODE],0),MATCH($W$2,_INDICATOR_[#Headers],0)),"-")</f>
        <v>INCOME</v>
      </c>
      <c r="X16" s="41" t="str">
        <f>IFERROR(INDEX(_group_[],MATCH(_SCHEDULE_[[#This Row],[CONTEST_CODE]],_group_[CONTEST_CODE],0),MATCH($X$2,_group_[#Headers],0)),"-")</f>
        <v>BANK</v>
      </c>
      <c r="Y16" s="61" t="str">
        <f>IFERROR(INDEX(_DATA_[],MATCH(_SCHEDULE_[[#This Row],[CONTEST_CODE]],_DATA_[CONTEST_CODE],0),MATCH($Y$2,_DATA_[#Headers],0)),"-")</f>
        <v>Индия сделай х2</v>
      </c>
      <c r="Z16" s="41" t="str">
        <f>IFERROR(INDEX(_reward_link_[],MATCH(_SCHEDULE_[[#This Row],[CONTEST_CODE]],_reward_link_[CONTEST_CODE],0),MATCH($Z$2,_reward_link_[#Headers],0)),"-")</f>
        <v>BANK</v>
      </c>
      <c r="AA16" s="41" t="str">
        <f>IFERROR(INDEX(_report[],MATCH(_SCHEDULE_[[#This Row],[CONTEST_CODE]],_report[CONTEST_CODE],0),MATCH($AA$2,_report[#Headers],0)),"-")</f>
        <v>-</v>
      </c>
      <c r="AB16"/>
    </row>
    <row r="17" spans="1:28" hidden="1" x14ac:dyDescent="0.25">
      <c r="A17" s="14" t="s">
        <v>166</v>
      </c>
      <c r="B17" s="14" t="s">
        <v>152</v>
      </c>
      <c r="C17" s="14" t="s">
        <v>76</v>
      </c>
      <c r="D17" s="14" t="s">
        <v>167</v>
      </c>
      <c r="E17" s="14" t="s">
        <v>168</v>
      </c>
      <c r="F17" s="14" t="s">
        <v>147</v>
      </c>
      <c r="G17" s="14" t="s">
        <v>164</v>
      </c>
      <c r="H17" s="14" t="s">
        <v>194</v>
      </c>
      <c r="I17" s="14" t="s">
        <v>194</v>
      </c>
      <c r="J17" s="14" t="s">
        <v>1923</v>
      </c>
      <c r="K17" s="14" t="s">
        <v>155</v>
      </c>
      <c r="L17" s="14" t="s">
        <v>43</v>
      </c>
      <c r="M17" s="14" t="s">
        <v>3599</v>
      </c>
      <c r="N17" s="14" t="s">
        <v>314</v>
      </c>
      <c r="O17" s="14" t="s">
        <v>1481</v>
      </c>
      <c r="P17" s="14" t="s">
        <v>1064</v>
      </c>
      <c r="R17" s="38">
        <f>IFERROR(COUNTIFS(_report[TOURNAMENT_CODE],_SCHEDULE_[[#This Row],[TOURNAMENT_CODE]],_report[CONTEST_CODE],_SCHEDULE_[[#This Row],[CONTEST_CODE]]),"-")</f>
        <v>0</v>
      </c>
      <c r="S17" s="41" t="str">
        <f>SUBSTITUTE(IFERROR(INDEX(_group_[],MATCH(CONCATENATE(_SCHEDULE_[[#This Row],[CONTEST_CODE]],"_",$S$2),_group_[ИД2],0),MATCH($S$1,_group_[#Headers],0)),"---"),".",",")</f>
        <v>BANK</v>
      </c>
      <c r="T17" s="41" t="str">
        <f>SUBSTITUTE(IFERROR(INDEX(_group_[],MATCH(CONCATENATE(_SCHEDULE_[[#This Row],[CONTEST_CODE]],"_",$T$2),_group_[ИД2],0),MATCH($T$1,_group_[#Headers],0)),"---"),".",",")</f>
        <v>---</v>
      </c>
      <c r="U17" s="41" t="str">
        <f>SUBSTITUTE(IFERROR(INDEX(_group_[],MATCH(CONCATENATE(_SCHEDULE_[[#This Row],[CONTEST_CODE]],"_",$U$2),_group_[ИД2],0),MATCH($U$1,_group_[#Headers],0)),"---"),".",",")</f>
        <v>---</v>
      </c>
      <c r="V17" s="41" t="str">
        <f>SUBSTITUTE(IFERROR(INDEX(_group_[],MATCH(CONCATENATE(_SCHEDULE_[[#This Row],[CONTEST_CODE]],"_",$V$2),_group_[ИД2],0),MATCH($V$1,_group_[#Headers],0)),"---"),".",",")</f>
        <v>---</v>
      </c>
      <c r="W17" s="41" t="str">
        <f>IFERROR(INDEX(_INDICATOR_[],MATCH(_SCHEDULE_[[#This Row],[CONTEST_CODE]],_INDICATOR_[CONTEST_CODE],0),MATCH($W$2,_INDICATOR_[#Headers],0)),"-")</f>
        <v>INCOME</v>
      </c>
      <c r="X17" s="41" t="str">
        <f>IFERROR(INDEX(_group_[],MATCH(_SCHEDULE_[[#This Row],[CONTEST_CODE]],_group_[CONTEST_CODE],0),MATCH($X$2,_group_[#Headers],0)),"-")</f>
        <v>BANK</v>
      </c>
      <c r="Y17" s="61" t="str">
        <f>IFERROR(INDEX(_DATA_[],MATCH(_SCHEDULE_[[#This Row],[CONTEST_CODE]],_DATA_[CONTEST_CODE],0),MATCH($Y$2,_DATA_[#Headers],0)),"-")</f>
        <v>Индия сделай х2</v>
      </c>
      <c r="Z17" s="41" t="str">
        <f>IFERROR(INDEX(_reward_link_[],MATCH(_SCHEDULE_[[#This Row],[CONTEST_CODE]],_reward_link_[CONTEST_CODE],0),MATCH($Z$2,_reward_link_[#Headers],0)),"-")</f>
        <v>BANK</v>
      </c>
      <c r="AA17" s="41" t="str">
        <f>IFERROR(INDEX(_report[],MATCH(_SCHEDULE_[[#This Row],[CONTEST_CODE]],_report[CONTEST_CODE],0),MATCH($AA$2,_report[#Headers],0)),"-")</f>
        <v>-</v>
      </c>
      <c r="AB17"/>
    </row>
    <row r="18" spans="1:28" hidden="1" x14ac:dyDescent="0.25">
      <c r="A18" s="14" t="s">
        <v>169</v>
      </c>
      <c r="B18" s="14" t="s">
        <v>152</v>
      </c>
      <c r="C18" s="14" t="s">
        <v>170</v>
      </c>
      <c r="D18" s="14" t="s">
        <v>171</v>
      </c>
      <c r="E18" s="14" t="s">
        <v>172</v>
      </c>
      <c r="F18" s="14" t="s">
        <v>76</v>
      </c>
      <c r="G18" s="14" t="s">
        <v>167</v>
      </c>
      <c r="H18" s="14" t="s">
        <v>194</v>
      </c>
      <c r="I18" s="14" t="s">
        <v>194</v>
      </c>
      <c r="J18" s="14" t="s">
        <v>1924</v>
      </c>
      <c r="K18" s="14" t="s">
        <v>155</v>
      </c>
      <c r="L18" s="14" t="s">
        <v>43</v>
      </c>
      <c r="M18" s="14" t="s">
        <v>3599</v>
      </c>
      <c r="N18" s="14" t="s">
        <v>314</v>
      </c>
      <c r="O18" s="14" t="s">
        <v>1482</v>
      </c>
      <c r="P18" s="14" t="s">
        <v>1064</v>
      </c>
      <c r="R18" s="38">
        <f>IFERROR(COUNTIFS(_report[TOURNAMENT_CODE],_SCHEDULE_[[#This Row],[TOURNAMENT_CODE]],_report[CONTEST_CODE],_SCHEDULE_[[#This Row],[CONTEST_CODE]]),"-")</f>
        <v>0</v>
      </c>
      <c r="S18" s="41" t="str">
        <f>SUBSTITUTE(IFERROR(INDEX(_group_[],MATCH(CONCATENATE(_SCHEDULE_[[#This Row],[CONTEST_CODE]],"_",$S$2),_group_[ИД2],0),MATCH($S$1,_group_[#Headers],0)),"---"),".",",")</f>
        <v>BANK</v>
      </c>
      <c r="T18" s="41" t="str">
        <f>SUBSTITUTE(IFERROR(INDEX(_group_[],MATCH(CONCATENATE(_SCHEDULE_[[#This Row],[CONTEST_CODE]],"_",$T$2),_group_[ИД2],0),MATCH($T$1,_group_[#Headers],0)),"---"),".",",")</f>
        <v>---</v>
      </c>
      <c r="U18" s="41" t="str">
        <f>SUBSTITUTE(IFERROR(INDEX(_group_[],MATCH(CONCATENATE(_SCHEDULE_[[#This Row],[CONTEST_CODE]],"_",$U$2),_group_[ИД2],0),MATCH($U$1,_group_[#Headers],0)),"---"),".",",")</f>
        <v>---</v>
      </c>
      <c r="V18" s="41" t="str">
        <f>SUBSTITUTE(IFERROR(INDEX(_group_[],MATCH(CONCATENATE(_SCHEDULE_[[#This Row],[CONTEST_CODE]],"_",$V$2),_group_[ИД2],0),MATCH($V$1,_group_[#Headers],0)),"---"),".",",")</f>
        <v>---</v>
      </c>
      <c r="W18" s="41" t="str">
        <f>IFERROR(INDEX(_INDICATOR_[],MATCH(_SCHEDULE_[[#This Row],[CONTEST_CODE]],_INDICATOR_[CONTEST_CODE],0),MATCH($W$2,_INDICATOR_[#Headers],0)),"-")</f>
        <v>INCOME</v>
      </c>
      <c r="X18" s="41" t="str">
        <f>IFERROR(INDEX(_group_[],MATCH(_SCHEDULE_[[#This Row],[CONTEST_CODE]],_group_[CONTEST_CODE],0),MATCH($X$2,_group_[#Headers],0)),"-")</f>
        <v>BANK</v>
      </c>
      <c r="Y18" s="61" t="str">
        <f>IFERROR(INDEX(_DATA_[],MATCH(_SCHEDULE_[[#This Row],[CONTEST_CODE]],_DATA_[CONTEST_CODE],0),MATCH($Y$2,_DATA_[#Headers],0)),"-")</f>
        <v>Индия сделай х2</v>
      </c>
      <c r="Z18" s="41" t="str">
        <f>IFERROR(INDEX(_reward_link_[],MATCH(_SCHEDULE_[[#This Row],[CONTEST_CODE]],_reward_link_[CONTEST_CODE],0),MATCH($Z$2,_reward_link_[#Headers],0)),"-")</f>
        <v>BANK</v>
      </c>
      <c r="AA18" s="41" t="str">
        <f>IFERROR(INDEX(_report[],MATCH(_SCHEDULE_[[#This Row],[CONTEST_CODE]],_report[CONTEST_CODE],0),MATCH($AA$2,_report[#Headers],0)),"-")</f>
        <v>-</v>
      </c>
      <c r="AB18"/>
    </row>
    <row r="19" spans="1:28" hidden="1" x14ac:dyDescent="0.25">
      <c r="A19" s="14" t="s">
        <v>173</v>
      </c>
      <c r="B19" s="14" t="s">
        <v>174</v>
      </c>
      <c r="C19" s="14" t="s">
        <v>76</v>
      </c>
      <c r="D19" s="14" t="s">
        <v>167</v>
      </c>
      <c r="E19" s="14" t="s">
        <v>175</v>
      </c>
      <c r="F19" s="14" t="s">
        <v>147</v>
      </c>
      <c r="G19" s="14" t="s">
        <v>164</v>
      </c>
      <c r="H19" s="14" t="s">
        <v>194</v>
      </c>
      <c r="I19" s="14" t="s">
        <v>194</v>
      </c>
      <c r="J19" s="14" t="s">
        <v>1923</v>
      </c>
      <c r="K19" s="14" t="s">
        <v>176</v>
      </c>
      <c r="L19" s="14" t="s">
        <v>43</v>
      </c>
      <c r="M19" s="14" t="s">
        <v>3599</v>
      </c>
      <c r="N19" s="14" t="s">
        <v>314</v>
      </c>
      <c r="O19" s="14" t="s">
        <v>1483</v>
      </c>
      <c r="P19" s="14" t="s">
        <v>1064</v>
      </c>
      <c r="R19" s="38">
        <f>IFERROR(COUNTIFS(_report[TOURNAMENT_CODE],_SCHEDULE_[[#This Row],[TOURNAMENT_CODE]],_report[CONTEST_CODE],_SCHEDULE_[[#This Row],[CONTEST_CODE]]),"-")</f>
        <v>0</v>
      </c>
      <c r="S19" s="41" t="str">
        <f>SUBSTITUTE(IFERROR(INDEX(_group_[],MATCH(CONCATENATE(_SCHEDULE_[[#This Row],[CONTEST_CODE]],"_",$S$2),_group_[ИД2],0),MATCH($S$1,_group_[#Headers],0)),"---"),".",",")</f>
        <v>BANK</v>
      </c>
      <c r="T19" s="41" t="str">
        <f>SUBSTITUTE(IFERROR(INDEX(_group_[],MATCH(CONCATENATE(_SCHEDULE_[[#This Row],[CONTEST_CODE]],"_",$T$2),_group_[ИД2],0),MATCH($T$1,_group_[#Headers],0)),"---"),".",",")</f>
        <v>---</v>
      </c>
      <c r="U19" s="41" t="str">
        <f>SUBSTITUTE(IFERROR(INDEX(_group_[],MATCH(CONCATENATE(_SCHEDULE_[[#This Row],[CONTEST_CODE]],"_",$U$2),_group_[ИД2],0),MATCH($U$1,_group_[#Headers],0)),"---"),".",",")</f>
        <v>---</v>
      </c>
      <c r="V19" s="41" t="str">
        <f>SUBSTITUTE(IFERROR(INDEX(_group_[],MATCH(CONCATENATE(_SCHEDULE_[[#This Row],[CONTEST_CODE]],"_",$V$2),_group_[ИД2],0),MATCH($V$1,_group_[#Headers],0)),"---"),".",",")</f>
        <v>---</v>
      </c>
      <c r="W19" s="41" t="str">
        <f>IFERROR(INDEX(_INDICATOR_[],MATCH(_SCHEDULE_[[#This Row],[CONTEST_CODE]],_INDICATOR_[CONTEST_CODE],0),MATCH($W$2,_INDICATOR_[#Headers],0)),"-")</f>
        <v>INCOME</v>
      </c>
      <c r="X19" s="41" t="str">
        <f>IFERROR(INDEX(_group_[],MATCH(_SCHEDULE_[[#This Row],[CONTEST_CODE]],_group_[CONTEST_CODE],0),MATCH($X$2,_group_[#Headers],0)),"-")</f>
        <v>BANK</v>
      </c>
      <c r="Y19" s="61" t="str">
        <f>IFERROR(INDEX(_DATA_[],MATCH(_SCHEDULE_[[#This Row],[CONTEST_CODE]],_DATA_[CONTEST_CODE],0),MATCH($Y$2,_DATA_[#Headers],0)),"-")</f>
        <v>Индия сделай х2</v>
      </c>
      <c r="Z19" s="41" t="str">
        <f>IFERROR(INDEX(_reward_link_[],MATCH(_SCHEDULE_[[#This Row],[CONTEST_CODE]],_reward_link_[CONTEST_CODE],0),MATCH($Z$2,_reward_link_[#Headers],0)),"-")</f>
        <v>BANK</v>
      </c>
      <c r="AA19" s="41" t="str">
        <f>IFERROR(INDEX(_report[],MATCH(_SCHEDULE_[[#This Row],[CONTEST_CODE]],_report[CONTEST_CODE],0),MATCH($AA$2,_report[#Headers],0)),"-")</f>
        <v>-</v>
      </c>
      <c r="AB19"/>
    </row>
    <row r="20" spans="1:28" hidden="1" x14ac:dyDescent="0.25">
      <c r="A20" s="14" t="s">
        <v>177</v>
      </c>
      <c r="B20" s="14" t="s">
        <v>178</v>
      </c>
      <c r="C20" s="14" t="s">
        <v>170</v>
      </c>
      <c r="D20" s="14" t="s">
        <v>171</v>
      </c>
      <c r="E20" s="14" t="s">
        <v>179</v>
      </c>
      <c r="F20" s="14" t="s">
        <v>76</v>
      </c>
      <c r="G20" s="14" t="s">
        <v>167</v>
      </c>
      <c r="H20" s="14" t="s">
        <v>194</v>
      </c>
      <c r="I20" s="14" t="s">
        <v>194</v>
      </c>
      <c r="J20" s="14" t="s">
        <v>1924</v>
      </c>
      <c r="K20" s="14" t="s">
        <v>176</v>
      </c>
      <c r="L20" s="14" t="s">
        <v>43</v>
      </c>
      <c r="M20" s="14" t="s">
        <v>3599</v>
      </c>
      <c r="N20" s="14" t="s">
        <v>314</v>
      </c>
      <c r="O20" s="14" t="s">
        <v>1484</v>
      </c>
      <c r="P20" s="14" t="s">
        <v>1064</v>
      </c>
      <c r="R20" s="38">
        <f>IFERROR(COUNTIFS(_report[TOURNAMENT_CODE],_SCHEDULE_[[#This Row],[TOURNAMENT_CODE]],_report[CONTEST_CODE],_SCHEDULE_[[#This Row],[CONTEST_CODE]]),"-")</f>
        <v>0</v>
      </c>
      <c r="S20" s="41" t="str">
        <f>SUBSTITUTE(IFERROR(INDEX(_group_[],MATCH(CONCATENATE(_SCHEDULE_[[#This Row],[CONTEST_CODE]],"_",$S$2),_group_[ИД2],0),MATCH($S$1,_group_[#Headers],0)),"---"),".",",")</f>
        <v>BANK</v>
      </c>
      <c r="T20" s="41" t="str">
        <f>SUBSTITUTE(IFERROR(INDEX(_group_[],MATCH(CONCATENATE(_SCHEDULE_[[#This Row],[CONTEST_CODE]],"_",$T$2),_group_[ИД2],0),MATCH($T$1,_group_[#Headers],0)),"---"),".",",")</f>
        <v>---</v>
      </c>
      <c r="U20" s="41" t="str">
        <f>SUBSTITUTE(IFERROR(INDEX(_group_[],MATCH(CONCATENATE(_SCHEDULE_[[#This Row],[CONTEST_CODE]],"_",$U$2),_group_[ИД2],0),MATCH($U$1,_group_[#Headers],0)),"---"),".",",")</f>
        <v>---</v>
      </c>
      <c r="V20" s="41" t="str">
        <f>SUBSTITUTE(IFERROR(INDEX(_group_[],MATCH(CONCATENATE(_SCHEDULE_[[#This Row],[CONTEST_CODE]],"_",$V$2),_group_[ИД2],0),MATCH($V$1,_group_[#Headers],0)),"---"),".",",")</f>
        <v>---</v>
      </c>
      <c r="W20" s="41" t="str">
        <f>IFERROR(INDEX(_INDICATOR_[],MATCH(_SCHEDULE_[[#This Row],[CONTEST_CODE]],_INDICATOR_[CONTEST_CODE],0),MATCH($W$2,_INDICATOR_[#Headers],0)),"-")</f>
        <v>INCOME</v>
      </c>
      <c r="X20" s="41" t="str">
        <f>IFERROR(INDEX(_group_[],MATCH(_SCHEDULE_[[#This Row],[CONTEST_CODE]],_group_[CONTEST_CODE],0),MATCH($X$2,_group_[#Headers],0)),"-")</f>
        <v>BANK</v>
      </c>
      <c r="Y20" s="61" t="str">
        <f>IFERROR(INDEX(_DATA_[],MATCH(_SCHEDULE_[[#This Row],[CONTEST_CODE]],_DATA_[CONTEST_CODE],0),MATCH($Y$2,_DATA_[#Headers],0)),"-")</f>
        <v>Индия сделай х2</v>
      </c>
      <c r="Z20" s="41" t="str">
        <f>IFERROR(INDEX(_reward_link_[],MATCH(_SCHEDULE_[[#This Row],[CONTEST_CODE]],_reward_link_[CONTEST_CODE],0),MATCH($Z$2,_reward_link_[#Headers],0)),"-")</f>
        <v>BANK</v>
      </c>
      <c r="AA20" s="41" t="str">
        <f>IFERROR(INDEX(_report[],MATCH(_SCHEDULE_[[#This Row],[CONTEST_CODE]],_report[CONTEST_CODE],0),MATCH($AA$2,_report[#Headers],0)),"-")</f>
        <v>-</v>
      </c>
      <c r="AB20"/>
    </row>
    <row r="21" spans="1:28" hidden="1" x14ac:dyDescent="0.25">
      <c r="A21" s="14" t="s">
        <v>180</v>
      </c>
      <c r="B21" s="14" t="s">
        <v>181</v>
      </c>
      <c r="C21" s="14" t="s">
        <v>182</v>
      </c>
      <c r="D21" s="14" t="s">
        <v>183</v>
      </c>
      <c r="E21" s="14" t="s">
        <v>179</v>
      </c>
      <c r="F21" s="14" t="s">
        <v>170</v>
      </c>
      <c r="G21" s="14" t="s">
        <v>171</v>
      </c>
      <c r="H21" s="14" t="s">
        <v>194</v>
      </c>
      <c r="I21" s="14" t="s">
        <v>194</v>
      </c>
      <c r="J21" s="14" t="s">
        <v>1925</v>
      </c>
      <c r="K21" s="14" t="s">
        <v>155</v>
      </c>
      <c r="L21" s="14" t="s">
        <v>43</v>
      </c>
      <c r="M21" s="14" t="s">
        <v>3599</v>
      </c>
      <c r="N21" s="14" t="s">
        <v>314</v>
      </c>
      <c r="O21" s="14" t="s">
        <v>1485</v>
      </c>
      <c r="P21" s="14" t="s">
        <v>1064</v>
      </c>
      <c r="R21" s="38">
        <f>IFERROR(COUNTIFS(_report[TOURNAMENT_CODE],_SCHEDULE_[[#This Row],[TOURNAMENT_CODE]],_report[CONTEST_CODE],_SCHEDULE_[[#This Row],[CONTEST_CODE]]),"-")</f>
        <v>0</v>
      </c>
      <c r="S21" s="41" t="str">
        <f>SUBSTITUTE(IFERROR(INDEX(_group_[],MATCH(CONCATENATE(_SCHEDULE_[[#This Row],[CONTEST_CODE]],"_",$S$2),_group_[ИД2],0),MATCH($S$1,_group_[#Headers],0)),"---"),".",",")</f>
        <v>BANK</v>
      </c>
      <c r="T21" s="41" t="str">
        <f>SUBSTITUTE(IFERROR(INDEX(_group_[],MATCH(CONCATENATE(_SCHEDULE_[[#This Row],[CONTEST_CODE]],"_",$T$2),_group_[ИД2],0),MATCH($T$1,_group_[#Headers],0)),"---"),".",",")</f>
        <v>---</v>
      </c>
      <c r="U21" s="41" t="str">
        <f>SUBSTITUTE(IFERROR(INDEX(_group_[],MATCH(CONCATENATE(_SCHEDULE_[[#This Row],[CONTEST_CODE]],"_",$U$2),_group_[ИД2],0),MATCH($U$1,_group_[#Headers],0)),"---"),".",",")</f>
        <v>---</v>
      </c>
      <c r="V21" s="41" t="str">
        <f>SUBSTITUTE(IFERROR(INDEX(_group_[],MATCH(CONCATENATE(_SCHEDULE_[[#This Row],[CONTEST_CODE]],"_",$V$2),_group_[ИД2],0),MATCH($V$1,_group_[#Headers],0)),"---"),".",",")</f>
        <v>---</v>
      </c>
      <c r="W21" s="41" t="str">
        <f>IFERROR(INDEX(_INDICATOR_[],MATCH(_SCHEDULE_[[#This Row],[CONTEST_CODE]],_INDICATOR_[CONTEST_CODE],0),MATCH($W$2,_INDICATOR_[#Headers],0)),"-")</f>
        <v>INCOME</v>
      </c>
      <c r="X21" s="41" t="str">
        <f>IFERROR(INDEX(_group_[],MATCH(_SCHEDULE_[[#This Row],[CONTEST_CODE]],_group_[CONTEST_CODE],0),MATCH($X$2,_group_[#Headers],0)),"-")</f>
        <v>BANK</v>
      </c>
      <c r="Y21" s="61" t="str">
        <f>IFERROR(INDEX(_DATA_[],MATCH(_SCHEDULE_[[#This Row],[CONTEST_CODE]],_DATA_[CONTEST_CODE],0),MATCH($Y$2,_DATA_[#Headers],0)),"-")</f>
        <v>Индия сделай х2</v>
      </c>
      <c r="Z21" s="41" t="str">
        <f>IFERROR(INDEX(_reward_link_[],MATCH(_SCHEDULE_[[#This Row],[CONTEST_CODE]],_reward_link_[CONTEST_CODE],0),MATCH($Z$2,_reward_link_[#Headers],0)),"-")</f>
        <v>BANK</v>
      </c>
      <c r="AA21" s="41" t="str">
        <f>IFERROR(INDEX(_report[],MATCH(_SCHEDULE_[[#This Row],[CONTEST_CODE]],_report[CONTEST_CODE],0),MATCH($AA$2,_report[#Headers],0)),"-")</f>
        <v>-</v>
      </c>
      <c r="AB21"/>
    </row>
    <row r="22" spans="1:28" hidden="1" x14ac:dyDescent="0.25">
      <c r="A22" s="14" t="s">
        <v>185</v>
      </c>
      <c r="B22" s="14" t="s">
        <v>186</v>
      </c>
      <c r="C22" s="14" t="s">
        <v>187</v>
      </c>
      <c r="D22" s="14" t="s">
        <v>188</v>
      </c>
      <c r="E22" s="14" t="s">
        <v>189</v>
      </c>
      <c r="F22" s="14" t="s">
        <v>239</v>
      </c>
      <c r="G22" s="14" t="s">
        <v>240</v>
      </c>
      <c r="H22" s="14" t="s">
        <v>194</v>
      </c>
      <c r="I22" s="14" t="s">
        <v>194</v>
      </c>
      <c r="J22" s="14" t="s">
        <v>1926</v>
      </c>
      <c r="K22" s="14" t="s">
        <v>176</v>
      </c>
      <c r="L22" s="14" t="s">
        <v>43</v>
      </c>
      <c r="M22" s="14" t="s">
        <v>3599</v>
      </c>
      <c r="N22" s="14" t="s">
        <v>314</v>
      </c>
      <c r="O22" s="14" t="s">
        <v>1486</v>
      </c>
      <c r="P22" s="14" t="s">
        <v>1064</v>
      </c>
      <c r="R22" s="38">
        <f>IFERROR(COUNTIFS(_report[TOURNAMENT_CODE],_SCHEDULE_[[#This Row],[TOURNAMENT_CODE]],_report[CONTEST_CODE],_SCHEDULE_[[#This Row],[CONTEST_CODE]]),"-")</f>
        <v>0</v>
      </c>
      <c r="S22" s="41" t="str">
        <f>SUBSTITUTE(IFERROR(INDEX(_group_[],MATCH(CONCATENATE(_SCHEDULE_[[#This Row],[CONTEST_CODE]],"_",$S$2),_group_[ИД2],0),MATCH($S$1,_group_[#Headers],0)),"---"),".",",")</f>
        <v>BANK</v>
      </c>
      <c r="T22" s="41" t="str">
        <f>SUBSTITUTE(IFERROR(INDEX(_group_[],MATCH(CONCATENATE(_SCHEDULE_[[#This Row],[CONTEST_CODE]],"_",$T$2),_group_[ИД2],0),MATCH($T$1,_group_[#Headers],0)),"---"),".",",")</f>
        <v>---</v>
      </c>
      <c r="U22" s="41" t="str">
        <f>SUBSTITUTE(IFERROR(INDEX(_group_[],MATCH(CONCATENATE(_SCHEDULE_[[#This Row],[CONTEST_CODE]],"_",$U$2),_group_[ИД2],0),MATCH($U$1,_group_[#Headers],0)),"---"),".",",")</f>
        <v>---</v>
      </c>
      <c r="V22" s="41" t="str">
        <f>SUBSTITUTE(IFERROR(INDEX(_group_[],MATCH(CONCATENATE(_SCHEDULE_[[#This Row],[CONTEST_CODE]],"_",$V$2),_group_[ИД2],0),MATCH($V$1,_group_[#Headers],0)),"---"),".",",")</f>
        <v>---</v>
      </c>
      <c r="W22" s="41" t="str">
        <f>IFERROR(INDEX(_INDICATOR_[],MATCH(_SCHEDULE_[[#This Row],[CONTEST_CODE]],_INDICATOR_[CONTEST_CODE],0),MATCH($W$2,_INDICATOR_[#Headers],0)),"-")</f>
        <v>INCOME</v>
      </c>
      <c r="X22" s="41" t="str">
        <f>IFERROR(INDEX(_group_[],MATCH(_SCHEDULE_[[#This Row],[CONTEST_CODE]],_group_[CONTEST_CODE],0),MATCH($X$2,_group_[#Headers],0)),"-")</f>
        <v>BANK</v>
      </c>
      <c r="Y22" s="61" t="str">
        <f>IFERROR(INDEX(_DATA_[],MATCH(_SCHEDULE_[[#This Row],[CONTEST_CODE]],_DATA_[CONTEST_CODE],0),MATCH($Y$2,_DATA_[#Headers],0)),"-")</f>
        <v>Индия сделай х2</v>
      </c>
      <c r="Z22" s="41" t="str">
        <f>IFERROR(INDEX(_reward_link_[],MATCH(_SCHEDULE_[[#This Row],[CONTEST_CODE]],_reward_link_[CONTEST_CODE],0),MATCH($Z$2,_reward_link_[#Headers],0)),"-")</f>
        <v>BANK</v>
      </c>
      <c r="AA22" s="41" t="str">
        <f>IFERROR(INDEX(_report[],MATCH(_SCHEDULE_[[#This Row],[CONTEST_CODE]],_report[CONTEST_CODE],0),MATCH($AA$2,_report[#Headers],0)),"-")</f>
        <v>-</v>
      </c>
      <c r="AB22"/>
    </row>
    <row r="23" spans="1:28" hidden="1" x14ac:dyDescent="0.25">
      <c r="A23" s="14" t="s">
        <v>190</v>
      </c>
      <c r="B23" s="14" t="s">
        <v>191</v>
      </c>
      <c r="C23" s="14" t="s">
        <v>192</v>
      </c>
      <c r="D23" s="14" t="s">
        <v>193</v>
      </c>
      <c r="E23" s="14" t="s">
        <v>195</v>
      </c>
      <c r="F23" s="14" t="s">
        <v>187</v>
      </c>
      <c r="G23" s="14" t="s">
        <v>188</v>
      </c>
      <c r="H23" s="14" t="s">
        <v>194</v>
      </c>
      <c r="I23" s="14" t="s">
        <v>194</v>
      </c>
      <c r="J23" s="14" t="s">
        <v>1927</v>
      </c>
      <c r="K23" s="14" t="s">
        <v>176</v>
      </c>
      <c r="L23" s="14" t="s">
        <v>43</v>
      </c>
      <c r="M23" s="14" t="s">
        <v>3599</v>
      </c>
      <c r="N23" s="14" t="s">
        <v>314</v>
      </c>
      <c r="O23" s="14" t="s">
        <v>1487</v>
      </c>
      <c r="P23" s="14" t="s">
        <v>1064</v>
      </c>
      <c r="R23" s="38">
        <f>IFERROR(COUNTIFS(_report[TOURNAMENT_CODE],_SCHEDULE_[[#This Row],[TOURNAMENT_CODE]],_report[CONTEST_CODE],_SCHEDULE_[[#This Row],[CONTEST_CODE]]),"-")</f>
        <v>0</v>
      </c>
      <c r="S23" s="41" t="str">
        <f>SUBSTITUTE(IFERROR(INDEX(_group_[],MATCH(CONCATENATE(_SCHEDULE_[[#This Row],[CONTEST_CODE]],"_",$S$2),_group_[ИД2],0),MATCH($S$1,_group_[#Headers],0)),"---"),".",",")</f>
        <v>BANK</v>
      </c>
      <c r="T23" s="41" t="str">
        <f>SUBSTITUTE(IFERROR(INDEX(_group_[],MATCH(CONCATENATE(_SCHEDULE_[[#This Row],[CONTEST_CODE]],"_",$T$2),_group_[ИД2],0),MATCH($T$1,_group_[#Headers],0)),"---"),".",",")</f>
        <v>---</v>
      </c>
      <c r="U23" s="41" t="str">
        <f>SUBSTITUTE(IFERROR(INDEX(_group_[],MATCH(CONCATENATE(_SCHEDULE_[[#This Row],[CONTEST_CODE]],"_",$U$2),_group_[ИД2],0),MATCH($U$1,_group_[#Headers],0)),"---"),".",",")</f>
        <v>---</v>
      </c>
      <c r="V23" s="41" t="str">
        <f>SUBSTITUTE(IFERROR(INDEX(_group_[],MATCH(CONCATENATE(_SCHEDULE_[[#This Row],[CONTEST_CODE]],"_",$V$2),_group_[ИД2],0),MATCH($V$1,_group_[#Headers],0)),"---"),".",",")</f>
        <v>---</v>
      </c>
      <c r="W23" s="41" t="str">
        <f>IFERROR(INDEX(_INDICATOR_[],MATCH(_SCHEDULE_[[#This Row],[CONTEST_CODE]],_INDICATOR_[CONTEST_CODE],0),MATCH($W$2,_INDICATOR_[#Headers],0)),"-")</f>
        <v>INCOME</v>
      </c>
      <c r="X23" s="41" t="str">
        <f>IFERROR(INDEX(_group_[],MATCH(_SCHEDULE_[[#This Row],[CONTEST_CODE]],_group_[CONTEST_CODE],0),MATCH($X$2,_group_[#Headers],0)),"-")</f>
        <v>BANK</v>
      </c>
      <c r="Y23" s="61" t="str">
        <f>IFERROR(INDEX(_DATA_[],MATCH(_SCHEDULE_[[#This Row],[CONTEST_CODE]],_DATA_[CONTEST_CODE],0),MATCH($Y$2,_DATA_[#Headers],0)),"-")</f>
        <v>Индия сделай х2</v>
      </c>
      <c r="Z23" s="41" t="str">
        <f>IFERROR(INDEX(_reward_link_[],MATCH(_SCHEDULE_[[#This Row],[CONTEST_CODE]],_reward_link_[CONTEST_CODE],0),MATCH($Z$2,_reward_link_[#Headers],0)),"-")</f>
        <v>BANK</v>
      </c>
      <c r="AA23" s="41" t="str">
        <f>IFERROR(INDEX(_report[],MATCH(_SCHEDULE_[[#This Row],[CONTEST_CODE]],_report[CONTEST_CODE],0),MATCH($AA$2,_report[#Headers],0)),"-")</f>
        <v>-</v>
      </c>
      <c r="AB23"/>
    </row>
    <row r="24" spans="1:28" hidden="1" x14ac:dyDescent="0.25">
      <c r="A24" s="14" t="s">
        <v>693</v>
      </c>
      <c r="B24" s="14" t="s">
        <v>209</v>
      </c>
      <c r="C24" s="14" t="s">
        <v>245</v>
      </c>
      <c r="D24" s="14" t="s">
        <v>246</v>
      </c>
      <c r="E24" s="14" t="s">
        <v>247</v>
      </c>
      <c r="F24" s="14" t="s">
        <v>192</v>
      </c>
      <c r="G24" s="14" t="s">
        <v>193</v>
      </c>
      <c r="H24" s="14" t="s">
        <v>194</v>
      </c>
      <c r="I24" s="14" t="s">
        <v>194</v>
      </c>
      <c r="J24" s="14" t="s">
        <v>1928</v>
      </c>
      <c r="K24" s="14" t="s">
        <v>176</v>
      </c>
      <c r="L24" s="14" t="s">
        <v>43</v>
      </c>
      <c r="M24" s="14" t="s">
        <v>3599</v>
      </c>
      <c r="N24" s="14" t="s">
        <v>314</v>
      </c>
      <c r="O24" s="14" t="s">
        <v>1488</v>
      </c>
      <c r="P24" s="14" t="s">
        <v>1064</v>
      </c>
      <c r="R24" s="38">
        <f>IFERROR(COUNTIFS(_report[TOURNAMENT_CODE],_SCHEDULE_[[#This Row],[TOURNAMENT_CODE]],_report[CONTEST_CODE],_SCHEDULE_[[#This Row],[CONTEST_CODE]]),"-")</f>
        <v>0</v>
      </c>
      <c r="S24" s="41" t="str">
        <f>SUBSTITUTE(IFERROR(INDEX(_group_[],MATCH(CONCATENATE(_SCHEDULE_[[#This Row],[CONTEST_CODE]],"_",$S$2),_group_[ИД2],0),MATCH($S$1,_group_[#Headers],0)),"---"),".",",")</f>
        <v>BANK</v>
      </c>
      <c r="T24" s="41" t="str">
        <f>SUBSTITUTE(IFERROR(INDEX(_group_[],MATCH(CONCATENATE(_SCHEDULE_[[#This Row],[CONTEST_CODE]],"_",$T$2),_group_[ИД2],0),MATCH($T$1,_group_[#Headers],0)),"---"),".",",")</f>
        <v>---</v>
      </c>
      <c r="U24" s="41" t="str">
        <f>SUBSTITUTE(IFERROR(INDEX(_group_[],MATCH(CONCATENATE(_SCHEDULE_[[#This Row],[CONTEST_CODE]],"_",$U$2),_group_[ИД2],0),MATCH($U$1,_group_[#Headers],0)),"---"),".",",")</f>
        <v>---</v>
      </c>
      <c r="V24" s="41" t="str">
        <f>SUBSTITUTE(IFERROR(INDEX(_group_[],MATCH(CONCATENATE(_SCHEDULE_[[#This Row],[CONTEST_CODE]],"_",$V$2),_group_[ИД2],0),MATCH($V$1,_group_[#Headers],0)),"---"),".",",")</f>
        <v>---</v>
      </c>
      <c r="W24" s="41" t="str">
        <f>IFERROR(INDEX(_INDICATOR_[],MATCH(_SCHEDULE_[[#This Row],[CONTEST_CODE]],_INDICATOR_[CONTEST_CODE],0),MATCH($W$2,_INDICATOR_[#Headers],0)),"-")</f>
        <v>INCOME</v>
      </c>
      <c r="X24" s="41" t="str">
        <f>IFERROR(INDEX(_group_[],MATCH(_SCHEDULE_[[#This Row],[CONTEST_CODE]],_group_[CONTEST_CODE],0),MATCH($X$2,_group_[#Headers],0)),"-")</f>
        <v>BANK</v>
      </c>
      <c r="Y24" s="61" t="str">
        <f>IFERROR(INDEX(_DATA_[],MATCH(_SCHEDULE_[[#This Row],[CONTEST_CODE]],_DATA_[CONTEST_CODE],0),MATCH($Y$2,_DATA_[#Headers],0)),"-")</f>
        <v>Индия сделай х2</v>
      </c>
      <c r="Z24" s="41" t="str">
        <f>IFERROR(INDEX(_reward_link_[],MATCH(_SCHEDULE_[[#This Row],[CONTEST_CODE]],_reward_link_[CONTEST_CODE],0),MATCH($Z$2,_reward_link_[#Headers],0)),"-")</f>
        <v>BANK</v>
      </c>
      <c r="AA24" s="41" t="str">
        <f>IFERROR(INDEX(_report[],MATCH(_SCHEDULE_[[#This Row],[CONTEST_CODE]],_report[CONTEST_CODE],0),MATCH($AA$2,_report[#Headers],0)),"-")</f>
        <v>-</v>
      </c>
      <c r="AB24"/>
    </row>
    <row r="25" spans="1:28" hidden="1" x14ac:dyDescent="0.25">
      <c r="A25" s="14" t="s">
        <v>694</v>
      </c>
      <c r="B25" s="14" t="s">
        <v>210</v>
      </c>
      <c r="C25" s="14" t="s">
        <v>695</v>
      </c>
      <c r="D25" s="14" t="s">
        <v>252</v>
      </c>
      <c r="E25" s="14" t="s">
        <v>253</v>
      </c>
      <c r="F25" s="14" t="s">
        <v>245</v>
      </c>
      <c r="G25" s="14" t="s">
        <v>246</v>
      </c>
      <c r="H25" s="14" t="s">
        <v>194</v>
      </c>
      <c r="I25" s="14" t="s">
        <v>194</v>
      </c>
      <c r="J25" s="14" t="s">
        <v>1929</v>
      </c>
      <c r="K25" s="14" t="s">
        <v>176</v>
      </c>
      <c r="L25" s="14" t="s">
        <v>43</v>
      </c>
      <c r="M25" s="14" t="s">
        <v>3599</v>
      </c>
      <c r="N25" s="14" t="s">
        <v>314</v>
      </c>
      <c r="O25" s="14" t="s">
        <v>1489</v>
      </c>
      <c r="P25" s="14" t="s">
        <v>1064</v>
      </c>
      <c r="R25" s="38">
        <f>IFERROR(COUNTIFS(_report[TOURNAMENT_CODE],_SCHEDULE_[[#This Row],[TOURNAMENT_CODE]],_report[CONTEST_CODE],_SCHEDULE_[[#This Row],[CONTEST_CODE]]),"-")</f>
        <v>0</v>
      </c>
      <c r="S25" s="41" t="str">
        <f>SUBSTITUTE(IFERROR(INDEX(_group_[],MATCH(CONCATENATE(_SCHEDULE_[[#This Row],[CONTEST_CODE]],"_",$S$2),_group_[ИД2],0),MATCH($S$1,_group_[#Headers],0)),"---"),".",",")</f>
        <v>BANK</v>
      </c>
      <c r="T25" s="41" t="str">
        <f>SUBSTITUTE(IFERROR(INDEX(_group_[],MATCH(CONCATENATE(_SCHEDULE_[[#This Row],[CONTEST_CODE]],"_",$T$2),_group_[ИД2],0),MATCH($T$1,_group_[#Headers],0)),"---"),".",",")</f>
        <v>---</v>
      </c>
      <c r="U25" s="41" t="str">
        <f>SUBSTITUTE(IFERROR(INDEX(_group_[],MATCH(CONCATENATE(_SCHEDULE_[[#This Row],[CONTEST_CODE]],"_",$U$2),_group_[ИД2],0),MATCH($U$1,_group_[#Headers],0)),"---"),".",",")</f>
        <v>---</v>
      </c>
      <c r="V25" s="41" t="str">
        <f>SUBSTITUTE(IFERROR(INDEX(_group_[],MATCH(CONCATENATE(_SCHEDULE_[[#This Row],[CONTEST_CODE]],"_",$V$2),_group_[ИД2],0),MATCH($V$1,_group_[#Headers],0)),"---"),".",",")</f>
        <v>---</v>
      </c>
      <c r="W25" s="41" t="str">
        <f>IFERROR(INDEX(_INDICATOR_[],MATCH(_SCHEDULE_[[#This Row],[CONTEST_CODE]],_INDICATOR_[CONTEST_CODE],0),MATCH($W$2,_INDICATOR_[#Headers],0)),"-")</f>
        <v>INCOME</v>
      </c>
      <c r="X25" s="41" t="str">
        <f>IFERROR(INDEX(_group_[],MATCH(_SCHEDULE_[[#This Row],[CONTEST_CODE]],_group_[CONTEST_CODE],0),MATCH($X$2,_group_[#Headers],0)),"-")</f>
        <v>BANK</v>
      </c>
      <c r="Y25" s="61" t="str">
        <f>IFERROR(INDEX(_DATA_[],MATCH(_SCHEDULE_[[#This Row],[CONTEST_CODE]],_DATA_[CONTEST_CODE],0),MATCH($Y$2,_DATA_[#Headers],0)),"-")</f>
        <v>Индия сделай х2</v>
      </c>
      <c r="Z25" s="41" t="str">
        <f>IFERROR(INDEX(_reward_link_[],MATCH(_SCHEDULE_[[#This Row],[CONTEST_CODE]],_reward_link_[CONTEST_CODE],0),MATCH($Z$2,_reward_link_[#Headers],0)),"-")</f>
        <v>BANK</v>
      </c>
      <c r="AA25" s="41" t="str">
        <f>IFERROR(INDEX(_report[],MATCH(_SCHEDULE_[[#This Row],[CONTEST_CODE]],_report[CONTEST_CODE],0),MATCH($AA$2,_report[#Headers],0)),"-")</f>
        <v>-</v>
      </c>
      <c r="AB25"/>
    </row>
    <row r="26" spans="1:28" hidden="1" x14ac:dyDescent="0.25">
      <c r="A26" s="14" t="s">
        <v>1068</v>
      </c>
      <c r="B26" s="14" t="s">
        <v>213</v>
      </c>
      <c r="C26" s="14" t="s">
        <v>703</v>
      </c>
      <c r="D26" s="14" t="s">
        <v>704</v>
      </c>
      <c r="E26" s="14" t="s">
        <v>705</v>
      </c>
      <c r="F26" s="14" t="s">
        <v>695</v>
      </c>
      <c r="G26" s="14" t="s">
        <v>252</v>
      </c>
      <c r="H26" s="14" t="s">
        <v>194</v>
      </c>
      <c r="I26" s="14" t="s">
        <v>194</v>
      </c>
      <c r="J26" s="14" t="s">
        <v>1930</v>
      </c>
      <c r="K26" s="14" t="s">
        <v>176</v>
      </c>
      <c r="L26" s="14" t="s">
        <v>43</v>
      </c>
      <c r="M26" s="14" t="s">
        <v>3599</v>
      </c>
      <c r="N26" s="14" t="s">
        <v>314</v>
      </c>
      <c r="O26" s="14" t="s">
        <v>1490</v>
      </c>
      <c r="P26" s="14" t="s">
        <v>1064</v>
      </c>
      <c r="R26" s="38">
        <f>IFERROR(COUNTIFS(_report[TOURNAMENT_CODE],_SCHEDULE_[[#This Row],[TOURNAMENT_CODE]],_report[CONTEST_CODE],_SCHEDULE_[[#This Row],[CONTEST_CODE]]),"-")</f>
        <v>0</v>
      </c>
      <c r="S26" s="41" t="str">
        <f>SUBSTITUTE(IFERROR(INDEX(_group_[],MATCH(CONCATENATE(_SCHEDULE_[[#This Row],[CONTEST_CODE]],"_",$S$2),_group_[ИД2],0),MATCH($S$1,_group_[#Headers],0)),"---"),".",",")</f>
        <v>BANK</v>
      </c>
      <c r="T26" s="41" t="str">
        <f>SUBSTITUTE(IFERROR(INDEX(_group_[],MATCH(CONCATENATE(_SCHEDULE_[[#This Row],[CONTEST_CODE]],"_",$T$2),_group_[ИД2],0),MATCH($T$1,_group_[#Headers],0)),"---"),".",",")</f>
        <v>---</v>
      </c>
      <c r="U26" s="41" t="str">
        <f>SUBSTITUTE(IFERROR(INDEX(_group_[],MATCH(CONCATENATE(_SCHEDULE_[[#This Row],[CONTEST_CODE]],"_",$U$2),_group_[ИД2],0),MATCH($U$1,_group_[#Headers],0)),"---"),".",",")</f>
        <v>---</v>
      </c>
      <c r="V26" s="41" t="str">
        <f>SUBSTITUTE(IFERROR(INDEX(_group_[],MATCH(CONCATENATE(_SCHEDULE_[[#This Row],[CONTEST_CODE]],"_",$V$2),_group_[ИД2],0),MATCH($V$1,_group_[#Headers],0)),"---"),".",",")</f>
        <v>---</v>
      </c>
      <c r="W26" s="41" t="str">
        <f>IFERROR(INDEX(_INDICATOR_[],MATCH(_SCHEDULE_[[#This Row],[CONTEST_CODE]],_INDICATOR_[CONTEST_CODE],0),MATCH($W$2,_INDICATOR_[#Headers],0)),"-")</f>
        <v>INCOME</v>
      </c>
      <c r="X26" s="41" t="str">
        <f>IFERROR(INDEX(_group_[],MATCH(_SCHEDULE_[[#This Row],[CONTEST_CODE]],_group_[CONTEST_CODE],0),MATCH($X$2,_group_[#Headers],0)),"-")</f>
        <v>BANK</v>
      </c>
      <c r="Y26" s="61" t="str">
        <f>IFERROR(INDEX(_DATA_[],MATCH(_SCHEDULE_[[#This Row],[CONTEST_CODE]],_DATA_[CONTEST_CODE],0),MATCH($Y$2,_DATA_[#Headers],0)),"-")</f>
        <v>Индия сделай х2</v>
      </c>
      <c r="Z26" s="41" t="str">
        <f>IFERROR(INDEX(_reward_link_[],MATCH(_SCHEDULE_[[#This Row],[CONTEST_CODE]],_reward_link_[CONTEST_CODE],0),MATCH($Z$2,_reward_link_[#Headers],0)),"-")</f>
        <v>BANK</v>
      </c>
      <c r="AA26" s="41" t="str">
        <f>IFERROR(INDEX(_report[],MATCH(_SCHEDULE_[[#This Row],[CONTEST_CODE]],_report[CONTEST_CODE],0),MATCH($AA$2,_report[#Headers],0)),"-")</f>
        <v>-</v>
      </c>
      <c r="AB26"/>
    </row>
    <row r="27" spans="1:28" hidden="1" x14ac:dyDescent="0.25">
      <c r="A27" s="14" t="s">
        <v>1260</v>
      </c>
      <c r="B27" s="14" t="s">
        <v>214</v>
      </c>
      <c r="C27" s="14" t="s">
        <v>1078</v>
      </c>
      <c r="D27" s="14" t="s">
        <v>1173</v>
      </c>
      <c r="E27" s="14" t="s">
        <v>706</v>
      </c>
      <c r="F27" s="14" t="s">
        <v>703</v>
      </c>
      <c r="G27" s="14" t="s">
        <v>704</v>
      </c>
      <c r="H27" s="14" t="s">
        <v>194</v>
      </c>
      <c r="I27" s="14" t="s">
        <v>194</v>
      </c>
      <c r="J27" s="14" t="s">
        <v>1931</v>
      </c>
      <c r="K27" s="14" t="s">
        <v>176</v>
      </c>
      <c r="L27" s="14" t="s">
        <v>43</v>
      </c>
      <c r="M27" s="14" t="s">
        <v>3599</v>
      </c>
      <c r="N27" s="14" t="s">
        <v>314</v>
      </c>
      <c r="O27" s="14" t="s">
        <v>1491</v>
      </c>
      <c r="P27" s="14" t="s">
        <v>1064</v>
      </c>
      <c r="R27" s="38">
        <f>IFERROR(COUNTIFS(_report[TOURNAMENT_CODE],_SCHEDULE_[[#This Row],[TOURNAMENT_CODE]],_report[CONTEST_CODE],_SCHEDULE_[[#This Row],[CONTEST_CODE]]),"-")</f>
        <v>0</v>
      </c>
      <c r="S27" s="41" t="str">
        <f>SUBSTITUTE(IFERROR(INDEX(_group_[],MATCH(CONCATENATE(_SCHEDULE_[[#This Row],[CONTEST_CODE]],"_",$S$2),_group_[ИД2],0),MATCH($S$1,_group_[#Headers],0)),"---"),".",",")</f>
        <v>BANK</v>
      </c>
      <c r="T27" s="41" t="str">
        <f>SUBSTITUTE(IFERROR(INDEX(_group_[],MATCH(CONCATENATE(_SCHEDULE_[[#This Row],[CONTEST_CODE]],"_",$T$2),_group_[ИД2],0),MATCH($T$1,_group_[#Headers],0)),"---"),".",",")</f>
        <v>---</v>
      </c>
      <c r="U27" s="41" t="str">
        <f>SUBSTITUTE(IFERROR(INDEX(_group_[],MATCH(CONCATENATE(_SCHEDULE_[[#This Row],[CONTEST_CODE]],"_",$U$2),_group_[ИД2],0),MATCH($U$1,_group_[#Headers],0)),"---"),".",",")</f>
        <v>---</v>
      </c>
      <c r="V27" s="41" t="str">
        <f>SUBSTITUTE(IFERROR(INDEX(_group_[],MATCH(CONCATENATE(_SCHEDULE_[[#This Row],[CONTEST_CODE]],"_",$V$2),_group_[ИД2],0),MATCH($V$1,_group_[#Headers],0)),"---"),".",",")</f>
        <v>---</v>
      </c>
      <c r="W27" s="41" t="str">
        <f>IFERROR(INDEX(_INDICATOR_[],MATCH(_SCHEDULE_[[#This Row],[CONTEST_CODE]],_INDICATOR_[CONTEST_CODE],0),MATCH($W$2,_INDICATOR_[#Headers],0)),"-")</f>
        <v>INCOME</v>
      </c>
      <c r="X27" s="41" t="str">
        <f>IFERROR(INDEX(_group_[],MATCH(_SCHEDULE_[[#This Row],[CONTEST_CODE]],_group_[CONTEST_CODE],0),MATCH($X$2,_group_[#Headers],0)),"-")</f>
        <v>BANK</v>
      </c>
      <c r="Y27" s="61" t="str">
        <f>IFERROR(INDEX(_DATA_[],MATCH(_SCHEDULE_[[#This Row],[CONTEST_CODE]],_DATA_[CONTEST_CODE],0),MATCH($Y$2,_DATA_[#Headers],0)),"-")</f>
        <v>Индия сделай х2</v>
      </c>
      <c r="Z27" s="41" t="str">
        <f>IFERROR(INDEX(_reward_link_[],MATCH(_SCHEDULE_[[#This Row],[CONTEST_CODE]],_reward_link_[CONTEST_CODE],0),MATCH($Z$2,_reward_link_[#Headers],0)),"-")</f>
        <v>BANK</v>
      </c>
      <c r="AA27" s="41" t="str">
        <f>IFERROR(INDEX(_report[],MATCH(_SCHEDULE_[[#This Row],[CONTEST_CODE]],_report[CONTEST_CODE],0),MATCH($AA$2,_report[#Headers],0)),"-")</f>
        <v>-</v>
      </c>
      <c r="AB27"/>
    </row>
    <row r="28" spans="1:28" hidden="1" x14ac:dyDescent="0.25">
      <c r="A28" s="14" t="s">
        <v>1277</v>
      </c>
      <c r="B28" s="14" t="s">
        <v>215</v>
      </c>
      <c r="C28" s="14" t="s">
        <v>1225</v>
      </c>
      <c r="D28" s="14" t="s">
        <v>1070</v>
      </c>
      <c r="E28" s="14" t="s">
        <v>1071</v>
      </c>
      <c r="F28" s="14" t="s">
        <v>1078</v>
      </c>
      <c r="G28" s="14" t="s">
        <v>1173</v>
      </c>
      <c r="H28" s="14" t="s">
        <v>194</v>
      </c>
      <c r="I28" s="14" t="s">
        <v>194</v>
      </c>
      <c r="J28" s="14" t="s">
        <v>1932</v>
      </c>
      <c r="K28" s="14" t="s">
        <v>176</v>
      </c>
      <c r="L28" s="14" t="s">
        <v>43</v>
      </c>
      <c r="M28" s="14" t="s">
        <v>3599</v>
      </c>
      <c r="N28" s="14" t="s">
        <v>314</v>
      </c>
      <c r="O28" s="14" t="s">
        <v>1492</v>
      </c>
      <c r="P28" s="14" t="s">
        <v>1064</v>
      </c>
      <c r="R28" s="38">
        <f>IFERROR(COUNTIFS(_report[TOURNAMENT_CODE],_SCHEDULE_[[#This Row],[TOURNAMENT_CODE]],_report[CONTEST_CODE],_SCHEDULE_[[#This Row],[CONTEST_CODE]]),"-")</f>
        <v>0</v>
      </c>
      <c r="S28" s="41" t="str">
        <f>SUBSTITUTE(IFERROR(INDEX(_group_[],MATCH(CONCATENATE(_SCHEDULE_[[#This Row],[CONTEST_CODE]],"_",$S$2),_group_[ИД2],0),MATCH($S$1,_group_[#Headers],0)),"---"),".",",")</f>
        <v>BANK</v>
      </c>
      <c r="T28" s="41" t="str">
        <f>SUBSTITUTE(IFERROR(INDEX(_group_[],MATCH(CONCATENATE(_SCHEDULE_[[#This Row],[CONTEST_CODE]],"_",$T$2),_group_[ИД2],0),MATCH($T$1,_group_[#Headers],0)),"---"),".",",")</f>
        <v>---</v>
      </c>
      <c r="U28" s="41" t="str">
        <f>SUBSTITUTE(IFERROR(INDEX(_group_[],MATCH(CONCATENATE(_SCHEDULE_[[#This Row],[CONTEST_CODE]],"_",$U$2),_group_[ИД2],0),MATCH($U$1,_group_[#Headers],0)),"---"),".",",")</f>
        <v>---</v>
      </c>
      <c r="V28" s="41" t="str">
        <f>SUBSTITUTE(IFERROR(INDEX(_group_[],MATCH(CONCATENATE(_SCHEDULE_[[#This Row],[CONTEST_CODE]],"_",$V$2),_group_[ИД2],0),MATCH($V$1,_group_[#Headers],0)),"---"),".",",")</f>
        <v>---</v>
      </c>
      <c r="W28" s="41" t="str">
        <f>IFERROR(INDEX(_INDICATOR_[],MATCH(_SCHEDULE_[[#This Row],[CONTEST_CODE]],_INDICATOR_[CONTEST_CODE],0),MATCH($W$2,_INDICATOR_[#Headers],0)),"-")</f>
        <v>INCOME</v>
      </c>
      <c r="X28" s="41" t="str">
        <f>IFERROR(INDEX(_group_[],MATCH(_SCHEDULE_[[#This Row],[CONTEST_CODE]],_group_[CONTEST_CODE],0),MATCH($X$2,_group_[#Headers],0)),"-")</f>
        <v>BANK</v>
      </c>
      <c r="Y28" s="61" t="str">
        <f>IFERROR(INDEX(_DATA_[],MATCH(_SCHEDULE_[[#This Row],[CONTEST_CODE]],_DATA_[CONTEST_CODE],0),MATCH($Y$2,_DATA_[#Headers],0)),"-")</f>
        <v>Индия сделай х2</v>
      </c>
      <c r="Z28" s="41" t="str">
        <f>IFERROR(INDEX(_reward_link_[],MATCH(_SCHEDULE_[[#This Row],[CONTEST_CODE]],_reward_link_[CONTEST_CODE],0),MATCH($Z$2,_reward_link_[#Headers],0)),"-")</f>
        <v>BANK</v>
      </c>
      <c r="AA28" s="41" t="str">
        <f>IFERROR(INDEX(_report[],MATCH(_SCHEDULE_[[#This Row],[CONTEST_CODE]],_report[CONTEST_CODE],0),MATCH($AA$2,_report[#Headers],0)),"-")</f>
        <v>-</v>
      </c>
      <c r="AB28"/>
    </row>
    <row r="29" spans="1:28" hidden="1" x14ac:dyDescent="0.25">
      <c r="A29" s="14" t="s">
        <v>1637</v>
      </c>
      <c r="B29" s="14" t="s">
        <v>216</v>
      </c>
      <c r="C29" s="14" t="s">
        <v>1308</v>
      </c>
      <c r="D29" s="14" t="s">
        <v>1638</v>
      </c>
      <c r="E29" s="14" t="s">
        <v>1639</v>
      </c>
      <c r="F29" s="14" t="s">
        <v>1225</v>
      </c>
      <c r="G29" s="14" t="s">
        <v>1070</v>
      </c>
      <c r="H29" s="14" t="s">
        <v>194</v>
      </c>
      <c r="I29" s="14" t="s">
        <v>194</v>
      </c>
      <c r="J29" s="14" t="s">
        <v>1933</v>
      </c>
      <c r="K29" s="14" t="s">
        <v>176</v>
      </c>
      <c r="L29" s="14" t="s">
        <v>43</v>
      </c>
      <c r="M29" s="14" t="s">
        <v>3599</v>
      </c>
      <c r="N29" s="14" t="s">
        <v>314</v>
      </c>
      <c r="O29" s="14" t="s">
        <v>1640</v>
      </c>
      <c r="P29" s="14" t="s">
        <v>1064</v>
      </c>
      <c r="R29" s="38">
        <f>IFERROR(COUNTIFS(_report[TOURNAMENT_CODE],_SCHEDULE_[[#This Row],[TOURNAMENT_CODE]],_report[CONTEST_CODE],_SCHEDULE_[[#This Row],[CONTEST_CODE]]),"-")</f>
        <v>0</v>
      </c>
      <c r="S29" s="41" t="str">
        <f>SUBSTITUTE(IFERROR(INDEX(_group_[],MATCH(CONCATENATE(_SCHEDULE_[[#This Row],[CONTEST_CODE]],"_",$S$2),_group_[ИД2],0),MATCH($S$1,_group_[#Headers],0)),"---"),".",",")</f>
        <v>BANK</v>
      </c>
      <c r="T29" s="41" t="str">
        <f>SUBSTITUTE(IFERROR(INDEX(_group_[],MATCH(CONCATENATE(_SCHEDULE_[[#This Row],[CONTEST_CODE]],"_",$T$2),_group_[ИД2],0),MATCH($T$1,_group_[#Headers],0)),"---"),".",",")</f>
        <v>---</v>
      </c>
      <c r="U29" s="41" t="str">
        <f>SUBSTITUTE(IFERROR(INDEX(_group_[],MATCH(CONCATENATE(_SCHEDULE_[[#This Row],[CONTEST_CODE]],"_",$U$2),_group_[ИД2],0),MATCH($U$1,_group_[#Headers],0)),"---"),".",",")</f>
        <v>---</v>
      </c>
      <c r="V29" s="41" t="str">
        <f>SUBSTITUTE(IFERROR(INDEX(_group_[],MATCH(CONCATENATE(_SCHEDULE_[[#This Row],[CONTEST_CODE]],"_",$V$2),_group_[ИД2],0),MATCH($V$1,_group_[#Headers],0)),"---"),".",",")</f>
        <v>---</v>
      </c>
      <c r="W29" s="41" t="str">
        <f>IFERROR(INDEX(_INDICATOR_[],MATCH(_SCHEDULE_[[#This Row],[CONTEST_CODE]],_INDICATOR_[CONTEST_CODE],0),MATCH($W$2,_INDICATOR_[#Headers],0)),"-")</f>
        <v>INCOME</v>
      </c>
      <c r="X29" s="41" t="str">
        <f>IFERROR(INDEX(_group_[],MATCH(_SCHEDULE_[[#This Row],[CONTEST_CODE]],_group_[CONTEST_CODE],0),MATCH($X$2,_group_[#Headers],0)),"-")</f>
        <v>BANK</v>
      </c>
      <c r="Y29" s="61" t="str">
        <f>IFERROR(INDEX(_DATA_[],MATCH(_SCHEDULE_[[#This Row],[CONTEST_CODE]],_DATA_[CONTEST_CODE],0),MATCH($Y$2,_DATA_[#Headers],0)),"-")</f>
        <v>Индия сделай х2</v>
      </c>
      <c r="Z29" s="41" t="str">
        <f>IFERROR(INDEX(_reward_link_[],MATCH(_SCHEDULE_[[#This Row],[CONTEST_CODE]],_reward_link_[CONTEST_CODE],0),MATCH($Z$2,_reward_link_[#Headers],0)),"-")</f>
        <v>BANK</v>
      </c>
      <c r="AA29" s="41" t="str">
        <f>IFERROR(INDEX(_report[],MATCH(_SCHEDULE_[[#This Row],[CONTEST_CODE]],_report[CONTEST_CODE],0),MATCH($AA$2,_report[#Headers],0)),"-")</f>
        <v>-</v>
      </c>
      <c r="AB29"/>
    </row>
    <row r="30" spans="1:28" hidden="1" x14ac:dyDescent="0.25">
      <c r="A30" s="14" t="s">
        <v>1799</v>
      </c>
      <c r="B30" s="14" t="s">
        <v>174</v>
      </c>
      <c r="C30" s="14" t="s">
        <v>1800</v>
      </c>
      <c r="D30" s="14" t="s">
        <v>1801</v>
      </c>
      <c r="E30" s="14" t="s">
        <v>1802</v>
      </c>
      <c r="F30" s="14" t="s">
        <v>1308</v>
      </c>
      <c r="G30" s="14" t="s">
        <v>1638</v>
      </c>
      <c r="H30" s="14" t="s">
        <v>194</v>
      </c>
      <c r="I30" s="14" t="s">
        <v>194</v>
      </c>
      <c r="J30" s="14" t="s">
        <v>1934</v>
      </c>
      <c r="K30" s="14" t="s">
        <v>155</v>
      </c>
      <c r="L30" s="14" t="s">
        <v>43</v>
      </c>
      <c r="M30" s="14" t="s">
        <v>3599</v>
      </c>
      <c r="N30" s="14" t="s">
        <v>314</v>
      </c>
      <c r="O30" s="14" t="s">
        <v>1803</v>
      </c>
      <c r="P30" s="14" t="s">
        <v>1064</v>
      </c>
      <c r="R30" s="38">
        <f>IFERROR(COUNTIFS(_report[TOURNAMENT_CODE],_SCHEDULE_[[#This Row],[TOURNAMENT_CODE]],_report[CONTEST_CODE],_SCHEDULE_[[#This Row],[CONTEST_CODE]]),"-")</f>
        <v>0</v>
      </c>
      <c r="S30" s="41" t="str">
        <f>SUBSTITUTE(IFERROR(INDEX(_group_[],MATCH(CONCATENATE(_SCHEDULE_[[#This Row],[CONTEST_CODE]],"_",$S$2),_group_[ИД2],0),MATCH($S$1,_group_[#Headers],0)),"---"),".",",")</f>
        <v>BANK</v>
      </c>
      <c r="T30" s="41" t="str">
        <f>SUBSTITUTE(IFERROR(INDEX(_group_[],MATCH(CONCATENATE(_SCHEDULE_[[#This Row],[CONTEST_CODE]],"_",$T$2),_group_[ИД2],0),MATCH($T$1,_group_[#Headers],0)),"---"),".",",")</f>
        <v>---</v>
      </c>
      <c r="U30" s="41" t="str">
        <f>SUBSTITUTE(IFERROR(INDEX(_group_[],MATCH(CONCATENATE(_SCHEDULE_[[#This Row],[CONTEST_CODE]],"_",$U$2),_group_[ИД2],0),MATCH($U$1,_group_[#Headers],0)),"---"),".",",")</f>
        <v>---</v>
      </c>
      <c r="V30" s="41" t="str">
        <f>SUBSTITUTE(IFERROR(INDEX(_group_[],MATCH(CONCATENATE(_SCHEDULE_[[#This Row],[CONTEST_CODE]],"_",$V$2),_group_[ИД2],0),MATCH($V$1,_group_[#Headers],0)),"---"),".",",")</f>
        <v>---</v>
      </c>
      <c r="W30" s="41" t="str">
        <f>IFERROR(INDEX(_INDICATOR_[],MATCH(_SCHEDULE_[[#This Row],[CONTEST_CODE]],_INDICATOR_[CONTEST_CODE],0),MATCH($W$2,_INDICATOR_[#Headers],0)),"-")</f>
        <v>INCOME</v>
      </c>
      <c r="X30" s="41" t="str">
        <f>IFERROR(INDEX(_group_[],MATCH(_SCHEDULE_[[#This Row],[CONTEST_CODE]],_group_[CONTEST_CODE],0),MATCH($X$2,_group_[#Headers],0)),"-")</f>
        <v>BANK</v>
      </c>
      <c r="Y30" s="61" t="str">
        <f>IFERROR(INDEX(_DATA_[],MATCH(_SCHEDULE_[[#This Row],[CONTEST_CODE]],_DATA_[CONTEST_CODE],0),MATCH($Y$2,_DATA_[#Headers],0)),"-")</f>
        <v>Индия сделай х2</v>
      </c>
      <c r="Z30" s="41" t="str">
        <f>IFERROR(INDEX(_reward_link_[],MATCH(_SCHEDULE_[[#This Row],[CONTEST_CODE]],_reward_link_[CONTEST_CODE],0),MATCH($Z$2,_reward_link_[#Headers],0)),"-")</f>
        <v>BANK</v>
      </c>
      <c r="AA30" s="41" t="str">
        <f>IFERROR(INDEX(_report[],MATCH(_SCHEDULE_[[#This Row],[CONTEST_CODE]],_report[CONTEST_CODE],0),MATCH($AA$2,_report[#Headers],0)),"-")</f>
        <v>-</v>
      </c>
      <c r="AB30"/>
    </row>
    <row r="31" spans="1:28" hidden="1" x14ac:dyDescent="0.25">
      <c r="A31" s="14" t="s">
        <v>196</v>
      </c>
      <c r="B31" s="14" t="s">
        <v>152</v>
      </c>
      <c r="C31" s="14" t="s">
        <v>26</v>
      </c>
      <c r="D31" s="14" t="s">
        <v>153</v>
      </c>
      <c r="E31" s="14" t="s">
        <v>158</v>
      </c>
      <c r="F31" s="14" t="s">
        <v>211</v>
      </c>
      <c r="G31" s="14" t="s">
        <v>212</v>
      </c>
      <c r="H31" s="14" t="s">
        <v>194</v>
      </c>
      <c r="I31" s="14" t="s">
        <v>194</v>
      </c>
      <c r="J31" s="14" t="s">
        <v>194</v>
      </c>
      <c r="K31" s="14" t="s">
        <v>155</v>
      </c>
      <c r="L31" s="14" t="s">
        <v>45</v>
      </c>
      <c r="M31" s="14" t="s">
        <v>3599</v>
      </c>
      <c r="N31" s="14" t="s">
        <v>314</v>
      </c>
      <c r="O31" s="14" t="s">
        <v>1493</v>
      </c>
      <c r="P31" s="14" t="s">
        <v>1064</v>
      </c>
      <c r="R31" s="38">
        <f>IFERROR(COUNTIFS(_report[TOURNAMENT_CODE],_SCHEDULE_[[#This Row],[TOURNAMENT_CODE]],_report[CONTEST_CODE],_SCHEDULE_[[#This Row],[CONTEST_CODE]]),"-")</f>
        <v>0</v>
      </c>
      <c r="S31" s="41" t="str">
        <f>SUBSTITUTE(IFERROR(INDEX(_group_[],MATCH(CONCATENATE(_SCHEDULE_[[#This Row],[CONTEST_CODE]],"_",$S$2),_group_[ИД2],0),MATCH($S$1,_group_[#Headers],0)),"---"),".",",")</f>
        <v>BANK</v>
      </c>
      <c r="T31" s="41" t="str">
        <f>SUBSTITUTE(IFERROR(INDEX(_group_[],MATCH(CONCATENATE(_SCHEDULE_[[#This Row],[CONTEST_CODE]],"_",$T$2),_group_[ИД2],0),MATCH($T$1,_group_[#Headers],0)),"---"),".",",")</f>
        <v>---</v>
      </c>
      <c r="U31" s="41" t="str">
        <f>SUBSTITUTE(IFERROR(INDEX(_group_[],MATCH(CONCATENATE(_SCHEDULE_[[#This Row],[CONTEST_CODE]],"_",$U$2),_group_[ИД2],0),MATCH($U$1,_group_[#Headers],0)),"---"),".",",")</f>
        <v>---</v>
      </c>
      <c r="V31" s="41" t="str">
        <f>SUBSTITUTE(IFERROR(INDEX(_group_[],MATCH(CONCATENATE(_SCHEDULE_[[#This Row],[CONTEST_CODE]],"_",$V$2),_group_[ИД2],0),MATCH($V$1,_group_[#Headers],0)),"---"),".",",")</f>
        <v>---</v>
      </c>
      <c r="W31" s="41" t="str">
        <f>IFERROR(INDEX(_INDICATOR_[],MATCH(_SCHEDULE_[[#This Row],[CONTEST_CODE]],_INDICATOR_[CONTEST_CODE],0),MATCH($W$2,_INDICATOR_[#Headers],0)),"-")</f>
        <v>INCOME</v>
      </c>
      <c r="X31" s="41" t="str">
        <f>IFERROR(INDEX(_group_[],MATCH(_SCHEDULE_[[#This Row],[CONTEST_CODE]],_group_[CONTEST_CODE],0),MATCH($X$2,_group_[#Headers],0)),"-")</f>
        <v>BANK</v>
      </c>
      <c r="Y31" s="61" t="str">
        <f>IFERROR(INDEX(_DATA_[],MATCH(_SCHEDULE_[[#This Row],[CONTEST_CODE]],_DATA_[CONTEST_CODE],0),MATCH($Y$2,_DATA_[#Headers],0)),"-")</f>
        <v>Индия сделай х3</v>
      </c>
      <c r="Z31" s="41" t="str">
        <f>IFERROR(INDEX(_reward_link_[],MATCH(_SCHEDULE_[[#This Row],[CONTEST_CODE]],_reward_link_[CONTEST_CODE],0),MATCH($Z$2,_reward_link_[#Headers],0)),"-")</f>
        <v>BANK</v>
      </c>
      <c r="AA31" s="41" t="str">
        <f>IFERROR(INDEX(_report[],MATCH(_SCHEDULE_[[#This Row],[CONTEST_CODE]],_report[CONTEST_CODE],0),MATCH($AA$2,_report[#Headers],0)),"-")</f>
        <v>-</v>
      </c>
      <c r="AB31"/>
    </row>
    <row r="32" spans="1:28" hidden="1" x14ac:dyDescent="0.25">
      <c r="A32" s="14" t="s">
        <v>197</v>
      </c>
      <c r="B32" s="14" t="s">
        <v>152</v>
      </c>
      <c r="C32" s="14" t="s">
        <v>157</v>
      </c>
      <c r="D32" s="14" t="s">
        <v>154</v>
      </c>
      <c r="E32" s="14" t="s">
        <v>158</v>
      </c>
      <c r="F32" s="14" t="s">
        <v>26</v>
      </c>
      <c r="G32" s="14" t="s">
        <v>153</v>
      </c>
      <c r="H32" s="14" t="s">
        <v>194</v>
      </c>
      <c r="I32" s="14" t="s">
        <v>194</v>
      </c>
      <c r="J32" s="14" t="s">
        <v>194</v>
      </c>
      <c r="K32" s="14" t="s">
        <v>155</v>
      </c>
      <c r="L32" s="14" t="s">
        <v>45</v>
      </c>
      <c r="M32" s="14" t="s">
        <v>3599</v>
      </c>
      <c r="N32" s="14" t="s">
        <v>314</v>
      </c>
      <c r="O32" s="14" t="s">
        <v>1494</v>
      </c>
      <c r="P32" s="14" t="s">
        <v>1064</v>
      </c>
      <c r="R32" s="38">
        <f>IFERROR(COUNTIFS(_report[TOURNAMENT_CODE],_SCHEDULE_[[#This Row],[TOURNAMENT_CODE]],_report[CONTEST_CODE],_SCHEDULE_[[#This Row],[CONTEST_CODE]]),"-")</f>
        <v>0</v>
      </c>
      <c r="S32" s="41" t="str">
        <f>SUBSTITUTE(IFERROR(INDEX(_group_[],MATCH(CONCATENATE(_SCHEDULE_[[#This Row],[CONTEST_CODE]],"_",$S$2),_group_[ИД2],0),MATCH($S$1,_group_[#Headers],0)),"---"),".",",")</f>
        <v>BANK</v>
      </c>
      <c r="T32" s="41" t="str">
        <f>SUBSTITUTE(IFERROR(INDEX(_group_[],MATCH(CONCATENATE(_SCHEDULE_[[#This Row],[CONTEST_CODE]],"_",$T$2),_group_[ИД2],0),MATCH($T$1,_group_[#Headers],0)),"---"),".",",")</f>
        <v>---</v>
      </c>
      <c r="U32" s="41" t="str">
        <f>SUBSTITUTE(IFERROR(INDEX(_group_[],MATCH(CONCATENATE(_SCHEDULE_[[#This Row],[CONTEST_CODE]],"_",$U$2),_group_[ИД2],0),MATCH($U$1,_group_[#Headers],0)),"---"),".",",")</f>
        <v>---</v>
      </c>
      <c r="V32" s="41" t="str">
        <f>SUBSTITUTE(IFERROR(INDEX(_group_[],MATCH(CONCATENATE(_SCHEDULE_[[#This Row],[CONTEST_CODE]],"_",$V$2),_group_[ИД2],0),MATCH($V$1,_group_[#Headers],0)),"---"),".",",")</f>
        <v>---</v>
      </c>
      <c r="W32" s="41" t="str">
        <f>IFERROR(INDEX(_INDICATOR_[],MATCH(_SCHEDULE_[[#This Row],[CONTEST_CODE]],_INDICATOR_[CONTEST_CODE],0),MATCH($W$2,_INDICATOR_[#Headers],0)),"-")</f>
        <v>INCOME</v>
      </c>
      <c r="X32" s="41" t="str">
        <f>IFERROR(INDEX(_group_[],MATCH(_SCHEDULE_[[#This Row],[CONTEST_CODE]],_group_[CONTEST_CODE],0),MATCH($X$2,_group_[#Headers],0)),"-")</f>
        <v>BANK</v>
      </c>
      <c r="Y32" s="61" t="str">
        <f>IFERROR(INDEX(_DATA_[],MATCH(_SCHEDULE_[[#This Row],[CONTEST_CODE]],_DATA_[CONTEST_CODE],0),MATCH($Y$2,_DATA_[#Headers],0)),"-")</f>
        <v>Индия сделай х3</v>
      </c>
      <c r="Z32" s="41" t="str">
        <f>IFERROR(INDEX(_reward_link_[],MATCH(_SCHEDULE_[[#This Row],[CONTEST_CODE]],_reward_link_[CONTEST_CODE],0),MATCH($Z$2,_reward_link_[#Headers],0)),"-")</f>
        <v>BANK</v>
      </c>
      <c r="AA32" s="41" t="str">
        <f>IFERROR(INDEX(_report[],MATCH(_SCHEDULE_[[#This Row],[CONTEST_CODE]],_report[CONTEST_CODE],0),MATCH($AA$2,_report[#Headers],0)),"-")</f>
        <v>-</v>
      </c>
      <c r="AB32"/>
    </row>
    <row r="33" spans="1:28" hidden="1" x14ac:dyDescent="0.25">
      <c r="A33" s="14" t="s">
        <v>198</v>
      </c>
      <c r="B33" s="14" t="s">
        <v>152</v>
      </c>
      <c r="C33" s="14" t="s">
        <v>160</v>
      </c>
      <c r="D33" s="14" t="s">
        <v>161</v>
      </c>
      <c r="E33" s="14" t="s">
        <v>162</v>
      </c>
      <c r="F33" s="14" t="s">
        <v>157</v>
      </c>
      <c r="G33" s="14" t="s">
        <v>154</v>
      </c>
      <c r="H33" s="14" t="s">
        <v>194</v>
      </c>
      <c r="I33" s="14" t="s">
        <v>194</v>
      </c>
      <c r="J33" s="14" t="s">
        <v>194</v>
      </c>
      <c r="K33" s="14" t="s">
        <v>155</v>
      </c>
      <c r="L33" s="14" t="s">
        <v>45</v>
      </c>
      <c r="M33" s="14" t="s">
        <v>3599</v>
      </c>
      <c r="N33" s="14" t="s">
        <v>314</v>
      </c>
      <c r="O33" s="14" t="s">
        <v>1495</v>
      </c>
      <c r="P33" s="14" t="s">
        <v>1064</v>
      </c>
      <c r="R33" s="38">
        <f>IFERROR(COUNTIFS(_report[TOURNAMENT_CODE],_SCHEDULE_[[#This Row],[TOURNAMENT_CODE]],_report[CONTEST_CODE],_SCHEDULE_[[#This Row],[CONTEST_CODE]]),"-")</f>
        <v>0</v>
      </c>
      <c r="S33" s="41" t="str">
        <f>SUBSTITUTE(IFERROR(INDEX(_group_[],MATCH(CONCATENATE(_SCHEDULE_[[#This Row],[CONTEST_CODE]],"_",$S$2),_group_[ИД2],0),MATCH($S$1,_group_[#Headers],0)),"---"),".",",")</f>
        <v>BANK</v>
      </c>
      <c r="T33" s="41" t="str">
        <f>SUBSTITUTE(IFERROR(INDEX(_group_[],MATCH(CONCATENATE(_SCHEDULE_[[#This Row],[CONTEST_CODE]],"_",$T$2),_group_[ИД2],0),MATCH($T$1,_group_[#Headers],0)),"---"),".",",")</f>
        <v>---</v>
      </c>
      <c r="U33" s="41" t="str">
        <f>SUBSTITUTE(IFERROR(INDEX(_group_[],MATCH(CONCATENATE(_SCHEDULE_[[#This Row],[CONTEST_CODE]],"_",$U$2),_group_[ИД2],0),MATCH($U$1,_group_[#Headers],0)),"---"),".",",")</f>
        <v>---</v>
      </c>
      <c r="V33" s="41" t="str">
        <f>SUBSTITUTE(IFERROR(INDEX(_group_[],MATCH(CONCATENATE(_SCHEDULE_[[#This Row],[CONTEST_CODE]],"_",$V$2),_group_[ИД2],0),MATCH($V$1,_group_[#Headers],0)),"---"),".",",")</f>
        <v>---</v>
      </c>
      <c r="W33" s="41" t="str">
        <f>IFERROR(INDEX(_INDICATOR_[],MATCH(_SCHEDULE_[[#This Row],[CONTEST_CODE]],_INDICATOR_[CONTEST_CODE],0),MATCH($W$2,_INDICATOR_[#Headers],0)),"-")</f>
        <v>INCOME</v>
      </c>
      <c r="X33" s="41" t="str">
        <f>IFERROR(INDEX(_group_[],MATCH(_SCHEDULE_[[#This Row],[CONTEST_CODE]],_group_[CONTEST_CODE],0),MATCH($X$2,_group_[#Headers],0)),"-")</f>
        <v>BANK</v>
      </c>
      <c r="Y33" s="61" t="str">
        <f>IFERROR(INDEX(_DATA_[],MATCH(_SCHEDULE_[[#This Row],[CONTEST_CODE]],_DATA_[CONTEST_CODE],0),MATCH($Y$2,_DATA_[#Headers],0)),"-")</f>
        <v>Индия сделай х3</v>
      </c>
      <c r="Z33" s="41" t="str">
        <f>IFERROR(INDEX(_reward_link_[],MATCH(_SCHEDULE_[[#This Row],[CONTEST_CODE]],_reward_link_[CONTEST_CODE],0),MATCH($Z$2,_reward_link_[#Headers],0)),"-")</f>
        <v>BANK</v>
      </c>
      <c r="AA33" s="41" t="str">
        <f>IFERROR(INDEX(_report[],MATCH(_SCHEDULE_[[#This Row],[CONTEST_CODE]],_report[CONTEST_CODE],0),MATCH($AA$2,_report[#Headers],0)),"-")</f>
        <v>-</v>
      </c>
      <c r="AB33"/>
    </row>
    <row r="34" spans="1:28" hidden="1" x14ac:dyDescent="0.25">
      <c r="A34" s="14" t="s">
        <v>199</v>
      </c>
      <c r="B34" s="14" t="s">
        <v>152</v>
      </c>
      <c r="C34" s="14" t="s">
        <v>147</v>
      </c>
      <c r="D34" s="14" t="s">
        <v>164</v>
      </c>
      <c r="E34" s="14" t="s">
        <v>165</v>
      </c>
      <c r="F34" s="14" t="s">
        <v>160</v>
      </c>
      <c r="G34" s="14" t="s">
        <v>161</v>
      </c>
      <c r="H34" s="14" t="s">
        <v>194</v>
      </c>
      <c r="I34" s="14" t="s">
        <v>194</v>
      </c>
      <c r="J34" s="14" t="s">
        <v>194</v>
      </c>
      <c r="K34" s="14" t="s">
        <v>155</v>
      </c>
      <c r="L34" s="14" t="s">
        <v>45</v>
      </c>
      <c r="M34" s="14" t="s">
        <v>3599</v>
      </c>
      <c r="N34" s="14" t="s">
        <v>314</v>
      </c>
      <c r="O34" s="14" t="s">
        <v>1496</v>
      </c>
      <c r="P34" s="14" t="s">
        <v>1064</v>
      </c>
      <c r="R34" s="38">
        <f>IFERROR(COUNTIFS(_report[TOURNAMENT_CODE],_SCHEDULE_[[#This Row],[TOURNAMENT_CODE]],_report[CONTEST_CODE],_SCHEDULE_[[#This Row],[CONTEST_CODE]]),"-")</f>
        <v>0</v>
      </c>
      <c r="S34" s="41" t="str">
        <f>SUBSTITUTE(IFERROR(INDEX(_group_[],MATCH(CONCATENATE(_SCHEDULE_[[#This Row],[CONTEST_CODE]],"_",$S$2),_group_[ИД2],0),MATCH($S$1,_group_[#Headers],0)),"---"),".",",")</f>
        <v>BANK</v>
      </c>
      <c r="T34" s="41" t="str">
        <f>SUBSTITUTE(IFERROR(INDEX(_group_[],MATCH(CONCATENATE(_SCHEDULE_[[#This Row],[CONTEST_CODE]],"_",$T$2),_group_[ИД2],0),MATCH($T$1,_group_[#Headers],0)),"---"),".",",")</f>
        <v>---</v>
      </c>
      <c r="U34" s="41" t="str">
        <f>SUBSTITUTE(IFERROR(INDEX(_group_[],MATCH(CONCATENATE(_SCHEDULE_[[#This Row],[CONTEST_CODE]],"_",$U$2),_group_[ИД2],0),MATCH($U$1,_group_[#Headers],0)),"---"),".",",")</f>
        <v>---</v>
      </c>
      <c r="V34" s="41" t="str">
        <f>SUBSTITUTE(IFERROR(INDEX(_group_[],MATCH(CONCATENATE(_SCHEDULE_[[#This Row],[CONTEST_CODE]],"_",$V$2),_group_[ИД2],0),MATCH($V$1,_group_[#Headers],0)),"---"),".",",")</f>
        <v>---</v>
      </c>
      <c r="W34" s="41" t="str">
        <f>IFERROR(INDEX(_INDICATOR_[],MATCH(_SCHEDULE_[[#This Row],[CONTEST_CODE]],_INDICATOR_[CONTEST_CODE],0),MATCH($W$2,_INDICATOR_[#Headers],0)),"-")</f>
        <v>INCOME</v>
      </c>
      <c r="X34" s="41" t="str">
        <f>IFERROR(INDEX(_group_[],MATCH(_SCHEDULE_[[#This Row],[CONTEST_CODE]],_group_[CONTEST_CODE],0),MATCH($X$2,_group_[#Headers],0)),"-")</f>
        <v>BANK</v>
      </c>
      <c r="Y34" s="61" t="str">
        <f>IFERROR(INDEX(_DATA_[],MATCH(_SCHEDULE_[[#This Row],[CONTEST_CODE]],_DATA_[CONTEST_CODE],0),MATCH($Y$2,_DATA_[#Headers],0)),"-")</f>
        <v>Индия сделай х3</v>
      </c>
      <c r="Z34" s="41" t="str">
        <f>IFERROR(INDEX(_reward_link_[],MATCH(_SCHEDULE_[[#This Row],[CONTEST_CODE]],_reward_link_[CONTEST_CODE],0),MATCH($Z$2,_reward_link_[#Headers],0)),"-")</f>
        <v>BANK</v>
      </c>
      <c r="AA34" s="41" t="str">
        <f>IFERROR(INDEX(_report[],MATCH(_SCHEDULE_[[#This Row],[CONTEST_CODE]],_report[CONTEST_CODE],0),MATCH($AA$2,_report[#Headers],0)),"-")</f>
        <v>-</v>
      </c>
      <c r="AB34"/>
    </row>
    <row r="35" spans="1:28" hidden="1" x14ac:dyDescent="0.25">
      <c r="A35" s="14" t="s">
        <v>200</v>
      </c>
      <c r="B35" s="14" t="s">
        <v>152</v>
      </c>
      <c r="C35" s="14" t="s">
        <v>76</v>
      </c>
      <c r="D35" s="14" t="s">
        <v>167</v>
      </c>
      <c r="E35" s="14" t="s">
        <v>168</v>
      </c>
      <c r="F35" s="14" t="s">
        <v>147</v>
      </c>
      <c r="G35" s="14" t="s">
        <v>164</v>
      </c>
      <c r="H35" s="14" t="s">
        <v>194</v>
      </c>
      <c r="I35" s="14" t="s">
        <v>194</v>
      </c>
      <c r="J35" s="14" t="s">
        <v>194</v>
      </c>
      <c r="K35" s="14" t="s">
        <v>155</v>
      </c>
      <c r="L35" s="14" t="s">
        <v>45</v>
      </c>
      <c r="M35" s="14" t="s">
        <v>3599</v>
      </c>
      <c r="N35" s="14" t="s">
        <v>314</v>
      </c>
      <c r="O35" s="14" t="s">
        <v>1497</v>
      </c>
      <c r="P35" s="14" t="s">
        <v>1064</v>
      </c>
      <c r="R35" s="38">
        <f>IFERROR(COUNTIFS(_report[TOURNAMENT_CODE],_SCHEDULE_[[#This Row],[TOURNAMENT_CODE]],_report[CONTEST_CODE],_SCHEDULE_[[#This Row],[CONTEST_CODE]]),"-")</f>
        <v>0</v>
      </c>
      <c r="S35" s="41" t="str">
        <f>SUBSTITUTE(IFERROR(INDEX(_group_[],MATCH(CONCATENATE(_SCHEDULE_[[#This Row],[CONTEST_CODE]],"_",$S$2),_group_[ИД2],0),MATCH($S$1,_group_[#Headers],0)),"---"),".",",")</f>
        <v>BANK</v>
      </c>
      <c r="T35" s="41" t="str">
        <f>SUBSTITUTE(IFERROR(INDEX(_group_[],MATCH(CONCATENATE(_SCHEDULE_[[#This Row],[CONTEST_CODE]],"_",$T$2),_group_[ИД2],0),MATCH($T$1,_group_[#Headers],0)),"---"),".",",")</f>
        <v>---</v>
      </c>
      <c r="U35" s="41" t="str">
        <f>SUBSTITUTE(IFERROR(INDEX(_group_[],MATCH(CONCATENATE(_SCHEDULE_[[#This Row],[CONTEST_CODE]],"_",$U$2),_group_[ИД2],0),MATCH($U$1,_group_[#Headers],0)),"---"),".",",")</f>
        <v>---</v>
      </c>
      <c r="V35" s="41" t="str">
        <f>SUBSTITUTE(IFERROR(INDEX(_group_[],MATCH(CONCATENATE(_SCHEDULE_[[#This Row],[CONTEST_CODE]],"_",$V$2),_group_[ИД2],0),MATCH($V$1,_group_[#Headers],0)),"---"),".",",")</f>
        <v>---</v>
      </c>
      <c r="W35" s="41" t="str">
        <f>IFERROR(INDEX(_INDICATOR_[],MATCH(_SCHEDULE_[[#This Row],[CONTEST_CODE]],_INDICATOR_[CONTEST_CODE],0),MATCH($W$2,_INDICATOR_[#Headers],0)),"-")</f>
        <v>INCOME</v>
      </c>
      <c r="X35" s="41" t="str">
        <f>IFERROR(INDEX(_group_[],MATCH(_SCHEDULE_[[#This Row],[CONTEST_CODE]],_group_[CONTEST_CODE],0),MATCH($X$2,_group_[#Headers],0)),"-")</f>
        <v>BANK</v>
      </c>
      <c r="Y35" s="61" t="str">
        <f>IFERROR(INDEX(_DATA_[],MATCH(_SCHEDULE_[[#This Row],[CONTEST_CODE]],_DATA_[CONTEST_CODE],0),MATCH($Y$2,_DATA_[#Headers],0)),"-")</f>
        <v>Индия сделай х3</v>
      </c>
      <c r="Z35" s="41" t="str">
        <f>IFERROR(INDEX(_reward_link_[],MATCH(_SCHEDULE_[[#This Row],[CONTEST_CODE]],_reward_link_[CONTEST_CODE],0),MATCH($Z$2,_reward_link_[#Headers],0)),"-")</f>
        <v>BANK</v>
      </c>
      <c r="AA35" s="41" t="str">
        <f>IFERROR(INDEX(_report[],MATCH(_SCHEDULE_[[#This Row],[CONTEST_CODE]],_report[CONTEST_CODE],0),MATCH($AA$2,_report[#Headers],0)),"-")</f>
        <v>-</v>
      </c>
      <c r="AB35"/>
    </row>
    <row r="36" spans="1:28" hidden="1" x14ac:dyDescent="0.25">
      <c r="A36" s="14" t="s">
        <v>201</v>
      </c>
      <c r="B36" s="14" t="s">
        <v>152</v>
      </c>
      <c r="C36" s="14" t="s">
        <v>170</v>
      </c>
      <c r="D36" s="14" t="s">
        <v>171</v>
      </c>
      <c r="E36" s="14" t="s">
        <v>172</v>
      </c>
      <c r="F36" s="14" t="s">
        <v>76</v>
      </c>
      <c r="G36" s="14" t="s">
        <v>167</v>
      </c>
      <c r="H36" s="14" t="s">
        <v>194</v>
      </c>
      <c r="I36" s="14" t="s">
        <v>194</v>
      </c>
      <c r="J36" s="14" t="s">
        <v>194</v>
      </c>
      <c r="K36" s="14" t="s">
        <v>155</v>
      </c>
      <c r="L36" s="14" t="s">
        <v>45</v>
      </c>
      <c r="M36" s="14" t="s">
        <v>3599</v>
      </c>
      <c r="N36" s="14" t="s">
        <v>314</v>
      </c>
      <c r="O36" s="14" t="s">
        <v>1498</v>
      </c>
      <c r="P36" s="14" t="s">
        <v>1064</v>
      </c>
      <c r="R36" s="38">
        <f>IFERROR(COUNTIFS(_report[TOURNAMENT_CODE],_SCHEDULE_[[#This Row],[TOURNAMENT_CODE]],_report[CONTEST_CODE],_SCHEDULE_[[#This Row],[CONTEST_CODE]]),"-")</f>
        <v>0</v>
      </c>
      <c r="S36" s="41" t="str">
        <f>SUBSTITUTE(IFERROR(INDEX(_group_[],MATCH(CONCATENATE(_SCHEDULE_[[#This Row],[CONTEST_CODE]],"_",$S$2),_group_[ИД2],0),MATCH($S$1,_group_[#Headers],0)),"---"),".",",")</f>
        <v>BANK</v>
      </c>
      <c r="T36" s="41" t="str">
        <f>SUBSTITUTE(IFERROR(INDEX(_group_[],MATCH(CONCATENATE(_SCHEDULE_[[#This Row],[CONTEST_CODE]],"_",$T$2),_group_[ИД2],0),MATCH($T$1,_group_[#Headers],0)),"---"),".",",")</f>
        <v>---</v>
      </c>
      <c r="U36" s="41" t="str">
        <f>SUBSTITUTE(IFERROR(INDEX(_group_[],MATCH(CONCATENATE(_SCHEDULE_[[#This Row],[CONTEST_CODE]],"_",$U$2),_group_[ИД2],0),MATCH($U$1,_group_[#Headers],0)),"---"),".",",")</f>
        <v>---</v>
      </c>
      <c r="V36" s="41" t="str">
        <f>SUBSTITUTE(IFERROR(INDEX(_group_[],MATCH(CONCATENATE(_SCHEDULE_[[#This Row],[CONTEST_CODE]],"_",$V$2),_group_[ИД2],0),MATCH($V$1,_group_[#Headers],0)),"---"),".",",")</f>
        <v>---</v>
      </c>
      <c r="W36" s="41" t="str">
        <f>IFERROR(INDEX(_INDICATOR_[],MATCH(_SCHEDULE_[[#This Row],[CONTEST_CODE]],_INDICATOR_[CONTEST_CODE],0),MATCH($W$2,_INDICATOR_[#Headers],0)),"-")</f>
        <v>INCOME</v>
      </c>
      <c r="X36" s="41" t="str">
        <f>IFERROR(INDEX(_group_[],MATCH(_SCHEDULE_[[#This Row],[CONTEST_CODE]],_group_[CONTEST_CODE],0),MATCH($X$2,_group_[#Headers],0)),"-")</f>
        <v>BANK</v>
      </c>
      <c r="Y36" s="61" t="str">
        <f>IFERROR(INDEX(_DATA_[],MATCH(_SCHEDULE_[[#This Row],[CONTEST_CODE]],_DATA_[CONTEST_CODE],0),MATCH($Y$2,_DATA_[#Headers],0)),"-")</f>
        <v>Индия сделай х3</v>
      </c>
      <c r="Z36" s="41" t="str">
        <f>IFERROR(INDEX(_reward_link_[],MATCH(_SCHEDULE_[[#This Row],[CONTEST_CODE]],_reward_link_[CONTEST_CODE],0),MATCH($Z$2,_reward_link_[#Headers],0)),"-")</f>
        <v>BANK</v>
      </c>
      <c r="AA36" s="41" t="str">
        <f>IFERROR(INDEX(_report[],MATCH(_SCHEDULE_[[#This Row],[CONTEST_CODE]],_report[CONTEST_CODE],0),MATCH($AA$2,_report[#Headers],0)),"-")</f>
        <v>-</v>
      </c>
      <c r="AB36"/>
    </row>
    <row r="37" spans="1:28" hidden="1" x14ac:dyDescent="0.25">
      <c r="A37" s="14" t="s">
        <v>202</v>
      </c>
      <c r="B37" s="14" t="s">
        <v>152</v>
      </c>
      <c r="C37" s="14" t="s">
        <v>26</v>
      </c>
      <c r="D37" s="14" t="s">
        <v>153</v>
      </c>
      <c r="E37" s="14" t="s">
        <v>154</v>
      </c>
      <c r="F37" s="14" t="s">
        <v>211</v>
      </c>
      <c r="G37" s="14" t="s">
        <v>212</v>
      </c>
      <c r="H37" s="14" t="s">
        <v>194</v>
      </c>
      <c r="I37" s="14" t="s">
        <v>194</v>
      </c>
      <c r="J37" s="14" t="s">
        <v>194</v>
      </c>
      <c r="K37" s="14" t="s">
        <v>155</v>
      </c>
      <c r="L37" s="14" t="s">
        <v>47</v>
      </c>
      <c r="M37" s="14" t="s">
        <v>3599</v>
      </c>
      <c r="N37" s="14" t="s">
        <v>314</v>
      </c>
      <c r="O37" s="14" t="s">
        <v>1499</v>
      </c>
      <c r="P37" s="14" t="s">
        <v>1064</v>
      </c>
      <c r="R37" s="38">
        <f>IFERROR(COUNTIFS(_report[TOURNAMENT_CODE],_SCHEDULE_[[#This Row],[TOURNAMENT_CODE]],_report[CONTEST_CODE],_SCHEDULE_[[#This Row],[CONTEST_CODE]]),"-")</f>
        <v>0</v>
      </c>
      <c r="S37" s="41" t="str">
        <f>SUBSTITUTE(IFERROR(INDEX(_group_[],MATCH(CONCATENATE(_SCHEDULE_[[#This Row],[CONTEST_CODE]],"_",$S$2),_group_[ИД2],0),MATCH($S$1,_group_[#Headers],0)),"---"),".",",")</f>
        <v>BANK</v>
      </c>
      <c r="T37" s="41" t="str">
        <f>SUBSTITUTE(IFERROR(INDEX(_group_[],MATCH(CONCATENATE(_SCHEDULE_[[#This Row],[CONTEST_CODE]],"_",$T$2),_group_[ИД2],0),MATCH($T$1,_group_[#Headers],0)),"---"),".",",")</f>
        <v>---</v>
      </c>
      <c r="U37" s="41" t="str">
        <f>SUBSTITUTE(IFERROR(INDEX(_group_[],MATCH(CONCATENATE(_SCHEDULE_[[#This Row],[CONTEST_CODE]],"_",$U$2),_group_[ИД2],0),MATCH($U$1,_group_[#Headers],0)),"---"),".",",")</f>
        <v>---</v>
      </c>
      <c r="V37" s="41" t="str">
        <f>SUBSTITUTE(IFERROR(INDEX(_group_[],MATCH(CONCATENATE(_SCHEDULE_[[#This Row],[CONTEST_CODE]],"_",$V$2),_group_[ИД2],0),MATCH($V$1,_group_[#Headers],0)),"---"),".",",")</f>
        <v>---</v>
      </c>
      <c r="W37" s="41" t="str">
        <f>IFERROR(INDEX(_INDICATOR_[],MATCH(_SCHEDULE_[[#This Row],[CONTEST_CODE]],_INDICATOR_[CONTEST_CODE],0),MATCH($W$2,_INDICATOR_[#Headers],0)),"-")</f>
        <v>INCOME</v>
      </c>
      <c r="X37" s="41" t="str">
        <f>IFERROR(INDEX(_group_[],MATCH(_SCHEDULE_[[#This Row],[CONTEST_CODE]],_group_[CONTEST_CODE],0),MATCH($X$2,_group_[#Headers],0)),"-")</f>
        <v>BANK</v>
      </c>
      <c r="Y37" s="61" t="str">
        <f>IFERROR(INDEX(_DATA_[],MATCH(_SCHEDULE_[[#This Row],[CONTEST_CODE]],_DATA_[CONTEST_CODE],0),MATCH($Y$2,_DATA_[#Headers],0)),"-")</f>
        <v>Индия сделай х4</v>
      </c>
      <c r="Z37" s="41" t="str">
        <f>IFERROR(INDEX(_reward_link_[],MATCH(_SCHEDULE_[[#This Row],[CONTEST_CODE]],_reward_link_[CONTEST_CODE],0),MATCH($Z$2,_reward_link_[#Headers],0)),"-")</f>
        <v>BANK</v>
      </c>
      <c r="AA37" s="41" t="str">
        <f>IFERROR(INDEX(_report[],MATCH(_SCHEDULE_[[#This Row],[CONTEST_CODE]],_report[CONTEST_CODE],0),MATCH($AA$2,_report[#Headers],0)),"-")</f>
        <v>-</v>
      </c>
      <c r="AB37"/>
    </row>
    <row r="38" spans="1:28" hidden="1" x14ac:dyDescent="0.25">
      <c r="A38" s="14" t="s">
        <v>203</v>
      </c>
      <c r="B38" s="14" t="s">
        <v>152</v>
      </c>
      <c r="C38" s="14" t="s">
        <v>157</v>
      </c>
      <c r="D38" s="14" t="s">
        <v>154</v>
      </c>
      <c r="E38" s="14" t="s">
        <v>158</v>
      </c>
      <c r="F38" s="14" t="s">
        <v>26</v>
      </c>
      <c r="G38" s="14" t="s">
        <v>153</v>
      </c>
      <c r="H38" s="14" t="s">
        <v>194</v>
      </c>
      <c r="I38" s="14" t="s">
        <v>194</v>
      </c>
      <c r="J38" s="14" t="s">
        <v>194</v>
      </c>
      <c r="K38" s="14" t="s">
        <v>155</v>
      </c>
      <c r="L38" s="14" t="s">
        <v>47</v>
      </c>
      <c r="M38" s="14" t="s">
        <v>3599</v>
      </c>
      <c r="N38" s="14" t="s">
        <v>314</v>
      </c>
      <c r="O38" s="14" t="s">
        <v>1500</v>
      </c>
      <c r="P38" s="14" t="s">
        <v>1064</v>
      </c>
      <c r="R38" s="38">
        <f>IFERROR(COUNTIFS(_report[TOURNAMENT_CODE],_SCHEDULE_[[#This Row],[TOURNAMENT_CODE]],_report[CONTEST_CODE],_SCHEDULE_[[#This Row],[CONTEST_CODE]]),"-")</f>
        <v>0</v>
      </c>
      <c r="S38" s="41" t="str">
        <f>SUBSTITUTE(IFERROR(INDEX(_group_[],MATCH(CONCATENATE(_SCHEDULE_[[#This Row],[CONTEST_CODE]],"_",$S$2),_group_[ИД2],0),MATCH($S$1,_group_[#Headers],0)),"---"),".",",")</f>
        <v>BANK</v>
      </c>
      <c r="T38" s="41" t="str">
        <f>SUBSTITUTE(IFERROR(INDEX(_group_[],MATCH(CONCATENATE(_SCHEDULE_[[#This Row],[CONTEST_CODE]],"_",$T$2),_group_[ИД2],0),MATCH($T$1,_group_[#Headers],0)),"---"),".",",")</f>
        <v>---</v>
      </c>
      <c r="U38" s="41" t="str">
        <f>SUBSTITUTE(IFERROR(INDEX(_group_[],MATCH(CONCATENATE(_SCHEDULE_[[#This Row],[CONTEST_CODE]],"_",$U$2),_group_[ИД2],0),MATCH($U$1,_group_[#Headers],0)),"---"),".",",")</f>
        <v>---</v>
      </c>
      <c r="V38" s="41" t="str">
        <f>SUBSTITUTE(IFERROR(INDEX(_group_[],MATCH(CONCATENATE(_SCHEDULE_[[#This Row],[CONTEST_CODE]],"_",$V$2),_group_[ИД2],0),MATCH($V$1,_group_[#Headers],0)),"---"),".",",")</f>
        <v>---</v>
      </c>
      <c r="W38" s="41" t="str">
        <f>IFERROR(INDEX(_INDICATOR_[],MATCH(_SCHEDULE_[[#This Row],[CONTEST_CODE]],_INDICATOR_[CONTEST_CODE],0),MATCH($W$2,_INDICATOR_[#Headers],0)),"-")</f>
        <v>INCOME</v>
      </c>
      <c r="X38" s="41" t="str">
        <f>IFERROR(INDEX(_group_[],MATCH(_SCHEDULE_[[#This Row],[CONTEST_CODE]],_group_[CONTEST_CODE],0),MATCH($X$2,_group_[#Headers],0)),"-")</f>
        <v>BANK</v>
      </c>
      <c r="Y38" s="61" t="str">
        <f>IFERROR(INDEX(_DATA_[],MATCH(_SCHEDULE_[[#This Row],[CONTEST_CODE]],_DATA_[CONTEST_CODE],0),MATCH($Y$2,_DATA_[#Headers],0)),"-")</f>
        <v>Индия сделай х4</v>
      </c>
      <c r="Z38" s="41" t="str">
        <f>IFERROR(INDEX(_reward_link_[],MATCH(_SCHEDULE_[[#This Row],[CONTEST_CODE]],_reward_link_[CONTEST_CODE],0),MATCH($Z$2,_reward_link_[#Headers],0)),"-")</f>
        <v>BANK</v>
      </c>
      <c r="AA38" s="41" t="str">
        <f>IFERROR(INDEX(_report[],MATCH(_SCHEDULE_[[#This Row],[CONTEST_CODE]],_report[CONTEST_CODE],0),MATCH($AA$2,_report[#Headers],0)),"-")</f>
        <v>-</v>
      </c>
      <c r="AB38"/>
    </row>
    <row r="39" spans="1:28" hidden="1" x14ac:dyDescent="0.25">
      <c r="A39" s="14" t="s">
        <v>204</v>
      </c>
      <c r="B39" s="14" t="s">
        <v>152</v>
      </c>
      <c r="C39" s="14" t="s">
        <v>160</v>
      </c>
      <c r="D39" s="14" t="s">
        <v>161</v>
      </c>
      <c r="E39" s="14" t="s">
        <v>162</v>
      </c>
      <c r="F39" s="14" t="s">
        <v>157</v>
      </c>
      <c r="G39" s="14" t="s">
        <v>154</v>
      </c>
      <c r="H39" s="14" t="s">
        <v>194</v>
      </c>
      <c r="I39" s="14" t="s">
        <v>194</v>
      </c>
      <c r="J39" s="14" t="s">
        <v>194</v>
      </c>
      <c r="K39" s="14" t="s">
        <v>155</v>
      </c>
      <c r="L39" s="14" t="s">
        <v>47</v>
      </c>
      <c r="M39" s="14" t="s">
        <v>3599</v>
      </c>
      <c r="N39" s="14" t="s">
        <v>314</v>
      </c>
      <c r="O39" s="14" t="s">
        <v>1501</v>
      </c>
      <c r="P39" s="14" t="s">
        <v>1064</v>
      </c>
      <c r="R39" s="38">
        <f>IFERROR(COUNTIFS(_report[TOURNAMENT_CODE],_SCHEDULE_[[#This Row],[TOURNAMENT_CODE]],_report[CONTEST_CODE],_SCHEDULE_[[#This Row],[CONTEST_CODE]]),"-")</f>
        <v>0</v>
      </c>
      <c r="S39" s="41" t="str">
        <f>SUBSTITUTE(IFERROR(INDEX(_group_[],MATCH(CONCATENATE(_SCHEDULE_[[#This Row],[CONTEST_CODE]],"_",$S$2),_group_[ИД2],0),MATCH($S$1,_group_[#Headers],0)),"---"),".",",")</f>
        <v>BANK</v>
      </c>
      <c r="T39" s="41" t="str">
        <f>SUBSTITUTE(IFERROR(INDEX(_group_[],MATCH(CONCATENATE(_SCHEDULE_[[#This Row],[CONTEST_CODE]],"_",$T$2),_group_[ИД2],0),MATCH($T$1,_group_[#Headers],0)),"---"),".",",")</f>
        <v>---</v>
      </c>
      <c r="U39" s="41" t="str">
        <f>SUBSTITUTE(IFERROR(INDEX(_group_[],MATCH(CONCATENATE(_SCHEDULE_[[#This Row],[CONTEST_CODE]],"_",$U$2),_group_[ИД2],0),MATCH($U$1,_group_[#Headers],0)),"---"),".",",")</f>
        <v>---</v>
      </c>
      <c r="V39" s="41" t="str">
        <f>SUBSTITUTE(IFERROR(INDEX(_group_[],MATCH(CONCATENATE(_SCHEDULE_[[#This Row],[CONTEST_CODE]],"_",$V$2),_group_[ИД2],0),MATCH($V$1,_group_[#Headers],0)),"---"),".",",")</f>
        <v>---</v>
      </c>
      <c r="W39" s="41" t="str">
        <f>IFERROR(INDEX(_INDICATOR_[],MATCH(_SCHEDULE_[[#This Row],[CONTEST_CODE]],_INDICATOR_[CONTEST_CODE],0),MATCH($W$2,_INDICATOR_[#Headers],0)),"-")</f>
        <v>INCOME</v>
      </c>
      <c r="X39" s="41" t="str">
        <f>IFERROR(INDEX(_group_[],MATCH(_SCHEDULE_[[#This Row],[CONTEST_CODE]],_group_[CONTEST_CODE],0),MATCH($X$2,_group_[#Headers],0)),"-")</f>
        <v>BANK</v>
      </c>
      <c r="Y39" s="61" t="str">
        <f>IFERROR(INDEX(_DATA_[],MATCH(_SCHEDULE_[[#This Row],[CONTEST_CODE]],_DATA_[CONTEST_CODE],0),MATCH($Y$2,_DATA_[#Headers],0)),"-")</f>
        <v>Индия сделай х4</v>
      </c>
      <c r="Z39" s="41" t="str">
        <f>IFERROR(INDEX(_reward_link_[],MATCH(_SCHEDULE_[[#This Row],[CONTEST_CODE]],_reward_link_[CONTEST_CODE],0),MATCH($Z$2,_reward_link_[#Headers],0)),"-")</f>
        <v>BANK</v>
      </c>
      <c r="AA39" s="41" t="str">
        <f>IFERROR(INDEX(_report[],MATCH(_SCHEDULE_[[#This Row],[CONTEST_CODE]],_report[CONTEST_CODE],0),MATCH($AA$2,_report[#Headers],0)),"-")</f>
        <v>-</v>
      </c>
      <c r="AB39"/>
    </row>
    <row r="40" spans="1:28" hidden="1" x14ac:dyDescent="0.25">
      <c r="A40" s="14" t="s">
        <v>205</v>
      </c>
      <c r="B40" s="14" t="s">
        <v>152</v>
      </c>
      <c r="C40" s="14" t="s">
        <v>147</v>
      </c>
      <c r="D40" s="14" t="s">
        <v>164</v>
      </c>
      <c r="E40" s="14" t="s">
        <v>165</v>
      </c>
      <c r="F40" s="14" t="s">
        <v>160</v>
      </c>
      <c r="G40" s="14" t="s">
        <v>161</v>
      </c>
      <c r="H40" s="14" t="s">
        <v>194</v>
      </c>
      <c r="I40" s="14" t="s">
        <v>194</v>
      </c>
      <c r="J40" s="14" t="s">
        <v>194</v>
      </c>
      <c r="K40" s="14" t="s">
        <v>155</v>
      </c>
      <c r="L40" s="14" t="s">
        <v>47</v>
      </c>
      <c r="M40" s="14" t="s">
        <v>3599</v>
      </c>
      <c r="N40" s="14" t="s">
        <v>314</v>
      </c>
      <c r="O40" s="14" t="s">
        <v>1502</v>
      </c>
      <c r="P40" s="14" t="s">
        <v>1064</v>
      </c>
      <c r="R40" s="38">
        <f>IFERROR(COUNTIFS(_report[TOURNAMENT_CODE],_SCHEDULE_[[#This Row],[TOURNAMENT_CODE]],_report[CONTEST_CODE],_SCHEDULE_[[#This Row],[CONTEST_CODE]]),"-")</f>
        <v>0</v>
      </c>
      <c r="S40" s="41" t="str">
        <f>SUBSTITUTE(IFERROR(INDEX(_group_[],MATCH(CONCATENATE(_SCHEDULE_[[#This Row],[CONTEST_CODE]],"_",$S$2),_group_[ИД2],0),MATCH($S$1,_group_[#Headers],0)),"---"),".",",")</f>
        <v>BANK</v>
      </c>
      <c r="T40" s="41" t="str">
        <f>SUBSTITUTE(IFERROR(INDEX(_group_[],MATCH(CONCATENATE(_SCHEDULE_[[#This Row],[CONTEST_CODE]],"_",$T$2),_group_[ИД2],0),MATCH($T$1,_group_[#Headers],0)),"---"),".",",")</f>
        <v>---</v>
      </c>
      <c r="U40" s="41" t="str">
        <f>SUBSTITUTE(IFERROR(INDEX(_group_[],MATCH(CONCATENATE(_SCHEDULE_[[#This Row],[CONTEST_CODE]],"_",$U$2),_group_[ИД2],0),MATCH($U$1,_group_[#Headers],0)),"---"),".",",")</f>
        <v>---</v>
      </c>
      <c r="V40" s="41" t="str">
        <f>SUBSTITUTE(IFERROR(INDEX(_group_[],MATCH(CONCATENATE(_SCHEDULE_[[#This Row],[CONTEST_CODE]],"_",$V$2),_group_[ИД2],0),MATCH($V$1,_group_[#Headers],0)),"---"),".",",")</f>
        <v>---</v>
      </c>
      <c r="W40" s="41" t="str">
        <f>IFERROR(INDEX(_INDICATOR_[],MATCH(_SCHEDULE_[[#This Row],[CONTEST_CODE]],_INDICATOR_[CONTEST_CODE],0),MATCH($W$2,_INDICATOR_[#Headers],0)),"-")</f>
        <v>INCOME</v>
      </c>
      <c r="X40" s="41" t="str">
        <f>IFERROR(INDEX(_group_[],MATCH(_SCHEDULE_[[#This Row],[CONTEST_CODE]],_group_[CONTEST_CODE],0),MATCH($X$2,_group_[#Headers],0)),"-")</f>
        <v>BANK</v>
      </c>
      <c r="Y40" s="61" t="str">
        <f>IFERROR(INDEX(_DATA_[],MATCH(_SCHEDULE_[[#This Row],[CONTEST_CODE]],_DATA_[CONTEST_CODE],0),MATCH($Y$2,_DATA_[#Headers],0)),"-")</f>
        <v>Индия сделай х4</v>
      </c>
      <c r="Z40" s="41" t="str">
        <f>IFERROR(INDEX(_reward_link_[],MATCH(_SCHEDULE_[[#This Row],[CONTEST_CODE]],_reward_link_[CONTEST_CODE],0),MATCH($Z$2,_reward_link_[#Headers],0)),"-")</f>
        <v>BANK</v>
      </c>
      <c r="AA40" s="41" t="str">
        <f>IFERROR(INDEX(_report[],MATCH(_SCHEDULE_[[#This Row],[CONTEST_CODE]],_report[CONTEST_CODE],0),MATCH($AA$2,_report[#Headers],0)),"-")</f>
        <v>-</v>
      </c>
      <c r="AB40"/>
    </row>
    <row r="41" spans="1:28" hidden="1" x14ac:dyDescent="0.25">
      <c r="A41" s="14" t="s">
        <v>206</v>
      </c>
      <c r="B41" s="14" t="s">
        <v>152</v>
      </c>
      <c r="C41" s="14" t="s">
        <v>76</v>
      </c>
      <c r="D41" s="14" t="s">
        <v>167</v>
      </c>
      <c r="E41" s="14" t="s">
        <v>168</v>
      </c>
      <c r="F41" s="14" t="s">
        <v>147</v>
      </c>
      <c r="G41" s="14" t="s">
        <v>164</v>
      </c>
      <c r="H41" s="14" t="s">
        <v>194</v>
      </c>
      <c r="I41" s="14" t="s">
        <v>194</v>
      </c>
      <c r="J41" s="14" t="s">
        <v>194</v>
      </c>
      <c r="K41" s="14" t="s">
        <v>155</v>
      </c>
      <c r="L41" s="14" t="s">
        <v>47</v>
      </c>
      <c r="M41" s="14" t="s">
        <v>3599</v>
      </c>
      <c r="N41" s="14" t="s">
        <v>314</v>
      </c>
      <c r="O41" s="14" t="s">
        <v>1503</v>
      </c>
      <c r="P41" s="14" t="s">
        <v>1064</v>
      </c>
      <c r="R41" s="38">
        <f>IFERROR(COUNTIFS(_report[TOURNAMENT_CODE],_SCHEDULE_[[#This Row],[TOURNAMENT_CODE]],_report[CONTEST_CODE],_SCHEDULE_[[#This Row],[CONTEST_CODE]]),"-")</f>
        <v>0</v>
      </c>
      <c r="S41" s="41" t="str">
        <f>SUBSTITUTE(IFERROR(INDEX(_group_[],MATCH(CONCATENATE(_SCHEDULE_[[#This Row],[CONTEST_CODE]],"_",$S$2),_group_[ИД2],0),MATCH($S$1,_group_[#Headers],0)),"---"),".",",")</f>
        <v>BANK</v>
      </c>
      <c r="T41" s="41" t="str">
        <f>SUBSTITUTE(IFERROR(INDEX(_group_[],MATCH(CONCATENATE(_SCHEDULE_[[#This Row],[CONTEST_CODE]],"_",$T$2),_group_[ИД2],0),MATCH($T$1,_group_[#Headers],0)),"---"),".",",")</f>
        <v>---</v>
      </c>
      <c r="U41" s="41" t="str">
        <f>SUBSTITUTE(IFERROR(INDEX(_group_[],MATCH(CONCATENATE(_SCHEDULE_[[#This Row],[CONTEST_CODE]],"_",$U$2),_group_[ИД2],0),MATCH($U$1,_group_[#Headers],0)),"---"),".",",")</f>
        <v>---</v>
      </c>
      <c r="V41" s="41" t="str">
        <f>SUBSTITUTE(IFERROR(INDEX(_group_[],MATCH(CONCATENATE(_SCHEDULE_[[#This Row],[CONTEST_CODE]],"_",$V$2),_group_[ИД2],0),MATCH($V$1,_group_[#Headers],0)),"---"),".",",")</f>
        <v>---</v>
      </c>
      <c r="W41" s="41" t="str">
        <f>IFERROR(INDEX(_INDICATOR_[],MATCH(_SCHEDULE_[[#This Row],[CONTEST_CODE]],_INDICATOR_[CONTEST_CODE],0),MATCH($W$2,_INDICATOR_[#Headers],0)),"-")</f>
        <v>INCOME</v>
      </c>
      <c r="X41" s="41" t="str">
        <f>IFERROR(INDEX(_group_[],MATCH(_SCHEDULE_[[#This Row],[CONTEST_CODE]],_group_[CONTEST_CODE],0),MATCH($X$2,_group_[#Headers],0)),"-")</f>
        <v>BANK</v>
      </c>
      <c r="Y41" s="61" t="str">
        <f>IFERROR(INDEX(_DATA_[],MATCH(_SCHEDULE_[[#This Row],[CONTEST_CODE]],_DATA_[CONTEST_CODE],0),MATCH($Y$2,_DATA_[#Headers],0)),"-")</f>
        <v>Индия сделай х4</v>
      </c>
      <c r="Z41" s="41" t="str">
        <f>IFERROR(INDEX(_reward_link_[],MATCH(_SCHEDULE_[[#This Row],[CONTEST_CODE]],_reward_link_[CONTEST_CODE],0),MATCH($Z$2,_reward_link_[#Headers],0)),"-")</f>
        <v>BANK</v>
      </c>
      <c r="AA41" s="41" t="str">
        <f>IFERROR(INDEX(_report[],MATCH(_SCHEDULE_[[#This Row],[CONTEST_CODE]],_report[CONTEST_CODE],0),MATCH($AA$2,_report[#Headers],0)),"-")</f>
        <v>-</v>
      </c>
      <c r="AB41"/>
    </row>
    <row r="42" spans="1:28" hidden="1" x14ac:dyDescent="0.25">
      <c r="A42" s="14" t="s">
        <v>207</v>
      </c>
      <c r="B42" s="14" t="s">
        <v>152</v>
      </c>
      <c r="C42" s="14" t="s">
        <v>170</v>
      </c>
      <c r="D42" s="14" t="s">
        <v>171</v>
      </c>
      <c r="E42" s="14" t="s">
        <v>172</v>
      </c>
      <c r="F42" s="14" t="s">
        <v>76</v>
      </c>
      <c r="G42" s="14" t="s">
        <v>167</v>
      </c>
      <c r="H42" s="14" t="s">
        <v>194</v>
      </c>
      <c r="I42" s="14" t="s">
        <v>194</v>
      </c>
      <c r="J42" s="14" t="s">
        <v>194</v>
      </c>
      <c r="K42" s="14" t="s">
        <v>155</v>
      </c>
      <c r="L42" s="14" t="s">
        <v>47</v>
      </c>
      <c r="M42" s="14" t="s">
        <v>3599</v>
      </c>
      <c r="N42" s="14" t="s">
        <v>314</v>
      </c>
      <c r="O42" s="14" t="s">
        <v>1504</v>
      </c>
      <c r="P42" s="14" t="s">
        <v>1064</v>
      </c>
      <c r="R42" s="38">
        <f>IFERROR(COUNTIFS(_report[TOURNAMENT_CODE],_SCHEDULE_[[#This Row],[TOURNAMENT_CODE]],_report[CONTEST_CODE],_SCHEDULE_[[#This Row],[CONTEST_CODE]]),"-")</f>
        <v>0</v>
      </c>
      <c r="S42" s="41" t="str">
        <f>SUBSTITUTE(IFERROR(INDEX(_group_[],MATCH(CONCATENATE(_SCHEDULE_[[#This Row],[CONTEST_CODE]],"_",$S$2),_group_[ИД2],0),MATCH($S$1,_group_[#Headers],0)),"---"),".",",")</f>
        <v>BANK</v>
      </c>
      <c r="T42" s="41" t="str">
        <f>SUBSTITUTE(IFERROR(INDEX(_group_[],MATCH(CONCATENATE(_SCHEDULE_[[#This Row],[CONTEST_CODE]],"_",$T$2),_group_[ИД2],0),MATCH($T$1,_group_[#Headers],0)),"---"),".",",")</f>
        <v>---</v>
      </c>
      <c r="U42" s="41" t="str">
        <f>SUBSTITUTE(IFERROR(INDEX(_group_[],MATCH(CONCATENATE(_SCHEDULE_[[#This Row],[CONTEST_CODE]],"_",$U$2),_group_[ИД2],0),MATCH($U$1,_group_[#Headers],0)),"---"),".",",")</f>
        <v>---</v>
      </c>
      <c r="V42" s="41" t="str">
        <f>SUBSTITUTE(IFERROR(INDEX(_group_[],MATCH(CONCATENATE(_SCHEDULE_[[#This Row],[CONTEST_CODE]],"_",$V$2),_group_[ИД2],0),MATCH($V$1,_group_[#Headers],0)),"---"),".",",")</f>
        <v>---</v>
      </c>
      <c r="W42" s="41" t="str">
        <f>IFERROR(INDEX(_INDICATOR_[],MATCH(_SCHEDULE_[[#This Row],[CONTEST_CODE]],_INDICATOR_[CONTEST_CODE],0),MATCH($W$2,_INDICATOR_[#Headers],0)),"-")</f>
        <v>INCOME</v>
      </c>
      <c r="X42" s="41" t="str">
        <f>IFERROR(INDEX(_group_[],MATCH(_SCHEDULE_[[#This Row],[CONTEST_CODE]],_group_[CONTEST_CODE],0),MATCH($X$2,_group_[#Headers],0)),"-")</f>
        <v>BANK</v>
      </c>
      <c r="Y42" s="61" t="str">
        <f>IFERROR(INDEX(_DATA_[],MATCH(_SCHEDULE_[[#This Row],[CONTEST_CODE]],_DATA_[CONTEST_CODE],0),MATCH($Y$2,_DATA_[#Headers],0)),"-")</f>
        <v>Индия сделай х4</v>
      </c>
      <c r="Z42" s="41" t="str">
        <f>IFERROR(INDEX(_reward_link_[],MATCH(_SCHEDULE_[[#This Row],[CONTEST_CODE]],_reward_link_[CONTEST_CODE],0),MATCH($Z$2,_reward_link_[#Headers],0)),"-")</f>
        <v>BANK</v>
      </c>
      <c r="AA42" s="41" t="str">
        <f>IFERROR(INDEX(_report[],MATCH(_SCHEDULE_[[#This Row],[CONTEST_CODE]],_report[CONTEST_CODE],0),MATCH($AA$2,_report[#Headers],0)),"-")</f>
        <v>-</v>
      </c>
      <c r="AB42"/>
    </row>
    <row r="43" spans="1:28" hidden="1" x14ac:dyDescent="0.25">
      <c r="A43" s="14" t="s">
        <v>232</v>
      </c>
      <c r="B43" s="14" t="s">
        <v>174</v>
      </c>
      <c r="C43" s="14" t="s">
        <v>76</v>
      </c>
      <c r="D43" s="14" t="s">
        <v>167</v>
      </c>
      <c r="E43" s="14" t="s">
        <v>233</v>
      </c>
      <c r="F43" s="14" t="s">
        <v>194</v>
      </c>
      <c r="G43" s="14" t="s">
        <v>194</v>
      </c>
      <c r="H43" s="14" t="s">
        <v>194</v>
      </c>
      <c r="I43" s="14" t="s">
        <v>194</v>
      </c>
      <c r="J43" s="14" t="s">
        <v>194</v>
      </c>
      <c r="K43" s="14" t="s">
        <v>155</v>
      </c>
      <c r="L43" s="14" t="s">
        <v>78</v>
      </c>
      <c r="M43" s="14" t="s">
        <v>3599</v>
      </c>
      <c r="N43" s="14" t="s">
        <v>314</v>
      </c>
      <c r="O43" s="14" t="s">
        <v>1505</v>
      </c>
      <c r="P43" s="14" t="s">
        <v>1064</v>
      </c>
      <c r="R43" s="38">
        <f>IFERROR(COUNTIFS(_report[TOURNAMENT_CODE],_SCHEDULE_[[#This Row],[TOURNAMENT_CODE]],_report[CONTEST_CODE],_SCHEDULE_[[#This Row],[CONTEST_CODE]]),"-")</f>
        <v>0</v>
      </c>
      <c r="S43" s="41" t="str">
        <f>SUBSTITUTE(IFERROR(INDEX(_group_[],MATCH(CONCATENATE(_SCHEDULE_[[#This Row],[CONTEST_CODE]],"_",$S$2),_group_[ИД2],0),MATCH($S$1,_group_[#Headers],0)),"---"),".",",")</f>
        <v>BANK</v>
      </c>
      <c r="T43" s="41" t="str">
        <f>SUBSTITUTE(IFERROR(INDEX(_group_[],MATCH(CONCATENATE(_SCHEDULE_[[#This Row],[CONTEST_CODE]],"_",$T$2),_group_[ИД2],0),MATCH($T$1,_group_[#Headers],0)),"---"),".",",")</f>
        <v>TB</v>
      </c>
      <c r="U43" s="41" t="str">
        <f>SUBSTITUTE(IFERROR(INDEX(_group_[],MATCH(CONCATENATE(_SCHEDULE_[[#This Row],[CONTEST_CODE]],"_",$U$2),_group_[ИД2],0),MATCH($U$1,_group_[#Headers],0)),"---"),".",",")</f>
        <v>GOSB</v>
      </c>
      <c r="V43" s="41" t="str">
        <f>SUBSTITUTE(IFERROR(INDEX(_group_[],MATCH(CONCATENATE(_SCHEDULE_[[#This Row],[CONTEST_CODE]],"_",$V$2),_group_[ИД2],0),MATCH($V$1,_group_[#Headers],0)),"---"),".",",")</f>
        <v>---</v>
      </c>
      <c r="W43" s="41" t="str">
        <f>IFERROR(INDEX(_INDICATOR_[],MATCH(_SCHEDULE_[[#This Row],[CONTEST_CODE]],_INDICATOR_[CONTEST_CODE],0),MATCH($W$2,_INDICATOR_[#Headers],0)),"-")</f>
        <v>WD</v>
      </c>
      <c r="X43" s="41" t="str">
        <f>IFERROR(INDEX(_group_[],MATCH(_SCHEDULE_[[#This Row],[CONTEST_CODE]],_group_[CONTEST_CODE],0),MATCH($X$2,_group_[#Headers],0)),"-")</f>
        <v>BANK</v>
      </c>
      <c r="Y43" s="61" t="str">
        <f>IFERROR(INDEX(_DATA_[],MATCH(_SCHEDULE_[[#This Row],[CONTEST_CODE]],_DATA_[CONTEST_CODE],0),MATCH($Y$2,_DATA_[#Headers],0)),"-")</f>
        <v>Марафон по условным сделкам</v>
      </c>
      <c r="Z43" s="41" t="str">
        <f>IFERROR(INDEX(_reward_link_[],MATCH(_SCHEDULE_[[#This Row],[CONTEST_CODE]],_reward_link_[CONTEST_CODE],0),MATCH($Z$2,_reward_link_[#Headers],0)),"-")</f>
        <v>GOSB</v>
      </c>
      <c r="AA43" s="41" t="str">
        <f>IFERROR(INDEX(_report[],MATCH(_SCHEDULE_[[#This Row],[CONTEST_CODE]],_report[CONTEST_CODE],0),MATCH($AA$2,_report[#Headers],0)),"-")</f>
        <v>-</v>
      </c>
      <c r="AB43"/>
    </row>
    <row r="44" spans="1:28" hidden="1" x14ac:dyDescent="0.25">
      <c r="A44" s="14" t="s">
        <v>234</v>
      </c>
      <c r="B44" s="14" t="s">
        <v>178</v>
      </c>
      <c r="C44" s="14" t="s">
        <v>170</v>
      </c>
      <c r="D44" s="14" t="s">
        <v>171</v>
      </c>
      <c r="E44" s="14" t="s">
        <v>235</v>
      </c>
      <c r="F44" s="14" t="s">
        <v>194</v>
      </c>
      <c r="G44" s="14" t="s">
        <v>194</v>
      </c>
      <c r="H44" s="14" t="s">
        <v>194</v>
      </c>
      <c r="I44" s="14" t="s">
        <v>194</v>
      </c>
      <c r="J44" s="14" t="s">
        <v>194</v>
      </c>
      <c r="K44" s="14" t="s">
        <v>176</v>
      </c>
      <c r="L44" s="14" t="s">
        <v>78</v>
      </c>
      <c r="M44" s="14" t="s">
        <v>3599</v>
      </c>
      <c r="N44" s="14" t="s">
        <v>314</v>
      </c>
      <c r="O44" s="14" t="s">
        <v>1506</v>
      </c>
      <c r="P44" s="14" t="s">
        <v>1064</v>
      </c>
      <c r="R44" s="38">
        <f>IFERROR(COUNTIFS(_report[TOURNAMENT_CODE],_SCHEDULE_[[#This Row],[TOURNAMENT_CODE]],_report[CONTEST_CODE],_SCHEDULE_[[#This Row],[CONTEST_CODE]]),"-")</f>
        <v>0</v>
      </c>
      <c r="S44" s="41" t="str">
        <f>SUBSTITUTE(IFERROR(INDEX(_group_[],MATCH(CONCATENATE(_SCHEDULE_[[#This Row],[CONTEST_CODE]],"_",$S$2),_group_[ИД2],0),MATCH($S$1,_group_[#Headers],0)),"---"),".",",")</f>
        <v>BANK</v>
      </c>
      <c r="T44" s="41" t="str">
        <f>SUBSTITUTE(IFERROR(INDEX(_group_[],MATCH(CONCATENATE(_SCHEDULE_[[#This Row],[CONTEST_CODE]],"_",$T$2),_group_[ИД2],0),MATCH($T$1,_group_[#Headers],0)),"---"),".",",")</f>
        <v>TB</v>
      </c>
      <c r="U44" s="41" t="str">
        <f>SUBSTITUTE(IFERROR(INDEX(_group_[],MATCH(CONCATENATE(_SCHEDULE_[[#This Row],[CONTEST_CODE]],"_",$U$2),_group_[ИД2],0),MATCH($U$1,_group_[#Headers],0)),"---"),".",",")</f>
        <v>GOSB</v>
      </c>
      <c r="V44" s="41" t="str">
        <f>SUBSTITUTE(IFERROR(INDEX(_group_[],MATCH(CONCATENATE(_SCHEDULE_[[#This Row],[CONTEST_CODE]],"_",$V$2),_group_[ИД2],0),MATCH($V$1,_group_[#Headers],0)),"---"),".",",")</f>
        <v>---</v>
      </c>
      <c r="W44" s="41" t="str">
        <f>IFERROR(INDEX(_INDICATOR_[],MATCH(_SCHEDULE_[[#This Row],[CONTEST_CODE]],_INDICATOR_[CONTEST_CODE],0),MATCH($W$2,_INDICATOR_[#Headers],0)),"-")</f>
        <v>WD</v>
      </c>
      <c r="X44" s="41" t="str">
        <f>IFERROR(INDEX(_group_[],MATCH(_SCHEDULE_[[#This Row],[CONTEST_CODE]],_group_[CONTEST_CODE],0),MATCH($X$2,_group_[#Headers],0)),"-")</f>
        <v>BANK</v>
      </c>
      <c r="Y44" s="61" t="str">
        <f>IFERROR(INDEX(_DATA_[],MATCH(_SCHEDULE_[[#This Row],[CONTEST_CODE]],_DATA_[CONTEST_CODE],0),MATCH($Y$2,_DATA_[#Headers],0)),"-")</f>
        <v>Марафон по условным сделкам</v>
      </c>
      <c r="Z44" s="41" t="str">
        <f>IFERROR(INDEX(_reward_link_[],MATCH(_SCHEDULE_[[#This Row],[CONTEST_CODE]],_reward_link_[CONTEST_CODE],0),MATCH($Z$2,_reward_link_[#Headers],0)),"-")</f>
        <v>GOSB</v>
      </c>
      <c r="AA44" s="41" t="str">
        <f>IFERROR(INDEX(_report[],MATCH(_SCHEDULE_[[#This Row],[CONTEST_CODE]],_report[CONTEST_CODE],0),MATCH($AA$2,_report[#Headers],0)),"-")</f>
        <v>-</v>
      </c>
      <c r="AB44"/>
    </row>
    <row r="45" spans="1:28" hidden="1" x14ac:dyDescent="0.25">
      <c r="A45" s="14" t="s">
        <v>236</v>
      </c>
      <c r="B45" s="14" t="s">
        <v>181</v>
      </c>
      <c r="C45" s="14" t="s">
        <v>182</v>
      </c>
      <c r="D45" s="14" t="s">
        <v>183</v>
      </c>
      <c r="E45" s="14" t="s">
        <v>237</v>
      </c>
      <c r="F45" s="14" t="s">
        <v>194</v>
      </c>
      <c r="G45" s="14" t="s">
        <v>194</v>
      </c>
      <c r="H45" s="14" t="s">
        <v>194</v>
      </c>
      <c r="I45" s="14" t="s">
        <v>194</v>
      </c>
      <c r="J45" s="14" t="s">
        <v>194</v>
      </c>
      <c r="K45" s="14" t="s">
        <v>176</v>
      </c>
      <c r="L45" s="14" t="s">
        <v>78</v>
      </c>
      <c r="M45" s="14" t="s">
        <v>3599</v>
      </c>
      <c r="N45" s="14" t="s">
        <v>314</v>
      </c>
      <c r="O45" s="14" t="s">
        <v>1507</v>
      </c>
      <c r="P45" s="14" t="s">
        <v>1064</v>
      </c>
      <c r="R45" s="38">
        <f>IFERROR(COUNTIFS(_report[TOURNAMENT_CODE],_SCHEDULE_[[#This Row],[TOURNAMENT_CODE]],_report[CONTEST_CODE],_SCHEDULE_[[#This Row],[CONTEST_CODE]]),"-")</f>
        <v>0</v>
      </c>
      <c r="S45" s="41" t="str">
        <f>SUBSTITUTE(IFERROR(INDEX(_group_[],MATCH(CONCATENATE(_SCHEDULE_[[#This Row],[CONTEST_CODE]],"_",$S$2),_group_[ИД2],0),MATCH($S$1,_group_[#Headers],0)),"---"),".",",")</f>
        <v>BANK</v>
      </c>
      <c r="T45" s="41" t="str">
        <f>SUBSTITUTE(IFERROR(INDEX(_group_[],MATCH(CONCATENATE(_SCHEDULE_[[#This Row],[CONTEST_CODE]],"_",$T$2),_group_[ИД2],0),MATCH($T$1,_group_[#Headers],0)),"---"),".",",")</f>
        <v>TB</v>
      </c>
      <c r="U45" s="41" t="str">
        <f>SUBSTITUTE(IFERROR(INDEX(_group_[],MATCH(CONCATENATE(_SCHEDULE_[[#This Row],[CONTEST_CODE]],"_",$U$2),_group_[ИД2],0),MATCH($U$1,_group_[#Headers],0)),"---"),".",",")</f>
        <v>GOSB</v>
      </c>
      <c r="V45" s="41" t="str">
        <f>SUBSTITUTE(IFERROR(INDEX(_group_[],MATCH(CONCATENATE(_SCHEDULE_[[#This Row],[CONTEST_CODE]],"_",$V$2),_group_[ИД2],0),MATCH($V$1,_group_[#Headers],0)),"---"),".",",")</f>
        <v>---</v>
      </c>
      <c r="W45" s="41" t="str">
        <f>IFERROR(INDEX(_INDICATOR_[],MATCH(_SCHEDULE_[[#This Row],[CONTEST_CODE]],_INDICATOR_[CONTEST_CODE],0),MATCH($W$2,_INDICATOR_[#Headers],0)),"-")</f>
        <v>WD</v>
      </c>
      <c r="X45" s="41" t="str">
        <f>IFERROR(INDEX(_group_[],MATCH(_SCHEDULE_[[#This Row],[CONTEST_CODE]],_group_[CONTEST_CODE],0),MATCH($X$2,_group_[#Headers],0)),"-")</f>
        <v>BANK</v>
      </c>
      <c r="Y45" s="61" t="str">
        <f>IFERROR(INDEX(_DATA_[],MATCH(_SCHEDULE_[[#This Row],[CONTEST_CODE]],_DATA_[CONTEST_CODE],0),MATCH($Y$2,_DATA_[#Headers],0)),"-")</f>
        <v>Марафон по условным сделкам</v>
      </c>
      <c r="Z45" s="41" t="str">
        <f>IFERROR(INDEX(_reward_link_[],MATCH(_SCHEDULE_[[#This Row],[CONTEST_CODE]],_reward_link_[CONTEST_CODE],0),MATCH($Z$2,_reward_link_[#Headers],0)),"-")</f>
        <v>GOSB</v>
      </c>
      <c r="AA45" s="41" t="str">
        <f>IFERROR(INDEX(_report[],MATCH(_SCHEDULE_[[#This Row],[CONTEST_CODE]],_report[CONTEST_CODE],0),MATCH($AA$2,_report[#Headers],0)),"-")</f>
        <v>-</v>
      </c>
      <c r="AB45"/>
    </row>
    <row r="46" spans="1:28" hidden="1" x14ac:dyDescent="0.25">
      <c r="A46" s="14" t="s">
        <v>238</v>
      </c>
      <c r="B46" s="14" t="s">
        <v>208</v>
      </c>
      <c r="C46" s="14" t="s">
        <v>239</v>
      </c>
      <c r="D46" s="14" t="s">
        <v>240</v>
      </c>
      <c r="E46" s="14" t="s">
        <v>241</v>
      </c>
      <c r="F46" s="14" t="s">
        <v>194</v>
      </c>
      <c r="G46" s="14" t="s">
        <v>194</v>
      </c>
      <c r="H46" s="14" t="s">
        <v>194</v>
      </c>
      <c r="I46" s="14" t="s">
        <v>194</v>
      </c>
      <c r="J46" s="14" t="s">
        <v>194</v>
      </c>
      <c r="K46" s="14" t="s">
        <v>176</v>
      </c>
      <c r="L46" s="14" t="s">
        <v>78</v>
      </c>
      <c r="M46" s="14" t="s">
        <v>3599</v>
      </c>
      <c r="N46" s="14" t="s">
        <v>314</v>
      </c>
      <c r="O46" s="14" t="s">
        <v>1508</v>
      </c>
      <c r="P46" s="14" t="s">
        <v>1064</v>
      </c>
      <c r="R46" s="38">
        <f>IFERROR(COUNTIFS(_report[TOURNAMENT_CODE],_SCHEDULE_[[#This Row],[TOURNAMENT_CODE]],_report[CONTEST_CODE],_SCHEDULE_[[#This Row],[CONTEST_CODE]]),"-")</f>
        <v>0</v>
      </c>
      <c r="S46" s="41" t="str">
        <f>SUBSTITUTE(IFERROR(INDEX(_group_[],MATCH(CONCATENATE(_SCHEDULE_[[#This Row],[CONTEST_CODE]],"_",$S$2),_group_[ИД2],0),MATCH($S$1,_group_[#Headers],0)),"---"),".",",")</f>
        <v>BANK</v>
      </c>
      <c r="T46" s="41" t="str">
        <f>SUBSTITUTE(IFERROR(INDEX(_group_[],MATCH(CONCATENATE(_SCHEDULE_[[#This Row],[CONTEST_CODE]],"_",$T$2),_group_[ИД2],0),MATCH($T$1,_group_[#Headers],0)),"---"),".",",")</f>
        <v>TB</v>
      </c>
      <c r="U46" s="41" t="str">
        <f>SUBSTITUTE(IFERROR(INDEX(_group_[],MATCH(CONCATENATE(_SCHEDULE_[[#This Row],[CONTEST_CODE]],"_",$U$2),_group_[ИД2],0),MATCH($U$1,_group_[#Headers],0)),"---"),".",",")</f>
        <v>GOSB</v>
      </c>
      <c r="V46" s="41" t="str">
        <f>SUBSTITUTE(IFERROR(INDEX(_group_[],MATCH(CONCATENATE(_SCHEDULE_[[#This Row],[CONTEST_CODE]],"_",$V$2),_group_[ИД2],0),MATCH($V$1,_group_[#Headers],0)),"---"),".",",")</f>
        <v>---</v>
      </c>
      <c r="W46" s="41" t="str">
        <f>IFERROR(INDEX(_INDICATOR_[],MATCH(_SCHEDULE_[[#This Row],[CONTEST_CODE]],_INDICATOR_[CONTEST_CODE],0),MATCH($W$2,_INDICATOR_[#Headers],0)),"-")</f>
        <v>WD</v>
      </c>
      <c r="X46" s="41" t="str">
        <f>IFERROR(INDEX(_group_[],MATCH(_SCHEDULE_[[#This Row],[CONTEST_CODE]],_group_[CONTEST_CODE],0),MATCH($X$2,_group_[#Headers],0)),"-")</f>
        <v>BANK</v>
      </c>
      <c r="Y46" s="61" t="str">
        <f>IFERROR(INDEX(_DATA_[],MATCH(_SCHEDULE_[[#This Row],[CONTEST_CODE]],_DATA_[CONTEST_CODE],0),MATCH($Y$2,_DATA_[#Headers],0)),"-")</f>
        <v>Марафон по условным сделкам</v>
      </c>
      <c r="Z46" s="41" t="str">
        <f>IFERROR(INDEX(_reward_link_[],MATCH(_SCHEDULE_[[#This Row],[CONTEST_CODE]],_reward_link_[CONTEST_CODE],0),MATCH($Z$2,_reward_link_[#Headers],0)),"-")</f>
        <v>GOSB</v>
      </c>
      <c r="AA46" s="41" t="str">
        <f>IFERROR(INDEX(_report[],MATCH(_SCHEDULE_[[#This Row],[CONTEST_CODE]],_report[CONTEST_CODE],0),MATCH($AA$2,_report[#Headers],0)),"-")</f>
        <v>-</v>
      </c>
      <c r="AB46"/>
    </row>
    <row r="47" spans="1:28" hidden="1" x14ac:dyDescent="0.25">
      <c r="A47" s="14" t="s">
        <v>242</v>
      </c>
      <c r="B47" s="14" t="s">
        <v>186</v>
      </c>
      <c r="C47" s="14" t="s">
        <v>187</v>
      </c>
      <c r="D47" s="14" t="s">
        <v>188</v>
      </c>
      <c r="E47" s="14" t="s">
        <v>189</v>
      </c>
      <c r="F47" s="14" t="s">
        <v>194</v>
      </c>
      <c r="G47" s="14" t="s">
        <v>194</v>
      </c>
      <c r="H47" s="14" t="s">
        <v>194</v>
      </c>
      <c r="I47" s="14" t="s">
        <v>194</v>
      </c>
      <c r="J47" s="14" t="s">
        <v>194</v>
      </c>
      <c r="K47" s="14" t="s">
        <v>176</v>
      </c>
      <c r="L47" s="14" t="s">
        <v>78</v>
      </c>
      <c r="M47" s="14" t="s">
        <v>3599</v>
      </c>
      <c r="N47" s="14" t="s">
        <v>314</v>
      </c>
      <c r="O47" s="14" t="s">
        <v>1509</v>
      </c>
      <c r="P47" s="14" t="s">
        <v>1064</v>
      </c>
      <c r="R47" s="38">
        <f>IFERROR(COUNTIFS(_report[TOURNAMENT_CODE],_SCHEDULE_[[#This Row],[TOURNAMENT_CODE]],_report[CONTEST_CODE],_SCHEDULE_[[#This Row],[CONTEST_CODE]]),"-")</f>
        <v>0</v>
      </c>
      <c r="S47" s="41" t="str">
        <f>SUBSTITUTE(IFERROR(INDEX(_group_[],MATCH(CONCATENATE(_SCHEDULE_[[#This Row],[CONTEST_CODE]],"_",$S$2),_group_[ИД2],0),MATCH($S$1,_group_[#Headers],0)),"---"),".",",")</f>
        <v>BANK</v>
      </c>
      <c r="T47" s="41" t="str">
        <f>SUBSTITUTE(IFERROR(INDEX(_group_[],MATCH(CONCATENATE(_SCHEDULE_[[#This Row],[CONTEST_CODE]],"_",$T$2),_group_[ИД2],0),MATCH($T$1,_group_[#Headers],0)),"---"),".",",")</f>
        <v>TB</v>
      </c>
      <c r="U47" s="41" t="str">
        <f>SUBSTITUTE(IFERROR(INDEX(_group_[],MATCH(CONCATENATE(_SCHEDULE_[[#This Row],[CONTEST_CODE]],"_",$U$2),_group_[ИД2],0),MATCH($U$1,_group_[#Headers],0)),"---"),".",",")</f>
        <v>GOSB</v>
      </c>
      <c r="V47" s="41" t="str">
        <f>SUBSTITUTE(IFERROR(INDEX(_group_[],MATCH(CONCATENATE(_SCHEDULE_[[#This Row],[CONTEST_CODE]],"_",$V$2),_group_[ИД2],0),MATCH($V$1,_group_[#Headers],0)),"---"),".",",")</f>
        <v>---</v>
      </c>
      <c r="W47" s="41" t="str">
        <f>IFERROR(INDEX(_INDICATOR_[],MATCH(_SCHEDULE_[[#This Row],[CONTEST_CODE]],_INDICATOR_[CONTEST_CODE],0),MATCH($W$2,_INDICATOR_[#Headers],0)),"-")</f>
        <v>WD</v>
      </c>
      <c r="X47" s="41" t="str">
        <f>IFERROR(INDEX(_group_[],MATCH(_SCHEDULE_[[#This Row],[CONTEST_CODE]],_group_[CONTEST_CODE],0),MATCH($X$2,_group_[#Headers],0)),"-")</f>
        <v>BANK</v>
      </c>
      <c r="Y47" s="61" t="str">
        <f>IFERROR(INDEX(_DATA_[],MATCH(_SCHEDULE_[[#This Row],[CONTEST_CODE]],_DATA_[CONTEST_CODE],0),MATCH($Y$2,_DATA_[#Headers],0)),"-")</f>
        <v>Марафон по условным сделкам</v>
      </c>
      <c r="Z47" s="41" t="str">
        <f>IFERROR(INDEX(_reward_link_[],MATCH(_SCHEDULE_[[#This Row],[CONTEST_CODE]],_reward_link_[CONTEST_CODE],0),MATCH($Z$2,_reward_link_[#Headers],0)),"-")</f>
        <v>GOSB</v>
      </c>
      <c r="AA47" s="41" t="str">
        <f>IFERROR(INDEX(_report[],MATCH(_SCHEDULE_[[#This Row],[CONTEST_CODE]],_report[CONTEST_CODE],0),MATCH($AA$2,_report[#Headers],0)),"-")</f>
        <v>-</v>
      </c>
      <c r="AB47"/>
    </row>
    <row r="48" spans="1:28" hidden="1" x14ac:dyDescent="0.25">
      <c r="A48" s="14" t="s">
        <v>243</v>
      </c>
      <c r="B48" s="14" t="s">
        <v>191</v>
      </c>
      <c r="C48" s="14" t="s">
        <v>192</v>
      </c>
      <c r="D48" s="14" t="s">
        <v>193</v>
      </c>
      <c r="E48" s="14" t="s">
        <v>1046</v>
      </c>
      <c r="F48" s="14" t="s">
        <v>194</v>
      </c>
      <c r="G48" s="14" t="s">
        <v>194</v>
      </c>
      <c r="H48" s="14" t="s">
        <v>194</v>
      </c>
      <c r="I48" s="14" t="s">
        <v>194</v>
      </c>
      <c r="J48" s="14" t="s">
        <v>194</v>
      </c>
      <c r="K48" s="14" t="s">
        <v>176</v>
      </c>
      <c r="L48" s="14" t="s">
        <v>78</v>
      </c>
      <c r="M48" s="14" t="s">
        <v>3599</v>
      </c>
      <c r="N48" s="14" t="s">
        <v>314</v>
      </c>
      <c r="O48" s="14" t="s">
        <v>1510</v>
      </c>
      <c r="P48" s="14" t="s">
        <v>1064</v>
      </c>
      <c r="R48" s="38">
        <f>IFERROR(COUNTIFS(_report[TOURNAMENT_CODE],_SCHEDULE_[[#This Row],[TOURNAMENT_CODE]],_report[CONTEST_CODE],_SCHEDULE_[[#This Row],[CONTEST_CODE]]),"-")</f>
        <v>0</v>
      </c>
      <c r="S48" s="41" t="str">
        <f>SUBSTITUTE(IFERROR(INDEX(_group_[],MATCH(CONCATENATE(_SCHEDULE_[[#This Row],[CONTEST_CODE]],"_",$S$2),_group_[ИД2],0),MATCH($S$1,_group_[#Headers],0)),"---"),".",",")</f>
        <v>BANK</v>
      </c>
      <c r="T48" s="41" t="str">
        <f>SUBSTITUTE(IFERROR(INDEX(_group_[],MATCH(CONCATENATE(_SCHEDULE_[[#This Row],[CONTEST_CODE]],"_",$T$2),_group_[ИД2],0),MATCH($T$1,_group_[#Headers],0)),"---"),".",",")</f>
        <v>TB</v>
      </c>
      <c r="U48" s="41" t="str">
        <f>SUBSTITUTE(IFERROR(INDEX(_group_[],MATCH(CONCATENATE(_SCHEDULE_[[#This Row],[CONTEST_CODE]],"_",$U$2),_group_[ИД2],0),MATCH($U$1,_group_[#Headers],0)),"---"),".",",")</f>
        <v>GOSB</v>
      </c>
      <c r="V48" s="41" t="str">
        <f>SUBSTITUTE(IFERROR(INDEX(_group_[],MATCH(CONCATENATE(_SCHEDULE_[[#This Row],[CONTEST_CODE]],"_",$V$2),_group_[ИД2],0),MATCH($V$1,_group_[#Headers],0)),"---"),".",",")</f>
        <v>---</v>
      </c>
      <c r="W48" s="41" t="str">
        <f>IFERROR(INDEX(_INDICATOR_[],MATCH(_SCHEDULE_[[#This Row],[CONTEST_CODE]],_INDICATOR_[CONTEST_CODE],0),MATCH($W$2,_INDICATOR_[#Headers],0)),"-")</f>
        <v>WD</v>
      </c>
      <c r="X48" s="41" t="str">
        <f>IFERROR(INDEX(_group_[],MATCH(_SCHEDULE_[[#This Row],[CONTEST_CODE]],_group_[CONTEST_CODE],0),MATCH($X$2,_group_[#Headers],0)),"-")</f>
        <v>BANK</v>
      </c>
      <c r="Y48" s="61" t="str">
        <f>IFERROR(INDEX(_DATA_[],MATCH(_SCHEDULE_[[#This Row],[CONTEST_CODE]],_DATA_[CONTEST_CODE],0),MATCH($Y$2,_DATA_[#Headers],0)),"-")</f>
        <v>Марафон по условным сделкам</v>
      </c>
      <c r="Z48" s="41" t="str">
        <f>IFERROR(INDEX(_reward_link_[],MATCH(_SCHEDULE_[[#This Row],[CONTEST_CODE]],_reward_link_[CONTEST_CODE],0),MATCH($Z$2,_reward_link_[#Headers],0)),"-")</f>
        <v>GOSB</v>
      </c>
      <c r="AA48" s="41" t="str">
        <f>IFERROR(INDEX(_report[],MATCH(_SCHEDULE_[[#This Row],[CONTEST_CODE]],_report[CONTEST_CODE],0),MATCH($AA$2,_report[#Headers],0)),"-")</f>
        <v>-</v>
      </c>
      <c r="AB48"/>
    </row>
    <row r="49" spans="1:28" hidden="1" x14ac:dyDescent="0.25">
      <c r="A49" s="14" t="s">
        <v>244</v>
      </c>
      <c r="B49" s="14" t="s">
        <v>209</v>
      </c>
      <c r="C49" s="14" t="s">
        <v>245</v>
      </c>
      <c r="D49" s="14" t="s">
        <v>246</v>
      </c>
      <c r="E49" s="14" t="s">
        <v>1046</v>
      </c>
      <c r="F49" s="14" t="s">
        <v>194</v>
      </c>
      <c r="G49" s="14" t="s">
        <v>194</v>
      </c>
      <c r="H49" s="14" t="s">
        <v>194</v>
      </c>
      <c r="I49" s="14" t="s">
        <v>194</v>
      </c>
      <c r="J49" s="14" t="s">
        <v>194</v>
      </c>
      <c r="K49" s="14" t="s">
        <v>176</v>
      </c>
      <c r="L49" s="14" t="s">
        <v>78</v>
      </c>
      <c r="M49" s="14" t="s">
        <v>3599</v>
      </c>
      <c r="N49" s="14" t="s">
        <v>314</v>
      </c>
      <c r="O49" s="14" t="s">
        <v>1511</v>
      </c>
      <c r="P49" s="14" t="s">
        <v>1064</v>
      </c>
      <c r="R49" s="38">
        <f>IFERROR(COUNTIFS(_report[TOURNAMENT_CODE],_SCHEDULE_[[#This Row],[TOURNAMENT_CODE]],_report[CONTEST_CODE],_SCHEDULE_[[#This Row],[CONTEST_CODE]]),"-")</f>
        <v>0</v>
      </c>
      <c r="S49" s="41" t="str">
        <f>SUBSTITUTE(IFERROR(INDEX(_group_[],MATCH(CONCATENATE(_SCHEDULE_[[#This Row],[CONTEST_CODE]],"_",$S$2),_group_[ИД2],0),MATCH($S$1,_group_[#Headers],0)),"---"),".",",")</f>
        <v>BANK</v>
      </c>
      <c r="T49" s="41" t="str">
        <f>SUBSTITUTE(IFERROR(INDEX(_group_[],MATCH(CONCATENATE(_SCHEDULE_[[#This Row],[CONTEST_CODE]],"_",$T$2),_group_[ИД2],0),MATCH($T$1,_group_[#Headers],0)),"---"),".",",")</f>
        <v>TB</v>
      </c>
      <c r="U49" s="41" t="str">
        <f>SUBSTITUTE(IFERROR(INDEX(_group_[],MATCH(CONCATENATE(_SCHEDULE_[[#This Row],[CONTEST_CODE]],"_",$U$2),_group_[ИД2],0),MATCH($U$1,_group_[#Headers],0)),"---"),".",",")</f>
        <v>GOSB</v>
      </c>
      <c r="V49" s="41" t="str">
        <f>SUBSTITUTE(IFERROR(INDEX(_group_[],MATCH(CONCATENATE(_SCHEDULE_[[#This Row],[CONTEST_CODE]],"_",$V$2),_group_[ИД2],0),MATCH($V$1,_group_[#Headers],0)),"---"),".",",")</f>
        <v>---</v>
      </c>
      <c r="W49" s="41" t="str">
        <f>IFERROR(INDEX(_INDICATOR_[],MATCH(_SCHEDULE_[[#This Row],[CONTEST_CODE]],_INDICATOR_[CONTEST_CODE],0),MATCH($W$2,_INDICATOR_[#Headers],0)),"-")</f>
        <v>WD</v>
      </c>
      <c r="X49" s="41" t="str">
        <f>IFERROR(INDEX(_group_[],MATCH(_SCHEDULE_[[#This Row],[CONTEST_CODE]],_group_[CONTEST_CODE],0),MATCH($X$2,_group_[#Headers],0)),"-")</f>
        <v>BANK</v>
      </c>
      <c r="Y49" s="61" t="str">
        <f>IFERROR(INDEX(_DATA_[],MATCH(_SCHEDULE_[[#This Row],[CONTEST_CODE]],_DATA_[CONTEST_CODE],0),MATCH($Y$2,_DATA_[#Headers],0)),"-")</f>
        <v>Марафон по условным сделкам</v>
      </c>
      <c r="Z49" s="41" t="str">
        <f>IFERROR(INDEX(_reward_link_[],MATCH(_SCHEDULE_[[#This Row],[CONTEST_CODE]],_reward_link_[CONTEST_CODE],0),MATCH($Z$2,_reward_link_[#Headers],0)),"-")</f>
        <v>GOSB</v>
      </c>
      <c r="AA49" s="41" t="str">
        <f>IFERROR(INDEX(_report[],MATCH(_SCHEDULE_[[#This Row],[CONTEST_CODE]],_report[CONTEST_CODE],0),MATCH($AA$2,_report[#Headers],0)),"-")</f>
        <v>-</v>
      </c>
      <c r="AB49"/>
    </row>
    <row r="50" spans="1:28" hidden="1" x14ac:dyDescent="0.25">
      <c r="A50" s="14" t="s">
        <v>696</v>
      </c>
      <c r="B50" s="14" t="s">
        <v>210</v>
      </c>
      <c r="C50" s="14" t="s">
        <v>695</v>
      </c>
      <c r="D50" s="14" t="s">
        <v>252</v>
      </c>
      <c r="E50" s="14" t="s">
        <v>253</v>
      </c>
      <c r="F50" s="14" t="s">
        <v>194</v>
      </c>
      <c r="G50" s="14" t="s">
        <v>194</v>
      </c>
      <c r="H50" s="14" t="s">
        <v>194</v>
      </c>
      <c r="I50" s="14" t="s">
        <v>194</v>
      </c>
      <c r="J50" s="14" t="s">
        <v>194</v>
      </c>
      <c r="K50" s="14" t="s">
        <v>176</v>
      </c>
      <c r="L50" s="14" t="s">
        <v>78</v>
      </c>
      <c r="M50" s="14" t="s">
        <v>3599</v>
      </c>
      <c r="N50" s="14" t="s">
        <v>314</v>
      </c>
      <c r="O50" s="14" t="s">
        <v>1512</v>
      </c>
      <c r="P50" s="14" t="s">
        <v>1064</v>
      </c>
      <c r="R50" s="38">
        <f>IFERROR(COUNTIFS(_report[TOURNAMENT_CODE],_SCHEDULE_[[#This Row],[TOURNAMENT_CODE]],_report[CONTEST_CODE],_SCHEDULE_[[#This Row],[CONTEST_CODE]]),"-")</f>
        <v>0</v>
      </c>
      <c r="S50" s="41" t="str">
        <f>SUBSTITUTE(IFERROR(INDEX(_group_[],MATCH(CONCATENATE(_SCHEDULE_[[#This Row],[CONTEST_CODE]],"_",$S$2),_group_[ИД2],0),MATCH($S$1,_group_[#Headers],0)),"---"),".",",")</f>
        <v>BANK</v>
      </c>
      <c r="T50" s="41" t="str">
        <f>SUBSTITUTE(IFERROR(INDEX(_group_[],MATCH(CONCATENATE(_SCHEDULE_[[#This Row],[CONTEST_CODE]],"_",$T$2),_group_[ИД2],0),MATCH($T$1,_group_[#Headers],0)),"---"),".",",")</f>
        <v>TB</v>
      </c>
      <c r="U50" s="41" t="str">
        <f>SUBSTITUTE(IFERROR(INDEX(_group_[],MATCH(CONCATENATE(_SCHEDULE_[[#This Row],[CONTEST_CODE]],"_",$U$2),_group_[ИД2],0),MATCH($U$1,_group_[#Headers],0)),"---"),".",",")</f>
        <v>GOSB</v>
      </c>
      <c r="V50" s="41" t="str">
        <f>SUBSTITUTE(IFERROR(INDEX(_group_[],MATCH(CONCATENATE(_SCHEDULE_[[#This Row],[CONTEST_CODE]],"_",$V$2),_group_[ИД2],0),MATCH($V$1,_group_[#Headers],0)),"---"),".",",")</f>
        <v>---</v>
      </c>
      <c r="W50" s="41" t="str">
        <f>IFERROR(INDEX(_INDICATOR_[],MATCH(_SCHEDULE_[[#This Row],[CONTEST_CODE]],_INDICATOR_[CONTEST_CODE],0),MATCH($W$2,_INDICATOR_[#Headers],0)),"-")</f>
        <v>WD</v>
      </c>
      <c r="X50" s="41" t="str">
        <f>IFERROR(INDEX(_group_[],MATCH(_SCHEDULE_[[#This Row],[CONTEST_CODE]],_group_[CONTEST_CODE],0),MATCH($X$2,_group_[#Headers],0)),"-")</f>
        <v>BANK</v>
      </c>
      <c r="Y50" s="61" t="str">
        <f>IFERROR(INDEX(_DATA_[],MATCH(_SCHEDULE_[[#This Row],[CONTEST_CODE]],_DATA_[CONTEST_CODE],0),MATCH($Y$2,_DATA_[#Headers],0)),"-")</f>
        <v>Марафон по условным сделкам</v>
      </c>
      <c r="Z50" s="41" t="str">
        <f>IFERROR(INDEX(_reward_link_[],MATCH(_SCHEDULE_[[#This Row],[CONTEST_CODE]],_reward_link_[CONTEST_CODE],0),MATCH($Z$2,_reward_link_[#Headers],0)),"-")</f>
        <v>GOSB</v>
      </c>
      <c r="AA50" s="41" t="str">
        <f>IFERROR(INDEX(_report[],MATCH(_SCHEDULE_[[#This Row],[CONTEST_CODE]],_report[CONTEST_CODE],0),MATCH($AA$2,_report[#Headers],0)),"-")</f>
        <v>-</v>
      </c>
      <c r="AB50"/>
    </row>
    <row r="51" spans="1:28" hidden="1" x14ac:dyDescent="0.25">
      <c r="A51" s="14" t="s">
        <v>1069</v>
      </c>
      <c r="B51" s="14" t="s">
        <v>213</v>
      </c>
      <c r="C51" s="14" t="s">
        <v>703</v>
      </c>
      <c r="D51" s="14" t="s">
        <v>704</v>
      </c>
      <c r="E51" s="14" t="s">
        <v>705</v>
      </c>
      <c r="F51" s="14" t="s">
        <v>194</v>
      </c>
      <c r="G51" s="14" t="s">
        <v>194</v>
      </c>
      <c r="H51" s="14" t="s">
        <v>194</v>
      </c>
      <c r="I51" s="14" t="s">
        <v>194</v>
      </c>
      <c r="J51" s="14" t="s">
        <v>194</v>
      </c>
      <c r="K51" s="14" t="s">
        <v>176</v>
      </c>
      <c r="L51" s="14" t="s">
        <v>78</v>
      </c>
      <c r="M51" s="14" t="s">
        <v>3599</v>
      </c>
      <c r="N51" s="14" t="s">
        <v>314</v>
      </c>
      <c r="O51" s="14" t="s">
        <v>1513</v>
      </c>
      <c r="P51" s="14" t="s">
        <v>1064</v>
      </c>
      <c r="R51" s="38">
        <f>IFERROR(COUNTIFS(_report[TOURNAMENT_CODE],_SCHEDULE_[[#This Row],[TOURNAMENT_CODE]],_report[CONTEST_CODE],_SCHEDULE_[[#This Row],[CONTEST_CODE]]),"-")</f>
        <v>0</v>
      </c>
      <c r="S51" s="41" t="str">
        <f>SUBSTITUTE(IFERROR(INDEX(_group_[],MATCH(CONCATENATE(_SCHEDULE_[[#This Row],[CONTEST_CODE]],"_",$S$2),_group_[ИД2],0),MATCH($S$1,_group_[#Headers],0)),"---"),".",",")</f>
        <v>BANK</v>
      </c>
      <c r="T51" s="41" t="str">
        <f>SUBSTITUTE(IFERROR(INDEX(_group_[],MATCH(CONCATENATE(_SCHEDULE_[[#This Row],[CONTEST_CODE]],"_",$T$2),_group_[ИД2],0),MATCH($T$1,_group_[#Headers],0)),"---"),".",",")</f>
        <v>TB</v>
      </c>
      <c r="U51" s="41" t="str">
        <f>SUBSTITUTE(IFERROR(INDEX(_group_[],MATCH(CONCATENATE(_SCHEDULE_[[#This Row],[CONTEST_CODE]],"_",$U$2),_group_[ИД2],0),MATCH($U$1,_group_[#Headers],0)),"---"),".",",")</f>
        <v>GOSB</v>
      </c>
      <c r="V51" s="41" t="str">
        <f>SUBSTITUTE(IFERROR(INDEX(_group_[],MATCH(CONCATENATE(_SCHEDULE_[[#This Row],[CONTEST_CODE]],"_",$V$2),_group_[ИД2],0),MATCH($V$1,_group_[#Headers],0)),"---"),".",",")</f>
        <v>---</v>
      </c>
      <c r="W51" s="41" t="str">
        <f>IFERROR(INDEX(_INDICATOR_[],MATCH(_SCHEDULE_[[#This Row],[CONTEST_CODE]],_INDICATOR_[CONTEST_CODE],0),MATCH($W$2,_INDICATOR_[#Headers],0)),"-")</f>
        <v>WD</v>
      </c>
      <c r="X51" s="41" t="str">
        <f>IFERROR(INDEX(_group_[],MATCH(_SCHEDULE_[[#This Row],[CONTEST_CODE]],_group_[CONTEST_CODE],0),MATCH($X$2,_group_[#Headers],0)),"-")</f>
        <v>BANK</v>
      </c>
      <c r="Y51" s="61" t="str">
        <f>IFERROR(INDEX(_DATA_[],MATCH(_SCHEDULE_[[#This Row],[CONTEST_CODE]],_DATA_[CONTEST_CODE],0),MATCH($Y$2,_DATA_[#Headers],0)),"-")</f>
        <v>Марафон по условным сделкам</v>
      </c>
      <c r="Z51" s="41" t="str">
        <f>IFERROR(INDEX(_reward_link_[],MATCH(_SCHEDULE_[[#This Row],[CONTEST_CODE]],_reward_link_[CONTEST_CODE],0),MATCH($Z$2,_reward_link_[#Headers],0)),"-")</f>
        <v>GOSB</v>
      </c>
      <c r="AA51" s="41" t="str">
        <f>IFERROR(INDEX(_report[],MATCH(_SCHEDULE_[[#This Row],[CONTEST_CODE]],_report[CONTEST_CODE],0),MATCH($AA$2,_report[#Headers],0)),"-")</f>
        <v>-</v>
      </c>
      <c r="AB51"/>
    </row>
    <row r="52" spans="1:28" hidden="1" x14ac:dyDescent="0.25">
      <c r="A52" s="14" t="s">
        <v>1214</v>
      </c>
      <c r="B52" s="14" t="s">
        <v>214</v>
      </c>
      <c r="C52" s="14" t="s">
        <v>1078</v>
      </c>
      <c r="D52" s="14" t="s">
        <v>1173</v>
      </c>
      <c r="E52" s="14" t="s">
        <v>706</v>
      </c>
      <c r="F52" s="14" t="s">
        <v>194</v>
      </c>
      <c r="G52" s="14" t="s">
        <v>194</v>
      </c>
      <c r="H52" s="14" t="s">
        <v>194</v>
      </c>
      <c r="I52" s="14" t="s">
        <v>194</v>
      </c>
      <c r="J52" s="14" t="s">
        <v>194</v>
      </c>
      <c r="K52" s="14" t="s">
        <v>176</v>
      </c>
      <c r="L52" s="14" t="s">
        <v>78</v>
      </c>
      <c r="M52" s="14" t="s">
        <v>3599</v>
      </c>
      <c r="N52" s="14" t="s">
        <v>314</v>
      </c>
      <c r="O52" s="14" t="s">
        <v>1514</v>
      </c>
      <c r="P52" s="14" t="s">
        <v>1064</v>
      </c>
      <c r="R52" s="38">
        <f>IFERROR(COUNTIFS(_report[TOURNAMENT_CODE],_SCHEDULE_[[#This Row],[TOURNAMENT_CODE]],_report[CONTEST_CODE],_SCHEDULE_[[#This Row],[CONTEST_CODE]]),"-")</f>
        <v>0</v>
      </c>
      <c r="S52" s="41" t="str">
        <f>SUBSTITUTE(IFERROR(INDEX(_group_[],MATCH(CONCATENATE(_SCHEDULE_[[#This Row],[CONTEST_CODE]],"_",$S$2),_group_[ИД2],0),MATCH($S$1,_group_[#Headers],0)),"---"),".",",")</f>
        <v>BANK</v>
      </c>
      <c r="T52" s="41" t="str">
        <f>SUBSTITUTE(IFERROR(INDEX(_group_[],MATCH(CONCATENATE(_SCHEDULE_[[#This Row],[CONTEST_CODE]],"_",$T$2),_group_[ИД2],0),MATCH($T$1,_group_[#Headers],0)),"---"),".",",")</f>
        <v>TB</v>
      </c>
      <c r="U52" s="41" t="str">
        <f>SUBSTITUTE(IFERROR(INDEX(_group_[],MATCH(CONCATENATE(_SCHEDULE_[[#This Row],[CONTEST_CODE]],"_",$U$2),_group_[ИД2],0),MATCH($U$1,_group_[#Headers],0)),"---"),".",",")</f>
        <v>GOSB</v>
      </c>
      <c r="V52" s="41" t="str">
        <f>SUBSTITUTE(IFERROR(INDEX(_group_[],MATCH(CONCATENATE(_SCHEDULE_[[#This Row],[CONTEST_CODE]],"_",$V$2),_group_[ИД2],0),MATCH($V$1,_group_[#Headers],0)),"---"),".",",")</f>
        <v>---</v>
      </c>
      <c r="W52" s="41" t="str">
        <f>IFERROR(INDEX(_INDICATOR_[],MATCH(_SCHEDULE_[[#This Row],[CONTEST_CODE]],_INDICATOR_[CONTEST_CODE],0),MATCH($W$2,_INDICATOR_[#Headers],0)),"-")</f>
        <v>WD</v>
      </c>
      <c r="X52" s="41" t="str">
        <f>IFERROR(INDEX(_group_[],MATCH(_SCHEDULE_[[#This Row],[CONTEST_CODE]],_group_[CONTEST_CODE],0),MATCH($X$2,_group_[#Headers],0)),"-")</f>
        <v>BANK</v>
      </c>
      <c r="Y52" s="61" t="str">
        <f>IFERROR(INDEX(_DATA_[],MATCH(_SCHEDULE_[[#This Row],[CONTEST_CODE]],_DATA_[CONTEST_CODE],0),MATCH($Y$2,_DATA_[#Headers],0)),"-")</f>
        <v>Марафон по условным сделкам</v>
      </c>
      <c r="Z52" s="41" t="str">
        <f>IFERROR(INDEX(_reward_link_[],MATCH(_SCHEDULE_[[#This Row],[CONTEST_CODE]],_reward_link_[CONTEST_CODE],0),MATCH($Z$2,_reward_link_[#Headers],0)),"-")</f>
        <v>GOSB</v>
      </c>
      <c r="AA52" s="41" t="str">
        <f>IFERROR(INDEX(_report[],MATCH(_SCHEDULE_[[#This Row],[CONTEST_CODE]],_report[CONTEST_CODE],0),MATCH($AA$2,_report[#Headers],0)),"-")</f>
        <v>-</v>
      </c>
      <c r="AB52"/>
    </row>
    <row r="53" spans="1:28" hidden="1" x14ac:dyDescent="0.25">
      <c r="A53" s="14" t="s">
        <v>1278</v>
      </c>
      <c r="B53" s="14" t="s">
        <v>215</v>
      </c>
      <c r="C53" s="14" t="s">
        <v>1225</v>
      </c>
      <c r="D53" s="14" t="s">
        <v>1070</v>
      </c>
      <c r="E53" s="14" t="s">
        <v>1071</v>
      </c>
      <c r="F53" s="14" t="s">
        <v>194</v>
      </c>
      <c r="G53" s="14" t="s">
        <v>194</v>
      </c>
      <c r="H53" s="14" t="s">
        <v>194</v>
      </c>
      <c r="I53" s="14" t="s">
        <v>194</v>
      </c>
      <c r="J53" s="14" t="s">
        <v>194</v>
      </c>
      <c r="K53" s="14" t="s">
        <v>176</v>
      </c>
      <c r="L53" s="14" t="s">
        <v>78</v>
      </c>
      <c r="M53" s="14" t="s">
        <v>3599</v>
      </c>
      <c r="N53" s="14" t="s">
        <v>314</v>
      </c>
      <c r="O53" s="14" t="s">
        <v>1515</v>
      </c>
      <c r="P53" s="14" t="s">
        <v>1064</v>
      </c>
      <c r="R53" s="38">
        <f>IFERROR(COUNTIFS(_report[TOURNAMENT_CODE],_SCHEDULE_[[#This Row],[TOURNAMENT_CODE]],_report[CONTEST_CODE],_SCHEDULE_[[#This Row],[CONTEST_CODE]]),"-")</f>
        <v>0</v>
      </c>
      <c r="S53" s="41" t="str">
        <f>SUBSTITUTE(IFERROR(INDEX(_group_[],MATCH(CONCATENATE(_SCHEDULE_[[#This Row],[CONTEST_CODE]],"_",$S$2),_group_[ИД2],0),MATCH($S$1,_group_[#Headers],0)),"---"),".",",")</f>
        <v>BANK</v>
      </c>
      <c r="T53" s="41" t="str">
        <f>SUBSTITUTE(IFERROR(INDEX(_group_[],MATCH(CONCATENATE(_SCHEDULE_[[#This Row],[CONTEST_CODE]],"_",$T$2),_group_[ИД2],0),MATCH($T$1,_group_[#Headers],0)),"---"),".",",")</f>
        <v>TB</v>
      </c>
      <c r="U53" s="41" t="str">
        <f>SUBSTITUTE(IFERROR(INDEX(_group_[],MATCH(CONCATENATE(_SCHEDULE_[[#This Row],[CONTEST_CODE]],"_",$U$2),_group_[ИД2],0),MATCH($U$1,_group_[#Headers],0)),"---"),".",",")</f>
        <v>GOSB</v>
      </c>
      <c r="V53" s="41" t="str">
        <f>SUBSTITUTE(IFERROR(INDEX(_group_[],MATCH(CONCATENATE(_SCHEDULE_[[#This Row],[CONTEST_CODE]],"_",$V$2),_group_[ИД2],0),MATCH($V$1,_group_[#Headers],0)),"---"),".",",")</f>
        <v>---</v>
      </c>
      <c r="W53" s="41" t="str">
        <f>IFERROR(INDEX(_INDICATOR_[],MATCH(_SCHEDULE_[[#This Row],[CONTEST_CODE]],_INDICATOR_[CONTEST_CODE],0),MATCH($W$2,_INDICATOR_[#Headers],0)),"-")</f>
        <v>WD</v>
      </c>
      <c r="X53" s="41" t="str">
        <f>IFERROR(INDEX(_group_[],MATCH(_SCHEDULE_[[#This Row],[CONTEST_CODE]],_group_[CONTEST_CODE],0),MATCH($X$2,_group_[#Headers],0)),"-")</f>
        <v>BANK</v>
      </c>
      <c r="Y53" s="61" t="str">
        <f>IFERROR(INDEX(_DATA_[],MATCH(_SCHEDULE_[[#This Row],[CONTEST_CODE]],_DATA_[CONTEST_CODE],0),MATCH($Y$2,_DATA_[#Headers],0)),"-")</f>
        <v>Марафон по условным сделкам</v>
      </c>
      <c r="Z53" s="41" t="str">
        <f>IFERROR(INDEX(_reward_link_[],MATCH(_SCHEDULE_[[#This Row],[CONTEST_CODE]],_reward_link_[CONTEST_CODE],0),MATCH($Z$2,_reward_link_[#Headers],0)),"-")</f>
        <v>GOSB</v>
      </c>
      <c r="AA53" s="41" t="str">
        <f>IFERROR(INDEX(_report[],MATCH(_SCHEDULE_[[#This Row],[CONTEST_CODE]],_report[CONTEST_CODE],0),MATCH($AA$2,_report[#Headers],0)),"-")</f>
        <v>-</v>
      </c>
      <c r="AB53"/>
    </row>
    <row r="54" spans="1:28" hidden="1" x14ac:dyDescent="0.25">
      <c r="A54" s="14" t="s">
        <v>1641</v>
      </c>
      <c r="B54" s="14" t="s">
        <v>216</v>
      </c>
      <c r="C54" s="14" t="s">
        <v>1308</v>
      </c>
      <c r="D54" s="14" t="s">
        <v>1638</v>
      </c>
      <c r="E54" s="14" t="s">
        <v>1846</v>
      </c>
      <c r="F54" s="14" t="s">
        <v>194</v>
      </c>
      <c r="G54" s="14" t="s">
        <v>194</v>
      </c>
      <c r="H54" s="14" t="s">
        <v>194</v>
      </c>
      <c r="I54" s="14" t="s">
        <v>194</v>
      </c>
      <c r="J54" s="14" t="s">
        <v>194</v>
      </c>
      <c r="K54" s="14" t="s">
        <v>176</v>
      </c>
      <c r="L54" s="14" t="s">
        <v>78</v>
      </c>
      <c r="M54" s="14" t="s">
        <v>3599</v>
      </c>
      <c r="N54" s="14" t="s">
        <v>314</v>
      </c>
      <c r="O54" s="14" t="s">
        <v>1642</v>
      </c>
      <c r="P54" s="14" t="s">
        <v>1064</v>
      </c>
      <c r="R54" s="38">
        <f>IFERROR(COUNTIFS(_report[TOURNAMENT_CODE],_SCHEDULE_[[#This Row],[TOURNAMENT_CODE]],_report[CONTEST_CODE],_SCHEDULE_[[#This Row],[CONTEST_CODE]]),"-")</f>
        <v>0</v>
      </c>
      <c r="S54" s="41" t="str">
        <f>SUBSTITUTE(IFERROR(INDEX(_group_[],MATCH(CONCATENATE(_SCHEDULE_[[#This Row],[CONTEST_CODE]],"_",$S$2),_group_[ИД2],0),MATCH($S$1,_group_[#Headers],0)),"---"),".",",")</f>
        <v>BANK</v>
      </c>
      <c r="T54" s="41" t="str">
        <f>SUBSTITUTE(IFERROR(INDEX(_group_[],MATCH(CONCATENATE(_SCHEDULE_[[#This Row],[CONTEST_CODE]],"_",$T$2),_group_[ИД2],0),MATCH($T$1,_group_[#Headers],0)),"---"),".",",")</f>
        <v>TB</v>
      </c>
      <c r="U54" s="41" t="str">
        <f>SUBSTITUTE(IFERROR(INDEX(_group_[],MATCH(CONCATENATE(_SCHEDULE_[[#This Row],[CONTEST_CODE]],"_",$U$2),_group_[ИД2],0),MATCH($U$1,_group_[#Headers],0)),"---"),".",",")</f>
        <v>GOSB</v>
      </c>
      <c r="V54" s="41" t="str">
        <f>SUBSTITUTE(IFERROR(INDEX(_group_[],MATCH(CONCATENATE(_SCHEDULE_[[#This Row],[CONTEST_CODE]],"_",$V$2),_group_[ИД2],0),MATCH($V$1,_group_[#Headers],0)),"---"),".",",")</f>
        <v>---</v>
      </c>
      <c r="W54" s="41" t="str">
        <f>IFERROR(INDEX(_INDICATOR_[],MATCH(_SCHEDULE_[[#This Row],[CONTEST_CODE]],_INDICATOR_[CONTEST_CODE],0),MATCH($W$2,_INDICATOR_[#Headers],0)),"-")</f>
        <v>WD</v>
      </c>
      <c r="X54" s="41" t="str">
        <f>IFERROR(INDEX(_group_[],MATCH(_SCHEDULE_[[#This Row],[CONTEST_CODE]],_group_[CONTEST_CODE],0),MATCH($X$2,_group_[#Headers],0)),"-")</f>
        <v>BANK</v>
      </c>
      <c r="Y54" s="61" t="str">
        <f>IFERROR(INDEX(_DATA_[],MATCH(_SCHEDULE_[[#This Row],[CONTEST_CODE]],_DATA_[CONTEST_CODE],0),MATCH($Y$2,_DATA_[#Headers],0)),"-")</f>
        <v>Марафон по условным сделкам</v>
      </c>
      <c r="Z54" s="41" t="str">
        <f>IFERROR(INDEX(_reward_link_[],MATCH(_SCHEDULE_[[#This Row],[CONTEST_CODE]],_reward_link_[CONTEST_CODE],0),MATCH($Z$2,_reward_link_[#Headers],0)),"-")</f>
        <v>GOSB</v>
      </c>
      <c r="AA54" s="41" t="str">
        <f>IFERROR(INDEX(_report[],MATCH(_SCHEDULE_[[#This Row],[CONTEST_CODE]],_report[CONTEST_CODE],0),MATCH($AA$2,_report[#Headers],0)),"-")</f>
        <v>-</v>
      </c>
      <c r="AB54"/>
    </row>
    <row r="55" spans="1:28" hidden="1" x14ac:dyDescent="0.25">
      <c r="A55" s="14" t="s">
        <v>1804</v>
      </c>
      <c r="B55" s="14" t="s">
        <v>174</v>
      </c>
      <c r="C55" s="14" t="s">
        <v>1800</v>
      </c>
      <c r="D55" s="14" t="s">
        <v>1801</v>
      </c>
      <c r="E55" s="14" t="s">
        <v>1802</v>
      </c>
      <c r="F55" s="14" t="s">
        <v>194</v>
      </c>
      <c r="G55" s="14" t="s">
        <v>194</v>
      </c>
      <c r="H55" s="14" t="s">
        <v>194</v>
      </c>
      <c r="I55" s="14" t="s">
        <v>194</v>
      </c>
      <c r="J55" s="14" t="s">
        <v>194</v>
      </c>
      <c r="K55" s="14" t="s">
        <v>155</v>
      </c>
      <c r="L55" s="14" t="s">
        <v>78</v>
      </c>
      <c r="M55" s="14" t="s">
        <v>3599</v>
      </c>
      <c r="N55" s="14" t="s">
        <v>314</v>
      </c>
      <c r="O55" s="14" t="s">
        <v>1805</v>
      </c>
      <c r="P55" s="14" t="s">
        <v>1064</v>
      </c>
      <c r="R55" s="38">
        <f>IFERROR(COUNTIFS(_report[TOURNAMENT_CODE],_SCHEDULE_[[#This Row],[TOURNAMENT_CODE]],_report[CONTEST_CODE],_SCHEDULE_[[#This Row],[CONTEST_CODE]]),"-")</f>
        <v>0</v>
      </c>
      <c r="S55" s="41" t="str">
        <f>SUBSTITUTE(IFERROR(INDEX(_group_[],MATCH(CONCATENATE(_SCHEDULE_[[#This Row],[CONTEST_CODE]],"_",$S$2),_group_[ИД2],0),MATCH($S$1,_group_[#Headers],0)),"---"),".",",")</f>
        <v>BANK</v>
      </c>
      <c r="T55" s="41" t="str">
        <f>SUBSTITUTE(IFERROR(INDEX(_group_[],MATCH(CONCATENATE(_SCHEDULE_[[#This Row],[CONTEST_CODE]],"_",$T$2),_group_[ИД2],0),MATCH($T$1,_group_[#Headers],0)),"---"),".",",")</f>
        <v>TB</v>
      </c>
      <c r="U55" s="41" t="str">
        <f>SUBSTITUTE(IFERROR(INDEX(_group_[],MATCH(CONCATENATE(_SCHEDULE_[[#This Row],[CONTEST_CODE]],"_",$U$2),_group_[ИД2],0),MATCH($U$1,_group_[#Headers],0)),"---"),".",",")</f>
        <v>GOSB</v>
      </c>
      <c r="V55" s="41" t="str">
        <f>SUBSTITUTE(IFERROR(INDEX(_group_[],MATCH(CONCATENATE(_SCHEDULE_[[#This Row],[CONTEST_CODE]],"_",$V$2),_group_[ИД2],0),MATCH($V$1,_group_[#Headers],0)),"---"),".",",")</f>
        <v>---</v>
      </c>
      <c r="W55" s="41" t="str">
        <f>IFERROR(INDEX(_INDICATOR_[],MATCH(_SCHEDULE_[[#This Row],[CONTEST_CODE]],_INDICATOR_[CONTEST_CODE],0),MATCH($W$2,_INDICATOR_[#Headers],0)),"-")</f>
        <v>WD</v>
      </c>
      <c r="X55" s="41" t="str">
        <f>IFERROR(INDEX(_group_[],MATCH(_SCHEDULE_[[#This Row],[CONTEST_CODE]],_group_[CONTEST_CODE],0),MATCH($X$2,_group_[#Headers],0)),"-")</f>
        <v>BANK</v>
      </c>
      <c r="Y55" s="61" t="str">
        <f>IFERROR(INDEX(_DATA_[],MATCH(_SCHEDULE_[[#This Row],[CONTEST_CODE]],_DATA_[CONTEST_CODE],0),MATCH($Y$2,_DATA_[#Headers],0)),"-")</f>
        <v>Марафон по условным сделкам</v>
      </c>
      <c r="Z55" s="41" t="str">
        <f>IFERROR(INDEX(_reward_link_[],MATCH(_SCHEDULE_[[#This Row],[CONTEST_CODE]],_reward_link_[CONTEST_CODE],0),MATCH($Z$2,_reward_link_[#Headers],0)),"-")</f>
        <v>GOSB</v>
      </c>
      <c r="AA55" s="41" t="str">
        <f>IFERROR(INDEX(_report[],MATCH(_SCHEDULE_[[#This Row],[CONTEST_CODE]],_report[CONTEST_CODE],0),MATCH($AA$2,_report[#Headers],0)),"-")</f>
        <v>-</v>
      </c>
      <c r="AB55"/>
    </row>
    <row r="56" spans="1:28" hidden="1" x14ac:dyDescent="0.25">
      <c r="A56" s="14" t="s">
        <v>255</v>
      </c>
      <c r="B56" s="14" t="s">
        <v>217</v>
      </c>
      <c r="C56" s="14" t="s">
        <v>256</v>
      </c>
      <c r="D56" s="14" t="s">
        <v>257</v>
      </c>
      <c r="E56" s="14" t="s">
        <v>258</v>
      </c>
      <c r="F56" s="14" t="s">
        <v>194</v>
      </c>
      <c r="G56" s="14" t="s">
        <v>194</v>
      </c>
      <c r="H56" s="14" t="s">
        <v>194</v>
      </c>
      <c r="I56" s="14" t="s">
        <v>194</v>
      </c>
      <c r="J56" s="14" t="s">
        <v>194</v>
      </c>
      <c r="K56" s="14" t="s">
        <v>155</v>
      </c>
      <c r="L56" s="14" t="s">
        <v>53</v>
      </c>
      <c r="M56" s="14" t="s">
        <v>3599</v>
      </c>
      <c r="N56" s="14" t="s">
        <v>2</v>
      </c>
      <c r="O56" s="14" t="s">
        <v>1516</v>
      </c>
      <c r="P56" s="14" t="s">
        <v>1064</v>
      </c>
      <c r="R56" s="38">
        <f>IFERROR(COUNTIFS(_report[TOURNAMENT_CODE],_SCHEDULE_[[#This Row],[TOURNAMENT_CODE]],_report[CONTEST_CODE],_SCHEDULE_[[#This Row],[CONTEST_CODE]]),"-")</f>
        <v>0</v>
      </c>
      <c r="S56" s="41" t="str">
        <f>SUBSTITUTE(IFERROR(INDEX(_group_[],MATCH(CONCATENATE(_SCHEDULE_[[#This Row],[CONTEST_CODE]],"_",$S$2),_group_[ИД2],0),MATCH($S$1,_group_[#Headers],0)),"---"),".",",")</f>
        <v>BANK</v>
      </c>
      <c r="T56" s="41" t="str">
        <f>SUBSTITUTE(IFERROR(INDEX(_group_[],MATCH(CONCATENATE(_SCHEDULE_[[#This Row],[CONTEST_CODE]],"_",$T$2),_group_[ИД2],0),MATCH($T$1,_group_[#Headers],0)),"---"),".",",")</f>
        <v>TB</v>
      </c>
      <c r="U56" s="41" t="str">
        <f>SUBSTITUTE(IFERROR(INDEX(_group_[],MATCH(CONCATENATE(_SCHEDULE_[[#This Row],[CONTEST_CODE]],"_",$U$2),_group_[ИД2],0),MATCH($U$1,_group_[#Headers],0)),"---"),".",",")</f>
        <v>---</v>
      </c>
      <c r="V56" s="41" t="str">
        <f>SUBSTITUTE(IFERROR(INDEX(_group_[],MATCH(CONCATENATE(_SCHEDULE_[[#This Row],[CONTEST_CODE]],"_",$V$2),_group_[ИД2],0),MATCH($V$1,_group_[#Headers],0)),"---"),".",",")</f>
        <v>---</v>
      </c>
      <c r="W56" s="41" t="str">
        <f>IFERROR(INDEX(_INDICATOR_[],MATCH(_SCHEDULE_[[#This Row],[CONTEST_CODE]],_INDICATOR_[CONTEST_CODE],0),MATCH($W$2,_INDICATOR_[#Headers],0)),"-")</f>
        <v>WAIT</v>
      </c>
      <c r="X56" s="41" t="str">
        <f>IFERROR(INDEX(_group_[],MATCH(_SCHEDULE_[[#This Row],[CONTEST_CODE]],_group_[CONTEST_CODE],0),MATCH($X$2,_group_[#Headers],0)),"-")</f>
        <v>BANK</v>
      </c>
      <c r="Y56" s="61" t="str">
        <f>IFERROR(INDEX(_DATA_[],MATCH(_SCHEDULE_[[#This Row],[CONTEST_CODE]],_DATA_[CONTEST_CODE],0),MATCH($Y$2,_DATA_[#Headers],0)),"-")</f>
        <v>Активы. ТОП-1 по условным сделкам</v>
      </c>
      <c r="Z56" s="41" t="str">
        <f>IFERROR(INDEX(_reward_link_[],MATCH(_SCHEDULE_[[#This Row],[CONTEST_CODE]],_reward_link_[CONTEST_CODE],0),MATCH($Z$2,_reward_link_[#Headers],0)),"-")</f>
        <v>TB</v>
      </c>
      <c r="AA56" s="41" t="str">
        <f>IFERROR(INDEX(_report[],MATCH(_SCHEDULE_[[#This Row],[CONTEST_CODE]],_report[CONTEST_CODE],0),MATCH($AA$2,_report[#Headers],0)),"-")</f>
        <v>-</v>
      </c>
      <c r="AB56"/>
    </row>
    <row r="57" spans="1:28" hidden="1" x14ac:dyDescent="0.25">
      <c r="A57" s="14" t="s">
        <v>259</v>
      </c>
      <c r="B57" s="14" t="s">
        <v>217</v>
      </c>
      <c r="C57" s="14" t="s">
        <v>260</v>
      </c>
      <c r="D57" s="14" t="s">
        <v>261</v>
      </c>
      <c r="E57" s="14" t="s">
        <v>250</v>
      </c>
      <c r="F57" s="14" t="s">
        <v>194</v>
      </c>
      <c r="G57" s="14" t="s">
        <v>194</v>
      </c>
      <c r="H57" s="14" t="s">
        <v>194</v>
      </c>
      <c r="I57" s="14" t="s">
        <v>194</v>
      </c>
      <c r="J57" s="14" t="s">
        <v>194</v>
      </c>
      <c r="K57" s="14" t="s">
        <v>176</v>
      </c>
      <c r="L57" s="14" t="s">
        <v>53</v>
      </c>
      <c r="M57" s="14" t="s">
        <v>3599</v>
      </c>
      <c r="N57" s="14" t="s">
        <v>2</v>
      </c>
      <c r="O57" s="14" t="s">
        <v>1517</v>
      </c>
      <c r="P57" s="14" t="s">
        <v>1064</v>
      </c>
      <c r="R57" s="38">
        <f>IFERROR(COUNTIFS(_report[TOURNAMENT_CODE],_SCHEDULE_[[#This Row],[TOURNAMENT_CODE]],_report[CONTEST_CODE],_SCHEDULE_[[#This Row],[CONTEST_CODE]]),"-")</f>
        <v>0</v>
      </c>
      <c r="S57" s="41" t="str">
        <f>SUBSTITUTE(IFERROR(INDEX(_group_[],MATCH(CONCATENATE(_SCHEDULE_[[#This Row],[CONTEST_CODE]],"_",$S$2),_group_[ИД2],0),MATCH($S$1,_group_[#Headers],0)),"---"),".",",")</f>
        <v>BANK</v>
      </c>
      <c r="T57" s="41" t="str">
        <f>SUBSTITUTE(IFERROR(INDEX(_group_[],MATCH(CONCATENATE(_SCHEDULE_[[#This Row],[CONTEST_CODE]],"_",$T$2),_group_[ИД2],0),MATCH($T$1,_group_[#Headers],0)),"---"),".",",")</f>
        <v>TB</v>
      </c>
      <c r="U57" s="41" t="str">
        <f>SUBSTITUTE(IFERROR(INDEX(_group_[],MATCH(CONCATENATE(_SCHEDULE_[[#This Row],[CONTEST_CODE]],"_",$U$2),_group_[ИД2],0),MATCH($U$1,_group_[#Headers],0)),"---"),".",",")</f>
        <v>---</v>
      </c>
      <c r="V57" s="41" t="str">
        <f>SUBSTITUTE(IFERROR(INDEX(_group_[],MATCH(CONCATENATE(_SCHEDULE_[[#This Row],[CONTEST_CODE]],"_",$V$2),_group_[ИД2],0),MATCH($V$1,_group_[#Headers],0)),"---"),".",",")</f>
        <v>---</v>
      </c>
      <c r="W57" s="41" t="str">
        <f>IFERROR(INDEX(_INDICATOR_[],MATCH(_SCHEDULE_[[#This Row],[CONTEST_CODE]],_INDICATOR_[CONTEST_CODE],0),MATCH($W$2,_INDICATOR_[#Headers],0)),"-")</f>
        <v>WAIT</v>
      </c>
      <c r="X57" s="41" t="str">
        <f>IFERROR(INDEX(_group_[],MATCH(_SCHEDULE_[[#This Row],[CONTEST_CODE]],_group_[CONTEST_CODE],0),MATCH($X$2,_group_[#Headers],0)),"-")</f>
        <v>BANK</v>
      </c>
      <c r="Y57" s="61" t="str">
        <f>IFERROR(INDEX(_DATA_[],MATCH(_SCHEDULE_[[#This Row],[CONTEST_CODE]],_DATA_[CONTEST_CODE],0),MATCH($Y$2,_DATA_[#Headers],0)),"-")</f>
        <v>Активы. ТОП-1 по условным сделкам</v>
      </c>
      <c r="Z57" s="41" t="str">
        <f>IFERROR(INDEX(_reward_link_[],MATCH(_SCHEDULE_[[#This Row],[CONTEST_CODE]],_reward_link_[CONTEST_CODE],0),MATCH($Z$2,_reward_link_[#Headers],0)),"-")</f>
        <v>TB</v>
      </c>
      <c r="AA57" s="41" t="str">
        <f>IFERROR(INDEX(_report[],MATCH(_SCHEDULE_[[#This Row],[CONTEST_CODE]],_report[CONTEST_CODE],0),MATCH($AA$2,_report[#Headers],0)),"-")</f>
        <v>-</v>
      </c>
      <c r="AB57"/>
    </row>
    <row r="58" spans="1:28" hidden="1" x14ac:dyDescent="0.25">
      <c r="A58" s="14" t="s">
        <v>262</v>
      </c>
      <c r="B58" s="14" t="s">
        <v>217</v>
      </c>
      <c r="C58" s="14" t="s">
        <v>263</v>
      </c>
      <c r="D58" s="14" t="s">
        <v>264</v>
      </c>
      <c r="E58" s="14" t="s">
        <v>265</v>
      </c>
      <c r="F58" s="14" t="s">
        <v>194</v>
      </c>
      <c r="G58" s="14" t="s">
        <v>194</v>
      </c>
      <c r="H58" s="14" t="s">
        <v>194</v>
      </c>
      <c r="I58" s="14" t="s">
        <v>194</v>
      </c>
      <c r="J58" s="14" t="s">
        <v>194</v>
      </c>
      <c r="K58" s="14" t="s">
        <v>176</v>
      </c>
      <c r="L58" s="14" t="s">
        <v>53</v>
      </c>
      <c r="M58" s="14" t="s">
        <v>3599</v>
      </c>
      <c r="N58" s="14" t="s">
        <v>2</v>
      </c>
      <c r="O58" s="14" t="s">
        <v>1518</v>
      </c>
      <c r="P58" s="14" t="s">
        <v>1064</v>
      </c>
      <c r="R58" s="38">
        <f>IFERROR(COUNTIFS(_report[TOURNAMENT_CODE],_SCHEDULE_[[#This Row],[TOURNAMENT_CODE]],_report[CONTEST_CODE],_SCHEDULE_[[#This Row],[CONTEST_CODE]]),"-")</f>
        <v>0</v>
      </c>
      <c r="S58" s="41" t="str">
        <f>SUBSTITUTE(IFERROR(INDEX(_group_[],MATCH(CONCATENATE(_SCHEDULE_[[#This Row],[CONTEST_CODE]],"_",$S$2),_group_[ИД2],0),MATCH($S$1,_group_[#Headers],0)),"---"),".",",")</f>
        <v>BANK</v>
      </c>
      <c r="T58" s="41" t="str">
        <f>SUBSTITUTE(IFERROR(INDEX(_group_[],MATCH(CONCATENATE(_SCHEDULE_[[#This Row],[CONTEST_CODE]],"_",$T$2),_group_[ИД2],0),MATCH($T$1,_group_[#Headers],0)),"---"),".",",")</f>
        <v>TB</v>
      </c>
      <c r="U58" s="41" t="str">
        <f>SUBSTITUTE(IFERROR(INDEX(_group_[],MATCH(CONCATENATE(_SCHEDULE_[[#This Row],[CONTEST_CODE]],"_",$U$2),_group_[ИД2],0),MATCH($U$1,_group_[#Headers],0)),"---"),".",",")</f>
        <v>---</v>
      </c>
      <c r="V58" s="41" t="str">
        <f>SUBSTITUTE(IFERROR(INDEX(_group_[],MATCH(CONCATENATE(_SCHEDULE_[[#This Row],[CONTEST_CODE]],"_",$V$2),_group_[ИД2],0),MATCH($V$1,_group_[#Headers],0)),"---"),".",",")</f>
        <v>---</v>
      </c>
      <c r="W58" s="41" t="str">
        <f>IFERROR(INDEX(_INDICATOR_[],MATCH(_SCHEDULE_[[#This Row],[CONTEST_CODE]],_INDICATOR_[CONTEST_CODE],0),MATCH($W$2,_INDICATOR_[#Headers],0)),"-")</f>
        <v>WAIT</v>
      </c>
      <c r="X58" s="41" t="str">
        <f>IFERROR(INDEX(_group_[],MATCH(_SCHEDULE_[[#This Row],[CONTEST_CODE]],_group_[CONTEST_CODE],0),MATCH($X$2,_group_[#Headers],0)),"-")</f>
        <v>BANK</v>
      </c>
      <c r="Y58" s="61" t="str">
        <f>IFERROR(INDEX(_DATA_[],MATCH(_SCHEDULE_[[#This Row],[CONTEST_CODE]],_DATA_[CONTEST_CODE],0),MATCH($Y$2,_DATA_[#Headers],0)),"-")</f>
        <v>Активы. ТОП-1 по условным сделкам</v>
      </c>
      <c r="Z58" s="41" t="str">
        <f>IFERROR(INDEX(_reward_link_[],MATCH(_SCHEDULE_[[#This Row],[CONTEST_CODE]],_reward_link_[CONTEST_CODE],0),MATCH($Z$2,_reward_link_[#Headers],0)),"-")</f>
        <v>TB</v>
      </c>
      <c r="AA58" s="41" t="str">
        <f>IFERROR(INDEX(_report[],MATCH(_SCHEDULE_[[#This Row],[CONTEST_CODE]],_report[CONTEST_CODE],0),MATCH($AA$2,_report[#Headers],0)),"-")</f>
        <v>-</v>
      </c>
      <c r="AB58"/>
    </row>
    <row r="59" spans="1:28" hidden="1" x14ac:dyDescent="0.25">
      <c r="A59" s="14" t="s">
        <v>266</v>
      </c>
      <c r="B59" s="14" t="s">
        <v>217</v>
      </c>
      <c r="C59" s="14" t="s">
        <v>267</v>
      </c>
      <c r="D59" s="14" t="s">
        <v>241</v>
      </c>
      <c r="E59" s="14" t="s">
        <v>268</v>
      </c>
      <c r="F59" s="14" t="s">
        <v>194</v>
      </c>
      <c r="G59" s="14" t="s">
        <v>194</v>
      </c>
      <c r="H59" s="14" t="s">
        <v>194</v>
      </c>
      <c r="I59" s="14" t="s">
        <v>194</v>
      </c>
      <c r="J59" s="14" t="s">
        <v>194</v>
      </c>
      <c r="K59" s="14" t="s">
        <v>176</v>
      </c>
      <c r="L59" s="14" t="s">
        <v>53</v>
      </c>
      <c r="M59" s="14" t="s">
        <v>3599</v>
      </c>
      <c r="N59" s="14" t="s">
        <v>2</v>
      </c>
      <c r="O59" s="14" t="s">
        <v>1519</v>
      </c>
      <c r="P59" s="14" t="s">
        <v>1064</v>
      </c>
      <c r="R59" s="38">
        <f>IFERROR(COUNTIFS(_report[TOURNAMENT_CODE],_SCHEDULE_[[#This Row],[TOURNAMENT_CODE]],_report[CONTEST_CODE],_SCHEDULE_[[#This Row],[CONTEST_CODE]]),"-")</f>
        <v>0</v>
      </c>
      <c r="S59" s="41" t="str">
        <f>SUBSTITUTE(IFERROR(INDEX(_group_[],MATCH(CONCATENATE(_SCHEDULE_[[#This Row],[CONTEST_CODE]],"_",$S$2),_group_[ИД2],0),MATCH($S$1,_group_[#Headers],0)),"---"),".",",")</f>
        <v>BANK</v>
      </c>
      <c r="T59" s="41" t="str">
        <f>SUBSTITUTE(IFERROR(INDEX(_group_[],MATCH(CONCATENATE(_SCHEDULE_[[#This Row],[CONTEST_CODE]],"_",$T$2),_group_[ИД2],0),MATCH($T$1,_group_[#Headers],0)),"---"),".",",")</f>
        <v>TB</v>
      </c>
      <c r="U59" s="41" t="str">
        <f>SUBSTITUTE(IFERROR(INDEX(_group_[],MATCH(CONCATENATE(_SCHEDULE_[[#This Row],[CONTEST_CODE]],"_",$U$2),_group_[ИД2],0),MATCH($U$1,_group_[#Headers],0)),"---"),".",",")</f>
        <v>---</v>
      </c>
      <c r="V59" s="41" t="str">
        <f>SUBSTITUTE(IFERROR(INDEX(_group_[],MATCH(CONCATENATE(_SCHEDULE_[[#This Row],[CONTEST_CODE]],"_",$V$2),_group_[ИД2],0),MATCH($V$1,_group_[#Headers],0)),"---"),".",",")</f>
        <v>---</v>
      </c>
      <c r="W59" s="41" t="str">
        <f>IFERROR(INDEX(_INDICATOR_[],MATCH(_SCHEDULE_[[#This Row],[CONTEST_CODE]],_INDICATOR_[CONTEST_CODE],0),MATCH($W$2,_INDICATOR_[#Headers],0)),"-")</f>
        <v>WAIT</v>
      </c>
      <c r="X59" s="41" t="str">
        <f>IFERROR(INDEX(_group_[],MATCH(_SCHEDULE_[[#This Row],[CONTEST_CODE]],_group_[CONTEST_CODE],0),MATCH($X$2,_group_[#Headers],0)),"-")</f>
        <v>BANK</v>
      </c>
      <c r="Y59" s="61" t="str">
        <f>IFERROR(INDEX(_DATA_[],MATCH(_SCHEDULE_[[#This Row],[CONTEST_CODE]],_DATA_[CONTEST_CODE],0),MATCH($Y$2,_DATA_[#Headers],0)),"-")</f>
        <v>Активы. ТОП-1 по условным сделкам</v>
      </c>
      <c r="Z59" s="41" t="str">
        <f>IFERROR(INDEX(_reward_link_[],MATCH(_SCHEDULE_[[#This Row],[CONTEST_CODE]],_reward_link_[CONTEST_CODE],0),MATCH($Z$2,_reward_link_[#Headers],0)),"-")</f>
        <v>TB</v>
      </c>
      <c r="AA59" s="41" t="str">
        <f>IFERROR(INDEX(_report[],MATCH(_SCHEDULE_[[#This Row],[CONTEST_CODE]],_report[CONTEST_CODE],0),MATCH($AA$2,_report[#Headers],0)),"-")</f>
        <v>-</v>
      </c>
      <c r="AB59"/>
    </row>
    <row r="60" spans="1:28" hidden="1" x14ac:dyDescent="0.25">
      <c r="A60" s="14" t="s">
        <v>269</v>
      </c>
      <c r="B60" s="14" t="s">
        <v>217</v>
      </c>
      <c r="C60" s="14" t="s">
        <v>270</v>
      </c>
      <c r="D60" s="14" t="s">
        <v>271</v>
      </c>
      <c r="E60" s="14" t="s">
        <v>272</v>
      </c>
      <c r="F60" s="14" t="s">
        <v>194</v>
      </c>
      <c r="G60" s="14" t="s">
        <v>194</v>
      </c>
      <c r="H60" s="14" t="s">
        <v>194</v>
      </c>
      <c r="I60" s="14" t="s">
        <v>194</v>
      </c>
      <c r="J60" s="42" t="s">
        <v>194</v>
      </c>
      <c r="K60" s="14" t="s">
        <v>176</v>
      </c>
      <c r="L60" s="14" t="s">
        <v>53</v>
      </c>
      <c r="M60" s="14" t="s">
        <v>3599</v>
      </c>
      <c r="N60" s="14" t="s">
        <v>2</v>
      </c>
      <c r="O60" s="14" t="s">
        <v>1520</v>
      </c>
      <c r="P60" s="14" t="s">
        <v>1064</v>
      </c>
      <c r="R60" s="38">
        <f>IFERROR(COUNTIFS(_report[TOURNAMENT_CODE],_SCHEDULE_[[#This Row],[TOURNAMENT_CODE]],_report[CONTEST_CODE],_SCHEDULE_[[#This Row],[CONTEST_CODE]]),"-")</f>
        <v>0</v>
      </c>
      <c r="S60" s="41" t="str">
        <f>SUBSTITUTE(IFERROR(INDEX(_group_[],MATCH(CONCATENATE(_SCHEDULE_[[#This Row],[CONTEST_CODE]],"_",$S$2),_group_[ИД2],0),MATCH($S$1,_group_[#Headers],0)),"---"),".",",")</f>
        <v>BANK</v>
      </c>
      <c r="T60" s="41" t="str">
        <f>SUBSTITUTE(IFERROR(INDEX(_group_[],MATCH(CONCATENATE(_SCHEDULE_[[#This Row],[CONTEST_CODE]],"_",$T$2),_group_[ИД2],0),MATCH($T$1,_group_[#Headers],0)),"---"),".",",")</f>
        <v>TB</v>
      </c>
      <c r="U60" s="41" t="str">
        <f>SUBSTITUTE(IFERROR(INDEX(_group_[],MATCH(CONCATENATE(_SCHEDULE_[[#This Row],[CONTEST_CODE]],"_",$U$2),_group_[ИД2],0),MATCH($U$1,_group_[#Headers],0)),"---"),".",",")</f>
        <v>---</v>
      </c>
      <c r="V60" s="41" t="str">
        <f>SUBSTITUTE(IFERROR(INDEX(_group_[],MATCH(CONCATENATE(_SCHEDULE_[[#This Row],[CONTEST_CODE]],"_",$V$2),_group_[ИД2],0),MATCH($V$1,_group_[#Headers],0)),"---"),".",",")</f>
        <v>---</v>
      </c>
      <c r="W60" s="41" t="str">
        <f>IFERROR(INDEX(_INDICATOR_[],MATCH(_SCHEDULE_[[#This Row],[CONTEST_CODE]],_INDICATOR_[CONTEST_CODE],0),MATCH($W$2,_INDICATOR_[#Headers],0)),"-")</f>
        <v>WAIT</v>
      </c>
      <c r="X60" s="41" t="str">
        <f>IFERROR(INDEX(_group_[],MATCH(_SCHEDULE_[[#This Row],[CONTEST_CODE]],_group_[CONTEST_CODE],0),MATCH($X$2,_group_[#Headers],0)),"-")</f>
        <v>BANK</v>
      </c>
      <c r="Y60" s="61" t="str">
        <f>IFERROR(INDEX(_DATA_[],MATCH(_SCHEDULE_[[#This Row],[CONTEST_CODE]],_DATA_[CONTEST_CODE],0),MATCH($Y$2,_DATA_[#Headers],0)),"-")</f>
        <v>Активы. ТОП-1 по условным сделкам</v>
      </c>
      <c r="Z60" s="41" t="str">
        <f>IFERROR(INDEX(_reward_link_[],MATCH(_SCHEDULE_[[#This Row],[CONTEST_CODE]],_reward_link_[CONTEST_CODE],0),MATCH($Z$2,_reward_link_[#Headers],0)),"-")</f>
        <v>TB</v>
      </c>
      <c r="AA60" s="41" t="str">
        <f>IFERROR(INDEX(_report[],MATCH(_SCHEDULE_[[#This Row],[CONTEST_CODE]],_report[CONTEST_CODE],0),MATCH($AA$2,_report[#Headers],0)),"-")</f>
        <v>-</v>
      </c>
      <c r="AB60"/>
    </row>
    <row r="61" spans="1:28" hidden="1" x14ac:dyDescent="0.25">
      <c r="A61" s="14" t="s">
        <v>273</v>
      </c>
      <c r="B61" s="14" t="s">
        <v>274</v>
      </c>
      <c r="C61" s="14" t="s">
        <v>275</v>
      </c>
      <c r="D61" s="14" t="s">
        <v>276</v>
      </c>
      <c r="E61" s="14" t="s">
        <v>671</v>
      </c>
      <c r="F61" s="14" t="s">
        <v>194</v>
      </c>
      <c r="G61" s="14" t="s">
        <v>194</v>
      </c>
      <c r="H61" s="14" t="s">
        <v>194</v>
      </c>
      <c r="I61" s="14" t="s">
        <v>194</v>
      </c>
      <c r="J61" s="42" t="s">
        <v>194</v>
      </c>
      <c r="K61" s="14" t="s">
        <v>176</v>
      </c>
      <c r="L61" s="14" t="s">
        <v>53</v>
      </c>
      <c r="M61" s="14" t="s">
        <v>3599</v>
      </c>
      <c r="N61" s="14" t="s">
        <v>2</v>
      </c>
      <c r="O61" s="14" t="s">
        <v>1521</v>
      </c>
      <c r="P61" s="14" t="s">
        <v>1064</v>
      </c>
      <c r="R61" s="38">
        <f>IFERROR(COUNTIFS(_report[TOURNAMENT_CODE],_SCHEDULE_[[#This Row],[TOURNAMENT_CODE]],_report[CONTEST_CODE],_SCHEDULE_[[#This Row],[CONTEST_CODE]]),"-")</f>
        <v>0</v>
      </c>
      <c r="S61" s="41" t="str">
        <f>SUBSTITUTE(IFERROR(INDEX(_group_[],MATCH(CONCATENATE(_SCHEDULE_[[#This Row],[CONTEST_CODE]],"_",$S$2),_group_[ИД2],0),MATCH($S$1,_group_[#Headers],0)),"---"),".",",")</f>
        <v>BANK</v>
      </c>
      <c r="T61" s="41" t="str">
        <f>SUBSTITUTE(IFERROR(INDEX(_group_[],MATCH(CONCATENATE(_SCHEDULE_[[#This Row],[CONTEST_CODE]],"_",$T$2),_group_[ИД2],0),MATCH($T$1,_group_[#Headers],0)),"---"),".",",")</f>
        <v>TB</v>
      </c>
      <c r="U61" s="41" t="str">
        <f>SUBSTITUTE(IFERROR(INDEX(_group_[],MATCH(CONCATENATE(_SCHEDULE_[[#This Row],[CONTEST_CODE]],"_",$U$2),_group_[ИД2],0),MATCH($U$1,_group_[#Headers],0)),"---"),".",",")</f>
        <v>---</v>
      </c>
      <c r="V61" s="41" t="str">
        <f>SUBSTITUTE(IFERROR(INDEX(_group_[],MATCH(CONCATENATE(_SCHEDULE_[[#This Row],[CONTEST_CODE]],"_",$V$2),_group_[ИД2],0),MATCH($V$1,_group_[#Headers],0)),"---"),".",",")</f>
        <v>---</v>
      </c>
      <c r="W61" s="41" t="str">
        <f>IFERROR(INDEX(_INDICATOR_[],MATCH(_SCHEDULE_[[#This Row],[CONTEST_CODE]],_INDICATOR_[CONTEST_CODE],0),MATCH($W$2,_INDICATOR_[#Headers],0)),"-")</f>
        <v>WAIT</v>
      </c>
      <c r="X61" s="41" t="str">
        <f>IFERROR(INDEX(_group_[],MATCH(_SCHEDULE_[[#This Row],[CONTEST_CODE]],_group_[CONTEST_CODE],0),MATCH($X$2,_group_[#Headers],0)),"-")</f>
        <v>BANK</v>
      </c>
      <c r="Y61" s="61" t="str">
        <f>IFERROR(INDEX(_DATA_[],MATCH(_SCHEDULE_[[#This Row],[CONTEST_CODE]],_DATA_[CONTEST_CODE],0),MATCH($Y$2,_DATA_[#Headers],0)),"-")</f>
        <v>Активы. ТОП-1 по условным сделкам</v>
      </c>
      <c r="Z61" s="41" t="str">
        <f>IFERROR(INDEX(_reward_link_[],MATCH(_SCHEDULE_[[#This Row],[CONTEST_CODE]],_reward_link_[CONTEST_CODE],0),MATCH($Z$2,_reward_link_[#Headers],0)),"-")</f>
        <v>TB</v>
      </c>
      <c r="AA61" s="41" t="str">
        <f>IFERROR(INDEX(_report[],MATCH(_SCHEDULE_[[#This Row],[CONTEST_CODE]],_report[CONTEST_CODE],0),MATCH($AA$2,_report[#Headers],0)),"-")</f>
        <v>-</v>
      </c>
      <c r="AB61"/>
    </row>
    <row r="62" spans="1:28" hidden="1" x14ac:dyDescent="0.25">
      <c r="A62" s="14" t="s">
        <v>672</v>
      </c>
      <c r="B62" s="14" t="s">
        <v>217</v>
      </c>
      <c r="C62" s="14" t="s">
        <v>644</v>
      </c>
      <c r="D62" s="14" t="s">
        <v>671</v>
      </c>
      <c r="E62" s="14" t="s">
        <v>247</v>
      </c>
      <c r="F62" s="14" t="s">
        <v>194</v>
      </c>
      <c r="G62" s="14" t="s">
        <v>194</v>
      </c>
      <c r="H62" s="14" t="s">
        <v>194</v>
      </c>
      <c r="I62" s="14" t="s">
        <v>194</v>
      </c>
      <c r="J62" s="42" t="s">
        <v>194</v>
      </c>
      <c r="K62" s="14" t="s">
        <v>176</v>
      </c>
      <c r="L62" s="14" t="s">
        <v>53</v>
      </c>
      <c r="M62" s="14" t="s">
        <v>3599</v>
      </c>
      <c r="N62" s="14" t="s">
        <v>2</v>
      </c>
      <c r="O62" s="14" t="s">
        <v>1522</v>
      </c>
      <c r="P62" s="14" t="s">
        <v>1064</v>
      </c>
      <c r="R62" s="38">
        <f>IFERROR(COUNTIFS(_report[TOURNAMENT_CODE],_SCHEDULE_[[#This Row],[TOURNAMENT_CODE]],_report[CONTEST_CODE],_SCHEDULE_[[#This Row],[CONTEST_CODE]]),"-")</f>
        <v>0</v>
      </c>
      <c r="S62" s="41" t="str">
        <f>SUBSTITUTE(IFERROR(INDEX(_group_[],MATCH(CONCATENATE(_SCHEDULE_[[#This Row],[CONTEST_CODE]],"_",$S$2),_group_[ИД2],0),MATCH($S$1,_group_[#Headers],0)),"---"),".",",")</f>
        <v>BANK</v>
      </c>
      <c r="T62" s="41" t="str">
        <f>SUBSTITUTE(IFERROR(INDEX(_group_[],MATCH(CONCATENATE(_SCHEDULE_[[#This Row],[CONTEST_CODE]],"_",$T$2),_group_[ИД2],0),MATCH($T$1,_group_[#Headers],0)),"---"),".",",")</f>
        <v>TB</v>
      </c>
      <c r="U62" s="41" t="str">
        <f>SUBSTITUTE(IFERROR(INDEX(_group_[],MATCH(CONCATENATE(_SCHEDULE_[[#This Row],[CONTEST_CODE]],"_",$U$2),_group_[ИД2],0),MATCH($U$1,_group_[#Headers],0)),"---"),".",",")</f>
        <v>---</v>
      </c>
      <c r="V62" s="41" t="str">
        <f>SUBSTITUTE(IFERROR(INDEX(_group_[],MATCH(CONCATENATE(_SCHEDULE_[[#This Row],[CONTEST_CODE]],"_",$V$2),_group_[ИД2],0),MATCH($V$1,_group_[#Headers],0)),"---"),".",",")</f>
        <v>---</v>
      </c>
      <c r="W62" s="41" t="str">
        <f>IFERROR(INDEX(_INDICATOR_[],MATCH(_SCHEDULE_[[#This Row],[CONTEST_CODE]],_INDICATOR_[CONTEST_CODE],0),MATCH($W$2,_INDICATOR_[#Headers],0)),"-")</f>
        <v>WAIT</v>
      </c>
      <c r="X62" s="41" t="str">
        <f>IFERROR(INDEX(_group_[],MATCH(_SCHEDULE_[[#This Row],[CONTEST_CODE]],_group_[CONTEST_CODE],0),MATCH($X$2,_group_[#Headers],0)),"-")</f>
        <v>BANK</v>
      </c>
      <c r="Y62" s="61" t="str">
        <f>IFERROR(INDEX(_DATA_[],MATCH(_SCHEDULE_[[#This Row],[CONTEST_CODE]],_DATA_[CONTEST_CODE],0),MATCH($Y$2,_DATA_[#Headers],0)),"-")</f>
        <v>Активы. ТОП-1 по условным сделкам</v>
      </c>
      <c r="Z62" s="41" t="str">
        <f>IFERROR(INDEX(_reward_link_[],MATCH(_SCHEDULE_[[#This Row],[CONTEST_CODE]],_reward_link_[CONTEST_CODE],0),MATCH($Z$2,_reward_link_[#Headers],0)),"-")</f>
        <v>TB</v>
      </c>
      <c r="AA62" s="41" t="str">
        <f>IFERROR(INDEX(_report[],MATCH(_SCHEDULE_[[#This Row],[CONTEST_CODE]],_report[CONTEST_CODE],0),MATCH($AA$2,_report[#Headers],0)),"-")</f>
        <v>-</v>
      </c>
      <c r="AB62"/>
    </row>
    <row r="63" spans="1:28" hidden="1" x14ac:dyDescent="0.25">
      <c r="A63" s="14" t="s">
        <v>673</v>
      </c>
      <c r="B63" s="14" t="s">
        <v>217</v>
      </c>
      <c r="C63" s="14" t="s">
        <v>674</v>
      </c>
      <c r="D63" s="14" t="s">
        <v>675</v>
      </c>
      <c r="E63" s="14" t="s">
        <v>1038</v>
      </c>
      <c r="F63" s="14" t="s">
        <v>194</v>
      </c>
      <c r="G63" s="14" t="s">
        <v>194</v>
      </c>
      <c r="H63" s="14" t="s">
        <v>194</v>
      </c>
      <c r="I63" s="14" t="s">
        <v>194</v>
      </c>
      <c r="J63" s="42" t="s">
        <v>194</v>
      </c>
      <c r="K63" s="14" t="s">
        <v>176</v>
      </c>
      <c r="L63" s="14" t="s">
        <v>53</v>
      </c>
      <c r="M63" s="14" t="s">
        <v>3599</v>
      </c>
      <c r="N63" s="14" t="s">
        <v>2</v>
      </c>
      <c r="O63" s="14" t="s">
        <v>1523</v>
      </c>
      <c r="P63" s="14" t="s">
        <v>1064</v>
      </c>
      <c r="R63" s="38">
        <f>IFERROR(COUNTIFS(_report[TOURNAMENT_CODE],_SCHEDULE_[[#This Row],[TOURNAMENT_CODE]],_report[CONTEST_CODE],_SCHEDULE_[[#This Row],[CONTEST_CODE]]),"-")</f>
        <v>0</v>
      </c>
      <c r="S63" s="41" t="str">
        <f>SUBSTITUTE(IFERROR(INDEX(_group_[],MATCH(CONCATENATE(_SCHEDULE_[[#This Row],[CONTEST_CODE]],"_",$S$2),_group_[ИД2],0),MATCH($S$1,_group_[#Headers],0)),"---"),".",",")</f>
        <v>BANK</v>
      </c>
      <c r="T63" s="41" t="str">
        <f>SUBSTITUTE(IFERROR(INDEX(_group_[],MATCH(CONCATENATE(_SCHEDULE_[[#This Row],[CONTEST_CODE]],"_",$T$2),_group_[ИД2],0),MATCH($T$1,_group_[#Headers],0)),"---"),".",",")</f>
        <v>TB</v>
      </c>
      <c r="U63" s="41" t="str">
        <f>SUBSTITUTE(IFERROR(INDEX(_group_[],MATCH(CONCATENATE(_SCHEDULE_[[#This Row],[CONTEST_CODE]],"_",$U$2),_group_[ИД2],0),MATCH($U$1,_group_[#Headers],0)),"---"),".",",")</f>
        <v>---</v>
      </c>
      <c r="V63" s="41" t="str">
        <f>SUBSTITUTE(IFERROR(INDEX(_group_[],MATCH(CONCATENATE(_SCHEDULE_[[#This Row],[CONTEST_CODE]],"_",$V$2),_group_[ИД2],0),MATCH($V$1,_group_[#Headers],0)),"---"),".",",")</f>
        <v>---</v>
      </c>
      <c r="W63" s="41" t="str">
        <f>IFERROR(INDEX(_INDICATOR_[],MATCH(_SCHEDULE_[[#This Row],[CONTEST_CODE]],_INDICATOR_[CONTEST_CODE],0),MATCH($W$2,_INDICATOR_[#Headers],0)),"-")</f>
        <v>WAIT</v>
      </c>
      <c r="X63" s="41" t="str">
        <f>IFERROR(INDEX(_group_[],MATCH(_SCHEDULE_[[#This Row],[CONTEST_CODE]],_group_[CONTEST_CODE],0),MATCH($X$2,_group_[#Headers],0)),"-")</f>
        <v>BANK</v>
      </c>
      <c r="Y63" s="61" t="str">
        <f>IFERROR(INDEX(_DATA_[],MATCH(_SCHEDULE_[[#This Row],[CONTEST_CODE]],_DATA_[CONTEST_CODE],0),MATCH($Y$2,_DATA_[#Headers],0)),"-")</f>
        <v>Активы. ТОП-1 по условным сделкам</v>
      </c>
      <c r="Z63" s="41" t="str">
        <f>IFERROR(INDEX(_reward_link_[],MATCH(_SCHEDULE_[[#This Row],[CONTEST_CODE]],_reward_link_[CONTEST_CODE],0),MATCH($Z$2,_reward_link_[#Headers],0)),"-")</f>
        <v>TB</v>
      </c>
      <c r="AA63" s="41" t="str">
        <f>IFERROR(INDEX(_report[],MATCH(_SCHEDULE_[[#This Row],[CONTEST_CODE]],_report[CONTEST_CODE],0),MATCH($AA$2,_report[#Headers],0)),"-")</f>
        <v>-</v>
      </c>
      <c r="AB63"/>
    </row>
    <row r="64" spans="1:28" hidden="1" x14ac:dyDescent="0.25">
      <c r="A64" s="14" t="s">
        <v>710</v>
      </c>
      <c r="B64" s="14" t="s">
        <v>217</v>
      </c>
      <c r="C64" s="14" t="s">
        <v>709</v>
      </c>
      <c r="D64" s="14" t="s">
        <v>711</v>
      </c>
      <c r="E64" s="14" t="s">
        <v>253</v>
      </c>
      <c r="F64" s="14" t="s">
        <v>194</v>
      </c>
      <c r="G64" s="14" t="s">
        <v>194</v>
      </c>
      <c r="H64" s="14" t="s">
        <v>194</v>
      </c>
      <c r="I64" s="14" t="s">
        <v>194</v>
      </c>
      <c r="J64" s="42" t="s">
        <v>194</v>
      </c>
      <c r="K64" s="14" t="s">
        <v>155</v>
      </c>
      <c r="L64" s="14" t="s">
        <v>53</v>
      </c>
      <c r="M64" s="14" t="s">
        <v>3599</v>
      </c>
      <c r="N64" s="14" t="s">
        <v>2</v>
      </c>
      <c r="O64" s="14" t="s">
        <v>1524</v>
      </c>
      <c r="P64" s="14" t="s">
        <v>1064</v>
      </c>
      <c r="R64" s="38">
        <f>IFERROR(COUNTIFS(_report[TOURNAMENT_CODE],_SCHEDULE_[[#This Row],[TOURNAMENT_CODE]],_report[CONTEST_CODE],_SCHEDULE_[[#This Row],[CONTEST_CODE]]),"-")</f>
        <v>0</v>
      </c>
      <c r="S64" s="41" t="str">
        <f>SUBSTITUTE(IFERROR(INDEX(_group_[],MATCH(CONCATENATE(_SCHEDULE_[[#This Row],[CONTEST_CODE]],"_",$S$2),_group_[ИД2],0),MATCH($S$1,_group_[#Headers],0)),"---"),".",",")</f>
        <v>BANK</v>
      </c>
      <c r="T64" s="41" t="str">
        <f>SUBSTITUTE(IFERROR(INDEX(_group_[],MATCH(CONCATENATE(_SCHEDULE_[[#This Row],[CONTEST_CODE]],"_",$T$2),_group_[ИД2],0),MATCH($T$1,_group_[#Headers],0)),"---"),".",",")</f>
        <v>TB</v>
      </c>
      <c r="U64" s="41" t="str">
        <f>SUBSTITUTE(IFERROR(INDEX(_group_[],MATCH(CONCATENATE(_SCHEDULE_[[#This Row],[CONTEST_CODE]],"_",$U$2),_group_[ИД2],0),MATCH($U$1,_group_[#Headers],0)),"---"),".",",")</f>
        <v>---</v>
      </c>
      <c r="V64" s="41" t="str">
        <f>SUBSTITUTE(IFERROR(INDEX(_group_[],MATCH(CONCATENATE(_SCHEDULE_[[#This Row],[CONTEST_CODE]],"_",$V$2),_group_[ИД2],0),MATCH($V$1,_group_[#Headers],0)),"---"),".",",")</f>
        <v>---</v>
      </c>
      <c r="W64" s="41" t="str">
        <f>IFERROR(INDEX(_INDICATOR_[],MATCH(_SCHEDULE_[[#This Row],[CONTEST_CODE]],_INDICATOR_[CONTEST_CODE],0),MATCH($W$2,_INDICATOR_[#Headers],0)),"-")</f>
        <v>WAIT</v>
      </c>
      <c r="X64" s="41" t="str">
        <f>IFERROR(INDEX(_group_[],MATCH(_SCHEDULE_[[#This Row],[CONTEST_CODE]],_group_[CONTEST_CODE],0),MATCH($X$2,_group_[#Headers],0)),"-")</f>
        <v>BANK</v>
      </c>
      <c r="Y64" s="61" t="str">
        <f>IFERROR(INDEX(_DATA_[],MATCH(_SCHEDULE_[[#This Row],[CONTEST_CODE]],_DATA_[CONTEST_CODE],0),MATCH($Y$2,_DATA_[#Headers],0)),"-")</f>
        <v>Активы. ТОП-1 по условным сделкам</v>
      </c>
      <c r="Z64" s="41" t="str">
        <f>IFERROR(INDEX(_reward_link_[],MATCH(_SCHEDULE_[[#This Row],[CONTEST_CODE]],_reward_link_[CONTEST_CODE],0),MATCH($Z$2,_reward_link_[#Headers],0)),"-")</f>
        <v>TB</v>
      </c>
      <c r="AA64" s="41" t="str">
        <f>IFERROR(INDEX(_report[],MATCH(_SCHEDULE_[[#This Row],[CONTEST_CODE]],_report[CONTEST_CODE],0),MATCH($AA$2,_report[#Headers],0)),"-")</f>
        <v>-</v>
      </c>
      <c r="AB64"/>
    </row>
    <row r="65" spans="1:28" hidden="1" x14ac:dyDescent="0.25">
      <c r="A65" s="14" t="s">
        <v>218</v>
      </c>
      <c r="B65" s="14" t="s">
        <v>146</v>
      </c>
      <c r="C65" s="14" t="s">
        <v>62</v>
      </c>
      <c r="D65" s="14" t="s">
        <v>212</v>
      </c>
      <c r="E65" s="14" t="s">
        <v>219</v>
      </c>
      <c r="F65" s="14" t="s">
        <v>194</v>
      </c>
      <c r="G65" s="14" t="s">
        <v>194</v>
      </c>
      <c r="H65" s="14" t="s">
        <v>194</v>
      </c>
      <c r="I65" s="14" t="s">
        <v>194</v>
      </c>
      <c r="J65" s="42" t="s">
        <v>194</v>
      </c>
      <c r="K65" s="14" t="s">
        <v>155</v>
      </c>
      <c r="L65" s="14" t="s">
        <v>56</v>
      </c>
      <c r="M65" s="14" t="s">
        <v>3599</v>
      </c>
      <c r="N65" s="14" t="s">
        <v>2</v>
      </c>
      <c r="O65" s="14" t="s">
        <v>1525</v>
      </c>
      <c r="P65" s="14" t="s">
        <v>1064</v>
      </c>
      <c r="R65" s="38">
        <f>IFERROR(COUNTIFS(_report[TOURNAMENT_CODE],_SCHEDULE_[[#This Row],[TOURNAMENT_CODE]],_report[CONTEST_CODE],_SCHEDULE_[[#This Row],[CONTEST_CODE]]),"-")</f>
        <v>0</v>
      </c>
      <c r="S65" s="41" t="str">
        <f>SUBSTITUTE(IFERROR(INDEX(_group_[],MATCH(CONCATENATE(_SCHEDULE_[[#This Row],[CONTEST_CODE]],"_",$S$2),_group_[ИД2],0),MATCH($S$1,_group_[#Headers],0)),"---"),".",",")</f>
        <v>BANK</v>
      </c>
      <c r="T65" s="41" t="str">
        <f>SUBSTITUTE(IFERROR(INDEX(_group_[],MATCH(CONCATENATE(_SCHEDULE_[[#This Row],[CONTEST_CODE]],"_",$T$2),_group_[ИД2],0),MATCH($T$1,_group_[#Headers],0)),"---"),".",",")</f>
        <v>---</v>
      </c>
      <c r="U65" s="41" t="str">
        <f>SUBSTITUTE(IFERROR(INDEX(_group_[],MATCH(CONCATENATE(_SCHEDULE_[[#This Row],[CONTEST_CODE]],"_",$U$2),_group_[ИД2],0),MATCH($U$1,_group_[#Headers],0)),"---"),".",",")</f>
        <v>---</v>
      </c>
      <c r="V65" s="41" t="str">
        <f>SUBSTITUTE(IFERROR(INDEX(_group_[],MATCH(CONCATENATE(_SCHEDULE_[[#This Row],[CONTEST_CODE]],"_",$V$2),_group_[ИД2],0),MATCH($V$1,_group_[#Headers],0)),"---"),".",",")</f>
        <v>---</v>
      </c>
      <c r="W65" s="41" t="str">
        <f>IFERROR(INDEX(_INDICATOR_[],MATCH(_SCHEDULE_[[#This Row],[CONTEST_CODE]],_INDICATOR_[CONTEST_CODE],0),MATCH($W$2,_INDICATOR_[#Headers],0)),"-")</f>
        <v>LEAGUEDEL</v>
      </c>
      <c r="X65" s="41" t="str">
        <f>IFERROR(INDEX(_group_[],MATCH(_SCHEDULE_[[#This Row],[CONTEST_CODE]],_group_[CONTEST_CODE],0),MATCH($X$2,_group_[#Headers],0)),"-")</f>
        <v>BANK</v>
      </c>
      <c r="Y65" s="61" t="str">
        <f>IFERROR(INDEX(_DATA_[],MATCH(_SCHEDULE_[[#This Row],[CONTEST_CODE]],_DATA_[CONTEST_CODE],0),MATCH($Y$2,_DATA_[#Headers],0)),"-")</f>
        <v>Лига Чемпионов 1ПГ 2023</v>
      </c>
      <c r="Z65" s="41" t="str">
        <f>IFERROR(INDEX(_reward_link_[],MATCH(_SCHEDULE_[[#This Row],[CONTEST_CODE]],_reward_link_[CONTEST_CODE],0),MATCH($Z$2,_reward_link_[#Headers],0)),"-")</f>
        <v>BANK</v>
      </c>
      <c r="AA65" s="41" t="str">
        <f>IFERROR(INDEX(_report[],MATCH(_SCHEDULE_[[#This Row],[CONTEST_CODE]],_report[CONTEST_CODE],0),MATCH($AA$2,_report[#Headers],0)),"-")</f>
        <v>-</v>
      </c>
      <c r="AB65"/>
    </row>
    <row r="66" spans="1:28" hidden="1" x14ac:dyDescent="0.25">
      <c r="A66" s="14" t="s">
        <v>220</v>
      </c>
      <c r="B66" s="14" t="s">
        <v>146</v>
      </c>
      <c r="C66" s="14" t="s">
        <v>62</v>
      </c>
      <c r="D66" s="14" t="s">
        <v>212</v>
      </c>
      <c r="E66" s="14" t="s">
        <v>1706</v>
      </c>
      <c r="F66" s="14" t="s">
        <v>194</v>
      </c>
      <c r="G66" s="14" t="s">
        <v>194</v>
      </c>
      <c r="H66" s="14" t="s">
        <v>194</v>
      </c>
      <c r="I66" s="14" t="s">
        <v>194</v>
      </c>
      <c r="J66" s="42" t="s">
        <v>194</v>
      </c>
      <c r="K66" s="14" t="s">
        <v>184</v>
      </c>
      <c r="L66" s="14" t="s">
        <v>56</v>
      </c>
      <c r="M66" s="14" t="s">
        <v>3599</v>
      </c>
      <c r="N66" s="14" t="s">
        <v>2</v>
      </c>
      <c r="O66" s="14" t="s">
        <v>1526</v>
      </c>
      <c r="P66" s="14" t="s">
        <v>1064</v>
      </c>
      <c r="R66" s="38">
        <f>IFERROR(COUNTIFS(_report[TOURNAMENT_CODE],_SCHEDULE_[[#This Row],[TOURNAMENT_CODE]],_report[CONTEST_CODE],_SCHEDULE_[[#This Row],[CONTEST_CODE]]),"-")</f>
        <v>0</v>
      </c>
      <c r="S66" s="41" t="str">
        <f>SUBSTITUTE(IFERROR(INDEX(_group_[],MATCH(CONCATENATE(_SCHEDULE_[[#This Row],[CONTEST_CODE]],"_",$S$2),_group_[ИД2],0),MATCH($S$1,_group_[#Headers],0)),"---"),".",",")</f>
        <v>BANK</v>
      </c>
      <c r="T66" s="41" t="str">
        <f>SUBSTITUTE(IFERROR(INDEX(_group_[],MATCH(CONCATENATE(_SCHEDULE_[[#This Row],[CONTEST_CODE]],"_",$T$2),_group_[ИД2],0),MATCH($T$1,_group_[#Headers],0)),"---"),".",",")</f>
        <v>---</v>
      </c>
      <c r="U66" s="41" t="str">
        <f>SUBSTITUTE(IFERROR(INDEX(_group_[],MATCH(CONCATENATE(_SCHEDULE_[[#This Row],[CONTEST_CODE]],"_",$U$2),_group_[ИД2],0),MATCH($U$1,_group_[#Headers],0)),"---"),".",",")</f>
        <v>---</v>
      </c>
      <c r="V66" s="41" t="str">
        <f>SUBSTITUTE(IFERROR(INDEX(_group_[],MATCH(CONCATENATE(_SCHEDULE_[[#This Row],[CONTEST_CODE]],"_",$V$2),_group_[ИД2],0),MATCH($V$1,_group_[#Headers],0)),"---"),".",",")</f>
        <v>---</v>
      </c>
      <c r="W66" s="41" t="str">
        <f>IFERROR(INDEX(_INDICATOR_[],MATCH(_SCHEDULE_[[#This Row],[CONTEST_CODE]],_INDICATOR_[CONTEST_CODE],0),MATCH($W$2,_INDICATOR_[#Headers],0)),"-")</f>
        <v>LEAGUEDEL</v>
      </c>
      <c r="X66" s="41" t="str">
        <f>IFERROR(INDEX(_group_[],MATCH(_SCHEDULE_[[#This Row],[CONTEST_CODE]],_group_[CONTEST_CODE],0),MATCH($X$2,_group_[#Headers],0)),"-")</f>
        <v>BANK</v>
      </c>
      <c r="Y66" s="61" t="str">
        <f>IFERROR(INDEX(_DATA_[],MATCH(_SCHEDULE_[[#This Row],[CONTEST_CODE]],_DATA_[CONTEST_CODE],0),MATCH($Y$2,_DATA_[#Headers],0)),"-")</f>
        <v>Лига Чемпионов 1ПГ 2023</v>
      </c>
      <c r="Z66" s="41" t="str">
        <f>IFERROR(INDEX(_reward_link_[],MATCH(_SCHEDULE_[[#This Row],[CONTEST_CODE]],_reward_link_[CONTEST_CODE],0),MATCH($Z$2,_reward_link_[#Headers],0)),"-")</f>
        <v>BANK</v>
      </c>
      <c r="AA66" s="41" t="str">
        <f>IFERROR(INDEX(_report[],MATCH(_SCHEDULE_[[#This Row],[CONTEST_CODE]],_report[CONTEST_CODE],0),MATCH($AA$2,_report[#Headers],0)),"-")</f>
        <v>-</v>
      </c>
      <c r="AB66"/>
    </row>
    <row r="67" spans="1:28" hidden="1" x14ac:dyDescent="0.25">
      <c r="A67" s="14" t="s">
        <v>221</v>
      </c>
      <c r="B67" s="14" t="s">
        <v>146</v>
      </c>
      <c r="C67" s="14" t="s">
        <v>26</v>
      </c>
      <c r="D67" s="14" t="s">
        <v>171</v>
      </c>
      <c r="E67" s="14" t="s">
        <v>189</v>
      </c>
      <c r="F67" s="14" t="s">
        <v>194</v>
      </c>
      <c r="G67" s="14" t="s">
        <v>194</v>
      </c>
      <c r="H67" s="14" t="s">
        <v>194</v>
      </c>
      <c r="I67" s="14" t="s">
        <v>194</v>
      </c>
      <c r="J67" s="42" t="s">
        <v>194</v>
      </c>
      <c r="K67" s="14" t="s">
        <v>155</v>
      </c>
      <c r="L67" s="14" t="s">
        <v>58</v>
      </c>
      <c r="M67" s="14" t="s">
        <v>3599</v>
      </c>
      <c r="N67" s="14" t="s">
        <v>2</v>
      </c>
      <c r="O67" s="14" t="s">
        <v>1527</v>
      </c>
      <c r="P67" s="14" t="s">
        <v>1064</v>
      </c>
      <c r="R67" s="38">
        <f>IFERROR(COUNTIFS(_report[TOURNAMENT_CODE],_SCHEDULE_[[#This Row],[TOURNAMENT_CODE]],_report[CONTEST_CODE],_SCHEDULE_[[#This Row],[CONTEST_CODE]]),"-")</f>
        <v>0</v>
      </c>
      <c r="S67" s="41" t="str">
        <f>SUBSTITUTE(IFERROR(INDEX(_group_[],MATCH(CONCATENATE(_SCHEDULE_[[#This Row],[CONTEST_CODE]],"_",$S$2),_group_[ИД2],0),MATCH($S$1,_group_[#Headers],0)),"---"),".",",")</f>
        <v>BANK</v>
      </c>
      <c r="T67" s="41" t="str">
        <f>SUBSTITUTE(IFERROR(INDEX(_group_[],MATCH(CONCATENATE(_SCHEDULE_[[#This Row],[CONTEST_CODE]],"_",$T$2),_group_[ИД2],0),MATCH($T$1,_group_[#Headers],0)),"---"),".",",")</f>
        <v>---</v>
      </c>
      <c r="U67" s="41" t="str">
        <f>SUBSTITUTE(IFERROR(INDEX(_group_[],MATCH(CONCATENATE(_SCHEDULE_[[#This Row],[CONTEST_CODE]],"_",$U$2),_group_[ИД2],0),MATCH($U$1,_group_[#Headers],0)),"---"),".",",")</f>
        <v>---</v>
      </c>
      <c r="V67" s="41" t="str">
        <f>SUBSTITUTE(IFERROR(INDEX(_group_[],MATCH(CONCATENATE(_SCHEDULE_[[#This Row],[CONTEST_CODE]],"_",$V$2),_group_[ИД2],0),MATCH($V$1,_group_[#Headers],0)),"---"),".",",")</f>
        <v>---</v>
      </c>
      <c r="W67" s="41" t="str">
        <f>IFERROR(INDEX(_INDICATOR_[],MATCH(_SCHEDULE_[[#This Row],[CONTEST_CODE]],_INDICATOR_[CONTEST_CODE],0),MATCH($W$2,_INDICATOR_[#Headers],0)),"-")</f>
        <v>WAIT</v>
      </c>
      <c r="X67" s="41" t="str">
        <f>IFERROR(INDEX(_group_[],MATCH(_SCHEDULE_[[#This Row],[CONTEST_CODE]],_group_[CONTEST_CODE],0),MATCH($X$2,_group_[#Headers],0)),"-")</f>
        <v>BANK</v>
      </c>
      <c r="Y67" s="61" t="str">
        <f>IFERROR(INDEX(_DATA_[],MATCH(_SCHEDULE_[[#This Row],[CONTEST_CODE]],_DATA_[CONTEST_CODE],0),MATCH($Y$2,_DATA_[#Headers],0)),"-")</f>
        <v>Лига Чемпионов 2ПГ 2023</v>
      </c>
      <c r="Z67" s="41" t="str">
        <f>IFERROR(INDEX(_reward_link_[],MATCH(_SCHEDULE_[[#This Row],[CONTEST_CODE]],_reward_link_[CONTEST_CODE],0),MATCH($Z$2,_reward_link_[#Headers],0)),"-")</f>
        <v>BANK</v>
      </c>
      <c r="AA67" s="41" t="str">
        <f>IFERROR(INDEX(_report[],MATCH(_SCHEDULE_[[#This Row],[CONTEST_CODE]],_report[CONTEST_CODE],0),MATCH($AA$2,_report[#Headers],0)),"-")</f>
        <v>-</v>
      </c>
      <c r="AB67"/>
    </row>
    <row r="68" spans="1:28" hidden="1" x14ac:dyDescent="0.25">
      <c r="A68" s="14" t="s">
        <v>222</v>
      </c>
      <c r="B68" s="14" t="s">
        <v>146</v>
      </c>
      <c r="C68" s="14" t="s">
        <v>26</v>
      </c>
      <c r="D68" s="14" t="s">
        <v>171</v>
      </c>
      <c r="E68" s="14" t="s">
        <v>223</v>
      </c>
      <c r="F68" s="14" t="s">
        <v>194</v>
      </c>
      <c r="G68" s="14" t="s">
        <v>194</v>
      </c>
      <c r="H68" s="14" t="s">
        <v>194</v>
      </c>
      <c r="I68" s="14" t="s">
        <v>194</v>
      </c>
      <c r="J68" s="42" t="s">
        <v>194</v>
      </c>
      <c r="K68" s="14" t="s">
        <v>155</v>
      </c>
      <c r="L68" s="14" t="s">
        <v>58</v>
      </c>
      <c r="M68" s="14" t="s">
        <v>3599</v>
      </c>
      <c r="N68" s="14" t="s">
        <v>2</v>
      </c>
      <c r="O68" s="14" t="s">
        <v>1528</v>
      </c>
      <c r="P68" s="14" t="s">
        <v>1064</v>
      </c>
      <c r="R68" s="38">
        <f>IFERROR(COUNTIFS(_report[TOURNAMENT_CODE],_SCHEDULE_[[#This Row],[TOURNAMENT_CODE]],_report[CONTEST_CODE],_SCHEDULE_[[#This Row],[CONTEST_CODE]]),"-")</f>
        <v>0</v>
      </c>
      <c r="S68" s="41" t="str">
        <f>SUBSTITUTE(IFERROR(INDEX(_group_[],MATCH(CONCATENATE(_SCHEDULE_[[#This Row],[CONTEST_CODE]],"_",$S$2),_group_[ИД2],0),MATCH($S$1,_group_[#Headers],0)),"---"),".",",")</f>
        <v>BANK</v>
      </c>
      <c r="T68" s="41" t="str">
        <f>SUBSTITUTE(IFERROR(INDEX(_group_[],MATCH(CONCATENATE(_SCHEDULE_[[#This Row],[CONTEST_CODE]],"_",$T$2),_group_[ИД2],0),MATCH($T$1,_group_[#Headers],0)),"---"),".",",")</f>
        <v>---</v>
      </c>
      <c r="U68" s="41" t="str">
        <f>SUBSTITUTE(IFERROR(INDEX(_group_[],MATCH(CONCATENATE(_SCHEDULE_[[#This Row],[CONTEST_CODE]],"_",$U$2),_group_[ИД2],0),MATCH($U$1,_group_[#Headers],0)),"---"),".",",")</f>
        <v>---</v>
      </c>
      <c r="V68" s="41" t="str">
        <f>SUBSTITUTE(IFERROR(INDEX(_group_[],MATCH(CONCATENATE(_SCHEDULE_[[#This Row],[CONTEST_CODE]],"_",$V$2),_group_[ИД2],0),MATCH($V$1,_group_[#Headers],0)),"---"),".",",")</f>
        <v>---</v>
      </c>
      <c r="W68" s="41" t="str">
        <f>IFERROR(INDEX(_INDICATOR_[],MATCH(_SCHEDULE_[[#This Row],[CONTEST_CODE]],_INDICATOR_[CONTEST_CODE],0),MATCH($W$2,_INDICATOR_[#Headers],0)),"-")</f>
        <v>WAIT</v>
      </c>
      <c r="X68" s="41" t="str">
        <f>IFERROR(INDEX(_group_[],MATCH(_SCHEDULE_[[#This Row],[CONTEST_CODE]],_group_[CONTEST_CODE],0),MATCH($X$2,_group_[#Headers],0)),"-")</f>
        <v>BANK</v>
      </c>
      <c r="Y68" s="61" t="str">
        <f>IFERROR(INDEX(_DATA_[],MATCH(_SCHEDULE_[[#This Row],[CONTEST_CODE]],_DATA_[CONTEST_CODE],0),MATCH($Y$2,_DATA_[#Headers],0)),"-")</f>
        <v>Лига Чемпионов 2ПГ 2023</v>
      </c>
      <c r="Z68" s="41" t="str">
        <f>IFERROR(INDEX(_reward_link_[],MATCH(_SCHEDULE_[[#This Row],[CONTEST_CODE]],_reward_link_[CONTEST_CODE],0),MATCH($Z$2,_reward_link_[#Headers],0)),"-")</f>
        <v>BANK</v>
      </c>
      <c r="AA68" s="41" t="str">
        <f>IFERROR(INDEX(_report[],MATCH(_SCHEDULE_[[#This Row],[CONTEST_CODE]],_report[CONTEST_CODE],0),MATCH($AA$2,_report[#Headers],0)),"-")</f>
        <v>-</v>
      </c>
      <c r="AB68"/>
    </row>
    <row r="69" spans="1:28" hidden="1" x14ac:dyDescent="0.25">
      <c r="A69" s="14" t="s">
        <v>224</v>
      </c>
      <c r="B69" s="14" t="s">
        <v>146</v>
      </c>
      <c r="C69" s="14" t="s">
        <v>26</v>
      </c>
      <c r="D69" s="14" t="s">
        <v>171</v>
      </c>
      <c r="E69" s="14" t="s">
        <v>644</v>
      </c>
      <c r="F69" s="14" t="s">
        <v>194</v>
      </c>
      <c r="G69" s="14" t="s">
        <v>194</v>
      </c>
      <c r="H69" s="14" t="s">
        <v>194</v>
      </c>
      <c r="I69" s="14" t="s">
        <v>194</v>
      </c>
      <c r="J69" s="42" t="s">
        <v>194</v>
      </c>
      <c r="K69" s="14" t="s">
        <v>176</v>
      </c>
      <c r="L69" s="14" t="s">
        <v>58</v>
      </c>
      <c r="M69" s="14" t="s">
        <v>3599</v>
      </c>
      <c r="N69" s="14" t="s">
        <v>2</v>
      </c>
      <c r="O69" s="14" t="s">
        <v>1529</v>
      </c>
      <c r="P69" s="14" t="s">
        <v>1064</v>
      </c>
      <c r="R69" s="38">
        <f>IFERROR(COUNTIFS(_report[TOURNAMENT_CODE],_SCHEDULE_[[#This Row],[TOURNAMENT_CODE]],_report[CONTEST_CODE],_SCHEDULE_[[#This Row],[CONTEST_CODE]]),"-")</f>
        <v>0</v>
      </c>
      <c r="S69" s="41" t="str">
        <f>SUBSTITUTE(IFERROR(INDEX(_group_[],MATCH(CONCATENATE(_SCHEDULE_[[#This Row],[CONTEST_CODE]],"_",$S$2),_group_[ИД2],0),MATCH($S$1,_group_[#Headers],0)),"---"),".",",")</f>
        <v>BANK</v>
      </c>
      <c r="T69" s="41" t="str">
        <f>SUBSTITUTE(IFERROR(INDEX(_group_[],MATCH(CONCATENATE(_SCHEDULE_[[#This Row],[CONTEST_CODE]],"_",$T$2),_group_[ИД2],0),MATCH($T$1,_group_[#Headers],0)),"---"),".",",")</f>
        <v>---</v>
      </c>
      <c r="U69" s="41" t="str">
        <f>SUBSTITUTE(IFERROR(INDEX(_group_[],MATCH(CONCATENATE(_SCHEDULE_[[#This Row],[CONTEST_CODE]],"_",$U$2),_group_[ИД2],0),MATCH($U$1,_group_[#Headers],0)),"---"),".",",")</f>
        <v>---</v>
      </c>
      <c r="V69" s="41" t="str">
        <f>SUBSTITUTE(IFERROR(INDEX(_group_[],MATCH(CONCATENATE(_SCHEDULE_[[#This Row],[CONTEST_CODE]],"_",$V$2),_group_[ИД2],0),MATCH($V$1,_group_[#Headers],0)),"---"),".",",")</f>
        <v>---</v>
      </c>
      <c r="W69" s="41" t="str">
        <f>IFERROR(INDEX(_INDICATOR_[],MATCH(_SCHEDULE_[[#This Row],[CONTEST_CODE]],_INDICATOR_[CONTEST_CODE],0),MATCH($W$2,_INDICATOR_[#Headers],0)),"-")</f>
        <v>WAIT</v>
      </c>
      <c r="X69" s="41" t="str">
        <f>IFERROR(INDEX(_group_[],MATCH(_SCHEDULE_[[#This Row],[CONTEST_CODE]],_group_[CONTEST_CODE],0),MATCH($X$2,_group_[#Headers],0)),"-")</f>
        <v>BANK</v>
      </c>
      <c r="Y69" s="61" t="str">
        <f>IFERROR(INDEX(_DATA_[],MATCH(_SCHEDULE_[[#This Row],[CONTEST_CODE]],_DATA_[CONTEST_CODE],0),MATCH($Y$2,_DATA_[#Headers],0)),"-")</f>
        <v>Лига Чемпионов 2ПГ 2023</v>
      </c>
      <c r="Z69" s="41" t="str">
        <f>IFERROR(INDEX(_reward_link_[],MATCH(_SCHEDULE_[[#This Row],[CONTEST_CODE]],_reward_link_[CONTEST_CODE],0),MATCH($Z$2,_reward_link_[#Headers],0)),"-")</f>
        <v>BANK</v>
      </c>
      <c r="AA69" s="41" t="str">
        <f>IFERROR(INDEX(_report[],MATCH(_SCHEDULE_[[#This Row],[CONTEST_CODE]],_report[CONTEST_CODE],0),MATCH($AA$2,_report[#Headers],0)),"-")</f>
        <v>-</v>
      </c>
      <c r="AB69"/>
    </row>
    <row r="70" spans="1:28" hidden="1" x14ac:dyDescent="0.25">
      <c r="A70" s="14" t="s">
        <v>225</v>
      </c>
      <c r="B70" s="14" t="s">
        <v>146</v>
      </c>
      <c r="C70" s="14" t="s">
        <v>26</v>
      </c>
      <c r="D70" s="14" t="s">
        <v>171</v>
      </c>
      <c r="E70" s="14" t="s">
        <v>189</v>
      </c>
      <c r="F70" s="14" t="s">
        <v>194</v>
      </c>
      <c r="G70" s="14" t="s">
        <v>194</v>
      </c>
      <c r="H70" s="14" t="s">
        <v>194</v>
      </c>
      <c r="I70" s="14" t="s">
        <v>194</v>
      </c>
      <c r="J70" s="42" t="s">
        <v>194</v>
      </c>
      <c r="K70" s="14" t="s">
        <v>155</v>
      </c>
      <c r="L70" s="14" t="s">
        <v>60</v>
      </c>
      <c r="M70" s="14" t="s">
        <v>3599</v>
      </c>
      <c r="N70" s="14" t="s">
        <v>2</v>
      </c>
      <c r="O70" s="14" t="s">
        <v>1530</v>
      </c>
      <c r="P70" s="14" t="s">
        <v>1064</v>
      </c>
      <c r="R70" s="38">
        <f>IFERROR(COUNTIFS(_report[TOURNAMENT_CODE],_SCHEDULE_[[#This Row],[TOURNAMENT_CODE]],_report[CONTEST_CODE],_SCHEDULE_[[#This Row],[CONTEST_CODE]]),"-")</f>
        <v>0</v>
      </c>
      <c r="S70" s="41" t="str">
        <f>SUBSTITUTE(IFERROR(INDEX(_group_[],MATCH(CONCATENATE(_SCHEDULE_[[#This Row],[CONTEST_CODE]],"_",$S$2),_group_[ИД2],0),MATCH($S$1,_group_[#Headers],0)),"---"),".",",")</f>
        <v>BANK</v>
      </c>
      <c r="T70" s="41" t="str">
        <f>SUBSTITUTE(IFERROR(INDEX(_group_[],MATCH(CONCATENATE(_SCHEDULE_[[#This Row],[CONTEST_CODE]],"_",$T$2),_group_[ИД2],0),MATCH($T$1,_group_[#Headers],0)),"---"),".",",")</f>
        <v>---</v>
      </c>
      <c r="U70" s="41" t="str">
        <f>SUBSTITUTE(IFERROR(INDEX(_group_[],MATCH(CONCATENATE(_SCHEDULE_[[#This Row],[CONTEST_CODE]],"_",$U$2),_group_[ИД2],0),MATCH($U$1,_group_[#Headers],0)),"---"),".",",")</f>
        <v>---</v>
      </c>
      <c r="V70" s="41" t="str">
        <f>SUBSTITUTE(IFERROR(INDEX(_group_[],MATCH(CONCATENATE(_SCHEDULE_[[#This Row],[CONTEST_CODE]],"_",$V$2),_group_[ИД2],0),MATCH($V$1,_group_[#Headers],0)),"---"),".",",")</f>
        <v>---</v>
      </c>
      <c r="W70" s="41" t="str">
        <f>IFERROR(INDEX(_INDICATOR_[],MATCH(_SCHEDULE_[[#This Row],[CONTEST_CODE]],_INDICATOR_[CONTEST_CODE],0),MATCH($W$2,_INDICATOR_[#Headers],0)),"-")</f>
        <v>WAIT</v>
      </c>
      <c r="X70" s="41" t="str">
        <f>IFERROR(INDEX(_group_[],MATCH(_SCHEDULE_[[#This Row],[CONTEST_CODE]],_group_[CONTEST_CODE],0),MATCH($X$2,_group_[#Headers],0)),"-")</f>
        <v>BANK</v>
      </c>
      <c r="Y70" s="61" t="str">
        <f>IFERROR(INDEX(_DATA_[],MATCH(_SCHEDULE_[[#This Row],[CONTEST_CODE]],_DATA_[CONTEST_CODE],0),MATCH($Y$2,_DATA_[#Headers],0)),"-")</f>
        <v>Суперкубок 2023</v>
      </c>
      <c r="Z70" s="41" t="str">
        <f>IFERROR(INDEX(_reward_link_[],MATCH(_SCHEDULE_[[#This Row],[CONTEST_CODE]],_reward_link_[CONTEST_CODE],0),MATCH($Z$2,_reward_link_[#Headers],0)),"-")</f>
        <v>BANK</v>
      </c>
      <c r="AA70" s="41" t="str">
        <f>IFERROR(INDEX(_report[],MATCH(_SCHEDULE_[[#This Row],[CONTEST_CODE]],_report[CONTEST_CODE],0),MATCH($AA$2,_report[#Headers],0)),"-")</f>
        <v>-</v>
      </c>
      <c r="AB70"/>
    </row>
    <row r="71" spans="1:28" hidden="1" x14ac:dyDescent="0.25">
      <c r="A71" s="14" t="s">
        <v>226</v>
      </c>
      <c r="B71" s="14" t="s">
        <v>146</v>
      </c>
      <c r="C71" s="14" t="s">
        <v>26</v>
      </c>
      <c r="D71" s="14" t="s">
        <v>171</v>
      </c>
      <c r="E71" s="14" t="s">
        <v>223</v>
      </c>
      <c r="F71" s="14" t="s">
        <v>194</v>
      </c>
      <c r="G71" s="14" t="s">
        <v>194</v>
      </c>
      <c r="H71" s="14" t="s">
        <v>194</v>
      </c>
      <c r="I71" s="14" t="s">
        <v>194</v>
      </c>
      <c r="J71" s="42" t="s">
        <v>194</v>
      </c>
      <c r="K71" s="14" t="s">
        <v>155</v>
      </c>
      <c r="L71" s="14" t="s">
        <v>60</v>
      </c>
      <c r="M71" s="14" t="s">
        <v>3599</v>
      </c>
      <c r="N71" s="14" t="s">
        <v>2</v>
      </c>
      <c r="O71" s="14" t="s">
        <v>1531</v>
      </c>
      <c r="P71" s="14" t="s">
        <v>1064</v>
      </c>
      <c r="R71" s="38">
        <f>IFERROR(COUNTIFS(_report[TOURNAMENT_CODE],_SCHEDULE_[[#This Row],[TOURNAMENT_CODE]],_report[CONTEST_CODE],_SCHEDULE_[[#This Row],[CONTEST_CODE]]),"-")</f>
        <v>0</v>
      </c>
      <c r="S71" s="41" t="str">
        <f>SUBSTITUTE(IFERROR(INDEX(_group_[],MATCH(CONCATENATE(_SCHEDULE_[[#This Row],[CONTEST_CODE]],"_",$S$2),_group_[ИД2],0),MATCH($S$1,_group_[#Headers],0)),"---"),".",",")</f>
        <v>BANK</v>
      </c>
      <c r="T71" s="41" t="str">
        <f>SUBSTITUTE(IFERROR(INDEX(_group_[],MATCH(CONCATENATE(_SCHEDULE_[[#This Row],[CONTEST_CODE]],"_",$T$2),_group_[ИД2],0),MATCH($T$1,_group_[#Headers],0)),"---"),".",",")</f>
        <v>---</v>
      </c>
      <c r="U71" s="41" t="str">
        <f>SUBSTITUTE(IFERROR(INDEX(_group_[],MATCH(CONCATENATE(_SCHEDULE_[[#This Row],[CONTEST_CODE]],"_",$U$2),_group_[ИД2],0),MATCH($U$1,_group_[#Headers],0)),"---"),".",",")</f>
        <v>---</v>
      </c>
      <c r="V71" s="41" t="str">
        <f>SUBSTITUTE(IFERROR(INDEX(_group_[],MATCH(CONCATENATE(_SCHEDULE_[[#This Row],[CONTEST_CODE]],"_",$V$2),_group_[ИД2],0),MATCH($V$1,_group_[#Headers],0)),"---"),".",",")</f>
        <v>---</v>
      </c>
      <c r="W71" s="41" t="str">
        <f>IFERROR(INDEX(_INDICATOR_[],MATCH(_SCHEDULE_[[#This Row],[CONTEST_CODE]],_INDICATOR_[CONTEST_CODE],0),MATCH($W$2,_INDICATOR_[#Headers],0)),"-")</f>
        <v>WAIT</v>
      </c>
      <c r="X71" s="41" t="str">
        <f>IFERROR(INDEX(_group_[],MATCH(_SCHEDULE_[[#This Row],[CONTEST_CODE]],_group_[CONTEST_CODE],0),MATCH($X$2,_group_[#Headers],0)),"-")</f>
        <v>BANK</v>
      </c>
      <c r="Y71" s="61" t="str">
        <f>IFERROR(INDEX(_DATA_[],MATCH(_SCHEDULE_[[#This Row],[CONTEST_CODE]],_DATA_[CONTEST_CODE],0),MATCH($Y$2,_DATA_[#Headers],0)),"-")</f>
        <v>Суперкубок 2023</v>
      </c>
      <c r="Z71" s="41" t="str">
        <f>IFERROR(INDEX(_reward_link_[],MATCH(_SCHEDULE_[[#This Row],[CONTEST_CODE]],_reward_link_[CONTEST_CODE],0),MATCH($Z$2,_reward_link_[#Headers],0)),"-")</f>
        <v>BANK</v>
      </c>
      <c r="AA71" s="41" t="str">
        <f>IFERROR(INDEX(_report[],MATCH(_SCHEDULE_[[#This Row],[CONTEST_CODE]],_report[CONTEST_CODE],0),MATCH($AA$2,_report[#Headers],0)),"-")</f>
        <v>-</v>
      </c>
      <c r="AB71"/>
    </row>
    <row r="72" spans="1:28" hidden="1" x14ac:dyDescent="0.25">
      <c r="A72" s="14" t="s">
        <v>227</v>
      </c>
      <c r="B72" s="14" t="s">
        <v>146</v>
      </c>
      <c r="C72" s="14" t="s">
        <v>26</v>
      </c>
      <c r="D72" s="14" t="s">
        <v>171</v>
      </c>
      <c r="E72" s="14" t="s">
        <v>644</v>
      </c>
      <c r="F72" s="14" t="s">
        <v>194</v>
      </c>
      <c r="G72" s="14" t="s">
        <v>194</v>
      </c>
      <c r="H72" s="14" t="s">
        <v>194</v>
      </c>
      <c r="I72" s="14" t="s">
        <v>194</v>
      </c>
      <c r="J72" s="42" t="s">
        <v>194</v>
      </c>
      <c r="K72" s="14" t="s">
        <v>176</v>
      </c>
      <c r="L72" s="14" t="s">
        <v>60</v>
      </c>
      <c r="M72" s="14" t="s">
        <v>3599</v>
      </c>
      <c r="N72" s="14" t="s">
        <v>2</v>
      </c>
      <c r="O72" s="14" t="s">
        <v>1532</v>
      </c>
      <c r="P72" s="14" t="s">
        <v>1064</v>
      </c>
      <c r="R72" s="38">
        <f>IFERROR(COUNTIFS(_report[TOURNAMENT_CODE],_SCHEDULE_[[#This Row],[TOURNAMENT_CODE]],_report[CONTEST_CODE],_SCHEDULE_[[#This Row],[CONTEST_CODE]]),"-")</f>
        <v>0</v>
      </c>
      <c r="S72" s="41" t="str">
        <f>SUBSTITUTE(IFERROR(INDEX(_group_[],MATCH(CONCATENATE(_SCHEDULE_[[#This Row],[CONTEST_CODE]],"_",$S$2),_group_[ИД2],0),MATCH($S$1,_group_[#Headers],0)),"---"),".",",")</f>
        <v>BANK</v>
      </c>
      <c r="T72" s="41" t="str">
        <f>SUBSTITUTE(IFERROR(INDEX(_group_[],MATCH(CONCATENATE(_SCHEDULE_[[#This Row],[CONTEST_CODE]],"_",$T$2),_group_[ИД2],0),MATCH($T$1,_group_[#Headers],0)),"---"),".",",")</f>
        <v>---</v>
      </c>
      <c r="U72" s="41" t="str">
        <f>SUBSTITUTE(IFERROR(INDEX(_group_[],MATCH(CONCATENATE(_SCHEDULE_[[#This Row],[CONTEST_CODE]],"_",$U$2),_group_[ИД2],0),MATCH($U$1,_group_[#Headers],0)),"---"),".",",")</f>
        <v>---</v>
      </c>
      <c r="V72" s="41" t="str">
        <f>SUBSTITUTE(IFERROR(INDEX(_group_[],MATCH(CONCATENATE(_SCHEDULE_[[#This Row],[CONTEST_CODE]],"_",$V$2),_group_[ИД2],0),MATCH($V$1,_group_[#Headers],0)),"---"),".",",")</f>
        <v>---</v>
      </c>
      <c r="W72" s="41" t="str">
        <f>IFERROR(INDEX(_INDICATOR_[],MATCH(_SCHEDULE_[[#This Row],[CONTEST_CODE]],_INDICATOR_[CONTEST_CODE],0),MATCH($W$2,_INDICATOR_[#Headers],0)),"-")</f>
        <v>WAIT</v>
      </c>
      <c r="X72" s="41" t="str">
        <f>IFERROR(INDEX(_group_[],MATCH(_SCHEDULE_[[#This Row],[CONTEST_CODE]],_group_[CONTEST_CODE],0),MATCH($X$2,_group_[#Headers],0)),"-")</f>
        <v>BANK</v>
      </c>
      <c r="Y72" s="61" t="str">
        <f>IFERROR(INDEX(_DATA_[],MATCH(_SCHEDULE_[[#This Row],[CONTEST_CODE]],_DATA_[CONTEST_CODE],0),MATCH($Y$2,_DATA_[#Headers],0)),"-")</f>
        <v>Суперкубок 2023</v>
      </c>
      <c r="Z72" s="41" t="str">
        <f>IFERROR(INDEX(_reward_link_[],MATCH(_SCHEDULE_[[#This Row],[CONTEST_CODE]],_reward_link_[CONTEST_CODE],0),MATCH($Z$2,_reward_link_[#Headers],0)),"-")</f>
        <v>BANK</v>
      </c>
      <c r="AA72" s="41" t="str">
        <f>IFERROR(INDEX(_report[],MATCH(_SCHEDULE_[[#This Row],[CONTEST_CODE]],_report[CONTEST_CODE],0),MATCH($AA$2,_report[#Headers],0)),"-")</f>
        <v>-</v>
      </c>
      <c r="AB72"/>
    </row>
    <row r="73" spans="1:28" hidden="1" x14ac:dyDescent="0.25">
      <c r="A73" s="14" t="s">
        <v>1039</v>
      </c>
      <c r="B73" s="14" t="s">
        <v>146</v>
      </c>
      <c r="C73" s="14" t="s">
        <v>26</v>
      </c>
      <c r="D73" s="14" t="s">
        <v>171</v>
      </c>
      <c r="E73" s="14" t="s">
        <v>1087</v>
      </c>
      <c r="F73" s="14" t="s">
        <v>194</v>
      </c>
      <c r="G73" s="14" t="s">
        <v>194</v>
      </c>
      <c r="H73" s="14" t="s">
        <v>194</v>
      </c>
      <c r="I73" s="14" t="s">
        <v>194</v>
      </c>
      <c r="J73" s="42" t="s">
        <v>194</v>
      </c>
      <c r="K73" s="14" t="s">
        <v>176</v>
      </c>
      <c r="L73" s="14" t="s">
        <v>63</v>
      </c>
      <c r="M73" s="14" t="s">
        <v>3599</v>
      </c>
      <c r="N73" s="14" t="s">
        <v>2</v>
      </c>
      <c r="O73" s="14" t="s">
        <v>1533</v>
      </c>
      <c r="P73" s="14" t="s">
        <v>1064</v>
      </c>
      <c r="R73" s="38">
        <f>IFERROR(COUNTIFS(_report[TOURNAMENT_CODE],_SCHEDULE_[[#This Row],[TOURNAMENT_CODE]],_report[CONTEST_CODE],_SCHEDULE_[[#This Row],[CONTEST_CODE]]),"-")</f>
        <v>0</v>
      </c>
      <c r="S73" s="41" t="str">
        <f>SUBSTITUTE(IFERROR(INDEX(_group_[],MATCH(CONCATENATE(_SCHEDULE_[[#This Row],[CONTEST_CODE]],"_",$S$2),_group_[ИД2],0),MATCH($S$1,_group_[#Headers],0)),"---"),".",",")</f>
        <v>BANK</v>
      </c>
      <c r="T73" s="41" t="str">
        <f>SUBSTITUTE(IFERROR(INDEX(_group_[],MATCH(CONCATENATE(_SCHEDULE_[[#This Row],[CONTEST_CODE]],"_",$T$2),_group_[ИД2],0),MATCH($T$1,_group_[#Headers],0)),"---"),".",",")</f>
        <v>---</v>
      </c>
      <c r="U73" s="41" t="str">
        <f>SUBSTITUTE(IFERROR(INDEX(_group_[],MATCH(CONCATENATE(_SCHEDULE_[[#This Row],[CONTEST_CODE]],"_",$U$2),_group_[ИД2],0),MATCH($U$1,_group_[#Headers],0)),"---"),".",",")</f>
        <v>---</v>
      </c>
      <c r="V73" s="41" t="str">
        <f>SUBSTITUTE(IFERROR(INDEX(_group_[],MATCH(CONCATENATE(_SCHEDULE_[[#This Row],[CONTEST_CODE]],"_",$V$2),_group_[ИД2],0),MATCH($V$1,_group_[#Headers],0)),"---"),".",",")</f>
        <v>---</v>
      </c>
      <c r="W73" s="41" t="str">
        <f>IFERROR(INDEX(_INDICATOR_[],MATCH(_SCHEDULE_[[#This Row],[CONTEST_CODE]],_INDICATOR_[CONTEST_CODE],0),MATCH($W$2,_INDICATOR_[#Headers],0)),"-")</f>
        <v>WAIT</v>
      </c>
      <c r="X73" s="41" t="str">
        <f>IFERROR(INDEX(_group_[],MATCH(_SCHEDULE_[[#This Row],[CONTEST_CODE]],_group_[CONTEST_CODE],0),MATCH($X$2,_group_[#Headers],0)),"-")</f>
        <v>BANK</v>
      </c>
      <c r="Y73" s="61" t="str">
        <f>IFERROR(INDEX(_DATA_[],MATCH(_SCHEDULE_[[#This Row],[CONTEST_CODE]],_DATA_[CONTEST_CODE],0),MATCH($Y$2,_DATA_[#Headers],0)),"-")</f>
        <v>СВЕРХБОНУС 1 место</v>
      </c>
      <c r="Z73" s="41" t="str">
        <f>IFERROR(INDEX(_reward_link_[],MATCH(_SCHEDULE_[[#This Row],[CONTEST_CODE]],_reward_link_[CONTEST_CODE],0),MATCH($Z$2,_reward_link_[#Headers],0)),"-")</f>
        <v>BANK</v>
      </c>
      <c r="AA73" s="41" t="str">
        <f>IFERROR(INDEX(_report[],MATCH(_SCHEDULE_[[#This Row],[CONTEST_CODE]],_report[CONTEST_CODE],0),MATCH($AA$2,_report[#Headers],0)),"-")</f>
        <v>-</v>
      </c>
      <c r="AB73"/>
    </row>
    <row r="74" spans="1:28" hidden="1" x14ac:dyDescent="0.25">
      <c r="A74" s="14" t="s">
        <v>1040</v>
      </c>
      <c r="B74" s="14" t="s">
        <v>146</v>
      </c>
      <c r="C74" s="14" t="s">
        <v>26</v>
      </c>
      <c r="D74" s="14" t="s">
        <v>171</v>
      </c>
      <c r="E74" s="14" t="s">
        <v>1087</v>
      </c>
      <c r="F74" s="14" t="s">
        <v>194</v>
      </c>
      <c r="G74" s="14" t="s">
        <v>194</v>
      </c>
      <c r="H74" s="14" t="s">
        <v>194</v>
      </c>
      <c r="I74" s="14" t="s">
        <v>194</v>
      </c>
      <c r="J74" s="42" t="s">
        <v>194</v>
      </c>
      <c r="K74" s="14" t="s">
        <v>176</v>
      </c>
      <c r="L74" s="14" t="s">
        <v>65</v>
      </c>
      <c r="M74" s="14" t="s">
        <v>3599</v>
      </c>
      <c r="N74" s="14" t="s">
        <v>2</v>
      </c>
      <c r="O74" s="14" t="s">
        <v>1534</v>
      </c>
      <c r="P74" s="14" t="s">
        <v>1064</v>
      </c>
      <c r="R74" s="38">
        <f>IFERROR(COUNTIFS(_report[TOURNAMENT_CODE],_SCHEDULE_[[#This Row],[TOURNAMENT_CODE]],_report[CONTEST_CODE],_SCHEDULE_[[#This Row],[CONTEST_CODE]]),"-")</f>
        <v>0</v>
      </c>
      <c r="S74" s="41" t="str">
        <f>SUBSTITUTE(IFERROR(INDEX(_group_[],MATCH(CONCATENATE(_SCHEDULE_[[#This Row],[CONTEST_CODE]],"_",$S$2),_group_[ИД2],0),MATCH($S$1,_group_[#Headers],0)),"---"),".",",")</f>
        <v>BANK</v>
      </c>
      <c r="T74" s="41" t="str">
        <f>SUBSTITUTE(IFERROR(INDEX(_group_[],MATCH(CONCATENATE(_SCHEDULE_[[#This Row],[CONTEST_CODE]],"_",$T$2),_group_[ИД2],0),MATCH($T$1,_group_[#Headers],0)),"---"),".",",")</f>
        <v>---</v>
      </c>
      <c r="U74" s="41" t="str">
        <f>SUBSTITUTE(IFERROR(INDEX(_group_[],MATCH(CONCATENATE(_SCHEDULE_[[#This Row],[CONTEST_CODE]],"_",$U$2),_group_[ИД2],0),MATCH($U$1,_group_[#Headers],0)),"---"),".",",")</f>
        <v>---</v>
      </c>
      <c r="V74" s="41" t="str">
        <f>SUBSTITUTE(IFERROR(INDEX(_group_[],MATCH(CONCATENATE(_SCHEDULE_[[#This Row],[CONTEST_CODE]],"_",$V$2),_group_[ИД2],0),MATCH($V$1,_group_[#Headers],0)),"---"),".",",")</f>
        <v>---</v>
      </c>
      <c r="W74" s="41" t="str">
        <f>IFERROR(INDEX(_INDICATOR_[],MATCH(_SCHEDULE_[[#This Row],[CONTEST_CODE]],_INDICATOR_[CONTEST_CODE],0),MATCH($W$2,_INDICATOR_[#Headers],0)),"-")</f>
        <v>WAIT</v>
      </c>
      <c r="X74" s="41" t="str">
        <f>IFERROR(INDEX(_group_[],MATCH(_SCHEDULE_[[#This Row],[CONTEST_CODE]],_group_[CONTEST_CODE],0),MATCH($X$2,_group_[#Headers],0)),"-")</f>
        <v>BANK</v>
      </c>
      <c r="Y74" s="61" t="str">
        <f>IFERROR(INDEX(_DATA_[],MATCH(_SCHEDULE_[[#This Row],[CONTEST_CODE]],_DATA_[CONTEST_CODE],0),MATCH($Y$2,_DATA_[#Headers],0)),"-")</f>
        <v>СВЕРХБОНУС ТОП - 10%</v>
      </c>
      <c r="Z74" s="41" t="str">
        <f>IFERROR(INDEX(_reward_link_[],MATCH(_SCHEDULE_[[#This Row],[CONTEST_CODE]],_reward_link_[CONTEST_CODE],0),MATCH($Z$2,_reward_link_[#Headers],0)),"-")</f>
        <v>BANK</v>
      </c>
      <c r="AA74" s="41" t="str">
        <f>IFERROR(INDEX(_report[],MATCH(_SCHEDULE_[[#This Row],[CONTEST_CODE]],_report[CONTEST_CODE],0),MATCH($AA$2,_report[#Headers],0)),"-")</f>
        <v>-</v>
      </c>
      <c r="AB74"/>
    </row>
    <row r="75" spans="1:28" hidden="1" x14ac:dyDescent="0.25">
      <c r="A75" s="14" t="s">
        <v>1041</v>
      </c>
      <c r="B75" s="14" t="s">
        <v>146</v>
      </c>
      <c r="C75" s="14" t="s">
        <v>26</v>
      </c>
      <c r="D75" s="14" t="s">
        <v>171</v>
      </c>
      <c r="E75" s="14" t="s">
        <v>1087</v>
      </c>
      <c r="F75" s="14" t="s">
        <v>194</v>
      </c>
      <c r="G75" s="14" t="s">
        <v>194</v>
      </c>
      <c r="H75" s="14" t="s">
        <v>194</v>
      </c>
      <c r="I75" s="14" t="s">
        <v>194</v>
      </c>
      <c r="J75" s="42" t="s">
        <v>194</v>
      </c>
      <c r="K75" s="14" t="s">
        <v>176</v>
      </c>
      <c r="L75" s="14" t="s">
        <v>67</v>
      </c>
      <c r="M75" s="14" t="s">
        <v>3599</v>
      </c>
      <c r="N75" s="14" t="s">
        <v>2</v>
      </c>
      <c r="O75" s="14" t="s">
        <v>1535</v>
      </c>
      <c r="P75" s="14" t="s">
        <v>1064</v>
      </c>
      <c r="R75" s="38">
        <f>IFERROR(COUNTIFS(_report[TOURNAMENT_CODE],_SCHEDULE_[[#This Row],[TOURNAMENT_CODE]],_report[CONTEST_CODE],_SCHEDULE_[[#This Row],[CONTEST_CODE]]),"-")</f>
        <v>0</v>
      </c>
      <c r="S75" s="41" t="str">
        <f>SUBSTITUTE(IFERROR(INDEX(_group_[],MATCH(CONCATENATE(_SCHEDULE_[[#This Row],[CONTEST_CODE]],"_",$S$2),_group_[ИД2],0),MATCH($S$1,_group_[#Headers],0)),"---"),".",",")</f>
        <v>BANK</v>
      </c>
      <c r="T75" s="41" t="str">
        <f>SUBSTITUTE(IFERROR(INDEX(_group_[],MATCH(CONCATENATE(_SCHEDULE_[[#This Row],[CONTEST_CODE]],"_",$T$2),_group_[ИД2],0),MATCH($T$1,_group_[#Headers],0)),"---"),".",",")</f>
        <v>---</v>
      </c>
      <c r="U75" s="41" t="str">
        <f>SUBSTITUTE(IFERROR(INDEX(_group_[],MATCH(CONCATENATE(_SCHEDULE_[[#This Row],[CONTEST_CODE]],"_",$U$2),_group_[ИД2],0),MATCH($U$1,_group_[#Headers],0)),"---"),".",",")</f>
        <v>---</v>
      </c>
      <c r="V75" s="41" t="str">
        <f>SUBSTITUTE(IFERROR(INDEX(_group_[],MATCH(CONCATENATE(_SCHEDULE_[[#This Row],[CONTEST_CODE]],"_",$V$2),_group_[ИД2],0),MATCH($V$1,_group_[#Headers],0)),"---"),".",",")</f>
        <v>---</v>
      </c>
      <c r="W75" s="41" t="str">
        <f>IFERROR(INDEX(_INDICATOR_[],MATCH(_SCHEDULE_[[#This Row],[CONTEST_CODE]],_INDICATOR_[CONTEST_CODE],0),MATCH($W$2,_INDICATOR_[#Headers],0)),"-")</f>
        <v>WAIT</v>
      </c>
      <c r="X75" s="41" t="str">
        <f>IFERROR(INDEX(_group_[],MATCH(_SCHEDULE_[[#This Row],[CONTEST_CODE]],_group_[CONTEST_CODE],0),MATCH($X$2,_group_[#Headers],0)),"-")</f>
        <v>BANK</v>
      </c>
      <c r="Y75" s="61" t="str">
        <f>IFERROR(INDEX(_DATA_[],MATCH(_SCHEDULE_[[#This Row],[CONTEST_CODE]],_DATA_[CONTEST_CODE],0),MATCH($Y$2,_DATA_[#Headers],0)),"-")</f>
        <v>СВЕРХБОНУС ТОП - 20%</v>
      </c>
      <c r="Z75" s="41" t="str">
        <f>IFERROR(INDEX(_reward_link_[],MATCH(_SCHEDULE_[[#This Row],[CONTEST_CODE]],_reward_link_[CONTEST_CODE],0),MATCH($Z$2,_reward_link_[#Headers],0)),"-")</f>
        <v>BANK</v>
      </c>
      <c r="AA75" s="41" t="str">
        <f>IFERROR(INDEX(_report[],MATCH(_SCHEDULE_[[#This Row],[CONTEST_CODE]],_report[CONTEST_CODE],0),MATCH($AA$2,_report[#Headers],0)),"-")</f>
        <v>-</v>
      </c>
      <c r="AB75"/>
    </row>
    <row r="76" spans="1:28" hidden="1" x14ac:dyDescent="0.25">
      <c r="A76" s="14" t="s">
        <v>1042</v>
      </c>
      <c r="B76" s="14" t="s">
        <v>146</v>
      </c>
      <c r="C76" s="14" t="s">
        <v>26</v>
      </c>
      <c r="D76" s="14" t="s">
        <v>171</v>
      </c>
      <c r="E76" s="14" t="s">
        <v>1087</v>
      </c>
      <c r="F76" s="14" t="s">
        <v>194</v>
      </c>
      <c r="G76" s="14" t="s">
        <v>194</v>
      </c>
      <c r="H76" s="14" t="s">
        <v>194</v>
      </c>
      <c r="I76" s="14" t="s">
        <v>194</v>
      </c>
      <c r="J76" s="42" t="s">
        <v>194</v>
      </c>
      <c r="K76" s="14" t="s">
        <v>176</v>
      </c>
      <c r="L76" s="14" t="s">
        <v>69</v>
      </c>
      <c r="M76" s="14" t="s">
        <v>3599</v>
      </c>
      <c r="N76" s="14" t="s">
        <v>2</v>
      </c>
      <c r="O76" s="14" t="s">
        <v>1536</v>
      </c>
      <c r="P76" s="14" t="s">
        <v>1064</v>
      </c>
      <c r="R76" s="38">
        <f>IFERROR(COUNTIFS(_report[TOURNAMENT_CODE],_SCHEDULE_[[#This Row],[TOURNAMENT_CODE]],_report[CONTEST_CODE],_SCHEDULE_[[#This Row],[CONTEST_CODE]]),"-")</f>
        <v>0</v>
      </c>
      <c r="S76" s="41" t="str">
        <f>SUBSTITUTE(IFERROR(INDEX(_group_[],MATCH(CONCATENATE(_SCHEDULE_[[#This Row],[CONTEST_CODE]],"_",$S$2),_group_[ИД2],0),MATCH($S$1,_group_[#Headers],0)),"---"),".",",")</f>
        <v>BANK</v>
      </c>
      <c r="T76" s="41" t="str">
        <f>SUBSTITUTE(IFERROR(INDEX(_group_[],MATCH(CONCATENATE(_SCHEDULE_[[#This Row],[CONTEST_CODE]],"_",$T$2),_group_[ИД2],0),MATCH($T$1,_group_[#Headers],0)),"---"),".",",")</f>
        <v>---</v>
      </c>
      <c r="U76" s="41" t="str">
        <f>SUBSTITUTE(IFERROR(INDEX(_group_[],MATCH(CONCATENATE(_SCHEDULE_[[#This Row],[CONTEST_CODE]],"_",$U$2),_group_[ИД2],0),MATCH($U$1,_group_[#Headers],0)),"---"),".",",")</f>
        <v>---</v>
      </c>
      <c r="V76" s="41" t="str">
        <f>SUBSTITUTE(IFERROR(INDEX(_group_[],MATCH(CONCATENATE(_SCHEDULE_[[#This Row],[CONTEST_CODE]],"_",$V$2),_group_[ИД2],0),MATCH($V$1,_group_[#Headers],0)),"---"),".",",")</f>
        <v>---</v>
      </c>
      <c r="W76" s="41" t="str">
        <f>IFERROR(INDEX(_INDICATOR_[],MATCH(_SCHEDULE_[[#This Row],[CONTEST_CODE]],_INDICATOR_[CONTEST_CODE],0),MATCH($W$2,_INDICATOR_[#Headers],0)),"-")</f>
        <v>WAIT</v>
      </c>
      <c r="X76" s="41" t="str">
        <f>IFERROR(INDEX(_group_[],MATCH(_SCHEDULE_[[#This Row],[CONTEST_CODE]],_group_[CONTEST_CODE],0),MATCH($X$2,_group_[#Headers],0)),"-")</f>
        <v>BANK</v>
      </c>
      <c r="Y76" s="61" t="str">
        <f>IFERROR(INDEX(_DATA_[],MATCH(_SCHEDULE_[[#This Row],[CONTEST_CODE]],_DATA_[CONTEST_CODE],0),MATCH($Y$2,_DATA_[#Headers],0)),"-")</f>
        <v>СВЕРХБОНУС ТОП - 20+%</v>
      </c>
      <c r="Z76" s="41" t="str">
        <f>IFERROR(INDEX(_reward_link_[],MATCH(_SCHEDULE_[[#This Row],[CONTEST_CODE]],_reward_link_[CONTEST_CODE],0),MATCH($Z$2,_reward_link_[#Headers],0)),"-")</f>
        <v>BANK</v>
      </c>
      <c r="AA76" s="41" t="str">
        <f>IFERROR(INDEX(_report[],MATCH(_SCHEDULE_[[#This Row],[CONTEST_CODE]],_report[CONTEST_CODE],0),MATCH($AA$2,_report[#Headers],0)),"-")</f>
        <v>-</v>
      </c>
      <c r="AB76"/>
    </row>
    <row r="77" spans="1:28" hidden="1" x14ac:dyDescent="0.25">
      <c r="A77" s="14" t="s">
        <v>1693</v>
      </c>
      <c r="B77" s="14" t="s">
        <v>229</v>
      </c>
      <c r="C77" s="14" t="s">
        <v>1308</v>
      </c>
      <c r="D77" s="14" t="s">
        <v>642</v>
      </c>
      <c r="E77" s="14" t="s">
        <v>642</v>
      </c>
      <c r="F77" s="14" t="s">
        <v>703</v>
      </c>
      <c r="G77" s="14" t="s">
        <v>1070</v>
      </c>
      <c r="H77" s="14" t="s">
        <v>194</v>
      </c>
      <c r="I77" s="14" t="s">
        <v>194</v>
      </c>
      <c r="J77" s="42" t="s">
        <v>194</v>
      </c>
      <c r="K77" s="14" t="s">
        <v>176</v>
      </c>
      <c r="L77" s="14" t="s">
        <v>1344</v>
      </c>
      <c r="M77" s="14" t="s">
        <v>3599</v>
      </c>
      <c r="N77" s="14" t="s">
        <v>2</v>
      </c>
      <c r="O77" s="14" t="s">
        <v>1694</v>
      </c>
      <c r="P77" s="14" t="s">
        <v>1064</v>
      </c>
      <c r="R77" s="38">
        <f>IFERROR(COUNTIFS(_report[TOURNAMENT_CODE],_SCHEDULE_[[#This Row],[TOURNAMENT_CODE]],_report[CONTEST_CODE],_SCHEDULE_[[#This Row],[CONTEST_CODE]]),"-")</f>
        <v>0</v>
      </c>
      <c r="S77" s="41" t="str">
        <f>SUBSTITUTE(IFERROR(INDEX(_group_[],MATCH(CONCATENATE(_SCHEDULE_[[#This Row],[CONTEST_CODE]],"_",$S$2),_group_[ИД2],0),MATCH($S$1,_group_[#Headers],0)),"---"),".",",")</f>
        <v>---</v>
      </c>
      <c r="T77" s="41" t="str">
        <f>SUBSTITUTE(IFERROR(INDEX(_group_[],MATCH(CONCATENATE(_SCHEDULE_[[#This Row],[CONTEST_CODE]],"_",$T$2),_group_[ИД2],0),MATCH($T$1,_group_[#Headers],0)),"---"),".",",")</f>
        <v>TB</v>
      </c>
      <c r="U77" s="41" t="str">
        <f>SUBSTITUTE(IFERROR(INDEX(_group_[],MATCH(CONCATENATE(_SCHEDULE_[[#This Row],[CONTEST_CODE]],"_",$U$2),_group_[ИД2],0),MATCH($U$1,_group_[#Headers],0)),"---"),".",",")</f>
        <v>---</v>
      </c>
      <c r="V77" s="41" t="str">
        <f>SUBSTITUTE(IFERROR(INDEX(_group_[],MATCH(CONCATENATE(_SCHEDULE_[[#This Row],[CONTEST_CODE]],"_",$V$2),_group_[ИД2],0),MATCH($V$1,_group_[#Headers],0)),"---"),".",",")</f>
        <v>---</v>
      </c>
      <c r="W77" s="41" t="str">
        <f>IFERROR(INDEX(_INDICATOR_[],MATCH(_SCHEDULE_[[#This Row],[CONTEST_CODE]],_INDICATOR_[CONTEST_CODE],0),MATCH($W$2,_INDICATOR_[#Headers],0)),"-")</f>
        <v>WAIT</v>
      </c>
      <c r="X77" s="41" t="str">
        <f>IFERROR(INDEX(_group_[],MATCH(_SCHEDULE_[[#This Row],[CONTEST_CODE]],_group_[CONTEST_CODE],0),MATCH($X$2,_group_[#Headers],0)),"-")</f>
        <v>TB</v>
      </c>
      <c r="Y77" s="61" t="str">
        <f>IFERROR(INDEX(_DATA_[],MATCH(_SCHEDULE_[[#This Row],[CONTEST_CODE]],_DATA_[CONTEST_CODE],0),MATCH($Y$2,_DATA_[#Headers],0)),"-")</f>
        <v>Рупии. Максимизируем число новых открытых счетов</v>
      </c>
      <c r="Z77" s="41" t="str">
        <f>IFERROR(INDEX(_reward_link_[],MATCH(_SCHEDULE_[[#This Row],[CONTEST_CODE]],_reward_link_[CONTEST_CODE],0),MATCH($Z$2,_reward_link_[#Headers],0)),"-")</f>
        <v>TB</v>
      </c>
      <c r="AA77" s="41" t="str">
        <f>IFERROR(INDEX(_report[],MATCH(_SCHEDULE_[[#This Row],[CONTEST_CODE]],_report[CONTEST_CODE],0),MATCH($AA$2,_report[#Headers],0)),"-")</f>
        <v>-</v>
      </c>
      <c r="AB77"/>
    </row>
    <row r="78" spans="1:28" hidden="1" x14ac:dyDescent="0.25">
      <c r="A78" s="14" t="s">
        <v>228</v>
      </c>
      <c r="B78" s="14" t="s">
        <v>229</v>
      </c>
      <c r="C78" s="14" t="s">
        <v>147</v>
      </c>
      <c r="D78" s="14" t="s">
        <v>171</v>
      </c>
      <c r="E78" s="14" t="s">
        <v>230</v>
      </c>
      <c r="F78" s="14" t="s">
        <v>26</v>
      </c>
      <c r="G78" s="14" t="s">
        <v>161</v>
      </c>
      <c r="H78" s="14" t="s">
        <v>194</v>
      </c>
      <c r="I78" s="14" t="s">
        <v>194</v>
      </c>
      <c r="J78" s="14" t="s">
        <v>194</v>
      </c>
      <c r="K78" s="14" t="s">
        <v>155</v>
      </c>
      <c r="L78" s="14" t="s">
        <v>74</v>
      </c>
      <c r="M78" s="14" t="s">
        <v>3600</v>
      </c>
      <c r="N78" s="14" t="s">
        <v>2</v>
      </c>
      <c r="O78" s="14" t="s">
        <v>1537</v>
      </c>
      <c r="P78" s="14" t="s">
        <v>1064</v>
      </c>
      <c r="R78" s="38">
        <f>IFERROR(COUNTIFS(_report[TOURNAMENT_CODE],_SCHEDULE_[[#This Row],[TOURNAMENT_CODE]],_report[CONTEST_CODE],_SCHEDULE_[[#This Row],[CONTEST_CODE]]),"-")</f>
        <v>0</v>
      </c>
      <c r="S78" s="41" t="str">
        <f>SUBSTITUTE(IFERROR(INDEX(_group_[],MATCH(CONCATENATE(_SCHEDULE_[[#This Row],[CONTEST_CODE]],"_",$S$2),_group_[ИД2],0),MATCH($S$1,_group_[#Headers],0)),"---"),".",",")</f>
        <v>BANK</v>
      </c>
      <c r="T78" s="41" t="str">
        <f>SUBSTITUTE(IFERROR(INDEX(_group_[],MATCH(CONCATENATE(_SCHEDULE_[[#This Row],[CONTEST_CODE]],"_",$T$2),_group_[ИД2],0),MATCH($T$1,_group_[#Headers],0)),"---"),".",",")</f>
        <v>TB</v>
      </c>
      <c r="U78" s="41" t="str">
        <f>SUBSTITUTE(IFERROR(INDEX(_group_[],MATCH(CONCATENATE(_SCHEDULE_[[#This Row],[CONTEST_CODE]],"_",$U$2),_group_[ИД2],0),MATCH($U$1,_group_[#Headers],0)),"---"),".",",")</f>
        <v>---</v>
      </c>
      <c r="V78" s="41" t="str">
        <f>SUBSTITUTE(IFERROR(INDEX(_group_[],MATCH(CONCATENATE(_SCHEDULE_[[#This Row],[CONTEST_CODE]],"_",$V$2),_group_[ИД2],0),MATCH($V$1,_group_[#Headers],0)),"---"),".",",")</f>
        <v>---</v>
      </c>
      <c r="W78" s="41" t="str">
        <f>IFERROR(INDEX(_INDICATOR_[],MATCH(_SCHEDULE_[[#This Row],[CONTEST_CODE]],_INDICATOR_[CONTEST_CODE],0),MATCH($W$2,_INDICATOR_[#Headers],0)),"-")</f>
        <v>WAIT</v>
      </c>
      <c r="X78" s="41" t="str">
        <f>IFERROR(INDEX(_group_[],MATCH(_SCHEDULE_[[#This Row],[CONTEST_CODE]],_group_[CONTEST_CODE],0),MATCH($X$2,_group_[#Headers],0)),"-")</f>
        <v>BANK</v>
      </c>
      <c r="Y78" s="61" t="str">
        <f>IFERROR(INDEX(_DATA_[],MATCH(_SCHEDULE_[[#This Row],[CONTEST_CODE]],_DATA_[CONTEST_CODE],0),MATCH($Y$2,_DATA_[#Headers],0)),"-")</f>
        <v>Максимальный полученный доход от продажи продуктов СберЗдоровье</v>
      </c>
      <c r="Z78" s="41" t="str">
        <f>IFERROR(INDEX(_reward_link_[],MATCH(_SCHEDULE_[[#This Row],[CONTEST_CODE]],_reward_link_[CONTEST_CODE],0),MATCH($Z$2,_reward_link_[#Headers],0)),"-")</f>
        <v>TB</v>
      </c>
      <c r="AA78" s="41" t="str">
        <f>IFERROR(INDEX(_report[],MATCH(_SCHEDULE_[[#This Row],[CONTEST_CODE]],_report[CONTEST_CODE],0),MATCH($AA$2,_report[#Headers],0)),"-")</f>
        <v>-</v>
      </c>
      <c r="AB78"/>
    </row>
    <row r="79" spans="1:28" hidden="1" x14ac:dyDescent="0.25">
      <c r="A79" s="14" t="s">
        <v>231</v>
      </c>
      <c r="B79" s="14" t="s">
        <v>229</v>
      </c>
      <c r="C79" s="14" t="s">
        <v>147</v>
      </c>
      <c r="D79" s="14" t="s">
        <v>171</v>
      </c>
      <c r="E79" s="14" t="s">
        <v>3217</v>
      </c>
      <c r="F79" s="14" t="s">
        <v>26</v>
      </c>
      <c r="G79" s="14" t="s">
        <v>161</v>
      </c>
      <c r="H79" s="14" t="s">
        <v>194</v>
      </c>
      <c r="I79" s="14" t="s">
        <v>194</v>
      </c>
      <c r="J79" s="14" t="s">
        <v>194</v>
      </c>
      <c r="K79" s="14" t="s">
        <v>176</v>
      </c>
      <c r="L79" s="14" t="s">
        <v>74</v>
      </c>
      <c r="M79" s="14" t="s">
        <v>3600</v>
      </c>
      <c r="N79" s="14" t="s">
        <v>2</v>
      </c>
      <c r="O79" s="14" t="s">
        <v>1538</v>
      </c>
      <c r="P79" s="14" t="s">
        <v>1064</v>
      </c>
      <c r="R79" s="38">
        <f>IFERROR(COUNTIFS(_report[TOURNAMENT_CODE],_SCHEDULE_[[#This Row],[TOURNAMENT_CODE]],_report[CONTEST_CODE],_SCHEDULE_[[#This Row],[CONTEST_CODE]]),"-")</f>
        <v>0</v>
      </c>
      <c r="S79" s="41" t="str">
        <f>SUBSTITUTE(IFERROR(INDEX(_group_[],MATCH(CONCATENATE(_SCHEDULE_[[#This Row],[CONTEST_CODE]],"_",$S$2),_group_[ИД2],0),MATCH($S$1,_group_[#Headers],0)),"---"),".",",")</f>
        <v>BANK</v>
      </c>
      <c r="T79" s="41" t="str">
        <f>SUBSTITUTE(IFERROR(INDEX(_group_[],MATCH(CONCATENATE(_SCHEDULE_[[#This Row],[CONTEST_CODE]],"_",$T$2),_group_[ИД2],0),MATCH($T$1,_group_[#Headers],0)),"---"),".",",")</f>
        <v>TB</v>
      </c>
      <c r="U79" s="41" t="str">
        <f>SUBSTITUTE(IFERROR(INDEX(_group_[],MATCH(CONCATENATE(_SCHEDULE_[[#This Row],[CONTEST_CODE]],"_",$U$2),_group_[ИД2],0),MATCH($U$1,_group_[#Headers],0)),"---"),".",",")</f>
        <v>---</v>
      </c>
      <c r="V79" s="41" t="str">
        <f>SUBSTITUTE(IFERROR(INDEX(_group_[],MATCH(CONCATENATE(_SCHEDULE_[[#This Row],[CONTEST_CODE]],"_",$V$2),_group_[ИД2],0),MATCH($V$1,_group_[#Headers],0)),"---"),".",",")</f>
        <v>---</v>
      </c>
      <c r="W79" s="41" t="str">
        <f>IFERROR(INDEX(_INDICATOR_[],MATCH(_SCHEDULE_[[#This Row],[CONTEST_CODE]],_INDICATOR_[CONTEST_CODE],0),MATCH($W$2,_INDICATOR_[#Headers],0)),"-")</f>
        <v>WAIT</v>
      </c>
      <c r="X79" s="41" t="str">
        <f>IFERROR(INDEX(_group_[],MATCH(_SCHEDULE_[[#This Row],[CONTEST_CODE]],_group_[CONTEST_CODE],0),MATCH($X$2,_group_[#Headers],0)),"-")</f>
        <v>BANK</v>
      </c>
      <c r="Y79" s="61" t="str">
        <f>IFERROR(INDEX(_DATA_[],MATCH(_SCHEDULE_[[#This Row],[CONTEST_CODE]],_DATA_[CONTEST_CODE],0),MATCH($Y$2,_DATA_[#Headers],0)),"-")</f>
        <v>Максимальный полученный доход от продажи продуктов СберЗдоровье</v>
      </c>
      <c r="Z79" s="41" t="str">
        <f>IFERROR(INDEX(_reward_link_[],MATCH(_SCHEDULE_[[#This Row],[CONTEST_CODE]],_reward_link_[CONTEST_CODE],0),MATCH($Z$2,_reward_link_[#Headers],0)),"-")</f>
        <v>TB</v>
      </c>
      <c r="AA79" s="41" t="str">
        <f>IFERROR(INDEX(_report[],MATCH(_SCHEDULE_[[#This Row],[CONTEST_CODE]],_report[CONTEST_CODE],0),MATCH($AA$2,_report[#Headers],0)),"-")</f>
        <v>-</v>
      </c>
      <c r="AB79"/>
    </row>
    <row r="80" spans="1:28" hidden="1" x14ac:dyDescent="0.25">
      <c r="A80" s="14" t="s">
        <v>248</v>
      </c>
      <c r="B80" s="14" t="s">
        <v>249</v>
      </c>
      <c r="C80" s="14" t="s">
        <v>170</v>
      </c>
      <c r="D80" s="14" t="s">
        <v>240</v>
      </c>
      <c r="E80" s="14" t="s">
        <v>250</v>
      </c>
      <c r="F80" s="14" t="s">
        <v>194</v>
      </c>
      <c r="G80" s="14" t="s">
        <v>194</v>
      </c>
      <c r="H80" s="14" t="s">
        <v>194</v>
      </c>
      <c r="I80" s="14" t="s">
        <v>194</v>
      </c>
      <c r="J80" s="14" t="s">
        <v>194</v>
      </c>
      <c r="K80" s="14" t="s">
        <v>155</v>
      </c>
      <c r="L80" s="14" t="s">
        <v>79</v>
      </c>
      <c r="M80" s="14" t="s">
        <v>3599</v>
      </c>
      <c r="N80" s="14" t="s">
        <v>2</v>
      </c>
      <c r="O80" s="14" t="s">
        <v>1539</v>
      </c>
      <c r="P80" s="14" t="s">
        <v>1064</v>
      </c>
      <c r="R80" s="38">
        <f>IFERROR(COUNTIFS(_report[TOURNAMENT_CODE],_SCHEDULE_[[#This Row],[TOURNAMENT_CODE]],_report[CONTEST_CODE],_SCHEDULE_[[#This Row],[CONTEST_CODE]]),"-")</f>
        <v>0</v>
      </c>
      <c r="S80" s="41" t="str">
        <f>SUBSTITUTE(IFERROR(INDEX(_group_[],MATCH(CONCATENATE(_SCHEDULE_[[#This Row],[CONTEST_CODE]],"_",$S$2),_group_[ИД2],0),MATCH($S$1,_group_[#Headers],0)),"---"),".",",")</f>
        <v>BANK</v>
      </c>
      <c r="T80" s="41" t="str">
        <f>SUBSTITUTE(IFERROR(INDEX(_group_[],MATCH(CONCATENATE(_SCHEDULE_[[#This Row],[CONTEST_CODE]],"_",$T$2),_group_[ИД2],0),MATCH($T$1,_group_[#Headers],0)),"---"),".",",")</f>
        <v>---</v>
      </c>
      <c r="U80" s="41" t="str">
        <f>SUBSTITUTE(IFERROR(INDEX(_group_[],MATCH(CONCATENATE(_SCHEDULE_[[#This Row],[CONTEST_CODE]],"_",$U$2),_group_[ИД2],0),MATCH($U$1,_group_[#Headers],0)),"---"),".",",")</f>
        <v>---</v>
      </c>
      <c r="V80" s="41" t="str">
        <f>SUBSTITUTE(IFERROR(INDEX(_group_[],MATCH(CONCATENATE(_SCHEDULE_[[#This Row],[CONTEST_CODE]],"_",$V$2),_group_[ИД2],0),MATCH($V$1,_group_[#Headers],0)),"---"),".",",")</f>
        <v>---</v>
      </c>
      <c r="W80" s="41" t="str">
        <f>IFERROR(INDEX(_INDICATOR_[],MATCH(_SCHEDULE_[[#This Row],[CONTEST_CODE]],_INDICATOR_[CONTEST_CODE],0),MATCH($W$2,_INDICATOR_[#Headers],0)),"-")</f>
        <v>WAIT</v>
      </c>
      <c r="X80" s="41" t="str">
        <f>IFERROR(INDEX(_group_[],MATCH(_SCHEDULE_[[#This Row],[CONTEST_CODE]],_group_[CONTEST_CODE],0),MATCH($X$2,_group_[#Headers],0)),"-")</f>
        <v>BANK</v>
      </c>
      <c r="Y80" s="61" t="str">
        <f>IFERROR(INDEX(_DATA_[],MATCH(_SCHEDULE_[[#This Row],[CONTEST_CODE]],_DATA_[CONTEST_CODE],0),MATCH($Y$2,_DATA_[#Headers],0)),"-")</f>
        <v>Факторинг. Лучший по продажам</v>
      </c>
      <c r="Z80" s="41" t="str">
        <f>IFERROR(INDEX(_reward_link_[],MATCH(_SCHEDULE_[[#This Row],[CONTEST_CODE]],_reward_link_[CONTEST_CODE],0),MATCH($Z$2,_reward_link_[#Headers],0)),"-")</f>
        <v>BANK</v>
      </c>
      <c r="AA80" s="41" t="str">
        <f>IFERROR(INDEX(_report[],MATCH(_SCHEDULE_[[#This Row],[CONTEST_CODE]],_report[CONTEST_CODE],0),MATCH($AA$2,_report[#Headers],0)),"-")</f>
        <v>-</v>
      </c>
      <c r="AB80"/>
    </row>
    <row r="81" spans="1:28" hidden="1" x14ac:dyDescent="0.25">
      <c r="A81" s="14" t="s">
        <v>251</v>
      </c>
      <c r="B81" s="14" t="s">
        <v>229</v>
      </c>
      <c r="C81" s="14" t="s">
        <v>192</v>
      </c>
      <c r="D81" s="14" t="s">
        <v>252</v>
      </c>
      <c r="E81" s="14" t="s">
        <v>1159</v>
      </c>
      <c r="F81" s="14" t="s">
        <v>182</v>
      </c>
      <c r="G81" s="14" t="s">
        <v>188</v>
      </c>
      <c r="H81" s="14" t="s">
        <v>194</v>
      </c>
      <c r="I81" s="14" t="s">
        <v>194</v>
      </c>
      <c r="J81" s="14" t="s">
        <v>194</v>
      </c>
      <c r="K81" s="14" t="s">
        <v>176</v>
      </c>
      <c r="L81" s="14" t="s">
        <v>79</v>
      </c>
      <c r="M81" s="14" t="s">
        <v>3599</v>
      </c>
      <c r="N81" s="14" t="s">
        <v>2</v>
      </c>
      <c r="O81" s="14" t="s">
        <v>1540</v>
      </c>
      <c r="P81" s="14" t="s">
        <v>1064</v>
      </c>
      <c r="R81" s="38">
        <f>IFERROR(COUNTIFS(_report[TOURNAMENT_CODE],_SCHEDULE_[[#This Row],[TOURNAMENT_CODE]],_report[CONTEST_CODE],_SCHEDULE_[[#This Row],[CONTEST_CODE]]),"-")</f>
        <v>0</v>
      </c>
      <c r="S81" s="41" t="str">
        <f>SUBSTITUTE(IFERROR(INDEX(_group_[],MATCH(CONCATENATE(_SCHEDULE_[[#This Row],[CONTEST_CODE]],"_",$S$2),_group_[ИД2],0),MATCH($S$1,_group_[#Headers],0)),"---"),".",",")</f>
        <v>BANK</v>
      </c>
      <c r="T81" s="41" t="str">
        <f>SUBSTITUTE(IFERROR(INDEX(_group_[],MATCH(CONCATENATE(_SCHEDULE_[[#This Row],[CONTEST_CODE]],"_",$T$2),_group_[ИД2],0),MATCH($T$1,_group_[#Headers],0)),"---"),".",",")</f>
        <v>---</v>
      </c>
      <c r="U81" s="41" t="str">
        <f>SUBSTITUTE(IFERROR(INDEX(_group_[],MATCH(CONCATENATE(_SCHEDULE_[[#This Row],[CONTEST_CODE]],"_",$U$2),_group_[ИД2],0),MATCH($U$1,_group_[#Headers],0)),"---"),".",",")</f>
        <v>---</v>
      </c>
      <c r="V81" s="41" t="str">
        <f>SUBSTITUTE(IFERROR(INDEX(_group_[],MATCH(CONCATENATE(_SCHEDULE_[[#This Row],[CONTEST_CODE]],"_",$V$2),_group_[ИД2],0),MATCH($V$1,_group_[#Headers],0)),"---"),".",",")</f>
        <v>---</v>
      </c>
      <c r="W81" s="41" t="str">
        <f>IFERROR(INDEX(_INDICATOR_[],MATCH(_SCHEDULE_[[#This Row],[CONTEST_CODE]],_INDICATOR_[CONTEST_CODE],0),MATCH($W$2,_INDICATOR_[#Headers],0)),"-")</f>
        <v>WAIT</v>
      </c>
      <c r="X81" s="41" t="str">
        <f>IFERROR(INDEX(_group_[],MATCH(_SCHEDULE_[[#This Row],[CONTEST_CODE]],_group_[CONTEST_CODE],0),MATCH($X$2,_group_[#Headers],0)),"-")</f>
        <v>BANK</v>
      </c>
      <c r="Y81" s="61" t="str">
        <f>IFERROR(INDEX(_DATA_[],MATCH(_SCHEDULE_[[#This Row],[CONTEST_CODE]],_DATA_[CONTEST_CODE],0),MATCH($Y$2,_DATA_[#Headers],0)),"-")</f>
        <v>Факторинг. Лучший по продажам</v>
      </c>
      <c r="Z81" s="41" t="str">
        <f>IFERROR(INDEX(_reward_link_[],MATCH(_SCHEDULE_[[#This Row],[CONTEST_CODE]],_reward_link_[CONTEST_CODE],0),MATCH($Z$2,_reward_link_[#Headers],0)),"-")</f>
        <v>BANK</v>
      </c>
      <c r="AA81" s="41" t="str">
        <f>IFERROR(INDEX(_report[],MATCH(_SCHEDULE_[[#This Row],[CONTEST_CODE]],_report[CONTEST_CODE],0),MATCH($AA$2,_report[#Headers],0)),"-")</f>
        <v>-</v>
      </c>
      <c r="AB81"/>
    </row>
    <row r="82" spans="1:28" hidden="1" x14ac:dyDescent="0.25">
      <c r="A82" s="14" t="s">
        <v>1066</v>
      </c>
      <c r="B82" s="14" t="s">
        <v>229</v>
      </c>
      <c r="C82" s="14" t="s">
        <v>703</v>
      </c>
      <c r="D82" s="14" t="s">
        <v>1070</v>
      </c>
      <c r="E82" s="14" t="s">
        <v>1071</v>
      </c>
      <c r="F82" s="14" t="s">
        <v>192</v>
      </c>
      <c r="G82" s="14" t="s">
        <v>252</v>
      </c>
      <c r="H82" s="14" t="s">
        <v>194</v>
      </c>
      <c r="I82" s="14" t="s">
        <v>194</v>
      </c>
      <c r="J82" s="14" t="s">
        <v>194</v>
      </c>
      <c r="K82" s="14" t="s">
        <v>176</v>
      </c>
      <c r="L82" s="14" t="s">
        <v>79</v>
      </c>
      <c r="M82" s="14" t="s">
        <v>3599</v>
      </c>
      <c r="N82" s="14" t="s">
        <v>2</v>
      </c>
      <c r="O82" s="14" t="s">
        <v>1541</v>
      </c>
      <c r="P82" s="14" t="s">
        <v>1064</v>
      </c>
      <c r="R82" s="38">
        <f>IFERROR(COUNTIFS(_report[TOURNAMENT_CODE],_SCHEDULE_[[#This Row],[TOURNAMENT_CODE]],_report[CONTEST_CODE],_SCHEDULE_[[#This Row],[CONTEST_CODE]]),"-")</f>
        <v>0</v>
      </c>
      <c r="S82" s="41" t="str">
        <f>SUBSTITUTE(IFERROR(INDEX(_group_[],MATCH(CONCATENATE(_SCHEDULE_[[#This Row],[CONTEST_CODE]],"_",$S$2),_group_[ИД2],0),MATCH($S$1,_group_[#Headers],0)),"---"),".",",")</f>
        <v>BANK</v>
      </c>
      <c r="T82" s="41" t="str">
        <f>SUBSTITUTE(IFERROR(INDEX(_group_[],MATCH(CONCATENATE(_SCHEDULE_[[#This Row],[CONTEST_CODE]],"_",$T$2),_group_[ИД2],0),MATCH($T$1,_group_[#Headers],0)),"---"),".",",")</f>
        <v>---</v>
      </c>
      <c r="U82" s="41" t="str">
        <f>SUBSTITUTE(IFERROR(INDEX(_group_[],MATCH(CONCATENATE(_SCHEDULE_[[#This Row],[CONTEST_CODE]],"_",$U$2),_group_[ИД2],0),MATCH($U$1,_group_[#Headers],0)),"---"),".",",")</f>
        <v>---</v>
      </c>
      <c r="V82" s="41" t="str">
        <f>SUBSTITUTE(IFERROR(INDEX(_group_[],MATCH(CONCATENATE(_SCHEDULE_[[#This Row],[CONTEST_CODE]],"_",$V$2),_group_[ИД2],0),MATCH($V$1,_group_[#Headers],0)),"---"),".",",")</f>
        <v>---</v>
      </c>
      <c r="W82" s="41" t="str">
        <f>IFERROR(INDEX(_INDICATOR_[],MATCH(_SCHEDULE_[[#This Row],[CONTEST_CODE]],_INDICATOR_[CONTEST_CODE],0),MATCH($W$2,_INDICATOR_[#Headers],0)),"-")</f>
        <v>WAIT</v>
      </c>
      <c r="X82" s="41" t="str">
        <f>IFERROR(INDEX(_group_[],MATCH(_SCHEDULE_[[#This Row],[CONTEST_CODE]],_group_[CONTEST_CODE],0),MATCH($X$2,_group_[#Headers],0)),"-")</f>
        <v>BANK</v>
      </c>
      <c r="Y82" s="61" t="str">
        <f>IFERROR(INDEX(_DATA_[],MATCH(_SCHEDULE_[[#This Row],[CONTEST_CODE]],_DATA_[CONTEST_CODE],0),MATCH($Y$2,_DATA_[#Headers],0)),"-")</f>
        <v>Факторинг. Лучший по продажам</v>
      </c>
      <c r="Z82" s="41" t="str">
        <f>IFERROR(INDEX(_reward_link_[],MATCH(_SCHEDULE_[[#This Row],[CONTEST_CODE]],_reward_link_[CONTEST_CODE],0),MATCH($Z$2,_reward_link_[#Headers],0)),"-")</f>
        <v>BANK</v>
      </c>
      <c r="AA82" s="41" t="str">
        <f>IFERROR(INDEX(_report[],MATCH(_SCHEDULE_[[#This Row],[CONTEST_CODE]],_report[CONTEST_CODE],0),MATCH($AA$2,_report[#Headers],0)),"-")</f>
        <v>-</v>
      </c>
      <c r="AB82"/>
    </row>
    <row r="83" spans="1:28" hidden="1" x14ac:dyDescent="0.25">
      <c r="A83" s="14" t="s">
        <v>1667</v>
      </c>
      <c r="B83" s="14" t="s">
        <v>229</v>
      </c>
      <c r="C83" s="14" t="s">
        <v>1308</v>
      </c>
      <c r="D83" s="14" t="s">
        <v>642</v>
      </c>
      <c r="E83" s="14" t="s">
        <v>642</v>
      </c>
      <c r="F83" s="14" t="s">
        <v>703</v>
      </c>
      <c r="G83" s="14" t="s">
        <v>1070</v>
      </c>
      <c r="H83" s="14" t="s">
        <v>194</v>
      </c>
      <c r="I83" s="14" t="s">
        <v>194</v>
      </c>
      <c r="J83" s="14" t="s">
        <v>194</v>
      </c>
      <c r="K83" s="14" t="s">
        <v>176</v>
      </c>
      <c r="L83" s="14" t="s">
        <v>79</v>
      </c>
      <c r="M83" s="14" t="s">
        <v>3599</v>
      </c>
      <c r="N83" s="14" t="s">
        <v>2</v>
      </c>
      <c r="O83" s="14" t="s">
        <v>1668</v>
      </c>
      <c r="P83" s="14" t="s">
        <v>1064</v>
      </c>
      <c r="R83" s="38">
        <f>IFERROR(COUNTIFS(_report[TOURNAMENT_CODE],_SCHEDULE_[[#This Row],[TOURNAMENT_CODE]],_report[CONTEST_CODE],_SCHEDULE_[[#This Row],[CONTEST_CODE]]),"-")</f>
        <v>0</v>
      </c>
      <c r="S83" s="41" t="str">
        <f>SUBSTITUTE(IFERROR(INDEX(_group_[],MATCH(CONCATENATE(_SCHEDULE_[[#This Row],[CONTEST_CODE]],"_",$S$2),_group_[ИД2],0),MATCH($S$1,_group_[#Headers],0)),"---"),".",",")</f>
        <v>BANK</v>
      </c>
      <c r="T83" s="41" t="str">
        <f>SUBSTITUTE(IFERROR(INDEX(_group_[],MATCH(CONCATENATE(_SCHEDULE_[[#This Row],[CONTEST_CODE]],"_",$T$2),_group_[ИД2],0),MATCH($T$1,_group_[#Headers],0)),"---"),".",",")</f>
        <v>---</v>
      </c>
      <c r="U83" s="41" t="str">
        <f>SUBSTITUTE(IFERROR(INDEX(_group_[],MATCH(CONCATENATE(_SCHEDULE_[[#This Row],[CONTEST_CODE]],"_",$U$2),_group_[ИД2],0),MATCH($U$1,_group_[#Headers],0)),"---"),".",",")</f>
        <v>---</v>
      </c>
      <c r="V83" s="41" t="str">
        <f>SUBSTITUTE(IFERROR(INDEX(_group_[],MATCH(CONCATENATE(_SCHEDULE_[[#This Row],[CONTEST_CODE]],"_",$V$2),_group_[ИД2],0),MATCH($V$1,_group_[#Headers],0)),"---"),".",",")</f>
        <v>---</v>
      </c>
      <c r="W83" s="41" t="str">
        <f>IFERROR(INDEX(_INDICATOR_[],MATCH(_SCHEDULE_[[#This Row],[CONTEST_CODE]],_INDICATOR_[CONTEST_CODE],0),MATCH($W$2,_INDICATOR_[#Headers],0)),"-")</f>
        <v>WAIT</v>
      </c>
      <c r="X83" s="41" t="str">
        <f>IFERROR(INDEX(_group_[],MATCH(_SCHEDULE_[[#This Row],[CONTEST_CODE]],_group_[CONTEST_CODE],0),MATCH($X$2,_group_[#Headers],0)),"-")</f>
        <v>BANK</v>
      </c>
      <c r="Y83" s="61" t="str">
        <f>IFERROR(INDEX(_DATA_[],MATCH(_SCHEDULE_[[#This Row],[CONTEST_CODE]],_DATA_[CONTEST_CODE],0),MATCH($Y$2,_DATA_[#Headers],0)),"-")</f>
        <v>Факторинг. Лучший по продажам</v>
      </c>
      <c r="Z83" s="41" t="str">
        <f>IFERROR(INDEX(_reward_link_[],MATCH(_SCHEDULE_[[#This Row],[CONTEST_CODE]],_reward_link_[CONTEST_CODE],0),MATCH($Z$2,_reward_link_[#Headers],0)),"-")</f>
        <v>BANK</v>
      </c>
      <c r="AA83" s="41" t="str">
        <f>IFERROR(INDEX(_report[],MATCH(_SCHEDULE_[[#This Row],[CONTEST_CODE]],_report[CONTEST_CODE],0),MATCH($AA$2,_report[#Headers],0)),"-")</f>
        <v>-</v>
      </c>
      <c r="AB83"/>
    </row>
    <row r="84" spans="1:28" hidden="1" x14ac:dyDescent="0.25">
      <c r="A84" s="14" t="s">
        <v>254</v>
      </c>
      <c r="B84" s="14" t="s">
        <v>249</v>
      </c>
      <c r="C84" s="14" t="s">
        <v>170</v>
      </c>
      <c r="D84" s="14" t="s">
        <v>240</v>
      </c>
      <c r="E84" s="14" t="s">
        <v>187</v>
      </c>
      <c r="F84" s="14" t="s">
        <v>194</v>
      </c>
      <c r="G84" s="14" t="s">
        <v>194</v>
      </c>
      <c r="H84" s="14" t="s">
        <v>194</v>
      </c>
      <c r="I84" s="14" t="s">
        <v>194</v>
      </c>
      <c r="J84" s="14" t="s">
        <v>194</v>
      </c>
      <c r="K84" s="14" t="s">
        <v>176</v>
      </c>
      <c r="L84" s="14" t="s">
        <v>83</v>
      </c>
      <c r="M84" s="14" t="s">
        <v>3599</v>
      </c>
      <c r="N84" s="14" t="s">
        <v>2</v>
      </c>
      <c r="O84" s="14" t="s">
        <v>1542</v>
      </c>
      <c r="P84" s="14" t="s">
        <v>1064</v>
      </c>
      <c r="R84" s="38">
        <f>IFERROR(COUNTIFS(_report[TOURNAMENT_CODE],_SCHEDULE_[[#This Row],[TOURNAMENT_CODE]],_report[CONTEST_CODE],_SCHEDULE_[[#This Row],[CONTEST_CODE]]),"-")</f>
        <v>0</v>
      </c>
      <c r="S84" s="41" t="str">
        <f>SUBSTITUTE(IFERROR(INDEX(_group_[],MATCH(CONCATENATE(_SCHEDULE_[[#This Row],[CONTEST_CODE]],"_",$S$2),_group_[ИД2],0),MATCH($S$1,_group_[#Headers],0)),"---"),".",",")</f>
        <v>BANK</v>
      </c>
      <c r="T84" s="41" t="str">
        <f>SUBSTITUTE(IFERROR(INDEX(_group_[],MATCH(CONCATENATE(_SCHEDULE_[[#This Row],[CONTEST_CODE]],"_",$T$2),_group_[ИД2],0),MATCH($T$1,_group_[#Headers],0)),"---"),".",",")</f>
        <v>---</v>
      </c>
      <c r="U84" s="41" t="str">
        <f>SUBSTITUTE(IFERROR(INDEX(_group_[],MATCH(CONCATENATE(_SCHEDULE_[[#This Row],[CONTEST_CODE]],"_",$U$2),_group_[ИД2],0),MATCH($U$1,_group_[#Headers],0)),"---"),".",",")</f>
        <v>---</v>
      </c>
      <c r="V84" s="41" t="str">
        <f>SUBSTITUTE(IFERROR(INDEX(_group_[],MATCH(CONCATENATE(_SCHEDULE_[[#This Row],[CONTEST_CODE]],"_",$V$2),_group_[ИД2],0),MATCH($V$1,_group_[#Headers],0)),"---"),".",",")</f>
        <v>---</v>
      </c>
      <c r="W84" s="41" t="str">
        <f>IFERROR(INDEX(_INDICATOR_[],MATCH(_SCHEDULE_[[#This Row],[CONTEST_CODE]],_INDICATOR_[CONTEST_CODE],0),MATCH($W$2,_INDICATOR_[#Headers],0)),"-")</f>
        <v>WAIT</v>
      </c>
      <c r="X84" s="41" t="str">
        <f>IFERROR(INDEX(_group_[],MATCH(_SCHEDULE_[[#This Row],[CONTEST_CODE]],_group_[CONTEST_CODE],0),MATCH($X$2,_group_[#Headers],0)),"-")</f>
        <v>BANK</v>
      </c>
      <c r="Y84" s="61" t="str">
        <f>IFERROR(INDEX(_DATA_[],MATCH(_SCHEDULE_[[#This Row],[CONTEST_CODE]],_DATA_[CONTEST_CODE],0),MATCH($Y$2,_DATA_[#Headers],0)),"-")</f>
        <v>Факторинг Онлайн. Максимизируй портфель</v>
      </c>
      <c r="Z84" s="41" t="str">
        <f>IFERROR(INDEX(_reward_link_[],MATCH(_SCHEDULE_[[#This Row],[CONTEST_CODE]],_reward_link_[CONTEST_CODE],0),MATCH($Z$2,_reward_link_[#Headers],0)),"-")</f>
        <v>BANK</v>
      </c>
      <c r="AA84" s="41" t="str">
        <f>IFERROR(INDEX(_report[],MATCH(_SCHEDULE_[[#This Row],[CONTEST_CODE]],_report[CONTEST_CODE],0),MATCH($AA$2,_report[#Headers],0)),"-")</f>
        <v>-</v>
      </c>
      <c r="AB84"/>
    </row>
    <row r="85" spans="1:28" hidden="1" x14ac:dyDescent="0.25">
      <c r="A85" s="14" t="s">
        <v>277</v>
      </c>
      <c r="B85" s="14" t="s">
        <v>186</v>
      </c>
      <c r="C85" s="14" t="s">
        <v>187</v>
      </c>
      <c r="D85" s="14" t="s">
        <v>188</v>
      </c>
      <c r="E85" s="14" t="s">
        <v>1088</v>
      </c>
      <c r="F85" s="14" t="s">
        <v>239</v>
      </c>
      <c r="G85" s="14" t="s">
        <v>240</v>
      </c>
      <c r="H85" s="14" t="s">
        <v>194</v>
      </c>
      <c r="I85" s="14" t="s">
        <v>194</v>
      </c>
      <c r="J85" s="14" t="s">
        <v>2171</v>
      </c>
      <c r="K85" s="14" t="s">
        <v>176</v>
      </c>
      <c r="L85" s="14" t="s">
        <v>86</v>
      </c>
      <c r="M85" s="14" t="s">
        <v>3599</v>
      </c>
      <c r="N85" s="14" t="s">
        <v>2</v>
      </c>
      <c r="O85" s="14" t="s">
        <v>1543</v>
      </c>
      <c r="P85" s="14" t="s">
        <v>1064</v>
      </c>
      <c r="R85" s="38">
        <f>IFERROR(COUNTIFS(_report[TOURNAMENT_CODE],_SCHEDULE_[[#This Row],[TOURNAMENT_CODE]],_report[CONTEST_CODE],_SCHEDULE_[[#This Row],[CONTEST_CODE]]),"-")</f>
        <v>0</v>
      </c>
      <c r="S85" s="41" t="str">
        <f>SUBSTITUTE(IFERROR(INDEX(_group_[],MATCH(CONCATENATE(_SCHEDULE_[[#This Row],[CONTEST_CODE]],"_",$S$2),_group_[ИД2],0),MATCH($S$1,_group_[#Headers],0)),"---"),".",",")</f>
        <v>BANK</v>
      </c>
      <c r="T85" s="41" t="str">
        <f>SUBSTITUTE(IFERROR(INDEX(_group_[],MATCH(CONCATENATE(_SCHEDULE_[[#This Row],[CONTEST_CODE]],"_",$T$2),_group_[ИД2],0),MATCH($T$1,_group_[#Headers],0)),"---"),".",",")</f>
        <v>TB</v>
      </c>
      <c r="U85" s="41" t="str">
        <f>SUBSTITUTE(IFERROR(INDEX(_group_[],MATCH(CONCATENATE(_SCHEDULE_[[#This Row],[CONTEST_CODE]],"_",$U$2),_group_[ИД2],0),MATCH($U$1,_group_[#Headers],0)),"---"),".",",")</f>
        <v>GOSB</v>
      </c>
      <c r="V85" s="41" t="str">
        <f>SUBSTITUTE(IFERROR(INDEX(_group_[],MATCH(CONCATENATE(_SCHEDULE_[[#This Row],[CONTEST_CODE]],"_",$V$2),_group_[ИД2],0),MATCH($V$1,_group_[#Headers],0)),"---"),".",",")</f>
        <v>---</v>
      </c>
      <c r="W85" s="41" t="str">
        <f>IFERROR(INDEX(_INDICATOR_[],MATCH(_SCHEDULE_[[#This Row],[CONTEST_CODE]],_INDICATOR_[CONTEST_CODE],0),MATCH($W$2,_INDICATOR_[#Headers],0)),"-")</f>
        <v>WAIT</v>
      </c>
      <c r="X85" s="41" t="str">
        <f>IFERROR(INDEX(_group_[],MATCH(_SCHEDULE_[[#This Row],[CONTEST_CODE]],_group_[CONTEST_CODE],0),MATCH($X$2,_group_[#Headers],0)),"-")</f>
        <v>BANK</v>
      </c>
      <c r="Y85" s="61" t="str">
        <f>IFERROR(INDEX(_DATA_[],MATCH(_SCHEDULE_[[#This Row],[CONTEST_CODE]],_DATA_[CONTEST_CODE],0),MATCH($Y$2,_DATA_[#Headers],0)),"-")</f>
        <v>Активы. Максимизируй прирост остатка</v>
      </c>
      <c r="Z85" s="41" t="str">
        <f>IFERROR(INDEX(_reward_link_[],MATCH(_SCHEDULE_[[#This Row],[CONTEST_CODE]],_reward_link_[CONTEST_CODE],0),MATCH($Z$2,_reward_link_[#Headers],0)),"-")</f>
        <v>GOSB</v>
      </c>
      <c r="AA85" s="41" t="str">
        <f>IFERROR(INDEX(_report[],MATCH(_SCHEDULE_[[#This Row],[CONTEST_CODE]],_report[CONTEST_CODE],0),MATCH($AA$2,_report[#Headers],0)),"-")</f>
        <v>-</v>
      </c>
      <c r="AB85"/>
    </row>
    <row r="86" spans="1:28" hidden="1" x14ac:dyDescent="0.25">
      <c r="A86" s="14" t="s">
        <v>278</v>
      </c>
      <c r="B86" s="14" t="s">
        <v>191</v>
      </c>
      <c r="C86" s="14" t="s">
        <v>192</v>
      </c>
      <c r="D86" s="14" t="s">
        <v>193</v>
      </c>
      <c r="E86" s="14" t="s">
        <v>1088</v>
      </c>
      <c r="F86" s="14" t="s">
        <v>187</v>
      </c>
      <c r="G86" s="14" t="s">
        <v>188</v>
      </c>
      <c r="H86" s="14" t="s">
        <v>194</v>
      </c>
      <c r="I86" s="14" t="s">
        <v>194</v>
      </c>
      <c r="J86" s="14" t="s">
        <v>194</v>
      </c>
      <c r="K86" s="14" t="s">
        <v>176</v>
      </c>
      <c r="L86" s="14" t="s">
        <v>86</v>
      </c>
      <c r="M86" s="14" t="s">
        <v>3599</v>
      </c>
      <c r="N86" s="14" t="s">
        <v>2</v>
      </c>
      <c r="O86" s="14" t="s">
        <v>1544</v>
      </c>
      <c r="P86" s="14" t="s">
        <v>1064</v>
      </c>
      <c r="R86" s="38">
        <f>IFERROR(COUNTIFS(_report[TOURNAMENT_CODE],_SCHEDULE_[[#This Row],[TOURNAMENT_CODE]],_report[CONTEST_CODE],_SCHEDULE_[[#This Row],[CONTEST_CODE]]),"-")</f>
        <v>0</v>
      </c>
      <c r="S86" s="41" t="str">
        <f>SUBSTITUTE(IFERROR(INDEX(_group_[],MATCH(CONCATENATE(_SCHEDULE_[[#This Row],[CONTEST_CODE]],"_",$S$2),_group_[ИД2],0),MATCH($S$1,_group_[#Headers],0)),"---"),".",",")</f>
        <v>BANK</v>
      </c>
      <c r="T86" s="41" t="str">
        <f>SUBSTITUTE(IFERROR(INDEX(_group_[],MATCH(CONCATENATE(_SCHEDULE_[[#This Row],[CONTEST_CODE]],"_",$T$2),_group_[ИД2],0),MATCH($T$1,_group_[#Headers],0)),"---"),".",",")</f>
        <v>TB</v>
      </c>
      <c r="U86" s="41" t="str">
        <f>SUBSTITUTE(IFERROR(INDEX(_group_[],MATCH(CONCATENATE(_SCHEDULE_[[#This Row],[CONTEST_CODE]],"_",$U$2),_group_[ИД2],0),MATCH($U$1,_group_[#Headers],0)),"---"),".",",")</f>
        <v>GOSB</v>
      </c>
      <c r="V86" s="41" t="str">
        <f>SUBSTITUTE(IFERROR(INDEX(_group_[],MATCH(CONCATENATE(_SCHEDULE_[[#This Row],[CONTEST_CODE]],"_",$V$2),_group_[ИД2],0),MATCH($V$1,_group_[#Headers],0)),"---"),".",",")</f>
        <v>---</v>
      </c>
      <c r="W86" s="41" t="str">
        <f>IFERROR(INDEX(_INDICATOR_[],MATCH(_SCHEDULE_[[#This Row],[CONTEST_CODE]],_INDICATOR_[CONTEST_CODE],0),MATCH($W$2,_INDICATOR_[#Headers],0)),"-")</f>
        <v>WAIT</v>
      </c>
      <c r="X86" s="41" t="str">
        <f>IFERROR(INDEX(_group_[],MATCH(_SCHEDULE_[[#This Row],[CONTEST_CODE]],_group_[CONTEST_CODE],0),MATCH($X$2,_group_[#Headers],0)),"-")</f>
        <v>BANK</v>
      </c>
      <c r="Y86" s="61" t="str">
        <f>IFERROR(INDEX(_DATA_[],MATCH(_SCHEDULE_[[#This Row],[CONTEST_CODE]],_DATA_[CONTEST_CODE],0),MATCH($Y$2,_DATA_[#Headers],0)),"-")</f>
        <v>Активы. Максимизируй прирост остатка</v>
      </c>
      <c r="Z86" s="41" t="str">
        <f>IFERROR(INDEX(_reward_link_[],MATCH(_SCHEDULE_[[#This Row],[CONTEST_CODE]],_reward_link_[CONTEST_CODE],0),MATCH($Z$2,_reward_link_[#Headers],0)),"-")</f>
        <v>GOSB</v>
      </c>
      <c r="AA86" s="41" t="str">
        <f>IFERROR(INDEX(_report[],MATCH(_SCHEDULE_[[#This Row],[CONTEST_CODE]],_report[CONTEST_CODE],0),MATCH($AA$2,_report[#Headers],0)),"-")</f>
        <v>-</v>
      </c>
      <c r="AB86"/>
    </row>
    <row r="87" spans="1:28" hidden="1" x14ac:dyDescent="0.25">
      <c r="A87" s="14" t="s">
        <v>634</v>
      </c>
      <c r="B87" s="14" t="s">
        <v>209</v>
      </c>
      <c r="C87" s="14" t="s">
        <v>245</v>
      </c>
      <c r="D87" s="14" t="s">
        <v>246</v>
      </c>
      <c r="E87" s="14" t="s">
        <v>252</v>
      </c>
      <c r="F87" s="14" t="s">
        <v>192</v>
      </c>
      <c r="G87" s="14" t="s">
        <v>193</v>
      </c>
      <c r="H87" s="14" t="s">
        <v>194</v>
      </c>
      <c r="I87" s="14" t="s">
        <v>194</v>
      </c>
      <c r="J87" s="14" t="s">
        <v>194</v>
      </c>
      <c r="K87" s="14" t="s">
        <v>176</v>
      </c>
      <c r="L87" s="14" t="s">
        <v>86</v>
      </c>
      <c r="M87" s="14" t="s">
        <v>3599</v>
      </c>
      <c r="N87" s="14" t="s">
        <v>2</v>
      </c>
      <c r="O87" s="14" t="s">
        <v>1545</v>
      </c>
      <c r="P87" s="14" t="s">
        <v>1064</v>
      </c>
      <c r="R87" s="38">
        <f>IFERROR(COUNTIFS(_report[TOURNAMENT_CODE],_SCHEDULE_[[#This Row],[TOURNAMENT_CODE]],_report[CONTEST_CODE],_SCHEDULE_[[#This Row],[CONTEST_CODE]]),"-")</f>
        <v>0</v>
      </c>
      <c r="S87" s="41" t="str">
        <f>SUBSTITUTE(IFERROR(INDEX(_group_[],MATCH(CONCATENATE(_SCHEDULE_[[#This Row],[CONTEST_CODE]],"_",$S$2),_group_[ИД2],0),MATCH($S$1,_group_[#Headers],0)),"---"),".",",")</f>
        <v>BANK</v>
      </c>
      <c r="T87" s="41" t="str">
        <f>SUBSTITUTE(IFERROR(INDEX(_group_[],MATCH(CONCATENATE(_SCHEDULE_[[#This Row],[CONTEST_CODE]],"_",$T$2),_group_[ИД2],0),MATCH($T$1,_group_[#Headers],0)),"---"),".",",")</f>
        <v>TB</v>
      </c>
      <c r="U87" s="41" t="str">
        <f>SUBSTITUTE(IFERROR(INDEX(_group_[],MATCH(CONCATENATE(_SCHEDULE_[[#This Row],[CONTEST_CODE]],"_",$U$2),_group_[ИД2],0),MATCH($U$1,_group_[#Headers],0)),"---"),".",",")</f>
        <v>GOSB</v>
      </c>
      <c r="V87" s="41" t="str">
        <f>SUBSTITUTE(IFERROR(INDEX(_group_[],MATCH(CONCATENATE(_SCHEDULE_[[#This Row],[CONTEST_CODE]],"_",$V$2),_group_[ИД2],0),MATCH($V$1,_group_[#Headers],0)),"---"),".",",")</f>
        <v>---</v>
      </c>
      <c r="W87" s="41" t="str">
        <f>IFERROR(INDEX(_INDICATOR_[],MATCH(_SCHEDULE_[[#This Row],[CONTEST_CODE]],_INDICATOR_[CONTEST_CODE],0),MATCH($W$2,_INDICATOR_[#Headers],0)),"-")</f>
        <v>WAIT</v>
      </c>
      <c r="X87" s="41" t="str">
        <f>IFERROR(INDEX(_group_[],MATCH(_SCHEDULE_[[#This Row],[CONTEST_CODE]],_group_[CONTEST_CODE],0),MATCH($X$2,_group_[#Headers],0)),"-")</f>
        <v>BANK</v>
      </c>
      <c r="Y87" s="61" t="str">
        <f>IFERROR(INDEX(_DATA_[],MATCH(_SCHEDULE_[[#This Row],[CONTEST_CODE]],_DATA_[CONTEST_CODE],0),MATCH($Y$2,_DATA_[#Headers],0)),"-")</f>
        <v>Активы. Максимизируй прирост остатка</v>
      </c>
      <c r="Z87" s="41" t="str">
        <f>IFERROR(INDEX(_reward_link_[],MATCH(_SCHEDULE_[[#This Row],[CONTEST_CODE]],_reward_link_[CONTEST_CODE],0),MATCH($Z$2,_reward_link_[#Headers],0)),"-")</f>
        <v>GOSB</v>
      </c>
      <c r="AA87" s="41" t="str">
        <f>IFERROR(INDEX(_report[],MATCH(_SCHEDULE_[[#This Row],[CONTEST_CODE]],_report[CONTEST_CODE],0),MATCH($AA$2,_report[#Headers],0)),"-")</f>
        <v>-</v>
      </c>
      <c r="AB87"/>
    </row>
    <row r="88" spans="1:28" hidden="1" x14ac:dyDescent="0.25">
      <c r="A88" s="14" t="s">
        <v>697</v>
      </c>
      <c r="B88" s="14" t="s">
        <v>210</v>
      </c>
      <c r="C88" s="14" t="s">
        <v>695</v>
      </c>
      <c r="D88" s="14" t="s">
        <v>252</v>
      </c>
      <c r="E88" s="14" t="s">
        <v>1222</v>
      </c>
      <c r="F88" s="14" t="s">
        <v>245</v>
      </c>
      <c r="G88" s="14" t="s">
        <v>246</v>
      </c>
      <c r="H88" s="14" t="s">
        <v>194</v>
      </c>
      <c r="I88" s="14" t="s">
        <v>194</v>
      </c>
      <c r="J88" s="14" t="s">
        <v>194</v>
      </c>
      <c r="K88" s="14" t="s">
        <v>176</v>
      </c>
      <c r="L88" s="14" t="s">
        <v>86</v>
      </c>
      <c r="M88" s="14" t="s">
        <v>3599</v>
      </c>
      <c r="N88" s="14" t="s">
        <v>2</v>
      </c>
      <c r="O88" s="14" t="s">
        <v>1546</v>
      </c>
      <c r="P88" s="14" t="s">
        <v>1064</v>
      </c>
      <c r="R88" s="38">
        <f>IFERROR(COUNTIFS(_report[TOURNAMENT_CODE],_SCHEDULE_[[#This Row],[TOURNAMENT_CODE]],_report[CONTEST_CODE],_SCHEDULE_[[#This Row],[CONTEST_CODE]]),"-")</f>
        <v>0</v>
      </c>
      <c r="S88" s="41" t="str">
        <f>SUBSTITUTE(IFERROR(INDEX(_group_[],MATCH(CONCATENATE(_SCHEDULE_[[#This Row],[CONTEST_CODE]],"_",$S$2),_group_[ИД2],0),MATCH($S$1,_group_[#Headers],0)),"---"),".",",")</f>
        <v>BANK</v>
      </c>
      <c r="T88" s="41" t="str">
        <f>SUBSTITUTE(IFERROR(INDEX(_group_[],MATCH(CONCATENATE(_SCHEDULE_[[#This Row],[CONTEST_CODE]],"_",$T$2),_group_[ИД2],0),MATCH($T$1,_group_[#Headers],0)),"---"),".",",")</f>
        <v>TB</v>
      </c>
      <c r="U88" s="41" t="str">
        <f>SUBSTITUTE(IFERROR(INDEX(_group_[],MATCH(CONCATENATE(_SCHEDULE_[[#This Row],[CONTEST_CODE]],"_",$U$2),_group_[ИД2],0),MATCH($U$1,_group_[#Headers],0)),"---"),".",",")</f>
        <v>GOSB</v>
      </c>
      <c r="V88" s="41" t="str">
        <f>SUBSTITUTE(IFERROR(INDEX(_group_[],MATCH(CONCATENATE(_SCHEDULE_[[#This Row],[CONTEST_CODE]],"_",$V$2),_group_[ИД2],0),MATCH($V$1,_group_[#Headers],0)),"---"),".",",")</f>
        <v>---</v>
      </c>
      <c r="W88" s="41" t="str">
        <f>IFERROR(INDEX(_INDICATOR_[],MATCH(_SCHEDULE_[[#This Row],[CONTEST_CODE]],_INDICATOR_[CONTEST_CODE],0),MATCH($W$2,_INDICATOR_[#Headers],0)),"-")</f>
        <v>WAIT</v>
      </c>
      <c r="X88" s="41" t="str">
        <f>IFERROR(INDEX(_group_[],MATCH(_SCHEDULE_[[#This Row],[CONTEST_CODE]],_group_[CONTEST_CODE],0),MATCH($X$2,_group_[#Headers],0)),"-")</f>
        <v>BANK</v>
      </c>
      <c r="Y88" s="61" t="str">
        <f>IFERROR(INDEX(_DATA_[],MATCH(_SCHEDULE_[[#This Row],[CONTEST_CODE]],_DATA_[CONTEST_CODE],0),MATCH($Y$2,_DATA_[#Headers],0)),"-")</f>
        <v>Активы. Максимизируй прирост остатка</v>
      </c>
      <c r="Z88" s="41" t="str">
        <f>IFERROR(INDEX(_reward_link_[],MATCH(_SCHEDULE_[[#This Row],[CONTEST_CODE]],_reward_link_[CONTEST_CODE],0),MATCH($Z$2,_reward_link_[#Headers],0)),"-")</f>
        <v>GOSB</v>
      </c>
      <c r="AA88" s="41" t="str">
        <f>IFERROR(INDEX(_report[],MATCH(_SCHEDULE_[[#This Row],[CONTEST_CODE]],_report[CONTEST_CODE],0),MATCH($AA$2,_report[#Headers],0)),"-")</f>
        <v>-</v>
      </c>
      <c r="AB88"/>
    </row>
    <row r="89" spans="1:28" hidden="1" x14ac:dyDescent="0.25">
      <c r="A89" s="14" t="s">
        <v>1044</v>
      </c>
      <c r="B89" s="14" t="s">
        <v>213</v>
      </c>
      <c r="C89" s="14" t="s">
        <v>703</v>
      </c>
      <c r="D89" s="14" t="s">
        <v>704</v>
      </c>
      <c r="E89" s="14" t="s">
        <v>705</v>
      </c>
      <c r="F89" s="14" t="s">
        <v>695</v>
      </c>
      <c r="G89" s="14" t="s">
        <v>252</v>
      </c>
      <c r="H89" s="14" t="s">
        <v>194</v>
      </c>
      <c r="I89" s="14" t="s">
        <v>194</v>
      </c>
      <c r="J89" s="14" t="s">
        <v>194</v>
      </c>
      <c r="K89" s="14" t="s">
        <v>176</v>
      </c>
      <c r="L89" s="14" t="s">
        <v>86</v>
      </c>
      <c r="M89" s="14" t="s">
        <v>3599</v>
      </c>
      <c r="N89" s="14" t="s">
        <v>2</v>
      </c>
      <c r="O89" s="14" t="s">
        <v>1547</v>
      </c>
      <c r="P89" s="14" t="s">
        <v>1064</v>
      </c>
      <c r="R89" s="38">
        <f>IFERROR(COUNTIFS(_report[TOURNAMENT_CODE],_SCHEDULE_[[#This Row],[TOURNAMENT_CODE]],_report[CONTEST_CODE],_SCHEDULE_[[#This Row],[CONTEST_CODE]]),"-")</f>
        <v>0</v>
      </c>
      <c r="S89" s="41" t="str">
        <f>SUBSTITUTE(IFERROR(INDEX(_group_[],MATCH(CONCATENATE(_SCHEDULE_[[#This Row],[CONTEST_CODE]],"_",$S$2),_group_[ИД2],0),MATCH($S$1,_group_[#Headers],0)),"---"),".",",")</f>
        <v>BANK</v>
      </c>
      <c r="T89" s="41" t="str">
        <f>SUBSTITUTE(IFERROR(INDEX(_group_[],MATCH(CONCATENATE(_SCHEDULE_[[#This Row],[CONTEST_CODE]],"_",$T$2),_group_[ИД2],0),MATCH($T$1,_group_[#Headers],0)),"---"),".",",")</f>
        <v>TB</v>
      </c>
      <c r="U89" s="41" t="str">
        <f>SUBSTITUTE(IFERROR(INDEX(_group_[],MATCH(CONCATENATE(_SCHEDULE_[[#This Row],[CONTEST_CODE]],"_",$U$2),_group_[ИД2],0),MATCH($U$1,_group_[#Headers],0)),"---"),".",",")</f>
        <v>GOSB</v>
      </c>
      <c r="V89" s="41" t="str">
        <f>SUBSTITUTE(IFERROR(INDEX(_group_[],MATCH(CONCATENATE(_SCHEDULE_[[#This Row],[CONTEST_CODE]],"_",$V$2),_group_[ИД2],0),MATCH($V$1,_group_[#Headers],0)),"---"),".",",")</f>
        <v>---</v>
      </c>
      <c r="W89" s="41" t="str">
        <f>IFERROR(INDEX(_INDICATOR_[],MATCH(_SCHEDULE_[[#This Row],[CONTEST_CODE]],_INDICATOR_[CONTEST_CODE],0),MATCH($W$2,_INDICATOR_[#Headers],0)),"-")</f>
        <v>WAIT</v>
      </c>
      <c r="X89" s="41" t="str">
        <f>IFERROR(INDEX(_group_[],MATCH(_SCHEDULE_[[#This Row],[CONTEST_CODE]],_group_[CONTEST_CODE],0),MATCH($X$2,_group_[#Headers],0)),"-")</f>
        <v>BANK</v>
      </c>
      <c r="Y89" s="61" t="str">
        <f>IFERROR(INDEX(_DATA_[],MATCH(_SCHEDULE_[[#This Row],[CONTEST_CODE]],_DATA_[CONTEST_CODE],0),MATCH($Y$2,_DATA_[#Headers],0)),"-")</f>
        <v>Активы. Максимизируй прирост остатка</v>
      </c>
      <c r="Z89" s="41" t="str">
        <f>IFERROR(INDEX(_reward_link_[],MATCH(_SCHEDULE_[[#This Row],[CONTEST_CODE]],_reward_link_[CONTEST_CODE],0),MATCH($Z$2,_reward_link_[#Headers],0)),"-")</f>
        <v>GOSB</v>
      </c>
      <c r="AA89" s="41" t="str">
        <f>IFERROR(INDEX(_report[],MATCH(_SCHEDULE_[[#This Row],[CONTEST_CODE]],_report[CONTEST_CODE],0),MATCH($AA$2,_report[#Headers],0)),"-")</f>
        <v>-</v>
      </c>
      <c r="AB89"/>
    </row>
    <row r="90" spans="1:28" hidden="1" x14ac:dyDescent="0.25">
      <c r="A90" s="14" t="s">
        <v>1206</v>
      </c>
      <c r="B90" s="14" t="s">
        <v>214</v>
      </c>
      <c r="C90" s="14" t="s">
        <v>1078</v>
      </c>
      <c r="D90" s="14" t="s">
        <v>1173</v>
      </c>
      <c r="E90" s="14" t="s">
        <v>1712</v>
      </c>
      <c r="F90" s="14" t="s">
        <v>703</v>
      </c>
      <c r="G90" s="14" t="s">
        <v>704</v>
      </c>
      <c r="H90" s="14" t="s">
        <v>194</v>
      </c>
      <c r="I90" s="14" t="s">
        <v>194</v>
      </c>
      <c r="J90" s="14" t="s">
        <v>194</v>
      </c>
      <c r="K90" s="14" t="s">
        <v>176</v>
      </c>
      <c r="L90" s="14" t="s">
        <v>86</v>
      </c>
      <c r="M90" s="14" t="s">
        <v>3599</v>
      </c>
      <c r="N90" s="14" t="s">
        <v>2</v>
      </c>
      <c r="O90" s="14" t="s">
        <v>1548</v>
      </c>
      <c r="P90" s="14" t="s">
        <v>1064</v>
      </c>
      <c r="R90" s="38">
        <f>IFERROR(COUNTIFS(_report[TOURNAMENT_CODE],_SCHEDULE_[[#This Row],[TOURNAMENT_CODE]],_report[CONTEST_CODE],_SCHEDULE_[[#This Row],[CONTEST_CODE]]),"-")</f>
        <v>0</v>
      </c>
      <c r="S90" s="41" t="str">
        <f>SUBSTITUTE(IFERROR(INDEX(_group_[],MATCH(CONCATENATE(_SCHEDULE_[[#This Row],[CONTEST_CODE]],"_",$S$2),_group_[ИД2],0),MATCH($S$1,_group_[#Headers],0)),"---"),".",",")</f>
        <v>BANK</v>
      </c>
      <c r="T90" s="41" t="str">
        <f>SUBSTITUTE(IFERROR(INDEX(_group_[],MATCH(CONCATENATE(_SCHEDULE_[[#This Row],[CONTEST_CODE]],"_",$T$2),_group_[ИД2],0),MATCH($T$1,_group_[#Headers],0)),"---"),".",",")</f>
        <v>TB</v>
      </c>
      <c r="U90" s="41" t="str">
        <f>SUBSTITUTE(IFERROR(INDEX(_group_[],MATCH(CONCATENATE(_SCHEDULE_[[#This Row],[CONTEST_CODE]],"_",$U$2),_group_[ИД2],0),MATCH($U$1,_group_[#Headers],0)),"---"),".",",")</f>
        <v>GOSB</v>
      </c>
      <c r="V90" s="41" t="str">
        <f>SUBSTITUTE(IFERROR(INDEX(_group_[],MATCH(CONCATENATE(_SCHEDULE_[[#This Row],[CONTEST_CODE]],"_",$V$2),_group_[ИД2],0),MATCH($V$1,_group_[#Headers],0)),"---"),".",",")</f>
        <v>---</v>
      </c>
      <c r="W90" s="41" t="str">
        <f>IFERROR(INDEX(_INDICATOR_[],MATCH(_SCHEDULE_[[#This Row],[CONTEST_CODE]],_INDICATOR_[CONTEST_CODE],0),MATCH($W$2,_INDICATOR_[#Headers],0)),"-")</f>
        <v>WAIT</v>
      </c>
      <c r="X90" s="41" t="str">
        <f>IFERROR(INDEX(_group_[],MATCH(_SCHEDULE_[[#This Row],[CONTEST_CODE]],_group_[CONTEST_CODE],0),MATCH($X$2,_group_[#Headers],0)),"-")</f>
        <v>BANK</v>
      </c>
      <c r="Y90" s="61" t="str">
        <f>IFERROR(INDEX(_DATA_[],MATCH(_SCHEDULE_[[#This Row],[CONTEST_CODE]],_DATA_[CONTEST_CODE],0),MATCH($Y$2,_DATA_[#Headers],0)),"-")</f>
        <v>Активы. Максимизируй прирост остатка</v>
      </c>
      <c r="Z90" s="41" t="str">
        <f>IFERROR(INDEX(_reward_link_[],MATCH(_SCHEDULE_[[#This Row],[CONTEST_CODE]],_reward_link_[CONTEST_CODE],0),MATCH($Z$2,_reward_link_[#Headers],0)),"-")</f>
        <v>GOSB</v>
      </c>
      <c r="AA90" s="41" t="str">
        <f>IFERROR(INDEX(_report[],MATCH(_SCHEDULE_[[#This Row],[CONTEST_CODE]],_report[CONTEST_CODE],0),MATCH($AA$2,_report[#Headers],0)),"-")</f>
        <v>-</v>
      </c>
      <c r="AB90"/>
    </row>
    <row r="91" spans="1:28" hidden="1" x14ac:dyDescent="0.25">
      <c r="A91" s="14" t="s">
        <v>1279</v>
      </c>
      <c r="B91" s="14" t="s">
        <v>215</v>
      </c>
      <c r="C91" s="14" t="s">
        <v>1225</v>
      </c>
      <c r="D91" s="14" t="s">
        <v>1070</v>
      </c>
      <c r="E91" s="14" t="s">
        <v>1712</v>
      </c>
      <c r="F91" s="14" t="s">
        <v>1078</v>
      </c>
      <c r="G91" s="14" t="s">
        <v>1173</v>
      </c>
      <c r="H91" s="14" t="s">
        <v>194</v>
      </c>
      <c r="I91" s="14" t="s">
        <v>194</v>
      </c>
      <c r="J91" s="14" t="s">
        <v>194</v>
      </c>
      <c r="K91" s="14" t="s">
        <v>176</v>
      </c>
      <c r="L91" s="14" t="s">
        <v>86</v>
      </c>
      <c r="M91" s="14" t="s">
        <v>3599</v>
      </c>
      <c r="N91" s="14" t="s">
        <v>2</v>
      </c>
      <c r="O91" s="14" t="s">
        <v>1549</v>
      </c>
      <c r="P91" s="14" t="s">
        <v>1064</v>
      </c>
      <c r="R91" s="38">
        <f>IFERROR(COUNTIFS(_report[TOURNAMENT_CODE],_SCHEDULE_[[#This Row],[TOURNAMENT_CODE]],_report[CONTEST_CODE],_SCHEDULE_[[#This Row],[CONTEST_CODE]]),"-")</f>
        <v>0</v>
      </c>
      <c r="S91" s="41" t="str">
        <f>SUBSTITUTE(IFERROR(INDEX(_group_[],MATCH(CONCATENATE(_SCHEDULE_[[#This Row],[CONTEST_CODE]],"_",$S$2),_group_[ИД2],0),MATCH($S$1,_group_[#Headers],0)),"---"),".",",")</f>
        <v>BANK</v>
      </c>
      <c r="T91" s="41" t="str">
        <f>SUBSTITUTE(IFERROR(INDEX(_group_[],MATCH(CONCATENATE(_SCHEDULE_[[#This Row],[CONTEST_CODE]],"_",$T$2),_group_[ИД2],0),MATCH($T$1,_group_[#Headers],0)),"---"),".",",")</f>
        <v>TB</v>
      </c>
      <c r="U91" s="41" t="str">
        <f>SUBSTITUTE(IFERROR(INDEX(_group_[],MATCH(CONCATENATE(_SCHEDULE_[[#This Row],[CONTEST_CODE]],"_",$U$2),_group_[ИД2],0),MATCH($U$1,_group_[#Headers],0)),"---"),".",",")</f>
        <v>GOSB</v>
      </c>
      <c r="V91" s="41" t="str">
        <f>SUBSTITUTE(IFERROR(INDEX(_group_[],MATCH(CONCATENATE(_SCHEDULE_[[#This Row],[CONTEST_CODE]],"_",$V$2),_group_[ИД2],0),MATCH($V$1,_group_[#Headers],0)),"---"),".",",")</f>
        <v>---</v>
      </c>
      <c r="W91" s="41" t="str">
        <f>IFERROR(INDEX(_INDICATOR_[],MATCH(_SCHEDULE_[[#This Row],[CONTEST_CODE]],_INDICATOR_[CONTEST_CODE],0),MATCH($W$2,_INDICATOR_[#Headers],0)),"-")</f>
        <v>WAIT</v>
      </c>
      <c r="X91" s="41" t="str">
        <f>IFERROR(INDEX(_group_[],MATCH(_SCHEDULE_[[#This Row],[CONTEST_CODE]],_group_[CONTEST_CODE],0),MATCH($X$2,_group_[#Headers],0)),"-")</f>
        <v>BANK</v>
      </c>
      <c r="Y91" s="61" t="str">
        <f>IFERROR(INDEX(_DATA_[],MATCH(_SCHEDULE_[[#This Row],[CONTEST_CODE]],_DATA_[CONTEST_CODE],0),MATCH($Y$2,_DATA_[#Headers],0)),"-")</f>
        <v>Активы. Максимизируй прирост остатка</v>
      </c>
      <c r="Z91" s="41" t="str">
        <f>IFERROR(INDEX(_reward_link_[],MATCH(_SCHEDULE_[[#This Row],[CONTEST_CODE]],_reward_link_[CONTEST_CODE],0),MATCH($Z$2,_reward_link_[#Headers],0)),"-")</f>
        <v>GOSB</v>
      </c>
      <c r="AA91" s="41" t="str">
        <f>IFERROR(INDEX(_report[],MATCH(_SCHEDULE_[[#This Row],[CONTEST_CODE]],_report[CONTEST_CODE],0),MATCH($AA$2,_report[#Headers],0)),"-")</f>
        <v>-</v>
      </c>
      <c r="AB91"/>
    </row>
    <row r="92" spans="1:28" hidden="1" x14ac:dyDescent="0.25">
      <c r="A92" s="14" t="s">
        <v>1643</v>
      </c>
      <c r="B92" s="14" t="s">
        <v>216</v>
      </c>
      <c r="C92" s="14" t="s">
        <v>1308</v>
      </c>
      <c r="D92" s="14" t="s">
        <v>1638</v>
      </c>
      <c r="E92" s="14" t="s">
        <v>1639</v>
      </c>
      <c r="F92" s="14" t="s">
        <v>1225</v>
      </c>
      <c r="G92" s="14" t="s">
        <v>1070</v>
      </c>
      <c r="H92" s="14" t="s">
        <v>194</v>
      </c>
      <c r="I92" s="14" t="s">
        <v>194</v>
      </c>
      <c r="J92" s="14" t="s">
        <v>194</v>
      </c>
      <c r="K92" s="14" t="s">
        <v>176</v>
      </c>
      <c r="L92" s="14" t="s">
        <v>86</v>
      </c>
      <c r="M92" s="14" t="s">
        <v>3599</v>
      </c>
      <c r="N92" s="14" t="s">
        <v>2</v>
      </c>
      <c r="O92" s="14" t="s">
        <v>1644</v>
      </c>
      <c r="P92" s="14" t="s">
        <v>1064</v>
      </c>
      <c r="R92" s="38">
        <f>IFERROR(COUNTIFS(_report[TOURNAMENT_CODE],_SCHEDULE_[[#This Row],[TOURNAMENT_CODE]],_report[CONTEST_CODE],_SCHEDULE_[[#This Row],[CONTEST_CODE]]),"-")</f>
        <v>0</v>
      </c>
      <c r="S92" s="41" t="str">
        <f>SUBSTITUTE(IFERROR(INDEX(_group_[],MATCH(CONCATENATE(_SCHEDULE_[[#This Row],[CONTEST_CODE]],"_",$S$2),_group_[ИД2],0),MATCH($S$1,_group_[#Headers],0)),"---"),".",",")</f>
        <v>BANK</v>
      </c>
      <c r="T92" s="41" t="str">
        <f>SUBSTITUTE(IFERROR(INDEX(_group_[],MATCH(CONCATENATE(_SCHEDULE_[[#This Row],[CONTEST_CODE]],"_",$T$2),_group_[ИД2],0),MATCH($T$1,_group_[#Headers],0)),"---"),".",",")</f>
        <v>TB</v>
      </c>
      <c r="U92" s="41" t="str">
        <f>SUBSTITUTE(IFERROR(INDEX(_group_[],MATCH(CONCATENATE(_SCHEDULE_[[#This Row],[CONTEST_CODE]],"_",$U$2),_group_[ИД2],0),MATCH($U$1,_group_[#Headers],0)),"---"),".",",")</f>
        <v>GOSB</v>
      </c>
      <c r="V92" s="41" t="str">
        <f>SUBSTITUTE(IFERROR(INDEX(_group_[],MATCH(CONCATENATE(_SCHEDULE_[[#This Row],[CONTEST_CODE]],"_",$V$2),_group_[ИД2],0),MATCH($V$1,_group_[#Headers],0)),"---"),".",",")</f>
        <v>---</v>
      </c>
      <c r="W92" s="41" t="str">
        <f>IFERROR(INDEX(_INDICATOR_[],MATCH(_SCHEDULE_[[#This Row],[CONTEST_CODE]],_INDICATOR_[CONTEST_CODE],0),MATCH($W$2,_INDICATOR_[#Headers],0)),"-")</f>
        <v>WAIT</v>
      </c>
      <c r="X92" s="41" t="str">
        <f>IFERROR(INDEX(_group_[],MATCH(_SCHEDULE_[[#This Row],[CONTEST_CODE]],_group_[CONTEST_CODE],0),MATCH($X$2,_group_[#Headers],0)),"-")</f>
        <v>BANK</v>
      </c>
      <c r="Y92" s="61" t="str">
        <f>IFERROR(INDEX(_DATA_[],MATCH(_SCHEDULE_[[#This Row],[CONTEST_CODE]],_DATA_[CONTEST_CODE],0),MATCH($Y$2,_DATA_[#Headers],0)),"-")</f>
        <v>Активы. Максимизируй прирост остатка</v>
      </c>
      <c r="Z92" s="41" t="str">
        <f>IFERROR(INDEX(_reward_link_[],MATCH(_SCHEDULE_[[#This Row],[CONTEST_CODE]],_reward_link_[CONTEST_CODE],0),MATCH($Z$2,_reward_link_[#Headers],0)),"-")</f>
        <v>GOSB</v>
      </c>
      <c r="AA92" s="41" t="str">
        <f>IFERROR(INDEX(_report[],MATCH(_SCHEDULE_[[#This Row],[CONTEST_CODE]],_report[CONTEST_CODE],0),MATCH($AA$2,_report[#Headers],0)),"-")</f>
        <v>-</v>
      </c>
      <c r="AB92"/>
    </row>
    <row r="93" spans="1:28" hidden="1" x14ac:dyDescent="0.25">
      <c r="A93" s="14" t="s">
        <v>1806</v>
      </c>
      <c r="B93" s="14" t="s">
        <v>174</v>
      </c>
      <c r="C93" s="14" t="s">
        <v>1800</v>
      </c>
      <c r="D93" s="14" t="s">
        <v>1801</v>
      </c>
      <c r="E93" s="14" t="s">
        <v>1802</v>
      </c>
      <c r="F93" s="14" t="s">
        <v>1308</v>
      </c>
      <c r="G93" s="14" t="s">
        <v>1638</v>
      </c>
      <c r="H93" s="14" t="s">
        <v>194</v>
      </c>
      <c r="I93" s="14" t="s">
        <v>194</v>
      </c>
      <c r="J93" s="14" t="s">
        <v>194</v>
      </c>
      <c r="K93" s="14" t="s">
        <v>155</v>
      </c>
      <c r="L93" s="14" t="s">
        <v>86</v>
      </c>
      <c r="M93" s="14" t="s">
        <v>3599</v>
      </c>
      <c r="N93" s="14" t="s">
        <v>2</v>
      </c>
      <c r="O93" s="14" t="s">
        <v>1807</v>
      </c>
      <c r="P93" s="14" t="s">
        <v>1064</v>
      </c>
      <c r="R93" s="38">
        <f>IFERROR(COUNTIFS(_report[TOURNAMENT_CODE],_SCHEDULE_[[#This Row],[TOURNAMENT_CODE]],_report[CONTEST_CODE],_SCHEDULE_[[#This Row],[CONTEST_CODE]]),"-")</f>
        <v>0</v>
      </c>
      <c r="S93" s="41" t="str">
        <f>SUBSTITUTE(IFERROR(INDEX(_group_[],MATCH(CONCATENATE(_SCHEDULE_[[#This Row],[CONTEST_CODE]],"_",$S$2),_group_[ИД2],0),MATCH($S$1,_group_[#Headers],0)),"---"),".",",")</f>
        <v>BANK</v>
      </c>
      <c r="T93" s="41" t="str">
        <f>SUBSTITUTE(IFERROR(INDEX(_group_[],MATCH(CONCATENATE(_SCHEDULE_[[#This Row],[CONTEST_CODE]],"_",$T$2),_group_[ИД2],0),MATCH($T$1,_group_[#Headers],0)),"---"),".",",")</f>
        <v>TB</v>
      </c>
      <c r="U93" s="41" t="str">
        <f>SUBSTITUTE(IFERROR(INDEX(_group_[],MATCH(CONCATENATE(_SCHEDULE_[[#This Row],[CONTEST_CODE]],"_",$U$2),_group_[ИД2],0),MATCH($U$1,_group_[#Headers],0)),"---"),".",",")</f>
        <v>GOSB</v>
      </c>
      <c r="V93" s="41" t="str">
        <f>SUBSTITUTE(IFERROR(INDEX(_group_[],MATCH(CONCATENATE(_SCHEDULE_[[#This Row],[CONTEST_CODE]],"_",$V$2),_group_[ИД2],0),MATCH($V$1,_group_[#Headers],0)),"---"),".",",")</f>
        <v>---</v>
      </c>
      <c r="W93" s="41" t="str">
        <f>IFERROR(INDEX(_INDICATOR_[],MATCH(_SCHEDULE_[[#This Row],[CONTEST_CODE]],_INDICATOR_[CONTEST_CODE],0),MATCH($W$2,_INDICATOR_[#Headers],0)),"-")</f>
        <v>WAIT</v>
      </c>
      <c r="X93" s="41" t="str">
        <f>IFERROR(INDEX(_group_[],MATCH(_SCHEDULE_[[#This Row],[CONTEST_CODE]],_group_[CONTEST_CODE],0),MATCH($X$2,_group_[#Headers],0)),"-")</f>
        <v>BANK</v>
      </c>
      <c r="Y93" s="61" t="str">
        <f>IFERROR(INDEX(_DATA_[],MATCH(_SCHEDULE_[[#This Row],[CONTEST_CODE]],_DATA_[CONTEST_CODE],0),MATCH($Y$2,_DATA_[#Headers],0)),"-")</f>
        <v>Активы. Максимизируй прирост остатка</v>
      </c>
      <c r="Z93" s="41" t="str">
        <f>IFERROR(INDEX(_reward_link_[],MATCH(_SCHEDULE_[[#This Row],[CONTEST_CODE]],_reward_link_[CONTEST_CODE],0),MATCH($Z$2,_reward_link_[#Headers],0)),"-")</f>
        <v>GOSB</v>
      </c>
      <c r="AA93" s="41" t="str">
        <f>IFERROR(INDEX(_report[],MATCH(_SCHEDULE_[[#This Row],[CONTEST_CODE]],_report[CONTEST_CODE],0),MATCH($AA$2,_report[#Headers],0)),"-")</f>
        <v>-</v>
      </c>
      <c r="AB93"/>
    </row>
    <row r="94" spans="1:28" hidden="1" x14ac:dyDescent="0.25">
      <c r="A94" s="14" t="s">
        <v>279</v>
      </c>
      <c r="B94" s="14" t="s">
        <v>186</v>
      </c>
      <c r="C94" s="14" t="s">
        <v>280</v>
      </c>
      <c r="D94" s="14" t="s">
        <v>188</v>
      </c>
      <c r="E94" s="14" t="s">
        <v>189</v>
      </c>
      <c r="F94" s="14" t="s">
        <v>239</v>
      </c>
      <c r="G94" s="14" t="s">
        <v>240</v>
      </c>
      <c r="H94" s="14" t="s">
        <v>194</v>
      </c>
      <c r="I94" s="14" t="s">
        <v>194</v>
      </c>
      <c r="J94" s="14" t="s">
        <v>194</v>
      </c>
      <c r="K94" s="14" t="s">
        <v>176</v>
      </c>
      <c r="L94" s="14" t="s">
        <v>91</v>
      </c>
      <c r="M94" s="14" t="s">
        <v>3599</v>
      </c>
      <c r="N94" s="14" t="s">
        <v>2</v>
      </c>
      <c r="O94" s="14" t="s">
        <v>1550</v>
      </c>
      <c r="P94" s="14" t="s">
        <v>1064</v>
      </c>
      <c r="R94" s="38">
        <f>IFERROR(COUNTIFS(_report[TOURNAMENT_CODE],_SCHEDULE_[[#This Row],[TOURNAMENT_CODE]],_report[CONTEST_CODE],_SCHEDULE_[[#This Row],[CONTEST_CODE]]),"-")</f>
        <v>0</v>
      </c>
      <c r="S94" s="41" t="str">
        <f>SUBSTITUTE(IFERROR(INDEX(_group_[],MATCH(CONCATENATE(_SCHEDULE_[[#This Row],[CONTEST_CODE]],"_",$S$2),_group_[ИД2],0),MATCH($S$1,_group_[#Headers],0)),"---"),".",",")</f>
        <v>BANK</v>
      </c>
      <c r="T94" s="41" t="str">
        <f>SUBSTITUTE(IFERROR(INDEX(_group_[],MATCH(CONCATENATE(_SCHEDULE_[[#This Row],[CONTEST_CODE]],"_",$T$2),_group_[ИД2],0),MATCH($T$1,_group_[#Headers],0)),"---"),".",",")</f>
        <v>TB</v>
      </c>
      <c r="U94" s="41" t="str">
        <f>SUBSTITUTE(IFERROR(INDEX(_group_[],MATCH(CONCATENATE(_SCHEDULE_[[#This Row],[CONTEST_CODE]],"_",$U$2),_group_[ИД2],0),MATCH($U$1,_group_[#Headers],0)),"---"),".",",")</f>
        <v>---</v>
      </c>
      <c r="V94" s="41" t="str">
        <f>SUBSTITUTE(IFERROR(INDEX(_group_[],MATCH(CONCATENATE(_SCHEDULE_[[#This Row],[CONTEST_CODE]],"_",$V$2),_group_[ИД2],0),MATCH($V$1,_group_[#Headers],0)),"---"),".",",")</f>
        <v>---</v>
      </c>
      <c r="W94" s="41" t="str">
        <f>IFERROR(INDEX(_INDICATOR_[],MATCH(_SCHEDULE_[[#This Row],[CONTEST_CODE]],_INDICATOR_[CONTEST_CODE],0),MATCH($W$2,_INDICATOR_[#Headers],0)),"-")</f>
        <v>WAIT</v>
      </c>
      <c r="X94" s="41" t="str">
        <f>IFERROR(INDEX(_group_[],MATCH(_SCHEDULE_[[#This Row],[CONTEST_CODE]],_group_[CONTEST_CODE],0),MATCH($X$2,_group_[#Headers],0)),"-")</f>
        <v>BANK</v>
      </c>
      <c r="Y94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94" s="41" t="str">
        <f>IFERROR(INDEX(_reward_link_[],MATCH(_SCHEDULE_[[#This Row],[CONTEST_CODE]],_reward_link_[CONTEST_CODE],0),MATCH($Z$2,_reward_link_[#Headers],0)),"-")</f>
        <v>TB</v>
      </c>
      <c r="AA94" s="41" t="str">
        <f>IFERROR(INDEX(_report[],MATCH(_SCHEDULE_[[#This Row],[CONTEST_CODE]],_report[CONTEST_CODE],0),MATCH($AA$2,_report[#Headers],0)),"-")</f>
        <v>-</v>
      </c>
      <c r="AB94"/>
    </row>
    <row r="95" spans="1:28" hidden="1" x14ac:dyDescent="0.25">
      <c r="A95" s="14" t="s">
        <v>281</v>
      </c>
      <c r="B95" s="14" t="s">
        <v>191</v>
      </c>
      <c r="C95" s="14" t="s">
        <v>192</v>
      </c>
      <c r="D95" s="14" t="s">
        <v>193</v>
      </c>
      <c r="E95" s="14" t="s">
        <v>247</v>
      </c>
      <c r="F95" s="14" t="s">
        <v>187</v>
      </c>
      <c r="G95" s="14" t="s">
        <v>188</v>
      </c>
      <c r="H95" s="14" t="s">
        <v>194</v>
      </c>
      <c r="I95" s="14" t="s">
        <v>194</v>
      </c>
      <c r="J95" s="14" t="s">
        <v>194</v>
      </c>
      <c r="K95" s="14" t="s">
        <v>176</v>
      </c>
      <c r="L95" s="14" t="s">
        <v>91</v>
      </c>
      <c r="M95" s="14" t="s">
        <v>3599</v>
      </c>
      <c r="N95" s="14" t="s">
        <v>2</v>
      </c>
      <c r="O95" s="14" t="s">
        <v>1551</v>
      </c>
      <c r="P95" s="14" t="s">
        <v>1064</v>
      </c>
      <c r="R95" s="38">
        <f>IFERROR(COUNTIFS(_report[TOURNAMENT_CODE],_SCHEDULE_[[#This Row],[TOURNAMENT_CODE]],_report[CONTEST_CODE],_SCHEDULE_[[#This Row],[CONTEST_CODE]]),"-")</f>
        <v>0</v>
      </c>
      <c r="S95" s="41" t="str">
        <f>SUBSTITUTE(IFERROR(INDEX(_group_[],MATCH(CONCATENATE(_SCHEDULE_[[#This Row],[CONTEST_CODE]],"_",$S$2),_group_[ИД2],0),MATCH($S$1,_group_[#Headers],0)),"---"),".",",")</f>
        <v>BANK</v>
      </c>
      <c r="T95" s="41" t="str">
        <f>SUBSTITUTE(IFERROR(INDEX(_group_[],MATCH(CONCATENATE(_SCHEDULE_[[#This Row],[CONTEST_CODE]],"_",$T$2),_group_[ИД2],0),MATCH($T$1,_group_[#Headers],0)),"---"),".",",")</f>
        <v>TB</v>
      </c>
      <c r="U95" s="41" t="str">
        <f>SUBSTITUTE(IFERROR(INDEX(_group_[],MATCH(CONCATENATE(_SCHEDULE_[[#This Row],[CONTEST_CODE]],"_",$U$2),_group_[ИД2],0),MATCH($U$1,_group_[#Headers],0)),"---"),".",",")</f>
        <v>---</v>
      </c>
      <c r="V95" s="41" t="str">
        <f>SUBSTITUTE(IFERROR(INDEX(_group_[],MATCH(CONCATENATE(_SCHEDULE_[[#This Row],[CONTEST_CODE]],"_",$V$2),_group_[ИД2],0),MATCH($V$1,_group_[#Headers],0)),"---"),".",",")</f>
        <v>---</v>
      </c>
      <c r="W95" s="41" t="str">
        <f>IFERROR(INDEX(_INDICATOR_[],MATCH(_SCHEDULE_[[#This Row],[CONTEST_CODE]],_INDICATOR_[CONTEST_CODE],0),MATCH($W$2,_INDICATOR_[#Headers],0)),"-")</f>
        <v>WAIT</v>
      </c>
      <c r="X95" s="41" t="str">
        <f>IFERROR(INDEX(_group_[],MATCH(_SCHEDULE_[[#This Row],[CONTEST_CODE]],_group_[CONTEST_CODE],0),MATCH($X$2,_group_[#Headers],0)),"-")</f>
        <v>BANK</v>
      </c>
      <c r="Y95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95" s="41" t="str">
        <f>IFERROR(INDEX(_reward_link_[],MATCH(_SCHEDULE_[[#This Row],[CONTEST_CODE]],_reward_link_[CONTEST_CODE],0),MATCH($Z$2,_reward_link_[#Headers],0)),"-")</f>
        <v>TB</v>
      </c>
      <c r="AA95" s="41" t="str">
        <f>IFERROR(INDEX(_report[],MATCH(_SCHEDULE_[[#This Row],[CONTEST_CODE]],_report[CONTEST_CODE],0),MATCH($AA$2,_report[#Headers],0)),"-")</f>
        <v>-</v>
      </c>
      <c r="AB95"/>
    </row>
    <row r="96" spans="1:28" hidden="1" x14ac:dyDescent="0.25">
      <c r="A96" s="14" t="s">
        <v>635</v>
      </c>
      <c r="B96" s="14" t="s">
        <v>209</v>
      </c>
      <c r="C96" s="14" t="s">
        <v>245</v>
      </c>
      <c r="D96" s="14" t="s">
        <v>246</v>
      </c>
      <c r="E96" s="14" t="s">
        <v>252</v>
      </c>
      <c r="F96" s="14" t="s">
        <v>192</v>
      </c>
      <c r="G96" s="14" t="s">
        <v>193</v>
      </c>
      <c r="H96" s="14" t="s">
        <v>194</v>
      </c>
      <c r="I96" s="14" t="s">
        <v>194</v>
      </c>
      <c r="J96" s="14" t="s">
        <v>194</v>
      </c>
      <c r="K96" s="14" t="s">
        <v>176</v>
      </c>
      <c r="L96" s="14" t="s">
        <v>91</v>
      </c>
      <c r="M96" s="14" t="s">
        <v>3599</v>
      </c>
      <c r="N96" s="14" t="s">
        <v>2</v>
      </c>
      <c r="O96" s="14" t="s">
        <v>1552</v>
      </c>
      <c r="P96" s="14" t="s">
        <v>1064</v>
      </c>
      <c r="R96" s="38">
        <f>IFERROR(COUNTIFS(_report[TOURNAMENT_CODE],_SCHEDULE_[[#This Row],[TOURNAMENT_CODE]],_report[CONTEST_CODE],_SCHEDULE_[[#This Row],[CONTEST_CODE]]),"-")</f>
        <v>0</v>
      </c>
      <c r="S96" s="41" t="str">
        <f>SUBSTITUTE(IFERROR(INDEX(_group_[],MATCH(CONCATENATE(_SCHEDULE_[[#This Row],[CONTEST_CODE]],"_",$S$2),_group_[ИД2],0),MATCH($S$1,_group_[#Headers],0)),"---"),".",",")</f>
        <v>BANK</v>
      </c>
      <c r="T96" s="41" t="str">
        <f>SUBSTITUTE(IFERROR(INDEX(_group_[],MATCH(CONCATENATE(_SCHEDULE_[[#This Row],[CONTEST_CODE]],"_",$T$2),_group_[ИД2],0),MATCH($T$1,_group_[#Headers],0)),"---"),".",",")</f>
        <v>TB</v>
      </c>
      <c r="U96" s="41" t="str">
        <f>SUBSTITUTE(IFERROR(INDEX(_group_[],MATCH(CONCATENATE(_SCHEDULE_[[#This Row],[CONTEST_CODE]],"_",$U$2),_group_[ИД2],0),MATCH($U$1,_group_[#Headers],0)),"---"),".",",")</f>
        <v>---</v>
      </c>
      <c r="V96" s="41" t="str">
        <f>SUBSTITUTE(IFERROR(INDEX(_group_[],MATCH(CONCATENATE(_SCHEDULE_[[#This Row],[CONTEST_CODE]],"_",$V$2),_group_[ИД2],0),MATCH($V$1,_group_[#Headers],0)),"---"),".",",")</f>
        <v>---</v>
      </c>
      <c r="W96" s="41" t="str">
        <f>IFERROR(INDEX(_INDICATOR_[],MATCH(_SCHEDULE_[[#This Row],[CONTEST_CODE]],_INDICATOR_[CONTEST_CODE],0),MATCH($W$2,_INDICATOR_[#Headers],0)),"-")</f>
        <v>WAIT</v>
      </c>
      <c r="X96" s="41" t="str">
        <f>IFERROR(INDEX(_group_[],MATCH(_SCHEDULE_[[#This Row],[CONTEST_CODE]],_group_[CONTEST_CODE],0),MATCH($X$2,_group_[#Headers],0)),"-")</f>
        <v>BANK</v>
      </c>
      <c r="Y96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96" s="41" t="str">
        <f>IFERROR(INDEX(_reward_link_[],MATCH(_SCHEDULE_[[#This Row],[CONTEST_CODE]],_reward_link_[CONTEST_CODE],0),MATCH($Z$2,_reward_link_[#Headers],0)),"-")</f>
        <v>TB</v>
      </c>
      <c r="AA96" s="41" t="str">
        <f>IFERROR(INDEX(_report[],MATCH(_SCHEDULE_[[#This Row],[CONTEST_CODE]],_report[CONTEST_CODE],0),MATCH($AA$2,_report[#Headers],0)),"-")</f>
        <v>-</v>
      </c>
      <c r="AB96"/>
    </row>
    <row r="97" spans="1:28" hidden="1" x14ac:dyDescent="0.25">
      <c r="A97" s="14" t="s">
        <v>1043</v>
      </c>
      <c r="B97" s="14" t="s">
        <v>210</v>
      </c>
      <c r="C97" s="14" t="s">
        <v>695</v>
      </c>
      <c r="D97" s="14" t="s">
        <v>252</v>
      </c>
      <c r="E97" s="14" t="s">
        <v>1158</v>
      </c>
      <c r="F97" s="14" t="s">
        <v>245</v>
      </c>
      <c r="G97" s="14" t="s">
        <v>246</v>
      </c>
      <c r="H97" s="14" t="s">
        <v>194</v>
      </c>
      <c r="I97" s="14" t="s">
        <v>194</v>
      </c>
      <c r="J97" s="14" t="s">
        <v>194</v>
      </c>
      <c r="K97" s="14" t="s">
        <v>176</v>
      </c>
      <c r="L97" s="14" t="s">
        <v>91</v>
      </c>
      <c r="M97" s="14" t="s">
        <v>3599</v>
      </c>
      <c r="N97" s="14" t="s">
        <v>2</v>
      </c>
      <c r="O97" s="14" t="s">
        <v>1553</v>
      </c>
      <c r="P97" s="14" t="s">
        <v>1064</v>
      </c>
      <c r="R97" s="38">
        <f>IFERROR(COUNTIFS(_report[TOURNAMENT_CODE],_SCHEDULE_[[#This Row],[TOURNAMENT_CODE]],_report[CONTEST_CODE],_SCHEDULE_[[#This Row],[CONTEST_CODE]]),"-")</f>
        <v>0</v>
      </c>
      <c r="S97" s="41" t="str">
        <f>SUBSTITUTE(IFERROR(INDEX(_group_[],MATCH(CONCATENATE(_SCHEDULE_[[#This Row],[CONTEST_CODE]],"_",$S$2),_group_[ИД2],0),MATCH($S$1,_group_[#Headers],0)),"---"),".",",")</f>
        <v>BANK</v>
      </c>
      <c r="T97" s="41" t="str">
        <f>SUBSTITUTE(IFERROR(INDEX(_group_[],MATCH(CONCATENATE(_SCHEDULE_[[#This Row],[CONTEST_CODE]],"_",$T$2),_group_[ИД2],0),MATCH($T$1,_group_[#Headers],0)),"---"),".",",")</f>
        <v>TB</v>
      </c>
      <c r="U97" s="41" t="str">
        <f>SUBSTITUTE(IFERROR(INDEX(_group_[],MATCH(CONCATENATE(_SCHEDULE_[[#This Row],[CONTEST_CODE]],"_",$U$2),_group_[ИД2],0),MATCH($U$1,_group_[#Headers],0)),"---"),".",",")</f>
        <v>---</v>
      </c>
      <c r="V97" s="41" t="str">
        <f>SUBSTITUTE(IFERROR(INDEX(_group_[],MATCH(CONCATENATE(_SCHEDULE_[[#This Row],[CONTEST_CODE]],"_",$V$2),_group_[ИД2],0),MATCH($V$1,_group_[#Headers],0)),"---"),".",",")</f>
        <v>---</v>
      </c>
      <c r="W97" s="41" t="str">
        <f>IFERROR(INDEX(_INDICATOR_[],MATCH(_SCHEDULE_[[#This Row],[CONTEST_CODE]],_INDICATOR_[CONTEST_CODE],0),MATCH($W$2,_INDICATOR_[#Headers],0)),"-")</f>
        <v>WAIT</v>
      </c>
      <c r="X97" s="41" t="str">
        <f>IFERROR(INDEX(_group_[],MATCH(_SCHEDULE_[[#This Row],[CONTEST_CODE]],_group_[CONTEST_CODE],0),MATCH($X$2,_group_[#Headers],0)),"-")</f>
        <v>BANK</v>
      </c>
      <c r="Y97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97" s="41" t="str">
        <f>IFERROR(INDEX(_reward_link_[],MATCH(_SCHEDULE_[[#This Row],[CONTEST_CODE]],_reward_link_[CONTEST_CODE],0),MATCH($Z$2,_reward_link_[#Headers],0)),"-")</f>
        <v>TB</v>
      </c>
      <c r="AA97" s="41" t="str">
        <f>IFERROR(INDEX(_report[],MATCH(_SCHEDULE_[[#This Row],[CONTEST_CODE]],_report[CONTEST_CODE],0),MATCH($AA$2,_report[#Headers],0)),"-")</f>
        <v>-</v>
      </c>
      <c r="AB97"/>
    </row>
    <row r="98" spans="1:28" hidden="1" x14ac:dyDescent="0.25">
      <c r="A98" s="14" t="s">
        <v>1065</v>
      </c>
      <c r="B98" s="14" t="s">
        <v>213</v>
      </c>
      <c r="C98" s="14" t="s">
        <v>703</v>
      </c>
      <c r="D98" s="14" t="s">
        <v>704</v>
      </c>
      <c r="E98" s="14" t="s">
        <v>1268</v>
      </c>
      <c r="F98" s="14" t="s">
        <v>695</v>
      </c>
      <c r="G98" s="14" t="s">
        <v>252</v>
      </c>
      <c r="H98" s="14" t="s">
        <v>194</v>
      </c>
      <c r="I98" s="14" t="s">
        <v>194</v>
      </c>
      <c r="J98" s="14" t="s">
        <v>194</v>
      </c>
      <c r="K98" s="14" t="s">
        <v>176</v>
      </c>
      <c r="L98" s="14" t="s">
        <v>91</v>
      </c>
      <c r="M98" s="14" t="s">
        <v>3599</v>
      </c>
      <c r="N98" s="14" t="s">
        <v>2</v>
      </c>
      <c r="O98" s="14" t="s">
        <v>1554</v>
      </c>
      <c r="P98" s="14" t="s">
        <v>1064</v>
      </c>
      <c r="R98" s="38">
        <f>IFERROR(COUNTIFS(_report[TOURNAMENT_CODE],_SCHEDULE_[[#This Row],[TOURNAMENT_CODE]],_report[CONTEST_CODE],_SCHEDULE_[[#This Row],[CONTEST_CODE]]),"-")</f>
        <v>0</v>
      </c>
      <c r="S98" s="41" t="str">
        <f>SUBSTITUTE(IFERROR(INDEX(_group_[],MATCH(CONCATENATE(_SCHEDULE_[[#This Row],[CONTEST_CODE]],"_",$S$2),_group_[ИД2],0),MATCH($S$1,_group_[#Headers],0)),"---"),".",",")</f>
        <v>BANK</v>
      </c>
      <c r="T98" s="41" t="str">
        <f>SUBSTITUTE(IFERROR(INDEX(_group_[],MATCH(CONCATENATE(_SCHEDULE_[[#This Row],[CONTEST_CODE]],"_",$T$2),_group_[ИД2],0),MATCH($T$1,_group_[#Headers],0)),"---"),".",",")</f>
        <v>TB</v>
      </c>
      <c r="U98" s="41" t="str">
        <f>SUBSTITUTE(IFERROR(INDEX(_group_[],MATCH(CONCATENATE(_SCHEDULE_[[#This Row],[CONTEST_CODE]],"_",$U$2),_group_[ИД2],0),MATCH($U$1,_group_[#Headers],0)),"---"),".",",")</f>
        <v>---</v>
      </c>
      <c r="V98" s="41" t="str">
        <f>SUBSTITUTE(IFERROR(INDEX(_group_[],MATCH(CONCATENATE(_SCHEDULE_[[#This Row],[CONTEST_CODE]],"_",$V$2),_group_[ИД2],0),MATCH($V$1,_group_[#Headers],0)),"---"),".",",")</f>
        <v>---</v>
      </c>
      <c r="W98" s="41" t="str">
        <f>IFERROR(INDEX(_INDICATOR_[],MATCH(_SCHEDULE_[[#This Row],[CONTEST_CODE]],_INDICATOR_[CONTEST_CODE],0),MATCH($W$2,_INDICATOR_[#Headers],0)),"-")</f>
        <v>WAIT</v>
      </c>
      <c r="X98" s="41" t="str">
        <f>IFERROR(INDEX(_group_[],MATCH(_SCHEDULE_[[#This Row],[CONTEST_CODE]],_group_[CONTEST_CODE],0),MATCH($X$2,_group_[#Headers],0)),"-")</f>
        <v>BANK</v>
      </c>
      <c r="Y98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98" s="41" t="str">
        <f>IFERROR(INDEX(_reward_link_[],MATCH(_SCHEDULE_[[#This Row],[CONTEST_CODE]],_reward_link_[CONTEST_CODE],0),MATCH($Z$2,_reward_link_[#Headers],0)),"-")</f>
        <v>TB</v>
      </c>
      <c r="AA98" s="41" t="str">
        <f>IFERROR(INDEX(_report[],MATCH(_SCHEDULE_[[#This Row],[CONTEST_CODE]],_report[CONTEST_CODE],0),MATCH($AA$2,_report[#Headers],0)),"-")</f>
        <v>-</v>
      </c>
      <c r="AB98"/>
    </row>
    <row r="99" spans="1:28" hidden="1" x14ac:dyDescent="0.25">
      <c r="A99" s="14" t="s">
        <v>1207</v>
      </c>
      <c r="B99" s="14" t="s">
        <v>214</v>
      </c>
      <c r="C99" s="14" t="s">
        <v>1078</v>
      </c>
      <c r="D99" s="14" t="s">
        <v>1173</v>
      </c>
      <c r="E99" s="14" t="s">
        <v>1715</v>
      </c>
      <c r="F99" s="14" t="s">
        <v>703</v>
      </c>
      <c r="G99" s="14" t="s">
        <v>704</v>
      </c>
      <c r="H99" s="14" t="s">
        <v>194</v>
      </c>
      <c r="I99" s="14" t="s">
        <v>194</v>
      </c>
      <c r="J99" s="14" t="s">
        <v>194</v>
      </c>
      <c r="K99" s="14" t="s">
        <v>176</v>
      </c>
      <c r="L99" s="14" t="s">
        <v>91</v>
      </c>
      <c r="M99" s="14" t="s">
        <v>3599</v>
      </c>
      <c r="N99" s="14" t="s">
        <v>2</v>
      </c>
      <c r="O99" s="14" t="s">
        <v>1555</v>
      </c>
      <c r="P99" s="14" t="s">
        <v>1064</v>
      </c>
      <c r="R99" s="38">
        <f>IFERROR(COUNTIFS(_report[TOURNAMENT_CODE],_SCHEDULE_[[#This Row],[TOURNAMENT_CODE]],_report[CONTEST_CODE],_SCHEDULE_[[#This Row],[CONTEST_CODE]]),"-")</f>
        <v>0</v>
      </c>
      <c r="S99" s="41" t="str">
        <f>SUBSTITUTE(IFERROR(INDEX(_group_[],MATCH(CONCATENATE(_SCHEDULE_[[#This Row],[CONTEST_CODE]],"_",$S$2),_group_[ИД2],0),MATCH($S$1,_group_[#Headers],0)),"---"),".",",")</f>
        <v>BANK</v>
      </c>
      <c r="T99" s="41" t="str">
        <f>SUBSTITUTE(IFERROR(INDEX(_group_[],MATCH(CONCATENATE(_SCHEDULE_[[#This Row],[CONTEST_CODE]],"_",$T$2),_group_[ИД2],0),MATCH($T$1,_group_[#Headers],0)),"---"),".",",")</f>
        <v>TB</v>
      </c>
      <c r="U99" s="41" t="str">
        <f>SUBSTITUTE(IFERROR(INDEX(_group_[],MATCH(CONCATENATE(_SCHEDULE_[[#This Row],[CONTEST_CODE]],"_",$U$2),_group_[ИД2],0),MATCH($U$1,_group_[#Headers],0)),"---"),".",",")</f>
        <v>---</v>
      </c>
      <c r="V99" s="41" t="str">
        <f>SUBSTITUTE(IFERROR(INDEX(_group_[],MATCH(CONCATENATE(_SCHEDULE_[[#This Row],[CONTEST_CODE]],"_",$V$2),_group_[ИД2],0),MATCH($V$1,_group_[#Headers],0)),"---"),".",",")</f>
        <v>---</v>
      </c>
      <c r="W99" s="41" t="str">
        <f>IFERROR(INDEX(_INDICATOR_[],MATCH(_SCHEDULE_[[#This Row],[CONTEST_CODE]],_INDICATOR_[CONTEST_CODE],0),MATCH($W$2,_INDICATOR_[#Headers],0)),"-")</f>
        <v>WAIT</v>
      </c>
      <c r="X99" s="41" t="str">
        <f>IFERROR(INDEX(_group_[],MATCH(_SCHEDULE_[[#This Row],[CONTEST_CODE]],_group_[CONTEST_CODE],0),MATCH($X$2,_group_[#Headers],0)),"-")</f>
        <v>BANK</v>
      </c>
      <c r="Y99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99" s="41" t="str">
        <f>IFERROR(INDEX(_reward_link_[],MATCH(_SCHEDULE_[[#This Row],[CONTEST_CODE]],_reward_link_[CONTEST_CODE],0),MATCH($Z$2,_reward_link_[#Headers],0)),"-")</f>
        <v>TB</v>
      </c>
      <c r="AA99" s="41" t="str">
        <f>IFERROR(INDEX(_report[],MATCH(_SCHEDULE_[[#This Row],[CONTEST_CODE]],_report[CONTEST_CODE],0),MATCH($AA$2,_report[#Headers],0)),"-")</f>
        <v>-</v>
      </c>
      <c r="AB99"/>
    </row>
    <row r="100" spans="1:28" hidden="1" x14ac:dyDescent="0.25">
      <c r="A100" s="14" t="s">
        <v>1280</v>
      </c>
      <c r="B100" s="14" t="s">
        <v>215</v>
      </c>
      <c r="C100" s="14" t="s">
        <v>1225</v>
      </c>
      <c r="D100" s="14" t="s">
        <v>1070</v>
      </c>
      <c r="E100" s="14" t="s">
        <v>1715</v>
      </c>
      <c r="F100" s="14" t="s">
        <v>1078</v>
      </c>
      <c r="G100" s="14" t="s">
        <v>1173</v>
      </c>
      <c r="H100" s="14" t="s">
        <v>194</v>
      </c>
      <c r="I100" s="14" t="s">
        <v>194</v>
      </c>
      <c r="J100" s="14" t="s">
        <v>194</v>
      </c>
      <c r="K100" s="14" t="s">
        <v>176</v>
      </c>
      <c r="L100" s="14" t="s">
        <v>91</v>
      </c>
      <c r="M100" s="14" t="s">
        <v>3599</v>
      </c>
      <c r="N100" s="14" t="s">
        <v>2</v>
      </c>
      <c r="O100" s="14" t="s">
        <v>1556</v>
      </c>
      <c r="P100" s="14" t="s">
        <v>1064</v>
      </c>
      <c r="R100" s="38">
        <f>IFERROR(COUNTIFS(_report[TOURNAMENT_CODE],_SCHEDULE_[[#This Row],[TOURNAMENT_CODE]],_report[CONTEST_CODE],_SCHEDULE_[[#This Row],[CONTEST_CODE]]),"-")</f>
        <v>0</v>
      </c>
      <c r="S100" s="41" t="str">
        <f>SUBSTITUTE(IFERROR(INDEX(_group_[],MATCH(CONCATENATE(_SCHEDULE_[[#This Row],[CONTEST_CODE]],"_",$S$2),_group_[ИД2],0),MATCH($S$1,_group_[#Headers],0)),"---"),".",",")</f>
        <v>BANK</v>
      </c>
      <c r="T100" s="41" t="str">
        <f>SUBSTITUTE(IFERROR(INDEX(_group_[],MATCH(CONCATENATE(_SCHEDULE_[[#This Row],[CONTEST_CODE]],"_",$T$2),_group_[ИД2],0),MATCH($T$1,_group_[#Headers],0)),"---"),".",",")</f>
        <v>TB</v>
      </c>
      <c r="U100" s="41" t="str">
        <f>SUBSTITUTE(IFERROR(INDEX(_group_[],MATCH(CONCATENATE(_SCHEDULE_[[#This Row],[CONTEST_CODE]],"_",$U$2),_group_[ИД2],0),MATCH($U$1,_group_[#Headers],0)),"---"),".",",")</f>
        <v>---</v>
      </c>
      <c r="V100" s="41" t="str">
        <f>SUBSTITUTE(IFERROR(INDEX(_group_[],MATCH(CONCATENATE(_SCHEDULE_[[#This Row],[CONTEST_CODE]],"_",$V$2),_group_[ИД2],0),MATCH($V$1,_group_[#Headers],0)),"---"),".",",")</f>
        <v>---</v>
      </c>
      <c r="W100" s="41" t="str">
        <f>IFERROR(INDEX(_INDICATOR_[],MATCH(_SCHEDULE_[[#This Row],[CONTEST_CODE]],_INDICATOR_[CONTEST_CODE],0),MATCH($W$2,_INDICATOR_[#Headers],0)),"-")</f>
        <v>WAIT</v>
      </c>
      <c r="X100" s="41" t="str">
        <f>IFERROR(INDEX(_group_[],MATCH(_SCHEDULE_[[#This Row],[CONTEST_CODE]],_group_[CONTEST_CODE],0),MATCH($X$2,_group_[#Headers],0)),"-")</f>
        <v>BANK</v>
      </c>
      <c r="Y100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100" s="41" t="str">
        <f>IFERROR(INDEX(_reward_link_[],MATCH(_SCHEDULE_[[#This Row],[CONTEST_CODE]],_reward_link_[CONTEST_CODE],0),MATCH($Z$2,_reward_link_[#Headers],0)),"-")</f>
        <v>TB</v>
      </c>
      <c r="AA100" s="41" t="str">
        <f>IFERROR(INDEX(_report[],MATCH(_SCHEDULE_[[#This Row],[CONTEST_CODE]],_report[CONTEST_CODE],0),MATCH($AA$2,_report[#Headers],0)),"-")</f>
        <v>-</v>
      </c>
      <c r="AB100"/>
    </row>
    <row r="101" spans="1:28" hidden="1" x14ac:dyDescent="0.25">
      <c r="A101" s="14" t="s">
        <v>1645</v>
      </c>
      <c r="B101" s="14" t="s">
        <v>216</v>
      </c>
      <c r="C101" s="14" t="s">
        <v>1308</v>
      </c>
      <c r="D101" s="14" t="s">
        <v>1638</v>
      </c>
      <c r="E101" s="14" t="s">
        <v>1846</v>
      </c>
      <c r="F101" s="14" t="s">
        <v>1225</v>
      </c>
      <c r="G101" s="14" t="s">
        <v>1070</v>
      </c>
      <c r="H101" s="14" t="s">
        <v>194</v>
      </c>
      <c r="I101" s="14" t="s">
        <v>194</v>
      </c>
      <c r="J101" s="14" t="s">
        <v>194</v>
      </c>
      <c r="K101" s="14" t="s">
        <v>176</v>
      </c>
      <c r="L101" s="14" t="s">
        <v>91</v>
      </c>
      <c r="M101" s="14" t="s">
        <v>3599</v>
      </c>
      <c r="N101" s="14" t="s">
        <v>2</v>
      </c>
      <c r="O101" s="14" t="s">
        <v>1646</v>
      </c>
      <c r="P101" s="14" t="s">
        <v>1064</v>
      </c>
      <c r="R101" s="38">
        <f>IFERROR(COUNTIFS(_report[TOURNAMENT_CODE],_SCHEDULE_[[#This Row],[TOURNAMENT_CODE]],_report[CONTEST_CODE],_SCHEDULE_[[#This Row],[CONTEST_CODE]]),"-")</f>
        <v>0</v>
      </c>
      <c r="S101" s="41" t="str">
        <f>SUBSTITUTE(IFERROR(INDEX(_group_[],MATCH(CONCATENATE(_SCHEDULE_[[#This Row],[CONTEST_CODE]],"_",$S$2),_group_[ИД2],0),MATCH($S$1,_group_[#Headers],0)),"---"),".",",")</f>
        <v>BANK</v>
      </c>
      <c r="T101" s="41" t="str">
        <f>SUBSTITUTE(IFERROR(INDEX(_group_[],MATCH(CONCATENATE(_SCHEDULE_[[#This Row],[CONTEST_CODE]],"_",$T$2),_group_[ИД2],0),MATCH($T$1,_group_[#Headers],0)),"---"),".",",")</f>
        <v>TB</v>
      </c>
      <c r="U101" s="41" t="str">
        <f>SUBSTITUTE(IFERROR(INDEX(_group_[],MATCH(CONCATENATE(_SCHEDULE_[[#This Row],[CONTEST_CODE]],"_",$U$2),_group_[ИД2],0),MATCH($U$1,_group_[#Headers],0)),"---"),".",",")</f>
        <v>---</v>
      </c>
      <c r="V101" s="41" t="str">
        <f>SUBSTITUTE(IFERROR(INDEX(_group_[],MATCH(CONCATENATE(_SCHEDULE_[[#This Row],[CONTEST_CODE]],"_",$V$2),_group_[ИД2],0),MATCH($V$1,_group_[#Headers],0)),"---"),".",",")</f>
        <v>---</v>
      </c>
      <c r="W101" s="41" t="str">
        <f>IFERROR(INDEX(_INDICATOR_[],MATCH(_SCHEDULE_[[#This Row],[CONTEST_CODE]],_INDICATOR_[CONTEST_CODE],0),MATCH($W$2,_INDICATOR_[#Headers],0)),"-")</f>
        <v>WAIT</v>
      </c>
      <c r="X101" s="41" t="str">
        <f>IFERROR(INDEX(_group_[],MATCH(_SCHEDULE_[[#This Row],[CONTEST_CODE]],_group_[CONTEST_CODE],0),MATCH($X$2,_group_[#Headers],0)),"-")</f>
        <v>BANK</v>
      </c>
      <c r="Y101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101" s="41" t="str">
        <f>IFERROR(INDEX(_reward_link_[],MATCH(_SCHEDULE_[[#This Row],[CONTEST_CODE]],_reward_link_[CONTEST_CODE],0),MATCH($Z$2,_reward_link_[#Headers],0)),"-")</f>
        <v>TB</v>
      </c>
      <c r="AA101" s="41" t="str">
        <f>IFERROR(INDEX(_report[],MATCH(_SCHEDULE_[[#This Row],[CONTEST_CODE]],_report[CONTEST_CODE],0),MATCH($AA$2,_report[#Headers],0)),"-")</f>
        <v>-</v>
      </c>
      <c r="AB101"/>
    </row>
    <row r="102" spans="1:28" hidden="1" x14ac:dyDescent="0.25">
      <c r="A102" s="14" t="s">
        <v>1808</v>
      </c>
      <c r="B102" s="14" t="s">
        <v>174</v>
      </c>
      <c r="C102" s="14" t="s">
        <v>1800</v>
      </c>
      <c r="D102" s="14" t="s">
        <v>1801</v>
      </c>
      <c r="E102" s="14" t="s">
        <v>1802</v>
      </c>
      <c r="F102" s="14" t="s">
        <v>1308</v>
      </c>
      <c r="G102" s="14" t="s">
        <v>1638</v>
      </c>
      <c r="H102" s="14" t="s">
        <v>194</v>
      </c>
      <c r="I102" s="14" t="s">
        <v>194</v>
      </c>
      <c r="J102" s="14" t="s">
        <v>194</v>
      </c>
      <c r="K102" s="14" t="s">
        <v>155</v>
      </c>
      <c r="L102" s="14" t="s">
        <v>91</v>
      </c>
      <c r="M102" s="14" t="s">
        <v>3599</v>
      </c>
      <c r="N102" s="14" t="s">
        <v>2</v>
      </c>
      <c r="O102" s="14" t="s">
        <v>1809</v>
      </c>
      <c r="P102" s="14" t="s">
        <v>1064</v>
      </c>
      <c r="R102" s="38">
        <f>IFERROR(COUNTIFS(_report[TOURNAMENT_CODE],_SCHEDULE_[[#This Row],[TOURNAMENT_CODE]],_report[CONTEST_CODE],_SCHEDULE_[[#This Row],[CONTEST_CODE]]),"-")</f>
        <v>0</v>
      </c>
      <c r="S102" s="41" t="str">
        <f>SUBSTITUTE(IFERROR(INDEX(_group_[],MATCH(CONCATENATE(_SCHEDULE_[[#This Row],[CONTEST_CODE]],"_",$S$2),_group_[ИД2],0),MATCH($S$1,_group_[#Headers],0)),"---"),".",",")</f>
        <v>BANK</v>
      </c>
      <c r="T102" s="41" t="str">
        <f>SUBSTITUTE(IFERROR(INDEX(_group_[],MATCH(CONCATENATE(_SCHEDULE_[[#This Row],[CONTEST_CODE]],"_",$T$2),_group_[ИД2],0),MATCH($T$1,_group_[#Headers],0)),"---"),".",",")</f>
        <v>TB</v>
      </c>
      <c r="U102" s="41" t="str">
        <f>SUBSTITUTE(IFERROR(INDEX(_group_[],MATCH(CONCATENATE(_SCHEDULE_[[#This Row],[CONTEST_CODE]],"_",$U$2),_group_[ИД2],0),MATCH($U$1,_group_[#Headers],0)),"---"),".",",")</f>
        <v>---</v>
      </c>
      <c r="V102" s="41" t="str">
        <f>SUBSTITUTE(IFERROR(INDEX(_group_[],MATCH(CONCATENATE(_SCHEDULE_[[#This Row],[CONTEST_CODE]],"_",$V$2),_group_[ИД2],0),MATCH($V$1,_group_[#Headers],0)),"---"),".",",")</f>
        <v>---</v>
      </c>
      <c r="W102" s="41" t="str">
        <f>IFERROR(INDEX(_INDICATOR_[],MATCH(_SCHEDULE_[[#This Row],[CONTEST_CODE]],_INDICATOR_[CONTEST_CODE],0),MATCH($W$2,_INDICATOR_[#Headers],0)),"-")</f>
        <v>WAIT</v>
      </c>
      <c r="X102" s="41" t="str">
        <f>IFERROR(INDEX(_group_[],MATCH(_SCHEDULE_[[#This Row],[CONTEST_CODE]],_group_[CONTEST_CODE],0),MATCH($X$2,_group_[#Headers],0)),"-")</f>
        <v>BANK</v>
      </c>
      <c r="Y102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102" s="41" t="str">
        <f>IFERROR(INDEX(_reward_link_[],MATCH(_SCHEDULE_[[#This Row],[CONTEST_CODE]],_reward_link_[CONTEST_CODE],0),MATCH($Z$2,_reward_link_[#Headers],0)),"-")</f>
        <v>TB</v>
      </c>
      <c r="AA102" s="41" t="str">
        <f>IFERROR(INDEX(_report[],MATCH(_SCHEDULE_[[#This Row],[CONTEST_CODE]],_report[CONTEST_CODE],0),MATCH($AA$2,_report[#Headers],0)),"-")</f>
        <v>-</v>
      </c>
      <c r="AB102"/>
    </row>
    <row r="103" spans="1:28" hidden="1" x14ac:dyDescent="0.25">
      <c r="A103" s="14" t="s">
        <v>9</v>
      </c>
      <c r="B103" s="14" t="s">
        <v>186</v>
      </c>
      <c r="C103" s="14" t="s">
        <v>187</v>
      </c>
      <c r="D103" s="14" t="s">
        <v>188</v>
      </c>
      <c r="E103" s="14" t="s">
        <v>1088</v>
      </c>
      <c r="F103" s="14" t="s">
        <v>239</v>
      </c>
      <c r="G103" s="14" t="s">
        <v>240</v>
      </c>
      <c r="H103" s="14" t="s">
        <v>194</v>
      </c>
      <c r="I103" s="14" t="s">
        <v>194</v>
      </c>
      <c r="J103" s="14" t="s">
        <v>194</v>
      </c>
      <c r="K103" s="14" t="s">
        <v>176</v>
      </c>
      <c r="L103" s="14" t="s">
        <v>8</v>
      </c>
      <c r="M103" s="14" t="s">
        <v>3599</v>
      </c>
      <c r="N103" s="14" t="s">
        <v>2</v>
      </c>
      <c r="O103" s="14" t="s">
        <v>1557</v>
      </c>
      <c r="P103" s="14" t="s">
        <v>1064</v>
      </c>
      <c r="R103" s="38">
        <f>IFERROR(COUNTIFS(_report[TOURNAMENT_CODE],_SCHEDULE_[[#This Row],[TOURNAMENT_CODE]],_report[CONTEST_CODE],_SCHEDULE_[[#This Row],[CONTEST_CODE]]),"-")</f>
        <v>0</v>
      </c>
      <c r="S103" s="41" t="str">
        <f>SUBSTITUTE(IFERROR(INDEX(_group_[],MATCH(CONCATENATE(_SCHEDULE_[[#This Row],[CONTEST_CODE]],"_",$S$2),_group_[ИД2],0),MATCH($S$1,_group_[#Headers],0)),"---"),".",",")</f>
        <v>BANK</v>
      </c>
      <c r="T103" s="41" t="str">
        <f>SUBSTITUTE(IFERROR(INDEX(_group_[],MATCH(CONCATENATE(_SCHEDULE_[[#This Row],[CONTEST_CODE]],"_",$T$2),_group_[ИД2],0),MATCH($T$1,_group_[#Headers],0)),"---"),".",",")</f>
        <v>TB</v>
      </c>
      <c r="U103" s="41" t="str">
        <f>SUBSTITUTE(IFERROR(INDEX(_group_[],MATCH(CONCATENATE(_SCHEDULE_[[#This Row],[CONTEST_CODE]],"_",$U$2),_group_[ИД2],0),MATCH($U$1,_group_[#Headers],0)),"---"),".",",")</f>
        <v>---</v>
      </c>
      <c r="V103" s="41" t="str">
        <f>SUBSTITUTE(IFERROR(INDEX(_group_[],MATCH(CONCATENATE(_SCHEDULE_[[#This Row],[CONTEST_CODE]],"_",$V$2),_group_[ИД2],0),MATCH($V$1,_group_[#Headers],0)),"---"),".",",")</f>
        <v>---</v>
      </c>
      <c r="W103" s="41" t="str">
        <f>IFERROR(INDEX(_INDICATOR_[],MATCH(_SCHEDULE_[[#This Row],[CONTEST_CODE]],_INDICATOR_[CONTEST_CODE],0),MATCH($W$2,_INDICATOR_[#Headers],0)),"-")</f>
        <v>WAIT</v>
      </c>
      <c r="X103" s="41" t="str">
        <f>IFERROR(INDEX(_group_[],MATCH(_SCHEDULE_[[#This Row],[CONTEST_CODE]],_group_[CONTEST_CODE],0),MATCH($X$2,_group_[#Headers],0)),"-")</f>
        <v>BANK</v>
      </c>
      <c r="Y103" s="61" t="str">
        <f>IFERROR(INDEX(_DATA_[],MATCH(_SCHEDULE_[[#This Row],[CONTEST_CODE]],_DATA_[CONTEST_CODE],0),MATCH($Y$2,_DATA_[#Headers],0)),"-")</f>
        <v>Пассивы. Максимизируй прирост остатка</v>
      </c>
      <c r="Z103" s="41" t="str">
        <f>IFERROR(INDEX(_reward_link_[],MATCH(_SCHEDULE_[[#This Row],[CONTEST_CODE]],_reward_link_[CONTEST_CODE],0),MATCH($Z$2,_reward_link_[#Headers],0)),"-")</f>
        <v>TB</v>
      </c>
      <c r="AA103" s="41" t="str">
        <f>IFERROR(INDEX(_report[],MATCH(_SCHEDULE_[[#This Row],[CONTEST_CODE]],_report[CONTEST_CODE],0),MATCH($AA$2,_report[#Headers],0)),"-")</f>
        <v>-</v>
      </c>
      <c r="AB103"/>
    </row>
    <row r="104" spans="1:28" hidden="1" x14ac:dyDescent="0.25">
      <c r="A104" s="14" t="s">
        <v>10</v>
      </c>
      <c r="B104" s="14" t="s">
        <v>191</v>
      </c>
      <c r="C104" s="14" t="s">
        <v>192</v>
      </c>
      <c r="D104" s="14" t="s">
        <v>193</v>
      </c>
      <c r="E104" s="14" t="s">
        <v>1088</v>
      </c>
      <c r="F104" s="14" t="s">
        <v>187</v>
      </c>
      <c r="G104" s="14" t="s">
        <v>188</v>
      </c>
      <c r="H104" s="14" t="s">
        <v>194</v>
      </c>
      <c r="I104" s="14" t="s">
        <v>194</v>
      </c>
      <c r="J104" s="14" t="s">
        <v>194</v>
      </c>
      <c r="K104" s="14" t="s">
        <v>176</v>
      </c>
      <c r="L104" s="14" t="s">
        <v>8</v>
      </c>
      <c r="M104" s="14" t="s">
        <v>3599</v>
      </c>
      <c r="N104" s="14" t="s">
        <v>2</v>
      </c>
      <c r="O104" s="14" t="s">
        <v>1558</v>
      </c>
      <c r="P104" s="14" t="s">
        <v>1064</v>
      </c>
      <c r="R104" s="38">
        <f>IFERROR(COUNTIFS(_report[TOURNAMENT_CODE],_SCHEDULE_[[#This Row],[TOURNAMENT_CODE]],_report[CONTEST_CODE],_SCHEDULE_[[#This Row],[CONTEST_CODE]]),"-")</f>
        <v>0</v>
      </c>
      <c r="S104" s="41" t="str">
        <f>SUBSTITUTE(IFERROR(INDEX(_group_[],MATCH(CONCATENATE(_SCHEDULE_[[#This Row],[CONTEST_CODE]],"_",$S$2),_group_[ИД2],0),MATCH($S$1,_group_[#Headers],0)),"---"),".",",")</f>
        <v>BANK</v>
      </c>
      <c r="T104" s="41" t="str">
        <f>SUBSTITUTE(IFERROR(INDEX(_group_[],MATCH(CONCATENATE(_SCHEDULE_[[#This Row],[CONTEST_CODE]],"_",$T$2),_group_[ИД2],0),MATCH($T$1,_group_[#Headers],0)),"---"),".",",")</f>
        <v>TB</v>
      </c>
      <c r="U104" s="41" t="str">
        <f>SUBSTITUTE(IFERROR(INDEX(_group_[],MATCH(CONCATENATE(_SCHEDULE_[[#This Row],[CONTEST_CODE]],"_",$U$2),_group_[ИД2],0),MATCH($U$1,_group_[#Headers],0)),"---"),".",",")</f>
        <v>---</v>
      </c>
      <c r="V104" s="41" t="str">
        <f>SUBSTITUTE(IFERROR(INDEX(_group_[],MATCH(CONCATENATE(_SCHEDULE_[[#This Row],[CONTEST_CODE]],"_",$V$2),_group_[ИД2],0),MATCH($V$1,_group_[#Headers],0)),"---"),".",",")</f>
        <v>---</v>
      </c>
      <c r="W104" s="41" t="str">
        <f>IFERROR(INDEX(_INDICATOR_[],MATCH(_SCHEDULE_[[#This Row],[CONTEST_CODE]],_INDICATOR_[CONTEST_CODE],0),MATCH($W$2,_INDICATOR_[#Headers],0)),"-")</f>
        <v>WAIT</v>
      </c>
      <c r="X104" s="41" t="str">
        <f>IFERROR(INDEX(_group_[],MATCH(_SCHEDULE_[[#This Row],[CONTEST_CODE]],_group_[CONTEST_CODE],0),MATCH($X$2,_group_[#Headers],0)),"-")</f>
        <v>BANK</v>
      </c>
      <c r="Y104" s="61" t="str">
        <f>IFERROR(INDEX(_DATA_[],MATCH(_SCHEDULE_[[#This Row],[CONTEST_CODE]],_DATA_[CONTEST_CODE],0),MATCH($Y$2,_DATA_[#Headers],0)),"-")</f>
        <v>Пассивы. Максимизируй прирост остатка</v>
      </c>
      <c r="Z104" s="41" t="str">
        <f>IFERROR(INDEX(_reward_link_[],MATCH(_SCHEDULE_[[#This Row],[CONTEST_CODE]],_reward_link_[CONTEST_CODE],0),MATCH($Z$2,_reward_link_[#Headers],0)),"-")</f>
        <v>TB</v>
      </c>
      <c r="AA104" s="41" t="str">
        <f>IFERROR(INDEX(_report[],MATCH(_SCHEDULE_[[#This Row],[CONTEST_CODE]],_report[CONTEST_CODE],0),MATCH($AA$2,_report[#Headers],0)),"-")</f>
        <v>-</v>
      </c>
      <c r="AB104"/>
    </row>
    <row r="105" spans="1:28" hidden="1" x14ac:dyDescent="0.25">
      <c r="A105" s="14" t="s">
        <v>636</v>
      </c>
      <c r="B105" s="14" t="s">
        <v>209</v>
      </c>
      <c r="C105" s="14" t="s">
        <v>245</v>
      </c>
      <c r="D105" s="14" t="s">
        <v>246</v>
      </c>
      <c r="E105" s="14" t="s">
        <v>1088</v>
      </c>
      <c r="F105" s="14" t="s">
        <v>192</v>
      </c>
      <c r="G105" s="14" t="s">
        <v>193</v>
      </c>
      <c r="H105" s="14" t="s">
        <v>194</v>
      </c>
      <c r="I105" s="14" t="s">
        <v>194</v>
      </c>
      <c r="J105" s="14" t="s">
        <v>194</v>
      </c>
      <c r="K105" s="14" t="s">
        <v>176</v>
      </c>
      <c r="L105" s="14" t="s">
        <v>8</v>
      </c>
      <c r="M105" s="14" t="s">
        <v>3599</v>
      </c>
      <c r="N105" s="14" t="s">
        <v>2</v>
      </c>
      <c r="O105" s="14" t="s">
        <v>1559</v>
      </c>
      <c r="P105" s="14" t="s">
        <v>1064</v>
      </c>
      <c r="R105" s="38">
        <f>IFERROR(COUNTIFS(_report[TOURNAMENT_CODE],_SCHEDULE_[[#This Row],[TOURNAMENT_CODE]],_report[CONTEST_CODE],_SCHEDULE_[[#This Row],[CONTEST_CODE]]),"-")</f>
        <v>0</v>
      </c>
      <c r="S105" s="41" t="str">
        <f>SUBSTITUTE(IFERROR(INDEX(_group_[],MATCH(CONCATENATE(_SCHEDULE_[[#This Row],[CONTEST_CODE]],"_",$S$2),_group_[ИД2],0),MATCH($S$1,_group_[#Headers],0)),"---"),".",",")</f>
        <v>BANK</v>
      </c>
      <c r="T105" s="41" t="str">
        <f>SUBSTITUTE(IFERROR(INDEX(_group_[],MATCH(CONCATENATE(_SCHEDULE_[[#This Row],[CONTEST_CODE]],"_",$T$2),_group_[ИД2],0),MATCH($T$1,_group_[#Headers],0)),"---"),".",",")</f>
        <v>TB</v>
      </c>
      <c r="U105" s="41" t="str">
        <f>SUBSTITUTE(IFERROR(INDEX(_group_[],MATCH(CONCATENATE(_SCHEDULE_[[#This Row],[CONTEST_CODE]],"_",$U$2),_group_[ИД2],0),MATCH($U$1,_group_[#Headers],0)),"---"),".",",")</f>
        <v>---</v>
      </c>
      <c r="V105" s="41" t="str">
        <f>SUBSTITUTE(IFERROR(INDEX(_group_[],MATCH(CONCATENATE(_SCHEDULE_[[#This Row],[CONTEST_CODE]],"_",$V$2),_group_[ИД2],0),MATCH($V$1,_group_[#Headers],0)),"---"),".",",")</f>
        <v>---</v>
      </c>
      <c r="W105" s="41" t="str">
        <f>IFERROR(INDEX(_INDICATOR_[],MATCH(_SCHEDULE_[[#This Row],[CONTEST_CODE]],_INDICATOR_[CONTEST_CODE],0),MATCH($W$2,_INDICATOR_[#Headers],0)),"-")</f>
        <v>WAIT</v>
      </c>
      <c r="X105" s="41" t="str">
        <f>IFERROR(INDEX(_group_[],MATCH(_SCHEDULE_[[#This Row],[CONTEST_CODE]],_group_[CONTEST_CODE],0),MATCH($X$2,_group_[#Headers],0)),"-")</f>
        <v>BANK</v>
      </c>
      <c r="Y105" s="61" t="str">
        <f>IFERROR(INDEX(_DATA_[],MATCH(_SCHEDULE_[[#This Row],[CONTEST_CODE]],_DATA_[CONTEST_CODE],0),MATCH($Y$2,_DATA_[#Headers],0)),"-")</f>
        <v>Пассивы. Максимизируй прирост остатка</v>
      </c>
      <c r="Z105" s="41" t="str">
        <f>IFERROR(INDEX(_reward_link_[],MATCH(_SCHEDULE_[[#This Row],[CONTEST_CODE]],_reward_link_[CONTEST_CODE],0),MATCH($Z$2,_reward_link_[#Headers],0)),"-")</f>
        <v>TB</v>
      </c>
      <c r="AA105" s="41" t="str">
        <f>IFERROR(INDEX(_report[],MATCH(_SCHEDULE_[[#This Row],[CONTEST_CODE]],_report[CONTEST_CODE],0),MATCH($AA$2,_report[#Headers],0)),"-")</f>
        <v>-</v>
      </c>
      <c r="AB105"/>
    </row>
    <row r="106" spans="1:28" hidden="1" x14ac:dyDescent="0.25">
      <c r="A106" s="14" t="s">
        <v>698</v>
      </c>
      <c r="B106" s="14" t="s">
        <v>210</v>
      </c>
      <c r="C106" s="14" t="s">
        <v>695</v>
      </c>
      <c r="D106" s="14" t="s">
        <v>252</v>
      </c>
      <c r="E106" s="14" t="s">
        <v>1204</v>
      </c>
      <c r="F106" s="14" t="s">
        <v>245</v>
      </c>
      <c r="G106" s="14" t="s">
        <v>246</v>
      </c>
      <c r="H106" s="14" t="s">
        <v>194</v>
      </c>
      <c r="I106" s="14" t="s">
        <v>194</v>
      </c>
      <c r="J106" s="14" t="s">
        <v>194</v>
      </c>
      <c r="K106" s="14" t="s">
        <v>176</v>
      </c>
      <c r="L106" s="14" t="s">
        <v>8</v>
      </c>
      <c r="M106" s="14" t="s">
        <v>3599</v>
      </c>
      <c r="N106" s="14" t="s">
        <v>2</v>
      </c>
      <c r="O106" s="14" t="s">
        <v>1560</v>
      </c>
      <c r="P106" s="14" t="s">
        <v>1064</v>
      </c>
      <c r="R106" s="38">
        <f>IFERROR(COUNTIFS(_report[TOURNAMENT_CODE],_SCHEDULE_[[#This Row],[TOURNAMENT_CODE]],_report[CONTEST_CODE],_SCHEDULE_[[#This Row],[CONTEST_CODE]]),"-")</f>
        <v>0</v>
      </c>
      <c r="S106" s="41" t="str">
        <f>SUBSTITUTE(IFERROR(INDEX(_group_[],MATCH(CONCATENATE(_SCHEDULE_[[#This Row],[CONTEST_CODE]],"_",$S$2),_group_[ИД2],0),MATCH($S$1,_group_[#Headers],0)),"---"),".",",")</f>
        <v>BANK</v>
      </c>
      <c r="T106" s="41" t="str">
        <f>SUBSTITUTE(IFERROR(INDEX(_group_[],MATCH(CONCATENATE(_SCHEDULE_[[#This Row],[CONTEST_CODE]],"_",$T$2),_group_[ИД2],0),MATCH($T$1,_group_[#Headers],0)),"---"),".",",")</f>
        <v>TB</v>
      </c>
      <c r="U106" s="41" t="str">
        <f>SUBSTITUTE(IFERROR(INDEX(_group_[],MATCH(CONCATENATE(_SCHEDULE_[[#This Row],[CONTEST_CODE]],"_",$U$2),_group_[ИД2],0),MATCH($U$1,_group_[#Headers],0)),"---"),".",",")</f>
        <v>---</v>
      </c>
      <c r="V106" s="41" t="str">
        <f>SUBSTITUTE(IFERROR(INDEX(_group_[],MATCH(CONCATENATE(_SCHEDULE_[[#This Row],[CONTEST_CODE]],"_",$V$2),_group_[ИД2],0),MATCH($V$1,_group_[#Headers],0)),"---"),".",",")</f>
        <v>---</v>
      </c>
      <c r="W106" s="41" t="str">
        <f>IFERROR(INDEX(_INDICATOR_[],MATCH(_SCHEDULE_[[#This Row],[CONTEST_CODE]],_INDICATOR_[CONTEST_CODE],0),MATCH($W$2,_INDICATOR_[#Headers],0)),"-")</f>
        <v>WAIT</v>
      </c>
      <c r="X106" s="41" t="str">
        <f>IFERROR(INDEX(_group_[],MATCH(_SCHEDULE_[[#This Row],[CONTEST_CODE]],_group_[CONTEST_CODE],0),MATCH($X$2,_group_[#Headers],0)),"-")</f>
        <v>BANK</v>
      </c>
      <c r="Y106" s="61" t="str">
        <f>IFERROR(INDEX(_DATA_[],MATCH(_SCHEDULE_[[#This Row],[CONTEST_CODE]],_DATA_[CONTEST_CODE],0),MATCH($Y$2,_DATA_[#Headers],0)),"-")</f>
        <v>Пассивы. Максимизируй прирост остатка</v>
      </c>
      <c r="Z106" s="41" t="str">
        <f>IFERROR(INDEX(_reward_link_[],MATCH(_SCHEDULE_[[#This Row],[CONTEST_CODE]],_reward_link_[CONTEST_CODE],0),MATCH($Z$2,_reward_link_[#Headers],0)),"-")</f>
        <v>TB</v>
      </c>
      <c r="AA106" s="41" t="str">
        <f>IFERROR(INDEX(_report[],MATCH(_SCHEDULE_[[#This Row],[CONTEST_CODE]],_report[CONTEST_CODE],0),MATCH($AA$2,_report[#Headers],0)),"-")</f>
        <v>-</v>
      </c>
      <c r="AB106"/>
    </row>
    <row r="107" spans="1:28" hidden="1" x14ac:dyDescent="0.25">
      <c r="A107" s="14" t="s">
        <v>1045</v>
      </c>
      <c r="B107" s="14" t="s">
        <v>213</v>
      </c>
      <c r="C107" s="14" t="s">
        <v>703</v>
      </c>
      <c r="D107" s="14" t="s">
        <v>704</v>
      </c>
      <c r="E107" s="14" t="s">
        <v>1275</v>
      </c>
      <c r="F107" s="14" t="s">
        <v>695</v>
      </c>
      <c r="G107" s="14" t="s">
        <v>252</v>
      </c>
      <c r="H107" s="14" t="s">
        <v>194</v>
      </c>
      <c r="I107" s="14" t="s">
        <v>194</v>
      </c>
      <c r="J107" s="14" t="s">
        <v>194</v>
      </c>
      <c r="K107" s="14" t="s">
        <v>176</v>
      </c>
      <c r="L107" s="14" t="s">
        <v>8</v>
      </c>
      <c r="M107" s="14" t="s">
        <v>3599</v>
      </c>
      <c r="N107" s="14" t="s">
        <v>2</v>
      </c>
      <c r="O107" s="14" t="s">
        <v>1561</v>
      </c>
      <c r="P107" s="14" t="s">
        <v>1064</v>
      </c>
      <c r="R107" s="38">
        <f>IFERROR(COUNTIFS(_report[TOURNAMENT_CODE],_SCHEDULE_[[#This Row],[TOURNAMENT_CODE]],_report[CONTEST_CODE],_SCHEDULE_[[#This Row],[CONTEST_CODE]]),"-")</f>
        <v>0</v>
      </c>
      <c r="S107" s="41" t="str">
        <f>SUBSTITUTE(IFERROR(INDEX(_group_[],MATCH(CONCATENATE(_SCHEDULE_[[#This Row],[CONTEST_CODE]],"_",$S$2),_group_[ИД2],0),MATCH($S$1,_group_[#Headers],0)),"---"),".",",")</f>
        <v>BANK</v>
      </c>
      <c r="T107" s="41" t="str">
        <f>SUBSTITUTE(IFERROR(INDEX(_group_[],MATCH(CONCATENATE(_SCHEDULE_[[#This Row],[CONTEST_CODE]],"_",$T$2),_group_[ИД2],0),MATCH($T$1,_group_[#Headers],0)),"---"),".",",")</f>
        <v>TB</v>
      </c>
      <c r="U107" s="41" t="str">
        <f>SUBSTITUTE(IFERROR(INDEX(_group_[],MATCH(CONCATENATE(_SCHEDULE_[[#This Row],[CONTEST_CODE]],"_",$U$2),_group_[ИД2],0),MATCH($U$1,_group_[#Headers],0)),"---"),".",",")</f>
        <v>---</v>
      </c>
      <c r="V107" s="41" t="str">
        <f>SUBSTITUTE(IFERROR(INDEX(_group_[],MATCH(CONCATENATE(_SCHEDULE_[[#This Row],[CONTEST_CODE]],"_",$V$2),_group_[ИД2],0),MATCH($V$1,_group_[#Headers],0)),"---"),".",",")</f>
        <v>---</v>
      </c>
      <c r="W107" s="41" t="str">
        <f>IFERROR(INDEX(_INDICATOR_[],MATCH(_SCHEDULE_[[#This Row],[CONTEST_CODE]],_INDICATOR_[CONTEST_CODE],0),MATCH($W$2,_INDICATOR_[#Headers],0)),"-")</f>
        <v>WAIT</v>
      </c>
      <c r="X107" s="41" t="str">
        <f>IFERROR(INDEX(_group_[],MATCH(_SCHEDULE_[[#This Row],[CONTEST_CODE]],_group_[CONTEST_CODE],0),MATCH($X$2,_group_[#Headers],0)),"-")</f>
        <v>BANK</v>
      </c>
      <c r="Y107" s="61" t="str">
        <f>IFERROR(INDEX(_DATA_[],MATCH(_SCHEDULE_[[#This Row],[CONTEST_CODE]],_DATA_[CONTEST_CODE],0),MATCH($Y$2,_DATA_[#Headers],0)),"-")</f>
        <v>Пассивы. Максимизируй прирост остатка</v>
      </c>
      <c r="Z107" s="41" t="str">
        <f>IFERROR(INDEX(_reward_link_[],MATCH(_SCHEDULE_[[#This Row],[CONTEST_CODE]],_reward_link_[CONTEST_CODE],0),MATCH($Z$2,_reward_link_[#Headers],0)),"-")</f>
        <v>TB</v>
      </c>
      <c r="AA107" s="41" t="str">
        <f>IFERROR(INDEX(_report[],MATCH(_SCHEDULE_[[#This Row],[CONTEST_CODE]],_report[CONTEST_CODE],0),MATCH($AA$2,_report[#Headers],0)),"-")</f>
        <v>-</v>
      </c>
      <c r="AB107"/>
    </row>
    <row r="108" spans="1:28" hidden="1" x14ac:dyDescent="0.25">
      <c r="A108" s="14" t="s">
        <v>1208</v>
      </c>
      <c r="B108" s="14" t="s">
        <v>214</v>
      </c>
      <c r="C108" s="14" t="s">
        <v>1078</v>
      </c>
      <c r="D108" s="14" t="s">
        <v>1173</v>
      </c>
      <c r="E108" s="14" t="s">
        <v>1712</v>
      </c>
      <c r="F108" s="14" t="s">
        <v>703</v>
      </c>
      <c r="G108" s="14" t="s">
        <v>704</v>
      </c>
      <c r="H108" s="14" t="s">
        <v>194</v>
      </c>
      <c r="I108" s="14" t="s">
        <v>194</v>
      </c>
      <c r="J108" s="14" t="s">
        <v>194</v>
      </c>
      <c r="K108" s="14" t="s">
        <v>176</v>
      </c>
      <c r="L108" s="14" t="s">
        <v>8</v>
      </c>
      <c r="M108" s="14" t="s">
        <v>3599</v>
      </c>
      <c r="N108" s="14" t="s">
        <v>2</v>
      </c>
      <c r="O108" s="14" t="s">
        <v>1562</v>
      </c>
      <c r="P108" s="14" t="s">
        <v>1064</v>
      </c>
      <c r="R108" s="38">
        <f>IFERROR(COUNTIFS(_report[TOURNAMENT_CODE],_SCHEDULE_[[#This Row],[TOURNAMENT_CODE]],_report[CONTEST_CODE],_SCHEDULE_[[#This Row],[CONTEST_CODE]]),"-")</f>
        <v>0</v>
      </c>
      <c r="S108" s="41" t="str">
        <f>SUBSTITUTE(IFERROR(INDEX(_group_[],MATCH(CONCATENATE(_SCHEDULE_[[#This Row],[CONTEST_CODE]],"_",$S$2),_group_[ИД2],0),MATCH($S$1,_group_[#Headers],0)),"---"),".",",")</f>
        <v>BANK</v>
      </c>
      <c r="T108" s="41" t="str">
        <f>SUBSTITUTE(IFERROR(INDEX(_group_[],MATCH(CONCATENATE(_SCHEDULE_[[#This Row],[CONTEST_CODE]],"_",$T$2),_group_[ИД2],0),MATCH($T$1,_group_[#Headers],0)),"---"),".",",")</f>
        <v>TB</v>
      </c>
      <c r="U108" s="41" t="str">
        <f>SUBSTITUTE(IFERROR(INDEX(_group_[],MATCH(CONCATENATE(_SCHEDULE_[[#This Row],[CONTEST_CODE]],"_",$U$2),_group_[ИД2],0),MATCH($U$1,_group_[#Headers],0)),"---"),".",",")</f>
        <v>---</v>
      </c>
      <c r="V108" s="41" t="str">
        <f>SUBSTITUTE(IFERROR(INDEX(_group_[],MATCH(CONCATENATE(_SCHEDULE_[[#This Row],[CONTEST_CODE]],"_",$V$2),_group_[ИД2],0),MATCH($V$1,_group_[#Headers],0)),"---"),".",",")</f>
        <v>---</v>
      </c>
      <c r="W108" s="41" t="str">
        <f>IFERROR(INDEX(_INDICATOR_[],MATCH(_SCHEDULE_[[#This Row],[CONTEST_CODE]],_INDICATOR_[CONTEST_CODE],0),MATCH($W$2,_INDICATOR_[#Headers],0)),"-")</f>
        <v>WAIT</v>
      </c>
      <c r="X108" s="41" t="str">
        <f>IFERROR(INDEX(_group_[],MATCH(_SCHEDULE_[[#This Row],[CONTEST_CODE]],_group_[CONTEST_CODE],0),MATCH($X$2,_group_[#Headers],0)),"-")</f>
        <v>BANK</v>
      </c>
      <c r="Y108" s="61" t="str">
        <f>IFERROR(INDEX(_DATA_[],MATCH(_SCHEDULE_[[#This Row],[CONTEST_CODE]],_DATA_[CONTEST_CODE],0),MATCH($Y$2,_DATA_[#Headers],0)),"-")</f>
        <v>Пассивы. Максимизируй прирост остатка</v>
      </c>
      <c r="Z108" s="41" t="str">
        <f>IFERROR(INDEX(_reward_link_[],MATCH(_SCHEDULE_[[#This Row],[CONTEST_CODE]],_reward_link_[CONTEST_CODE],0),MATCH($Z$2,_reward_link_[#Headers],0)),"-")</f>
        <v>TB</v>
      </c>
      <c r="AA108" s="41" t="str">
        <f>IFERROR(INDEX(_report[],MATCH(_SCHEDULE_[[#This Row],[CONTEST_CODE]],_report[CONTEST_CODE],0),MATCH($AA$2,_report[#Headers],0)),"-")</f>
        <v>-</v>
      </c>
      <c r="AB108"/>
    </row>
    <row r="109" spans="1:28" hidden="1" x14ac:dyDescent="0.25">
      <c r="A109" s="14" t="s">
        <v>1281</v>
      </c>
      <c r="B109" s="14" t="s">
        <v>215</v>
      </c>
      <c r="C109" s="14" t="s">
        <v>1225</v>
      </c>
      <c r="D109" s="14" t="s">
        <v>1070</v>
      </c>
      <c r="E109" s="14" t="s">
        <v>1712</v>
      </c>
      <c r="F109" s="14" t="s">
        <v>1078</v>
      </c>
      <c r="G109" s="14" t="s">
        <v>1173</v>
      </c>
      <c r="H109" s="14" t="s">
        <v>194</v>
      </c>
      <c r="I109" s="14" t="s">
        <v>194</v>
      </c>
      <c r="J109" s="14" t="s">
        <v>194</v>
      </c>
      <c r="K109" s="14" t="s">
        <v>176</v>
      </c>
      <c r="L109" s="14" t="s">
        <v>8</v>
      </c>
      <c r="M109" s="14" t="s">
        <v>3599</v>
      </c>
      <c r="N109" s="14" t="s">
        <v>2</v>
      </c>
      <c r="O109" s="14" t="s">
        <v>1563</v>
      </c>
      <c r="P109" s="14" t="s">
        <v>1064</v>
      </c>
      <c r="R109" s="38">
        <f>IFERROR(COUNTIFS(_report[TOURNAMENT_CODE],_SCHEDULE_[[#This Row],[TOURNAMENT_CODE]],_report[CONTEST_CODE],_SCHEDULE_[[#This Row],[CONTEST_CODE]]),"-")</f>
        <v>0</v>
      </c>
      <c r="S109" s="41" t="str">
        <f>SUBSTITUTE(IFERROR(INDEX(_group_[],MATCH(CONCATENATE(_SCHEDULE_[[#This Row],[CONTEST_CODE]],"_",$S$2),_group_[ИД2],0),MATCH($S$1,_group_[#Headers],0)),"---"),".",",")</f>
        <v>BANK</v>
      </c>
      <c r="T109" s="41" t="str">
        <f>SUBSTITUTE(IFERROR(INDEX(_group_[],MATCH(CONCATENATE(_SCHEDULE_[[#This Row],[CONTEST_CODE]],"_",$T$2),_group_[ИД2],0),MATCH($T$1,_group_[#Headers],0)),"---"),".",",")</f>
        <v>TB</v>
      </c>
      <c r="U109" s="41" t="str">
        <f>SUBSTITUTE(IFERROR(INDEX(_group_[],MATCH(CONCATENATE(_SCHEDULE_[[#This Row],[CONTEST_CODE]],"_",$U$2),_group_[ИД2],0),MATCH($U$1,_group_[#Headers],0)),"---"),".",",")</f>
        <v>---</v>
      </c>
      <c r="V109" s="41" t="str">
        <f>SUBSTITUTE(IFERROR(INDEX(_group_[],MATCH(CONCATENATE(_SCHEDULE_[[#This Row],[CONTEST_CODE]],"_",$V$2),_group_[ИД2],0),MATCH($V$1,_group_[#Headers],0)),"---"),".",",")</f>
        <v>---</v>
      </c>
      <c r="W109" s="41" t="str">
        <f>IFERROR(INDEX(_INDICATOR_[],MATCH(_SCHEDULE_[[#This Row],[CONTEST_CODE]],_INDICATOR_[CONTEST_CODE],0),MATCH($W$2,_INDICATOR_[#Headers],0)),"-")</f>
        <v>WAIT</v>
      </c>
      <c r="X109" s="41" t="str">
        <f>IFERROR(INDEX(_group_[],MATCH(_SCHEDULE_[[#This Row],[CONTEST_CODE]],_group_[CONTEST_CODE],0),MATCH($X$2,_group_[#Headers],0)),"-")</f>
        <v>BANK</v>
      </c>
      <c r="Y109" s="61" t="str">
        <f>IFERROR(INDEX(_DATA_[],MATCH(_SCHEDULE_[[#This Row],[CONTEST_CODE]],_DATA_[CONTEST_CODE],0),MATCH($Y$2,_DATA_[#Headers],0)),"-")</f>
        <v>Пассивы. Максимизируй прирост остатка</v>
      </c>
      <c r="Z109" s="41" t="str">
        <f>IFERROR(INDEX(_reward_link_[],MATCH(_SCHEDULE_[[#This Row],[CONTEST_CODE]],_reward_link_[CONTEST_CODE],0),MATCH($Z$2,_reward_link_[#Headers],0)),"-")</f>
        <v>TB</v>
      </c>
      <c r="AA109" s="41" t="str">
        <f>IFERROR(INDEX(_report[],MATCH(_SCHEDULE_[[#This Row],[CONTEST_CODE]],_report[CONTEST_CODE],0),MATCH($AA$2,_report[#Headers],0)),"-")</f>
        <v>-</v>
      </c>
      <c r="AB109"/>
    </row>
    <row r="110" spans="1:28" hidden="1" x14ac:dyDescent="0.25">
      <c r="A110" s="14" t="s">
        <v>1647</v>
      </c>
      <c r="B110" s="14" t="s">
        <v>216</v>
      </c>
      <c r="C110" s="14" t="s">
        <v>1308</v>
      </c>
      <c r="D110" s="14" t="s">
        <v>1638</v>
      </c>
      <c r="E110" s="14" t="s">
        <v>1639</v>
      </c>
      <c r="F110" s="14" t="s">
        <v>1225</v>
      </c>
      <c r="G110" s="14" t="s">
        <v>1070</v>
      </c>
      <c r="H110" s="14" t="s">
        <v>194</v>
      </c>
      <c r="I110" s="14" t="s">
        <v>194</v>
      </c>
      <c r="J110" s="14" t="s">
        <v>194</v>
      </c>
      <c r="K110" s="14" t="s">
        <v>176</v>
      </c>
      <c r="L110" s="14" t="s">
        <v>8</v>
      </c>
      <c r="M110" s="14" t="s">
        <v>3599</v>
      </c>
      <c r="N110" s="14" t="s">
        <v>2</v>
      </c>
      <c r="O110" s="14" t="s">
        <v>1648</v>
      </c>
      <c r="P110" s="14" t="s">
        <v>1064</v>
      </c>
      <c r="R110" s="38">
        <f>IFERROR(COUNTIFS(_report[TOURNAMENT_CODE],_SCHEDULE_[[#This Row],[TOURNAMENT_CODE]],_report[CONTEST_CODE],_SCHEDULE_[[#This Row],[CONTEST_CODE]]),"-")</f>
        <v>0</v>
      </c>
      <c r="S110" s="41" t="str">
        <f>SUBSTITUTE(IFERROR(INDEX(_group_[],MATCH(CONCATENATE(_SCHEDULE_[[#This Row],[CONTEST_CODE]],"_",$S$2),_group_[ИД2],0),MATCH($S$1,_group_[#Headers],0)),"---"),".",",")</f>
        <v>BANK</v>
      </c>
      <c r="T110" s="41" t="str">
        <f>SUBSTITUTE(IFERROR(INDEX(_group_[],MATCH(CONCATENATE(_SCHEDULE_[[#This Row],[CONTEST_CODE]],"_",$T$2),_group_[ИД2],0),MATCH($T$1,_group_[#Headers],0)),"---"),".",",")</f>
        <v>TB</v>
      </c>
      <c r="U110" s="41" t="str">
        <f>SUBSTITUTE(IFERROR(INDEX(_group_[],MATCH(CONCATENATE(_SCHEDULE_[[#This Row],[CONTEST_CODE]],"_",$U$2),_group_[ИД2],0),MATCH($U$1,_group_[#Headers],0)),"---"),".",",")</f>
        <v>---</v>
      </c>
      <c r="V110" s="41" t="str">
        <f>SUBSTITUTE(IFERROR(INDEX(_group_[],MATCH(CONCATENATE(_SCHEDULE_[[#This Row],[CONTEST_CODE]],"_",$V$2),_group_[ИД2],0),MATCH($V$1,_group_[#Headers],0)),"---"),".",",")</f>
        <v>---</v>
      </c>
      <c r="W110" s="41" t="str">
        <f>IFERROR(INDEX(_INDICATOR_[],MATCH(_SCHEDULE_[[#This Row],[CONTEST_CODE]],_INDICATOR_[CONTEST_CODE],0),MATCH($W$2,_INDICATOR_[#Headers],0)),"-")</f>
        <v>WAIT</v>
      </c>
      <c r="X110" s="41" t="str">
        <f>IFERROR(INDEX(_group_[],MATCH(_SCHEDULE_[[#This Row],[CONTEST_CODE]],_group_[CONTEST_CODE],0),MATCH($X$2,_group_[#Headers],0)),"-")</f>
        <v>BANK</v>
      </c>
      <c r="Y110" s="61" t="str">
        <f>IFERROR(INDEX(_DATA_[],MATCH(_SCHEDULE_[[#This Row],[CONTEST_CODE]],_DATA_[CONTEST_CODE],0),MATCH($Y$2,_DATA_[#Headers],0)),"-")</f>
        <v>Пассивы. Максимизируй прирост остатка</v>
      </c>
      <c r="Z110" s="41" t="str">
        <f>IFERROR(INDEX(_reward_link_[],MATCH(_SCHEDULE_[[#This Row],[CONTEST_CODE]],_reward_link_[CONTEST_CODE],0),MATCH($Z$2,_reward_link_[#Headers],0)),"-")</f>
        <v>TB</v>
      </c>
      <c r="AA110" s="41" t="str">
        <f>IFERROR(INDEX(_report[],MATCH(_SCHEDULE_[[#This Row],[CONTEST_CODE]],_report[CONTEST_CODE],0),MATCH($AA$2,_report[#Headers],0)),"-")</f>
        <v>-</v>
      </c>
      <c r="AB110"/>
    </row>
    <row r="111" spans="1:28" hidden="1" x14ac:dyDescent="0.25">
      <c r="A111" s="14" t="s">
        <v>1810</v>
      </c>
      <c r="B111" s="14" t="s">
        <v>174</v>
      </c>
      <c r="C111" s="14" t="s">
        <v>1800</v>
      </c>
      <c r="D111" s="14" t="s">
        <v>1801</v>
      </c>
      <c r="E111" s="14" t="s">
        <v>1802</v>
      </c>
      <c r="F111" s="14" t="s">
        <v>1308</v>
      </c>
      <c r="G111" s="14" t="s">
        <v>1638</v>
      </c>
      <c r="H111" s="14" t="s">
        <v>194</v>
      </c>
      <c r="I111" s="14" t="s">
        <v>194</v>
      </c>
      <c r="J111" s="14" t="s">
        <v>194</v>
      </c>
      <c r="K111" s="14" t="s">
        <v>155</v>
      </c>
      <c r="L111" s="14" t="s">
        <v>8</v>
      </c>
      <c r="M111" s="14" t="s">
        <v>3599</v>
      </c>
      <c r="N111" s="14" t="s">
        <v>2</v>
      </c>
      <c r="O111" s="14" t="s">
        <v>1811</v>
      </c>
      <c r="P111" s="14" t="s">
        <v>1064</v>
      </c>
      <c r="R111" s="38">
        <f>IFERROR(COUNTIFS(_report[TOURNAMENT_CODE],_SCHEDULE_[[#This Row],[TOURNAMENT_CODE]],_report[CONTEST_CODE],_SCHEDULE_[[#This Row],[CONTEST_CODE]]),"-")</f>
        <v>0</v>
      </c>
      <c r="S111" s="41" t="str">
        <f>SUBSTITUTE(IFERROR(INDEX(_group_[],MATCH(CONCATENATE(_SCHEDULE_[[#This Row],[CONTEST_CODE]],"_",$S$2),_group_[ИД2],0),MATCH($S$1,_group_[#Headers],0)),"---"),".",",")</f>
        <v>BANK</v>
      </c>
      <c r="T111" s="41" t="str">
        <f>SUBSTITUTE(IFERROR(INDEX(_group_[],MATCH(CONCATENATE(_SCHEDULE_[[#This Row],[CONTEST_CODE]],"_",$T$2),_group_[ИД2],0),MATCH($T$1,_group_[#Headers],0)),"---"),".",",")</f>
        <v>TB</v>
      </c>
      <c r="U111" s="41" t="str">
        <f>SUBSTITUTE(IFERROR(INDEX(_group_[],MATCH(CONCATENATE(_SCHEDULE_[[#This Row],[CONTEST_CODE]],"_",$U$2),_group_[ИД2],0),MATCH($U$1,_group_[#Headers],0)),"---"),".",",")</f>
        <v>---</v>
      </c>
      <c r="V111" s="41" t="str">
        <f>SUBSTITUTE(IFERROR(INDEX(_group_[],MATCH(CONCATENATE(_SCHEDULE_[[#This Row],[CONTEST_CODE]],"_",$V$2),_group_[ИД2],0),MATCH($V$1,_group_[#Headers],0)),"---"),".",",")</f>
        <v>---</v>
      </c>
      <c r="W111" s="41" t="str">
        <f>IFERROR(INDEX(_INDICATOR_[],MATCH(_SCHEDULE_[[#This Row],[CONTEST_CODE]],_INDICATOR_[CONTEST_CODE],0),MATCH($W$2,_INDICATOR_[#Headers],0)),"-")</f>
        <v>WAIT</v>
      </c>
      <c r="X111" s="41" t="str">
        <f>IFERROR(INDEX(_group_[],MATCH(_SCHEDULE_[[#This Row],[CONTEST_CODE]],_group_[CONTEST_CODE],0),MATCH($X$2,_group_[#Headers],0)),"-")</f>
        <v>BANK</v>
      </c>
      <c r="Y111" s="61" t="str">
        <f>IFERROR(INDEX(_DATA_[],MATCH(_SCHEDULE_[[#This Row],[CONTEST_CODE]],_DATA_[CONTEST_CODE],0),MATCH($Y$2,_DATA_[#Headers],0)),"-")</f>
        <v>Пассивы. Максимизируй прирост остатка</v>
      </c>
      <c r="Z111" s="41" t="str">
        <f>IFERROR(INDEX(_reward_link_[],MATCH(_SCHEDULE_[[#This Row],[CONTEST_CODE]],_reward_link_[CONTEST_CODE],0),MATCH($Z$2,_reward_link_[#Headers],0)),"-")</f>
        <v>TB</v>
      </c>
      <c r="AA111" s="41" t="str">
        <f>IFERROR(INDEX(_report[],MATCH(_SCHEDULE_[[#This Row],[CONTEST_CODE]],_report[CONTEST_CODE],0),MATCH($AA$2,_report[#Headers],0)),"-")</f>
        <v>-</v>
      </c>
      <c r="AB111"/>
    </row>
    <row r="112" spans="1:28" hidden="1" x14ac:dyDescent="0.25">
      <c r="A112" s="14" t="s">
        <v>282</v>
      </c>
      <c r="B112" s="14" t="s">
        <v>146</v>
      </c>
      <c r="C112" s="14" t="s">
        <v>192</v>
      </c>
      <c r="D112" s="14" t="s">
        <v>1275</v>
      </c>
      <c r="E112" s="14" t="s">
        <v>1275</v>
      </c>
      <c r="F112" s="14" t="s">
        <v>194</v>
      </c>
      <c r="G112" s="14" t="s">
        <v>194</v>
      </c>
      <c r="H112" s="14" t="s">
        <v>194</v>
      </c>
      <c r="I112" s="14" t="s">
        <v>194</v>
      </c>
      <c r="J112" s="14" t="s">
        <v>194</v>
      </c>
      <c r="K112" s="14" t="s">
        <v>176</v>
      </c>
      <c r="L112" s="14" t="s">
        <v>97</v>
      </c>
      <c r="M112" s="14" t="s">
        <v>3599</v>
      </c>
      <c r="N112" s="14" t="s">
        <v>2</v>
      </c>
      <c r="O112" s="14" t="s">
        <v>1564</v>
      </c>
      <c r="P112" s="14" t="s">
        <v>1064</v>
      </c>
      <c r="R112" s="38">
        <f>IFERROR(COUNTIFS(_report[TOURNAMENT_CODE],_SCHEDULE_[[#This Row],[TOURNAMENT_CODE]],_report[CONTEST_CODE],_SCHEDULE_[[#This Row],[CONTEST_CODE]]),"-")</f>
        <v>0</v>
      </c>
      <c r="S112" s="41" t="str">
        <f>SUBSTITUTE(IFERROR(INDEX(_group_[],MATCH(CONCATENATE(_SCHEDULE_[[#This Row],[CONTEST_CODE]],"_",$S$2),_group_[ИД2],0),MATCH($S$1,_group_[#Headers],0)),"---"),".",",")</f>
        <v>BANK</v>
      </c>
      <c r="T112" s="41" t="str">
        <f>SUBSTITUTE(IFERROR(INDEX(_group_[],MATCH(CONCATENATE(_SCHEDULE_[[#This Row],[CONTEST_CODE]],"_",$T$2),_group_[ИД2],0),MATCH($T$1,_group_[#Headers],0)),"---"),".",",")</f>
        <v>---</v>
      </c>
      <c r="U112" s="41" t="str">
        <f>SUBSTITUTE(IFERROR(INDEX(_group_[],MATCH(CONCATENATE(_SCHEDULE_[[#This Row],[CONTEST_CODE]],"_",$U$2),_group_[ИД2],0),MATCH($U$1,_group_[#Headers],0)),"---"),".",",")</f>
        <v>---</v>
      </c>
      <c r="V112" s="41" t="str">
        <f>SUBSTITUTE(IFERROR(INDEX(_group_[],MATCH(CONCATENATE(_SCHEDULE_[[#This Row],[CONTEST_CODE]],"_",$V$2),_group_[ИД2],0),MATCH($V$1,_group_[#Headers],0)),"---"),".",",")</f>
        <v>---</v>
      </c>
      <c r="W112" s="41" t="str">
        <f>IFERROR(INDEX(_INDICATOR_[],MATCH(_SCHEDULE_[[#This Row],[CONTEST_CODE]],_INDICATOR_[CONTEST_CODE],0),MATCH($W$2,_INDICATOR_[#Headers],0)),"-")</f>
        <v>WAIT</v>
      </c>
      <c r="X112" s="41" t="str">
        <f>IFERROR(INDEX(_group_[],MATCH(_SCHEDULE_[[#This Row],[CONTEST_CODE]],_group_[CONTEST_CODE],0),MATCH($X$2,_group_[#Headers],0)),"-")</f>
        <v>BANK</v>
      </c>
      <c r="Y112" s="61" t="str">
        <f>IFERROR(INDEX(_DATA_[],MATCH(_SCHEDULE_[[#This Row],[CONTEST_CODE]],_DATA_[CONTEST_CODE],0),MATCH($Y$2,_DATA_[#Headers],0)),"-")</f>
        <v>Защита 360. Первая продажа</v>
      </c>
      <c r="Z112" s="41" t="str">
        <f>IFERROR(INDEX(_reward_link_[],MATCH(_SCHEDULE_[[#This Row],[CONTEST_CODE]],_reward_link_[CONTEST_CODE],0),MATCH($Z$2,_reward_link_[#Headers],0)),"-")</f>
        <v>BANK</v>
      </c>
      <c r="AA112" s="41" t="str">
        <f>IFERROR(INDEX(_report[],MATCH(_SCHEDULE_[[#This Row],[CONTEST_CODE]],_report[CONTEST_CODE],0),MATCH($AA$2,_report[#Headers],0)),"-")</f>
        <v>-</v>
      </c>
      <c r="AB112"/>
    </row>
    <row r="113" spans="1:28" hidden="1" x14ac:dyDescent="0.25">
      <c r="A113" s="14" t="s">
        <v>283</v>
      </c>
      <c r="B113" s="14" t="s">
        <v>186</v>
      </c>
      <c r="C113" s="14" t="s">
        <v>187</v>
      </c>
      <c r="D113" s="14" t="s">
        <v>188</v>
      </c>
      <c r="E113" s="14" t="s">
        <v>188</v>
      </c>
      <c r="F113" s="14" t="s">
        <v>239</v>
      </c>
      <c r="G113" s="14" t="s">
        <v>240</v>
      </c>
      <c r="H113" s="14" t="s">
        <v>194</v>
      </c>
      <c r="I113" s="14" t="s">
        <v>194</v>
      </c>
      <c r="J113" s="14" t="s">
        <v>194</v>
      </c>
      <c r="K113" s="14" t="s">
        <v>176</v>
      </c>
      <c r="L113" s="14" t="s">
        <v>99</v>
      </c>
      <c r="M113" s="14" t="s">
        <v>3599</v>
      </c>
      <c r="N113" s="14" t="s">
        <v>2</v>
      </c>
      <c r="O113" s="14" t="s">
        <v>1565</v>
      </c>
      <c r="P113" s="14" t="s">
        <v>1064</v>
      </c>
      <c r="R113" s="38">
        <f>IFERROR(COUNTIFS(_report[TOURNAMENT_CODE],_SCHEDULE_[[#This Row],[TOURNAMENT_CODE]],_report[CONTEST_CODE],_SCHEDULE_[[#This Row],[CONTEST_CODE]]),"-")</f>
        <v>0</v>
      </c>
      <c r="S113" s="41" t="str">
        <f>SUBSTITUTE(IFERROR(INDEX(_group_[],MATCH(CONCATENATE(_SCHEDULE_[[#This Row],[CONTEST_CODE]],"_",$S$2),_group_[ИД2],0),MATCH($S$1,_group_[#Headers],0)),"---"),".",",")</f>
        <v>BANK</v>
      </c>
      <c r="T113" s="41" t="str">
        <f>SUBSTITUTE(IFERROR(INDEX(_group_[],MATCH(CONCATENATE(_SCHEDULE_[[#This Row],[CONTEST_CODE]],"_",$T$2),_group_[ИД2],0),MATCH($T$1,_group_[#Headers],0)),"---"),".",",")</f>
        <v>TB</v>
      </c>
      <c r="U113" s="41" t="str">
        <f>SUBSTITUTE(IFERROR(INDEX(_group_[],MATCH(CONCATENATE(_SCHEDULE_[[#This Row],[CONTEST_CODE]],"_",$U$2),_group_[ИД2],0),MATCH($U$1,_group_[#Headers],0)),"---"),".",",")</f>
        <v>---</v>
      </c>
      <c r="V113" s="41" t="str">
        <f>SUBSTITUTE(IFERROR(INDEX(_group_[],MATCH(CONCATENATE(_SCHEDULE_[[#This Row],[CONTEST_CODE]],"_",$V$2),_group_[ИД2],0),MATCH($V$1,_group_[#Headers],0)),"---"),".",",")</f>
        <v>---</v>
      </c>
      <c r="W113" s="41" t="str">
        <f>IFERROR(INDEX(_INDICATOR_[],MATCH(_SCHEDULE_[[#This Row],[CONTEST_CODE]],_INDICATOR_[CONTEST_CODE],0),MATCH($W$2,_INDICATOR_[#Headers],0)),"-")</f>
        <v>WAIT</v>
      </c>
      <c r="X113" s="41" t="str">
        <f>IFERROR(INDEX(_group_[],MATCH(_SCHEDULE_[[#This Row],[CONTEST_CODE]],_group_[CONTEST_CODE],0),MATCH($X$2,_group_[#Headers],0)),"-")</f>
        <v>BANK</v>
      </c>
      <c r="Y113" s="61" t="str">
        <f>IFERROR(INDEX(_DATA_[],MATCH(_SCHEDULE_[[#This Row],[CONTEST_CODE]],_DATA_[CONTEST_CODE],0),MATCH($Y$2,_DATA_[#Headers],0)),"-")</f>
        <v>Страхование. Рыночные продажи</v>
      </c>
      <c r="Z113" s="41" t="str">
        <f>IFERROR(INDEX(_reward_link_[],MATCH(_SCHEDULE_[[#This Row],[CONTEST_CODE]],_reward_link_[CONTEST_CODE],0),MATCH($Z$2,_reward_link_[#Headers],0)),"-")</f>
        <v>TB</v>
      </c>
      <c r="AA113" s="41" t="str">
        <f>IFERROR(INDEX(_report[],MATCH(_SCHEDULE_[[#This Row],[CONTEST_CODE]],_report[CONTEST_CODE],0),MATCH($AA$2,_report[#Headers],0)),"-")</f>
        <v>-</v>
      </c>
      <c r="AB113"/>
    </row>
    <row r="114" spans="1:28" hidden="1" x14ac:dyDescent="0.25">
      <c r="A114" s="14" t="s">
        <v>284</v>
      </c>
      <c r="B114" s="14" t="s">
        <v>191</v>
      </c>
      <c r="C114" s="14" t="s">
        <v>192</v>
      </c>
      <c r="D114" s="14" t="s">
        <v>193</v>
      </c>
      <c r="E114" s="14" t="s">
        <v>195</v>
      </c>
      <c r="F114" s="14" t="s">
        <v>187</v>
      </c>
      <c r="G114" s="14" t="s">
        <v>188</v>
      </c>
      <c r="H114" s="14" t="s">
        <v>194</v>
      </c>
      <c r="I114" s="14" t="s">
        <v>194</v>
      </c>
      <c r="J114" s="14" t="s">
        <v>194</v>
      </c>
      <c r="K114" s="14" t="s">
        <v>176</v>
      </c>
      <c r="L114" s="14" t="s">
        <v>99</v>
      </c>
      <c r="M114" s="14" t="s">
        <v>3599</v>
      </c>
      <c r="N114" s="14" t="s">
        <v>2</v>
      </c>
      <c r="O114" s="14" t="s">
        <v>1566</v>
      </c>
      <c r="P114" s="14" t="s">
        <v>1064</v>
      </c>
      <c r="R114" s="38">
        <f>IFERROR(COUNTIFS(_report[TOURNAMENT_CODE],_SCHEDULE_[[#This Row],[TOURNAMENT_CODE]],_report[CONTEST_CODE],_SCHEDULE_[[#This Row],[CONTEST_CODE]]),"-")</f>
        <v>0</v>
      </c>
      <c r="S114" s="41" t="str">
        <f>SUBSTITUTE(IFERROR(INDEX(_group_[],MATCH(CONCATENATE(_SCHEDULE_[[#This Row],[CONTEST_CODE]],"_",$S$2),_group_[ИД2],0),MATCH($S$1,_group_[#Headers],0)),"---"),".",",")</f>
        <v>BANK</v>
      </c>
      <c r="T114" s="41" t="str">
        <f>SUBSTITUTE(IFERROR(INDEX(_group_[],MATCH(CONCATENATE(_SCHEDULE_[[#This Row],[CONTEST_CODE]],"_",$T$2),_group_[ИД2],0),MATCH($T$1,_group_[#Headers],0)),"---"),".",",")</f>
        <v>TB</v>
      </c>
      <c r="U114" s="41" t="str">
        <f>SUBSTITUTE(IFERROR(INDEX(_group_[],MATCH(CONCATENATE(_SCHEDULE_[[#This Row],[CONTEST_CODE]],"_",$U$2),_group_[ИД2],0),MATCH($U$1,_group_[#Headers],0)),"---"),".",",")</f>
        <v>---</v>
      </c>
      <c r="V114" s="41" t="str">
        <f>SUBSTITUTE(IFERROR(INDEX(_group_[],MATCH(CONCATENATE(_SCHEDULE_[[#This Row],[CONTEST_CODE]],"_",$V$2),_group_[ИД2],0),MATCH($V$1,_group_[#Headers],0)),"---"),".",",")</f>
        <v>---</v>
      </c>
      <c r="W114" s="41" t="str">
        <f>IFERROR(INDEX(_INDICATOR_[],MATCH(_SCHEDULE_[[#This Row],[CONTEST_CODE]],_INDICATOR_[CONTEST_CODE],0),MATCH($W$2,_INDICATOR_[#Headers],0)),"-")</f>
        <v>WAIT</v>
      </c>
      <c r="X114" s="41" t="str">
        <f>IFERROR(INDEX(_group_[],MATCH(_SCHEDULE_[[#This Row],[CONTEST_CODE]],_group_[CONTEST_CODE],0),MATCH($X$2,_group_[#Headers],0)),"-")</f>
        <v>BANK</v>
      </c>
      <c r="Y114" s="61" t="str">
        <f>IFERROR(INDEX(_DATA_[],MATCH(_SCHEDULE_[[#This Row],[CONTEST_CODE]],_DATA_[CONTEST_CODE],0),MATCH($Y$2,_DATA_[#Headers],0)),"-")</f>
        <v>Страхование. Рыночные продажи</v>
      </c>
      <c r="Z114" s="41" t="str">
        <f>IFERROR(INDEX(_reward_link_[],MATCH(_SCHEDULE_[[#This Row],[CONTEST_CODE]],_reward_link_[CONTEST_CODE],0),MATCH($Z$2,_reward_link_[#Headers],0)),"-")</f>
        <v>TB</v>
      </c>
      <c r="AA114" s="41" t="str">
        <f>IFERROR(INDEX(_report[],MATCH(_SCHEDULE_[[#This Row],[CONTEST_CODE]],_report[CONTEST_CODE],0),MATCH($AA$2,_report[#Headers],0)),"-")</f>
        <v>-</v>
      </c>
      <c r="AB114"/>
    </row>
    <row r="115" spans="1:28" hidden="1" x14ac:dyDescent="0.25">
      <c r="A115" s="14" t="s">
        <v>637</v>
      </c>
      <c r="B115" s="14" t="s">
        <v>209</v>
      </c>
      <c r="C115" s="14" t="s">
        <v>245</v>
      </c>
      <c r="D115" s="14" t="s">
        <v>246</v>
      </c>
      <c r="E115" s="14" t="s">
        <v>247</v>
      </c>
      <c r="F115" s="14" t="s">
        <v>192</v>
      </c>
      <c r="G115" s="14" t="s">
        <v>193</v>
      </c>
      <c r="H115" s="14" t="s">
        <v>194</v>
      </c>
      <c r="I115" s="14" t="s">
        <v>194</v>
      </c>
      <c r="J115" s="14" t="s">
        <v>194</v>
      </c>
      <c r="K115" s="14" t="s">
        <v>176</v>
      </c>
      <c r="L115" s="14" t="s">
        <v>99</v>
      </c>
      <c r="M115" s="14" t="s">
        <v>3599</v>
      </c>
      <c r="N115" s="14" t="s">
        <v>2</v>
      </c>
      <c r="O115" s="14" t="s">
        <v>1567</v>
      </c>
      <c r="P115" s="14" t="s">
        <v>1064</v>
      </c>
      <c r="R115" s="38">
        <f>IFERROR(COUNTIFS(_report[TOURNAMENT_CODE],_SCHEDULE_[[#This Row],[TOURNAMENT_CODE]],_report[CONTEST_CODE],_SCHEDULE_[[#This Row],[CONTEST_CODE]]),"-")</f>
        <v>0</v>
      </c>
      <c r="S115" s="41" t="str">
        <f>SUBSTITUTE(IFERROR(INDEX(_group_[],MATCH(CONCATENATE(_SCHEDULE_[[#This Row],[CONTEST_CODE]],"_",$S$2),_group_[ИД2],0),MATCH($S$1,_group_[#Headers],0)),"---"),".",",")</f>
        <v>BANK</v>
      </c>
      <c r="T115" s="41" t="str">
        <f>SUBSTITUTE(IFERROR(INDEX(_group_[],MATCH(CONCATENATE(_SCHEDULE_[[#This Row],[CONTEST_CODE]],"_",$T$2),_group_[ИД2],0),MATCH($T$1,_group_[#Headers],0)),"---"),".",",")</f>
        <v>TB</v>
      </c>
      <c r="U115" s="41" t="str">
        <f>SUBSTITUTE(IFERROR(INDEX(_group_[],MATCH(CONCATENATE(_SCHEDULE_[[#This Row],[CONTEST_CODE]],"_",$U$2),_group_[ИД2],0),MATCH($U$1,_group_[#Headers],0)),"---"),".",",")</f>
        <v>---</v>
      </c>
      <c r="V115" s="41" t="str">
        <f>SUBSTITUTE(IFERROR(INDEX(_group_[],MATCH(CONCATENATE(_SCHEDULE_[[#This Row],[CONTEST_CODE]],"_",$V$2),_group_[ИД2],0),MATCH($V$1,_group_[#Headers],0)),"---"),".",",")</f>
        <v>---</v>
      </c>
      <c r="W115" s="41" t="str">
        <f>IFERROR(INDEX(_INDICATOR_[],MATCH(_SCHEDULE_[[#This Row],[CONTEST_CODE]],_INDICATOR_[CONTEST_CODE],0),MATCH($W$2,_INDICATOR_[#Headers],0)),"-")</f>
        <v>WAIT</v>
      </c>
      <c r="X115" s="41" t="str">
        <f>IFERROR(INDEX(_group_[],MATCH(_SCHEDULE_[[#This Row],[CONTEST_CODE]],_group_[CONTEST_CODE],0),MATCH($X$2,_group_[#Headers],0)),"-")</f>
        <v>BANK</v>
      </c>
      <c r="Y115" s="61" t="str">
        <f>IFERROR(INDEX(_DATA_[],MATCH(_SCHEDULE_[[#This Row],[CONTEST_CODE]],_DATA_[CONTEST_CODE],0),MATCH($Y$2,_DATA_[#Headers],0)),"-")</f>
        <v>Страхование. Рыночные продажи</v>
      </c>
      <c r="Z115" s="41" t="str">
        <f>IFERROR(INDEX(_reward_link_[],MATCH(_SCHEDULE_[[#This Row],[CONTEST_CODE]],_reward_link_[CONTEST_CODE],0),MATCH($Z$2,_reward_link_[#Headers],0)),"-")</f>
        <v>TB</v>
      </c>
      <c r="AA115" s="41" t="str">
        <f>IFERROR(INDEX(_report[],MATCH(_SCHEDULE_[[#This Row],[CONTEST_CODE]],_report[CONTEST_CODE],0),MATCH($AA$2,_report[#Headers],0)),"-")</f>
        <v>-</v>
      </c>
      <c r="AB115"/>
    </row>
    <row r="116" spans="1:28" hidden="1" x14ac:dyDescent="0.25">
      <c r="A116" s="14" t="s">
        <v>699</v>
      </c>
      <c r="B116" s="14" t="s">
        <v>210</v>
      </c>
      <c r="C116" s="14" t="s">
        <v>695</v>
      </c>
      <c r="D116" s="14" t="s">
        <v>252</v>
      </c>
      <c r="E116" s="14" t="s">
        <v>1067</v>
      </c>
      <c r="F116" s="14" t="s">
        <v>245</v>
      </c>
      <c r="G116" s="14" t="s">
        <v>246</v>
      </c>
      <c r="H116" s="14" t="s">
        <v>194</v>
      </c>
      <c r="I116" s="14" t="s">
        <v>194</v>
      </c>
      <c r="J116" s="14" t="s">
        <v>194</v>
      </c>
      <c r="K116" s="14" t="s">
        <v>176</v>
      </c>
      <c r="L116" s="14" t="s">
        <v>99</v>
      </c>
      <c r="M116" s="14" t="s">
        <v>3599</v>
      </c>
      <c r="N116" s="14" t="s">
        <v>2</v>
      </c>
      <c r="O116" s="14" t="s">
        <v>1568</v>
      </c>
      <c r="P116" s="14" t="s">
        <v>1064</v>
      </c>
      <c r="R116" s="38">
        <f>IFERROR(COUNTIFS(_report[TOURNAMENT_CODE],_SCHEDULE_[[#This Row],[TOURNAMENT_CODE]],_report[CONTEST_CODE],_SCHEDULE_[[#This Row],[CONTEST_CODE]]),"-")</f>
        <v>0</v>
      </c>
      <c r="S116" s="41" t="str">
        <f>SUBSTITUTE(IFERROR(INDEX(_group_[],MATCH(CONCATENATE(_SCHEDULE_[[#This Row],[CONTEST_CODE]],"_",$S$2),_group_[ИД2],0),MATCH($S$1,_group_[#Headers],0)),"---"),".",",")</f>
        <v>BANK</v>
      </c>
      <c r="T116" s="41" t="str">
        <f>SUBSTITUTE(IFERROR(INDEX(_group_[],MATCH(CONCATENATE(_SCHEDULE_[[#This Row],[CONTEST_CODE]],"_",$T$2),_group_[ИД2],0),MATCH($T$1,_group_[#Headers],0)),"---"),".",",")</f>
        <v>TB</v>
      </c>
      <c r="U116" s="41" t="str">
        <f>SUBSTITUTE(IFERROR(INDEX(_group_[],MATCH(CONCATENATE(_SCHEDULE_[[#This Row],[CONTEST_CODE]],"_",$U$2),_group_[ИД2],0),MATCH($U$1,_group_[#Headers],0)),"---"),".",",")</f>
        <v>---</v>
      </c>
      <c r="V116" s="41" t="str">
        <f>SUBSTITUTE(IFERROR(INDEX(_group_[],MATCH(CONCATENATE(_SCHEDULE_[[#This Row],[CONTEST_CODE]],"_",$V$2),_group_[ИД2],0),MATCH($V$1,_group_[#Headers],0)),"---"),".",",")</f>
        <v>---</v>
      </c>
      <c r="W116" s="41" t="str">
        <f>IFERROR(INDEX(_INDICATOR_[],MATCH(_SCHEDULE_[[#This Row],[CONTEST_CODE]],_INDICATOR_[CONTEST_CODE],0),MATCH($W$2,_INDICATOR_[#Headers],0)),"-")</f>
        <v>WAIT</v>
      </c>
      <c r="X116" s="41" t="str">
        <f>IFERROR(INDEX(_group_[],MATCH(_SCHEDULE_[[#This Row],[CONTEST_CODE]],_group_[CONTEST_CODE],0),MATCH($X$2,_group_[#Headers],0)),"-")</f>
        <v>BANK</v>
      </c>
      <c r="Y116" s="61" t="str">
        <f>IFERROR(INDEX(_DATA_[],MATCH(_SCHEDULE_[[#This Row],[CONTEST_CODE]],_DATA_[CONTEST_CODE],0),MATCH($Y$2,_DATA_[#Headers],0)),"-")</f>
        <v>Страхование. Рыночные продажи</v>
      </c>
      <c r="Z116" s="41" t="str">
        <f>IFERROR(INDEX(_reward_link_[],MATCH(_SCHEDULE_[[#This Row],[CONTEST_CODE]],_reward_link_[CONTEST_CODE],0),MATCH($Z$2,_reward_link_[#Headers],0)),"-")</f>
        <v>TB</v>
      </c>
      <c r="AA116" s="41" t="str">
        <f>IFERROR(INDEX(_report[],MATCH(_SCHEDULE_[[#This Row],[CONTEST_CODE]],_report[CONTEST_CODE],0),MATCH($AA$2,_report[#Headers],0)),"-")</f>
        <v>-</v>
      </c>
      <c r="AB116"/>
    </row>
    <row r="117" spans="1:28" hidden="1" x14ac:dyDescent="0.25">
      <c r="A117" s="14" t="s">
        <v>1072</v>
      </c>
      <c r="B117" s="14" t="s">
        <v>213</v>
      </c>
      <c r="C117" s="14" t="s">
        <v>703</v>
      </c>
      <c r="D117" s="14" t="s">
        <v>704</v>
      </c>
      <c r="E117" s="14" t="s">
        <v>1259</v>
      </c>
      <c r="F117" s="14" t="s">
        <v>695</v>
      </c>
      <c r="G117" s="14" t="s">
        <v>252</v>
      </c>
      <c r="H117" s="14" t="s">
        <v>194</v>
      </c>
      <c r="I117" s="14" t="s">
        <v>194</v>
      </c>
      <c r="J117" s="14" t="s">
        <v>194</v>
      </c>
      <c r="K117" s="14" t="s">
        <v>176</v>
      </c>
      <c r="L117" s="14" t="s">
        <v>99</v>
      </c>
      <c r="M117" s="14" t="s">
        <v>3599</v>
      </c>
      <c r="N117" s="14" t="s">
        <v>2</v>
      </c>
      <c r="O117" s="14" t="s">
        <v>1569</v>
      </c>
      <c r="P117" s="14" t="s">
        <v>1064</v>
      </c>
      <c r="R117" s="38">
        <f>IFERROR(COUNTIFS(_report[TOURNAMENT_CODE],_SCHEDULE_[[#This Row],[TOURNAMENT_CODE]],_report[CONTEST_CODE],_SCHEDULE_[[#This Row],[CONTEST_CODE]]),"-")</f>
        <v>0</v>
      </c>
      <c r="S117" s="41" t="str">
        <f>SUBSTITUTE(IFERROR(INDEX(_group_[],MATCH(CONCATENATE(_SCHEDULE_[[#This Row],[CONTEST_CODE]],"_",$S$2),_group_[ИД2],0),MATCH($S$1,_group_[#Headers],0)),"---"),".",",")</f>
        <v>BANK</v>
      </c>
      <c r="T117" s="41" t="str">
        <f>SUBSTITUTE(IFERROR(INDEX(_group_[],MATCH(CONCATENATE(_SCHEDULE_[[#This Row],[CONTEST_CODE]],"_",$T$2),_group_[ИД2],0),MATCH($T$1,_group_[#Headers],0)),"---"),".",",")</f>
        <v>TB</v>
      </c>
      <c r="U117" s="41" t="str">
        <f>SUBSTITUTE(IFERROR(INDEX(_group_[],MATCH(CONCATENATE(_SCHEDULE_[[#This Row],[CONTEST_CODE]],"_",$U$2),_group_[ИД2],0),MATCH($U$1,_group_[#Headers],0)),"---"),".",",")</f>
        <v>---</v>
      </c>
      <c r="V117" s="41" t="str">
        <f>SUBSTITUTE(IFERROR(INDEX(_group_[],MATCH(CONCATENATE(_SCHEDULE_[[#This Row],[CONTEST_CODE]],"_",$V$2),_group_[ИД2],0),MATCH($V$1,_group_[#Headers],0)),"---"),".",",")</f>
        <v>---</v>
      </c>
      <c r="W117" s="41" t="str">
        <f>IFERROR(INDEX(_INDICATOR_[],MATCH(_SCHEDULE_[[#This Row],[CONTEST_CODE]],_INDICATOR_[CONTEST_CODE],0),MATCH($W$2,_INDICATOR_[#Headers],0)),"-")</f>
        <v>WAIT</v>
      </c>
      <c r="X117" s="41" t="str">
        <f>IFERROR(INDEX(_group_[],MATCH(_SCHEDULE_[[#This Row],[CONTEST_CODE]],_group_[CONTEST_CODE],0),MATCH($X$2,_group_[#Headers],0)),"-")</f>
        <v>BANK</v>
      </c>
      <c r="Y117" s="61" t="str">
        <f>IFERROR(INDEX(_DATA_[],MATCH(_SCHEDULE_[[#This Row],[CONTEST_CODE]],_DATA_[CONTEST_CODE],0),MATCH($Y$2,_DATA_[#Headers],0)),"-")</f>
        <v>Страхование. Рыночные продажи</v>
      </c>
      <c r="Z117" s="41" t="str">
        <f>IFERROR(INDEX(_reward_link_[],MATCH(_SCHEDULE_[[#This Row],[CONTEST_CODE]],_reward_link_[CONTEST_CODE],0),MATCH($Z$2,_reward_link_[#Headers],0)),"-")</f>
        <v>TB</v>
      </c>
      <c r="AA117" s="41" t="str">
        <f>IFERROR(INDEX(_report[],MATCH(_SCHEDULE_[[#This Row],[CONTEST_CODE]],_report[CONTEST_CODE],0),MATCH($AA$2,_report[#Headers],0)),"-")</f>
        <v>-</v>
      </c>
      <c r="AB117"/>
    </row>
    <row r="118" spans="1:28" hidden="1" x14ac:dyDescent="0.25">
      <c r="A118" s="14" t="s">
        <v>1209</v>
      </c>
      <c r="B118" s="14" t="s">
        <v>214</v>
      </c>
      <c r="C118" s="14" t="s">
        <v>1078</v>
      </c>
      <c r="D118" s="14" t="s">
        <v>1173</v>
      </c>
      <c r="E118" s="14" t="s">
        <v>1711</v>
      </c>
      <c r="F118" s="14" t="s">
        <v>703</v>
      </c>
      <c r="G118" s="14" t="s">
        <v>704</v>
      </c>
      <c r="H118" s="14" t="s">
        <v>194</v>
      </c>
      <c r="I118" s="14" t="s">
        <v>194</v>
      </c>
      <c r="J118" s="14" t="s">
        <v>194</v>
      </c>
      <c r="K118" s="14" t="s">
        <v>176</v>
      </c>
      <c r="L118" s="14" t="s">
        <v>99</v>
      </c>
      <c r="M118" s="14" t="s">
        <v>3599</v>
      </c>
      <c r="N118" s="14" t="s">
        <v>2</v>
      </c>
      <c r="O118" s="14" t="s">
        <v>1570</v>
      </c>
      <c r="P118" s="14" t="s">
        <v>1064</v>
      </c>
      <c r="R118" s="38">
        <f>IFERROR(COUNTIFS(_report[TOURNAMENT_CODE],_SCHEDULE_[[#This Row],[TOURNAMENT_CODE]],_report[CONTEST_CODE],_SCHEDULE_[[#This Row],[CONTEST_CODE]]),"-")</f>
        <v>0</v>
      </c>
      <c r="S118" s="41" t="str">
        <f>SUBSTITUTE(IFERROR(INDEX(_group_[],MATCH(CONCATENATE(_SCHEDULE_[[#This Row],[CONTEST_CODE]],"_",$S$2),_group_[ИД2],0),MATCH($S$1,_group_[#Headers],0)),"---"),".",",")</f>
        <v>BANK</v>
      </c>
      <c r="T118" s="41" t="str">
        <f>SUBSTITUTE(IFERROR(INDEX(_group_[],MATCH(CONCATENATE(_SCHEDULE_[[#This Row],[CONTEST_CODE]],"_",$T$2),_group_[ИД2],0),MATCH($T$1,_group_[#Headers],0)),"---"),".",",")</f>
        <v>TB</v>
      </c>
      <c r="U118" s="41" t="str">
        <f>SUBSTITUTE(IFERROR(INDEX(_group_[],MATCH(CONCATENATE(_SCHEDULE_[[#This Row],[CONTEST_CODE]],"_",$U$2),_group_[ИД2],0),MATCH($U$1,_group_[#Headers],0)),"---"),".",",")</f>
        <v>---</v>
      </c>
      <c r="V118" s="41" t="str">
        <f>SUBSTITUTE(IFERROR(INDEX(_group_[],MATCH(CONCATENATE(_SCHEDULE_[[#This Row],[CONTEST_CODE]],"_",$V$2),_group_[ИД2],0),MATCH($V$1,_group_[#Headers],0)),"---"),".",",")</f>
        <v>---</v>
      </c>
      <c r="W118" s="41" t="str">
        <f>IFERROR(INDEX(_INDICATOR_[],MATCH(_SCHEDULE_[[#This Row],[CONTEST_CODE]],_INDICATOR_[CONTEST_CODE],0),MATCH($W$2,_INDICATOR_[#Headers],0)),"-")</f>
        <v>WAIT</v>
      </c>
      <c r="X118" s="41" t="str">
        <f>IFERROR(INDEX(_group_[],MATCH(_SCHEDULE_[[#This Row],[CONTEST_CODE]],_group_[CONTEST_CODE],0),MATCH($X$2,_group_[#Headers],0)),"-")</f>
        <v>BANK</v>
      </c>
      <c r="Y118" s="61" t="str">
        <f>IFERROR(INDEX(_DATA_[],MATCH(_SCHEDULE_[[#This Row],[CONTEST_CODE]],_DATA_[CONTEST_CODE],0),MATCH($Y$2,_DATA_[#Headers],0)),"-")</f>
        <v>Страхование. Рыночные продажи</v>
      </c>
      <c r="Z118" s="41" t="str">
        <f>IFERROR(INDEX(_reward_link_[],MATCH(_SCHEDULE_[[#This Row],[CONTEST_CODE]],_reward_link_[CONTEST_CODE],0),MATCH($Z$2,_reward_link_[#Headers],0)),"-")</f>
        <v>TB</v>
      </c>
      <c r="AA118" s="41" t="str">
        <f>IFERROR(INDEX(_report[],MATCH(_SCHEDULE_[[#This Row],[CONTEST_CODE]],_report[CONTEST_CODE],0),MATCH($AA$2,_report[#Headers],0)),"-")</f>
        <v>-</v>
      </c>
      <c r="AB118"/>
    </row>
    <row r="119" spans="1:28" hidden="1" x14ac:dyDescent="0.25">
      <c r="A119" s="14" t="s">
        <v>1282</v>
      </c>
      <c r="B119" s="14" t="s">
        <v>215</v>
      </c>
      <c r="C119" s="14" t="s">
        <v>1225</v>
      </c>
      <c r="D119" s="14" t="s">
        <v>1070</v>
      </c>
      <c r="E119" s="14" t="s">
        <v>1711</v>
      </c>
      <c r="F119" s="14" t="s">
        <v>1078</v>
      </c>
      <c r="G119" s="14" t="s">
        <v>1173</v>
      </c>
      <c r="H119" s="14" t="s">
        <v>194</v>
      </c>
      <c r="I119" s="14" t="s">
        <v>194</v>
      </c>
      <c r="J119" s="14" t="s">
        <v>194</v>
      </c>
      <c r="K119" s="14" t="s">
        <v>176</v>
      </c>
      <c r="L119" s="14" t="s">
        <v>99</v>
      </c>
      <c r="M119" s="14" t="s">
        <v>3599</v>
      </c>
      <c r="N119" s="14" t="s">
        <v>2</v>
      </c>
      <c r="O119" s="14" t="s">
        <v>1571</v>
      </c>
      <c r="P119" s="14" t="s">
        <v>1064</v>
      </c>
      <c r="R119" s="38">
        <f>IFERROR(COUNTIFS(_report[TOURNAMENT_CODE],_SCHEDULE_[[#This Row],[TOURNAMENT_CODE]],_report[CONTEST_CODE],_SCHEDULE_[[#This Row],[CONTEST_CODE]]),"-")</f>
        <v>0</v>
      </c>
      <c r="S119" s="41" t="str">
        <f>SUBSTITUTE(IFERROR(INDEX(_group_[],MATCH(CONCATENATE(_SCHEDULE_[[#This Row],[CONTEST_CODE]],"_",$S$2),_group_[ИД2],0),MATCH($S$1,_group_[#Headers],0)),"---"),".",",")</f>
        <v>BANK</v>
      </c>
      <c r="T119" s="41" t="str">
        <f>SUBSTITUTE(IFERROR(INDEX(_group_[],MATCH(CONCATENATE(_SCHEDULE_[[#This Row],[CONTEST_CODE]],"_",$T$2),_group_[ИД2],0),MATCH($T$1,_group_[#Headers],0)),"---"),".",",")</f>
        <v>TB</v>
      </c>
      <c r="U119" s="41" t="str">
        <f>SUBSTITUTE(IFERROR(INDEX(_group_[],MATCH(CONCATENATE(_SCHEDULE_[[#This Row],[CONTEST_CODE]],"_",$U$2),_group_[ИД2],0),MATCH($U$1,_group_[#Headers],0)),"---"),".",",")</f>
        <v>---</v>
      </c>
      <c r="V119" s="41" t="str">
        <f>SUBSTITUTE(IFERROR(INDEX(_group_[],MATCH(CONCATENATE(_SCHEDULE_[[#This Row],[CONTEST_CODE]],"_",$V$2),_group_[ИД2],0),MATCH($V$1,_group_[#Headers],0)),"---"),".",",")</f>
        <v>---</v>
      </c>
      <c r="W119" s="41" t="str">
        <f>IFERROR(INDEX(_INDICATOR_[],MATCH(_SCHEDULE_[[#This Row],[CONTEST_CODE]],_INDICATOR_[CONTEST_CODE],0),MATCH($W$2,_INDICATOR_[#Headers],0)),"-")</f>
        <v>WAIT</v>
      </c>
      <c r="X119" s="41" t="str">
        <f>IFERROR(INDEX(_group_[],MATCH(_SCHEDULE_[[#This Row],[CONTEST_CODE]],_group_[CONTEST_CODE],0),MATCH($X$2,_group_[#Headers],0)),"-")</f>
        <v>BANK</v>
      </c>
      <c r="Y119" s="61" t="str">
        <f>IFERROR(INDEX(_DATA_[],MATCH(_SCHEDULE_[[#This Row],[CONTEST_CODE]],_DATA_[CONTEST_CODE],0),MATCH($Y$2,_DATA_[#Headers],0)),"-")</f>
        <v>Страхование. Рыночные продажи</v>
      </c>
      <c r="Z119" s="41" t="str">
        <f>IFERROR(INDEX(_reward_link_[],MATCH(_SCHEDULE_[[#This Row],[CONTEST_CODE]],_reward_link_[CONTEST_CODE],0),MATCH($Z$2,_reward_link_[#Headers],0)),"-")</f>
        <v>TB</v>
      </c>
      <c r="AA119" s="41" t="str">
        <f>IFERROR(INDEX(_report[],MATCH(_SCHEDULE_[[#This Row],[CONTEST_CODE]],_report[CONTEST_CODE],0),MATCH($AA$2,_report[#Headers],0)),"-")</f>
        <v>-</v>
      </c>
      <c r="AB119"/>
    </row>
    <row r="120" spans="1:28" hidden="1" x14ac:dyDescent="0.25">
      <c r="A120" s="14" t="s">
        <v>1649</v>
      </c>
      <c r="B120" s="14" t="s">
        <v>216</v>
      </c>
      <c r="C120" s="14" t="s">
        <v>1308</v>
      </c>
      <c r="D120" s="14" t="s">
        <v>1638</v>
      </c>
      <c r="E120" s="14" t="s">
        <v>1834</v>
      </c>
      <c r="F120" s="14" t="s">
        <v>1225</v>
      </c>
      <c r="G120" s="14" t="s">
        <v>1070</v>
      </c>
      <c r="H120" s="14" t="s">
        <v>194</v>
      </c>
      <c r="I120" s="14" t="s">
        <v>194</v>
      </c>
      <c r="J120" s="14" t="s">
        <v>194</v>
      </c>
      <c r="K120" s="14" t="s">
        <v>176</v>
      </c>
      <c r="L120" s="14" t="s">
        <v>99</v>
      </c>
      <c r="M120" s="14" t="s">
        <v>3599</v>
      </c>
      <c r="N120" s="14" t="s">
        <v>2</v>
      </c>
      <c r="O120" s="14" t="s">
        <v>1650</v>
      </c>
      <c r="P120" s="14" t="s">
        <v>1064</v>
      </c>
      <c r="R120" s="38">
        <f>IFERROR(COUNTIFS(_report[TOURNAMENT_CODE],_SCHEDULE_[[#This Row],[TOURNAMENT_CODE]],_report[CONTEST_CODE],_SCHEDULE_[[#This Row],[CONTEST_CODE]]),"-")</f>
        <v>0</v>
      </c>
      <c r="S120" s="41" t="str">
        <f>SUBSTITUTE(IFERROR(INDEX(_group_[],MATCH(CONCATENATE(_SCHEDULE_[[#This Row],[CONTEST_CODE]],"_",$S$2),_group_[ИД2],0),MATCH($S$1,_group_[#Headers],0)),"---"),".",",")</f>
        <v>BANK</v>
      </c>
      <c r="T120" s="41" t="str">
        <f>SUBSTITUTE(IFERROR(INDEX(_group_[],MATCH(CONCATENATE(_SCHEDULE_[[#This Row],[CONTEST_CODE]],"_",$T$2),_group_[ИД2],0),MATCH($T$1,_group_[#Headers],0)),"---"),".",",")</f>
        <v>TB</v>
      </c>
      <c r="U120" s="41" t="str">
        <f>SUBSTITUTE(IFERROR(INDEX(_group_[],MATCH(CONCATENATE(_SCHEDULE_[[#This Row],[CONTEST_CODE]],"_",$U$2),_group_[ИД2],0),MATCH($U$1,_group_[#Headers],0)),"---"),".",",")</f>
        <v>---</v>
      </c>
      <c r="V120" s="41" t="str">
        <f>SUBSTITUTE(IFERROR(INDEX(_group_[],MATCH(CONCATENATE(_SCHEDULE_[[#This Row],[CONTEST_CODE]],"_",$V$2),_group_[ИД2],0),MATCH($V$1,_group_[#Headers],0)),"---"),".",",")</f>
        <v>---</v>
      </c>
      <c r="W120" s="41" t="str">
        <f>IFERROR(INDEX(_INDICATOR_[],MATCH(_SCHEDULE_[[#This Row],[CONTEST_CODE]],_INDICATOR_[CONTEST_CODE],0),MATCH($W$2,_INDICATOR_[#Headers],0)),"-")</f>
        <v>WAIT</v>
      </c>
      <c r="X120" s="41" t="str">
        <f>IFERROR(INDEX(_group_[],MATCH(_SCHEDULE_[[#This Row],[CONTEST_CODE]],_group_[CONTEST_CODE],0),MATCH($X$2,_group_[#Headers],0)),"-")</f>
        <v>BANK</v>
      </c>
      <c r="Y120" s="61" t="str">
        <f>IFERROR(INDEX(_DATA_[],MATCH(_SCHEDULE_[[#This Row],[CONTEST_CODE]],_DATA_[CONTEST_CODE],0),MATCH($Y$2,_DATA_[#Headers],0)),"-")</f>
        <v>Страхование. Рыночные продажи</v>
      </c>
      <c r="Z120" s="41" t="str">
        <f>IFERROR(INDEX(_reward_link_[],MATCH(_SCHEDULE_[[#This Row],[CONTEST_CODE]],_reward_link_[CONTEST_CODE],0),MATCH($Z$2,_reward_link_[#Headers],0)),"-")</f>
        <v>TB</v>
      </c>
      <c r="AA120" s="41" t="str">
        <f>IFERROR(INDEX(_report[],MATCH(_SCHEDULE_[[#This Row],[CONTEST_CODE]],_report[CONTEST_CODE],0),MATCH($AA$2,_report[#Headers],0)),"-")</f>
        <v>-</v>
      </c>
      <c r="AB120"/>
    </row>
    <row r="121" spans="1:28" hidden="1" x14ac:dyDescent="0.25">
      <c r="A121" s="14" t="s">
        <v>1812</v>
      </c>
      <c r="B121" s="14" t="s">
        <v>174</v>
      </c>
      <c r="C121" s="14" t="s">
        <v>1800</v>
      </c>
      <c r="D121" s="14" t="s">
        <v>1801</v>
      </c>
      <c r="E121" s="14" t="s">
        <v>1802</v>
      </c>
      <c r="F121" s="14" t="s">
        <v>1308</v>
      </c>
      <c r="G121" s="14" t="s">
        <v>1638</v>
      </c>
      <c r="H121" s="14" t="s">
        <v>194</v>
      </c>
      <c r="I121" s="14" t="s">
        <v>194</v>
      </c>
      <c r="J121" s="14" t="s">
        <v>194</v>
      </c>
      <c r="K121" s="14" t="s">
        <v>155</v>
      </c>
      <c r="L121" s="14" t="s">
        <v>99</v>
      </c>
      <c r="M121" s="14" t="s">
        <v>3599</v>
      </c>
      <c r="N121" s="14" t="s">
        <v>2</v>
      </c>
      <c r="O121" s="14" t="s">
        <v>1813</v>
      </c>
      <c r="P121" s="14" t="s">
        <v>1064</v>
      </c>
      <c r="R121" s="38">
        <f>IFERROR(COUNTIFS(_report[TOURNAMENT_CODE],_SCHEDULE_[[#This Row],[TOURNAMENT_CODE]],_report[CONTEST_CODE],_SCHEDULE_[[#This Row],[CONTEST_CODE]]),"-")</f>
        <v>0</v>
      </c>
      <c r="S121" s="41" t="str">
        <f>SUBSTITUTE(IFERROR(INDEX(_group_[],MATCH(CONCATENATE(_SCHEDULE_[[#This Row],[CONTEST_CODE]],"_",$S$2),_group_[ИД2],0),MATCH($S$1,_group_[#Headers],0)),"---"),".",",")</f>
        <v>BANK</v>
      </c>
      <c r="T121" s="41" t="str">
        <f>SUBSTITUTE(IFERROR(INDEX(_group_[],MATCH(CONCATENATE(_SCHEDULE_[[#This Row],[CONTEST_CODE]],"_",$T$2),_group_[ИД2],0),MATCH($T$1,_group_[#Headers],0)),"---"),".",",")</f>
        <v>TB</v>
      </c>
      <c r="U121" s="41" t="str">
        <f>SUBSTITUTE(IFERROR(INDEX(_group_[],MATCH(CONCATENATE(_SCHEDULE_[[#This Row],[CONTEST_CODE]],"_",$U$2),_group_[ИД2],0),MATCH($U$1,_group_[#Headers],0)),"---"),".",",")</f>
        <v>---</v>
      </c>
      <c r="V121" s="41" t="str">
        <f>SUBSTITUTE(IFERROR(INDEX(_group_[],MATCH(CONCATENATE(_SCHEDULE_[[#This Row],[CONTEST_CODE]],"_",$V$2),_group_[ИД2],0),MATCH($V$1,_group_[#Headers],0)),"---"),".",",")</f>
        <v>---</v>
      </c>
      <c r="W121" s="41" t="str">
        <f>IFERROR(INDEX(_INDICATOR_[],MATCH(_SCHEDULE_[[#This Row],[CONTEST_CODE]],_INDICATOR_[CONTEST_CODE],0),MATCH($W$2,_INDICATOR_[#Headers],0)),"-")</f>
        <v>WAIT</v>
      </c>
      <c r="X121" s="41" t="str">
        <f>IFERROR(INDEX(_group_[],MATCH(_SCHEDULE_[[#This Row],[CONTEST_CODE]],_group_[CONTEST_CODE],0),MATCH($X$2,_group_[#Headers],0)),"-")</f>
        <v>BANK</v>
      </c>
      <c r="Y121" s="61" t="str">
        <f>IFERROR(INDEX(_DATA_[],MATCH(_SCHEDULE_[[#This Row],[CONTEST_CODE]],_DATA_[CONTEST_CODE],0),MATCH($Y$2,_DATA_[#Headers],0)),"-")</f>
        <v>Страхование. Рыночные продажи</v>
      </c>
      <c r="Z121" s="41" t="str">
        <f>IFERROR(INDEX(_reward_link_[],MATCH(_SCHEDULE_[[#This Row],[CONTEST_CODE]],_reward_link_[CONTEST_CODE],0),MATCH($Z$2,_reward_link_[#Headers],0)),"-")</f>
        <v>TB</v>
      </c>
      <c r="AA121" s="41" t="str">
        <f>IFERROR(INDEX(_report[],MATCH(_SCHEDULE_[[#This Row],[CONTEST_CODE]],_report[CONTEST_CODE],0),MATCH($AA$2,_report[#Headers],0)),"-")</f>
        <v>-</v>
      </c>
      <c r="AB121"/>
    </row>
    <row r="122" spans="1:28" hidden="1" x14ac:dyDescent="0.25">
      <c r="A122" s="14" t="s">
        <v>285</v>
      </c>
      <c r="B122" s="14" t="s">
        <v>186</v>
      </c>
      <c r="C122" s="14" t="s">
        <v>187</v>
      </c>
      <c r="D122" s="14" t="s">
        <v>188</v>
      </c>
      <c r="E122" s="14" t="s">
        <v>1088</v>
      </c>
      <c r="F122" s="14" t="s">
        <v>239</v>
      </c>
      <c r="G122" s="14" t="s">
        <v>240</v>
      </c>
      <c r="H122" s="14" t="s">
        <v>194</v>
      </c>
      <c r="I122" s="14" t="s">
        <v>194</v>
      </c>
      <c r="J122" s="14" t="s">
        <v>194</v>
      </c>
      <c r="K122" s="14" t="s">
        <v>176</v>
      </c>
      <c r="L122" s="14" t="s">
        <v>102</v>
      </c>
      <c r="M122" s="14" t="s">
        <v>3599</v>
      </c>
      <c r="N122" s="14" t="s">
        <v>2</v>
      </c>
      <c r="O122" s="14" t="s">
        <v>1572</v>
      </c>
      <c r="P122" s="14" t="s">
        <v>1064</v>
      </c>
      <c r="R122" s="38">
        <f>IFERROR(COUNTIFS(_report[TOURNAMENT_CODE],_SCHEDULE_[[#This Row],[TOURNAMENT_CODE]],_report[CONTEST_CODE],_SCHEDULE_[[#This Row],[CONTEST_CODE]]),"-")</f>
        <v>0</v>
      </c>
      <c r="S122" s="41" t="str">
        <f>SUBSTITUTE(IFERROR(INDEX(_group_[],MATCH(CONCATENATE(_SCHEDULE_[[#This Row],[CONTEST_CODE]],"_",$S$2),_group_[ИД2],0),MATCH($S$1,_group_[#Headers],0)),"---"),".",",")</f>
        <v>BANK</v>
      </c>
      <c r="T122" s="41" t="str">
        <f>SUBSTITUTE(IFERROR(INDEX(_group_[],MATCH(CONCATENATE(_SCHEDULE_[[#This Row],[CONTEST_CODE]],"_",$T$2),_group_[ИД2],0),MATCH($T$1,_group_[#Headers],0)),"---"),".",",")</f>
        <v>---</v>
      </c>
      <c r="U122" s="41" t="str">
        <f>SUBSTITUTE(IFERROR(INDEX(_group_[],MATCH(CONCATENATE(_SCHEDULE_[[#This Row],[CONTEST_CODE]],"_",$U$2),_group_[ИД2],0),MATCH($U$1,_group_[#Headers],0)),"---"),".",",")</f>
        <v>GOSB</v>
      </c>
      <c r="V122" s="41" t="str">
        <f>SUBSTITUTE(IFERROR(INDEX(_group_[],MATCH(CONCATENATE(_SCHEDULE_[[#This Row],[CONTEST_CODE]],"_",$V$2),_group_[ИД2],0),MATCH($V$1,_group_[#Headers],0)),"---"),".",",")</f>
        <v>---</v>
      </c>
      <c r="W122" s="41" t="str">
        <f>IFERROR(INDEX(_INDICATOR_[],MATCH(_SCHEDULE_[[#This Row],[CONTEST_CODE]],_INDICATOR_[CONTEST_CODE],0),MATCH($W$2,_INDICATOR_[#Headers],0)),"-")</f>
        <v>WAIT</v>
      </c>
      <c r="X122" s="41" t="str">
        <f>IFERROR(INDEX(_group_[],MATCH(_SCHEDULE_[[#This Row],[CONTEST_CODE]],_group_[CONTEST_CODE],0),MATCH($X$2,_group_[#Headers],0)),"-")</f>
        <v>BANK</v>
      </c>
      <c r="Y122" s="61" t="str">
        <f>IFERROR(INDEX(_DATA_[],MATCH(_SCHEDULE_[[#This Row],[CONTEST_CODE]],_DATA_[CONTEST_CODE],0),MATCH($Y$2,_DATA_[#Headers],0)),"-")</f>
        <v>Гарантии. Прирост комиссии</v>
      </c>
      <c r="Z122" s="41" t="str">
        <f>IFERROR(INDEX(_reward_link_[],MATCH(_SCHEDULE_[[#This Row],[CONTEST_CODE]],_reward_link_[CONTEST_CODE],0),MATCH($Z$2,_reward_link_[#Headers],0)),"-")</f>
        <v>GOSB</v>
      </c>
      <c r="AA122" s="41" t="str">
        <f>IFERROR(INDEX(_report[],MATCH(_SCHEDULE_[[#This Row],[CONTEST_CODE]],_report[CONTEST_CODE],0),MATCH($AA$2,_report[#Headers],0)),"-")</f>
        <v>-</v>
      </c>
      <c r="AB122"/>
    </row>
    <row r="123" spans="1:28" hidden="1" x14ac:dyDescent="0.25">
      <c r="A123" s="14" t="s">
        <v>286</v>
      </c>
      <c r="B123" s="14" t="s">
        <v>191</v>
      </c>
      <c r="C123" s="14" t="s">
        <v>192</v>
      </c>
      <c r="D123" s="14" t="s">
        <v>193</v>
      </c>
      <c r="E123" s="14" t="s">
        <v>247</v>
      </c>
      <c r="F123" s="14" t="s">
        <v>187</v>
      </c>
      <c r="G123" s="14" t="s">
        <v>188</v>
      </c>
      <c r="H123" s="14" t="s">
        <v>194</v>
      </c>
      <c r="I123" s="14" t="s">
        <v>194</v>
      </c>
      <c r="J123" s="14" t="s">
        <v>194</v>
      </c>
      <c r="K123" s="14" t="s">
        <v>176</v>
      </c>
      <c r="L123" s="14" t="s">
        <v>102</v>
      </c>
      <c r="M123" s="14" t="s">
        <v>3599</v>
      </c>
      <c r="N123" s="14" t="s">
        <v>2</v>
      </c>
      <c r="O123" s="14" t="s">
        <v>1573</v>
      </c>
      <c r="P123" s="14" t="s">
        <v>1064</v>
      </c>
      <c r="R123" s="38">
        <f>IFERROR(COUNTIFS(_report[TOURNAMENT_CODE],_SCHEDULE_[[#This Row],[TOURNAMENT_CODE]],_report[CONTEST_CODE],_SCHEDULE_[[#This Row],[CONTEST_CODE]]),"-")</f>
        <v>0</v>
      </c>
      <c r="S123" s="41" t="str">
        <f>SUBSTITUTE(IFERROR(INDEX(_group_[],MATCH(CONCATENATE(_SCHEDULE_[[#This Row],[CONTEST_CODE]],"_",$S$2),_group_[ИД2],0),MATCH($S$1,_group_[#Headers],0)),"---"),".",",")</f>
        <v>BANK</v>
      </c>
      <c r="T123" s="41" t="str">
        <f>SUBSTITUTE(IFERROR(INDEX(_group_[],MATCH(CONCATENATE(_SCHEDULE_[[#This Row],[CONTEST_CODE]],"_",$T$2),_group_[ИД2],0),MATCH($T$1,_group_[#Headers],0)),"---"),".",",")</f>
        <v>---</v>
      </c>
      <c r="U123" s="41" t="str">
        <f>SUBSTITUTE(IFERROR(INDEX(_group_[],MATCH(CONCATENATE(_SCHEDULE_[[#This Row],[CONTEST_CODE]],"_",$U$2),_group_[ИД2],0),MATCH($U$1,_group_[#Headers],0)),"---"),".",",")</f>
        <v>GOSB</v>
      </c>
      <c r="V123" s="41" t="str">
        <f>SUBSTITUTE(IFERROR(INDEX(_group_[],MATCH(CONCATENATE(_SCHEDULE_[[#This Row],[CONTEST_CODE]],"_",$V$2),_group_[ИД2],0),MATCH($V$1,_group_[#Headers],0)),"---"),".",",")</f>
        <v>---</v>
      </c>
      <c r="W123" s="41" t="str">
        <f>IFERROR(INDEX(_INDICATOR_[],MATCH(_SCHEDULE_[[#This Row],[CONTEST_CODE]],_INDICATOR_[CONTEST_CODE],0),MATCH($W$2,_INDICATOR_[#Headers],0)),"-")</f>
        <v>WAIT</v>
      </c>
      <c r="X123" s="41" t="str">
        <f>IFERROR(INDEX(_group_[],MATCH(_SCHEDULE_[[#This Row],[CONTEST_CODE]],_group_[CONTEST_CODE],0),MATCH($X$2,_group_[#Headers],0)),"-")</f>
        <v>BANK</v>
      </c>
      <c r="Y123" s="61" t="str">
        <f>IFERROR(INDEX(_DATA_[],MATCH(_SCHEDULE_[[#This Row],[CONTEST_CODE]],_DATA_[CONTEST_CODE],0),MATCH($Y$2,_DATA_[#Headers],0)),"-")</f>
        <v>Гарантии. Прирост комиссии</v>
      </c>
      <c r="Z123" s="41" t="str">
        <f>IFERROR(INDEX(_reward_link_[],MATCH(_SCHEDULE_[[#This Row],[CONTEST_CODE]],_reward_link_[CONTEST_CODE],0),MATCH($Z$2,_reward_link_[#Headers],0)),"-")</f>
        <v>GOSB</v>
      </c>
      <c r="AA123" s="41" t="str">
        <f>IFERROR(INDEX(_report[],MATCH(_SCHEDULE_[[#This Row],[CONTEST_CODE]],_report[CONTEST_CODE],0),MATCH($AA$2,_report[#Headers],0)),"-")</f>
        <v>-</v>
      </c>
      <c r="AB123"/>
    </row>
    <row r="124" spans="1:28" hidden="1" x14ac:dyDescent="0.25">
      <c r="A124" s="14" t="s">
        <v>638</v>
      </c>
      <c r="B124" s="14" t="s">
        <v>209</v>
      </c>
      <c r="C124" s="14" t="s">
        <v>245</v>
      </c>
      <c r="D124" s="14" t="s">
        <v>246</v>
      </c>
      <c r="E124" s="14" t="s">
        <v>252</v>
      </c>
      <c r="F124" s="14" t="s">
        <v>192</v>
      </c>
      <c r="G124" s="14" t="s">
        <v>193</v>
      </c>
      <c r="H124" s="14" t="s">
        <v>194</v>
      </c>
      <c r="I124" s="14" t="s">
        <v>194</v>
      </c>
      <c r="J124" s="14" t="s">
        <v>194</v>
      </c>
      <c r="K124" s="14" t="s">
        <v>176</v>
      </c>
      <c r="L124" s="14" t="s">
        <v>102</v>
      </c>
      <c r="M124" s="14" t="s">
        <v>3599</v>
      </c>
      <c r="N124" s="14" t="s">
        <v>2</v>
      </c>
      <c r="O124" s="14" t="s">
        <v>1574</v>
      </c>
      <c r="P124" s="14" t="s">
        <v>1064</v>
      </c>
      <c r="R124" s="38">
        <f>IFERROR(COUNTIFS(_report[TOURNAMENT_CODE],_SCHEDULE_[[#This Row],[TOURNAMENT_CODE]],_report[CONTEST_CODE],_SCHEDULE_[[#This Row],[CONTEST_CODE]]),"-")</f>
        <v>0</v>
      </c>
      <c r="S124" s="41" t="str">
        <f>SUBSTITUTE(IFERROR(INDEX(_group_[],MATCH(CONCATENATE(_SCHEDULE_[[#This Row],[CONTEST_CODE]],"_",$S$2),_group_[ИД2],0),MATCH($S$1,_group_[#Headers],0)),"---"),".",",")</f>
        <v>BANK</v>
      </c>
      <c r="T124" s="41" t="str">
        <f>SUBSTITUTE(IFERROR(INDEX(_group_[],MATCH(CONCATENATE(_SCHEDULE_[[#This Row],[CONTEST_CODE]],"_",$T$2),_group_[ИД2],0),MATCH($T$1,_group_[#Headers],0)),"---"),".",",")</f>
        <v>---</v>
      </c>
      <c r="U124" s="41" t="str">
        <f>SUBSTITUTE(IFERROR(INDEX(_group_[],MATCH(CONCATENATE(_SCHEDULE_[[#This Row],[CONTEST_CODE]],"_",$U$2),_group_[ИД2],0),MATCH($U$1,_group_[#Headers],0)),"---"),".",",")</f>
        <v>GOSB</v>
      </c>
      <c r="V124" s="41" t="str">
        <f>SUBSTITUTE(IFERROR(INDEX(_group_[],MATCH(CONCATENATE(_SCHEDULE_[[#This Row],[CONTEST_CODE]],"_",$V$2),_group_[ИД2],0),MATCH($V$1,_group_[#Headers],0)),"---"),".",",")</f>
        <v>---</v>
      </c>
      <c r="W124" s="41" t="str">
        <f>IFERROR(INDEX(_INDICATOR_[],MATCH(_SCHEDULE_[[#This Row],[CONTEST_CODE]],_INDICATOR_[CONTEST_CODE],0),MATCH($W$2,_INDICATOR_[#Headers],0)),"-")</f>
        <v>WAIT</v>
      </c>
      <c r="X124" s="41" t="str">
        <f>IFERROR(INDEX(_group_[],MATCH(_SCHEDULE_[[#This Row],[CONTEST_CODE]],_group_[CONTEST_CODE],0),MATCH($X$2,_group_[#Headers],0)),"-")</f>
        <v>BANK</v>
      </c>
      <c r="Y124" s="61" t="str">
        <f>IFERROR(INDEX(_DATA_[],MATCH(_SCHEDULE_[[#This Row],[CONTEST_CODE]],_DATA_[CONTEST_CODE],0),MATCH($Y$2,_DATA_[#Headers],0)),"-")</f>
        <v>Гарантии. Прирост комиссии</v>
      </c>
      <c r="Z124" s="41" t="str">
        <f>IFERROR(INDEX(_reward_link_[],MATCH(_SCHEDULE_[[#This Row],[CONTEST_CODE]],_reward_link_[CONTEST_CODE],0),MATCH($Z$2,_reward_link_[#Headers],0)),"-")</f>
        <v>GOSB</v>
      </c>
      <c r="AA124" s="41" t="str">
        <f>IFERROR(INDEX(_report[],MATCH(_SCHEDULE_[[#This Row],[CONTEST_CODE]],_report[CONTEST_CODE],0),MATCH($AA$2,_report[#Headers],0)),"-")</f>
        <v>-</v>
      </c>
      <c r="AB124"/>
    </row>
    <row r="125" spans="1:28" hidden="1" x14ac:dyDescent="0.25">
      <c r="A125" s="14" t="s">
        <v>700</v>
      </c>
      <c r="B125" s="14" t="s">
        <v>210</v>
      </c>
      <c r="C125" s="14" t="s">
        <v>695</v>
      </c>
      <c r="D125" s="14" t="s">
        <v>252</v>
      </c>
      <c r="E125" s="14" t="s">
        <v>1213</v>
      </c>
      <c r="F125" s="14" t="s">
        <v>245</v>
      </c>
      <c r="G125" s="14" t="s">
        <v>246</v>
      </c>
      <c r="H125" s="14" t="s">
        <v>194</v>
      </c>
      <c r="I125" s="14" t="s">
        <v>194</v>
      </c>
      <c r="J125" s="14" t="s">
        <v>194</v>
      </c>
      <c r="K125" s="14" t="s">
        <v>176</v>
      </c>
      <c r="L125" s="14" t="s">
        <v>102</v>
      </c>
      <c r="M125" s="14" t="s">
        <v>3599</v>
      </c>
      <c r="N125" s="14" t="s">
        <v>2</v>
      </c>
      <c r="O125" s="14" t="s">
        <v>1575</v>
      </c>
      <c r="P125" s="14" t="s">
        <v>1064</v>
      </c>
      <c r="R125" s="38">
        <f>IFERROR(COUNTIFS(_report[TOURNAMENT_CODE],_SCHEDULE_[[#This Row],[TOURNAMENT_CODE]],_report[CONTEST_CODE],_SCHEDULE_[[#This Row],[CONTEST_CODE]]),"-")</f>
        <v>0</v>
      </c>
      <c r="S125" s="41" t="str">
        <f>SUBSTITUTE(IFERROR(INDEX(_group_[],MATCH(CONCATENATE(_SCHEDULE_[[#This Row],[CONTEST_CODE]],"_",$S$2),_group_[ИД2],0),MATCH($S$1,_group_[#Headers],0)),"---"),".",",")</f>
        <v>BANK</v>
      </c>
      <c r="T125" s="41" t="str">
        <f>SUBSTITUTE(IFERROR(INDEX(_group_[],MATCH(CONCATENATE(_SCHEDULE_[[#This Row],[CONTEST_CODE]],"_",$T$2),_group_[ИД2],0),MATCH($T$1,_group_[#Headers],0)),"---"),".",",")</f>
        <v>---</v>
      </c>
      <c r="U125" s="41" t="str">
        <f>SUBSTITUTE(IFERROR(INDEX(_group_[],MATCH(CONCATENATE(_SCHEDULE_[[#This Row],[CONTEST_CODE]],"_",$U$2),_group_[ИД2],0),MATCH($U$1,_group_[#Headers],0)),"---"),".",",")</f>
        <v>GOSB</v>
      </c>
      <c r="V125" s="41" t="str">
        <f>SUBSTITUTE(IFERROR(INDEX(_group_[],MATCH(CONCATENATE(_SCHEDULE_[[#This Row],[CONTEST_CODE]],"_",$V$2),_group_[ИД2],0),MATCH($V$1,_group_[#Headers],0)),"---"),".",",")</f>
        <v>---</v>
      </c>
      <c r="W125" s="41" t="str">
        <f>IFERROR(INDEX(_INDICATOR_[],MATCH(_SCHEDULE_[[#This Row],[CONTEST_CODE]],_INDICATOR_[CONTEST_CODE],0),MATCH($W$2,_INDICATOR_[#Headers],0)),"-")</f>
        <v>WAIT</v>
      </c>
      <c r="X125" s="41" t="str">
        <f>IFERROR(INDEX(_group_[],MATCH(_SCHEDULE_[[#This Row],[CONTEST_CODE]],_group_[CONTEST_CODE],0),MATCH($X$2,_group_[#Headers],0)),"-")</f>
        <v>BANK</v>
      </c>
      <c r="Y125" s="61" t="str">
        <f>IFERROR(INDEX(_DATA_[],MATCH(_SCHEDULE_[[#This Row],[CONTEST_CODE]],_DATA_[CONTEST_CODE],0),MATCH($Y$2,_DATA_[#Headers],0)),"-")</f>
        <v>Гарантии. Прирост комиссии</v>
      </c>
      <c r="Z125" s="41" t="str">
        <f>IFERROR(INDEX(_reward_link_[],MATCH(_SCHEDULE_[[#This Row],[CONTEST_CODE]],_reward_link_[CONTEST_CODE],0),MATCH($Z$2,_reward_link_[#Headers],0)),"-")</f>
        <v>GOSB</v>
      </c>
      <c r="AA125" s="41" t="str">
        <f>IFERROR(INDEX(_report[],MATCH(_SCHEDULE_[[#This Row],[CONTEST_CODE]],_report[CONTEST_CODE],0),MATCH($AA$2,_report[#Headers],0)),"-")</f>
        <v>-</v>
      </c>
      <c r="AB125"/>
    </row>
    <row r="126" spans="1:28" hidden="1" x14ac:dyDescent="0.25">
      <c r="A126" s="14" t="s">
        <v>1073</v>
      </c>
      <c r="B126" s="14" t="s">
        <v>213</v>
      </c>
      <c r="C126" s="14" t="s">
        <v>703</v>
      </c>
      <c r="D126" s="14" t="s">
        <v>704</v>
      </c>
      <c r="E126" s="14" t="s">
        <v>1275</v>
      </c>
      <c r="F126" s="14" t="s">
        <v>695</v>
      </c>
      <c r="G126" s="14" t="s">
        <v>252</v>
      </c>
      <c r="H126" s="14" t="s">
        <v>194</v>
      </c>
      <c r="I126" s="14" t="s">
        <v>194</v>
      </c>
      <c r="J126" s="14" t="s">
        <v>194</v>
      </c>
      <c r="K126" s="14" t="s">
        <v>176</v>
      </c>
      <c r="L126" s="14" t="s">
        <v>102</v>
      </c>
      <c r="M126" s="14" t="s">
        <v>3599</v>
      </c>
      <c r="N126" s="14" t="s">
        <v>2</v>
      </c>
      <c r="O126" s="14" t="s">
        <v>1576</v>
      </c>
      <c r="P126" s="14" t="s">
        <v>1064</v>
      </c>
      <c r="R126" s="38">
        <f>IFERROR(COUNTIFS(_report[TOURNAMENT_CODE],_SCHEDULE_[[#This Row],[TOURNAMENT_CODE]],_report[CONTEST_CODE],_SCHEDULE_[[#This Row],[CONTEST_CODE]]),"-")</f>
        <v>0</v>
      </c>
      <c r="S126" s="41" t="str">
        <f>SUBSTITUTE(IFERROR(INDEX(_group_[],MATCH(CONCATENATE(_SCHEDULE_[[#This Row],[CONTEST_CODE]],"_",$S$2),_group_[ИД2],0),MATCH($S$1,_group_[#Headers],0)),"---"),".",",")</f>
        <v>BANK</v>
      </c>
      <c r="T126" s="41" t="str">
        <f>SUBSTITUTE(IFERROR(INDEX(_group_[],MATCH(CONCATENATE(_SCHEDULE_[[#This Row],[CONTEST_CODE]],"_",$T$2),_group_[ИД2],0),MATCH($T$1,_group_[#Headers],0)),"---"),".",",")</f>
        <v>---</v>
      </c>
      <c r="U126" s="41" t="str">
        <f>SUBSTITUTE(IFERROR(INDEX(_group_[],MATCH(CONCATENATE(_SCHEDULE_[[#This Row],[CONTEST_CODE]],"_",$U$2),_group_[ИД2],0),MATCH($U$1,_group_[#Headers],0)),"---"),".",",")</f>
        <v>GOSB</v>
      </c>
      <c r="V126" s="41" t="str">
        <f>SUBSTITUTE(IFERROR(INDEX(_group_[],MATCH(CONCATENATE(_SCHEDULE_[[#This Row],[CONTEST_CODE]],"_",$V$2),_group_[ИД2],0),MATCH($V$1,_group_[#Headers],0)),"---"),".",",")</f>
        <v>---</v>
      </c>
      <c r="W126" s="41" t="str">
        <f>IFERROR(INDEX(_INDICATOR_[],MATCH(_SCHEDULE_[[#This Row],[CONTEST_CODE]],_INDICATOR_[CONTEST_CODE],0),MATCH($W$2,_INDICATOR_[#Headers],0)),"-")</f>
        <v>WAIT</v>
      </c>
      <c r="X126" s="41" t="str">
        <f>IFERROR(INDEX(_group_[],MATCH(_SCHEDULE_[[#This Row],[CONTEST_CODE]],_group_[CONTEST_CODE],0),MATCH($X$2,_group_[#Headers],0)),"-")</f>
        <v>BANK</v>
      </c>
      <c r="Y126" s="61" t="str">
        <f>IFERROR(INDEX(_DATA_[],MATCH(_SCHEDULE_[[#This Row],[CONTEST_CODE]],_DATA_[CONTEST_CODE],0),MATCH($Y$2,_DATA_[#Headers],0)),"-")</f>
        <v>Гарантии. Прирост комиссии</v>
      </c>
      <c r="Z126" s="41" t="str">
        <f>IFERROR(INDEX(_reward_link_[],MATCH(_SCHEDULE_[[#This Row],[CONTEST_CODE]],_reward_link_[CONTEST_CODE],0),MATCH($Z$2,_reward_link_[#Headers],0)),"-")</f>
        <v>GOSB</v>
      </c>
      <c r="AA126" s="41" t="str">
        <f>IFERROR(INDEX(_report[],MATCH(_SCHEDULE_[[#This Row],[CONTEST_CODE]],_report[CONTEST_CODE],0),MATCH($AA$2,_report[#Headers],0)),"-")</f>
        <v>-</v>
      </c>
      <c r="AB126"/>
    </row>
    <row r="127" spans="1:28" hidden="1" x14ac:dyDescent="0.25">
      <c r="A127" s="14" t="s">
        <v>1210</v>
      </c>
      <c r="B127" s="14" t="s">
        <v>214</v>
      </c>
      <c r="C127" s="14" t="s">
        <v>1078</v>
      </c>
      <c r="D127" s="14" t="s">
        <v>1173</v>
      </c>
      <c r="E127" s="14" t="s">
        <v>1711</v>
      </c>
      <c r="F127" s="14" t="s">
        <v>703</v>
      </c>
      <c r="G127" s="14" t="s">
        <v>704</v>
      </c>
      <c r="H127" s="14" t="s">
        <v>194</v>
      </c>
      <c r="I127" s="14" t="s">
        <v>194</v>
      </c>
      <c r="J127" s="14" t="s">
        <v>194</v>
      </c>
      <c r="K127" s="14" t="s">
        <v>176</v>
      </c>
      <c r="L127" s="14" t="s">
        <v>102</v>
      </c>
      <c r="M127" s="14" t="s">
        <v>3599</v>
      </c>
      <c r="N127" s="14" t="s">
        <v>2</v>
      </c>
      <c r="O127" s="14" t="s">
        <v>1577</v>
      </c>
      <c r="P127" s="14" t="s">
        <v>1064</v>
      </c>
      <c r="R127" s="38">
        <f>IFERROR(COUNTIFS(_report[TOURNAMENT_CODE],_SCHEDULE_[[#This Row],[TOURNAMENT_CODE]],_report[CONTEST_CODE],_SCHEDULE_[[#This Row],[CONTEST_CODE]]),"-")</f>
        <v>0</v>
      </c>
      <c r="S127" s="41" t="str">
        <f>SUBSTITUTE(IFERROR(INDEX(_group_[],MATCH(CONCATENATE(_SCHEDULE_[[#This Row],[CONTEST_CODE]],"_",$S$2),_group_[ИД2],0),MATCH($S$1,_group_[#Headers],0)),"---"),".",",")</f>
        <v>BANK</v>
      </c>
      <c r="T127" s="41" t="str">
        <f>SUBSTITUTE(IFERROR(INDEX(_group_[],MATCH(CONCATENATE(_SCHEDULE_[[#This Row],[CONTEST_CODE]],"_",$T$2),_group_[ИД2],0),MATCH($T$1,_group_[#Headers],0)),"---"),".",",")</f>
        <v>---</v>
      </c>
      <c r="U127" s="41" t="str">
        <f>SUBSTITUTE(IFERROR(INDEX(_group_[],MATCH(CONCATENATE(_SCHEDULE_[[#This Row],[CONTEST_CODE]],"_",$U$2),_group_[ИД2],0),MATCH($U$1,_group_[#Headers],0)),"---"),".",",")</f>
        <v>GOSB</v>
      </c>
      <c r="V127" s="41" t="str">
        <f>SUBSTITUTE(IFERROR(INDEX(_group_[],MATCH(CONCATENATE(_SCHEDULE_[[#This Row],[CONTEST_CODE]],"_",$V$2),_group_[ИД2],0),MATCH($V$1,_group_[#Headers],0)),"---"),".",",")</f>
        <v>---</v>
      </c>
      <c r="W127" s="41" t="str">
        <f>IFERROR(INDEX(_INDICATOR_[],MATCH(_SCHEDULE_[[#This Row],[CONTEST_CODE]],_INDICATOR_[CONTEST_CODE],0),MATCH($W$2,_INDICATOR_[#Headers],0)),"-")</f>
        <v>WAIT</v>
      </c>
      <c r="X127" s="41" t="str">
        <f>IFERROR(INDEX(_group_[],MATCH(_SCHEDULE_[[#This Row],[CONTEST_CODE]],_group_[CONTEST_CODE],0),MATCH($X$2,_group_[#Headers],0)),"-")</f>
        <v>BANK</v>
      </c>
      <c r="Y127" s="61" t="str">
        <f>IFERROR(INDEX(_DATA_[],MATCH(_SCHEDULE_[[#This Row],[CONTEST_CODE]],_DATA_[CONTEST_CODE],0),MATCH($Y$2,_DATA_[#Headers],0)),"-")</f>
        <v>Гарантии. Прирост комиссии</v>
      </c>
      <c r="Z127" s="41" t="str">
        <f>IFERROR(INDEX(_reward_link_[],MATCH(_SCHEDULE_[[#This Row],[CONTEST_CODE]],_reward_link_[CONTEST_CODE],0),MATCH($Z$2,_reward_link_[#Headers],0)),"-")</f>
        <v>GOSB</v>
      </c>
      <c r="AA127" s="41" t="str">
        <f>IFERROR(INDEX(_report[],MATCH(_SCHEDULE_[[#This Row],[CONTEST_CODE]],_report[CONTEST_CODE],0),MATCH($AA$2,_report[#Headers],0)),"-")</f>
        <v>-</v>
      </c>
      <c r="AB127"/>
    </row>
    <row r="128" spans="1:28" hidden="1" x14ac:dyDescent="0.25">
      <c r="A128" s="14" t="s">
        <v>1283</v>
      </c>
      <c r="B128" s="14" t="s">
        <v>215</v>
      </c>
      <c r="C128" s="14" t="s">
        <v>1225</v>
      </c>
      <c r="D128" s="14" t="s">
        <v>1070</v>
      </c>
      <c r="E128" s="14" t="s">
        <v>1712</v>
      </c>
      <c r="F128" s="14" t="s">
        <v>1078</v>
      </c>
      <c r="G128" s="14" t="s">
        <v>1173</v>
      </c>
      <c r="H128" s="14" t="s">
        <v>194</v>
      </c>
      <c r="I128" s="14" t="s">
        <v>194</v>
      </c>
      <c r="J128" s="14" t="s">
        <v>194</v>
      </c>
      <c r="K128" s="14" t="s">
        <v>176</v>
      </c>
      <c r="L128" s="14" t="s">
        <v>102</v>
      </c>
      <c r="M128" s="14" t="s">
        <v>3599</v>
      </c>
      <c r="N128" s="14" t="s">
        <v>2</v>
      </c>
      <c r="O128" s="14" t="s">
        <v>1578</v>
      </c>
      <c r="P128" s="14" t="s">
        <v>1064</v>
      </c>
      <c r="R128" s="38">
        <f>IFERROR(COUNTIFS(_report[TOURNAMENT_CODE],_SCHEDULE_[[#This Row],[TOURNAMENT_CODE]],_report[CONTEST_CODE],_SCHEDULE_[[#This Row],[CONTEST_CODE]]),"-")</f>
        <v>0</v>
      </c>
      <c r="S128" s="41" t="str">
        <f>SUBSTITUTE(IFERROR(INDEX(_group_[],MATCH(CONCATENATE(_SCHEDULE_[[#This Row],[CONTEST_CODE]],"_",$S$2),_group_[ИД2],0),MATCH($S$1,_group_[#Headers],0)),"---"),".",",")</f>
        <v>BANK</v>
      </c>
      <c r="T128" s="41" t="str">
        <f>SUBSTITUTE(IFERROR(INDEX(_group_[],MATCH(CONCATENATE(_SCHEDULE_[[#This Row],[CONTEST_CODE]],"_",$T$2),_group_[ИД2],0),MATCH($T$1,_group_[#Headers],0)),"---"),".",",")</f>
        <v>---</v>
      </c>
      <c r="U128" s="41" t="str">
        <f>SUBSTITUTE(IFERROR(INDEX(_group_[],MATCH(CONCATENATE(_SCHEDULE_[[#This Row],[CONTEST_CODE]],"_",$U$2),_group_[ИД2],0),MATCH($U$1,_group_[#Headers],0)),"---"),".",",")</f>
        <v>GOSB</v>
      </c>
      <c r="V128" s="41" t="str">
        <f>SUBSTITUTE(IFERROR(INDEX(_group_[],MATCH(CONCATENATE(_SCHEDULE_[[#This Row],[CONTEST_CODE]],"_",$V$2),_group_[ИД2],0),MATCH($V$1,_group_[#Headers],0)),"---"),".",",")</f>
        <v>---</v>
      </c>
      <c r="W128" s="41" t="str">
        <f>IFERROR(INDEX(_INDICATOR_[],MATCH(_SCHEDULE_[[#This Row],[CONTEST_CODE]],_INDICATOR_[CONTEST_CODE],0),MATCH($W$2,_INDICATOR_[#Headers],0)),"-")</f>
        <v>WAIT</v>
      </c>
      <c r="X128" s="41" t="str">
        <f>IFERROR(INDEX(_group_[],MATCH(_SCHEDULE_[[#This Row],[CONTEST_CODE]],_group_[CONTEST_CODE],0),MATCH($X$2,_group_[#Headers],0)),"-")</f>
        <v>BANK</v>
      </c>
      <c r="Y128" s="61" t="str">
        <f>IFERROR(INDEX(_DATA_[],MATCH(_SCHEDULE_[[#This Row],[CONTEST_CODE]],_DATA_[CONTEST_CODE],0),MATCH($Y$2,_DATA_[#Headers],0)),"-")</f>
        <v>Гарантии. Прирост комиссии</v>
      </c>
      <c r="Z128" s="41" t="str">
        <f>IFERROR(INDEX(_reward_link_[],MATCH(_SCHEDULE_[[#This Row],[CONTEST_CODE]],_reward_link_[CONTEST_CODE],0),MATCH($Z$2,_reward_link_[#Headers],0)),"-")</f>
        <v>GOSB</v>
      </c>
      <c r="AA128" s="41" t="str">
        <f>IFERROR(INDEX(_report[],MATCH(_SCHEDULE_[[#This Row],[CONTEST_CODE]],_report[CONTEST_CODE],0),MATCH($AA$2,_report[#Headers],0)),"-")</f>
        <v>-</v>
      </c>
      <c r="AB128"/>
    </row>
    <row r="129" spans="1:28" hidden="1" x14ac:dyDescent="0.25">
      <c r="A129" s="14" t="s">
        <v>1651</v>
      </c>
      <c r="B129" s="14" t="s">
        <v>216</v>
      </c>
      <c r="C129" s="14" t="s">
        <v>1308</v>
      </c>
      <c r="D129" s="14" t="s">
        <v>1638</v>
      </c>
      <c r="E129" s="14" t="s">
        <v>1847</v>
      </c>
      <c r="F129" s="14" t="s">
        <v>1225</v>
      </c>
      <c r="G129" s="14" t="s">
        <v>1070</v>
      </c>
      <c r="H129" s="14" t="s">
        <v>194</v>
      </c>
      <c r="I129" s="14" t="s">
        <v>194</v>
      </c>
      <c r="J129" s="14" t="s">
        <v>194</v>
      </c>
      <c r="K129" s="14" t="s">
        <v>176</v>
      </c>
      <c r="L129" s="14" t="s">
        <v>102</v>
      </c>
      <c r="M129" s="14" t="s">
        <v>3599</v>
      </c>
      <c r="N129" s="14" t="s">
        <v>2</v>
      </c>
      <c r="O129" s="14" t="s">
        <v>1652</v>
      </c>
      <c r="P129" s="14" t="s">
        <v>1064</v>
      </c>
      <c r="R129" s="38">
        <f>IFERROR(COUNTIFS(_report[TOURNAMENT_CODE],_SCHEDULE_[[#This Row],[TOURNAMENT_CODE]],_report[CONTEST_CODE],_SCHEDULE_[[#This Row],[CONTEST_CODE]]),"-")</f>
        <v>0</v>
      </c>
      <c r="S129" s="41" t="str">
        <f>SUBSTITUTE(IFERROR(INDEX(_group_[],MATCH(CONCATENATE(_SCHEDULE_[[#This Row],[CONTEST_CODE]],"_",$S$2),_group_[ИД2],0),MATCH($S$1,_group_[#Headers],0)),"---"),".",",")</f>
        <v>BANK</v>
      </c>
      <c r="T129" s="41" t="str">
        <f>SUBSTITUTE(IFERROR(INDEX(_group_[],MATCH(CONCATENATE(_SCHEDULE_[[#This Row],[CONTEST_CODE]],"_",$T$2),_group_[ИД2],0),MATCH($T$1,_group_[#Headers],0)),"---"),".",",")</f>
        <v>---</v>
      </c>
      <c r="U129" s="41" t="str">
        <f>SUBSTITUTE(IFERROR(INDEX(_group_[],MATCH(CONCATENATE(_SCHEDULE_[[#This Row],[CONTEST_CODE]],"_",$U$2),_group_[ИД2],0),MATCH($U$1,_group_[#Headers],0)),"---"),".",",")</f>
        <v>GOSB</v>
      </c>
      <c r="V129" s="41" t="str">
        <f>SUBSTITUTE(IFERROR(INDEX(_group_[],MATCH(CONCATENATE(_SCHEDULE_[[#This Row],[CONTEST_CODE]],"_",$V$2),_group_[ИД2],0),MATCH($V$1,_group_[#Headers],0)),"---"),".",",")</f>
        <v>---</v>
      </c>
      <c r="W129" s="41" t="str">
        <f>IFERROR(INDEX(_INDICATOR_[],MATCH(_SCHEDULE_[[#This Row],[CONTEST_CODE]],_INDICATOR_[CONTEST_CODE],0),MATCH($W$2,_INDICATOR_[#Headers],0)),"-")</f>
        <v>WAIT</v>
      </c>
      <c r="X129" s="41" t="str">
        <f>IFERROR(INDEX(_group_[],MATCH(_SCHEDULE_[[#This Row],[CONTEST_CODE]],_group_[CONTEST_CODE],0),MATCH($X$2,_group_[#Headers],0)),"-")</f>
        <v>BANK</v>
      </c>
      <c r="Y129" s="61" t="str">
        <f>IFERROR(INDEX(_DATA_[],MATCH(_SCHEDULE_[[#This Row],[CONTEST_CODE]],_DATA_[CONTEST_CODE],0),MATCH($Y$2,_DATA_[#Headers],0)),"-")</f>
        <v>Гарантии. Прирост комиссии</v>
      </c>
      <c r="Z129" s="41" t="str">
        <f>IFERROR(INDEX(_reward_link_[],MATCH(_SCHEDULE_[[#This Row],[CONTEST_CODE]],_reward_link_[CONTEST_CODE],0),MATCH($Z$2,_reward_link_[#Headers],0)),"-")</f>
        <v>GOSB</v>
      </c>
      <c r="AA129" s="41" t="str">
        <f>IFERROR(INDEX(_report[],MATCH(_SCHEDULE_[[#This Row],[CONTEST_CODE]],_report[CONTEST_CODE],0),MATCH($AA$2,_report[#Headers],0)),"-")</f>
        <v>-</v>
      </c>
      <c r="AB129"/>
    </row>
    <row r="130" spans="1:28" hidden="1" x14ac:dyDescent="0.25">
      <c r="A130" s="14" t="s">
        <v>1814</v>
      </c>
      <c r="B130" s="14" t="s">
        <v>174</v>
      </c>
      <c r="C130" s="14" t="s">
        <v>1800</v>
      </c>
      <c r="D130" s="14" t="s">
        <v>1801</v>
      </c>
      <c r="E130" s="14" t="s">
        <v>1802</v>
      </c>
      <c r="F130" s="14" t="s">
        <v>1308</v>
      </c>
      <c r="G130" s="14" t="s">
        <v>1638</v>
      </c>
      <c r="H130" s="14" t="s">
        <v>194</v>
      </c>
      <c r="I130" s="14" t="s">
        <v>194</v>
      </c>
      <c r="J130" s="14" t="s">
        <v>194</v>
      </c>
      <c r="K130" s="14" t="s">
        <v>155</v>
      </c>
      <c r="L130" s="14" t="s">
        <v>102</v>
      </c>
      <c r="M130" s="14" t="s">
        <v>3599</v>
      </c>
      <c r="N130" s="14" t="s">
        <v>2</v>
      </c>
      <c r="O130" s="14" t="s">
        <v>1815</v>
      </c>
      <c r="P130" s="14" t="s">
        <v>1064</v>
      </c>
      <c r="R130" s="38">
        <f>IFERROR(COUNTIFS(_report[TOURNAMENT_CODE],_SCHEDULE_[[#This Row],[TOURNAMENT_CODE]],_report[CONTEST_CODE],_SCHEDULE_[[#This Row],[CONTEST_CODE]]),"-")</f>
        <v>0</v>
      </c>
      <c r="S130" s="41" t="str">
        <f>SUBSTITUTE(IFERROR(INDEX(_group_[],MATCH(CONCATENATE(_SCHEDULE_[[#This Row],[CONTEST_CODE]],"_",$S$2),_group_[ИД2],0),MATCH($S$1,_group_[#Headers],0)),"---"),".",",")</f>
        <v>BANK</v>
      </c>
      <c r="T130" s="41" t="str">
        <f>SUBSTITUTE(IFERROR(INDEX(_group_[],MATCH(CONCATENATE(_SCHEDULE_[[#This Row],[CONTEST_CODE]],"_",$T$2),_group_[ИД2],0),MATCH($T$1,_group_[#Headers],0)),"---"),".",",")</f>
        <v>---</v>
      </c>
      <c r="U130" s="41" t="str">
        <f>SUBSTITUTE(IFERROR(INDEX(_group_[],MATCH(CONCATENATE(_SCHEDULE_[[#This Row],[CONTEST_CODE]],"_",$U$2),_group_[ИД2],0),MATCH($U$1,_group_[#Headers],0)),"---"),".",",")</f>
        <v>GOSB</v>
      </c>
      <c r="V130" s="41" t="str">
        <f>SUBSTITUTE(IFERROR(INDEX(_group_[],MATCH(CONCATENATE(_SCHEDULE_[[#This Row],[CONTEST_CODE]],"_",$V$2),_group_[ИД2],0),MATCH($V$1,_group_[#Headers],0)),"---"),".",",")</f>
        <v>---</v>
      </c>
      <c r="W130" s="41" t="str">
        <f>IFERROR(INDEX(_INDICATOR_[],MATCH(_SCHEDULE_[[#This Row],[CONTEST_CODE]],_INDICATOR_[CONTEST_CODE],0),MATCH($W$2,_INDICATOR_[#Headers],0)),"-")</f>
        <v>WAIT</v>
      </c>
      <c r="X130" s="41" t="str">
        <f>IFERROR(INDEX(_group_[],MATCH(_SCHEDULE_[[#This Row],[CONTEST_CODE]],_group_[CONTEST_CODE],0),MATCH($X$2,_group_[#Headers],0)),"-")</f>
        <v>BANK</v>
      </c>
      <c r="Y130" s="61" t="str">
        <f>IFERROR(INDEX(_DATA_[],MATCH(_SCHEDULE_[[#This Row],[CONTEST_CODE]],_DATA_[CONTEST_CODE],0),MATCH($Y$2,_DATA_[#Headers],0)),"-")</f>
        <v>Гарантии. Прирост комиссии</v>
      </c>
      <c r="Z130" s="41" t="str">
        <f>IFERROR(INDEX(_reward_link_[],MATCH(_SCHEDULE_[[#This Row],[CONTEST_CODE]],_reward_link_[CONTEST_CODE],0),MATCH($Z$2,_reward_link_[#Headers],0)),"-")</f>
        <v>GOSB</v>
      </c>
      <c r="AA130" s="41" t="str">
        <f>IFERROR(INDEX(_report[],MATCH(_SCHEDULE_[[#This Row],[CONTEST_CODE]],_report[CONTEST_CODE],0),MATCH($AA$2,_report[#Headers],0)),"-")</f>
        <v>-</v>
      </c>
      <c r="AB130"/>
    </row>
    <row r="131" spans="1:28" hidden="1" x14ac:dyDescent="0.25">
      <c r="A131" s="14" t="s">
        <v>287</v>
      </c>
      <c r="B131" s="14" t="s">
        <v>186</v>
      </c>
      <c r="C131" s="14" t="s">
        <v>187</v>
      </c>
      <c r="D131" s="14" t="s">
        <v>188</v>
      </c>
      <c r="E131" s="14" t="s">
        <v>1088</v>
      </c>
      <c r="F131" s="14" t="s">
        <v>239</v>
      </c>
      <c r="G131" s="14" t="s">
        <v>240</v>
      </c>
      <c r="H131" s="14" t="s">
        <v>194</v>
      </c>
      <c r="I131" s="14" t="s">
        <v>194</v>
      </c>
      <c r="J131" s="14" t="s">
        <v>194</v>
      </c>
      <c r="K131" s="14" t="s">
        <v>176</v>
      </c>
      <c r="L131" s="14" t="s">
        <v>105</v>
      </c>
      <c r="M131" s="14" t="s">
        <v>3599</v>
      </c>
      <c r="N131" s="14" t="s">
        <v>2</v>
      </c>
      <c r="O131" s="14" t="s">
        <v>1579</v>
      </c>
      <c r="P131" s="14" t="s">
        <v>1064</v>
      </c>
      <c r="R131" s="38">
        <f>IFERROR(COUNTIFS(_report[TOURNAMENT_CODE],_SCHEDULE_[[#This Row],[TOURNAMENT_CODE]],_report[CONTEST_CODE],_SCHEDULE_[[#This Row],[CONTEST_CODE]]),"-")</f>
        <v>0</v>
      </c>
      <c r="S131" s="41" t="str">
        <f>SUBSTITUTE(IFERROR(INDEX(_group_[],MATCH(CONCATENATE(_SCHEDULE_[[#This Row],[CONTEST_CODE]],"_",$S$2),_group_[ИД2],0),MATCH($S$1,_group_[#Headers],0)),"---"),".",",")</f>
        <v>BANK</v>
      </c>
      <c r="T131" s="41" t="str">
        <f>SUBSTITUTE(IFERROR(INDEX(_group_[],MATCH(CONCATENATE(_SCHEDULE_[[#This Row],[CONTEST_CODE]],"_",$T$2),_group_[ИД2],0),MATCH($T$1,_group_[#Headers],0)),"---"),".",",")</f>
        <v>TB</v>
      </c>
      <c r="U131" s="41" t="str">
        <f>SUBSTITUTE(IFERROR(INDEX(_group_[],MATCH(CONCATENATE(_SCHEDULE_[[#This Row],[CONTEST_CODE]],"_",$U$2),_group_[ИД2],0),MATCH($U$1,_group_[#Headers],0)),"---"),".",",")</f>
        <v>GOSB</v>
      </c>
      <c r="V131" s="41" t="str">
        <f>SUBSTITUTE(IFERROR(INDEX(_group_[],MATCH(CONCATENATE(_SCHEDULE_[[#This Row],[CONTEST_CODE]],"_",$V$2),_group_[ИД2],0),MATCH($V$1,_group_[#Headers],0)),"---"),".",",")</f>
        <v>---</v>
      </c>
      <c r="W131" s="41" t="str">
        <f>IFERROR(INDEX(_INDICATOR_[],MATCH(_SCHEDULE_[[#This Row],[CONTEST_CODE]],_INDICATOR_[CONTEST_CODE],0),MATCH($W$2,_INDICATOR_[#Headers],0)),"-")</f>
        <v>WAIT</v>
      </c>
      <c r="X131" s="41" t="str">
        <f>IFERROR(INDEX(_group_[],MATCH(_SCHEDULE_[[#This Row],[CONTEST_CODE]],_group_[CONTEST_CODE],0),MATCH($X$2,_group_[#Headers],0)),"-")</f>
        <v>BANK</v>
      </c>
      <c r="Y131" s="61" t="str">
        <f>IFERROR(INDEX(_DATA_[],MATCH(_SCHEDULE_[[#This Row],[CONTEST_CODE]],_DATA_[CONTEST_CODE],0),MATCH($Y$2,_DATA_[#Headers],0)),"-")</f>
        <v>ФОТ. Прирост объема перечислений</v>
      </c>
      <c r="Z131" s="41" t="str">
        <f>IFERROR(INDEX(_reward_link_[],MATCH(_SCHEDULE_[[#This Row],[CONTEST_CODE]],_reward_link_[CONTEST_CODE],0),MATCH($Z$2,_reward_link_[#Headers],0)),"-")</f>
        <v>GOSB</v>
      </c>
      <c r="AA131" s="41" t="str">
        <f>IFERROR(INDEX(_report[],MATCH(_SCHEDULE_[[#This Row],[CONTEST_CODE]],_report[CONTEST_CODE],0),MATCH($AA$2,_report[#Headers],0)),"-")</f>
        <v>-</v>
      </c>
      <c r="AB131"/>
    </row>
    <row r="132" spans="1:28" hidden="1" x14ac:dyDescent="0.25">
      <c r="A132" s="14" t="s">
        <v>288</v>
      </c>
      <c r="B132" s="14" t="s">
        <v>191</v>
      </c>
      <c r="C132" s="14" t="s">
        <v>192</v>
      </c>
      <c r="D132" s="14" t="s">
        <v>193</v>
      </c>
      <c r="E132" s="14" t="s">
        <v>1088</v>
      </c>
      <c r="F132" s="14" t="s">
        <v>187</v>
      </c>
      <c r="G132" s="14" t="s">
        <v>188</v>
      </c>
      <c r="H132" s="14" t="s">
        <v>194</v>
      </c>
      <c r="I132" s="14" t="s">
        <v>194</v>
      </c>
      <c r="J132" s="14" t="s">
        <v>194</v>
      </c>
      <c r="K132" s="14" t="s">
        <v>176</v>
      </c>
      <c r="L132" s="14" t="s">
        <v>105</v>
      </c>
      <c r="M132" s="14" t="s">
        <v>3599</v>
      </c>
      <c r="N132" s="14" t="s">
        <v>2</v>
      </c>
      <c r="O132" s="14" t="s">
        <v>1580</v>
      </c>
      <c r="P132" s="14" t="s">
        <v>1064</v>
      </c>
      <c r="R132" s="38">
        <f>IFERROR(COUNTIFS(_report[TOURNAMENT_CODE],_SCHEDULE_[[#This Row],[TOURNAMENT_CODE]],_report[CONTEST_CODE],_SCHEDULE_[[#This Row],[CONTEST_CODE]]),"-")</f>
        <v>0</v>
      </c>
      <c r="S132" s="41" t="str">
        <f>SUBSTITUTE(IFERROR(INDEX(_group_[],MATCH(CONCATENATE(_SCHEDULE_[[#This Row],[CONTEST_CODE]],"_",$S$2),_group_[ИД2],0),MATCH($S$1,_group_[#Headers],0)),"---"),".",",")</f>
        <v>BANK</v>
      </c>
      <c r="T132" s="41" t="str">
        <f>SUBSTITUTE(IFERROR(INDEX(_group_[],MATCH(CONCATENATE(_SCHEDULE_[[#This Row],[CONTEST_CODE]],"_",$T$2),_group_[ИД2],0),MATCH($T$1,_group_[#Headers],0)),"---"),".",",")</f>
        <v>TB</v>
      </c>
      <c r="U132" s="41" t="str">
        <f>SUBSTITUTE(IFERROR(INDEX(_group_[],MATCH(CONCATENATE(_SCHEDULE_[[#This Row],[CONTEST_CODE]],"_",$U$2),_group_[ИД2],0),MATCH($U$1,_group_[#Headers],0)),"---"),".",",")</f>
        <v>GOSB</v>
      </c>
      <c r="V132" s="41" t="str">
        <f>SUBSTITUTE(IFERROR(INDEX(_group_[],MATCH(CONCATENATE(_SCHEDULE_[[#This Row],[CONTEST_CODE]],"_",$V$2),_group_[ИД2],0),MATCH($V$1,_group_[#Headers],0)),"---"),".",",")</f>
        <v>---</v>
      </c>
      <c r="W132" s="41" t="str">
        <f>IFERROR(INDEX(_INDICATOR_[],MATCH(_SCHEDULE_[[#This Row],[CONTEST_CODE]],_INDICATOR_[CONTEST_CODE],0),MATCH($W$2,_INDICATOR_[#Headers],0)),"-")</f>
        <v>WAIT</v>
      </c>
      <c r="X132" s="41" t="str">
        <f>IFERROR(INDEX(_group_[],MATCH(_SCHEDULE_[[#This Row],[CONTEST_CODE]],_group_[CONTEST_CODE],0),MATCH($X$2,_group_[#Headers],0)),"-")</f>
        <v>BANK</v>
      </c>
      <c r="Y132" s="61" t="str">
        <f>IFERROR(INDEX(_DATA_[],MATCH(_SCHEDULE_[[#This Row],[CONTEST_CODE]],_DATA_[CONTEST_CODE],0),MATCH($Y$2,_DATA_[#Headers],0)),"-")</f>
        <v>ФОТ. Прирост объема перечислений</v>
      </c>
      <c r="Z132" s="41" t="str">
        <f>IFERROR(INDEX(_reward_link_[],MATCH(_SCHEDULE_[[#This Row],[CONTEST_CODE]],_reward_link_[CONTEST_CODE],0),MATCH($Z$2,_reward_link_[#Headers],0)),"-")</f>
        <v>GOSB</v>
      </c>
      <c r="AA132" s="41" t="str">
        <f>IFERROR(INDEX(_report[],MATCH(_SCHEDULE_[[#This Row],[CONTEST_CODE]],_report[CONTEST_CODE],0),MATCH($AA$2,_report[#Headers],0)),"-")</f>
        <v>-</v>
      </c>
      <c r="AB132"/>
    </row>
    <row r="133" spans="1:28" hidden="1" x14ac:dyDescent="0.25">
      <c r="A133" s="14" t="s">
        <v>639</v>
      </c>
      <c r="B133" s="14" t="s">
        <v>209</v>
      </c>
      <c r="C133" s="14" t="s">
        <v>245</v>
      </c>
      <c r="D133" s="14" t="s">
        <v>246</v>
      </c>
      <c r="E133" s="14" t="s">
        <v>1074</v>
      </c>
      <c r="F133" s="14" t="s">
        <v>192</v>
      </c>
      <c r="G133" s="14" t="s">
        <v>193</v>
      </c>
      <c r="H133" s="14" t="s">
        <v>194</v>
      </c>
      <c r="I133" s="14" t="s">
        <v>194</v>
      </c>
      <c r="J133" s="14" t="s">
        <v>194</v>
      </c>
      <c r="K133" s="14" t="s">
        <v>176</v>
      </c>
      <c r="L133" s="14" t="s">
        <v>105</v>
      </c>
      <c r="M133" s="14" t="s">
        <v>3599</v>
      </c>
      <c r="N133" s="14" t="s">
        <v>2</v>
      </c>
      <c r="O133" s="14" t="s">
        <v>1581</v>
      </c>
      <c r="P133" s="14" t="s">
        <v>1064</v>
      </c>
      <c r="R133" s="38">
        <f>IFERROR(COUNTIFS(_report[TOURNAMENT_CODE],_SCHEDULE_[[#This Row],[TOURNAMENT_CODE]],_report[CONTEST_CODE],_SCHEDULE_[[#This Row],[CONTEST_CODE]]),"-")</f>
        <v>0</v>
      </c>
      <c r="S133" s="41" t="str">
        <f>SUBSTITUTE(IFERROR(INDEX(_group_[],MATCH(CONCATENATE(_SCHEDULE_[[#This Row],[CONTEST_CODE]],"_",$S$2),_group_[ИД2],0),MATCH($S$1,_group_[#Headers],0)),"---"),".",",")</f>
        <v>BANK</v>
      </c>
      <c r="T133" s="41" t="str">
        <f>SUBSTITUTE(IFERROR(INDEX(_group_[],MATCH(CONCATENATE(_SCHEDULE_[[#This Row],[CONTEST_CODE]],"_",$T$2),_group_[ИД2],0),MATCH($T$1,_group_[#Headers],0)),"---"),".",",")</f>
        <v>TB</v>
      </c>
      <c r="U133" s="41" t="str">
        <f>SUBSTITUTE(IFERROR(INDEX(_group_[],MATCH(CONCATENATE(_SCHEDULE_[[#This Row],[CONTEST_CODE]],"_",$U$2),_group_[ИД2],0),MATCH($U$1,_group_[#Headers],0)),"---"),".",",")</f>
        <v>GOSB</v>
      </c>
      <c r="V133" s="41" t="str">
        <f>SUBSTITUTE(IFERROR(INDEX(_group_[],MATCH(CONCATENATE(_SCHEDULE_[[#This Row],[CONTEST_CODE]],"_",$V$2),_group_[ИД2],0),MATCH($V$1,_group_[#Headers],0)),"---"),".",",")</f>
        <v>---</v>
      </c>
      <c r="W133" s="41" t="str">
        <f>IFERROR(INDEX(_INDICATOR_[],MATCH(_SCHEDULE_[[#This Row],[CONTEST_CODE]],_INDICATOR_[CONTEST_CODE],0),MATCH($W$2,_INDICATOR_[#Headers],0)),"-")</f>
        <v>WAIT</v>
      </c>
      <c r="X133" s="41" t="str">
        <f>IFERROR(INDEX(_group_[],MATCH(_SCHEDULE_[[#This Row],[CONTEST_CODE]],_group_[CONTEST_CODE],0),MATCH($X$2,_group_[#Headers],0)),"-")</f>
        <v>BANK</v>
      </c>
      <c r="Y133" s="61" t="str">
        <f>IFERROR(INDEX(_DATA_[],MATCH(_SCHEDULE_[[#This Row],[CONTEST_CODE]],_DATA_[CONTEST_CODE],0),MATCH($Y$2,_DATA_[#Headers],0)),"-")</f>
        <v>ФОТ. Прирост объема перечислений</v>
      </c>
      <c r="Z133" s="41" t="str">
        <f>IFERROR(INDEX(_reward_link_[],MATCH(_SCHEDULE_[[#This Row],[CONTEST_CODE]],_reward_link_[CONTEST_CODE],0),MATCH($Z$2,_reward_link_[#Headers],0)),"-")</f>
        <v>GOSB</v>
      </c>
      <c r="AA133" s="41" t="str">
        <f>IFERROR(INDEX(_report[],MATCH(_SCHEDULE_[[#This Row],[CONTEST_CODE]],_report[CONTEST_CODE],0),MATCH($AA$2,_report[#Headers],0)),"-")</f>
        <v>-</v>
      </c>
      <c r="AB133"/>
    </row>
    <row r="134" spans="1:28" hidden="1" x14ac:dyDescent="0.25">
      <c r="A134" s="14" t="s">
        <v>701</v>
      </c>
      <c r="B134" s="14" t="s">
        <v>210</v>
      </c>
      <c r="C134" s="14" t="s">
        <v>695</v>
      </c>
      <c r="D134" s="14" t="s">
        <v>252</v>
      </c>
      <c r="E134" s="14" t="s">
        <v>704</v>
      </c>
      <c r="F134" s="14" t="s">
        <v>245</v>
      </c>
      <c r="G134" s="14" t="s">
        <v>246</v>
      </c>
      <c r="H134" s="14" t="s">
        <v>194</v>
      </c>
      <c r="I134" s="14" t="s">
        <v>194</v>
      </c>
      <c r="J134" s="14" t="s">
        <v>194</v>
      </c>
      <c r="K134" s="14" t="s">
        <v>176</v>
      </c>
      <c r="L134" s="14" t="s">
        <v>105</v>
      </c>
      <c r="M134" s="14" t="s">
        <v>3599</v>
      </c>
      <c r="N134" s="14" t="s">
        <v>2</v>
      </c>
      <c r="O134" s="14" t="s">
        <v>1582</v>
      </c>
      <c r="P134" s="14" t="s">
        <v>1064</v>
      </c>
      <c r="R134" s="38">
        <f>IFERROR(COUNTIFS(_report[TOURNAMENT_CODE],_SCHEDULE_[[#This Row],[TOURNAMENT_CODE]],_report[CONTEST_CODE],_SCHEDULE_[[#This Row],[CONTEST_CODE]]),"-")</f>
        <v>0</v>
      </c>
      <c r="S134" s="41" t="str">
        <f>SUBSTITUTE(IFERROR(INDEX(_group_[],MATCH(CONCATENATE(_SCHEDULE_[[#This Row],[CONTEST_CODE]],"_",$S$2),_group_[ИД2],0),MATCH($S$1,_group_[#Headers],0)),"---"),".",",")</f>
        <v>BANK</v>
      </c>
      <c r="T134" s="41" t="str">
        <f>SUBSTITUTE(IFERROR(INDEX(_group_[],MATCH(CONCATENATE(_SCHEDULE_[[#This Row],[CONTEST_CODE]],"_",$T$2),_group_[ИД2],0),MATCH($T$1,_group_[#Headers],0)),"---"),".",",")</f>
        <v>TB</v>
      </c>
      <c r="U134" s="41" t="str">
        <f>SUBSTITUTE(IFERROR(INDEX(_group_[],MATCH(CONCATENATE(_SCHEDULE_[[#This Row],[CONTEST_CODE]],"_",$U$2),_group_[ИД2],0),MATCH($U$1,_group_[#Headers],0)),"---"),".",",")</f>
        <v>GOSB</v>
      </c>
      <c r="V134" s="41" t="str">
        <f>SUBSTITUTE(IFERROR(INDEX(_group_[],MATCH(CONCATENATE(_SCHEDULE_[[#This Row],[CONTEST_CODE]],"_",$V$2),_group_[ИД2],0),MATCH($V$1,_group_[#Headers],0)),"---"),".",",")</f>
        <v>---</v>
      </c>
      <c r="W134" s="41" t="str">
        <f>IFERROR(INDEX(_INDICATOR_[],MATCH(_SCHEDULE_[[#This Row],[CONTEST_CODE]],_INDICATOR_[CONTEST_CODE],0),MATCH($W$2,_INDICATOR_[#Headers],0)),"-")</f>
        <v>WAIT</v>
      </c>
      <c r="X134" s="41" t="str">
        <f>IFERROR(INDEX(_group_[],MATCH(_SCHEDULE_[[#This Row],[CONTEST_CODE]],_group_[CONTEST_CODE],0),MATCH($X$2,_group_[#Headers],0)),"-")</f>
        <v>BANK</v>
      </c>
      <c r="Y134" s="61" t="str">
        <f>IFERROR(INDEX(_DATA_[],MATCH(_SCHEDULE_[[#This Row],[CONTEST_CODE]],_DATA_[CONTEST_CODE],0),MATCH($Y$2,_DATA_[#Headers],0)),"-")</f>
        <v>ФОТ. Прирост объема перечислений</v>
      </c>
      <c r="Z134" s="41" t="str">
        <f>IFERROR(INDEX(_reward_link_[],MATCH(_SCHEDULE_[[#This Row],[CONTEST_CODE]],_reward_link_[CONTEST_CODE],0),MATCH($Z$2,_reward_link_[#Headers],0)),"-")</f>
        <v>GOSB</v>
      </c>
      <c r="AA134" s="41" t="str">
        <f>IFERROR(INDEX(_report[],MATCH(_SCHEDULE_[[#This Row],[CONTEST_CODE]],_report[CONTEST_CODE],0),MATCH($AA$2,_report[#Headers],0)),"-")</f>
        <v>-</v>
      </c>
      <c r="AB134"/>
    </row>
    <row r="135" spans="1:28" hidden="1" x14ac:dyDescent="0.25">
      <c r="A135" s="14" t="s">
        <v>1075</v>
      </c>
      <c r="B135" s="14" t="s">
        <v>213</v>
      </c>
      <c r="C135" s="14" t="s">
        <v>703</v>
      </c>
      <c r="D135" s="14" t="s">
        <v>704</v>
      </c>
      <c r="E135" s="14" t="s">
        <v>1276</v>
      </c>
      <c r="F135" s="14" t="s">
        <v>695</v>
      </c>
      <c r="G135" s="14" t="s">
        <v>252</v>
      </c>
      <c r="H135" s="14" t="s">
        <v>194</v>
      </c>
      <c r="I135" s="14" t="s">
        <v>194</v>
      </c>
      <c r="J135" s="14" t="s">
        <v>194</v>
      </c>
      <c r="K135" s="14" t="s">
        <v>176</v>
      </c>
      <c r="L135" s="14" t="s">
        <v>105</v>
      </c>
      <c r="M135" s="14" t="s">
        <v>3599</v>
      </c>
      <c r="N135" s="14" t="s">
        <v>2</v>
      </c>
      <c r="O135" s="14" t="s">
        <v>1583</v>
      </c>
      <c r="P135" s="14" t="s">
        <v>1064</v>
      </c>
      <c r="R135" s="38">
        <f>IFERROR(COUNTIFS(_report[TOURNAMENT_CODE],_SCHEDULE_[[#This Row],[TOURNAMENT_CODE]],_report[CONTEST_CODE],_SCHEDULE_[[#This Row],[CONTEST_CODE]]),"-")</f>
        <v>0</v>
      </c>
      <c r="S135" s="41" t="str">
        <f>SUBSTITUTE(IFERROR(INDEX(_group_[],MATCH(CONCATENATE(_SCHEDULE_[[#This Row],[CONTEST_CODE]],"_",$S$2),_group_[ИД2],0),MATCH($S$1,_group_[#Headers],0)),"---"),".",",")</f>
        <v>BANK</v>
      </c>
      <c r="T135" s="41" t="str">
        <f>SUBSTITUTE(IFERROR(INDEX(_group_[],MATCH(CONCATENATE(_SCHEDULE_[[#This Row],[CONTEST_CODE]],"_",$T$2),_group_[ИД2],0),MATCH($T$1,_group_[#Headers],0)),"---"),".",",")</f>
        <v>TB</v>
      </c>
      <c r="U135" s="41" t="str">
        <f>SUBSTITUTE(IFERROR(INDEX(_group_[],MATCH(CONCATENATE(_SCHEDULE_[[#This Row],[CONTEST_CODE]],"_",$U$2),_group_[ИД2],0),MATCH($U$1,_group_[#Headers],0)),"---"),".",",")</f>
        <v>GOSB</v>
      </c>
      <c r="V135" s="41" t="str">
        <f>SUBSTITUTE(IFERROR(INDEX(_group_[],MATCH(CONCATENATE(_SCHEDULE_[[#This Row],[CONTEST_CODE]],"_",$V$2),_group_[ИД2],0),MATCH($V$1,_group_[#Headers],0)),"---"),".",",")</f>
        <v>---</v>
      </c>
      <c r="W135" s="41" t="str">
        <f>IFERROR(INDEX(_INDICATOR_[],MATCH(_SCHEDULE_[[#This Row],[CONTEST_CODE]],_INDICATOR_[CONTEST_CODE],0),MATCH($W$2,_INDICATOR_[#Headers],0)),"-")</f>
        <v>WAIT</v>
      </c>
      <c r="X135" s="41" t="str">
        <f>IFERROR(INDEX(_group_[],MATCH(_SCHEDULE_[[#This Row],[CONTEST_CODE]],_group_[CONTEST_CODE],0),MATCH($X$2,_group_[#Headers],0)),"-")</f>
        <v>BANK</v>
      </c>
      <c r="Y135" s="61" t="str">
        <f>IFERROR(INDEX(_DATA_[],MATCH(_SCHEDULE_[[#This Row],[CONTEST_CODE]],_DATA_[CONTEST_CODE],0),MATCH($Y$2,_DATA_[#Headers],0)),"-")</f>
        <v>ФОТ. Прирост объема перечислений</v>
      </c>
      <c r="Z135" s="41" t="str">
        <f>IFERROR(INDEX(_reward_link_[],MATCH(_SCHEDULE_[[#This Row],[CONTEST_CODE]],_reward_link_[CONTEST_CODE],0),MATCH($Z$2,_reward_link_[#Headers],0)),"-")</f>
        <v>GOSB</v>
      </c>
      <c r="AA135" s="41" t="str">
        <f>IFERROR(INDEX(_report[],MATCH(_SCHEDULE_[[#This Row],[CONTEST_CODE]],_report[CONTEST_CODE],0),MATCH($AA$2,_report[#Headers],0)),"-")</f>
        <v>-</v>
      </c>
      <c r="AB135"/>
    </row>
    <row r="136" spans="1:28" hidden="1" x14ac:dyDescent="0.25">
      <c r="A136" s="14" t="s">
        <v>1211</v>
      </c>
      <c r="B136" s="14" t="s">
        <v>214</v>
      </c>
      <c r="C136" s="14" t="s">
        <v>1078</v>
      </c>
      <c r="D136" s="14" t="s">
        <v>1173</v>
      </c>
      <c r="E136" s="14" t="s">
        <v>1712</v>
      </c>
      <c r="F136" s="14" t="s">
        <v>703</v>
      </c>
      <c r="G136" s="14" t="s">
        <v>704</v>
      </c>
      <c r="H136" s="14" t="s">
        <v>194</v>
      </c>
      <c r="I136" s="14" t="s">
        <v>194</v>
      </c>
      <c r="J136" s="14" t="s">
        <v>194</v>
      </c>
      <c r="K136" s="14" t="s">
        <v>176</v>
      </c>
      <c r="L136" s="14" t="s">
        <v>105</v>
      </c>
      <c r="M136" s="14" t="s">
        <v>3599</v>
      </c>
      <c r="N136" s="14" t="s">
        <v>2</v>
      </c>
      <c r="O136" s="14" t="s">
        <v>1584</v>
      </c>
      <c r="P136" s="14" t="s">
        <v>1064</v>
      </c>
      <c r="R136" s="38">
        <f>IFERROR(COUNTIFS(_report[TOURNAMENT_CODE],_SCHEDULE_[[#This Row],[TOURNAMENT_CODE]],_report[CONTEST_CODE],_SCHEDULE_[[#This Row],[CONTEST_CODE]]),"-")</f>
        <v>0</v>
      </c>
      <c r="S136" s="41" t="str">
        <f>SUBSTITUTE(IFERROR(INDEX(_group_[],MATCH(CONCATENATE(_SCHEDULE_[[#This Row],[CONTEST_CODE]],"_",$S$2),_group_[ИД2],0),MATCH($S$1,_group_[#Headers],0)),"---"),".",",")</f>
        <v>BANK</v>
      </c>
      <c r="T136" s="41" t="str">
        <f>SUBSTITUTE(IFERROR(INDEX(_group_[],MATCH(CONCATENATE(_SCHEDULE_[[#This Row],[CONTEST_CODE]],"_",$T$2),_group_[ИД2],0),MATCH($T$1,_group_[#Headers],0)),"---"),".",",")</f>
        <v>TB</v>
      </c>
      <c r="U136" s="41" t="str">
        <f>SUBSTITUTE(IFERROR(INDEX(_group_[],MATCH(CONCATENATE(_SCHEDULE_[[#This Row],[CONTEST_CODE]],"_",$U$2),_group_[ИД2],0),MATCH($U$1,_group_[#Headers],0)),"---"),".",",")</f>
        <v>GOSB</v>
      </c>
      <c r="V136" s="41" t="str">
        <f>SUBSTITUTE(IFERROR(INDEX(_group_[],MATCH(CONCATENATE(_SCHEDULE_[[#This Row],[CONTEST_CODE]],"_",$V$2),_group_[ИД2],0),MATCH($V$1,_group_[#Headers],0)),"---"),".",",")</f>
        <v>---</v>
      </c>
      <c r="W136" s="41" t="str">
        <f>IFERROR(INDEX(_INDICATOR_[],MATCH(_SCHEDULE_[[#This Row],[CONTEST_CODE]],_INDICATOR_[CONTEST_CODE],0),MATCH($W$2,_INDICATOR_[#Headers],0)),"-")</f>
        <v>WAIT</v>
      </c>
      <c r="X136" s="41" t="str">
        <f>IFERROR(INDEX(_group_[],MATCH(_SCHEDULE_[[#This Row],[CONTEST_CODE]],_group_[CONTEST_CODE],0),MATCH($X$2,_group_[#Headers],0)),"-")</f>
        <v>BANK</v>
      </c>
      <c r="Y136" s="61" t="str">
        <f>IFERROR(INDEX(_DATA_[],MATCH(_SCHEDULE_[[#This Row],[CONTEST_CODE]],_DATA_[CONTEST_CODE],0),MATCH($Y$2,_DATA_[#Headers],0)),"-")</f>
        <v>ФОТ. Прирост объема перечислений</v>
      </c>
      <c r="Z136" s="41" t="str">
        <f>IFERROR(INDEX(_reward_link_[],MATCH(_SCHEDULE_[[#This Row],[CONTEST_CODE]],_reward_link_[CONTEST_CODE],0),MATCH($Z$2,_reward_link_[#Headers],0)),"-")</f>
        <v>GOSB</v>
      </c>
      <c r="AA136" s="41" t="str">
        <f>IFERROR(INDEX(_report[],MATCH(_SCHEDULE_[[#This Row],[CONTEST_CODE]],_report[CONTEST_CODE],0),MATCH($AA$2,_report[#Headers],0)),"-")</f>
        <v>-</v>
      </c>
      <c r="AB136"/>
    </row>
    <row r="137" spans="1:28" hidden="1" x14ac:dyDescent="0.25">
      <c r="A137" s="14" t="s">
        <v>1284</v>
      </c>
      <c r="B137" s="14" t="s">
        <v>215</v>
      </c>
      <c r="C137" s="14" t="s">
        <v>1225</v>
      </c>
      <c r="D137" s="14" t="s">
        <v>1070</v>
      </c>
      <c r="E137" s="14" t="s">
        <v>1712</v>
      </c>
      <c r="F137" s="14" t="s">
        <v>1078</v>
      </c>
      <c r="G137" s="14" t="s">
        <v>1173</v>
      </c>
      <c r="H137" s="14" t="s">
        <v>194</v>
      </c>
      <c r="I137" s="14" t="s">
        <v>194</v>
      </c>
      <c r="J137" s="14" t="s">
        <v>194</v>
      </c>
      <c r="K137" s="14" t="s">
        <v>176</v>
      </c>
      <c r="L137" s="14" t="s">
        <v>105</v>
      </c>
      <c r="M137" s="14" t="s">
        <v>3599</v>
      </c>
      <c r="N137" s="14" t="s">
        <v>2</v>
      </c>
      <c r="O137" s="14" t="s">
        <v>1585</v>
      </c>
      <c r="P137" s="14" t="s">
        <v>1064</v>
      </c>
      <c r="R137" s="38">
        <f>IFERROR(COUNTIFS(_report[TOURNAMENT_CODE],_SCHEDULE_[[#This Row],[TOURNAMENT_CODE]],_report[CONTEST_CODE],_SCHEDULE_[[#This Row],[CONTEST_CODE]]),"-")</f>
        <v>0</v>
      </c>
      <c r="S137" s="41" t="str">
        <f>SUBSTITUTE(IFERROR(INDEX(_group_[],MATCH(CONCATENATE(_SCHEDULE_[[#This Row],[CONTEST_CODE]],"_",$S$2),_group_[ИД2],0),MATCH($S$1,_group_[#Headers],0)),"---"),".",",")</f>
        <v>BANK</v>
      </c>
      <c r="T137" s="41" t="str">
        <f>SUBSTITUTE(IFERROR(INDEX(_group_[],MATCH(CONCATENATE(_SCHEDULE_[[#This Row],[CONTEST_CODE]],"_",$T$2),_group_[ИД2],0),MATCH($T$1,_group_[#Headers],0)),"---"),".",",")</f>
        <v>TB</v>
      </c>
      <c r="U137" s="41" t="str">
        <f>SUBSTITUTE(IFERROR(INDEX(_group_[],MATCH(CONCATENATE(_SCHEDULE_[[#This Row],[CONTEST_CODE]],"_",$U$2),_group_[ИД2],0),MATCH($U$1,_group_[#Headers],0)),"---"),".",",")</f>
        <v>GOSB</v>
      </c>
      <c r="V137" s="41" t="str">
        <f>SUBSTITUTE(IFERROR(INDEX(_group_[],MATCH(CONCATENATE(_SCHEDULE_[[#This Row],[CONTEST_CODE]],"_",$V$2),_group_[ИД2],0),MATCH($V$1,_group_[#Headers],0)),"---"),".",",")</f>
        <v>---</v>
      </c>
      <c r="W137" s="41" t="str">
        <f>IFERROR(INDEX(_INDICATOR_[],MATCH(_SCHEDULE_[[#This Row],[CONTEST_CODE]],_INDICATOR_[CONTEST_CODE],0),MATCH($W$2,_INDICATOR_[#Headers],0)),"-")</f>
        <v>WAIT</v>
      </c>
      <c r="X137" s="41" t="str">
        <f>IFERROR(INDEX(_group_[],MATCH(_SCHEDULE_[[#This Row],[CONTEST_CODE]],_group_[CONTEST_CODE],0),MATCH($X$2,_group_[#Headers],0)),"-")</f>
        <v>BANK</v>
      </c>
      <c r="Y137" s="61" t="str">
        <f>IFERROR(INDEX(_DATA_[],MATCH(_SCHEDULE_[[#This Row],[CONTEST_CODE]],_DATA_[CONTEST_CODE],0),MATCH($Y$2,_DATA_[#Headers],0)),"-")</f>
        <v>ФОТ. Прирост объема перечислений</v>
      </c>
      <c r="Z137" s="41" t="str">
        <f>IFERROR(INDEX(_reward_link_[],MATCH(_SCHEDULE_[[#This Row],[CONTEST_CODE]],_reward_link_[CONTEST_CODE],0),MATCH($Z$2,_reward_link_[#Headers],0)),"-")</f>
        <v>GOSB</v>
      </c>
      <c r="AA137" s="41" t="str">
        <f>IFERROR(INDEX(_report[],MATCH(_SCHEDULE_[[#This Row],[CONTEST_CODE]],_report[CONTEST_CODE],0),MATCH($AA$2,_report[#Headers],0)),"-")</f>
        <v>-</v>
      </c>
      <c r="AB137"/>
    </row>
    <row r="138" spans="1:28" hidden="1" x14ac:dyDescent="0.25">
      <c r="A138" s="14" t="s">
        <v>1653</v>
      </c>
      <c r="B138" s="14" t="s">
        <v>216</v>
      </c>
      <c r="C138" s="14" t="s">
        <v>1308</v>
      </c>
      <c r="D138" s="14" t="s">
        <v>1638</v>
      </c>
      <c r="E138" s="14" t="s">
        <v>1847</v>
      </c>
      <c r="F138" s="14" t="s">
        <v>1225</v>
      </c>
      <c r="G138" s="14" t="s">
        <v>1070</v>
      </c>
      <c r="H138" s="14" t="s">
        <v>194</v>
      </c>
      <c r="I138" s="14" t="s">
        <v>194</v>
      </c>
      <c r="J138" s="14" t="s">
        <v>194</v>
      </c>
      <c r="K138" s="14" t="s">
        <v>176</v>
      </c>
      <c r="L138" s="14" t="s">
        <v>105</v>
      </c>
      <c r="M138" s="14" t="s">
        <v>3599</v>
      </c>
      <c r="N138" s="14" t="s">
        <v>2</v>
      </c>
      <c r="O138" s="14" t="s">
        <v>1654</v>
      </c>
      <c r="P138" s="14" t="s">
        <v>1064</v>
      </c>
      <c r="R138" s="38">
        <f>IFERROR(COUNTIFS(_report[TOURNAMENT_CODE],_SCHEDULE_[[#This Row],[TOURNAMENT_CODE]],_report[CONTEST_CODE],_SCHEDULE_[[#This Row],[CONTEST_CODE]]),"-")</f>
        <v>0</v>
      </c>
      <c r="S138" s="41" t="str">
        <f>SUBSTITUTE(IFERROR(INDEX(_group_[],MATCH(CONCATENATE(_SCHEDULE_[[#This Row],[CONTEST_CODE]],"_",$S$2),_group_[ИД2],0),MATCH($S$1,_group_[#Headers],0)),"---"),".",",")</f>
        <v>BANK</v>
      </c>
      <c r="T138" s="41" t="str">
        <f>SUBSTITUTE(IFERROR(INDEX(_group_[],MATCH(CONCATENATE(_SCHEDULE_[[#This Row],[CONTEST_CODE]],"_",$T$2),_group_[ИД2],0),MATCH($T$1,_group_[#Headers],0)),"---"),".",",")</f>
        <v>TB</v>
      </c>
      <c r="U138" s="41" t="str">
        <f>SUBSTITUTE(IFERROR(INDEX(_group_[],MATCH(CONCATENATE(_SCHEDULE_[[#This Row],[CONTEST_CODE]],"_",$U$2),_group_[ИД2],0),MATCH($U$1,_group_[#Headers],0)),"---"),".",",")</f>
        <v>GOSB</v>
      </c>
      <c r="V138" s="41" t="str">
        <f>SUBSTITUTE(IFERROR(INDEX(_group_[],MATCH(CONCATENATE(_SCHEDULE_[[#This Row],[CONTEST_CODE]],"_",$V$2),_group_[ИД2],0),MATCH($V$1,_group_[#Headers],0)),"---"),".",",")</f>
        <v>---</v>
      </c>
      <c r="W138" s="41" t="str">
        <f>IFERROR(INDEX(_INDICATOR_[],MATCH(_SCHEDULE_[[#This Row],[CONTEST_CODE]],_INDICATOR_[CONTEST_CODE],0),MATCH($W$2,_INDICATOR_[#Headers],0)),"-")</f>
        <v>WAIT</v>
      </c>
      <c r="X138" s="41" t="str">
        <f>IFERROR(INDEX(_group_[],MATCH(_SCHEDULE_[[#This Row],[CONTEST_CODE]],_group_[CONTEST_CODE],0),MATCH($X$2,_group_[#Headers],0)),"-")</f>
        <v>BANK</v>
      </c>
      <c r="Y138" s="61" t="str">
        <f>IFERROR(INDEX(_DATA_[],MATCH(_SCHEDULE_[[#This Row],[CONTEST_CODE]],_DATA_[CONTEST_CODE],0),MATCH($Y$2,_DATA_[#Headers],0)),"-")</f>
        <v>ФОТ. Прирост объема перечислений</v>
      </c>
      <c r="Z138" s="41" t="str">
        <f>IFERROR(INDEX(_reward_link_[],MATCH(_SCHEDULE_[[#This Row],[CONTEST_CODE]],_reward_link_[CONTEST_CODE],0),MATCH($Z$2,_reward_link_[#Headers],0)),"-")</f>
        <v>GOSB</v>
      </c>
      <c r="AA138" s="41" t="str">
        <f>IFERROR(INDEX(_report[],MATCH(_SCHEDULE_[[#This Row],[CONTEST_CODE]],_report[CONTEST_CODE],0),MATCH($AA$2,_report[#Headers],0)),"-")</f>
        <v>-</v>
      </c>
      <c r="AB138"/>
    </row>
    <row r="139" spans="1:28" hidden="1" x14ac:dyDescent="0.25">
      <c r="A139" s="14" t="s">
        <v>1816</v>
      </c>
      <c r="B139" s="14" t="s">
        <v>174</v>
      </c>
      <c r="C139" s="14" t="s">
        <v>1800</v>
      </c>
      <c r="D139" s="14" t="s">
        <v>1801</v>
      </c>
      <c r="E139" s="14" t="s">
        <v>1802</v>
      </c>
      <c r="F139" s="14" t="s">
        <v>1308</v>
      </c>
      <c r="G139" s="14" t="s">
        <v>1638</v>
      </c>
      <c r="H139" s="14" t="s">
        <v>194</v>
      </c>
      <c r="I139" s="14" t="s">
        <v>194</v>
      </c>
      <c r="J139" s="14" t="s">
        <v>194</v>
      </c>
      <c r="K139" s="14" t="s">
        <v>155</v>
      </c>
      <c r="L139" s="14" t="s">
        <v>105</v>
      </c>
      <c r="M139" s="14" t="s">
        <v>3599</v>
      </c>
      <c r="N139" s="14" t="s">
        <v>2</v>
      </c>
      <c r="O139" s="14" t="s">
        <v>1817</v>
      </c>
      <c r="P139" s="14" t="s">
        <v>1064</v>
      </c>
      <c r="R139" s="38">
        <f>IFERROR(COUNTIFS(_report[TOURNAMENT_CODE],_SCHEDULE_[[#This Row],[TOURNAMENT_CODE]],_report[CONTEST_CODE],_SCHEDULE_[[#This Row],[CONTEST_CODE]]),"-")</f>
        <v>0</v>
      </c>
      <c r="S139" s="41" t="str">
        <f>SUBSTITUTE(IFERROR(INDEX(_group_[],MATCH(CONCATENATE(_SCHEDULE_[[#This Row],[CONTEST_CODE]],"_",$S$2),_group_[ИД2],0),MATCH($S$1,_group_[#Headers],0)),"---"),".",",")</f>
        <v>BANK</v>
      </c>
      <c r="T139" s="41" t="str">
        <f>SUBSTITUTE(IFERROR(INDEX(_group_[],MATCH(CONCATENATE(_SCHEDULE_[[#This Row],[CONTEST_CODE]],"_",$T$2),_group_[ИД2],0),MATCH($T$1,_group_[#Headers],0)),"---"),".",",")</f>
        <v>TB</v>
      </c>
      <c r="U139" s="41" t="str">
        <f>SUBSTITUTE(IFERROR(INDEX(_group_[],MATCH(CONCATENATE(_SCHEDULE_[[#This Row],[CONTEST_CODE]],"_",$U$2),_group_[ИД2],0),MATCH($U$1,_group_[#Headers],0)),"---"),".",",")</f>
        <v>GOSB</v>
      </c>
      <c r="V139" s="41" t="str">
        <f>SUBSTITUTE(IFERROR(INDEX(_group_[],MATCH(CONCATENATE(_SCHEDULE_[[#This Row],[CONTEST_CODE]],"_",$V$2),_group_[ИД2],0),MATCH($V$1,_group_[#Headers],0)),"---"),".",",")</f>
        <v>---</v>
      </c>
      <c r="W139" s="41" t="str">
        <f>IFERROR(INDEX(_INDICATOR_[],MATCH(_SCHEDULE_[[#This Row],[CONTEST_CODE]],_INDICATOR_[CONTEST_CODE],0),MATCH($W$2,_INDICATOR_[#Headers],0)),"-")</f>
        <v>WAIT</v>
      </c>
      <c r="X139" s="41" t="str">
        <f>IFERROR(INDEX(_group_[],MATCH(_SCHEDULE_[[#This Row],[CONTEST_CODE]],_group_[CONTEST_CODE],0),MATCH($X$2,_group_[#Headers],0)),"-")</f>
        <v>BANK</v>
      </c>
      <c r="Y139" s="61" t="str">
        <f>IFERROR(INDEX(_DATA_[],MATCH(_SCHEDULE_[[#This Row],[CONTEST_CODE]],_DATA_[CONTEST_CODE],0),MATCH($Y$2,_DATA_[#Headers],0)),"-")</f>
        <v>ФОТ. Прирост объема перечислений</v>
      </c>
      <c r="Z139" s="41" t="str">
        <f>IFERROR(INDEX(_reward_link_[],MATCH(_SCHEDULE_[[#This Row],[CONTEST_CODE]],_reward_link_[CONTEST_CODE],0),MATCH($Z$2,_reward_link_[#Headers],0)),"-")</f>
        <v>GOSB</v>
      </c>
      <c r="AA139" s="41" t="str">
        <f>IFERROR(INDEX(_report[],MATCH(_SCHEDULE_[[#This Row],[CONTEST_CODE]],_report[CONTEST_CODE],0),MATCH($AA$2,_report[#Headers],0)),"-")</f>
        <v>-</v>
      </c>
      <c r="AB139"/>
    </row>
    <row r="140" spans="1:28" hidden="1" x14ac:dyDescent="0.25">
      <c r="A140" s="14" t="s">
        <v>289</v>
      </c>
      <c r="B140" s="14" t="s">
        <v>186</v>
      </c>
      <c r="C140" s="14" t="s">
        <v>187</v>
      </c>
      <c r="D140" s="14" t="s">
        <v>188</v>
      </c>
      <c r="E140" s="14" t="s">
        <v>189</v>
      </c>
      <c r="F140" s="14" t="s">
        <v>239</v>
      </c>
      <c r="G140" s="14" t="s">
        <v>240</v>
      </c>
      <c r="H140" s="14" t="s">
        <v>194</v>
      </c>
      <c r="I140" s="14" t="s">
        <v>194</v>
      </c>
      <c r="J140" s="14" t="s">
        <v>194</v>
      </c>
      <c r="K140" s="14" t="s">
        <v>176</v>
      </c>
      <c r="L140" s="14" t="s">
        <v>109</v>
      </c>
      <c r="M140" s="14" t="s">
        <v>3599</v>
      </c>
      <c r="N140" s="14" t="s">
        <v>2</v>
      </c>
      <c r="O140" s="14" t="s">
        <v>1586</v>
      </c>
      <c r="P140" s="14" t="s">
        <v>1064</v>
      </c>
      <c r="R140" s="38">
        <f>IFERROR(COUNTIFS(_report[TOURNAMENT_CODE],_SCHEDULE_[[#This Row],[TOURNAMENT_CODE]],_report[CONTEST_CODE],_SCHEDULE_[[#This Row],[CONTEST_CODE]]),"-")</f>
        <v>0</v>
      </c>
      <c r="S140" s="41" t="str">
        <f>SUBSTITUTE(IFERROR(INDEX(_group_[],MATCH(CONCATENATE(_SCHEDULE_[[#This Row],[CONTEST_CODE]],"_",$S$2),_group_[ИД2],0),MATCH($S$1,_group_[#Headers],0)),"---"),".",",")</f>
        <v>BANK</v>
      </c>
      <c r="T140" s="41" t="str">
        <f>SUBSTITUTE(IFERROR(INDEX(_group_[],MATCH(CONCATENATE(_SCHEDULE_[[#This Row],[CONTEST_CODE]],"_",$T$2),_group_[ИД2],0),MATCH($T$1,_group_[#Headers],0)),"---"),".",",")</f>
        <v>---</v>
      </c>
      <c r="U140" s="41" t="str">
        <f>SUBSTITUTE(IFERROR(INDEX(_group_[],MATCH(CONCATENATE(_SCHEDULE_[[#This Row],[CONTEST_CODE]],"_",$U$2),_group_[ИД2],0),MATCH($U$1,_group_[#Headers],0)),"---"),".",",")</f>
        <v>---</v>
      </c>
      <c r="V140" s="41" t="str">
        <f>SUBSTITUTE(IFERROR(INDEX(_group_[],MATCH(CONCATENATE(_SCHEDULE_[[#This Row],[CONTEST_CODE]],"_",$V$2),_group_[ИД2],0),MATCH($V$1,_group_[#Headers],0)),"---"),".",",")</f>
        <v>---</v>
      </c>
      <c r="W140" s="41" t="str">
        <f>IFERROR(INDEX(_INDICATOR_[],MATCH(_SCHEDULE_[[#This Row],[CONTEST_CODE]],_INDICATOR_[CONTEST_CODE],0),MATCH($W$2,_INDICATOR_[#Headers],0)),"-")</f>
        <v>WAIT</v>
      </c>
      <c r="X140" s="41" t="str">
        <f>IFERROR(INDEX(_group_[],MATCH(_SCHEDULE_[[#This Row],[CONTEST_CODE]],_group_[CONTEST_CODE],0),MATCH($X$2,_group_[#Headers],0)),"-")</f>
        <v>BANK</v>
      </c>
      <c r="Y140" s="61" t="str">
        <f>IFERROR(INDEX(_DATA_[],MATCH(_SCHEDULE_[[#This Row],[CONTEST_CODE]],_DATA_[CONTEST_CODE],0),MATCH($Y$2,_DATA_[#Headers],0)),"-")</f>
        <v>ТФиДО. Максимизируй комиссию</v>
      </c>
      <c r="Z140" s="41" t="str">
        <f>IFERROR(INDEX(_reward_link_[],MATCH(_SCHEDULE_[[#This Row],[CONTEST_CODE]],_reward_link_[CONTEST_CODE],0),MATCH($Z$2,_reward_link_[#Headers],0)),"-")</f>
        <v>BANK</v>
      </c>
      <c r="AA140" s="41" t="str">
        <f>IFERROR(INDEX(_report[],MATCH(_SCHEDULE_[[#This Row],[CONTEST_CODE]],_report[CONTEST_CODE],0),MATCH($AA$2,_report[#Headers],0)),"-")</f>
        <v>-</v>
      </c>
      <c r="AB140"/>
    </row>
    <row r="141" spans="1:28" hidden="1" x14ac:dyDescent="0.25">
      <c r="A141" s="14" t="s">
        <v>290</v>
      </c>
      <c r="B141" s="14" t="s">
        <v>191</v>
      </c>
      <c r="C141" s="14" t="s">
        <v>192</v>
      </c>
      <c r="D141" s="14" t="s">
        <v>193</v>
      </c>
      <c r="E141" s="14" t="s">
        <v>247</v>
      </c>
      <c r="F141" s="14" t="s">
        <v>187</v>
      </c>
      <c r="G141" s="14" t="s">
        <v>188</v>
      </c>
      <c r="H141" s="14" t="s">
        <v>194</v>
      </c>
      <c r="I141" s="14" t="s">
        <v>194</v>
      </c>
      <c r="J141" s="14" t="s">
        <v>194</v>
      </c>
      <c r="K141" s="14" t="s">
        <v>176</v>
      </c>
      <c r="L141" s="14" t="s">
        <v>109</v>
      </c>
      <c r="M141" s="14" t="s">
        <v>3599</v>
      </c>
      <c r="N141" s="14" t="s">
        <v>2</v>
      </c>
      <c r="O141" s="14" t="s">
        <v>1587</v>
      </c>
      <c r="P141" s="14" t="s">
        <v>1064</v>
      </c>
      <c r="R141" s="38">
        <f>IFERROR(COUNTIFS(_report[TOURNAMENT_CODE],_SCHEDULE_[[#This Row],[TOURNAMENT_CODE]],_report[CONTEST_CODE],_SCHEDULE_[[#This Row],[CONTEST_CODE]]),"-")</f>
        <v>0</v>
      </c>
      <c r="S141" s="41" t="str">
        <f>SUBSTITUTE(IFERROR(INDEX(_group_[],MATCH(CONCATENATE(_SCHEDULE_[[#This Row],[CONTEST_CODE]],"_",$S$2),_group_[ИД2],0),MATCH($S$1,_group_[#Headers],0)),"---"),".",",")</f>
        <v>BANK</v>
      </c>
      <c r="T141" s="41" t="str">
        <f>SUBSTITUTE(IFERROR(INDEX(_group_[],MATCH(CONCATENATE(_SCHEDULE_[[#This Row],[CONTEST_CODE]],"_",$T$2),_group_[ИД2],0),MATCH($T$1,_group_[#Headers],0)),"---"),".",",")</f>
        <v>---</v>
      </c>
      <c r="U141" s="41" t="str">
        <f>SUBSTITUTE(IFERROR(INDEX(_group_[],MATCH(CONCATENATE(_SCHEDULE_[[#This Row],[CONTEST_CODE]],"_",$U$2),_group_[ИД2],0),MATCH($U$1,_group_[#Headers],0)),"---"),".",",")</f>
        <v>---</v>
      </c>
      <c r="V141" s="41" t="str">
        <f>SUBSTITUTE(IFERROR(INDEX(_group_[],MATCH(CONCATENATE(_SCHEDULE_[[#This Row],[CONTEST_CODE]],"_",$V$2),_group_[ИД2],0),MATCH($V$1,_group_[#Headers],0)),"---"),".",",")</f>
        <v>---</v>
      </c>
      <c r="W141" s="41" t="str">
        <f>IFERROR(INDEX(_INDICATOR_[],MATCH(_SCHEDULE_[[#This Row],[CONTEST_CODE]],_INDICATOR_[CONTEST_CODE],0),MATCH($W$2,_INDICATOR_[#Headers],0)),"-")</f>
        <v>WAIT</v>
      </c>
      <c r="X141" s="41" t="str">
        <f>IFERROR(INDEX(_group_[],MATCH(_SCHEDULE_[[#This Row],[CONTEST_CODE]],_group_[CONTEST_CODE],0),MATCH($X$2,_group_[#Headers],0)),"-")</f>
        <v>BANK</v>
      </c>
      <c r="Y141" s="61" t="str">
        <f>IFERROR(INDEX(_DATA_[],MATCH(_SCHEDULE_[[#This Row],[CONTEST_CODE]],_DATA_[CONTEST_CODE],0),MATCH($Y$2,_DATA_[#Headers],0)),"-")</f>
        <v>ТФиДО. Максимизируй комиссию</v>
      </c>
      <c r="Z141" s="41" t="str">
        <f>IFERROR(INDEX(_reward_link_[],MATCH(_SCHEDULE_[[#This Row],[CONTEST_CODE]],_reward_link_[CONTEST_CODE],0),MATCH($Z$2,_reward_link_[#Headers],0)),"-")</f>
        <v>BANK</v>
      </c>
      <c r="AA141" s="41" t="str">
        <f>IFERROR(INDEX(_report[],MATCH(_SCHEDULE_[[#This Row],[CONTEST_CODE]],_report[CONTEST_CODE],0),MATCH($AA$2,_report[#Headers],0)),"-")</f>
        <v>-</v>
      </c>
      <c r="AB141"/>
    </row>
    <row r="142" spans="1:28" hidden="1" x14ac:dyDescent="0.25">
      <c r="A142" s="14" t="s">
        <v>640</v>
      </c>
      <c r="B142" s="14" t="s">
        <v>209</v>
      </c>
      <c r="C142" s="14" t="s">
        <v>245</v>
      </c>
      <c r="D142" s="14" t="s">
        <v>246</v>
      </c>
      <c r="E142" s="14" t="s">
        <v>1088</v>
      </c>
      <c r="F142" s="14" t="s">
        <v>192</v>
      </c>
      <c r="G142" s="14" t="s">
        <v>193</v>
      </c>
      <c r="H142" s="14" t="s">
        <v>194</v>
      </c>
      <c r="I142" s="14" t="s">
        <v>194</v>
      </c>
      <c r="J142" s="14" t="s">
        <v>194</v>
      </c>
      <c r="K142" s="14" t="s">
        <v>176</v>
      </c>
      <c r="L142" s="14" t="s">
        <v>109</v>
      </c>
      <c r="M142" s="14" t="s">
        <v>3599</v>
      </c>
      <c r="N142" s="14" t="s">
        <v>2</v>
      </c>
      <c r="O142" s="14" t="s">
        <v>1588</v>
      </c>
      <c r="P142" s="14" t="s">
        <v>1064</v>
      </c>
      <c r="R142" s="38">
        <f>IFERROR(COUNTIFS(_report[TOURNAMENT_CODE],_SCHEDULE_[[#This Row],[TOURNAMENT_CODE]],_report[CONTEST_CODE],_SCHEDULE_[[#This Row],[CONTEST_CODE]]),"-")</f>
        <v>0</v>
      </c>
      <c r="S142" s="41" t="str">
        <f>SUBSTITUTE(IFERROR(INDEX(_group_[],MATCH(CONCATENATE(_SCHEDULE_[[#This Row],[CONTEST_CODE]],"_",$S$2),_group_[ИД2],0),MATCH($S$1,_group_[#Headers],0)),"---"),".",",")</f>
        <v>BANK</v>
      </c>
      <c r="T142" s="41" t="str">
        <f>SUBSTITUTE(IFERROR(INDEX(_group_[],MATCH(CONCATENATE(_SCHEDULE_[[#This Row],[CONTEST_CODE]],"_",$T$2),_group_[ИД2],0),MATCH($T$1,_group_[#Headers],0)),"---"),".",",")</f>
        <v>---</v>
      </c>
      <c r="U142" s="41" t="str">
        <f>SUBSTITUTE(IFERROR(INDEX(_group_[],MATCH(CONCATENATE(_SCHEDULE_[[#This Row],[CONTEST_CODE]],"_",$U$2),_group_[ИД2],0),MATCH($U$1,_group_[#Headers],0)),"---"),".",",")</f>
        <v>---</v>
      </c>
      <c r="V142" s="41" t="str">
        <f>SUBSTITUTE(IFERROR(INDEX(_group_[],MATCH(CONCATENATE(_SCHEDULE_[[#This Row],[CONTEST_CODE]],"_",$V$2),_group_[ИД2],0),MATCH($V$1,_group_[#Headers],0)),"---"),".",",")</f>
        <v>---</v>
      </c>
      <c r="W142" s="41" t="str">
        <f>IFERROR(INDEX(_INDICATOR_[],MATCH(_SCHEDULE_[[#This Row],[CONTEST_CODE]],_INDICATOR_[CONTEST_CODE],0),MATCH($W$2,_INDICATOR_[#Headers],0)),"-")</f>
        <v>WAIT</v>
      </c>
      <c r="X142" s="41" t="str">
        <f>IFERROR(INDEX(_group_[],MATCH(_SCHEDULE_[[#This Row],[CONTEST_CODE]],_group_[CONTEST_CODE],0),MATCH($X$2,_group_[#Headers],0)),"-")</f>
        <v>BANK</v>
      </c>
      <c r="Y142" s="61" t="str">
        <f>IFERROR(INDEX(_DATA_[],MATCH(_SCHEDULE_[[#This Row],[CONTEST_CODE]],_DATA_[CONTEST_CODE],0),MATCH($Y$2,_DATA_[#Headers],0)),"-")</f>
        <v>ТФиДО. Максимизируй комиссию</v>
      </c>
      <c r="Z142" s="41" t="str">
        <f>IFERROR(INDEX(_reward_link_[],MATCH(_SCHEDULE_[[#This Row],[CONTEST_CODE]],_reward_link_[CONTEST_CODE],0),MATCH($Z$2,_reward_link_[#Headers],0)),"-")</f>
        <v>BANK</v>
      </c>
      <c r="AA142" s="41" t="str">
        <f>IFERROR(INDEX(_report[],MATCH(_SCHEDULE_[[#This Row],[CONTEST_CODE]],_report[CONTEST_CODE],0),MATCH($AA$2,_report[#Headers],0)),"-")</f>
        <v>-</v>
      </c>
      <c r="AB142"/>
    </row>
    <row r="143" spans="1:28" hidden="1" x14ac:dyDescent="0.25">
      <c r="A143" s="14" t="s">
        <v>702</v>
      </c>
      <c r="B143" s="14" t="s">
        <v>210</v>
      </c>
      <c r="C143" s="14" t="s">
        <v>695</v>
      </c>
      <c r="D143" s="14" t="s">
        <v>252</v>
      </c>
      <c r="E143" s="14" t="s">
        <v>253</v>
      </c>
      <c r="F143" s="14" t="s">
        <v>245</v>
      </c>
      <c r="G143" s="14" t="s">
        <v>246</v>
      </c>
      <c r="H143" s="14" t="s">
        <v>194</v>
      </c>
      <c r="I143" s="14" t="s">
        <v>194</v>
      </c>
      <c r="J143" s="14" t="s">
        <v>194</v>
      </c>
      <c r="K143" s="14" t="s">
        <v>176</v>
      </c>
      <c r="L143" s="14" t="s">
        <v>109</v>
      </c>
      <c r="M143" s="14" t="s">
        <v>3599</v>
      </c>
      <c r="N143" s="14" t="s">
        <v>2</v>
      </c>
      <c r="O143" s="14" t="s">
        <v>1589</v>
      </c>
      <c r="P143" s="14" t="s">
        <v>1064</v>
      </c>
      <c r="R143" s="38">
        <f>IFERROR(COUNTIFS(_report[TOURNAMENT_CODE],_SCHEDULE_[[#This Row],[TOURNAMENT_CODE]],_report[CONTEST_CODE],_SCHEDULE_[[#This Row],[CONTEST_CODE]]),"-")</f>
        <v>0</v>
      </c>
      <c r="S143" s="41" t="str">
        <f>SUBSTITUTE(IFERROR(INDEX(_group_[],MATCH(CONCATENATE(_SCHEDULE_[[#This Row],[CONTEST_CODE]],"_",$S$2),_group_[ИД2],0),MATCH($S$1,_group_[#Headers],0)),"---"),".",",")</f>
        <v>BANK</v>
      </c>
      <c r="T143" s="41" t="str">
        <f>SUBSTITUTE(IFERROR(INDEX(_group_[],MATCH(CONCATENATE(_SCHEDULE_[[#This Row],[CONTEST_CODE]],"_",$T$2),_group_[ИД2],0),MATCH($T$1,_group_[#Headers],0)),"---"),".",",")</f>
        <v>---</v>
      </c>
      <c r="U143" s="41" t="str">
        <f>SUBSTITUTE(IFERROR(INDEX(_group_[],MATCH(CONCATENATE(_SCHEDULE_[[#This Row],[CONTEST_CODE]],"_",$U$2),_group_[ИД2],0),MATCH($U$1,_group_[#Headers],0)),"---"),".",",")</f>
        <v>---</v>
      </c>
      <c r="V143" s="41" t="str">
        <f>SUBSTITUTE(IFERROR(INDEX(_group_[],MATCH(CONCATENATE(_SCHEDULE_[[#This Row],[CONTEST_CODE]],"_",$V$2),_group_[ИД2],0),MATCH($V$1,_group_[#Headers],0)),"---"),".",",")</f>
        <v>---</v>
      </c>
      <c r="W143" s="41" t="str">
        <f>IFERROR(INDEX(_INDICATOR_[],MATCH(_SCHEDULE_[[#This Row],[CONTEST_CODE]],_INDICATOR_[CONTEST_CODE],0),MATCH($W$2,_INDICATOR_[#Headers],0)),"-")</f>
        <v>WAIT</v>
      </c>
      <c r="X143" s="41" t="str">
        <f>IFERROR(INDEX(_group_[],MATCH(_SCHEDULE_[[#This Row],[CONTEST_CODE]],_group_[CONTEST_CODE],0),MATCH($X$2,_group_[#Headers],0)),"-")</f>
        <v>BANK</v>
      </c>
      <c r="Y143" s="61" t="str">
        <f>IFERROR(INDEX(_DATA_[],MATCH(_SCHEDULE_[[#This Row],[CONTEST_CODE]],_DATA_[CONTEST_CODE],0),MATCH($Y$2,_DATA_[#Headers],0)),"-")</f>
        <v>ТФиДО. Максимизируй комиссию</v>
      </c>
      <c r="Z143" s="41" t="str">
        <f>IFERROR(INDEX(_reward_link_[],MATCH(_SCHEDULE_[[#This Row],[CONTEST_CODE]],_reward_link_[CONTEST_CODE],0),MATCH($Z$2,_reward_link_[#Headers],0)),"-")</f>
        <v>BANK</v>
      </c>
      <c r="AA143" s="41" t="str">
        <f>IFERROR(INDEX(_report[],MATCH(_SCHEDULE_[[#This Row],[CONTEST_CODE]],_report[CONTEST_CODE],0),MATCH($AA$2,_report[#Headers],0)),"-")</f>
        <v>-</v>
      </c>
      <c r="AB143"/>
    </row>
    <row r="144" spans="1:28" hidden="1" x14ac:dyDescent="0.25">
      <c r="A144" s="14" t="s">
        <v>1076</v>
      </c>
      <c r="B144" s="14" t="s">
        <v>213</v>
      </c>
      <c r="C144" s="14" t="s">
        <v>703</v>
      </c>
      <c r="D144" s="14" t="s">
        <v>704</v>
      </c>
      <c r="E144" s="14" t="s">
        <v>1275</v>
      </c>
      <c r="F144" s="14" t="s">
        <v>695</v>
      </c>
      <c r="G144" s="14" t="s">
        <v>252</v>
      </c>
      <c r="H144" s="14" t="s">
        <v>194</v>
      </c>
      <c r="I144" s="14" t="s">
        <v>194</v>
      </c>
      <c r="J144" s="14" t="s">
        <v>194</v>
      </c>
      <c r="K144" s="14" t="s">
        <v>176</v>
      </c>
      <c r="L144" s="14" t="s">
        <v>109</v>
      </c>
      <c r="M144" s="14" t="s">
        <v>3599</v>
      </c>
      <c r="N144" s="14" t="s">
        <v>2</v>
      </c>
      <c r="O144" s="14" t="s">
        <v>1590</v>
      </c>
      <c r="P144" s="14" t="s">
        <v>1064</v>
      </c>
      <c r="R144" s="38">
        <f>IFERROR(COUNTIFS(_report[TOURNAMENT_CODE],_SCHEDULE_[[#This Row],[TOURNAMENT_CODE]],_report[CONTEST_CODE],_SCHEDULE_[[#This Row],[CONTEST_CODE]]),"-")</f>
        <v>0</v>
      </c>
      <c r="S144" s="41" t="str">
        <f>SUBSTITUTE(IFERROR(INDEX(_group_[],MATCH(CONCATENATE(_SCHEDULE_[[#This Row],[CONTEST_CODE]],"_",$S$2),_group_[ИД2],0),MATCH($S$1,_group_[#Headers],0)),"---"),".",",")</f>
        <v>BANK</v>
      </c>
      <c r="T144" s="41" t="str">
        <f>SUBSTITUTE(IFERROR(INDEX(_group_[],MATCH(CONCATENATE(_SCHEDULE_[[#This Row],[CONTEST_CODE]],"_",$T$2),_group_[ИД2],0),MATCH($T$1,_group_[#Headers],0)),"---"),".",",")</f>
        <v>---</v>
      </c>
      <c r="U144" s="41" t="str">
        <f>SUBSTITUTE(IFERROR(INDEX(_group_[],MATCH(CONCATENATE(_SCHEDULE_[[#This Row],[CONTEST_CODE]],"_",$U$2),_group_[ИД2],0),MATCH($U$1,_group_[#Headers],0)),"---"),".",",")</f>
        <v>---</v>
      </c>
      <c r="V144" s="41" t="str">
        <f>SUBSTITUTE(IFERROR(INDEX(_group_[],MATCH(CONCATENATE(_SCHEDULE_[[#This Row],[CONTEST_CODE]],"_",$V$2),_group_[ИД2],0),MATCH($V$1,_group_[#Headers],0)),"---"),".",",")</f>
        <v>---</v>
      </c>
      <c r="W144" s="41" t="str">
        <f>IFERROR(INDEX(_INDICATOR_[],MATCH(_SCHEDULE_[[#This Row],[CONTEST_CODE]],_INDICATOR_[CONTEST_CODE],0),MATCH($W$2,_INDICATOR_[#Headers],0)),"-")</f>
        <v>WAIT</v>
      </c>
      <c r="X144" s="41" t="str">
        <f>IFERROR(INDEX(_group_[],MATCH(_SCHEDULE_[[#This Row],[CONTEST_CODE]],_group_[CONTEST_CODE],0),MATCH($X$2,_group_[#Headers],0)),"-")</f>
        <v>BANK</v>
      </c>
      <c r="Y144" s="61" t="str">
        <f>IFERROR(INDEX(_DATA_[],MATCH(_SCHEDULE_[[#This Row],[CONTEST_CODE]],_DATA_[CONTEST_CODE],0),MATCH($Y$2,_DATA_[#Headers],0)),"-")</f>
        <v>ТФиДО. Максимизируй комиссию</v>
      </c>
      <c r="Z144" s="41" t="str">
        <f>IFERROR(INDEX(_reward_link_[],MATCH(_SCHEDULE_[[#This Row],[CONTEST_CODE]],_reward_link_[CONTEST_CODE],0),MATCH($Z$2,_reward_link_[#Headers],0)),"-")</f>
        <v>BANK</v>
      </c>
      <c r="AA144" s="41" t="str">
        <f>IFERROR(INDEX(_report[],MATCH(_SCHEDULE_[[#This Row],[CONTEST_CODE]],_report[CONTEST_CODE],0),MATCH($AA$2,_report[#Headers],0)),"-")</f>
        <v>-</v>
      </c>
      <c r="AB144"/>
    </row>
    <row r="145" spans="1:28" hidden="1" x14ac:dyDescent="0.25">
      <c r="A145" s="14" t="s">
        <v>1212</v>
      </c>
      <c r="B145" s="14" t="s">
        <v>214</v>
      </c>
      <c r="C145" s="14" t="s">
        <v>1078</v>
      </c>
      <c r="D145" s="14" t="s">
        <v>1173</v>
      </c>
      <c r="E145" s="14" t="s">
        <v>1711</v>
      </c>
      <c r="F145" s="14" t="s">
        <v>703</v>
      </c>
      <c r="G145" s="14" t="s">
        <v>704</v>
      </c>
      <c r="H145" s="14" t="s">
        <v>194</v>
      </c>
      <c r="I145" s="14" t="s">
        <v>194</v>
      </c>
      <c r="J145" s="14" t="s">
        <v>194</v>
      </c>
      <c r="K145" s="14" t="s">
        <v>176</v>
      </c>
      <c r="L145" s="14" t="s">
        <v>109</v>
      </c>
      <c r="M145" s="14" t="s">
        <v>3599</v>
      </c>
      <c r="N145" s="14" t="s">
        <v>2</v>
      </c>
      <c r="O145" s="14" t="s">
        <v>1591</v>
      </c>
      <c r="P145" s="14" t="s">
        <v>1064</v>
      </c>
      <c r="R145" s="38">
        <f>IFERROR(COUNTIFS(_report[TOURNAMENT_CODE],_SCHEDULE_[[#This Row],[TOURNAMENT_CODE]],_report[CONTEST_CODE],_SCHEDULE_[[#This Row],[CONTEST_CODE]]),"-")</f>
        <v>0</v>
      </c>
      <c r="S145" s="41" t="str">
        <f>SUBSTITUTE(IFERROR(INDEX(_group_[],MATCH(CONCATENATE(_SCHEDULE_[[#This Row],[CONTEST_CODE]],"_",$S$2),_group_[ИД2],0),MATCH($S$1,_group_[#Headers],0)),"---"),".",",")</f>
        <v>BANK</v>
      </c>
      <c r="T145" s="41" t="str">
        <f>SUBSTITUTE(IFERROR(INDEX(_group_[],MATCH(CONCATENATE(_SCHEDULE_[[#This Row],[CONTEST_CODE]],"_",$T$2),_group_[ИД2],0),MATCH($T$1,_group_[#Headers],0)),"---"),".",",")</f>
        <v>---</v>
      </c>
      <c r="U145" s="41" t="str">
        <f>SUBSTITUTE(IFERROR(INDEX(_group_[],MATCH(CONCATENATE(_SCHEDULE_[[#This Row],[CONTEST_CODE]],"_",$U$2),_group_[ИД2],0),MATCH($U$1,_group_[#Headers],0)),"---"),".",",")</f>
        <v>---</v>
      </c>
      <c r="V145" s="41" t="str">
        <f>SUBSTITUTE(IFERROR(INDEX(_group_[],MATCH(CONCATENATE(_SCHEDULE_[[#This Row],[CONTEST_CODE]],"_",$V$2),_group_[ИД2],0),MATCH($V$1,_group_[#Headers],0)),"---"),".",",")</f>
        <v>---</v>
      </c>
      <c r="W145" s="41" t="str">
        <f>IFERROR(INDEX(_INDICATOR_[],MATCH(_SCHEDULE_[[#This Row],[CONTEST_CODE]],_INDICATOR_[CONTEST_CODE],0),MATCH($W$2,_INDICATOR_[#Headers],0)),"-")</f>
        <v>WAIT</v>
      </c>
      <c r="X145" s="41" t="str">
        <f>IFERROR(INDEX(_group_[],MATCH(_SCHEDULE_[[#This Row],[CONTEST_CODE]],_group_[CONTEST_CODE],0),MATCH($X$2,_group_[#Headers],0)),"-")</f>
        <v>BANK</v>
      </c>
      <c r="Y145" s="61" t="str">
        <f>IFERROR(INDEX(_DATA_[],MATCH(_SCHEDULE_[[#This Row],[CONTEST_CODE]],_DATA_[CONTEST_CODE],0),MATCH($Y$2,_DATA_[#Headers],0)),"-")</f>
        <v>ТФиДО. Максимизируй комиссию</v>
      </c>
      <c r="Z145" s="41" t="str">
        <f>IFERROR(INDEX(_reward_link_[],MATCH(_SCHEDULE_[[#This Row],[CONTEST_CODE]],_reward_link_[CONTEST_CODE],0),MATCH($Z$2,_reward_link_[#Headers],0)),"-")</f>
        <v>BANK</v>
      </c>
      <c r="AA145" s="41" t="str">
        <f>IFERROR(INDEX(_report[],MATCH(_SCHEDULE_[[#This Row],[CONTEST_CODE]],_report[CONTEST_CODE],0),MATCH($AA$2,_report[#Headers],0)),"-")</f>
        <v>-</v>
      </c>
      <c r="AB145"/>
    </row>
    <row r="146" spans="1:28" hidden="1" x14ac:dyDescent="0.25">
      <c r="A146" s="14" t="s">
        <v>1285</v>
      </c>
      <c r="B146" s="14" t="s">
        <v>215</v>
      </c>
      <c r="C146" s="14" t="s">
        <v>1225</v>
      </c>
      <c r="D146" s="14" t="s">
        <v>1070</v>
      </c>
      <c r="E146" s="14" t="s">
        <v>1712</v>
      </c>
      <c r="F146" s="14" t="s">
        <v>1078</v>
      </c>
      <c r="G146" s="14" t="s">
        <v>1173</v>
      </c>
      <c r="H146" s="14" t="s">
        <v>194</v>
      </c>
      <c r="I146" s="14" t="s">
        <v>194</v>
      </c>
      <c r="J146" s="14" t="s">
        <v>194</v>
      </c>
      <c r="K146" s="14" t="s">
        <v>176</v>
      </c>
      <c r="L146" s="14" t="s">
        <v>109</v>
      </c>
      <c r="M146" s="14" t="s">
        <v>3599</v>
      </c>
      <c r="N146" s="14" t="s">
        <v>2</v>
      </c>
      <c r="O146" s="14" t="s">
        <v>1592</v>
      </c>
      <c r="P146" s="14" t="s">
        <v>1064</v>
      </c>
      <c r="R146" s="38">
        <f>IFERROR(COUNTIFS(_report[TOURNAMENT_CODE],_SCHEDULE_[[#This Row],[TOURNAMENT_CODE]],_report[CONTEST_CODE],_SCHEDULE_[[#This Row],[CONTEST_CODE]]),"-")</f>
        <v>0</v>
      </c>
      <c r="S146" s="41" t="str">
        <f>SUBSTITUTE(IFERROR(INDEX(_group_[],MATCH(CONCATENATE(_SCHEDULE_[[#This Row],[CONTEST_CODE]],"_",$S$2),_group_[ИД2],0),MATCH($S$1,_group_[#Headers],0)),"---"),".",",")</f>
        <v>BANK</v>
      </c>
      <c r="T146" s="41" t="str">
        <f>SUBSTITUTE(IFERROR(INDEX(_group_[],MATCH(CONCATENATE(_SCHEDULE_[[#This Row],[CONTEST_CODE]],"_",$T$2),_group_[ИД2],0),MATCH($T$1,_group_[#Headers],0)),"---"),".",",")</f>
        <v>---</v>
      </c>
      <c r="U146" s="41" t="str">
        <f>SUBSTITUTE(IFERROR(INDEX(_group_[],MATCH(CONCATENATE(_SCHEDULE_[[#This Row],[CONTEST_CODE]],"_",$U$2),_group_[ИД2],0),MATCH($U$1,_group_[#Headers],0)),"---"),".",",")</f>
        <v>---</v>
      </c>
      <c r="V146" s="41" t="str">
        <f>SUBSTITUTE(IFERROR(INDEX(_group_[],MATCH(CONCATENATE(_SCHEDULE_[[#This Row],[CONTEST_CODE]],"_",$V$2),_group_[ИД2],0),MATCH($V$1,_group_[#Headers],0)),"---"),".",",")</f>
        <v>---</v>
      </c>
      <c r="W146" s="41" t="str">
        <f>IFERROR(INDEX(_INDICATOR_[],MATCH(_SCHEDULE_[[#This Row],[CONTEST_CODE]],_INDICATOR_[CONTEST_CODE],0),MATCH($W$2,_INDICATOR_[#Headers],0)),"-")</f>
        <v>WAIT</v>
      </c>
      <c r="X146" s="41" t="str">
        <f>IFERROR(INDEX(_group_[],MATCH(_SCHEDULE_[[#This Row],[CONTEST_CODE]],_group_[CONTEST_CODE],0),MATCH($X$2,_group_[#Headers],0)),"-")</f>
        <v>BANK</v>
      </c>
      <c r="Y146" s="61" t="str">
        <f>IFERROR(INDEX(_DATA_[],MATCH(_SCHEDULE_[[#This Row],[CONTEST_CODE]],_DATA_[CONTEST_CODE],0),MATCH($Y$2,_DATA_[#Headers],0)),"-")</f>
        <v>ТФиДО. Максимизируй комиссию</v>
      </c>
      <c r="Z146" s="41" t="str">
        <f>IFERROR(INDEX(_reward_link_[],MATCH(_SCHEDULE_[[#This Row],[CONTEST_CODE]],_reward_link_[CONTEST_CODE],0),MATCH($Z$2,_reward_link_[#Headers],0)),"-")</f>
        <v>BANK</v>
      </c>
      <c r="AA146" s="41" t="str">
        <f>IFERROR(INDEX(_report[],MATCH(_SCHEDULE_[[#This Row],[CONTEST_CODE]],_report[CONTEST_CODE],0),MATCH($AA$2,_report[#Headers],0)),"-")</f>
        <v>-</v>
      </c>
      <c r="AB146"/>
    </row>
    <row r="147" spans="1:28" hidden="1" x14ac:dyDescent="0.25">
      <c r="A147" s="14" t="s">
        <v>1655</v>
      </c>
      <c r="B147" s="14" t="s">
        <v>216</v>
      </c>
      <c r="C147" s="14" t="s">
        <v>1308</v>
      </c>
      <c r="D147" s="14" t="s">
        <v>1638</v>
      </c>
      <c r="E147" s="14" t="s">
        <v>1847</v>
      </c>
      <c r="F147" s="14" t="s">
        <v>1225</v>
      </c>
      <c r="G147" s="14" t="s">
        <v>1070</v>
      </c>
      <c r="H147" s="14" t="s">
        <v>194</v>
      </c>
      <c r="I147" s="14" t="s">
        <v>194</v>
      </c>
      <c r="J147" s="14" t="s">
        <v>194</v>
      </c>
      <c r="K147" s="14" t="s">
        <v>176</v>
      </c>
      <c r="L147" s="14" t="s">
        <v>109</v>
      </c>
      <c r="M147" s="14" t="s">
        <v>3599</v>
      </c>
      <c r="N147" s="14" t="s">
        <v>2</v>
      </c>
      <c r="O147" s="14" t="s">
        <v>1656</v>
      </c>
      <c r="P147" s="14" t="s">
        <v>1064</v>
      </c>
      <c r="R147" s="38">
        <f>IFERROR(COUNTIFS(_report[TOURNAMENT_CODE],_SCHEDULE_[[#This Row],[TOURNAMENT_CODE]],_report[CONTEST_CODE],_SCHEDULE_[[#This Row],[CONTEST_CODE]]),"-")</f>
        <v>0</v>
      </c>
      <c r="S147" s="41" t="str">
        <f>SUBSTITUTE(IFERROR(INDEX(_group_[],MATCH(CONCATENATE(_SCHEDULE_[[#This Row],[CONTEST_CODE]],"_",$S$2),_group_[ИД2],0),MATCH($S$1,_group_[#Headers],0)),"---"),".",",")</f>
        <v>BANK</v>
      </c>
      <c r="T147" s="41" t="str">
        <f>SUBSTITUTE(IFERROR(INDEX(_group_[],MATCH(CONCATENATE(_SCHEDULE_[[#This Row],[CONTEST_CODE]],"_",$T$2),_group_[ИД2],0),MATCH($T$1,_group_[#Headers],0)),"---"),".",",")</f>
        <v>---</v>
      </c>
      <c r="U147" s="41" t="str">
        <f>SUBSTITUTE(IFERROR(INDEX(_group_[],MATCH(CONCATENATE(_SCHEDULE_[[#This Row],[CONTEST_CODE]],"_",$U$2),_group_[ИД2],0),MATCH($U$1,_group_[#Headers],0)),"---"),".",",")</f>
        <v>---</v>
      </c>
      <c r="V147" s="41" t="str">
        <f>SUBSTITUTE(IFERROR(INDEX(_group_[],MATCH(CONCATENATE(_SCHEDULE_[[#This Row],[CONTEST_CODE]],"_",$V$2),_group_[ИД2],0),MATCH($V$1,_group_[#Headers],0)),"---"),".",",")</f>
        <v>---</v>
      </c>
      <c r="W147" s="41" t="str">
        <f>IFERROR(INDEX(_INDICATOR_[],MATCH(_SCHEDULE_[[#This Row],[CONTEST_CODE]],_INDICATOR_[CONTEST_CODE],0),MATCH($W$2,_INDICATOR_[#Headers],0)),"-")</f>
        <v>WAIT</v>
      </c>
      <c r="X147" s="41" t="str">
        <f>IFERROR(INDEX(_group_[],MATCH(_SCHEDULE_[[#This Row],[CONTEST_CODE]],_group_[CONTEST_CODE],0),MATCH($X$2,_group_[#Headers],0)),"-")</f>
        <v>BANK</v>
      </c>
      <c r="Y147" s="61" t="str">
        <f>IFERROR(INDEX(_DATA_[],MATCH(_SCHEDULE_[[#This Row],[CONTEST_CODE]],_DATA_[CONTEST_CODE],0),MATCH($Y$2,_DATA_[#Headers],0)),"-")</f>
        <v>ТФиДО. Максимизируй комиссию</v>
      </c>
      <c r="Z147" s="41" t="str">
        <f>IFERROR(INDEX(_reward_link_[],MATCH(_SCHEDULE_[[#This Row],[CONTEST_CODE]],_reward_link_[CONTEST_CODE],0),MATCH($Z$2,_reward_link_[#Headers],0)),"-")</f>
        <v>BANK</v>
      </c>
      <c r="AA147" s="41" t="str">
        <f>IFERROR(INDEX(_report[],MATCH(_SCHEDULE_[[#This Row],[CONTEST_CODE]],_report[CONTEST_CODE],0),MATCH($AA$2,_report[#Headers],0)),"-")</f>
        <v>-</v>
      </c>
      <c r="AB147"/>
    </row>
    <row r="148" spans="1:28" hidden="1" x14ac:dyDescent="0.25">
      <c r="A148" s="14" t="s">
        <v>1818</v>
      </c>
      <c r="B148" s="14" t="s">
        <v>174</v>
      </c>
      <c r="C148" s="14" t="s">
        <v>1800</v>
      </c>
      <c r="D148" s="14" t="s">
        <v>1801</v>
      </c>
      <c r="E148" s="14" t="s">
        <v>1802</v>
      </c>
      <c r="F148" s="14" t="s">
        <v>1308</v>
      </c>
      <c r="G148" s="14" t="s">
        <v>1638</v>
      </c>
      <c r="H148" s="14" t="s">
        <v>194</v>
      </c>
      <c r="I148" s="14" t="s">
        <v>194</v>
      </c>
      <c r="J148" s="14" t="s">
        <v>194</v>
      </c>
      <c r="K148" s="14" t="s">
        <v>155</v>
      </c>
      <c r="L148" s="14" t="s">
        <v>109</v>
      </c>
      <c r="M148" s="14" t="s">
        <v>3599</v>
      </c>
      <c r="N148" s="14" t="s">
        <v>2</v>
      </c>
      <c r="O148" s="14" t="s">
        <v>1819</v>
      </c>
      <c r="P148" s="14" t="s">
        <v>1064</v>
      </c>
      <c r="R148" s="38">
        <f>IFERROR(COUNTIFS(_report[TOURNAMENT_CODE],_SCHEDULE_[[#This Row],[TOURNAMENT_CODE]],_report[CONTEST_CODE],_SCHEDULE_[[#This Row],[CONTEST_CODE]]),"-")</f>
        <v>0</v>
      </c>
      <c r="S148" s="41" t="str">
        <f>SUBSTITUTE(IFERROR(INDEX(_group_[],MATCH(CONCATENATE(_SCHEDULE_[[#This Row],[CONTEST_CODE]],"_",$S$2),_group_[ИД2],0),MATCH($S$1,_group_[#Headers],0)),"---"),".",",")</f>
        <v>BANK</v>
      </c>
      <c r="T148" s="41" t="str">
        <f>SUBSTITUTE(IFERROR(INDEX(_group_[],MATCH(CONCATENATE(_SCHEDULE_[[#This Row],[CONTEST_CODE]],"_",$T$2),_group_[ИД2],0),MATCH($T$1,_group_[#Headers],0)),"---"),".",",")</f>
        <v>---</v>
      </c>
      <c r="U148" s="41" t="str">
        <f>SUBSTITUTE(IFERROR(INDEX(_group_[],MATCH(CONCATENATE(_SCHEDULE_[[#This Row],[CONTEST_CODE]],"_",$U$2),_group_[ИД2],0),MATCH($U$1,_group_[#Headers],0)),"---"),".",",")</f>
        <v>---</v>
      </c>
      <c r="V148" s="41" t="str">
        <f>SUBSTITUTE(IFERROR(INDEX(_group_[],MATCH(CONCATENATE(_SCHEDULE_[[#This Row],[CONTEST_CODE]],"_",$V$2),_group_[ИД2],0),MATCH($V$1,_group_[#Headers],0)),"---"),".",",")</f>
        <v>---</v>
      </c>
      <c r="W148" s="41" t="str">
        <f>IFERROR(INDEX(_INDICATOR_[],MATCH(_SCHEDULE_[[#This Row],[CONTEST_CODE]],_INDICATOR_[CONTEST_CODE],0),MATCH($W$2,_INDICATOR_[#Headers],0)),"-")</f>
        <v>WAIT</v>
      </c>
      <c r="X148" s="41" t="str">
        <f>IFERROR(INDEX(_group_[],MATCH(_SCHEDULE_[[#This Row],[CONTEST_CODE]],_group_[CONTEST_CODE],0),MATCH($X$2,_group_[#Headers],0)),"-")</f>
        <v>BANK</v>
      </c>
      <c r="Y148" s="61" t="str">
        <f>IFERROR(INDEX(_DATA_[],MATCH(_SCHEDULE_[[#This Row],[CONTEST_CODE]],_DATA_[CONTEST_CODE],0),MATCH($Y$2,_DATA_[#Headers],0)),"-")</f>
        <v>ТФиДО. Максимизируй комиссию</v>
      </c>
      <c r="Z148" s="41" t="str">
        <f>IFERROR(INDEX(_reward_link_[],MATCH(_SCHEDULE_[[#This Row],[CONTEST_CODE]],_reward_link_[CONTEST_CODE],0),MATCH($Z$2,_reward_link_[#Headers],0)),"-")</f>
        <v>BANK</v>
      </c>
      <c r="AA148" s="41" t="str">
        <f>IFERROR(INDEX(_report[],MATCH(_SCHEDULE_[[#This Row],[CONTEST_CODE]],_report[CONTEST_CODE],0),MATCH($AA$2,_report[#Headers],0)),"-")</f>
        <v>-</v>
      </c>
      <c r="AB148"/>
    </row>
    <row r="149" spans="1:28" hidden="1" x14ac:dyDescent="0.25">
      <c r="A149" s="14" t="s">
        <v>291</v>
      </c>
      <c r="B149" s="14" t="s">
        <v>229</v>
      </c>
      <c r="C149" s="14" t="s">
        <v>192</v>
      </c>
      <c r="D149" s="14" t="s">
        <v>252</v>
      </c>
      <c r="E149" s="14" t="s">
        <v>1170</v>
      </c>
      <c r="F149" s="14" t="s">
        <v>182</v>
      </c>
      <c r="G149" s="14" t="s">
        <v>188</v>
      </c>
      <c r="H149" s="14" t="s">
        <v>194</v>
      </c>
      <c r="I149" s="14" t="s">
        <v>194</v>
      </c>
      <c r="J149" s="14" t="s">
        <v>194</v>
      </c>
      <c r="K149" s="14" t="s">
        <v>176</v>
      </c>
      <c r="L149" s="14" t="s">
        <v>116</v>
      </c>
      <c r="M149" s="14" t="s">
        <v>3599</v>
      </c>
      <c r="N149" s="14" t="s">
        <v>2</v>
      </c>
      <c r="O149" s="14" t="s">
        <v>1593</v>
      </c>
      <c r="P149" s="14" t="s">
        <v>1064</v>
      </c>
      <c r="R149" s="38">
        <f>IFERROR(COUNTIFS(_report[TOURNAMENT_CODE],_SCHEDULE_[[#This Row],[TOURNAMENT_CODE]],_report[CONTEST_CODE],_SCHEDULE_[[#This Row],[CONTEST_CODE]]),"-")</f>
        <v>0</v>
      </c>
      <c r="S149" s="41" t="str">
        <f>SUBSTITUTE(IFERROR(INDEX(_group_[],MATCH(CONCATENATE(_SCHEDULE_[[#This Row],[CONTEST_CODE]],"_",$S$2),_group_[ИД2],0),MATCH($S$1,_group_[#Headers],0)),"---"),".",",")</f>
        <v>BANK</v>
      </c>
      <c r="T149" s="41" t="str">
        <f>SUBSTITUTE(IFERROR(INDEX(_group_[],MATCH(CONCATENATE(_SCHEDULE_[[#This Row],[CONTEST_CODE]],"_",$T$2),_group_[ИД2],0),MATCH($T$1,_group_[#Headers],0)),"---"),".",",")</f>
        <v>---</v>
      </c>
      <c r="U149" s="41" t="str">
        <f>SUBSTITUTE(IFERROR(INDEX(_group_[],MATCH(CONCATENATE(_SCHEDULE_[[#This Row],[CONTEST_CODE]],"_",$U$2),_group_[ИД2],0),MATCH($U$1,_group_[#Headers],0)),"---"),".",",")</f>
        <v>---</v>
      </c>
      <c r="V149" s="41" t="str">
        <f>SUBSTITUTE(IFERROR(INDEX(_group_[],MATCH(CONCATENATE(_SCHEDULE_[[#This Row],[CONTEST_CODE]],"_",$V$2),_group_[ИД2],0),MATCH($V$1,_group_[#Headers],0)),"---"),".",",")</f>
        <v>---</v>
      </c>
      <c r="W149" s="41" t="str">
        <f>IFERROR(INDEX(_INDICATOR_[],MATCH(_SCHEDULE_[[#This Row],[CONTEST_CODE]],_INDICATOR_[CONTEST_CODE],0),MATCH($W$2,_INDICATOR_[#Headers],0)),"-")</f>
        <v>WAIT</v>
      </c>
      <c r="X149" s="41" t="str">
        <f>IFERROR(INDEX(_group_[],MATCH(_SCHEDULE_[[#This Row],[CONTEST_CODE]],_group_[CONTEST_CODE],0),MATCH($X$2,_group_[#Headers],0)),"-")</f>
        <v>BANK</v>
      </c>
      <c r="Y149" s="61" t="str">
        <f>IFERROR(INDEX(_DATA_[],MATCH(_SCHEDULE_[[#This Row],[CONTEST_CODE]],_DATA_[CONTEST_CODE],0),MATCH($Y$2,_DATA_[#Headers],0)),"-")</f>
        <v>Лизинг. Максимизируй сумму договоров</v>
      </c>
      <c r="Z149" s="41" t="str">
        <f>IFERROR(INDEX(_reward_link_[],MATCH(_SCHEDULE_[[#This Row],[CONTEST_CODE]],_reward_link_[CONTEST_CODE],0),MATCH($Z$2,_reward_link_[#Headers],0)),"-")</f>
        <v>BANK</v>
      </c>
      <c r="AA149" s="41" t="str">
        <f>IFERROR(INDEX(_report[],MATCH(_SCHEDULE_[[#This Row],[CONTEST_CODE]],_report[CONTEST_CODE],0),MATCH($AA$2,_report[#Headers],0)),"-")</f>
        <v>-</v>
      </c>
      <c r="AB149"/>
    </row>
    <row r="150" spans="1:28" hidden="1" x14ac:dyDescent="0.25">
      <c r="A150" s="14" t="s">
        <v>1077</v>
      </c>
      <c r="B150" s="14" t="s">
        <v>229</v>
      </c>
      <c r="C150" s="14" t="s">
        <v>703</v>
      </c>
      <c r="D150" s="14" t="s">
        <v>1070</v>
      </c>
      <c r="E150" s="14" t="s">
        <v>1711</v>
      </c>
      <c r="F150" s="14" t="s">
        <v>192</v>
      </c>
      <c r="G150" s="14" t="s">
        <v>252</v>
      </c>
      <c r="H150" s="14" t="s">
        <v>194</v>
      </c>
      <c r="I150" s="14" t="s">
        <v>194</v>
      </c>
      <c r="J150" s="14" t="s">
        <v>194</v>
      </c>
      <c r="K150" s="14" t="s">
        <v>176</v>
      </c>
      <c r="L150" s="14" t="s">
        <v>116</v>
      </c>
      <c r="M150" s="14" t="s">
        <v>3599</v>
      </c>
      <c r="N150" s="14" t="s">
        <v>2</v>
      </c>
      <c r="O150" s="14" t="s">
        <v>1594</v>
      </c>
      <c r="P150" s="14" t="s">
        <v>1064</v>
      </c>
      <c r="R150" s="38">
        <f>IFERROR(COUNTIFS(_report[TOURNAMENT_CODE],_SCHEDULE_[[#This Row],[TOURNAMENT_CODE]],_report[CONTEST_CODE],_SCHEDULE_[[#This Row],[CONTEST_CODE]]),"-")</f>
        <v>0</v>
      </c>
      <c r="S150" s="41" t="str">
        <f>SUBSTITUTE(IFERROR(INDEX(_group_[],MATCH(CONCATENATE(_SCHEDULE_[[#This Row],[CONTEST_CODE]],"_",$S$2),_group_[ИД2],0),MATCH($S$1,_group_[#Headers],0)),"---"),".",",")</f>
        <v>BANK</v>
      </c>
      <c r="T150" s="41" t="str">
        <f>SUBSTITUTE(IFERROR(INDEX(_group_[],MATCH(CONCATENATE(_SCHEDULE_[[#This Row],[CONTEST_CODE]],"_",$T$2),_group_[ИД2],0),MATCH($T$1,_group_[#Headers],0)),"---"),".",",")</f>
        <v>---</v>
      </c>
      <c r="U150" s="41" t="str">
        <f>SUBSTITUTE(IFERROR(INDEX(_group_[],MATCH(CONCATENATE(_SCHEDULE_[[#This Row],[CONTEST_CODE]],"_",$U$2),_group_[ИД2],0),MATCH($U$1,_group_[#Headers],0)),"---"),".",",")</f>
        <v>---</v>
      </c>
      <c r="V150" s="41" t="str">
        <f>SUBSTITUTE(IFERROR(INDEX(_group_[],MATCH(CONCATENATE(_SCHEDULE_[[#This Row],[CONTEST_CODE]],"_",$V$2),_group_[ИД2],0),MATCH($V$1,_group_[#Headers],0)),"---"),".",",")</f>
        <v>---</v>
      </c>
      <c r="W150" s="41" t="str">
        <f>IFERROR(INDEX(_INDICATOR_[],MATCH(_SCHEDULE_[[#This Row],[CONTEST_CODE]],_INDICATOR_[CONTEST_CODE],0),MATCH($W$2,_INDICATOR_[#Headers],0)),"-")</f>
        <v>WAIT</v>
      </c>
      <c r="X150" s="41" t="str">
        <f>IFERROR(INDEX(_group_[],MATCH(_SCHEDULE_[[#This Row],[CONTEST_CODE]],_group_[CONTEST_CODE],0),MATCH($X$2,_group_[#Headers],0)),"-")</f>
        <v>BANK</v>
      </c>
      <c r="Y150" s="61" t="str">
        <f>IFERROR(INDEX(_DATA_[],MATCH(_SCHEDULE_[[#This Row],[CONTEST_CODE]],_DATA_[CONTEST_CODE],0),MATCH($Y$2,_DATA_[#Headers],0)),"-")</f>
        <v>Лизинг. Максимизируй сумму договоров</v>
      </c>
      <c r="Z150" s="41" t="str">
        <f>IFERROR(INDEX(_reward_link_[],MATCH(_SCHEDULE_[[#This Row],[CONTEST_CODE]],_reward_link_[CONTEST_CODE],0),MATCH($Z$2,_reward_link_[#Headers],0)),"-")</f>
        <v>BANK</v>
      </c>
      <c r="AA150" s="41" t="str">
        <f>IFERROR(INDEX(_report[],MATCH(_SCHEDULE_[[#This Row],[CONTEST_CODE]],_report[CONTEST_CODE],0),MATCH($AA$2,_report[#Headers],0)),"-")</f>
        <v>-</v>
      </c>
      <c r="AB150"/>
    </row>
    <row r="151" spans="1:28" hidden="1" x14ac:dyDescent="0.25">
      <c r="A151" s="14" t="s">
        <v>1657</v>
      </c>
      <c r="B151" s="14" t="s">
        <v>229</v>
      </c>
      <c r="C151" s="14" t="s">
        <v>1308</v>
      </c>
      <c r="D151" s="14" t="s">
        <v>642</v>
      </c>
      <c r="E151" s="14" t="s">
        <v>2131</v>
      </c>
      <c r="F151" s="14" t="s">
        <v>703</v>
      </c>
      <c r="G151" s="14" t="s">
        <v>1070</v>
      </c>
      <c r="H151" s="14" t="s">
        <v>194</v>
      </c>
      <c r="I151" s="14" t="s">
        <v>194</v>
      </c>
      <c r="J151" s="14" t="s">
        <v>194</v>
      </c>
      <c r="K151" s="14" t="s">
        <v>176</v>
      </c>
      <c r="L151" s="14" t="s">
        <v>116</v>
      </c>
      <c r="M151" s="14" t="s">
        <v>3599</v>
      </c>
      <c r="N151" s="14" t="s">
        <v>2</v>
      </c>
      <c r="O151" s="14" t="s">
        <v>1658</v>
      </c>
      <c r="P151" s="14" t="s">
        <v>1064</v>
      </c>
      <c r="R151" s="38">
        <f>IFERROR(COUNTIFS(_report[TOURNAMENT_CODE],_SCHEDULE_[[#This Row],[TOURNAMENT_CODE]],_report[CONTEST_CODE],_SCHEDULE_[[#This Row],[CONTEST_CODE]]),"-")</f>
        <v>0</v>
      </c>
      <c r="S151" s="41" t="str">
        <f>SUBSTITUTE(IFERROR(INDEX(_group_[],MATCH(CONCATENATE(_SCHEDULE_[[#This Row],[CONTEST_CODE]],"_",$S$2),_group_[ИД2],0),MATCH($S$1,_group_[#Headers],0)),"---"),".",",")</f>
        <v>BANK</v>
      </c>
      <c r="T151" s="41" t="str">
        <f>SUBSTITUTE(IFERROR(INDEX(_group_[],MATCH(CONCATENATE(_SCHEDULE_[[#This Row],[CONTEST_CODE]],"_",$T$2),_group_[ИД2],0),MATCH($T$1,_group_[#Headers],0)),"---"),".",",")</f>
        <v>---</v>
      </c>
      <c r="U151" s="41" t="str">
        <f>SUBSTITUTE(IFERROR(INDEX(_group_[],MATCH(CONCATENATE(_SCHEDULE_[[#This Row],[CONTEST_CODE]],"_",$U$2),_group_[ИД2],0),MATCH($U$1,_group_[#Headers],0)),"---"),".",",")</f>
        <v>---</v>
      </c>
      <c r="V151" s="41" t="str">
        <f>SUBSTITUTE(IFERROR(INDEX(_group_[],MATCH(CONCATENATE(_SCHEDULE_[[#This Row],[CONTEST_CODE]],"_",$V$2),_group_[ИД2],0),MATCH($V$1,_group_[#Headers],0)),"---"),".",",")</f>
        <v>---</v>
      </c>
      <c r="W151" s="41" t="str">
        <f>IFERROR(INDEX(_INDICATOR_[],MATCH(_SCHEDULE_[[#This Row],[CONTEST_CODE]],_INDICATOR_[CONTEST_CODE],0),MATCH($W$2,_INDICATOR_[#Headers],0)),"-")</f>
        <v>WAIT</v>
      </c>
      <c r="X151" s="41" t="str">
        <f>IFERROR(INDEX(_group_[],MATCH(_SCHEDULE_[[#This Row],[CONTEST_CODE]],_group_[CONTEST_CODE],0),MATCH($X$2,_group_[#Headers],0)),"-")</f>
        <v>BANK</v>
      </c>
      <c r="Y151" s="61" t="str">
        <f>IFERROR(INDEX(_DATA_[],MATCH(_SCHEDULE_[[#This Row],[CONTEST_CODE]],_DATA_[CONTEST_CODE],0),MATCH($Y$2,_DATA_[#Headers],0)),"-")</f>
        <v>Лизинг. Максимизируй сумму договоров</v>
      </c>
      <c r="Z151" s="41" t="str">
        <f>IFERROR(INDEX(_reward_link_[],MATCH(_SCHEDULE_[[#This Row],[CONTEST_CODE]],_reward_link_[CONTEST_CODE],0),MATCH($Z$2,_reward_link_[#Headers],0)),"-")</f>
        <v>BANK</v>
      </c>
      <c r="AA151" s="41" t="str">
        <f>IFERROR(INDEX(_report[],MATCH(_SCHEDULE_[[#This Row],[CONTEST_CODE]],_report[CONTEST_CODE],0),MATCH($AA$2,_report[#Headers],0)),"-")</f>
        <v>-</v>
      </c>
      <c r="AB151"/>
    </row>
    <row r="152" spans="1:28" hidden="1" x14ac:dyDescent="0.25">
      <c r="A152" s="14" t="s">
        <v>292</v>
      </c>
      <c r="B152" s="14" t="s">
        <v>229</v>
      </c>
      <c r="C152" s="14" t="s">
        <v>192</v>
      </c>
      <c r="D152" s="14" t="s">
        <v>252</v>
      </c>
      <c r="E152" s="14" t="s">
        <v>1170</v>
      </c>
      <c r="F152" s="14" t="s">
        <v>182</v>
      </c>
      <c r="G152" s="14" t="s">
        <v>188</v>
      </c>
      <c r="H152" s="14" t="s">
        <v>194</v>
      </c>
      <c r="I152" s="14" t="s">
        <v>194</v>
      </c>
      <c r="J152" s="14" t="s">
        <v>194</v>
      </c>
      <c r="K152" s="14" t="s">
        <v>176</v>
      </c>
      <c r="L152" s="14" t="s">
        <v>119</v>
      </c>
      <c r="M152" s="14" t="s">
        <v>3599</v>
      </c>
      <c r="N152" s="14" t="s">
        <v>2</v>
      </c>
      <c r="O152" s="14" t="s">
        <v>1595</v>
      </c>
      <c r="P152" s="14" t="s">
        <v>1064</v>
      </c>
      <c r="R152" s="38">
        <f>IFERROR(COUNTIFS(_report[TOURNAMENT_CODE],_SCHEDULE_[[#This Row],[TOURNAMENT_CODE]],_report[CONTEST_CODE],_SCHEDULE_[[#This Row],[CONTEST_CODE]]),"-")</f>
        <v>0</v>
      </c>
      <c r="S152" s="41" t="str">
        <f>SUBSTITUTE(IFERROR(INDEX(_group_[],MATCH(CONCATENATE(_SCHEDULE_[[#This Row],[CONTEST_CODE]],"_",$S$2),_group_[ИД2],0),MATCH($S$1,_group_[#Headers],0)),"---"),".",",")</f>
        <v>BANK</v>
      </c>
      <c r="T152" s="41" t="str">
        <f>SUBSTITUTE(IFERROR(INDEX(_group_[],MATCH(CONCATENATE(_SCHEDULE_[[#This Row],[CONTEST_CODE]],"_",$T$2),_group_[ИД2],0),MATCH($T$1,_group_[#Headers],0)),"---"),".",",")</f>
        <v>---</v>
      </c>
      <c r="U152" s="41" t="str">
        <f>SUBSTITUTE(IFERROR(INDEX(_group_[],MATCH(CONCATENATE(_SCHEDULE_[[#This Row],[CONTEST_CODE]],"_",$U$2),_group_[ИД2],0),MATCH($U$1,_group_[#Headers],0)),"---"),".",",")</f>
        <v>---</v>
      </c>
      <c r="V152" s="41" t="str">
        <f>SUBSTITUTE(IFERROR(INDEX(_group_[],MATCH(CONCATENATE(_SCHEDULE_[[#This Row],[CONTEST_CODE]],"_",$V$2),_group_[ИД2],0),MATCH($V$1,_group_[#Headers],0)),"---"),".",",")</f>
        <v>---</v>
      </c>
      <c r="W152" s="41" t="str">
        <f>IFERROR(INDEX(_INDICATOR_[],MATCH(_SCHEDULE_[[#This Row],[CONTEST_CODE]],_INDICATOR_[CONTEST_CODE],0),MATCH($W$2,_INDICATOR_[#Headers],0)),"-")</f>
        <v>WAIT</v>
      </c>
      <c r="X152" s="41" t="str">
        <f>IFERROR(INDEX(_group_[],MATCH(_SCHEDULE_[[#This Row],[CONTEST_CODE]],_group_[CONTEST_CODE],0),MATCH($X$2,_group_[#Headers],0)),"-")</f>
        <v>BANK</v>
      </c>
      <c r="Y152" s="61" t="str">
        <f>IFERROR(INDEX(_DATA_[],MATCH(_SCHEDULE_[[#This Row],[CONTEST_CODE]],_DATA_[CONTEST_CODE],0),MATCH($Y$2,_DATA_[#Headers],0)),"-")</f>
        <v>Лизинг. Максимизируй число клиентов</v>
      </c>
      <c r="Z152" s="41" t="str">
        <f>IFERROR(INDEX(_reward_link_[],MATCH(_SCHEDULE_[[#This Row],[CONTEST_CODE]],_reward_link_[CONTEST_CODE],0),MATCH($Z$2,_reward_link_[#Headers],0)),"-")</f>
        <v>BANK</v>
      </c>
      <c r="AA152" s="41" t="str">
        <f>IFERROR(INDEX(_report[],MATCH(_SCHEDULE_[[#This Row],[CONTEST_CODE]],_report[CONTEST_CODE],0),MATCH($AA$2,_report[#Headers],0)),"-")</f>
        <v>-</v>
      </c>
      <c r="AB152"/>
    </row>
    <row r="153" spans="1:28" hidden="1" x14ac:dyDescent="0.25">
      <c r="A153" s="14" t="s">
        <v>1160</v>
      </c>
      <c r="B153" s="14" t="s">
        <v>229</v>
      </c>
      <c r="C153" s="14" t="s">
        <v>703</v>
      </c>
      <c r="D153" s="14" t="s">
        <v>1070</v>
      </c>
      <c r="E153" s="14" t="s">
        <v>1711</v>
      </c>
      <c r="F153" s="14" t="s">
        <v>192</v>
      </c>
      <c r="G153" s="14" t="s">
        <v>252</v>
      </c>
      <c r="H153" s="14" t="s">
        <v>194</v>
      </c>
      <c r="I153" s="14" t="s">
        <v>194</v>
      </c>
      <c r="J153" s="14" t="s">
        <v>194</v>
      </c>
      <c r="K153" s="14" t="s">
        <v>176</v>
      </c>
      <c r="L153" s="14" t="s">
        <v>119</v>
      </c>
      <c r="M153" s="14" t="s">
        <v>3599</v>
      </c>
      <c r="N153" s="14" t="s">
        <v>2</v>
      </c>
      <c r="O153" s="14" t="s">
        <v>1596</v>
      </c>
      <c r="P153" s="14" t="s">
        <v>1064</v>
      </c>
      <c r="R153" s="38">
        <f>IFERROR(COUNTIFS(_report[TOURNAMENT_CODE],_SCHEDULE_[[#This Row],[TOURNAMENT_CODE]],_report[CONTEST_CODE],_SCHEDULE_[[#This Row],[CONTEST_CODE]]),"-")</f>
        <v>0</v>
      </c>
      <c r="S153" s="41" t="str">
        <f>SUBSTITUTE(IFERROR(INDEX(_group_[],MATCH(CONCATENATE(_SCHEDULE_[[#This Row],[CONTEST_CODE]],"_",$S$2),_group_[ИД2],0),MATCH($S$1,_group_[#Headers],0)),"---"),".",",")</f>
        <v>BANK</v>
      </c>
      <c r="T153" s="41" t="str">
        <f>SUBSTITUTE(IFERROR(INDEX(_group_[],MATCH(CONCATENATE(_SCHEDULE_[[#This Row],[CONTEST_CODE]],"_",$T$2),_group_[ИД2],0),MATCH($T$1,_group_[#Headers],0)),"---"),".",",")</f>
        <v>---</v>
      </c>
      <c r="U153" s="41" t="str">
        <f>SUBSTITUTE(IFERROR(INDEX(_group_[],MATCH(CONCATENATE(_SCHEDULE_[[#This Row],[CONTEST_CODE]],"_",$U$2),_group_[ИД2],0),MATCH($U$1,_group_[#Headers],0)),"---"),".",",")</f>
        <v>---</v>
      </c>
      <c r="V153" s="41" t="str">
        <f>SUBSTITUTE(IFERROR(INDEX(_group_[],MATCH(CONCATENATE(_SCHEDULE_[[#This Row],[CONTEST_CODE]],"_",$V$2),_group_[ИД2],0),MATCH($V$1,_group_[#Headers],0)),"---"),".",",")</f>
        <v>---</v>
      </c>
      <c r="W153" s="41" t="str">
        <f>IFERROR(INDEX(_INDICATOR_[],MATCH(_SCHEDULE_[[#This Row],[CONTEST_CODE]],_INDICATOR_[CONTEST_CODE],0),MATCH($W$2,_INDICATOR_[#Headers],0)),"-")</f>
        <v>WAIT</v>
      </c>
      <c r="X153" s="41" t="str">
        <f>IFERROR(INDEX(_group_[],MATCH(_SCHEDULE_[[#This Row],[CONTEST_CODE]],_group_[CONTEST_CODE],0),MATCH($X$2,_group_[#Headers],0)),"-")</f>
        <v>BANK</v>
      </c>
      <c r="Y153" s="61" t="str">
        <f>IFERROR(INDEX(_DATA_[],MATCH(_SCHEDULE_[[#This Row],[CONTEST_CODE]],_DATA_[CONTEST_CODE],0),MATCH($Y$2,_DATA_[#Headers],0)),"-")</f>
        <v>Лизинг. Максимизируй число клиентов</v>
      </c>
      <c r="Z153" s="41" t="str">
        <f>IFERROR(INDEX(_reward_link_[],MATCH(_SCHEDULE_[[#This Row],[CONTEST_CODE]],_reward_link_[CONTEST_CODE],0),MATCH($Z$2,_reward_link_[#Headers],0)),"-")</f>
        <v>BANK</v>
      </c>
      <c r="AA153" s="41" t="str">
        <f>IFERROR(INDEX(_report[],MATCH(_SCHEDULE_[[#This Row],[CONTEST_CODE]],_report[CONTEST_CODE],0),MATCH($AA$2,_report[#Headers],0)),"-")</f>
        <v>-</v>
      </c>
      <c r="AB153"/>
    </row>
    <row r="154" spans="1:28" hidden="1" x14ac:dyDescent="0.25">
      <c r="A154" s="14" t="s">
        <v>1659</v>
      </c>
      <c r="B154" s="14" t="s">
        <v>229</v>
      </c>
      <c r="C154" s="14" t="s">
        <v>1225</v>
      </c>
      <c r="D154" s="14" t="s">
        <v>642</v>
      </c>
      <c r="E154" s="14" t="s">
        <v>2131</v>
      </c>
      <c r="F154" s="14" t="s">
        <v>703</v>
      </c>
      <c r="G154" s="14" t="s">
        <v>1070</v>
      </c>
      <c r="H154" s="14" t="s">
        <v>194</v>
      </c>
      <c r="I154" s="14" t="s">
        <v>194</v>
      </c>
      <c r="J154" s="14" t="s">
        <v>194</v>
      </c>
      <c r="K154" s="14" t="s">
        <v>176</v>
      </c>
      <c r="L154" s="14" t="s">
        <v>119</v>
      </c>
      <c r="M154" s="14" t="s">
        <v>3599</v>
      </c>
      <c r="N154" s="14" t="s">
        <v>2</v>
      </c>
      <c r="O154" s="14" t="s">
        <v>1660</v>
      </c>
      <c r="P154" s="14" t="s">
        <v>1064</v>
      </c>
      <c r="R154" s="38">
        <f>IFERROR(COUNTIFS(_report[TOURNAMENT_CODE],_SCHEDULE_[[#This Row],[TOURNAMENT_CODE]],_report[CONTEST_CODE],_SCHEDULE_[[#This Row],[CONTEST_CODE]]),"-")</f>
        <v>0</v>
      </c>
      <c r="S154" s="41" t="str">
        <f>SUBSTITUTE(IFERROR(INDEX(_group_[],MATCH(CONCATENATE(_SCHEDULE_[[#This Row],[CONTEST_CODE]],"_",$S$2),_group_[ИД2],0),MATCH($S$1,_group_[#Headers],0)),"---"),".",",")</f>
        <v>BANK</v>
      </c>
      <c r="T154" s="41" t="str">
        <f>SUBSTITUTE(IFERROR(INDEX(_group_[],MATCH(CONCATENATE(_SCHEDULE_[[#This Row],[CONTEST_CODE]],"_",$T$2),_group_[ИД2],0),MATCH($T$1,_group_[#Headers],0)),"---"),".",",")</f>
        <v>---</v>
      </c>
      <c r="U154" s="41" t="str">
        <f>SUBSTITUTE(IFERROR(INDEX(_group_[],MATCH(CONCATENATE(_SCHEDULE_[[#This Row],[CONTEST_CODE]],"_",$U$2),_group_[ИД2],0),MATCH($U$1,_group_[#Headers],0)),"---"),".",",")</f>
        <v>---</v>
      </c>
      <c r="V154" s="41" t="str">
        <f>SUBSTITUTE(IFERROR(INDEX(_group_[],MATCH(CONCATENATE(_SCHEDULE_[[#This Row],[CONTEST_CODE]],"_",$V$2),_group_[ИД2],0),MATCH($V$1,_group_[#Headers],0)),"---"),".",",")</f>
        <v>---</v>
      </c>
      <c r="W154" s="41" t="str">
        <f>IFERROR(INDEX(_INDICATOR_[],MATCH(_SCHEDULE_[[#This Row],[CONTEST_CODE]],_INDICATOR_[CONTEST_CODE],0),MATCH($W$2,_INDICATOR_[#Headers],0)),"-")</f>
        <v>WAIT</v>
      </c>
      <c r="X154" s="41" t="str">
        <f>IFERROR(INDEX(_group_[],MATCH(_SCHEDULE_[[#This Row],[CONTEST_CODE]],_group_[CONTEST_CODE],0),MATCH($X$2,_group_[#Headers],0)),"-")</f>
        <v>BANK</v>
      </c>
      <c r="Y154" s="61" t="str">
        <f>IFERROR(INDEX(_DATA_[],MATCH(_SCHEDULE_[[#This Row],[CONTEST_CODE]],_DATA_[CONTEST_CODE],0),MATCH($Y$2,_DATA_[#Headers],0)),"-")</f>
        <v>Лизинг. Максимизируй число клиентов</v>
      </c>
      <c r="Z154" s="41" t="str">
        <f>IFERROR(INDEX(_reward_link_[],MATCH(_SCHEDULE_[[#This Row],[CONTEST_CODE]],_reward_link_[CONTEST_CODE],0),MATCH($Z$2,_reward_link_[#Headers],0)),"-")</f>
        <v>BANK</v>
      </c>
      <c r="AA154" s="41" t="str">
        <f>IFERROR(INDEX(_report[],MATCH(_SCHEDULE_[[#This Row],[CONTEST_CODE]],_report[CONTEST_CODE],0),MATCH($AA$2,_report[#Headers],0)),"-")</f>
        <v>-</v>
      </c>
      <c r="AB154"/>
    </row>
    <row r="155" spans="1:28" hidden="1" x14ac:dyDescent="0.25">
      <c r="A155" s="14" t="s">
        <v>293</v>
      </c>
      <c r="B155" s="14" t="s">
        <v>210</v>
      </c>
      <c r="C155" s="14" t="s">
        <v>695</v>
      </c>
      <c r="D155" s="14" t="s">
        <v>252</v>
      </c>
      <c r="E155" s="14" t="s">
        <v>1205</v>
      </c>
      <c r="F155" s="14" t="s">
        <v>245</v>
      </c>
      <c r="G155" s="14" t="s">
        <v>246</v>
      </c>
      <c r="H155" s="14" t="s">
        <v>194</v>
      </c>
      <c r="I155" s="14" t="s">
        <v>194</v>
      </c>
      <c r="J155" s="14" t="s">
        <v>194</v>
      </c>
      <c r="K155" s="14" t="s">
        <v>176</v>
      </c>
      <c r="L155" s="14" t="s">
        <v>122</v>
      </c>
      <c r="M155" s="14" t="s">
        <v>3599</v>
      </c>
      <c r="N155" s="14" t="s">
        <v>2</v>
      </c>
      <c r="O155" s="14" t="s">
        <v>1597</v>
      </c>
      <c r="P155" s="14" t="s">
        <v>1064</v>
      </c>
      <c r="R155" s="38">
        <f>IFERROR(COUNTIFS(_report[TOURNAMENT_CODE],_SCHEDULE_[[#This Row],[TOURNAMENT_CODE]],_report[CONTEST_CODE],_SCHEDULE_[[#This Row],[CONTEST_CODE]]),"-")</f>
        <v>0</v>
      </c>
      <c r="S155" s="41" t="str">
        <f>SUBSTITUTE(IFERROR(INDEX(_group_[],MATCH(CONCATENATE(_SCHEDULE_[[#This Row],[CONTEST_CODE]],"_",$S$2),_group_[ИД2],0),MATCH($S$1,_group_[#Headers],0)),"---"),".",",")</f>
        <v>BANK</v>
      </c>
      <c r="T155" s="41" t="str">
        <f>SUBSTITUTE(IFERROR(INDEX(_group_[],MATCH(CONCATENATE(_SCHEDULE_[[#This Row],[CONTEST_CODE]],"_",$T$2),_group_[ИД2],0),MATCH($T$1,_group_[#Headers],0)),"---"),".",",")</f>
        <v>TB</v>
      </c>
      <c r="U155" s="41" t="str">
        <f>SUBSTITUTE(IFERROR(INDEX(_group_[],MATCH(CONCATENATE(_SCHEDULE_[[#This Row],[CONTEST_CODE]],"_",$U$2),_group_[ИД2],0),MATCH($U$1,_group_[#Headers],0)),"---"),".",",")</f>
        <v>GOSB</v>
      </c>
      <c r="V155" s="41" t="str">
        <f>SUBSTITUTE(IFERROR(INDEX(_group_[],MATCH(CONCATENATE(_SCHEDULE_[[#This Row],[CONTEST_CODE]],"_",$V$2),_group_[ИД2],0),MATCH($V$1,_group_[#Headers],0)),"---"),".",",")</f>
        <v>---</v>
      </c>
      <c r="W155" s="41" t="str">
        <f>IFERROR(INDEX(_INDICATOR_[],MATCH(_SCHEDULE_[[#This Row],[CONTEST_CODE]],_INDICATOR_[CONTEST_CODE],0),MATCH($W$2,_INDICATOR_[#Headers],0)),"-")</f>
        <v>WAIT</v>
      </c>
      <c r="X155" s="41" t="str">
        <f>IFERROR(INDEX(_group_[],MATCH(_SCHEDULE_[[#This Row],[CONTEST_CODE]],_group_[CONTEST_CODE],0),MATCH($X$2,_group_[#Headers],0)),"-")</f>
        <v>BANK</v>
      </c>
      <c r="Y155" s="61" t="str">
        <f>IFERROR(INDEX(_DATA_[],MATCH(_SCHEDULE_[[#This Row],[CONTEST_CODE]],_DATA_[CONTEST_CODE],0),MATCH($Y$2,_DATA_[#Headers],0)),"-")</f>
        <v>Интернализация. Повышаем уровень</v>
      </c>
      <c r="Z155" s="41" t="str">
        <f>IFERROR(INDEX(_reward_link_[],MATCH(_SCHEDULE_[[#This Row],[CONTEST_CODE]],_reward_link_[CONTEST_CODE],0),MATCH($Z$2,_reward_link_[#Headers],0)),"-")</f>
        <v>GOSB</v>
      </c>
      <c r="AA155" s="41" t="str">
        <f>IFERROR(INDEX(_report[],MATCH(_SCHEDULE_[[#This Row],[CONTEST_CODE]],_report[CONTEST_CODE],0),MATCH($AA$2,_report[#Headers],0)),"-")</f>
        <v>-</v>
      </c>
      <c r="AB155"/>
    </row>
    <row r="156" spans="1:28" hidden="1" x14ac:dyDescent="0.25">
      <c r="A156" s="14" t="s">
        <v>660</v>
      </c>
      <c r="B156" s="14" t="s">
        <v>213</v>
      </c>
      <c r="C156" s="14" t="s">
        <v>703</v>
      </c>
      <c r="D156" s="14" t="s">
        <v>704</v>
      </c>
      <c r="E156" s="14" t="s">
        <v>1173</v>
      </c>
      <c r="F156" s="14" t="s">
        <v>695</v>
      </c>
      <c r="G156" s="14" t="s">
        <v>252</v>
      </c>
      <c r="H156" s="14" t="s">
        <v>194</v>
      </c>
      <c r="I156" s="14" t="s">
        <v>194</v>
      </c>
      <c r="J156" s="14" t="s">
        <v>194</v>
      </c>
      <c r="K156" s="14" t="s">
        <v>176</v>
      </c>
      <c r="L156" s="14" t="s">
        <v>122</v>
      </c>
      <c r="M156" s="14" t="s">
        <v>3599</v>
      </c>
      <c r="N156" s="14" t="s">
        <v>2</v>
      </c>
      <c r="O156" s="14" t="s">
        <v>1598</v>
      </c>
      <c r="P156" s="14" t="s">
        <v>1064</v>
      </c>
      <c r="R156" s="38">
        <f>IFERROR(COUNTIFS(_report[TOURNAMENT_CODE],_SCHEDULE_[[#This Row],[TOURNAMENT_CODE]],_report[CONTEST_CODE],_SCHEDULE_[[#This Row],[CONTEST_CODE]]),"-")</f>
        <v>0</v>
      </c>
      <c r="S156" s="41" t="str">
        <f>SUBSTITUTE(IFERROR(INDEX(_group_[],MATCH(CONCATENATE(_SCHEDULE_[[#This Row],[CONTEST_CODE]],"_",$S$2),_group_[ИД2],0),MATCH($S$1,_group_[#Headers],0)),"---"),".",",")</f>
        <v>BANK</v>
      </c>
      <c r="T156" s="41" t="str">
        <f>SUBSTITUTE(IFERROR(INDEX(_group_[],MATCH(CONCATENATE(_SCHEDULE_[[#This Row],[CONTEST_CODE]],"_",$T$2),_group_[ИД2],0),MATCH($T$1,_group_[#Headers],0)),"---"),".",",")</f>
        <v>TB</v>
      </c>
      <c r="U156" s="41" t="str">
        <f>SUBSTITUTE(IFERROR(INDEX(_group_[],MATCH(CONCATENATE(_SCHEDULE_[[#This Row],[CONTEST_CODE]],"_",$U$2),_group_[ИД2],0),MATCH($U$1,_group_[#Headers],0)),"---"),".",",")</f>
        <v>GOSB</v>
      </c>
      <c r="V156" s="41" t="str">
        <f>SUBSTITUTE(IFERROR(INDEX(_group_[],MATCH(CONCATENATE(_SCHEDULE_[[#This Row],[CONTEST_CODE]],"_",$V$2),_group_[ИД2],0),MATCH($V$1,_group_[#Headers],0)),"---"),".",",")</f>
        <v>---</v>
      </c>
      <c r="W156" s="41" t="str">
        <f>IFERROR(INDEX(_INDICATOR_[],MATCH(_SCHEDULE_[[#This Row],[CONTEST_CODE]],_INDICATOR_[CONTEST_CODE],0),MATCH($W$2,_INDICATOR_[#Headers],0)),"-")</f>
        <v>WAIT</v>
      </c>
      <c r="X156" s="41" t="str">
        <f>IFERROR(INDEX(_group_[],MATCH(_SCHEDULE_[[#This Row],[CONTEST_CODE]],_group_[CONTEST_CODE],0),MATCH($X$2,_group_[#Headers],0)),"-")</f>
        <v>BANK</v>
      </c>
      <c r="Y156" s="61" t="str">
        <f>IFERROR(INDEX(_DATA_[],MATCH(_SCHEDULE_[[#This Row],[CONTEST_CODE]],_DATA_[CONTEST_CODE],0),MATCH($Y$2,_DATA_[#Headers],0)),"-")</f>
        <v>Интернализация. Повышаем уровень</v>
      </c>
      <c r="Z156" s="41" t="str">
        <f>IFERROR(INDEX(_reward_link_[],MATCH(_SCHEDULE_[[#This Row],[CONTEST_CODE]],_reward_link_[CONTEST_CODE],0),MATCH($Z$2,_reward_link_[#Headers],0)),"-")</f>
        <v>GOSB</v>
      </c>
      <c r="AA156" s="41" t="str">
        <f>IFERROR(INDEX(_report[],MATCH(_SCHEDULE_[[#This Row],[CONTEST_CODE]],_report[CONTEST_CODE],0),MATCH($AA$2,_report[#Headers],0)),"-")</f>
        <v>-</v>
      </c>
      <c r="AB156"/>
    </row>
    <row r="157" spans="1:28" hidden="1" x14ac:dyDescent="0.25">
      <c r="A157" s="14" t="s">
        <v>661</v>
      </c>
      <c r="B157" s="14" t="s">
        <v>214</v>
      </c>
      <c r="C157" s="14" t="s">
        <v>1078</v>
      </c>
      <c r="D157" s="14" t="s">
        <v>1173</v>
      </c>
      <c r="E157" s="14" t="s">
        <v>706</v>
      </c>
      <c r="F157" s="14" t="s">
        <v>703</v>
      </c>
      <c r="G157" s="14" t="s">
        <v>704</v>
      </c>
      <c r="H157" s="14" t="s">
        <v>194</v>
      </c>
      <c r="I157" s="14" t="s">
        <v>194</v>
      </c>
      <c r="J157" s="14" t="s">
        <v>194</v>
      </c>
      <c r="K157" s="14" t="s">
        <v>176</v>
      </c>
      <c r="L157" s="14" t="s">
        <v>122</v>
      </c>
      <c r="M157" s="14" t="s">
        <v>3599</v>
      </c>
      <c r="N157" s="14" t="s">
        <v>2</v>
      </c>
      <c r="O157" s="14" t="s">
        <v>1599</v>
      </c>
      <c r="P157" s="14" t="s">
        <v>1064</v>
      </c>
      <c r="R157" s="38">
        <f>IFERROR(COUNTIFS(_report[TOURNAMENT_CODE],_SCHEDULE_[[#This Row],[TOURNAMENT_CODE]],_report[CONTEST_CODE],_SCHEDULE_[[#This Row],[CONTEST_CODE]]),"-")</f>
        <v>0</v>
      </c>
      <c r="S157" s="41" t="str">
        <f>SUBSTITUTE(IFERROR(INDEX(_group_[],MATCH(CONCATENATE(_SCHEDULE_[[#This Row],[CONTEST_CODE]],"_",$S$2),_group_[ИД2],0),MATCH($S$1,_group_[#Headers],0)),"---"),".",",")</f>
        <v>BANK</v>
      </c>
      <c r="T157" s="41" t="str">
        <f>SUBSTITUTE(IFERROR(INDEX(_group_[],MATCH(CONCATENATE(_SCHEDULE_[[#This Row],[CONTEST_CODE]],"_",$T$2),_group_[ИД2],0),MATCH($T$1,_group_[#Headers],0)),"---"),".",",")</f>
        <v>TB</v>
      </c>
      <c r="U157" s="41" t="str">
        <f>SUBSTITUTE(IFERROR(INDEX(_group_[],MATCH(CONCATENATE(_SCHEDULE_[[#This Row],[CONTEST_CODE]],"_",$U$2),_group_[ИД2],0),MATCH($U$1,_group_[#Headers],0)),"---"),".",",")</f>
        <v>GOSB</v>
      </c>
      <c r="V157" s="41" t="str">
        <f>SUBSTITUTE(IFERROR(INDEX(_group_[],MATCH(CONCATENATE(_SCHEDULE_[[#This Row],[CONTEST_CODE]],"_",$V$2),_group_[ИД2],0),MATCH($V$1,_group_[#Headers],0)),"---"),".",",")</f>
        <v>---</v>
      </c>
      <c r="W157" s="41" t="str">
        <f>IFERROR(INDEX(_INDICATOR_[],MATCH(_SCHEDULE_[[#This Row],[CONTEST_CODE]],_INDICATOR_[CONTEST_CODE],0),MATCH($W$2,_INDICATOR_[#Headers],0)),"-")</f>
        <v>WAIT</v>
      </c>
      <c r="X157" s="41" t="str">
        <f>IFERROR(INDEX(_group_[],MATCH(_SCHEDULE_[[#This Row],[CONTEST_CODE]],_group_[CONTEST_CODE],0),MATCH($X$2,_group_[#Headers],0)),"-")</f>
        <v>BANK</v>
      </c>
      <c r="Y157" s="61" t="str">
        <f>IFERROR(INDEX(_DATA_[],MATCH(_SCHEDULE_[[#This Row],[CONTEST_CODE]],_DATA_[CONTEST_CODE],0),MATCH($Y$2,_DATA_[#Headers],0)),"-")</f>
        <v>Интернализация. Повышаем уровень</v>
      </c>
      <c r="Z157" s="41" t="str">
        <f>IFERROR(INDEX(_reward_link_[],MATCH(_SCHEDULE_[[#This Row],[CONTEST_CODE]],_reward_link_[CONTEST_CODE],0),MATCH($Z$2,_reward_link_[#Headers],0)),"-")</f>
        <v>GOSB</v>
      </c>
      <c r="AA157" s="41" t="str">
        <f>IFERROR(INDEX(_report[],MATCH(_SCHEDULE_[[#This Row],[CONTEST_CODE]],_report[CONTEST_CODE],0),MATCH($AA$2,_report[#Headers],0)),"-")</f>
        <v>-</v>
      </c>
      <c r="AB157"/>
    </row>
    <row r="158" spans="1:28" hidden="1" x14ac:dyDescent="0.25">
      <c r="A158" s="14" t="s">
        <v>1286</v>
      </c>
      <c r="B158" s="14" t="s">
        <v>215</v>
      </c>
      <c r="C158" s="14" t="s">
        <v>1225</v>
      </c>
      <c r="D158" s="14" t="s">
        <v>1070</v>
      </c>
      <c r="E158" s="14" t="s">
        <v>1713</v>
      </c>
      <c r="F158" s="14" t="s">
        <v>1078</v>
      </c>
      <c r="G158" s="14" t="s">
        <v>1173</v>
      </c>
      <c r="H158" s="14" t="s">
        <v>194</v>
      </c>
      <c r="I158" s="14" t="s">
        <v>194</v>
      </c>
      <c r="J158" s="14" t="s">
        <v>194</v>
      </c>
      <c r="K158" s="14" t="s">
        <v>176</v>
      </c>
      <c r="L158" s="14" t="s">
        <v>122</v>
      </c>
      <c r="M158" s="14" t="s">
        <v>3599</v>
      </c>
      <c r="N158" s="14" t="s">
        <v>2</v>
      </c>
      <c r="O158" s="14" t="s">
        <v>1600</v>
      </c>
      <c r="P158" s="14" t="s">
        <v>1064</v>
      </c>
      <c r="R158" s="38">
        <f>IFERROR(COUNTIFS(_report[TOURNAMENT_CODE],_SCHEDULE_[[#This Row],[TOURNAMENT_CODE]],_report[CONTEST_CODE],_SCHEDULE_[[#This Row],[CONTEST_CODE]]),"-")</f>
        <v>0</v>
      </c>
      <c r="S158" s="41" t="str">
        <f>SUBSTITUTE(IFERROR(INDEX(_group_[],MATCH(CONCATENATE(_SCHEDULE_[[#This Row],[CONTEST_CODE]],"_",$S$2),_group_[ИД2],0),MATCH($S$1,_group_[#Headers],0)),"---"),".",",")</f>
        <v>BANK</v>
      </c>
      <c r="T158" s="41" t="str">
        <f>SUBSTITUTE(IFERROR(INDEX(_group_[],MATCH(CONCATENATE(_SCHEDULE_[[#This Row],[CONTEST_CODE]],"_",$T$2),_group_[ИД2],0),MATCH($T$1,_group_[#Headers],0)),"---"),".",",")</f>
        <v>TB</v>
      </c>
      <c r="U158" s="41" t="str">
        <f>SUBSTITUTE(IFERROR(INDEX(_group_[],MATCH(CONCATENATE(_SCHEDULE_[[#This Row],[CONTEST_CODE]],"_",$U$2),_group_[ИД2],0),MATCH($U$1,_group_[#Headers],0)),"---"),".",",")</f>
        <v>GOSB</v>
      </c>
      <c r="V158" s="41" t="str">
        <f>SUBSTITUTE(IFERROR(INDEX(_group_[],MATCH(CONCATENATE(_SCHEDULE_[[#This Row],[CONTEST_CODE]],"_",$V$2),_group_[ИД2],0),MATCH($V$1,_group_[#Headers],0)),"---"),".",",")</f>
        <v>---</v>
      </c>
      <c r="W158" s="41" t="str">
        <f>IFERROR(INDEX(_INDICATOR_[],MATCH(_SCHEDULE_[[#This Row],[CONTEST_CODE]],_INDICATOR_[CONTEST_CODE],0),MATCH($W$2,_INDICATOR_[#Headers],0)),"-")</f>
        <v>WAIT</v>
      </c>
      <c r="X158" s="41" t="str">
        <f>IFERROR(INDEX(_group_[],MATCH(_SCHEDULE_[[#This Row],[CONTEST_CODE]],_group_[CONTEST_CODE],0),MATCH($X$2,_group_[#Headers],0)),"-")</f>
        <v>BANK</v>
      </c>
      <c r="Y158" s="61" t="str">
        <f>IFERROR(INDEX(_DATA_[],MATCH(_SCHEDULE_[[#This Row],[CONTEST_CODE]],_DATA_[CONTEST_CODE],0),MATCH($Y$2,_DATA_[#Headers],0)),"-")</f>
        <v>Интернализация. Повышаем уровень</v>
      </c>
      <c r="Z158" s="41" t="str">
        <f>IFERROR(INDEX(_reward_link_[],MATCH(_SCHEDULE_[[#This Row],[CONTEST_CODE]],_reward_link_[CONTEST_CODE],0),MATCH($Z$2,_reward_link_[#Headers],0)),"-")</f>
        <v>GOSB</v>
      </c>
      <c r="AA158" s="41" t="str">
        <f>IFERROR(INDEX(_report[],MATCH(_SCHEDULE_[[#This Row],[CONTEST_CODE]],_report[CONTEST_CODE],0),MATCH($AA$2,_report[#Headers],0)),"-")</f>
        <v>-</v>
      </c>
      <c r="AB158"/>
    </row>
    <row r="159" spans="1:28" hidden="1" x14ac:dyDescent="0.25">
      <c r="A159" s="14" t="s">
        <v>1661</v>
      </c>
      <c r="B159" s="14" t="s">
        <v>216</v>
      </c>
      <c r="C159" s="14" t="s">
        <v>1308</v>
      </c>
      <c r="D159" s="14" t="s">
        <v>1638</v>
      </c>
      <c r="E159" s="14" t="s">
        <v>1835</v>
      </c>
      <c r="F159" s="14" t="s">
        <v>1225</v>
      </c>
      <c r="G159" s="14" t="s">
        <v>1070</v>
      </c>
      <c r="H159" s="14" t="s">
        <v>194</v>
      </c>
      <c r="I159" s="14" t="s">
        <v>194</v>
      </c>
      <c r="J159" s="14" t="s">
        <v>194</v>
      </c>
      <c r="K159" s="14" t="s">
        <v>176</v>
      </c>
      <c r="L159" s="14" t="s">
        <v>122</v>
      </c>
      <c r="M159" s="14" t="s">
        <v>3599</v>
      </c>
      <c r="N159" s="14" t="s">
        <v>2</v>
      </c>
      <c r="O159" s="14" t="s">
        <v>1662</v>
      </c>
      <c r="P159" s="14" t="s">
        <v>1064</v>
      </c>
      <c r="R159" s="38">
        <f>IFERROR(COUNTIFS(_report[TOURNAMENT_CODE],_SCHEDULE_[[#This Row],[TOURNAMENT_CODE]],_report[CONTEST_CODE],_SCHEDULE_[[#This Row],[CONTEST_CODE]]),"-")</f>
        <v>0</v>
      </c>
      <c r="S159" s="41" t="str">
        <f>SUBSTITUTE(IFERROR(INDEX(_group_[],MATCH(CONCATENATE(_SCHEDULE_[[#This Row],[CONTEST_CODE]],"_",$S$2),_group_[ИД2],0),MATCH($S$1,_group_[#Headers],0)),"---"),".",",")</f>
        <v>BANK</v>
      </c>
      <c r="T159" s="41" t="str">
        <f>SUBSTITUTE(IFERROR(INDEX(_group_[],MATCH(CONCATENATE(_SCHEDULE_[[#This Row],[CONTEST_CODE]],"_",$T$2),_group_[ИД2],0),MATCH($T$1,_group_[#Headers],0)),"---"),".",",")</f>
        <v>TB</v>
      </c>
      <c r="U159" s="41" t="str">
        <f>SUBSTITUTE(IFERROR(INDEX(_group_[],MATCH(CONCATENATE(_SCHEDULE_[[#This Row],[CONTEST_CODE]],"_",$U$2),_group_[ИД2],0),MATCH($U$1,_group_[#Headers],0)),"---"),".",",")</f>
        <v>GOSB</v>
      </c>
      <c r="V159" s="41" t="str">
        <f>SUBSTITUTE(IFERROR(INDEX(_group_[],MATCH(CONCATENATE(_SCHEDULE_[[#This Row],[CONTEST_CODE]],"_",$V$2),_group_[ИД2],0),MATCH($V$1,_group_[#Headers],0)),"---"),".",",")</f>
        <v>---</v>
      </c>
      <c r="W159" s="41" t="str">
        <f>IFERROR(INDEX(_INDICATOR_[],MATCH(_SCHEDULE_[[#This Row],[CONTEST_CODE]],_INDICATOR_[CONTEST_CODE],0),MATCH($W$2,_INDICATOR_[#Headers],0)),"-")</f>
        <v>WAIT</v>
      </c>
      <c r="X159" s="41" t="str">
        <f>IFERROR(INDEX(_group_[],MATCH(_SCHEDULE_[[#This Row],[CONTEST_CODE]],_group_[CONTEST_CODE],0),MATCH($X$2,_group_[#Headers],0)),"-")</f>
        <v>BANK</v>
      </c>
      <c r="Y159" s="61" t="str">
        <f>IFERROR(INDEX(_DATA_[],MATCH(_SCHEDULE_[[#This Row],[CONTEST_CODE]],_DATA_[CONTEST_CODE],0),MATCH($Y$2,_DATA_[#Headers],0)),"-")</f>
        <v>Интернализация. Повышаем уровень</v>
      </c>
      <c r="Z159" s="41" t="str">
        <f>IFERROR(INDEX(_reward_link_[],MATCH(_SCHEDULE_[[#This Row],[CONTEST_CODE]],_reward_link_[CONTEST_CODE],0),MATCH($Z$2,_reward_link_[#Headers],0)),"-")</f>
        <v>GOSB</v>
      </c>
      <c r="AA159" s="41" t="str">
        <f>IFERROR(INDEX(_report[],MATCH(_SCHEDULE_[[#This Row],[CONTEST_CODE]],_report[CONTEST_CODE],0),MATCH($AA$2,_report[#Headers],0)),"-")</f>
        <v>-</v>
      </c>
      <c r="AB159"/>
    </row>
    <row r="160" spans="1:28" hidden="1" x14ac:dyDescent="0.25">
      <c r="A160" s="14" t="s">
        <v>1820</v>
      </c>
      <c r="B160" s="14" t="s">
        <v>174</v>
      </c>
      <c r="C160" s="14" t="s">
        <v>1800</v>
      </c>
      <c r="D160" s="14" t="s">
        <v>1801</v>
      </c>
      <c r="E160" s="14" t="s">
        <v>1802</v>
      </c>
      <c r="F160" s="14" t="s">
        <v>1308</v>
      </c>
      <c r="G160" s="14" t="s">
        <v>1638</v>
      </c>
      <c r="H160" s="14" t="s">
        <v>194</v>
      </c>
      <c r="I160" s="14" t="s">
        <v>194</v>
      </c>
      <c r="J160" s="14" t="s">
        <v>194</v>
      </c>
      <c r="K160" s="14" t="s">
        <v>155</v>
      </c>
      <c r="L160" s="14" t="s">
        <v>122</v>
      </c>
      <c r="M160" s="14" t="s">
        <v>3599</v>
      </c>
      <c r="N160" s="14" t="s">
        <v>2</v>
      </c>
      <c r="O160" s="14" t="s">
        <v>1821</v>
      </c>
      <c r="P160" s="14" t="s">
        <v>1064</v>
      </c>
      <c r="R160" s="38">
        <f>IFERROR(COUNTIFS(_report[TOURNAMENT_CODE],_SCHEDULE_[[#This Row],[TOURNAMENT_CODE]],_report[CONTEST_CODE],_SCHEDULE_[[#This Row],[CONTEST_CODE]]),"-")</f>
        <v>0</v>
      </c>
      <c r="S160" s="41" t="str">
        <f>SUBSTITUTE(IFERROR(INDEX(_group_[],MATCH(CONCATENATE(_SCHEDULE_[[#This Row],[CONTEST_CODE]],"_",$S$2),_group_[ИД2],0),MATCH($S$1,_group_[#Headers],0)),"---"),".",",")</f>
        <v>BANK</v>
      </c>
      <c r="T160" s="41" t="str">
        <f>SUBSTITUTE(IFERROR(INDEX(_group_[],MATCH(CONCATENATE(_SCHEDULE_[[#This Row],[CONTEST_CODE]],"_",$T$2),_group_[ИД2],0),MATCH($T$1,_group_[#Headers],0)),"---"),".",",")</f>
        <v>TB</v>
      </c>
      <c r="U160" s="41" t="str">
        <f>SUBSTITUTE(IFERROR(INDEX(_group_[],MATCH(CONCATENATE(_SCHEDULE_[[#This Row],[CONTEST_CODE]],"_",$U$2),_group_[ИД2],0),MATCH($U$1,_group_[#Headers],0)),"---"),".",",")</f>
        <v>GOSB</v>
      </c>
      <c r="V160" s="41" t="str">
        <f>SUBSTITUTE(IFERROR(INDEX(_group_[],MATCH(CONCATENATE(_SCHEDULE_[[#This Row],[CONTEST_CODE]],"_",$V$2),_group_[ИД2],0),MATCH($V$1,_group_[#Headers],0)),"---"),".",",")</f>
        <v>---</v>
      </c>
      <c r="W160" s="41" t="str">
        <f>IFERROR(INDEX(_INDICATOR_[],MATCH(_SCHEDULE_[[#This Row],[CONTEST_CODE]],_INDICATOR_[CONTEST_CODE],0),MATCH($W$2,_INDICATOR_[#Headers],0)),"-")</f>
        <v>WAIT</v>
      </c>
      <c r="X160" s="41" t="str">
        <f>IFERROR(INDEX(_group_[],MATCH(_SCHEDULE_[[#This Row],[CONTEST_CODE]],_group_[CONTEST_CODE],0),MATCH($X$2,_group_[#Headers],0)),"-")</f>
        <v>BANK</v>
      </c>
      <c r="Y160" s="61" t="str">
        <f>IFERROR(INDEX(_DATA_[],MATCH(_SCHEDULE_[[#This Row],[CONTEST_CODE]],_DATA_[CONTEST_CODE],0),MATCH($Y$2,_DATA_[#Headers],0)),"-")</f>
        <v>Интернализация. Повышаем уровень</v>
      </c>
      <c r="Z160" s="41" t="str">
        <f>IFERROR(INDEX(_reward_link_[],MATCH(_SCHEDULE_[[#This Row],[CONTEST_CODE]],_reward_link_[CONTEST_CODE],0),MATCH($Z$2,_reward_link_[#Headers],0)),"-")</f>
        <v>GOSB</v>
      </c>
      <c r="AA160" s="41" t="str">
        <f>IFERROR(INDEX(_report[],MATCH(_SCHEDULE_[[#This Row],[CONTEST_CODE]],_report[CONTEST_CODE],0),MATCH($AA$2,_report[#Headers],0)),"-")</f>
        <v>-</v>
      </c>
      <c r="AB160"/>
    </row>
    <row r="161" spans="1:28" hidden="1" x14ac:dyDescent="0.25">
      <c r="A161" s="14" t="s">
        <v>1842</v>
      </c>
      <c r="B161" s="14" t="s">
        <v>146</v>
      </c>
      <c r="C161" s="14" t="s">
        <v>641</v>
      </c>
      <c r="D161" s="14" t="s">
        <v>642</v>
      </c>
      <c r="E161" s="14" t="s">
        <v>1987</v>
      </c>
      <c r="F161" s="14" t="s">
        <v>194</v>
      </c>
      <c r="G161" s="14" t="s">
        <v>194</v>
      </c>
      <c r="H161" s="14" t="s">
        <v>194</v>
      </c>
      <c r="I161" s="14" t="s">
        <v>194</v>
      </c>
      <c r="J161" s="14" t="s">
        <v>194</v>
      </c>
      <c r="K161" s="14" t="s">
        <v>155</v>
      </c>
      <c r="L161" s="14" t="s">
        <v>124</v>
      </c>
      <c r="M161" s="14" t="s">
        <v>3599</v>
      </c>
      <c r="N161" s="14" t="s">
        <v>2</v>
      </c>
      <c r="O161" s="14" t="s">
        <v>1843</v>
      </c>
      <c r="P161" s="14" t="s">
        <v>1064</v>
      </c>
      <c r="R161" s="38">
        <f>IFERROR(COUNTIFS(_report[TOURNAMENT_CODE],_SCHEDULE_[[#This Row],[TOURNAMENT_CODE]],_report[CONTEST_CODE],_SCHEDULE_[[#This Row],[CONTEST_CODE]]),"-")</f>
        <v>0</v>
      </c>
      <c r="S161" s="41" t="str">
        <f>SUBSTITUTE(IFERROR(INDEX(_group_[],MATCH(CONCATENATE(_SCHEDULE_[[#This Row],[CONTEST_CODE]],"_",$S$2),_group_[ИД2],0),MATCH($S$1,_group_[#Headers],0)),"---"),".",",")</f>
        <v>BANK</v>
      </c>
      <c r="T161" s="41" t="str">
        <f>SUBSTITUTE(IFERROR(INDEX(_group_[],MATCH(CONCATENATE(_SCHEDULE_[[#This Row],[CONTEST_CODE]],"_",$T$2),_group_[ИД2],0),MATCH($T$1,_group_[#Headers],0)),"---"),".",",")</f>
        <v>---</v>
      </c>
      <c r="U161" s="41" t="str">
        <f>SUBSTITUTE(IFERROR(INDEX(_group_[],MATCH(CONCATENATE(_SCHEDULE_[[#This Row],[CONTEST_CODE]],"_",$U$2),_group_[ИД2],0),MATCH($U$1,_group_[#Headers],0)),"---"),".",",")</f>
        <v>---</v>
      </c>
      <c r="V161" s="41" t="str">
        <f>SUBSTITUTE(IFERROR(INDEX(_group_[],MATCH(CONCATENATE(_SCHEDULE_[[#This Row],[CONTEST_CODE]],"_",$V$2),_group_[ИД2],0),MATCH($V$1,_group_[#Headers],0)),"---"),".",",")</f>
        <v>---</v>
      </c>
      <c r="W161" s="41" t="str">
        <f>IFERROR(INDEX(_INDICATOR_[],MATCH(_SCHEDULE_[[#This Row],[CONTEST_CODE]],_INDICATOR_[CONTEST_CODE],0),MATCH($W$2,_INDICATOR_[#Headers],0)),"-")</f>
        <v>WAIT</v>
      </c>
      <c r="X161" s="41" t="str">
        <f>IFERROR(INDEX(_group_[],MATCH(_SCHEDULE_[[#This Row],[CONTEST_CODE]],_group_[CONTEST_CODE],0),MATCH($X$2,_group_[#Headers],0)),"-")</f>
        <v>BANK</v>
      </c>
      <c r="Y161" s="61" t="str">
        <f>IFERROR(INDEX(_DATA_[],MATCH(_SCHEDULE_[[#This Row],[CONTEST_CODE]],_DATA_[CONTEST_CODE],0),MATCH($Y$2,_DATA_[#Headers],0)),"-")</f>
        <v>CAPMAN 1 клиент</v>
      </c>
      <c r="Z161" s="41" t="str">
        <f>IFERROR(INDEX(_reward_link_[],MATCH(_SCHEDULE_[[#This Row],[CONTEST_CODE]],_reward_link_[CONTEST_CODE],0),MATCH($Z$2,_reward_link_[#Headers],0)),"-")</f>
        <v>BANK</v>
      </c>
      <c r="AA161" s="41" t="str">
        <f>IFERROR(INDEX(_report[],MATCH(_SCHEDULE_[[#This Row],[CONTEST_CODE]],_report[CONTEST_CODE],0),MATCH($AA$2,_report[#Headers],0)),"-")</f>
        <v>-</v>
      </c>
      <c r="AB161"/>
    </row>
    <row r="162" spans="1:28" hidden="1" x14ac:dyDescent="0.25">
      <c r="A162" s="14" t="s">
        <v>294</v>
      </c>
      <c r="B162" s="14" t="s">
        <v>146</v>
      </c>
      <c r="C162" s="14" t="s">
        <v>641</v>
      </c>
      <c r="D162" s="14" t="s">
        <v>642</v>
      </c>
      <c r="E162" s="14" t="s">
        <v>1987</v>
      </c>
      <c r="F162" s="14" t="s">
        <v>194</v>
      </c>
      <c r="G162" s="14" t="s">
        <v>194</v>
      </c>
      <c r="H162" s="14" t="s">
        <v>194</v>
      </c>
      <c r="I162" s="14" t="s">
        <v>194</v>
      </c>
      <c r="J162" s="14" t="s">
        <v>194</v>
      </c>
      <c r="K162" s="14" t="s">
        <v>176</v>
      </c>
      <c r="L162" s="14" t="s">
        <v>124</v>
      </c>
      <c r="M162" s="14" t="s">
        <v>3598</v>
      </c>
      <c r="N162" s="14" t="s">
        <v>2</v>
      </c>
      <c r="O162" s="14" t="s">
        <v>1601</v>
      </c>
      <c r="P162" s="14" t="s">
        <v>1064</v>
      </c>
      <c r="R162" s="38">
        <f>IFERROR(COUNTIFS(_report[TOURNAMENT_CODE],_SCHEDULE_[[#This Row],[TOURNAMENT_CODE]],_report[CONTEST_CODE],_SCHEDULE_[[#This Row],[CONTEST_CODE]]),"-")</f>
        <v>0</v>
      </c>
      <c r="S162" s="41" t="str">
        <f>SUBSTITUTE(IFERROR(INDEX(_group_[],MATCH(CONCATENATE(_SCHEDULE_[[#This Row],[CONTEST_CODE]],"_",$S$2),_group_[ИД2],0),MATCH($S$1,_group_[#Headers],0)),"---"),".",",")</f>
        <v>BANK</v>
      </c>
      <c r="T162" s="41" t="str">
        <f>SUBSTITUTE(IFERROR(INDEX(_group_[],MATCH(CONCATENATE(_SCHEDULE_[[#This Row],[CONTEST_CODE]],"_",$T$2),_group_[ИД2],0),MATCH($T$1,_group_[#Headers],0)),"---"),".",",")</f>
        <v>---</v>
      </c>
      <c r="U162" s="41" t="str">
        <f>SUBSTITUTE(IFERROR(INDEX(_group_[],MATCH(CONCATENATE(_SCHEDULE_[[#This Row],[CONTEST_CODE]],"_",$U$2),_group_[ИД2],0),MATCH($U$1,_group_[#Headers],0)),"---"),".",",")</f>
        <v>---</v>
      </c>
      <c r="V162" s="41" t="str">
        <f>SUBSTITUTE(IFERROR(INDEX(_group_[],MATCH(CONCATENATE(_SCHEDULE_[[#This Row],[CONTEST_CODE]],"_",$V$2),_group_[ИД2],0),MATCH($V$1,_group_[#Headers],0)),"---"),".",",")</f>
        <v>---</v>
      </c>
      <c r="W162" s="41" t="str">
        <f>IFERROR(INDEX(_INDICATOR_[],MATCH(_SCHEDULE_[[#This Row],[CONTEST_CODE]],_INDICATOR_[CONTEST_CODE],0),MATCH($W$2,_INDICATOR_[#Headers],0)),"-")</f>
        <v>WAIT</v>
      </c>
      <c r="X162" s="41" t="str">
        <f>IFERROR(INDEX(_group_[],MATCH(_SCHEDULE_[[#This Row],[CONTEST_CODE]],_group_[CONTEST_CODE],0),MATCH($X$2,_group_[#Headers],0)),"-")</f>
        <v>BANK</v>
      </c>
      <c r="Y162" s="61" t="str">
        <f>IFERROR(INDEX(_DATA_[],MATCH(_SCHEDULE_[[#This Row],[CONTEST_CODE]],_DATA_[CONTEST_CODE],0),MATCH($Y$2,_DATA_[#Headers],0)),"-")</f>
        <v>CAPMAN 1 клиент</v>
      </c>
      <c r="Z162" s="41" t="str">
        <f>IFERROR(INDEX(_reward_link_[],MATCH(_SCHEDULE_[[#This Row],[CONTEST_CODE]],_reward_link_[CONTEST_CODE],0),MATCH($Z$2,_reward_link_[#Headers],0)),"-")</f>
        <v>BANK</v>
      </c>
      <c r="AA162" s="41" t="str">
        <f>IFERROR(INDEX(_report[],MATCH(_SCHEDULE_[[#This Row],[CONTEST_CODE]],_report[CONTEST_CODE],0),MATCH($AA$2,_report[#Headers],0)),"-")</f>
        <v>-</v>
      </c>
      <c r="AB162"/>
    </row>
    <row r="163" spans="1:28" hidden="1" x14ac:dyDescent="0.25">
      <c r="A163" s="14" t="s">
        <v>295</v>
      </c>
      <c r="B163" s="14" t="s">
        <v>146</v>
      </c>
      <c r="C163" s="14" t="s">
        <v>641</v>
      </c>
      <c r="D163" s="14" t="s">
        <v>642</v>
      </c>
      <c r="E163" s="14" t="s">
        <v>1987</v>
      </c>
      <c r="F163" s="14" t="s">
        <v>194</v>
      </c>
      <c r="G163" s="14" t="s">
        <v>194</v>
      </c>
      <c r="H163" s="14" t="s">
        <v>194</v>
      </c>
      <c r="I163" s="14" t="s">
        <v>194</v>
      </c>
      <c r="J163" s="14" t="s">
        <v>194</v>
      </c>
      <c r="K163" s="14" t="s">
        <v>176</v>
      </c>
      <c r="L163" s="14" t="s">
        <v>127</v>
      </c>
      <c r="M163" s="14" t="s">
        <v>3598</v>
      </c>
      <c r="N163" s="14" t="s">
        <v>2</v>
      </c>
      <c r="O163" s="14" t="s">
        <v>1602</v>
      </c>
      <c r="P163" s="14" t="s">
        <v>1064</v>
      </c>
      <c r="R163" s="38">
        <f>IFERROR(COUNTIFS(_report[TOURNAMENT_CODE],_SCHEDULE_[[#This Row],[TOURNAMENT_CODE]],_report[CONTEST_CODE],_SCHEDULE_[[#This Row],[CONTEST_CODE]]),"-")</f>
        <v>0</v>
      </c>
      <c r="S163" s="41" t="str">
        <f>SUBSTITUTE(IFERROR(INDEX(_group_[],MATCH(CONCATENATE(_SCHEDULE_[[#This Row],[CONTEST_CODE]],"_",$S$2),_group_[ИД2],0),MATCH($S$1,_group_[#Headers],0)),"---"),".",",")</f>
        <v>BANK</v>
      </c>
      <c r="T163" s="41" t="str">
        <f>SUBSTITUTE(IFERROR(INDEX(_group_[],MATCH(CONCATENATE(_SCHEDULE_[[#This Row],[CONTEST_CODE]],"_",$T$2),_group_[ИД2],0),MATCH($T$1,_group_[#Headers],0)),"---"),".",",")</f>
        <v>---</v>
      </c>
      <c r="U163" s="41" t="str">
        <f>SUBSTITUTE(IFERROR(INDEX(_group_[],MATCH(CONCATENATE(_SCHEDULE_[[#This Row],[CONTEST_CODE]],"_",$U$2),_group_[ИД2],0),MATCH($U$1,_group_[#Headers],0)),"---"),".",",")</f>
        <v>---</v>
      </c>
      <c r="V163" s="41" t="str">
        <f>SUBSTITUTE(IFERROR(INDEX(_group_[],MATCH(CONCATENATE(_SCHEDULE_[[#This Row],[CONTEST_CODE]],"_",$V$2),_group_[ИД2],0),MATCH($V$1,_group_[#Headers],0)),"---"),".",",")</f>
        <v>---</v>
      </c>
      <c r="W163" s="41" t="str">
        <f>IFERROR(INDEX(_INDICATOR_[],MATCH(_SCHEDULE_[[#This Row],[CONTEST_CODE]],_INDICATOR_[CONTEST_CODE],0),MATCH($W$2,_INDICATOR_[#Headers],0)),"-")</f>
        <v>WAIT</v>
      </c>
      <c r="X163" s="41" t="str">
        <f>IFERROR(INDEX(_group_[],MATCH(_SCHEDULE_[[#This Row],[CONTEST_CODE]],_group_[CONTEST_CODE],0),MATCH($X$2,_group_[#Headers],0)),"-")</f>
        <v>BANK</v>
      </c>
      <c r="Y163" s="61" t="str">
        <f>IFERROR(INDEX(_DATA_[],MATCH(_SCHEDULE_[[#This Row],[CONTEST_CODE]],_DATA_[CONTEST_CODE],0),MATCH($Y$2,_DATA_[#Headers],0)),"-")</f>
        <v>CAPMAN 3 клиента</v>
      </c>
      <c r="Z163" s="41" t="str">
        <f>IFERROR(INDEX(_reward_link_[],MATCH(_SCHEDULE_[[#This Row],[CONTEST_CODE]],_reward_link_[CONTEST_CODE],0),MATCH($Z$2,_reward_link_[#Headers],0)),"-")</f>
        <v>BANK</v>
      </c>
      <c r="AA163" s="41" t="str">
        <f>IFERROR(INDEX(_report[],MATCH(_SCHEDULE_[[#This Row],[CONTEST_CODE]],_report[CONTEST_CODE],0),MATCH($AA$2,_report[#Headers],0)),"-")</f>
        <v>-</v>
      </c>
      <c r="AB163"/>
    </row>
    <row r="164" spans="1:28" hidden="1" x14ac:dyDescent="0.25">
      <c r="A164" s="14" t="s">
        <v>296</v>
      </c>
      <c r="B164" s="14" t="s">
        <v>146</v>
      </c>
      <c r="C164" s="14" t="s">
        <v>641</v>
      </c>
      <c r="D164" s="14" t="s">
        <v>642</v>
      </c>
      <c r="E164" s="14" t="s">
        <v>1987</v>
      </c>
      <c r="F164" s="14" t="s">
        <v>194</v>
      </c>
      <c r="G164" s="14" t="s">
        <v>194</v>
      </c>
      <c r="H164" s="14" t="s">
        <v>194</v>
      </c>
      <c r="I164" s="14" t="s">
        <v>194</v>
      </c>
      <c r="J164" s="14" t="s">
        <v>194</v>
      </c>
      <c r="K164" s="14" t="s">
        <v>176</v>
      </c>
      <c r="L164" s="14" t="s">
        <v>130</v>
      </c>
      <c r="M164" s="14" t="s">
        <v>3598</v>
      </c>
      <c r="N164" s="14" t="s">
        <v>2</v>
      </c>
      <c r="O164" s="14" t="s">
        <v>1603</v>
      </c>
      <c r="P164" s="14" t="s">
        <v>1064</v>
      </c>
      <c r="R164" s="38">
        <f>IFERROR(COUNTIFS(_report[TOURNAMENT_CODE],_SCHEDULE_[[#This Row],[TOURNAMENT_CODE]],_report[CONTEST_CODE],_SCHEDULE_[[#This Row],[CONTEST_CODE]]),"-")</f>
        <v>0</v>
      </c>
      <c r="S164" s="41" t="str">
        <f>SUBSTITUTE(IFERROR(INDEX(_group_[],MATCH(CONCATENATE(_SCHEDULE_[[#This Row],[CONTEST_CODE]],"_",$S$2),_group_[ИД2],0),MATCH($S$1,_group_[#Headers],0)),"---"),".",",")</f>
        <v>BANK</v>
      </c>
      <c r="T164" s="41" t="str">
        <f>SUBSTITUTE(IFERROR(INDEX(_group_[],MATCH(CONCATENATE(_SCHEDULE_[[#This Row],[CONTEST_CODE]],"_",$T$2),_group_[ИД2],0),MATCH($T$1,_group_[#Headers],0)),"---"),".",",")</f>
        <v>---</v>
      </c>
      <c r="U164" s="41" t="str">
        <f>SUBSTITUTE(IFERROR(INDEX(_group_[],MATCH(CONCATENATE(_SCHEDULE_[[#This Row],[CONTEST_CODE]],"_",$U$2),_group_[ИД2],0),MATCH($U$1,_group_[#Headers],0)),"---"),".",",")</f>
        <v>---</v>
      </c>
      <c r="V164" s="41" t="str">
        <f>SUBSTITUTE(IFERROR(INDEX(_group_[],MATCH(CONCATENATE(_SCHEDULE_[[#This Row],[CONTEST_CODE]],"_",$V$2),_group_[ИД2],0),MATCH($V$1,_group_[#Headers],0)),"---"),".",",")</f>
        <v>---</v>
      </c>
      <c r="W164" s="41" t="str">
        <f>IFERROR(INDEX(_INDICATOR_[],MATCH(_SCHEDULE_[[#This Row],[CONTEST_CODE]],_INDICATOR_[CONTEST_CODE],0),MATCH($W$2,_INDICATOR_[#Headers],0)),"-")</f>
        <v>WAIT</v>
      </c>
      <c r="X164" s="41" t="str">
        <f>IFERROR(INDEX(_group_[],MATCH(_SCHEDULE_[[#This Row],[CONTEST_CODE]],_group_[CONTEST_CODE],0),MATCH($X$2,_group_[#Headers],0)),"-")</f>
        <v>BANK</v>
      </c>
      <c r="Y164" s="61" t="str">
        <f>IFERROR(INDEX(_DATA_[],MATCH(_SCHEDULE_[[#This Row],[CONTEST_CODE]],_DATA_[CONTEST_CODE],0),MATCH($Y$2,_DATA_[#Headers],0)),"-")</f>
        <v>CAPMAN 10 клиентов</v>
      </c>
      <c r="Z164" s="41" t="str">
        <f>IFERROR(INDEX(_reward_link_[],MATCH(_SCHEDULE_[[#This Row],[CONTEST_CODE]],_reward_link_[CONTEST_CODE],0),MATCH($Z$2,_reward_link_[#Headers],0)),"-")</f>
        <v>BANK</v>
      </c>
      <c r="AA164" s="41" t="str">
        <f>IFERROR(INDEX(_report[],MATCH(_SCHEDULE_[[#This Row],[CONTEST_CODE]],_report[CONTEST_CODE],0),MATCH($AA$2,_report[#Headers],0)),"-")</f>
        <v>-</v>
      </c>
      <c r="AB164"/>
    </row>
    <row r="165" spans="1:28" hidden="1" x14ac:dyDescent="0.25">
      <c r="A165" s="14" t="s">
        <v>1844</v>
      </c>
      <c r="B165" s="14" t="s">
        <v>229</v>
      </c>
      <c r="C165" s="14" t="s">
        <v>192</v>
      </c>
      <c r="D165" s="14" t="s">
        <v>252</v>
      </c>
      <c r="E165" s="14" t="s">
        <v>1288</v>
      </c>
      <c r="F165" s="14" t="s">
        <v>194</v>
      </c>
      <c r="G165" s="14" t="s">
        <v>194</v>
      </c>
      <c r="H165" s="14" t="s">
        <v>194</v>
      </c>
      <c r="I165" s="14" t="s">
        <v>194</v>
      </c>
      <c r="J165" s="14" t="s">
        <v>194</v>
      </c>
      <c r="K165" s="14" t="s">
        <v>155</v>
      </c>
      <c r="L165" s="14" t="s">
        <v>1227</v>
      </c>
      <c r="M165" s="14" t="s">
        <v>3599</v>
      </c>
      <c r="N165" s="14" t="s">
        <v>2</v>
      </c>
      <c r="O165" s="14" t="s">
        <v>1845</v>
      </c>
      <c r="P165" s="14" t="s">
        <v>1064</v>
      </c>
      <c r="R165" s="38">
        <f>IFERROR(COUNTIFS(_report[TOURNAMENT_CODE],_SCHEDULE_[[#This Row],[TOURNAMENT_CODE]],_report[CONTEST_CODE],_SCHEDULE_[[#This Row],[CONTEST_CODE]]),"-")</f>
        <v>0</v>
      </c>
      <c r="S165" s="41" t="str">
        <f>SUBSTITUTE(IFERROR(INDEX(_group_[],MATCH(CONCATENATE(_SCHEDULE_[[#This Row],[CONTEST_CODE]],"_",$S$2),_group_[ИД2],0),MATCH($S$1,_group_[#Headers],0)),"---"),".",",")</f>
        <v>---</v>
      </c>
      <c r="T165" s="41" t="str">
        <f>SUBSTITUTE(IFERROR(INDEX(_group_[],MATCH(CONCATENATE(_SCHEDULE_[[#This Row],[CONTEST_CODE]],"_",$T$2),_group_[ИД2],0),MATCH($T$1,_group_[#Headers],0)),"---"),".",",")</f>
        <v>TB</v>
      </c>
      <c r="U165" s="41" t="str">
        <f>SUBSTITUTE(IFERROR(INDEX(_group_[],MATCH(CONCATENATE(_SCHEDULE_[[#This Row],[CONTEST_CODE]],"_",$U$2),_group_[ИД2],0),MATCH($U$1,_group_[#Headers],0)),"---"),".",",")</f>
        <v>---</v>
      </c>
      <c r="V165" s="41" t="str">
        <f>SUBSTITUTE(IFERROR(INDEX(_group_[],MATCH(CONCATENATE(_SCHEDULE_[[#This Row],[CONTEST_CODE]],"_",$V$2),_group_[ИД2],0),MATCH($V$1,_group_[#Headers],0)),"---"),".",",")</f>
        <v>---</v>
      </c>
      <c r="W165" s="41" t="str">
        <f>IFERROR(INDEX(_INDICATOR_[],MATCH(_SCHEDULE_[[#This Row],[CONTEST_CODE]],_INDICATOR_[CONTEST_CODE],0),MATCH($W$2,_INDICATOR_[#Headers],0)),"-")</f>
        <v>WAIT</v>
      </c>
      <c r="X165" s="41" t="str">
        <f>IFERROR(INDEX(_group_[],MATCH(_SCHEDULE_[[#This Row],[CONTEST_CODE]],_group_[CONTEST_CODE],0),MATCH($X$2,_group_[#Headers],0)),"-")</f>
        <v>TB</v>
      </c>
      <c r="Y165" s="61" t="str">
        <f>IFERROR(INDEX(_DATA_[],MATCH(_SCHEDULE_[[#This Row],[CONTEST_CODE]],_DATA_[CONTEST_CODE],0),MATCH($Y$2,_DATA_[#Headers],0)),"-")</f>
        <v>Кредитные продукты. Наращиваем сделки в ЦКП</v>
      </c>
      <c r="Z165" s="41" t="str">
        <f>IFERROR(INDEX(_reward_link_[],MATCH(_SCHEDULE_[[#This Row],[CONTEST_CODE]],_reward_link_[CONTEST_CODE],0),MATCH($Z$2,_reward_link_[#Headers],0)),"-")</f>
        <v>TB</v>
      </c>
      <c r="AA165" s="41" t="str">
        <f>IFERROR(INDEX(_report[],MATCH(_SCHEDULE_[[#This Row],[CONTEST_CODE]],_report[CONTEST_CODE],0),MATCH($AA$2,_report[#Headers],0)),"-")</f>
        <v>-</v>
      </c>
      <c r="AB165"/>
    </row>
    <row r="166" spans="1:28" hidden="1" x14ac:dyDescent="0.25">
      <c r="A166" s="14" t="s">
        <v>1224</v>
      </c>
      <c r="B166" s="14" t="s">
        <v>1263</v>
      </c>
      <c r="C166" s="14" t="s">
        <v>1225</v>
      </c>
      <c r="D166" s="14" t="s">
        <v>642</v>
      </c>
      <c r="E166" s="14" t="s">
        <v>2132</v>
      </c>
      <c r="F166" s="14" t="s">
        <v>194</v>
      </c>
      <c r="G166" s="14" t="s">
        <v>194</v>
      </c>
      <c r="H166" s="14" t="s">
        <v>194</v>
      </c>
      <c r="I166" s="14" t="s">
        <v>194</v>
      </c>
      <c r="J166" s="14" t="s">
        <v>194</v>
      </c>
      <c r="K166" s="14" t="s">
        <v>176</v>
      </c>
      <c r="L166" s="14" t="s">
        <v>1227</v>
      </c>
      <c r="M166" s="14" t="s">
        <v>3599</v>
      </c>
      <c r="N166" s="14" t="s">
        <v>2</v>
      </c>
      <c r="O166" s="14" t="s">
        <v>1604</v>
      </c>
      <c r="P166" s="14" t="s">
        <v>1064</v>
      </c>
      <c r="R166" s="38">
        <f>IFERROR(COUNTIFS(_report[TOURNAMENT_CODE],_SCHEDULE_[[#This Row],[TOURNAMENT_CODE]],_report[CONTEST_CODE],_SCHEDULE_[[#This Row],[CONTEST_CODE]]),"-")</f>
        <v>0</v>
      </c>
      <c r="S166" s="41" t="str">
        <f>SUBSTITUTE(IFERROR(INDEX(_group_[],MATCH(CONCATENATE(_SCHEDULE_[[#This Row],[CONTEST_CODE]],"_",$S$2),_group_[ИД2],0),MATCH($S$1,_group_[#Headers],0)),"---"),".",",")</f>
        <v>---</v>
      </c>
      <c r="T166" s="41" t="str">
        <f>SUBSTITUTE(IFERROR(INDEX(_group_[],MATCH(CONCATENATE(_SCHEDULE_[[#This Row],[CONTEST_CODE]],"_",$T$2),_group_[ИД2],0),MATCH($T$1,_group_[#Headers],0)),"---"),".",",")</f>
        <v>TB</v>
      </c>
      <c r="U166" s="41" t="str">
        <f>SUBSTITUTE(IFERROR(INDEX(_group_[],MATCH(CONCATENATE(_SCHEDULE_[[#This Row],[CONTEST_CODE]],"_",$U$2),_group_[ИД2],0),MATCH($U$1,_group_[#Headers],0)),"---"),".",",")</f>
        <v>---</v>
      </c>
      <c r="V166" s="41" t="str">
        <f>SUBSTITUTE(IFERROR(INDEX(_group_[],MATCH(CONCATENATE(_SCHEDULE_[[#This Row],[CONTEST_CODE]],"_",$V$2),_group_[ИД2],0),MATCH($V$1,_group_[#Headers],0)),"---"),".",",")</f>
        <v>---</v>
      </c>
      <c r="W166" s="41" t="str">
        <f>IFERROR(INDEX(_INDICATOR_[],MATCH(_SCHEDULE_[[#This Row],[CONTEST_CODE]],_INDICATOR_[CONTEST_CODE],0),MATCH($W$2,_INDICATOR_[#Headers],0)),"-")</f>
        <v>WAIT</v>
      </c>
      <c r="X166" s="41" t="str">
        <f>IFERROR(INDEX(_group_[],MATCH(_SCHEDULE_[[#This Row],[CONTEST_CODE]],_group_[CONTEST_CODE],0),MATCH($X$2,_group_[#Headers],0)),"-")</f>
        <v>TB</v>
      </c>
      <c r="Y166" s="61" t="str">
        <f>IFERROR(INDEX(_DATA_[],MATCH(_SCHEDULE_[[#This Row],[CONTEST_CODE]],_DATA_[CONTEST_CODE],0),MATCH($Y$2,_DATA_[#Headers],0)),"-")</f>
        <v>Кредитные продукты. Наращиваем сделки в ЦКП</v>
      </c>
      <c r="Z166" s="41" t="str">
        <f>IFERROR(INDEX(_reward_link_[],MATCH(_SCHEDULE_[[#This Row],[CONTEST_CODE]],_reward_link_[CONTEST_CODE],0),MATCH($Z$2,_reward_link_[#Headers],0)),"-")</f>
        <v>TB</v>
      </c>
      <c r="AA166" s="41" t="str">
        <f>IFERROR(INDEX(_report[],MATCH(_SCHEDULE_[[#This Row],[CONTEST_CODE]],_report[CONTEST_CODE],0),MATCH($AA$2,_report[#Headers],0)),"-")</f>
        <v>-</v>
      </c>
      <c r="AB166"/>
    </row>
    <row r="167" spans="1:28" hidden="1" x14ac:dyDescent="0.25">
      <c r="A167" s="14" t="s">
        <v>1289</v>
      </c>
      <c r="B167" s="14" t="s">
        <v>249</v>
      </c>
      <c r="C167" s="14" t="s">
        <v>192</v>
      </c>
      <c r="D167" s="14" t="s">
        <v>252</v>
      </c>
      <c r="E167" s="14" t="s">
        <v>1226</v>
      </c>
      <c r="F167" s="14" t="s">
        <v>194</v>
      </c>
      <c r="G167" s="14" t="s">
        <v>194</v>
      </c>
      <c r="H167" s="14" t="s">
        <v>194</v>
      </c>
      <c r="I167" s="14" t="s">
        <v>194</v>
      </c>
      <c r="J167" s="14" t="s">
        <v>194</v>
      </c>
      <c r="K167" s="14" t="s">
        <v>155</v>
      </c>
      <c r="L167" s="14" t="s">
        <v>1227</v>
      </c>
      <c r="M167" s="14" t="s">
        <v>3599</v>
      </c>
      <c r="N167" s="14" t="s">
        <v>2</v>
      </c>
      <c r="O167" s="14" t="s">
        <v>1605</v>
      </c>
      <c r="P167" s="14" t="s">
        <v>1064</v>
      </c>
      <c r="R167" s="38">
        <f>IFERROR(COUNTIFS(_report[TOURNAMENT_CODE],_SCHEDULE_[[#This Row],[TOURNAMENT_CODE]],_report[CONTEST_CODE],_SCHEDULE_[[#This Row],[CONTEST_CODE]]),"-")</f>
        <v>0</v>
      </c>
      <c r="S167" s="41" t="str">
        <f>SUBSTITUTE(IFERROR(INDEX(_group_[],MATCH(CONCATENATE(_SCHEDULE_[[#This Row],[CONTEST_CODE]],"_",$S$2),_group_[ИД2],0),MATCH($S$1,_group_[#Headers],0)),"---"),".",",")</f>
        <v>---</v>
      </c>
      <c r="T167" s="41" t="str">
        <f>SUBSTITUTE(IFERROR(INDEX(_group_[],MATCH(CONCATENATE(_SCHEDULE_[[#This Row],[CONTEST_CODE]],"_",$T$2),_group_[ИД2],0),MATCH($T$1,_group_[#Headers],0)),"---"),".",",")</f>
        <v>TB</v>
      </c>
      <c r="U167" s="41" t="str">
        <f>SUBSTITUTE(IFERROR(INDEX(_group_[],MATCH(CONCATENATE(_SCHEDULE_[[#This Row],[CONTEST_CODE]],"_",$U$2),_group_[ИД2],0),MATCH($U$1,_group_[#Headers],0)),"---"),".",",")</f>
        <v>---</v>
      </c>
      <c r="V167" s="41" t="str">
        <f>SUBSTITUTE(IFERROR(INDEX(_group_[],MATCH(CONCATENATE(_SCHEDULE_[[#This Row],[CONTEST_CODE]],"_",$V$2),_group_[ИД2],0),MATCH($V$1,_group_[#Headers],0)),"---"),".",",")</f>
        <v>---</v>
      </c>
      <c r="W167" s="41" t="str">
        <f>IFERROR(INDEX(_INDICATOR_[],MATCH(_SCHEDULE_[[#This Row],[CONTEST_CODE]],_INDICATOR_[CONTEST_CODE],0),MATCH($W$2,_INDICATOR_[#Headers],0)),"-")</f>
        <v>WAIT</v>
      </c>
      <c r="X167" s="41" t="str">
        <f>IFERROR(INDEX(_group_[],MATCH(_SCHEDULE_[[#This Row],[CONTEST_CODE]],_group_[CONTEST_CODE],0),MATCH($X$2,_group_[#Headers],0)),"-")</f>
        <v>TB</v>
      </c>
      <c r="Y167" s="61" t="str">
        <f>IFERROR(INDEX(_DATA_[],MATCH(_SCHEDULE_[[#This Row],[CONTEST_CODE]],_DATA_[CONTEST_CODE],0),MATCH($Y$2,_DATA_[#Headers],0)),"-")</f>
        <v>Кредитные продукты. Наращиваем сделки в ЦКП</v>
      </c>
      <c r="Z167" s="41" t="str">
        <f>IFERROR(INDEX(_reward_link_[],MATCH(_SCHEDULE_[[#This Row],[CONTEST_CODE]],_reward_link_[CONTEST_CODE],0),MATCH($Z$2,_reward_link_[#Headers],0)),"-")</f>
        <v>TB</v>
      </c>
      <c r="AA167" s="41" t="str">
        <f>IFERROR(INDEX(_report[],MATCH(_SCHEDULE_[[#This Row],[CONTEST_CODE]],_report[CONTEST_CODE],0),MATCH($AA$2,_report[#Headers],0)),"-")</f>
        <v>-</v>
      </c>
      <c r="AB167"/>
    </row>
    <row r="168" spans="1:28" hidden="1" x14ac:dyDescent="0.25">
      <c r="A168" s="14" t="s">
        <v>297</v>
      </c>
      <c r="B168" s="14" t="s">
        <v>229</v>
      </c>
      <c r="C168" s="14" t="s">
        <v>223</v>
      </c>
      <c r="D168" s="14" t="s">
        <v>1204</v>
      </c>
      <c r="E168" s="14" t="s">
        <v>1204</v>
      </c>
      <c r="F168" s="14" t="s">
        <v>182</v>
      </c>
      <c r="G168" s="14" t="s">
        <v>188</v>
      </c>
      <c r="H168" s="14" t="s">
        <v>194</v>
      </c>
      <c r="I168" s="14" t="s">
        <v>194</v>
      </c>
      <c r="J168" s="14" t="s">
        <v>194</v>
      </c>
      <c r="K168" s="14" t="s">
        <v>176</v>
      </c>
      <c r="L168" s="14" t="s">
        <v>138</v>
      </c>
      <c r="M168" s="14" t="s">
        <v>3599</v>
      </c>
      <c r="N168" s="14" t="s">
        <v>2</v>
      </c>
      <c r="O168" s="14" t="s">
        <v>1606</v>
      </c>
      <c r="P168" s="14" t="s">
        <v>1064</v>
      </c>
      <c r="R168" s="38">
        <f>IFERROR(COUNTIFS(_report[TOURNAMENT_CODE],_SCHEDULE_[[#This Row],[TOURNAMENT_CODE]],_report[CONTEST_CODE],_SCHEDULE_[[#This Row],[CONTEST_CODE]]),"-")</f>
        <v>0</v>
      </c>
      <c r="S168" s="41" t="str">
        <f>SUBSTITUTE(IFERROR(INDEX(_group_[],MATCH(CONCATENATE(_SCHEDULE_[[#This Row],[CONTEST_CODE]],"_",$S$2),_group_[ИД2],0),MATCH($S$1,_group_[#Headers],0)),"---"),".",",")</f>
        <v>BANK</v>
      </c>
      <c r="T168" s="41" t="str">
        <f>SUBSTITUTE(IFERROR(INDEX(_group_[],MATCH(CONCATENATE(_SCHEDULE_[[#This Row],[CONTEST_CODE]],"_",$T$2),_group_[ИД2],0),MATCH($T$1,_group_[#Headers],0)),"---"),".",",")</f>
        <v>---</v>
      </c>
      <c r="U168" s="41" t="str">
        <f>SUBSTITUTE(IFERROR(INDEX(_group_[],MATCH(CONCATENATE(_SCHEDULE_[[#This Row],[CONTEST_CODE]],"_",$U$2),_group_[ИД2],0),MATCH($U$1,_group_[#Headers],0)),"---"),".",",")</f>
        <v>---</v>
      </c>
      <c r="V168" s="41" t="str">
        <f>SUBSTITUTE(IFERROR(INDEX(_group_[],MATCH(CONCATENATE(_SCHEDULE_[[#This Row],[CONTEST_CODE]],"_",$V$2),_group_[ИД2],0),MATCH($V$1,_group_[#Headers],0)),"---"),".",",")</f>
        <v>---</v>
      </c>
      <c r="W168" s="41" t="str">
        <f>IFERROR(INDEX(_INDICATOR_[],MATCH(_SCHEDULE_[[#This Row],[CONTEST_CODE]],_INDICATOR_[CONTEST_CODE],0),MATCH($W$2,_INDICATOR_[#Headers],0)),"-")</f>
        <v>WAIT</v>
      </c>
      <c r="X168" s="41" t="str">
        <f>IFERROR(INDEX(_group_[],MATCH(_SCHEDULE_[[#This Row],[CONTEST_CODE]],_group_[CONTEST_CODE],0),MATCH($X$2,_group_[#Headers],0)),"-")</f>
        <v>BANK</v>
      </c>
      <c r="Y168" s="61" t="str">
        <f>IFERROR(INDEX(_DATA_[],MATCH(_SCHEDULE_[[#This Row],[CONTEST_CODE]],_DATA_[CONTEST_CODE],0),MATCH($Y$2,_DATA_[#Headers],0)),"-")</f>
        <v>Первая сделка в ЦКП</v>
      </c>
      <c r="Z168" s="41" t="str">
        <f>IFERROR(INDEX(_reward_link_[],MATCH(_SCHEDULE_[[#This Row],[CONTEST_CODE]],_reward_link_[CONTEST_CODE],0),MATCH($Z$2,_reward_link_[#Headers],0)),"-")</f>
        <v>BANK</v>
      </c>
      <c r="AA168" s="41" t="str">
        <f>IFERROR(INDEX(_report[],MATCH(_SCHEDULE_[[#This Row],[CONTEST_CODE]],_report[CONTEST_CODE],0),MATCH($AA$2,_report[#Headers],0)),"-")</f>
        <v>-</v>
      </c>
      <c r="AB168"/>
    </row>
    <row r="169" spans="1:28" hidden="1" x14ac:dyDescent="0.25">
      <c r="A169" s="14" t="s">
        <v>1290</v>
      </c>
      <c r="B169" s="14" t="s">
        <v>662</v>
      </c>
      <c r="C169" s="14" t="s">
        <v>182</v>
      </c>
      <c r="D169" s="14" t="s">
        <v>642</v>
      </c>
      <c r="E169" s="14" t="s">
        <v>2543</v>
      </c>
      <c r="F169" s="14" t="s">
        <v>194</v>
      </c>
      <c r="G169" s="14" t="s">
        <v>194</v>
      </c>
      <c r="H169" s="14" t="s">
        <v>194</v>
      </c>
      <c r="I169" s="14" t="s">
        <v>194</v>
      </c>
      <c r="J169" s="14" t="s">
        <v>194</v>
      </c>
      <c r="K169" s="14" t="s">
        <v>176</v>
      </c>
      <c r="L169" s="14" t="s">
        <v>647</v>
      </c>
      <c r="M169" s="14" t="s">
        <v>3598</v>
      </c>
      <c r="N169" s="14" t="s">
        <v>2</v>
      </c>
      <c r="O169" s="14" t="s">
        <v>1607</v>
      </c>
      <c r="P169" s="14" t="s">
        <v>1064</v>
      </c>
      <c r="R169" s="38">
        <f>IFERROR(COUNTIFS(_report[TOURNAMENT_CODE],_SCHEDULE_[[#This Row],[TOURNAMENT_CODE]],_report[CONTEST_CODE],_SCHEDULE_[[#This Row],[CONTEST_CODE]]),"-")</f>
        <v>0</v>
      </c>
      <c r="S169" s="41" t="str">
        <f>SUBSTITUTE(IFERROR(INDEX(_group_[],MATCH(CONCATENATE(_SCHEDULE_[[#This Row],[CONTEST_CODE]],"_",$S$2),_group_[ИД2],0),MATCH($S$1,_group_[#Headers],0)),"---"),".",",")</f>
        <v>BANK</v>
      </c>
      <c r="T169" s="41" t="str">
        <f>SUBSTITUTE(IFERROR(INDEX(_group_[],MATCH(CONCATENATE(_SCHEDULE_[[#This Row],[CONTEST_CODE]],"_",$T$2),_group_[ИД2],0),MATCH($T$1,_group_[#Headers],0)),"---"),".",",")</f>
        <v>---</v>
      </c>
      <c r="U169" s="41" t="str">
        <f>SUBSTITUTE(IFERROR(INDEX(_group_[],MATCH(CONCATENATE(_SCHEDULE_[[#This Row],[CONTEST_CODE]],"_",$U$2),_group_[ИД2],0),MATCH($U$1,_group_[#Headers],0)),"---"),".",",")</f>
        <v>---</v>
      </c>
      <c r="V169" s="41" t="str">
        <f>SUBSTITUTE(IFERROR(INDEX(_group_[],MATCH(CONCATENATE(_SCHEDULE_[[#This Row],[CONTEST_CODE]],"_",$V$2),_group_[ИД2],0),MATCH($V$1,_group_[#Headers],0)),"---"),".",",")</f>
        <v>---</v>
      </c>
      <c r="W169" s="41" t="str">
        <f>IFERROR(INDEX(_INDICATOR_[],MATCH(_SCHEDULE_[[#This Row],[CONTEST_CODE]],_INDICATOR_[CONTEST_CODE],0),MATCH($W$2,_INDICATOR_[#Headers],0)),"-")</f>
        <v>WAIT</v>
      </c>
      <c r="X169" s="41" t="str">
        <f>IFERROR(INDEX(_group_[],MATCH(_SCHEDULE_[[#This Row],[CONTEST_CODE]],_group_[CONTEST_CODE],0),MATCH($X$2,_group_[#Headers],0)),"-")</f>
        <v>BANK</v>
      </c>
      <c r="Y169" s="61" t="str">
        <f>IFERROR(INDEX(_DATA_[],MATCH(_SCHEDULE_[[#This Row],[CONTEST_CODE]],_DATA_[CONTEST_CODE],0),MATCH($Y$2,_DATA_[#Headers],0)),"-")</f>
        <v>Лизинговый миллардер</v>
      </c>
      <c r="Z169" s="41" t="str">
        <f>IFERROR(INDEX(_reward_link_[],MATCH(_SCHEDULE_[[#This Row],[CONTEST_CODE]],_reward_link_[CONTEST_CODE],0),MATCH($Z$2,_reward_link_[#Headers],0)),"-")</f>
        <v>BANK</v>
      </c>
      <c r="AA169" s="41" t="str">
        <f>IFERROR(INDEX(_report[],MATCH(_SCHEDULE_[[#This Row],[CONTEST_CODE]],_report[CONTEST_CODE],0),MATCH($AA$2,_report[#Headers],0)),"-")</f>
        <v>-</v>
      </c>
      <c r="AB169"/>
    </row>
    <row r="170" spans="1:28" x14ac:dyDescent="0.25">
      <c r="A170" s="14" t="s">
        <v>4791</v>
      </c>
      <c r="B170" s="14" t="s">
        <v>662</v>
      </c>
      <c r="C170" s="14" t="s">
        <v>2508</v>
      </c>
      <c r="D170" s="14" t="s">
        <v>2509</v>
      </c>
      <c r="E170" s="14" t="s">
        <v>4795</v>
      </c>
      <c r="F170" s="14" t="s">
        <v>194</v>
      </c>
      <c r="G170" s="14" t="s">
        <v>194</v>
      </c>
      <c r="H170" s="14" t="s">
        <v>194</v>
      </c>
      <c r="I170" s="14" t="s">
        <v>194</v>
      </c>
      <c r="J170" s="14" t="s">
        <v>194</v>
      </c>
      <c r="K170" s="14" t="s">
        <v>34</v>
      </c>
      <c r="L170" s="14" t="s">
        <v>647</v>
      </c>
      <c r="M170" s="14" t="s">
        <v>3598</v>
      </c>
      <c r="N170" s="14" t="s">
        <v>2</v>
      </c>
      <c r="O170" s="14" t="s">
        <v>4792</v>
      </c>
      <c r="P170" s="14" t="s">
        <v>1064</v>
      </c>
      <c r="R170" s="38">
        <f>IFERROR(COUNTIFS(_report[TOURNAMENT_CODE],_SCHEDULE_[[#This Row],[TOURNAMENT_CODE]],_report[CONTEST_CODE],_SCHEDULE_[[#This Row],[CONTEST_CODE]]),"-")</f>
        <v>0</v>
      </c>
      <c r="S170" s="41" t="str">
        <f>SUBSTITUTE(IFERROR(INDEX(_group_[],MATCH(CONCATENATE(_SCHEDULE_[[#This Row],[CONTEST_CODE]],"_",$S$2),_group_[ИД2],0),MATCH($S$1,_group_[#Headers],0)),"---"),".",",")</f>
        <v>BANK</v>
      </c>
      <c r="T170" s="41" t="str">
        <f>SUBSTITUTE(IFERROR(INDEX(_group_[],MATCH(CONCATENATE(_SCHEDULE_[[#This Row],[CONTEST_CODE]],"_",$T$2),_group_[ИД2],0),MATCH($T$1,_group_[#Headers],0)),"---"),".",",")</f>
        <v>---</v>
      </c>
      <c r="U170" s="41" t="str">
        <f>SUBSTITUTE(IFERROR(INDEX(_group_[],MATCH(CONCATENATE(_SCHEDULE_[[#This Row],[CONTEST_CODE]],"_",$U$2),_group_[ИД2],0),MATCH($U$1,_group_[#Headers],0)),"---"),".",",")</f>
        <v>---</v>
      </c>
      <c r="V170" s="41" t="str">
        <f>SUBSTITUTE(IFERROR(INDEX(_group_[],MATCH(CONCATENATE(_SCHEDULE_[[#This Row],[CONTEST_CODE]],"_",$V$2),_group_[ИД2],0),MATCH($V$1,_group_[#Headers],0)),"---"),".",",")</f>
        <v>---</v>
      </c>
      <c r="W170" s="41" t="str">
        <f>IFERROR(INDEX(_INDICATOR_[],MATCH(_SCHEDULE_[[#This Row],[CONTEST_CODE]],_INDICATOR_[CONTEST_CODE],0),MATCH($W$2,_INDICATOR_[#Headers],0)),"-")</f>
        <v>WAIT</v>
      </c>
      <c r="X170" s="41" t="str">
        <f>IFERROR(INDEX(_group_[],MATCH(_SCHEDULE_[[#This Row],[CONTEST_CODE]],_group_[CONTEST_CODE],0),MATCH($X$2,_group_[#Headers],0)),"-")</f>
        <v>BANK</v>
      </c>
      <c r="Y170" s="61" t="str">
        <f>IFERROR(INDEX(_DATA_[],MATCH(_SCHEDULE_[[#This Row],[CONTEST_CODE]],_DATA_[CONTEST_CODE],0),MATCH($Y$2,_DATA_[#Headers],0)),"-")</f>
        <v>Лизинговый миллардер</v>
      </c>
      <c r="Z170" s="41" t="str">
        <f>IFERROR(INDEX(_reward_link_[],MATCH(_SCHEDULE_[[#This Row],[CONTEST_CODE]],_reward_link_[CONTEST_CODE],0),MATCH($Z$2,_reward_link_[#Headers],0)),"-")</f>
        <v>BANK</v>
      </c>
      <c r="AA170" s="41" t="str">
        <f>IFERROR(INDEX(_report[],MATCH(_SCHEDULE_[[#This Row],[CONTEST_CODE]],_report[CONTEST_CODE],0),MATCH($AA$2,_report[#Headers],0)),"-")</f>
        <v>-</v>
      </c>
      <c r="AB170"/>
    </row>
    <row r="171" spans="1:28" hidden="1" x14ac:dyDescent="0.25">
      <c r="A171" s="14" t="s">
        <v>1174</v>
      </c>
      <c r="B171" s="14" t="s">
        <v>1261</v>
      </c>
      <c r="C171" s="14" t="s">
        <v>1078</v>
      </c>
      <c r="D171" s="14" t="s">
        <v>1070</v>
      </c>
      <c r="E171" s="14" t="s">
        <v>1714</v>
      </c>
      <c r="F171" s="14" t="s">
        <v>194</v>
      </c>
      <c r="G171" s="14" t="s">
        <v>194</v>
      </c>
      <c r="H171" s="14" t="s">
        <v>194</v>
      </c>
      <c r="I171" s="14" t="s">
        <v>194</v>
      </c>
      <c r="J171" s="14" t="s">
        <v>194</v>
      </c>
      <c r="K171" s="14" t="s">
        <v>176</v>
      </c>
      <c r="L171" s="14" t="s">
        <v>1171</v>
      </c>
      <c r="M171" s="14" t="s">
        <v>3599</v>
      </c>
      <c r="N171" s="14" t="s">
        <v>2</v>
      </c>
      <c r="O171" s="14" t="s">
        <v>1608</v>
      </c>
      <c r="P171" s="14" t="s">
        <v>1064</v>
      </c>
      <c r="R171" s="38">
        <f>IFERROR(COUNTIFS(_report[TOURNAMENT_CODE],_SCHEDULE_[[#This Row],[TOURNAMENT_CODE]],_report[CONTEST_CODE],_SCHEDULE_[[#This Row],[CONTEST_CODE]]),"-")</f>
        <v>0</v>
      </c>
      <c r="S171" s="41" t="str">
        <f>SUBSTITUTE(IFERROR(INDEX(_group_[],MATCH(CONCATENATE(_SCHEDULE_[[#This Row],[CONTEST_CODE]],"_",$S$2),_group_[ИД2],0),MATCH($S$1,_group_[#Headers],0)),"---"),".",",")</f>
        <v>BANK</v>
      </c>
      <c r="T171" s="41" t="str">
        <f>SUBSTITUTE(IFERROR(INDEX(_group_[],MATCH(CONCATENATE(_SCHEDULE_[[#This Row],[CONTEST_CODE]],"_",$T$2),_group_[ИД2],0),MATCH($T$1,_group_[#Headers],0)),"---"),".",",")</f>
        <v>TB</v>
      </c>
      <c r="U171" s="41" t="str">
        <f>SUBSTITUTE(IFERROR(INDEX(_group_[],MATCH(CONCATENATE(_SCHEDULE_[[#This Row],[CONTEST_CODE]],"_",$U$2),_group_[ИД2],0),MATCH($U$1,_group_[#Headers],0)),"---"),".",",")</f>
        <v>---</v>
      </c>
      <c r="V171" s="41" t="str">
        <f>SUBSTITUTE(IFERROR(INDEX(_group_[],MATCH(CONCATENATE(_SCHEDULE_[[#This Row],[CONTEST_CODE]],"_",$V$2),_group_[ИД2],0),MATCH($V$1,_group_[#Headers],0)),"---"),".",",")</f>
        <v>---</v>
      </c>
      <c r="W171" s="41" t="str">
        <f>IFERROR(INDEX(_INDICATOR_[],MATCH(_SCHEDULE_[[#This Row],[CONTEST_CODE]],_INDICATOR_[CONTEST_CODE],0),MATCH($W$2,_INDICATOR_[#Headers],0)),"-")</f>
        <v>WAIT</v>
      </c>
      <c r="X171" s="41" t="str">
        <f>IFERROR(INDEX(_group_[],MATCH(_SCHEDULE_[[#This Row],[CONTEST_CODE]],_group_[CONTEST_CODE],0),MATCH($X$2,_group_[#Headers],0)),"-")</f>
        <v>BANK</v>
      </c>
      <c r="Y171" s="61" t="str">
        <f>IFERROR(INDEX(_DATA_[],MATCH(_SCHEDULE_[[#This Row],[CONTEST_CODE]],_DATA_[CONTEST_CODE],0),MATCH($Y$2,_DATA_[#Headers],0)),"-")</f>
        <v xml:space="preserve">Страхование. Продукты ESG </v>
      </c>
      <c r="Z171" s="41" t="str">
        <f>IFERROR(INDEX(_reward_link_[],MATCH(_SCHEDULE_[[#This Row],[CONTEST_CODE]],_reward_link_[CONTEST_CODE],0),MATCH($Z$2,_reward_link_[#Headers],0)),"-")</f>
        <v>TB</v>
      </c>
      <c r="AA171" s="41" t="str">
        <f>IFERROR(INDEX(_report[],MATCH(_SCHEDULE_[[#This Row],[CONTEST_CODE]],_report[CONTEST_CODE],0),MATCH($AA$2,_report[#Headers],0)),"-")</f>
        <v>-</v>
      </c>
      <c r="AB171"/>
    </row>
    <row r="172" spans="1:28" hidden="1" x14ac:dyDescent="0.25">
      <c r="A172" s="14" t="s">
        <v>1663</v>
      </c>
      <c r="B172" s="14" t="s">
        <v>229</v>
      </c>
      <c r="C172" s="14" t="s">
        <v>1308</v>
      </c>
      <c r="D172" s="14" t="s">
        <v>642</v>
      </c>
      <c r="E172" s="14" t="s">
        <v>2131</v>
      </c>
      <c r="F172" s="14" t="s">
        <v>194</v>
      </c>
      <c r="G172" s="14" t="s">
        <v>194</v>
      </c>
      <c r="H172" s="14" t="s">
        <v>194</v>
      </c>
      <c r="I172" s="14" t="s">
        <v>194</v>
      </c>
      <c r="J172" s="14" t="s">
        <v>194</v>
      </c>
      <c r="K172" s="14" t="s">
        <v>176</v>
      </c>
      <c r="L172" s="14" t="s">
        <v>1171</v>
      </c>
      <c r="M172" s="14" t="s">
        <v>3599</v>
      </c>
      <c r="N172" s="14" t="s">
        <v>2</v>
      </c>
      <c r="O172" s="14" t="s">
        <v>1664</v>
      </c>
      <c r="P172" s="14" t="s">
        <v>1064</v>
      </c>
      <c r="R172" s="38">
        <f>IFERROR(COUNTIFS(_report[TOURNAMENT_CODE],_SCHEDULE_[[#This Row],[TOURNAMENT_CODE]],_report[CONTEST_CODE],_SCHEDULE_[[#This Row],[CONTEST_CODE]]),"-")</f>
        <v>0</v>
      </c>
      <c r="S172" s="41" t="str">
        <f>SUBSTITUTE(IFERROR(INDEX(_group_[],MATCH(CONCATENATE(_SCHEDULE_[[#This Row],[CONTEST_CODE]],"_",$S$2),_group_[ИД2],0),MATCH($S$1,_group_[#Headers],0)),"---"),".",",")</f>
        <v>BANK</v>
      </c>
      <c r="T172" s="41" t="str">
        <f>SUBSTITUTE(IFERROR(INDEX(_group_[],MATCH(CONCATENATE(_SCHEDULE_[[#This Row],[CONTEST_CODE]],"_",$T$2),_group_[ИД2],0),MATCH($T$1,_group_[#Headers],0)),"---"),".",",")</f>
        <v>TB</v>
      </c>
      <c r="U172" s="41" t="str">
        <f>SUBSTITUTE(IFERROR(INDEX(_group_[],MATCH(CONCATENATE(_SCHEDULE_[[#This Row],[CONTEST_CODE]],"_",$U$2),_group_[ИД2],0),MATCH($U$1,_group_[#Headers],0)),"---"),".",",")</f>
        <v>---</v>
      </c>
      <c r="V172" s="41" t="str">
        <f>SUBSTITUTE(IFERROR(INDEX(_group_[],MATCH(CONCATENATE(_SCHEDULE_[[#This Row],[CONTEST_CODE]],"_",$V$2),_group_[ИД2],0),MATCH($V$1,_group_[#Headers],0)),"---"),".",",")</f>
        <v>---</v>
      </c>
      <c r="W172" s="41" t="str">
        <f>IFERROR(INDEX(_INDICATOR_[],MATCH(_SCHEDULE_[[#This Row],[CONTEST_CODE]],_INDICATOR_[CONTEST_CODE],0),MATCH($W$2,_INDICATOR_[#Headers],0)),"-")</f>
        <v>WAIT</v>
      </c>
      <c r="X172" s="41" t="str">
        <f>IFERROR(INDEX(_group_[],MATCH(_SCHEDULE_[[#This Row],[CONTEST_CODE]],_group_[CONTEST_CODE],0),MATCH($X$2,_group_[#Headers],0)),"-")</f>
        <v>BANK</v>
      </c>
      <c r="Y172" s="61" t="str">
        <f>IFERROR(INDEX(_DATA_[],MATCH(_SCHEDULE_[[#This Row],[CONTEST_CODE]],_DATA_[CONTEST_CODE],0),MATCH($Y$2,_DATA_[#Headers],0)),"-")</f>
        <v xml:space="preserve">Страхование. Продукты ESG </v>
      </c>
      <c r="Z172" s="41" t="str">
        <f>IFERROR(INDEX(_reward_link_[],MATCH(_SCHEDULE_[[#This Row],[CONTEST_CODE]],_reward_link_[CONTEST_CODE],0),MATCH($Z$2,_reward_link_[#Headers],0)),"-")</f>
        <v>TB</v>
      </c>
      <c r="AA172" s="41" t="str">
        <f>IFERROR(INDEX(_report[],MATCH(_SCHEDULE_[[#This Row],[CONTEST_CODE]],_report[CONTEST_CODE],0),MATCH($AA$2,_report[#Headers],0)),"-")</f>
        <v>-</v>
      </c>
      <c r="AB172"/>
    </row>
    <row r="173" spans="1:28" hidden="1" x14ac:dyDescent="0.25">
      <c r="A173" s="14" t="s">
        <v>1175</v>
      </c>
      <c r="B173" s="14" t="s">
        <v>1261</v>
      </c>
      <c r="C173" s="14" t="s">
        <v>1078</v>
      </c>
      <c r="D173" s="14" t="s">
        <v>1070</v>
      </c>
      <c r="E173" s="14" t="s">
        <v>1711</v>
      </c>
      <c r="F173" s="14" t="s">
        <v>194</v>
      </c>
      <c r="G173" s="14" t="s">
        <v>194</v>
      </c>
      <c r="H173" s="14" t="s">
        <v>194</v>
      </c>
      <c r="I173" s="14" t="s">
        <v>194</v>
      </c>
      <c r="J173" s="14" t="s">
        <v>194</v>
      </c>
      <c r="K173" s="14" t="s">
        <v>176</v>
      </c>
      <c r="L173" s="14" t="s">
        <v>1172</v>
      </c>
      <c r="M173" s="14" t="s">
        <v>3599</v>
      </c>
      <c r="N173" s="14" t="s">
        <v>2</v>
      </c>
      <c r="O173" s="14" t="s">
        <v>1609</v>
      </c>
      <c r="P173" s="14" t="s">
        <v>1064</v>
      </c>
      <c r="R173" s="38">
        <f>IFERROR(COUNTIFS(_report[TOURNAMENT_CODE],_SCHEDULE_[[#This Row],[TOURNAMENT_CODE]],_report[CONTEST_CODE],_SCHEDULE_[[#This Row],[CONTEST_CODE]]),"-")</f>
        <v>0</v>
      </c>
      <c r="S173" s="41" t="str">
        <f>SUBSTITUTE(IFERROR(INDEX(_group_[],MATCH(CONCATENATE(_SCHEDULE_[[#This Row],[CONTEST_CODE]],"_",$S$2),_group_[ИД2],0),MATCH($S$1,_group_[#Headers],0)),"---"),".",",")</f>
        <v>BANK</v>
      </c>
      <c r="T173" s="41" t="str">
        <f>SUBSTITUTE(IFERROR(INDEX(_group_[],MATCH(CONCATENATE(_SCHEDULE_[[#This Row],[CONTEST_CODE]],"_",$T$2),_group_[ИД2],0),MATCH($T$1,_group_[#Headers],0)),"---"),".",",")</f>
        <v>TB</v>
      </c>
      <c r="U173" s="41" t="str">
        <f>SUBSTITUTE(IFERROR(INDEX(_group_[],MATCH(CONCATENATE(_SCHEDULE_[[#This Row],[CONTEST_CODE]],"_",$U$2),_group_[ИД2],0),MATCH($U$1,_group_[#Headers],0)),"---"),".",",")</f>
        <v>GOSB</v>
      </c>
      <c r="V173" s="41" t="str">
        <f>SUBSTITUTE(IFERROR(INDEX(_group_[],MATCH(CONCATENATE(_SCHEDULE_[[#This Row],[CONTEST_CODE]],"_",$V$2),_group_[ИД2],0),MATCH($V$1,_group_[#Headers],0)),"---"),".",",")</f>
        <v>---</v>
      </c>
      <c r="W173" s="41" t="str">
        <f>IFERROR(INDEX(_INDICATOR_[],MATCH(_SCHEDULE_[[#This Row],[CONTEST_CODE]],_INDICATOR_[CONTEST_CODE],0),MATCH($W$2,_INDICATOR_[#Headers],0)),"-")</f>
        <v>WAIT</v>
      </c>
      <c r="X173" s="41" t="str">
        <f>IFERROR(INDEX(_group_[],MATCH(_SCHEDULE_[[#This Row],[CONTEST_CODE]],_group_[CONTEST_CODE],0),MATCH($X$2,_group_[#Headers],0)),"-")</f>
        <v>BANK</v>
      </c>
      <c r="Y173" s="61" t="str">
        <f>IFERROR(INDEX(_DATA_[],MATCH(_SCHEDULE_[[#This Row],[CONTEST_CODE]],_DATA_[CONTEST_CODE],0),MATCH($Y$2,_DATA_[#Headers],0)),"-")</f>
        <v>Страхование. Продукты ДМС</v>
      </c>
      <c r="Z173" s="41" t="str">
        <f>IFERROR(INDEX(_reward_link_[],MATCH(_SCHEDULE_[[#This Row],[CONTEST_CODE]],_reward_link_[CONTEST_CODE],0),MATCH($Z$2,_reward_link_[#Headers],0)),"-")</f>
        <v>GOSB</v>
      </c>
      <c r="AA173" s="41" t="str">
        <f>IFERROR(INDEX(_report[],MATCH(_SCHEDULE_[[#This Row],[CONTEST_CODE]],_report[CONTEST_CODE],0),MATCH($AA$2,_report[#Headers],0)),"-")</f>
        <v>-</v>
      </c>
      <c r="AB173"/>
    </row>
    <row r="174" spans="1:28" hidden="1" x14ac:dyDescent="0.25">
      <c r="A174" s="14" t="s">
        <v>1665</v>
      </c>
      <c r="B174" s="14" t="s">
        <v>229</v>
      </c>
      <c r="C174" s="14" t="s">
        <v>1308</v>
      </c>
      <c r="D174" s="14" t="s">
        <v>642</v>
      </c>
      <c r="E174" s="14" t="s">
        <v>2131</v>
      </c>
      <c r="F174" s="14" t="s">
        <v>194</v>
      </c>
      <c r="G174" s="14" t="s">
        <v>194</v>
      </c>
      <c r="H174" s="14" t="s">
        <v>194</v>
      </c>
      <c r="I174" s="14" t="s">
        <v>194</v>
      </c>
      <c r="J174" s="14" t="s">
        <v>194</v>
      </c>
      <c r="K174" s="14" t="s">
        <v>176</v>
      </c>
      <c r="L174" s="14" t="s">
        <v>1172</v>
      </c>
      <c r="M174" s="14" t="s">
        <v>3599</v>
      </c>
      <c r="N174" s="14" t="s">
        <v>2</v>
      </c>
      <c r="O174" s="14" t="s">
        <v>1666</v>
      </c>
      <c r="P174" s="14" t="s">
        <v>1064</v>
      </c>
      <c r="R174" s="38">
        <f>IFERROR(COUNTIFS(_report[TOURNAMENT_CODE],_SCHEDULE_[[#This Row],[TOURNAMENT_CODE]],_report[CONTEST_CODE],_SCHEDULE_[[#This Row],[CONTEST_CODE]]),"-")</f>
        <v>0</v>
      </c>
      <c r="S174" s="41" t="str">
        <f>SUBSTITUTE(IFERROR(INDEX(_group_[],MATCH(CONCATENATE(_SCHEDULE_[[#This Row],[CONTEST_CODE]],"_",$S$2),_group_[ИД2],0),MATCH($S$1,_group_[#Headers],0)),"---"),".",",")</f>
        <v>BANK</v>
      </c>
      <c r="T174" s="41" t="str">
        <f>SUBSTITUTE(IFERROR(INDEX(_group_[],MATCH(CONCATENATE(_SCHEDULE_[[#This Row],[CONTEST_CODE]],"_",$T$2),_group_[ИД2],0),MATCH($T$1,_group_[#Headers],0)),"---"),".",",")</f>
        <v>TB</v>
      </c>
      <c r="U174" s="41" t="str">
        <f>SUBSTITUTE(IFERROR(INDEX(_group_[],MATCH(CONCATENATE(_SCHEDULE_[[#This Row],[CONTEST_CODE]],"_",$U$2),_group_[ИД2],0),MATCH($U$1,_group_[#Headers],0)),"---"),".",",")</f>
        <v>GOSB</v>
      </c>
      <c r="V174" s="41" t="str">
        <f>SUBSTITUTE(IFERROR(INDEX(_group_[],MATCH(CONCATENATE(_SCHEDULE_[[#This Row],[CONTEST_CODE]],"_",$V$2),_group_[ИД2],0),MATCH($V$1,_group_[#Headers],0)),"---"),".",",")</f>
        <v>---</v>
      </c>
      <c r="W174" s="41" t="str">
        <f>IFERROR(INDEX(_INDICATOR_[],MATCH(_SCHEDULE_[[#This Row],[CONTEST_CODE]],_INDICATOR_[CONTEST_CODE],0),MATCH($W$2,_INDICATOR_[#Headers],0)),"-")</f>
        <v>WAIT</v>
      </c>
      <c r="X174" s="41" t="str">
        <f>IFERROR(INDEX(_group_[],MATCH(_SCHEDULE_[[#This Row],[CONTEST_CODE]],_group_[CONTEST_CODE],0),MATCH($X$2,_group_[#Headers],0)),"-")</f>
        <v>BANK</v>
      </c>
      <c r="Y174" s="61" t="str">
        <f>IFERROR(INDEX(_DATA_[],MATCH(_SCHEDULE_[[#This Row],[CONTEST_CODE]],_DATA_[CONTEST_CODE],0),MATCH($Y$2,_DATA_[#Headers],0)),"-")</f>
        <v>Страхование. Продукты ДМС</v>
      </c>
      <c r="Z174" s="41" t="str">
        <f>IFERROR(INDEX(_reward_link_[],MATCH(_SCHEDULE_[[#This Row],[CONTEST_CODE]],_reward_link_[CONTEST_CODE],0),MATCH($Z$2,_reward_link_[#Headers],0)),"-")</f>
        <v>GOSB</v>
      </c>
      <c r="AA174" s="41" t="str">
        <f>IFERROR(INDEX(_report[],MATCH(_SCHEDULE_[[#This Row],[CONTEST_CODE]],_report[CONTEST_CODE],0),MATCH($AA$2,_report[#Headers],0)),"-")</f>
        <v>-</v>
      </c>
      <c r="AB174"/>
    </row>
    <row r="175" spans="1:28" hidden="1" x14ac:dyDescent="0.25">
      <c r="A175" s="14" t="s">
        <v>1262</v>
      </c>
      <c r="B175" s="14" t="s">
        <v>229</v>
      </c>
      <c r="C175" s="14" t="s">
        <v>1308</v>
      </c>
      <c r="D175" s="14" t="s">
        <v>642</v>
      </c>
      <c r="E175" s="14" t="s">
        <v>2131</v>
      </c>
      <c r="F175" s="14" t="s">
        <v>194</v>
      </c>
      <c r="G175" s="14" t="s">
        <v>194</v>
      </c>
      <c r="H175" s="14" t="s">
        <v>194</v>
      </c>
      <c r="I175" s="14" t="s">
        <v>194</v>
      </c>
      <c r="J175" s="14" t="s">
        <v>194</v>
      </c>
      <c r="K175" s="14" t="s">
        <v>176</v>
      </c>
      <c r="L175" s="14" t="s">
        <v>1231</v>
      </c>
      <c r="M175" s="14" t="s">
        <v>3599</v>
      </c>
      <c r="N175" s="14" t="s">
        <v>2</v>
      </c>
      <c r="O175" s="14" t="s">
        <v>1610</v>
      </c>
      <c r="P175" s="14" t="s">
        <v>1064</v>
      </c>
      <c r="R175" s="38">
        <f>IFERROR(COUNTIFS(_report[TOURNAMENT_CODE],_SCHEDULE_[[#This Row],[TOURNAMENT_CODE]],_report[CONTEST_CODE],_SCHEDULE_[[#This Row],[CONTEST_CODE]]),"-")</f>
        <v>0</v>
      </c>
      <c r="S175" s="41" t="str">
        <f>SUBSTITUTE(IFERROR(INDEX(_group_[],MATCH(CONCATENATE(_SCHEDULE_[[#This Row],[CONTEST_CODE]],"_",$S$2),_group_[ИД2],0),MATCH($S$1,_group_[#Headers],0)),"---"),".",",")</f>
        <v>BANK</v>
      </c>
      <c r="T175" s="41" t="str">
        <f>SUBSTITUTE(IFERROR(INDEX(_group_[],MATCH(CONCATENATE(_SCHEDULE_[[#This Row],[CONTEST_CODE]],"_",$T$2),_group_[ИД2],0),MATCH($T$1,_group_[#Headers],0)),"---"),".",",")</f>
        <v>TB</v>
      </c>
      <c r="U175" s="41" t="str">
        <f>SUBSTITUTE(IFERROR(INDEX(_group_[],MATCH(CONCATENATE(_SCHEDULE_[[#This Row],[CONTEST_CODE]],"_",$U$2),_group_[ИД2],0),MATCH($U$1,_group_[#Headers],0)),"---"),".",",")</f>
        <v>---</v>
      </c>
      <c r="V175" s="41" t="str">
        <f>SUBSTITUTE(IFERROR(INDEX(_group_[],MATCH(CONCATENATE(_SCHEDULE_[[#This Row],[CONTEST_CODE]],"_",$V$2),_group_[ИД2],0),MATCH($V$1,_group_[#Headers],0)),"---"),".",",")</f>
        <v>---</v>
      </c>
      <c r="W175" s="41" t="str">
        <f>IFERROR(INDEX(_INDICATOR_[],MATCH(_SCHEDULE_[[#This Row],[CONTEST_CODE]],_INDICATOR_[CONTEST_CODE],0),MATCH($W$2,_INDICATOR_[#Headers],0)),"-")</f>
        <v>WAIT</v>
      </c>
      <c r="X175" s="41" t="str">
        <f>IFERROR(INDEX(_group_[],MATCH(_SCHEDULE_[[#This Row],[CONTEST_CODE]],_group_[CONTEST_CODE],0),MATCH($X$2,_group_[#Headers],0)),"-")</f>
        <v>BANK</v>
      </c>
      <c r="Y175" s="61" t="str">
        <f>IFERROR(INDEX(_DATA_[],MATCH(_SCHEDULE_[[#This Row],[CONTEST_CODE]],_DATA_[CONTEST_CODE],0),MATCH($Y$2,_DATA_[#Headers],0)),"-")</f>
        <v>Страхование. Продукты СМР</v>
      </c>
      <c r="Z175" s="41" t="str">
        <f>IFERROR(INDEX(_reward_link_[],MATCH(_SCHEDULE_[[#This Row],[CONTEST_CODE]],_reward_link_[CONTEST_CODE],0),MATCH($Z$2,_reward_link_[#Headers],0)),"-")</f>
        <v>TB</v>
      </c>
      <c r="AA175" s="41" t="str">
        <f>IFERROR(INDEX(_report[],MATCH(_SCHEDULE_[[#This Row],[CONTEST_CODE]],_report[CONTEST_CODE],0),MATCH($AA$2,_report[#Headers],0)),"-")</f>
        <v>-</v>
      </c>
      <c r="AB175"/>
    </row>
    <row r="176" spans="1:28" hidden="1" x14ac:dyDescent="0.25">
      <c r="A176" s="14" t="s">
        <v>1695</v>
      </c>
      <c r="B176" s="14" t="s">
        <v>229</v>
      </c>
      <c r="C176" s="14" t="s">
        <v>1308</v>
      </c>
      <c r="D176" s="14" t="s">
        <v>642</v>
      </c>
      <c r="E176" s="14" t="s">
        <v>2842</v>
      </c>
      <c r="F176" s="14" t="s">
        <v>703</v>
      </c>
      <c r="G176" s="14" t="s">
        <v>1070</v>
      </c>
      <c r="H176" s="14" t="s">
        <v>194</v>
      </c>
      <c r="I176" s="14" t="s">
        <v>194</v>
      </c>
      <c r="J176" s="14" t="s">
        <v>194</v>
      </c>
      <c r="K176" s="14" t="s">
        <v>176</v>
      </c>
      <c r="L176" s="14" t="s">
        <v>1348</v>
      </c>
      <c r="M176" s="14" t="s">
        <v>3598</v>
      </c>
      <c r="N176" s="14" t="s">
        <v>2</v>
      </c>
      <c r="O176" s="14" t="s">
        <v>1696</v>
      </c>
      <c r="P176" s="14" t="s">
        <v>1064</v>
      </c>
      <c r="R176" s="38">
        <f>IFERROR(COUNTIFS(_report[TOURNAMENT_CODE],_SCHEDULE_[[#This Row],[TOURNAMENT_CODE]],_report[CONTEST_CODE],_SCHEDULE_[[#This Row],[CONTEST_CODE]]),"-")</f>
        <v>0</v>
      </c>
      <c r="S176" s="41" t="str">
        <f>SUBSTITUTE(IFERROR(INDEX(_group_[],MATCH(CONCATENATE(_SCHEDULE_[[#This Row],[CONTEST_CODE]],"_",$S$2),_group_[ИД2],0),MATCH($S$1,_group_[#Headers],0)),"---"),".",",")</f>
        <v>BANK</v>
      </c>
      <c r="T176" s="41" t="str">
        <f>SUBSTITUTE(IFERROR(INDEX(_group_[],MATCH(CONCATENATE(_SCHEDULE_[[#This Row],[CONTEST_CODE]],"_",$T$2),_group_[ИД2],0),MATCH($T$1,_group_[#Headers],0)),"---"),".",",")</f>
        <v>---</v>
      </c>
      <c r="U176" s="41" t="str">
        <f>SUBSTITUTE(IFERROR(INDEX(_group_[],MATCH(CONCATENATE(_SCHEDULE_[[#This Row],[CONTEST_CODE]],"_",$U$2),_group_[ИД2],0),MATCH($U$1,_group_[#Headers],0)),"---"),".",",")</f>
        <v>---</v>
      </c>
      <c r="V176" s="41" t="str">
        <f>SUBSTITUTE(IFERROR(INDEX(_group_[],MATCH(CONCATENATE(_SCHEDULE_[[#This Row],[CONTEST_CODE]],"_",$V$2),_group_[ИД2],0),MATCH($V$1,_group_[#Headers],0)),"---"),".",",")</f>
        <v>---</v>
      </c>
      <c r="W176" s="41" t="str">
        <f>IFERROR(INDEX(_INDICATOR_[],MATCH(_SCHEDULE_[[#This Row],[CONTEST_CODE]],_INDICATOR_[CONTEST_CODE],0),MATCH($W$2,_INDICATOR_[#Headers],0)),"-")</f>
        <v>WAIT</v>
      </c>
      <c r="X176" s="41" t="str">
        <f>IFERROR(INDEX(_group_[],MATCH(_SCHEDULE_[[#This Row],[CONTEST_CODE]],_group_[CONTEST_CODE],0),MATCH($X$2,_group_[#Headers],0)),"-")</f>
        <v>BANK</v>
      </c>
      <c r="Y176" s="61" t="str">
        <f>IFERROR(INDEX(_DATA_[],MATCH(_SCHEDULE_[[#This Row],[CONTEST_CODE]],_DATA_[CONTEST_CODE],0),MATCH($Y$2,_DATA_[#Headers],0)),"-")</f>
        <v>Защита 360. 2 сделки</v>
      </c>
      <c r="Z176" s="41" t="str">
        <f>IFERROR(INDEX(_reward_link_[],MATCH(_SCHEDULE_[[#This Row],[CONTEST_CODE]],_reward_link_[CONTEST_CODE],0),MATCH($Z$2,_reward_link_[#Headers],0)),"-")</f>
        <v>BANK</v>
      </c>
      <c r="AA176" s="41" t="str">
        <f>IFERROR(INDEX(_report[],MATCH(_SCHEDULE_[[#This Row],[CONTEST_CODE]],_report[CONTEST_CODE],0),MATCH($AA$2,_report[#Headers],0)),"-")</f>
        <v>-</v>
      </c>
      <c r="AB176"/>
    </row>
    <row r="177" spans="1:28" hidden="1" x14ac:dyDescent="0.25">
      <c r="A177" s="14" t="s">
        <v>651</v>
      </c>
      <c r="B177" s="14" t="s">
        <v>662</v>
      </c>
      <c r="C177" s="14" t="s">
        <v>192</v>
      </c>
      <c r="D177" s="14" t="s">
        <v>642</v>
      </c>
      <c r="E177" s="14" t="s">
        <v>194</v>
      </c>
      <c r="F177" s="14" t="s">
        <v>194</v>
      </c>
      <c r="G177" s="14" t="s">
        <v>194</v>
      </c>
      <c r="H177" s="14" t="s">
        <v>194</v>
      </c>
      <c r="I177" s="14" t="s">
        <v>194</v>
      </c>
      <c r="J177" s="14" t="s">
        <v>194</v>
      </c>
      <c r="K177" s="14" t="s">
        <v>184</v>
      </c>
      <c r="L177" s="14" t="s">
        <v>112</v>
      </c>
      <c r="M177" s="14" t="s">
        <v>3599</v>
      </c>
      <c r="N177" s="14" t="s">
        <v>2</v>
      </c>
      <c r="O177" s="14" t="s">
        <v>1611</v>
      </c>
      <c r="P177" s="14" t="s">
        <v>1064</v>
      </c>
      <c r="R177" s="38">
        <f>IFERROR(COUNTIFS(_report[TOURNAMENT_CODE],_SCHEDULE_[[#This Row],[TOURNAMENT_CODE]],_report[CONTEST_CODE],_SCHEDULE_[[#This Row],[CONTEST_CODE]]),"-")</f>
        <v>0</v>
      </c>
      <c r="S177" s="41" t="str">
        <f>SUBSTITUTE(IFERROR(INDEX(_group_[],MATCH(CONCATENATE(_SCHEDULE_[[#This Row],[CONTEST_CODE]],"_",$S$2),_group_[ИД2],0),MATCH($S$1,_group_[#Headers],0)),"---"),".",",")</f>
        <v>BANK</v>
      </c>
      <c r="T177" s="41" t="str">
        <f>SUBSTITUTE(IFERROR(INDEX(_group_[],MATCH(CONCATENATE(_SCHEDULE_[[#This Row],[CONTEST_CODE]],"_",$T$2),_group_[ИД2],0),MATCH($T$1,_group_[#Headers],0)),"---"),".",",")</f>
        <v>---</v>
      </c>
      <c r="U177" s="41" t="str">
        <f>SUBSTITUTE(IFERROR(INDEX(_group_[],MATCH(CONCATENATE(_SCHEDULE_[[#This Row],[CONTEST_CODE]],"_",$U$2),_group_[ИД2],0),MATCH($U$1,_group_[#Headers],0)),"---"),".",",")</f>
        <v>---</v>
      </c>
      <c r="V177" s="41" t="str">
        <f>SUBSTITUTE(IFERROR(INDEX(_group_[],MATCH(CONCATENATE(_SCHEDULE_[[#This Row],[CONTEST_CODE]],"_",$V$2),_group_[ИД2],0),MATCH($V$1,_group_[#Headers],0)),"---"),".",",")</f>
        <v>---</v>
      </c>
      <c r="W177" s="41" t="str">
        <f>IFERROR(INDEX(_INDICATOR_[],MATCH(_SCHEDULE_[[#This Row],[CONTEST_CODE]],_INDICATOR_[CONTEST_CODE],0),MATCH($W$2,_INDICATOR_[#Headers],0)),"-")</f>
        <v>WAIT</v>
      </c>
      <c r="X177" s="41" t="str">
        <f>IFERROR(INDEX(_group_[],MATCH(_SCHEDULE_[[#This Row],[CONTEST_CODE]],_group_[CONTEST_CODE],0),MATCH($X$2,_group_[#Headers],0)),"-")</f>
        <v>BANK</v>
      </c>
      <c r="Y177" s="61" t="str">
        <f>IFERROR(INDEX(_DATA_[],MATCH(_SCHEDULE_[[#This Row],[CONTEST_CODE]],_DATA_[CONTEST_CODE],0),MATCH($Y$2,_DATA_[#Headers],0)),"-")</f>
        <v>Отраслевой эксперт</v>
      </c>
      <c r="Z177" s="41" t="str">
        <f>IFERROR(INDEX(_reward_link_[],MATCH(_SCHEDULE_[[#This Row],[CONTEST_CODE]],_reward_link_[CONTEST_CODE],0),MATCH($Z$2,_reward_link_[#Headers],0)),"-")</f>
        <v>BANK</v>
      </c>
      <c r="AA177" s="41" t="str">
        <f>IFERROR(INDEX(_report[],MATCH(_SCHEDULE_[[#This Row],[CONTEST_CODE]],_report[CONTEST_CODE],0),MATCH($AA$2,_report[#Headers],0)),"-")</f>
        <v>-</v>
      </c>
      <c r="AB177"/>
    </row>
    <row r="178" spans="1:28" hidden="1" x14ac:dyDescent="0.25">
      <c r="A178" s="14" t="s">
        <v>652</v>
      </c>
      <c r="B178" s="14" t="s">
        <v>662</v>
      </c>
      <c r="C178" s="14" t="s">
        <v>192</v>
      </c>
      <c r="D178" s="14" t="s">
        <v>642</v>
      </c>
      <c r="E178" s="14" t="s">
        <v>194</v>
      </c>
      <c r="F178" s="14" t="s">
        <v>194</v>
      </c>
      <c r="G178" s="14" t="s">
        <v>194</v>
      </c>
      <c r="H178" s="14" t="s">
        <v>194</v>
      </c>
      <c r="I178" s="14" t="s">
        <v>194</v>
      </c>
      <c r="J178" s="14" t="s">
        <v>194</v>
      </c>
      <c r="K178" s="14" t="s">
        <v>184</v>
      </c>
      <c r="L178" s="14" t="s">
        <v>648</v>
      </c>
      <c r="M178" s="14" t="s">
        <v>3599</v>
      </c>
      <c r="N178" s="14" t="s">
        <v>2</v>
      </c>
      <c r="O178" s="14" t="s">
        <v>1612</v>
      </c>
      <c r="P178" s="14" t="s">
        <v>1064</v>
      </c>
      <c r="R178" s="38">
        <f>IFERROR(COUNTIFS(_report[TOURNAMENT_CODE],_SCHEDULE_[[#This Row],[TOURNAMENT_CODE]],_report[CONTEST_CODE],_SCHEDULE_[[#This Row],[CONTEST_CODE]]),"-")</f>
        <v>0</v>
      </c>
      <c r="S178" s="41" t="str">
        <f>SUBSTITUTE(IFERROR(INDEX(_group_[],MATCH(CONCATENATE(_SCHEDULE_[[#This Row],[CONTEST_CODE]],"_",$S$2),_group_[ИД2],0),MATCH($S$1,_group_[#Headers],0)),"---"),".",",")</f>
        <v>BANK</v>
      </c>
      <c r="T178" s="41" t="str">
        <f>SUBSTITUTE(IFERROR(INDEX(_group_[],MATCH(CONCATENATE(_SCHEDULE_[[#This Row],[CONTEST_CODE]],"_",$T$2),_group_[ИД2],0),MATCH($T$1,_group_[#Headers],0)),"---"),".",",")</f>
        <v>---</v>
      </c>
      <c r="U178" s="41" t="str">
        <f>SUBSTITUTE(IFERROR(INDEX(_group_[],MATCH(CONCATENATE(_SCHEDULE_[[#This Row],[CONTEST_CODE]],"_",$U$2),_group_[ИД2],0),MATCH($U$1,_group_[#Headers],0)),"---"),".",",")</f>
        <v>---</v>
      </c>
      <c r="V178" s="41" t="str">
        <f>SUBSTITUTE(IFERROR(INDEX(_group_[],MATCH(CONCATENATE(_SCHEDULE_[[#This Row],[CONTEST_CODE]],"_",$V$2),_group_[ИД2],0),MATCH($V$1,_group_[#Headers],0)),"---"),".",",")</f>
        <v>---</v>
      </c>
      <c r="W178" s="41" t="str">
        <f>IFERROR(INDEX(_INDICATOR_[],MATCH(_SCHEDULE_[[#This Row],[CONTEST_CODE]],_INDICATOR_[CONTEST_CODE],0),MATCH($W$2,_INDICATOR_[#Headers],0)),"-")</f>
        <v>WAIT</v>
      </c>
      <c r="X178" s="41" t="str">
        <f>IFERROR(INDEX(_group_[],MATCH(_SCHEDULE_[[#This Row],[CONTEST_CODE]],_group_[CONTEST_CODE],0),MATCH($X$2,_group_[#Headers],0)),"-")</f>
        <v>BANK</v>
      </c>
      <c r="Y178" s="61" t="str">
        <f>IFERROR(INDEX(_DATA_[],MATCH(_SCHEDULE_[[#This Row],[CONTEST_CODE]],_DATA_[CONTEST_CODE],0),MATCH($Y$2,_DATA_[#Headers],0)),"-")</f>
        <v>Эксперт по развитию бизнеса</v>
      </c>
      <c r="Z178" s="41" t="str">
        <f>IFERROR(INDEX(_reward_link_[],MATCH(_SCHEDULE_[[#This Row],[CONTEST_CODE]],_reward_link_[CONTEST_CODE],0),MATCH($Z$2,_reward_link_[#Headers],0)),"-")</f>
        <v>BANK</v>
      </c>
      <c r="AA178" s="41" t="str">
        <f>IFERROR(INDEX(_report[],MATCH(_SCHEDULE_[[#This Row],[CONTEST_CODE]],_report[CONTEST_CODE],0),MATCH($AA$2,_report[#Headers],0)),"-")</f>
        <v>-</v>
      </c>
      <c r="AB178"/>
    </row>
    <row r="179" spans="1:28" hidden="1" x14ac:dyDescent="0.25">
      <c r="A179" s="14" t="s">
        <v>708</v>
      </c>
      <c r="B179" s="14" t="s">
        <v>662</v>
      </c>
      <c r="C179" s="14" t="s">
        <v>192</v>
      </c>
      <c r="D179" s="14" t="s">
        <v>642</v>
      </c>
      <c r="E179" s="14" t="s">
        <v>194</v>
      </c>
      <c r="F179" s="14" t="s">
        <v>194</v>
      </c>
      <c r="G179" s="14" t="s">
        <v>194</v>
      </c>
      <c r="H179" s="14" t="s">
        <v>194</v>
      </c>
      <c r="I179" s="14" t="s">
        <v>194</v>
      </c>
      <c r="J179" s="14" t="s">
        <v>194</v>
      </c>
      <c r="K179" s="14" t="s">
        <v>184</v>
      </c>
      <c r="L179" s="14" t="s">
        <v>692</v>
      </c>
      <c r="M179" s="14" t="s">
        <v>3599</v>
      </c>
      <c r="N179" s="14" t="s">
        <v>2</v>
      </c>
      <c r="O179" s="14" t="s">
        <v>1613</v>
      </c>
      <c r="P179" s="14" t="s">
        <v>1064</v>
      </c>
      <c r="R179" s="38">
        <f>IFERROR(COUNTIFS(_report[TOURNAMENT_CODE],_SCHEDULE_[[#This Row],[TOURNAMENT_CODE]],_report[CONTEST_CODE],_SCHEDULE_[[#This Row],[CONTEST_CODE]]),"-")</f>
        <v>0</v>
      </c>
      <c r="S179" s="41" t="str">
        <f>SUBSTITUTE(IFERROR(INDEX(_group_[],MATCH(CONCATENATE(_SCHEDULE_[[#This Row],[CONTEST_CODE]],"_",$S$2),_group_[ИД2],0),MATCH($S$1,_group_[#Headers],0)),"---"),".",",")</f>
        <v>BANK</v>
      </c>
      <c r="T179" s="41" t="str">
        <f>SUBSTITUTE(IFERROR(INDEX(_group_[],MATCH(CONCATENATE(_SCHEDULE_[[#This Row],[CONTEST_CODE]],"_",$T$2),_group_[ИД2],0),MATCH($T$1,_group_[#Headers],0)),"---"),".",",")</f>
        <v>---</v>
      </c>
      <c r="U179" s="41" t="str">
        <f>SUBSTITUTE(IFERROR(INDEX(_group_[],MATCH(CONCATENATE(_SCHEDULE_[[#This Row],[CONTEST_CODE]],"_",$U$2),_group_[ИД2],0),MATCH($U$1,_group_[#Headers],0)),"---"),".",",")</f>
        <v>---</v>
      </c>
      <c r="V179" s="41" t="str">
        <f>SUBSTITUTE(IFERROR(INDEX(_group_[],MATCH(CONCATENATE(_SCHEDULE_[[#This Row],[CONTEST_CODE]],"_",$V$2),_group_[ИД2],0),MATCH($V$1,_group_[#Headers],0)),"---"),".",",")</f>
        <v>---</v>
      </c>
      <c r="W179" s="41" t="str">
        <f>IFERROR(INDEX(_INDICATOR_[],MATCH(_SCHEDULE_[[#This Row],[CONTEST_CODE]],_INDICATOR_[CONTEST_CODE],0),MATCH($W$2,_INDICATOR_[#Headers],0)),"-")</f>
        <v>WAIT</v>
      </c>
      <c r="X179" s="41" t="str">
        <f>IFERROR(INDEX(_group_[],MATCH(_SCHEDULE_[[#This Row],[CONTEST_CODE]],_group_[CONTEST_CODE],0),MATCH($X$2,_group_[#Headers],0)),"-")</f>
        <v>BANK</v>
      </c>
      <c r="Y179" s="61" t="str">
        <f>IFERROR(INDEX(_DATA_[],MATCH(_SCHEDULE_[[#This Row],[CONTEST_CODE]],_DATA_[CONTEST_CODE],0),MATCH($Y$2,_DATA_[#Headers],0)),"-")</f>
        <v>Я-Наставник</v>
      </c>
      <c r="Z179" s="41" t="str">
        <f>IFERROR(INDEX(_reward_link_[],MATCH(_SCHEDULE_[[#This Row],[CONTEST_CODE]],_reward_link_[CONTEST_CODE],0),MATCH($Z$2,_reward_link_[#Headers],0)),"-")</f>
        <v>BANK</v>
      </c>
      <c r="AA179" s="41" t="str">
        <f>IFERROR(INDEX(_report[],MATCH(_SCHEDULE_[[#This Row],[CONTEST_CODE]],_report[CONTEST_CODE],0),MATCH($AA$2,_report[#Headers],0)),"-")</f>
        <v>-</v>
      </c>
      <c r="AB179"/>
    </row>
    <row r="180" spans="1:28" hidden="1" x14ac:dyDescent="0.25">
      <c r="A180" s="14" t="s">
        <v>1215</v>
      </c>
      <c r="B180" s="14" t="s">
        <v>662</v>
      </c>
      <c r="C180" s="14" t="s">
        <v>1078</v>
      </c>
      <c r="D180" s="14" t="s">
        <v>27</v>
      </c>
      <c r="E180" s="14" t="s">
        <v>194</v>
      </c>
      <c r="F180" s="14" t="s">
        <v>194</v>
      </c>
      <c r="G180" s="14" t="s">
        <v>194</v>
      </c>
      <c r="H180" s="14" t="s">
        <v>194</v>
      </c>
      <c r="I180" s="14" t="s">
        <v>194</v>
      </c>
      <c r="J180" s="14" t="s">
        <v>194</v>
      </c>
      <c r="K180" s="14" t="s">
        <v>184</v>
      </c>
      <c r="L180" s="14" t="s">
        <v>1216</v>
      </c>
      <c r="M180" s="14" t="s">
        <v>3599</v>
      </c>
      <c r="N180" s="14" t="s">
        <v>2</v>
      </c>
      <c r="O180" s="14" t="s">
        <v>1614</v>
      </c>
      <c r="P180" s="14" t="s">
        <v>1064</v>
      </c>
      <c r="R180" s="38">
        <f>IFERROR(COUNTIFS(_report[TOURNAMENT_CODE],_SCHEDULE_[[#This Row],[TOURNAMENT_CODE]],_report[CONTEST_CODE],_SCHEDULE_[[#This Row],[CONTEST_CODE]]),"-")</f>
        <v>0</v>
      </c>
      <c r="S180" s="41" t="str">
        <f>SUBSTITUTE(IFERROR(INDEX(_group_[],MATCH(CONCATENATE(_SCHEDULE_[[#This Row],[CONTEST_CODE]],"_",$S$2),_group_[ИД2],0),MATCH($S$1,_group_[#Headers],0)),"---"),".",",")</f>
        <v>BANK</v>
      </c>
      <c r="T180" s="41" t="str">
        <f>SUBSTITUTE(IFERROR(INDEX(_group_[],MATCH(CONCATENATE(_SCHEDULE_[[#This Row],[CONTEST_CODE]],"_",$T$2),_group_[ИД2],0),MATCH($T$1,_group_[#Headers],0)),"---"),".",",")</f>
        <v>---</v>
      </c>
      <c r="U180" s="41" t="str">
        <f>SUBSTITUTE(IFERROR(INDEX(_group_[],MATCH(CONCATENATE(_SCHEDULE_[[#This Row],[CONTEST_CODE]],"_",$U$2),_group_[ИД2],0),MATCH($U$1,_group_[#Headers],0)),"---"),".",",")</f>
        <v>---</v>
      </c>
      <c r="V180" s="41" t="str">
        <f>SUBSTITUTE(IFERROR(INDEX(_group_[],MATCH(CONCATENATE(_SCHEDULE_[[#This Row],[CONTEST_CODE]],"_",$V$2),_group_[ИД2],0),MATCH($V$1,_group_[#Headers],0)),"---"),".",",")</f>
        <v>---</v>
      </c>
      <c r="W180" s="41" t="str">
        <f>IFERROR(INDEX(_INDICATOR_[],MATCH(_SCHEDULE_[[#This Row],[CONTEST_CODE]],_INDICATOR_[CONTEST_CODE],0),MATCH($W$2,_INDICATOR_[#Headers],0)),"-")</f>
        <v>WAIT</v>
      </c>
      <c r="X180" s="41" t="str">
        <f>IFERROR(INDEX(_group_[],MATCH(_SCHEDULE_[[#This Row],[CONTEST_CODE]],_group_[CONTEST_CODE],0),MATCH($X$2,_group_[#Headers],0)),"-")</f>
        <v>BANK</v>
      </c>
      <c r="Y180" s="61" t="str">
        <f>IFERROR(INDEX(_DATA_[],MATCH(_SCHEDULE_[[#This Row],[CONTEST_CODE]],_DATA_[CONTEST_CODE],0),MATCH($Y$2,_DATA_[#Headers],0)),"-")</f>
        <v>AI-community</v>
      </c>
      <c r="Z180" s="41" t="str">
        <f>IFERROR(INDEX(_reward_link_[],MATCH(_SCHEDULE_[[#This Row],[CONTEST_CODE]],_reward_link_[CONTEST_CODE],0),MATCH($Z$2,_reward_link_[#Headers],0)),"-")</f>
        <v>BANK</v>
      </c>
      <c r="AA180" s="41" t="str">
        <f>IFERROR(INDEX(_report[],MATCH(_SCHEDULE_[[#This Row],[CONTEST_CODE]],_report[CONTEST_CODE],0),MATCH($AA$2,_report[#Headers],0)),"-")</f>
        <v>-</v>
      </c>
      <c r="AB180"/>
    </row>
    <row r="181" spans="1:28" hidden="1" x14ac:dyDescent="0.25">
      <c r="A181" s="14" t="s">
        <v>1716</v>
      </c>
      <c r="B181" s="14" t="s">
        <v>662</v>
      </c>
      <c r="C181" s="14" t="s">
        <v>1308</v>
      </c>
      <c r="D181" s="14" t="s">
        <v>642</v>
      </c>
      <c r="E181" s="14" t="s">
        <v>194</v>
      </c>
      <c r="F181" s="14" t="s">
        <v>194</v>
      </c>
      <c r="G181" s="14" t="s">
        <v>194</v>
      </c>
      <c r="H181" s="14" t="s">
        <v>194</v>
      </c>
      <c r="I181" s="14" t="s">
        <v>194</v>
      </c>
      <c r="J181" s="14" t="s">
        <v>194</v>
      </c>
      <c r="K181" s="14" t="s">
        <v>184</v>
      </c>
      <c r="L181" s="14" t="s">
        <v>1669</v>
      </c>
      <c r="M181" s="14" t="s">
        <v>3599</v>
      </c>
      <c r="N181" s="14" t="s">
        <v>2</v>
      </c>
      <c r="O181" s="14" t="s">
        <v>1717</v>
      </c>
      <c r="P181" s="14" t="s">
        <v>1064</v>
      </c>
      <c r="R181" s="38">
        <f>IFERROR(COUNTIFS(_report[TOURNAMENT_CODE],_SCHEDULE_[[#This Row],[TOURNAMENT_CODE]],_report[CONTEST_CODE],_SCHEDULE_[[#This Row],[CONTEST_CODE]]),"-")</f>
        <v>0</v>
      </c>
      <c r="S181" s="41" t="str">
        <f>SUBSTITUTE(IFERROR(INDEX(_group_[],MATCH(CONCATENATE(_SCHEDULE_[[#This Row],[CONTEST_CODE]],"_",$S$2),_group_[ИД2],0),MATCH($S$1,_group_[#Headers],0)),"---"),".",",")</f>
        <v>BANK</v>
      </c>
      <c r="T181" s="41" t="str">
        <f>SUBSTITUTE(IFERROR(INDEX(_group_[],MATCH(CONCATENATE(_SCHEDULE_[[#This Row],[CONTEST_CODE]],"_",$T$2),_group_[ИД2],0),MATCH($T$1,_group_[#Headers],0)),"---"),".",",")</f>
        <v>---</v>
      </c>
      <c r="U181" s="41" t="str">
        <f>SUBSTITUTE(IFERROR(INDEX(_group_[],MATCH(CONCATENATE(_SCHEDULE_[[#This Row],[CONTEST_CODE]],"_",$U$2),_group_[ИД2],0),MATCH($U$1,_group_[#Headers],0)),"---"),".",",")</f>
        <v>---</v>
      </c>
      <c r="V181" s="41" t="str">
        <f>SUBSTITUTE(IFERROR(INDEX(_group_[],MATCH(CONCATENATE(_SCHEDULE_[[#This Row],[CONTEST_CODE]],"_",$V$2),_group_[ИД2],0),MATCH($V$1,_group_[#Headers],0)),"---"),".",",")</f>
        <v>---</v>
      </c>
      <c r="W181" s="41" t="str">
        <f>IFERROR(INDEX(_INDICATOR_[],MATCH(_SCHEDULE_[[#This Row],[CONTEST_CODE]],_INDICATOR_[CONTEST_CODE],0),MATCH($W$2,_INDICATOR_[#Headers],0)),"-")</f>
        <v>WAIT</v>
      </c>
      <c r="X181" s="41" t="str">
        <f>IFERROR(INDEX(_group_[],MATCH(_SCHEDULE_[[#This Row],[CONTEST_CODE]],_group_[CONTEST_CODE],0),MATCH($X$2,_group_[#Headers],0)),"-")</f>
        <v>BANK</v>
      </c>
      <c r="Y181" s="61" t="str">
        <f>IFERROR(INDEX(_DATA_[],MATCH(_SCHEDULE_[[#This Row],[CONTEST_CODE]],_DATA_[CONTEST_CODE],0),MATCH($Y$2,_DATA_[#Headers],0)),"-")</f>
        <v>Финалист конкурса лучший по профессии</v>
      </c>
      <c r="Z181" s="41" t="str">
        <f>IFERROR(INDEX(_reward_link_[],MATCH(_SCHEDULE_[[#This Row],[CONTEST_CODE]],_reward_link_[CONTEST_CODE],0),MATCH($Z$2,_reward_link_[#Headers],0)),"-")</f>
        <v>BANK</v>
      </c>
      <c r="AA181" s="41" t="str">
        <f>IFERROR(INDEX(_report[],MATCH(_SCHEDULE_[[#This Row],[CONTEST_CODE]],_report[CONTEST_CODE],0),MATCH($AA$2,_report[#Headers],0)),"-")</f>
        <v>-</v>
      </c>
      <c r="AB181"/>
    </row>
    <row r="182" spans="1:28" hidden="1" x14ac:dyDescent="0.25">
      <c r="A182" s="14" t="s">
        <v>1718</v>
      </c>
      <c r="B182" s="14" t="s">
        <v>662</v>
      </c>
      <c r="C182" s="14" t="s">
        <v>1308</v>
      </c>
      <c r="D182" s="14" t="s">
        <v>642</v>
      </c>
      <c r="E182" s="14" t="s">
        <v>194</v>
      </c>
      <c r="F182" s="14" t="s">
        <v>194</v>
      </c>
      <c r="G182" s="14" t="s">
        <v>194</v>
      </c>
      <c r="H182" s="14" t="s">
        <v>194</v>
      </c>
      <c r="I182" s="14" t="s">
        <v>194</v>
      </c>
      <c r="J182" s="14" t="s">
        <v>194</v>
      </c>
      <c r="K182" s="14" t="s">
        <v>184</v>
      </c>
      <c r="L182" s="14" t="s">
        <v>1671</v>
      </c>
      <c r="M182" s="14" t="s">
        <v>3599</v>
      </c>
      <c r="N182" s="14" t="s">
        <v>2</v>
      </c>
      <c r="O182" s="14" t="s">
        <v>1719</v>
      </c>
      <c r="P182" s="14" t="s">
        <v>1064</v>
      </c>
      <c r="R182" s="38">
        <f>IFERROR(COUNTIFS(_report[TOURNAMENT_CODE],_SCHEDULE_[[#This Row],[TOURNAMENT_CODE]],_report[CONTEST_CODE],_SCHEDULE_[[#This Row],[CONTEST_CODE]]),"-")</f>
        <v>0</v>
      </c>
      <c r="S182" s="41" t="str">
        <f>SUBSTITUTE(IFERROR(INDEX(_group_[],MATCH(CONCATENATE(_SCHEDULE_[[#This Row],[CONTEST_CODE]],"_",$S$2),_group_[ИД2],0),MATCH($S$1,_group_[#Headers],0)),"---"),".",",")</f>
        <v>BANK</v>
      </c>
      <c r="T182" s="41" t="str">
        <f>SUBSTITUTE(IFERROR(INDEX(_group_[],MATCH(CONCATENATE(_SCHEDULE_[[#This Row],[CONTEST_CODE]],"_",$T$2),_group_[ИД2],0),MATCH($T$1,_group_[#Headers],0)),"---"),".",",")</f>
        <v>---</v>
      </c>
      <c r="U182" s="41" t="str">
        <f>SUBSTITUTE(IFERROR(INDEX(_group_[],MATCH(CONCATENATE(_SCHEDULE_[[#This Row],[CONTEST_CODE]],"_",$U$2),_group_[ИД2],0),MATCH($U$1,_group_[#Headers],0)),"---"),".",",")</f>
        <v>---</v>
      </c>
      <c r="V182" s="41" t="str">
        <f>SUBSTITUTE(IFERROR(INDEX(_group_[],MATCH(CONCATENATE(_SCHEDULE_[[#This Row],[CONTEST_CODE]],"_",$V$2),_group_[ИД2],0),MATCH($V$1,_group_[#Headers],0)),"---"),".",",")</f>
        <v>---</v>
      </c>
      <c r="W182" s="41" t="str">
        <f>IFERROR(INDEX(_INDICATOR_[],MATCH(_SCHEDULE_[[#This Row],[CONTEST_CODE]],_INDICATOR_[CONTEST_CODE],0),MATCH($W$2,_INDICATOR_[#Headers],0)),"-")</f>
        <v>WAIT</v>
      </c>
      <c r="X182" s="41" t="str">
        <f>IFERROR(INDEX(_group_[],MATCH(_SCHEDULE_[[#This Row],[CONTEST_CODE]],_group_[CONTEST_CODE],0),MATCH($X$2,_group_[#Headers],0)),"-")</f>
        <v>BANK</v>
      </c>
      <c r="Y182" s="61" t="str">
        <f>IFERROR(INDEX(_DATA_[],MATCH(_SCHEDULE_[[#This Row],[CONTEST_CODE]],_DATA_[CONTEST_CODE],0),MATCH($Y$2,_DATA_[#Headers],0)),"-")</f>
        <v>Призер конкурса лучший по профессии</v>
      </c>
      <c r="Z182" s="41" t="str">
        <f>IFERROR(INDEX(_reward_link_[],MATCH(_SCHEDULE_[[#This Row],[CONTEST_CODE]],_reward_link_[CONTEST_CODE],0),MATCH($Z$2,_reward_link_[#Headers],0)),"-")</f>
        <v>BANK</v>
      </c>
      <c r="AA182" s="41" t="str">
        <f>IFERROR(INDEX(_report[],MATCH(_SCHEDULE_[[#This Row],[CONTEST_CODE]],_report[CONTEST_CODE],0),MATCH($AA$2,_report[#Headers],0)),"-")</f>
        <v>-</v>
      </c>
      <c r="AB182"/>
    </row>
    <row r="183" spans="1:28" hidden="1" x14ac:dyDescent="0.25">
      <c r="A183" s="14" t="s">
        <v>1720</v>
      </c>
      <c r="B183" s="14" t="s">
        <v>662</v>
      </c>
      <c r="C183" s="14" t="s">
        <v>1308</v>
      </c>
      <c r="D183" s="14" t="s">
        <v>642</v>
      </c>
      <c r="E183" s="14" t="s">
        <v>194</v>
      </c>
      <c r="F183" s="14" t="s">
        <v>194</v>
      </c>
      <c r="G183" s="14" t="s">
        <v>194</v>
      </c>
      <c r="H183" s="14" t="s">
        <v>194</v>
      </c>
      <c r="I183" s="14" t="s">
        <v>194</v>
      </c>
      <c r="J183" s="14" t="s">
        <v>194</v>
      </c>
      <c r="K183" s="14" t="s">
        <v>184</v>
      </c>
      <c r="L183" s="14" t="s">
        <v>1673</v>
      </c>
      <c r="M183" s="14" t="s">
        <v>3599</v>
      </c>
      <c r="N183" s="14" t="s">
        <v>2</v>
      </c>
      <c r="O183" s="14" t="s">
        <v>1721</v>
      </c>
      <c r="P183" s="14" t="s">
        <v>1064</v>
      </c>
      <c r="R183" s="38">
        <f>IFERROR(COUNTIFS(_report[TOURNAMENT_CODE],_SCHEDULE_[[#This Row],[TOURNAMENT_CODE]],_report[CONTEST_CODE],_SCHEDULE_[[#This Row],[CONTEST_CODE]]),"-")</f>
        <v>0</v>
      </c>
      <c r="S183" s="41" t="str">
        <f>SUBSTITUTE(IFERROR(INDEX(_group_[],MATCH(CONCATENATE(_SCHEDULE_[[#This Row],[CONTEST_CODE]],"_",$S$2),_group_[ИД2],0),MATCH($S$1,_group_[#Headers],0)),"---"),".",",")</f>
        <v>BANK</v>
      </c>
      <c r="T183" s="41" t="str">
        <f>SUBSTITUTE(IFERROR(INDEX(_group_[],MATCH(CONCATENATE(_SCHEDULE_[[#This Row],[CONTEST_CODE]],"_",$T$2),_group_[ИД2],0),MATCH($T$1,_group_[#Headers],0)),"---"),".",",")</f>
        <v>---</v>
      </c>
      <c r="U183" s="41" t="str">
        <f>SUBSTITUTE(IFERROR(INDEX(_group_[],MATCH(CONCATENATE(_SCHEDULE_[[#This Row],[CONTEST_CODE]],"_",$U$2),_group_[ИД2],0),MATCH($U$1,_group_[#Headers],0)),"---"),".",",")</f>
        <v>---</v>
      </c>
      <c r="V183" s="41" t="str">
        <f>SUBSTITUTE(IFERROR(INDEX(_group_[],MATCH(CONCATENATE(_SCHEDULE_[[#This Row],[CONTEST_CODE]],"_",$V$2),_group_[ИД2],0),MATCH($V$1,_group_[#Headers],0)),"---"),".",",")</f>
        <v>---</v>
      </c>
      <c r="W183" s="41" t="str">
        <f>IFERROR(INDEX(_INDICATOR_[],MATCH(_SCHEDULE_[[#This Row],[CONTEST_CODE]],_INDICATOR_[CONTEST_CODE],0),MATCH($W$2,_INDICATOR_[#Headers],0)),"-")</f>
        <v>WAIT</v>
      </c>
      <c r="X183" s="41" t="str">
        <f>IFERROR(INDEX(_group_[],MATCH(_SCHEDULE_[[#This Row],[CONTEST_CODE]],_group_[CONTEST_CODE],0),MATCH($X$2,_group_[#Headers],0)),"-")</f>
        <v>BANK</v>
      </c>
      <c r="Y183" s="61" t="str">
        <f>IFERROR(INDEX(_DATA_[],MATCH(_SCHEDULE_[[#This Row],[CONTEST_CODE]],_DATA_[CONTEST_CODE],0),MATCH($Y$2,_DATA_[#Headers],0)),"-")</f>
        <v>Победитель конкурса лучший по профессии</v>
      </c>
      <c r="Z183" s="41" t="str">
        <f>IFERROR(INDEX(_reward_link_[],MATCH(_SCHEDULE_[[#This Row],[CONTEST_CODE]],_reward_link_[CONTEST_CODE],0),MATCH($Z$2,_reward_link_[#Headers],0)),"-")</f>
        <v>BANK</v>
      </c>
      <c r="AA183" s="41" t="str">
        <f>IFERROR(INDEX(_report[],MATCH(_SCHEDULE_[[#This Row],[CONTEST_CODE]],_report[CONTEST_CODE],0),MATCH($AA$2,_report[#Headers],0)),"-")</f>
        <v>-</v>
      </c>
      <c r="AB183"/>
    </row>
    <row r="184" spans="1:28" hidden="1" x14ac:dyDescent="0.25">
      <c r="A184" s="14" t="s">
        <v>1935</v>
      </c>
      <c r="B184" s="14" t="s">
        <v>146</v>
      </c>
      <c r="C184" s="14" t="s">
        <v>182</v>
      </c>
      <c r="D184" s="14" t="s">
        <v>252</v>
      </c>
      <c r="E184" s="14" t="s">
        <v>1942</v>
      </c>
      <c r="F184" s="14" t="s">
        <v>194</v>
      </c>
      <c r="G184" s="14" t="s">
        <v>194</v>
      </c>
      <c r="H184" s="14" t="s">
        <v>194</v>
      </c>
      <c r="I184" s="14" t="s">
        <v>194</v>
      </c>
      <c r="J184" s="14" t="s">
        <v>194</v>
      </c>
      <c r="K184" s="14" t="s">
        <v>176</v>
      </c>
      <c r="L184" s="14" t="s">
        <v>1848</v>
      </c>
      <c r="M184" s="14" t="s">
        <v>3599</v>
      </c>
      <c r="N184" s="14" t="s">
        <v>2</v>
      </c>
      <c r="O184" s="14" t="s">
        <v>1936</v>
      </c>
      <c r="P184" s="14" t="s">
        <v>1064</v>
      </c>
      <c r="R184" s="38">
        <f>IFERROR(COUNTIFS(_report[TOURNAMENT_CODE],_SCHEDULE_[[#This Row],[TOURNAMENT_CODE]],_report[CONTEST_CODE],_SCHEDULE_[[#This Row],[CONTEST_CODE]]),"-")</f>
        <v>0</v>
      </c>
      <c r="S184" s="41" t="str">
        <f>SUBSTITUTE(IFERROR(INDEX(_group_[],MATCH(CONCATENATE(_SCHEDULE_[[#This Row],[CONTEST_CODE]],"_",$S$2),_group_[ИД2],0),MATCH($S$1,_group_[#Headers],0)),"---"),".",",")</f>
        <v>BANK</v>
      </c>
      <c r="T184" s="41" t="str">
        <f>SUBSTITUTE(IFERROR(INDEX(_group_[],MATCH(CONCATENATE(_SCHEDULE_[[#This Row],[CONTEST_CODE]],"_",$T$2),_group_[ИД2],0),MATCH($T$1,_group_[#Headers],0)),"---"),".",",")</f>
        <v>---</v>
      </c>
      <c r="U184" s="41" t="str">
        <f>SUBSTITUTE(IFERROR(INDEX(_group_[],MATCH(CONCATENATE(_SCHEDULE_[[#This Row],[CONTEST_CODE]],"_",$U$2),_group_[ИД2],0),MATCH($U$1,_group_[#Headers],0)),"---"),".",",")</f>
        <v>---</v>
      </c>
      <c r="V184" s="41" t="str">
        <f>SUBSTITUTE(IFERROR(INDEX(_group_[],MATCH(CONCATENATE(_SCHEDULE_[[#This Row],[CONTEST_CODE]],"_",$V$2),_group_[ИД2],0),MATCH($V$1,_group_[#Headers],0)),"---"),".",",")</f>
        <v>---</v>
      </c>
      <c r="W184" s="41" t="str">
        <f>IFERROR(INDEX(_INDICATOR_[],MATCH(_SCHEDULE_[[#This Row],[CONTEST_CODE]],_INDICATOR_[CONTEST_CODE],0),MATCH($W$2,_INDICATOR_[#Headers],0)),"-")</f>
        <v>WAIT</v>
      </c>
      <c r="X184" s="41" t="str">
        <f>IFERROR(INDEX(_group_[],MATCH(_SCHEDULE_[[#This Row],[CONTEST_CODE]],_group_[CONTEST_CODE],0),MATCH($X$2,_group_[#Headers],0)),"-")</f>
        <v>BANK</v>
      </c>
      <c r="Y184" s="61" t="str">
        <f>IFERROR(INDEX(_DATA_[],MATCH(_SCHEDULE_[[#This Row],[CONTEST_CODE]],_DATA_[CONTEST_CODE],0),MATCH($Y$2,_DATA_[#Headers],0)),"-")</f>
        <v>Лига Чемпионов 1ПГ 2024</v>
      </c>
      <c r="Z184" s="41" t="str">
        <f>IFERROR(INDEX(_reward_link_[],MATCH(_SCHEDULE_[[#This Row],[CONTEST_CODE]],_reward_link_[CONTEST_CODE],0),MATCH($Z$2,_reward_link_[#Headers],0)),"-")</f>
        <v>BANK</v>
      </c>
      <c r="AA184" s="41" t="str">
        <f>IFERROR(INDEX(_report[],MATCH(_SCHEDULE_[[#This Row],[CONTEST_CODE]],_report[CONTEST_CODE],0),MATCH($AA$2,_report[#Headers],0)),"-")</f>
        <v>-</v>
      </c>
      <c r="AB184"/>
    </row>
    <row r="185" spans="1:28" hidden="1" x14ac:dyDescent="0.25">
      <c r="A185" s="14" t="s">
        <v>1937</v>
      </c>
      <c r="B185" s="14" t="s">
        <v>146</v>
      </c>
      <c r="C185" s="14" t="s">
        <v>703</v>
      </c>
      <c r="D185" s="14" t="s">
        <v>642</v>
      </c>
      <c r="E185" s="14" t="s">
        <v>2874</v>
      </c>
      <c r="F185" s="14" t="s">
        <v>194</v>
      </c>
      <c r="G185" s="14" t="s">
        <v>194</v>
      </c>
      <c r="H185" s="14" t="s">
        <v>194</v>
      </c>
      <c r="I185" s="14" t="s">
        <v>194</v>
      </c>
      <c r="J185" s="14" t="s">
        <v>194</v>
      </c>
      <c r="K185" s="14" t="s">
        <v>176</v>
      </c>
      <c r="L185" s="14" t="s">
        <v>1850</v>
      </c>
      <c r="M185" s="14" t="s">
        <v>3598</v>
      </c>
      <c r="N185" s="14" t="s">
        <v>314</v>
      </c>
      <c r="O185" s="14" t="s">
        <v>1938</v>
      </c>
      <c r="P185" s="14" t="s">
        <v>1064</v>
      </c>
      <c r="R185" s="38">
        <f>IFERROR(COUNTIFS(_report[TOURNAMENT_CODE],_SCHEDULE_[[#This Row],[TOURNAMENT_CODE]],_report[CONTEST_CODE],_SCHEDULE_[[#This Row],[CONTEST_CODE]]),"-")</f>
        <v>0</v>
      </c>
      <c r="S185" s="41" t="str">
        <f>SUBSTITUTE(IFERROR(INDEX(_group_[],MATCH(CONCATENATE(_SCHEDULE_[[#This Row],[CONTEST_CODE]],"_",$S$2),_group_[ИД2],0),MATCH($S$1,_group_[#Headers],0)),"---"),".",",")</f>
        <v>BANK</v>
      </c>
      <c r="T185" s="41" t="str">
        <f>SUBSTITUTE(IFERROR(INDEX(_group_[],MATCH(CONCATENATE(_SCHEDULE_[[#This Row],[CONTEST_CODE]],"_",$T$2),_group_[ИД2],0),MATCH($T$1,_group_[#Headers],0)),"---"),".",",")</f>
        <v>---</v>
      </c>
      <c r="U185" s="41" t="str">
        <f>SUBSTITUTE(IFERROR(INDEX(_group_[],MATCH(CONCATENATE(_SCHEDULE_[[#This Row],[CONTEST_CODE]],"_",$U$2),_group_[ИД2],0),MATCH($U$1,_group_[#Headers],0)),"---"),".",",")</f>
        <v>---</v>
      </c>
      <c r="V185" s="41" t="str">
        <f>SUBSTITUTE(IFERROR(INDEX(_group_[],MATCH(CONCATENATE(_SCHEDULE_[[#This Row],[CONTEST_CODE]],"_",$V$2),_group_[ИД2],0),MATCH($V$1,_group_[#Headers],0)),"---"),".",",")</f>
        <v>---</v>
      </c>
      <c r="W185" s="41" t="str">
        <f>IFERROR(INDEX(_INDICATOR_[],MATCH(_SCHEDULE_[[#This Row],[CONTEST_CODE]],_INDICATOR_[CONTEST_CODE],0),MATCH($W$2,_INDICATOR_[#Headers],0)),"-")</f>
        <v>LEAGUE</v>
      </c>
      <c r="X185" s="41" t="str">
        <f>IFERROR(INDEX(_group_[],MATCH(_SCHEDULE_[[#This Row],[CONTEST_CODE]],_group_[CONTEST_CODE],0),MATCH($X$2,_group_[#Headers],0)),"-")</f>
        <v>BANK</v>
      </c>
      <c r="Y185" s="61" t="str">
        <f>IFERROR(INDEX(_DATA_[],MATCH(_SCHEDULE_[[#This Row],[CONTEST_CODE]],_DATA_[CONTEST_CODE],0),MATCH($Y$2,_DATA_[#Headers],0)),"-")</f>
        <v>Лига Чемпионов 2ПГ 2024</v>
      </c>
      <c r="Z185" s="41" t="str">
        <f>IFERROR(INDEX(_reward_link_[],MATCH(_SCHEDULE_[[#This Row],[CONTEST_CODE]],_reward_link_[CONTEST_CODE],0),MATCH($Z$2,_reward_link_[#Headers],0)),"-")</f>
        <v>BANK</v>
      </c>
      <c r="AA185" s="41" t="str">
        <f>IFERROR(INDEX(_report[],MATCH(_SCHEDULE_[[#This Row],[CONTEST_CODE]],_report[CONTEST_CODE],0),MATCH($AA$2,_report[#Headers],0)),"-")</f>
        <v>-</v>
      </c>
      <c r="AB185"/>
    </row>
    <row r="186" spans="1:28" x14ac:dyDescent="0.25">
      <c r="A186" s="14" t="s">
        <v>1939</v>
      </c>
      <c r="B186" s="14" t="s">
        <v>146</v>
      </c>
      <c r="C186" s="14" t="s">
        <v>182</v>
      </c>
      <c r="D186" s="14" t="s">
        <v>642</v>
      </c>
      <c r="E186" s="14" t="s">
        <v>4775</v>
      </c>
      <c r="F186" s="14" t="s">
        <v>194</v>
      </c>
      <c r="G186" s="14" t="s">
        <v>194</v>
      </c>
      <c r="H186" s="14" t="s">
        <v>194</v>
      </c>
      <c r="I186" s="14" t="s">
        <v>194</v>
      </c>
      <c r="J186" s="14" t="s">
        <v>194</v>
      </c>
      <c r="K186" s="14" t="s">
        <v>2876</v>
      </c>
      <c r="L186" s="14" t="s">
        <v>1852</v>
      </c>
      <c r="M186" s="14" t="s">
        <v>3598</v>
      </c>
      <c r="N186" s="14" t="s">
        <v>2</v>
      </c>
      <c r="O186" s="14" t="s">
        <v>1940</v>
      </c>
      <c r="P186" s="14" t="s">
        <v>1064</v>
      </c>
      <c r="R186" s="38">
        <f>IFERROR(COUNTIFS(_report[TOURNAMENT_CODE],_SCHEDULE_[[#This Row],[TOURNAMENT_CODE]],_report[CONTEST_CODE],_SCHEDULE_[[#This Row],[CONTEST_CODE]]),"-")</f>
        <v>0</v>
      </c>
      <c r="S186" s="41" t="str">
        <f>SUBSTITUTE(IFERROR(INDEX(_group_[],MATCH(CONCATENATE(_SCHEDULE_[[#This Row],[CONTEST_CODE]],"_",$S$2),_group_[ИД2],0),MATCH($S$1,_group_[#Headers],0)),"---"),".",",")</f>
        <v>BANK</v>
      </c>
      <c r="T186" s="41" t="str">
        <f>SUBSTITUTE(IFERROR(INDEX(_group_[],MATCH(CONCATENATE(_SCHEDULE_[[#This Row],[CONTEST_CODE]],"_",$T$2),_group_[ИД2],0),MATCH($T$1,_group_[#Headers],0)),"---"),".",",")</f>
        <v>---</v>
      </c>
      <c r="U186" s="41" t="str">
        <f>SUBSTITUTE(IFERROR(INDEX(_group_[],MATCH(CONCATENATE(_SCHEDULE_[[#This Row],[CONTEST_CODE]],"_",$U$2),_group_[ИД2],0),MATCH($U$1,_group_[#Headers],0)),"---"),".",",")</f>
        <v>---</v>
      </c>
      <c r="V186" s="41" t="str">
        <f>SUBSTITUTE(IFERROR(INDEX(_group_[],MATCH(CONCATENATE(_SCHEDULE_[[#This Row],[CONTEST_CODE]],"_",$V$2),_group_[ИД2],0),MATCH($V$1,_group_[#Headers],0)),"---"),".",",")</f>
        <v>---</v>
      </c>
      <c r="W186" s="41" t="str">
        <f>IFERROR(INDEX(_INDICATOR_[],MATCH(_SCHEDULE_[[#This Row],[CONTEST_CODE]],_INDICATOR_[CONTEST_CODE],0),MATCH($W$2,_INDICATOR_[#Headers],0)),"-")</f>
        <v>WAIT</v>
      </c>
      <c r="X186" s="41" t="str">
        <f>IFERROR(INDEX(_group_[],MATCH(_SCHEDULE_[[#This Row],[CONTEST_CODE]],_group_[CONTEST_CODE],0),MATCH($X$2,_group_[#Headers],0)),"-")</f>
        <v>BANK</v>
      </c>
      <c r="Y186" s="61" t="str">
        <f>IFERROR(INDEX(_DATA_[],MATCH(_SCHEDULE_[[#This Row],[CONTEST_CODE]],_DATA_[CONTEST_CODE],0),MATCH($Y$2,_DATA_[#Headers],0)),"-")</f>
        <v>Суперкубок 2024</v>
      </c>
      <c r="Z186" s="41" t="str">
        <f>IFERROR(INDEX(_reward_link_[],MATCH(_SCHEDULE_[[#This Row],[CONTEST_CODE]],_reward_link_[CONTEST_CODE],0),MATCH($Z$2,_reward_link_[#Headers],0)),"-")</f>
        <v>BANK</v>
      </c>
      <c r="AA186" s="41" t="str">
        <f>IFERROR(INDEX(_report[],MATCH(_SCHEDULE_[[#This Row],[CONTEST_CODE]],_report[CONTEST_CODE],0),MATCH($AA$2,_report[#Headers],0)),"-")</f>
        <v>-</v>
      </c>
      <c r="AB186"/>
    </row>
    <row r="187" spans="1:28" hidden="1" x14ac:dyDescent="0.25">
      <c r="A187" s="14" t="s">
        <v>1945</v>
      </c>
      <c r="B187" s="14" t="s">
        <v>178</v>
      </c>
      <c r="C187" s="14" t="s">
        <v>1946</v>
      </c>
      <c r="D187" s="14" t="s">
        <v>1983</v>
      </c>
      <c r="E187" s="14" t="s">
        <v>1983</v>
      </c>
      <c r="F187" s="14" t="s">
        <v>194</v>
      </c>
      <c r="G187" s="14" t="s">
        <v>194</v>
      </c>
      <c r="H187" s="14" t="s">
        <v>194</v>
      </c>
      <c r="I187" s="14" t="s">
        <v>194</v>
      </c>
      <c r="J187" s="14" t="s">
        <v>194</v>
      </c>
      <c r="K187" s="14" t="s">
        <v>176</v>
      </c>
      <c r="L187" s="14" t="s">
        <v>1854</v>
      </c>
      <c r="M187" s="14" t="s">
        <v>3601</v>
      </c>
      <c r="N187" s="14" t="s">
        <v>2</v>
      </c>
      <c r="O187" s="14" t="s">
        <v>1947</v>
      </c>
      <c r="P187" s="14" t="s">
        <v>1064</v>
      </c>
      <c r="R187" s="38">
        <f>IFERROR(COUNTIFS(_report[TOURNAMENT_CODE],_SCHEDULE_[[#This Row],[TOURNAMENT_CODE]],_report[CONTEST_CODE],_SCHEDULE_[[#This Row],[CONTEST_CODE]]),"-")</f>
        <v>0</v>
      </c>
      <c r="S187" s="41" t="str">
        <f>SUBSTITUTE(IFERROR(INDEX(_group_[],MATCH(CONCATENATE(_SCHEDULE_[[#This Row],[CONTEST_CODE]],"_",$S$2),_group_[ИД2],0),MATCH($S$1,_group_[#Headers],0)),"---"),".",",")</f>
        <v>BANK</v>
      </c>
      <c r="T187" s="41" t="str">
        <f>SUBSTITUTE(IFERROR(INDEX(_group_[],MATCH(CONCATENATE(_SCHEDULE_[[#This Row],[CONTEST_CODE]],"_",$T$2),_group_[ИД2],0),MATCH($T$1,_group_[#Headers],0)),"---"),".",",")</f>
        <v>---</v>
      </c>
      <c r="U187" s="41" t="str">
        <f>SUBSTITUTE(IFERROR(INDEX(_group_[],MATCH(CONCATENATE(_SCHEDULE_[[#This Row],[CONTEST_CODE]],"_",$U$2),_group_[ИД2],0),MATCH($U$1,_group_[#Headers],0)),"---"),".",",")</f>
        <v>---</v>
      </c>
      <c r="V187" s="41" t="str">
        <f>SUBSTITUTE(IFERROR(INDEX(_group_[],MATCH(CONCATENATE(_SCHEDULE_[[#This Row],[CONTEST_CODE]],"_",$V$2),_group_[ИД2],0),MATCH($V$1,_group_[#Headers],0)),"---"),".",",")</f>
        <v>---</v>
      </c>
      <c r="W187" s="41" t="str">
        <f>IFERROR(INDEX(_INDICATOR_[],MATCH(_SCHEDULE_[[#This Row],[CONTEST_CODE]],_INDICATOR_[CONTEST_CODE],0),MATCH($W$2,_INDICATOR_[#Headers],0)),"-")</f>
        <v>WAIT</v>
      </c>
      <c r="X187" s="41" t="str">
        <f>IFERROR(INDEX(_group_[],MATCH(_SCHEDULE_[[#This Row],[CONTEST_CODE]],_group_[CONTEST_CODE],0),MATCH($X$2,_group_[#Headers],0)),"-")</f>
        <v>BANK</v>
      </c>
      <c r="Y187" s="61" t="str">
        <f>IFERROR(INDEX(_DATA_[],MATCH(_SCHEDULE_[[#This Row],[CONTEST_CODE]],_DATA_[CONTEST_CODE],0),MATCH($Y$2,_DATA_[#Headers],0)),"-")</f>
        <v>Новый год с ККСБ 2025</v>
      </c>
      <c r="Z187" s="41" t="str">
        <f>IFERROR(INDEX(_reward_link_[],MATCH(_SCHEDULE_[[#This Row],[CONTEST_CODE]],_reward_link_[CONTEST_CODE],0),MATCH($Z$2,_reward_link_[#Headers],0)),"-")</f>
        <v>BANK</v>
      </c>
      <c r="AA187" s="41" t="str">
        <f>IFERROR(INDEX(_report[],MATCH(_SCHEDULE_[[#This Row],[CONTEST_CODE]],_report[CONTEST_CODE],0),MATCH($AA$2,_report[#Headers],0)),"-")</f>
        <v>-</v>
      </c>
      <c r="AB187"/>
    </row>
    <row r="188" spans="1:28" hidden="1" x14ac:dyDescent="0.25">
      <c r="A188" s="14" t="s">
        <v>1948</v>
      </c>
      <c r="B188" s="14" t="s">
        <v>178</v>
      </c>
      <c r="C188" s="14" t="s">
        <v>1946</v>
      </c>
      <c r="D188" s="14" t="s">
        <v>1983</v>
      </c>
      <c r="E188" s="14" t="s">
        <v>1983</v>
      </c>
      <c r="F188" s="14" t="s">
        <v>194</v>
      </c>
      <c r="G188" s="14" t="s">
        <v>194</v>
      </c>
      <c r="H188" s="14" t="s">
        <v>194</v>
      </c>
      <c r="I188" s="14" t="s">
        <v>194</v>
      </c>
      <c r="J188" s="14" t="s">
        <v>194</v>
      </c>
      <c r="K188" s="14" t="s">
        <v>176</v>
      </c>
      <c r="L188" s="14" t="s">
        <v>1856</v>
      </c>
      <c r="M188" s="14" t="s">
        <v>3601</v>
      </c>
      <c r="N188" s="14" t="s">
        <v>2</v>
      </c>
      <c r="O188" s="14" t="s">
        <v>1949</v>
      </c>
      <c r="P188" s="14" t="s">
        <v>1064</v>
      </c>
      <c r="R188" s="38">
        <f>IFERROR(COUNTIFS(_report[TOURNAMENT_CODE],_SCHEDULE_[[#This Row],[TOURNAMENT_CODE]],_report[CONTEST_CODE],_SCHEDULE_[[#This Row],[CONTEST_CODE]]),"-")</f>
        <v>0</v>
      </c>
      <c r="S188" s="41" t="str">
        <f>SUBSTITUTE(IFERROR(INDEX(_group_[],MATCH(CONCATENATE(_SCHEDULE_[[#This Row],[CONTEST_CODE]],"_",$S$2),_group_[ИД2],0),MATCH($S$1,_group_[#Headers],0)),"---"),".",",")</f>
        <v>BANK</v>
      </c>
      <c r="T188" s="41" t="str">
        <f>SUBSTITUTE(IFERROR(INDEX(_group_[],MATCH(CONCATENATE(_SCHEDULE_[[#This Row],[CONTEST_CODE]],"_",$T$2),_group_[ИД2],0),MATCH($T$1,_group_[#Headers],0)),"---"),".",",")</f>
        <v>---</v>
      </c>
      <c r="U188" s="41" t="str">
        <f>SUBSTITUTE(IFERROR(INDEX(_group_[],MATCH(CONCATENATE(_SCHEDULE_[[#This Row],[CONTEST_CODE]],"_",$U$2),_group_[ИД2],0),MATCH($U$1,_group_[#Headers],0)),"---"),".",",")</f>
        <v>---</v>
      </c>
      <c r="V188" s="41" t="str">
        <f>SUBSTITUTE(IFERROR(INDEX(_group_[],MATCH(CONCATENATE(_SCHEDULE_[[#This Row],[CONTEST_CODE]],"_",$V$2),_group_[ИД2],0),MATCH($V$1,_group_[#Headers],0)),"---"),".",",")</f>
        <v>---</v>
      </c>
      <c r="W188" s="41" t="str">
        <f>IFERROR(INDEX(_INDICATOR_[],MATCH(_SCHEDULE_[[#This Row],[CONTEST_CODE]],_INDICATOR_[CONTEST_CODE],0),MATCH($W$2,_INDICATOR_[#Headers],0)),"-")</f>
        <v>WAIT</v>
      </c>
      <c r="X188" s="41" t="str">
        <f>IFERROR(INDEX(_group_[],MATCH(_SCHEDULE_[[#This Row],[CONTEST_CODE]],_group_[CONTEST_CODE],0),MATCH($X$2,_group_[#Headers],0)),"-")</f>
        <v>BANK</v>
      </c>
      <c r="Y188" s="61" t="str">
        <f>IFERROR(INDEX(_DATA_[],MATCH(_SCHEDULE_[[#This Row],[CONTEST_CODE]],_DATA_[CONTEST_CODE],0),MATCH($Y$2,_DATA_[#Headers],0)),"-")</f>
        <v>Герой продаж 2024</v>
      </c>
      <c r="Z188" s="41" t="str">
        <f>IFERROR(INDEX(_reward_link_[],MATCH(_SCHEDULE_[[#This Row],[CONTEST_CODE]],_reward_link_[CONTEST_CODE],0),MATCH($Z$2,_reward_link_[#Headers],0)),"-")</f>
        <v>BANK</v>
      </c>
      <c r="AA188" s="41" t="str">
        <f>IFERROR(INDEX(_report[],MATCH(_SCHEDULE_[[#This Row],[CONTEST_CODE]],_report[CONTEST_CODE],0),MATCH($AA$2,_report[#Headers],0)),"-")</f>
        <v>-</v>
      </c>
      <c r="AB188"/>
    </row>
    <row r="189" spans="1:28" x14ac:dyDescent="0.25">
      <c r="A189" s="14" t="s">
        <v>1950</v>
      </c>
      <c r="B189" s="14" t="s">
        <v>146</v>
      </c>
      <c r="C189" s="14" t="s">
        <v>1308</v>
      </c>
      <c r="D189" s="14" t="s">
        <v>27</v>
      </c>
      <c r="E189" s="14" t="s">
        <v>194</v>
      </c>
      <c r="F189" s="14" t="s">
        <v>194</v>
      </c>
      <c r="G189" s="14" t="s">
        <v>194</v>
      </c>
      <c r="H189" s="14" t="s">
        <v>194</v>
      </c>
      <c r="I189" s="14" t="s">
        <v>194</v>
      </c>
      <c r="J189" s="14" t="s">
        <v>194</v>
      </c>
      <c r="K189" s="14" t="s">
        <v>34</v>
      </c>
      <c r="L189" s="14" t="s">
        <v>1858</v>
      </c>
      <c r="M189" s="14" t="s">
        <v>3599</v>
      </c>
      <c r="N189" s="14" t="s">
        <v>2</v>
      </c>
      <c r="O189" s="14" t="s">
        <v>1951</v>
      </c>
      <c r="P189" s="14" t="s">
        <v>1064</v>
      </c>
      <c r="R189" s="38">
        <f>IFERROR(COUNTIFS(_report[TOURNAMENT_CODE],_SCHEDULE_[[#This Row],[TOURNAMENT_CODE]],_report[CONTEST_CODE],_SCHEDULE_[[#This Row],[CONTEST_CODE]]),"-")</f>
        <v>0</v>
      </c>
      <c r="S189" s="41" t="str">
        <f>SUBSTITUTE(IFERROR(INDEX(_group_[],MATCH(CONCATENATE(_SCHEDULE_[[#This Row],[CONTEST_CODE]],"_",$S$2),_group_[ИД2],0),MATCH($S$1,_group_[#Headers],0)),"---"),".",",")</f>
        <v>BANK</v>
      </c>
      <c r="T189" s="41" t="str">
        <f>SUBSTITUTE(IFERROR(INDEX(_group_[],MATCH(CONCATENATE(_SCHEDULE_[[#This Row],[CONTEST_CODE]],"_",$T$2),_group_[ИД2],0),MATCH($T$1,_group_[#Headers],0)),"---"),".",",")</f>
        <v>---</v>
      </c>
      <c r="U189" s="41" t="str">
        <f>SUBSTITUTE(IFERROR(INDEX(_group_[],MATCH(CONCATENATE(_SCHEDULE_[[#This Row],[CONTEST_CODE]],"_",$U$2),_group_[ИД2],0),MATCH($U$1,_group_[#Headers],0)),"---"),".",",")</f>
        <v>---</v>
      </c>
      <c r="V189" s="41" t="str">
        <f>SUBSTITUTE(IFERROR(INDEX(_group_[],MATCH(CONCATENATE(_SCHEDULE_[[#This Row],[CONTEST_CODE]],"_",$V$2),_group_[ИД2],0),MATCH($V$1,_group_[#Headers],0)),"---"),".",",")</f>
        <v>---</v>
      </c>
      <c r="W189" s="41" t="str">
        <f>IFERROR(INDEX(_INDICATOR_[],MATCH(_SCHEDULE_[[#This Row],[CONTEST_CODE]],_INDICATOR_[CONTEST_CODE],0),MATCH($W$2,_INDICATOR_[#Headers],0)),"-")</f>
        <v>WAIT</v>
      </c>
      <c r="X189" s="41" t="str">
        <f>IFERROR(INDEX(_group_[],MATCH(_SCHEDULE_[[#This Row],[CONTEST_CODE]],_group_[CONTEST_CODE],0),MATCH($X$2,_group_[#Headers],0)),"-")</f>
        <v>BANK</v>
      </c>
      <c r="Y189" s="61" t="str">
        <f>IFERROR(INDEX(_DATA_[],MATCH(_SCHEDULE_[[#This Row],[CONTEST_CODE]],_DATA_[CONTEST_CODE],0),MATCH($Y$2,_DATA_[#Headers],0)),"-")</f>
        <v>на 29 апреля 2025</v>
      </c>
      <c r="Z189" s="41" t="str">
        <f>IFERROR(INDEX(_reward_link_[],MATCH(_SCHEDULE_[[#This Row],[CONTEST_CODE]],_reward_link_[CONTEST_CODE],0),MATCH($Z$2,_reward_link_[#Headers],0)),"-")</f>
        <v>BANK</v>
      </c>
      <c r="AA189" s="41" t="str">
        <f>IFERROR(INDEX(_report[],MATCH(_SCHEDULE_[[#This Row],[CONTEST_CODE]],_report[CONTEST_CODE],0),MATCH($AA$2,_report[#Headers],0)),"-")</f>
        <v>-</v>
      </c>
      <c r="AB189"/>
    </row>
    <row r="190" spans="1:28" x14ac:dyDescent="0.25">
      <c r="A190" s="14" t="s">
        <v>1952</v>
      </c>
      <c r="B190" s="14" t="s">
        <v>146</v>
      </c>
      <c r="C190" s="14" t="s">
        <v>1308</v>
      </c>
      <c r="D190" s="14" t="s">
        <v>27</v>
      </c>
      <c r="E190" s="14" t="s">
        <v>194</v>
      </c>
      <c r="F190" s="14" t="s">
        <v>194</v>
      </c>
      <c r="G190" s="14" t="s">
        <v>194</v>
      </c>
      <c r="H190" s="14" t="s">
        <v>194</v>
      </c>
      <c r="I190" s="14" t="s">
        <v>194</v>
      </c>
      <c r="J190" s="14" t="s">
        <v>194</v>
      </c>
      <c r="K190" s="14" t="s">
        <v>34</v>
      </c>
      <c r="L190" s="14" t="s">
        <v>1860</v>
      </c>
      <c r="M190" s="14" t="s">
        <v>3599</v>
      </c>
      <c r="N190" s="14" t="s">
        <v>2</v>
      </c>
      <c r="O190" s="14" t="s">
        <v>1953</v>
      </c>
      <c r="P190" s="14" t="s">
        <v>1064</v>
      </c>
      <c r="R190" s="38">
        <f>IFERROR(COUNTIFS(_report[TOURNAMENT_CODE],_SCHEDULE_[[#This Row],[TOURNAMENT_CODE]],_report[CONTEST_CODE],_SCHEDULE_[[#This Row],[CONTEST_CODE]]),"-")</f>
        <v>0</v>
      </c>
      <c r="S190" s="41" t="str">
        <f>SUBSTITUTE(IFERROR(INDEX(_group_[],MATCH(CONCATENATE(_SCHEDULE_[[#This Row],[CONTEST_CODE]],"_",$S$2),_group_[ИД2],0),MATCH($S$1,_group_[#Headers],0)),"---"),".",",")</f>
        <v>BANK</v>
      </c>
      <c r="T190" s="41" t="str">
        <f>SUBSTITUTE(IFERROR(INDEX(_group_[],MATCH(CONCATENATE(_SCHEDULE_[[#This Row],[CONTEST_CODE]],"_",$T$2),_group_[ИД2],0),MATCH($T$1,_group_[#Headers],0)),"---"),".",",")</f>
        <v>---</v>
      </c>
      <c r="U190" s="41" t="str">
        <f>SUBSTITUTE(IFERROR(INDEX(_group_[],MATCH(CONCATENATE(_SCHEDULE_[[#This Row],[CONTEST_CODE]],"_",$U$2),_group_[ИД2],0),MATCH($U$1,_group_[#Headers],0)),"---"),".",",")</f>
        <v>---</v>
      </c>
      <c r="V190" s="41" t="str">
        <f>SUBSTITUTE(IFERROR(INDEX(_group_[],MATCH(CONCATENATE(_SCHEDULE_[[#This Row],[CONTEST_CODE]],"_",$V$2),_group_[ИД2],0),MATCH($V$1,_group_[#Headers],0)),"---"),".",",")</f>
        <v>---</v>
      </c>
      <c r="W190" s="41" t="str">
        <f>IFERROR(INDEX(_INDICATOR_[],MATCH(_SCHEDULE_[[#This Row],[CONTEST_CODE]],_INDICATOR_[CONTEST_CODE],0),MATCH($W$2,_INDICATOR_[#Headers],0)),"-")</f>
        <v>WAIT</v>
      </c>
      <c r="X190" s="41" t="str">
        <f>IFERROR(INDEX(_group_[],MATCH(_SCHEDULE_[[#This Row],[CONTEST_CODE]],_group_[CONTEST_CODE],0),MATCH($X$2,_group_[#Headers],0)),"-")</f>
        <v>BANK</v>
      </c>
      <c r="Y190" s="61" t="str">
        <f>IFERROR(INDEX(_DATA_[],MATCH(_SCHEDULE_[[#This Row],[CONTEST_CODE]],_DATA_[CONTEST_CODE],0),MATCH($Y$2,_DATA_[#Headers],0)),"-")</f>
        <v>Опердоход за 3 месяца 2025</v>
      </c>
      <c r="Z190" s="41" t="str">
        <f>IFERROR(INDEX(_reward_link_[],MATCH(_SCHEDULE_[[#This Row],[CONTEST_CODE]],_reward_link_[CONTEST_CODE],0),MATCH($Z$2,_reward_link_[#Headers],0)),"-")</f>
        <v>BANK</v>
      </c>
      <c r="AA190" s="41" t="str">
        <f>IFERROR(INDEX(_report[],MATCH(_SCHEDULE_[[#This Row],[CONTEST_CODE]],_report[CONTEST_CODE],0),MATCH($AA$2,_report[#Headers],0)),"-")</f>
        <v>-</v>
      </c>
      <c r="AB190"/>
    </row>
    <row r="191" spans="1:28" x14ac:dyDescent="0.25">
      <c r="A191" s="14" t="s">
        <v>1954</v>
      </c>
      <c r="B191" s="14" t="s">
        <v>146</v>
      </c>
      <c r="C191" s="14" t="s">
        <v>1308</v>
      </c>
      <c r="D191" s="14" t="s">
        <v>27</v>
      </c>
      <c r="E191" s="14" t="s">
        <v>194</v>
      </c>
      <c r="F191" s="14" t="s">
        <v>194</v>
      </c>
      <c r="G191" s="14" t="s">
        <v>194</v>
      </c>
      <c r="H191" s="14" t="s">
        <v>194</v>
      </c>
      <c r="I191" s="14" t="s">
        <v>194</v>
      </c>
      <c r="J191" s="14" t="s">
        <v>194</v>
      </c>
      <c r="K191" s="14" t="s">
        <v>34</v>
      </c>
      <c r="L191" s="14" t="s">
        <v>1862</v>
      </c>
      <c r="M191" s="14" t="s">
        <v>3599</v>
      </c>
      <c r="N191" s="14" t="s">
        <v>2</v>
      </c>
      <c r="O191" s="14" t="s">
        <v>1955</v>
      </c>
      <c r="P191" s="14" t="s">
        <v>1064</v>
      </c>
      <c r="R191" s="38">
        <f>IFERROR(COUNTIFS(_report[TOURNAMENT_CODE],_SCHEDULE_[[#This Row],[TOURNAMENT_CODE]],_report[CONTEST_CODE],_SCHEDULE_[[#This Row],[CONTEST_CODE]]),"-")</f>
        <v>0</v>
      </c>
      <c r="S191" s="41" t="str">
        <f>SUBSTITUTE(IFERROR(INDEX(_group_[],MATCH(CONCATENATE(_SCHEDULE_[[#This Row],[CONTEST_CODE]],"_",$S$2),_group_[ИД2],0),MATCH($S$1,_group_[#Headers],0)),"---"),".",",")</f>
        <v>BANK</v>
      </c>
      <c r="T191" s="41" t="str">
        <f>SUBSTITUTE(IFERROR(INDEX(_group_[],MATCH(CONCATENATE(_SCHEDULE_[[#This Row],[CONTEST_CODE]],"_",$T$2),_group_[ИД2],0),MATCH($T$1,_group_[#Headers],0)),"---"),".",",")</f>
        <v>---</v>
      </c>
      <c r="U191" s="41" t="str">
        <f>SUBSTITUTE(IFERROR(INDEX(_group_[],MATCH(CONCATENATE(_SCHEDULE_[[#This Row],[CONTEST_CODE]],"_",$U$2),_group_[ИД2],0),MATCH($U$1,_group_[#Headers],0)),"---"),".",",")</f>
        <v>---</v>
      </c>
      <c r="V191" s="41" t="str">
        <f>SUBSTITUTE(IFERROR(INDEX(_group_[],MATCH(CONCATENATE(_SCHEDULE_[[#This Row],[CONTEST_CODE]],"_",$V$2),_group_[ИД2],0),MATCH($V$1,_group_[#Headers],0)),"---"),".",",")</f>
        <v>---</v>
      </c>
      <c r="W191" s="41" t="str">
        <f>IFERROR(INDEX(_INDICATOR_[],MATCH(_SCHEDULE_[[#This Row],[CONTEST_CODE]],_INDICATOR_[CONTEST_CODE],0),MATCH($W$2,_INDICATOR_[#Headers],0)),"-")</f>
        <v>WAIT</v>
      </c>
      <c r="X191" s="41" t="str">
        <f>IFERROR(INDEX(_group_[],MATCH(_SCHEDULE_[[#This Row],[CONTEST_CODE]],_group_[CONTEST_CODE],0),MATCH($X$2,_group_[#Headers],0)),"-")</f>
        <v>BANK</v>
      </c>
      <c r="Y191" s="61" t="str">
        <f>IFERROR(INDEX(_DATA_[],MATCH(_SCHEDULE_[[#This Row],[CONTEST_CODE]],_DATA_[CONTEST_CODE],0),MATCH($Y$2,_DATA_[#Headers],0)),"-")</f>
        <v>Рейтинг ОД в ТБ</v>
      </c>
      <c r="Z191" s="41" t="str">
        <f>IFERROR(INDEX(_reward_link_[],MATCH(_SCHEDULE_[[#This Row],[CONTEST_CODE]],_reward_link_[CONTEST_CODE],0),MATCH($Z$2,_reward_link_[#Headers],0)),"-")</f>
        <v>BANK</v>
      </c>
      <c r="AA191" s="41" t="str">
        <f>IFERROR(INDEX(_report[],MATCH(_SCHEDULE_[[#This Row],[CONTEST_CODE]],_report[CONTEST_CODE],0),MATCH($AA$2,_report[#Headers],0)),"-")</f>
        <v>-</v>
      </c>
      <c r="AB191"/>
    </row>
    <row r="192" spans="1:28" x14ac:dyDescent="0.25">
      <c r="A192" s="14" t="s">
        <v>1956</v>
      </c>
      <c r="B192" s="14" t="s">
        <v>146</v>
      </c>
      <c r="C192" s="14" t="s">
        <v>1308</v>
      </c>
      <c r="D192" s="14" t="s">
        <v>27</v>
      </c>
      <c r="E192" s="14" t="s">
        <v>194</v>
      </c>
      <c r="F192" s="14" t="s">
        <v>194</v>
      </c>
      <c r="G192" s="14" t="s">
        <v>194</v>
      </c>
      <c r="H192" s="14" t="s">
        <v>194</v>
      </c>
      <c r="I192" s="14" t="s">
        <v>194</v>
      </c>
      <c r="J192" s="14" t="s">
        <v>194</v>
      </c>
      <c r="K192" s="14" t="s">
        <v>34</v>
      </c>
      <c r="L192" s="14" t="s">
        <v>1864</v>
      </c>
      <c r="M192" s="14" t="s">
        <v>3599</v>
      </c>
      <c r="N192" s="14" t="s">
        <v>2</v>
      </c>
      <c r="O192" s="14" t="s">
        <v>1957</v>
      </c>
      <c r="P192" s="14" t="s">
        <v>1064</v>
      </c>
      <c r="R192" s="38">
        <f>IFERROR(COUNTIFS(_report[TOURNAMENT_CODE],_SCHEDULE_[[#This Row],[TOURNAMENT_CODE]],_report[CONTEST_CODE],_SCHEDULE_[[#This Row],[CONTEST_CODE]]),"-")</f>
        <v>0</v>
      </c>
      <c r="S192" s="41" t="str">
        <f>SUBSTITUTE(IFERROR(INDEX(_group_[],MATCH(CONCATENATE(_SCHEDULE_[[#This Row],[CONTEST_CODE]],"_",$S$2),_group_[ИД2],0),MATCH($S$1,_group_[#Headers],0)),"---"),".",",")</f>
        <v>BANK</v>
      </c>
      <c r="T192" s="41" t="str">
        <f>SUBSTITUTE(IFERROR(INDEX(_group_[],MATCH(CONCATENATE(_SCHEDULE_[[#This Row],[CONTEST_CODE]],"_",$T$2),_group_[ИД2],0),MATCH($T$1,_group_[#Headers],0)),"---"),".",",")</f>
        <v>---</v>
      </c>
      <c r="U192" s="41" t="str">
        <f>SUBSTITUTE(IFERROR(INDEX(_group_[],MATCH(CONCATENATE(_SCHEDULE_[[#This Row],[CONTEST_CODE]],"_",$U$2),_group_[ИД2],0),MATCH($U$1,_group_[#Headers],0)),"---"),".",",")</f>
        <v>---</v>
      </c>
      <c r="V192" s="41" t="str">
        <f>SUBSTITUTE(IFERROR(INDEX(_group_[],MATCH(CONCATENATE(_SCHEDULE_[[#This Row],[CONTEST_CODE]],"_",$V$2),_group_[ИД2],0),MATCH($V$1,_group_[#Headers],0)),"---"),".",",")</f>
        <v>---</v>
      </c>
      <c r="W192" s="41" t="str">
        <f>IFERROR(INDEX(_INDICATOR_[],MATCH(_SCHEDULE_[[#This Row],[CONTEST_CODE]],_INDICATOR_[CONTEST_CODE],0),MATCH($W$2,_INDICATOR_[#Headers],0)),"-")</f>
        <v>WAIT</v>
      </c>
      <c r="X192" s="41" t="str">
        <f>IFERROR(INDEX(_group_[],MATCH(_SCHEDULE_[[#This Row],[CONTEST_CODE]],_group_[CONTEST_CODE],0),MATCH($X$2,_group_[#Headers],0)),"-")</f>
        <v>BANK</v>
      </c>
      <c r="Y192" s="61" t="str">
        <f>IFERROR(INDEX(_DATA_[],MATCH(_SCHEDULE_[[#This Row],[CONTEST_CODE]],_DATA_[CONTEST_CODE],0),MATCH($Y$2,_DATA_[#Headers],0)),"-")</f>
        <v>Рейтинг ОД в стране</v>
      </c>
      <c r="Z192" s="41" t="str">
        <f>IFERROR(INDEX(_reward_link_[],MATCH(_SCHEDULE_[[#This Row],[CONTEST_CODE]],_reward_link_[CONTEST_CODE],0),MATCH($Z$2,_reward_link_[#Headers],0)),"-")</f>
        <v>BANK</v>
      </c>
      <c r="AA192" s="41" t="str">
        <f>IFERROR(INDEX(_report[],MATCH(_SCHEDULE_[[#This Row],[CONTEST_CODE]],_report[CONTEST_CODE],0),MATCH($AA$2,_report[#Headers],0)),"-")</f>
        <v>-</v>
      </c>
      <c r="AB192"/>
    </row>
    <row r="193" spans="1:28" x14ac:dyDescent="0.25">
      <c r="A193" s="14" t="s">
        <v>1958</v>
      </c>
      <c r="B193" s="14" t="s">
        <v>146</v>
      </c>
      <c r="C193" s="14" t="s">
        <v>1308</v>
      </c>
      <c r="D193" s="14" t="s">
        <v>27</v>
      </c>
      <c r="E193" s="14" t="s">
        <v>194</v>
      </c>
      <c r="F193" s="14" t="s">
        <v>194</v>
      </c>
      <c r="G193" s="14" t="s">
        <v>194</v>
      </c>
      <c r="H193" s="14" t="s">
        <v>194</v>
      </c>
      <c r="I193" s="14" t="s">
        <v>194</v>
      </c>
      <c r="J193" s="14" t="s">
        <v>194</v>
      </c>
      <c r="K193" s="14" t="s">
        <v>34</v>
      </c>
      <c r="L193" s="14" t="s">
        <v>1866</v>
      </c>
      <c r="M193" s="14" t="s">
        <v>3599</v>
      </c>
      <c r="N193" s="14" t="s">
        <v>2</v>
      </c>
      <c r="O193" s="14" t="s">
        <v>1959</v>
      </c>
      <c r="P193" s="14" t="s">
        <v>1064</v>
      </c>
      <c r="R193" s="38">
        <f>IFERROR(COUNTIFS(_report[TOURNAMENT_CODE],_SCHEDULE_[[#This Row],[TOURNAMENT_CODE]],_report[CONTEST_CODE],_SCHEDULE_[[#This Row],[CONTEST_CODE]]),"-")</f>
        <v>0</v>
      </c>
      <c r="S193" s="41" t="str">
        <f>SUBSTITUTE(IFERROR(INDEX(_group_[],MATCH(CONCATENATE(_SCHEDULE_[[#This Row],[CONTEST_CODE]],"_",$S$2),_group_[ИД2],0),MATCH($S$1,_group_[#Headers],0)),"---"),".",",")</f>
        <v>BANK</v>
      </c>
      <c r="T193" s="41" t="str">
        <f>SUBSTITUTE(IFERROR(INDEX(_group_[],MATCH(CONCATENATE(_SCHEDULE_[[#This Row],[CONTEST_CODE]],"_",$T$2),_group_[ИД2],0),MATCH($T$1,_group_[#Headers],0)),"---"),".",",")</f>
        <v>---</v>
      </c>
      <c r="U193" s="41" t="str">
        <f>SUBSTITUTE(IFERROR(INDEX(_group_[],MATCH(CONCATENATE(_SCHEDULE_[[#This Row],[CONTEST_CODE]],"_",$U$2),_group_[ИД2],0),MATCH($U$1,_group_[#Headers],0)),"---"),".",",")</f>
        <v>---</v>
      </c>
      <c r="V193" s="41" t="str">
        <f>SUBSTITUTE(IFERROR(INDEX(_group_[],MATCH(CONCATENATE(_SCHEDULE_[[#This Row],[CONTEST_CODE]],"_",$V$2),_group_[ИД2],0),MATCH($V$1,_group_[#Headers],0)),"---"),".",",")</f>
        <v>---</v>
      </c>
      <c r="W193" s="41" t="str">
        <f>IFERROR(INDEX(_INDICATOR_[],MATCH(_SCHEDULE_[[#This Row],[CONTEST_CODE]],_INDICATOR_[CONTEST_CODE],0),MATCH($W$2,_INDICATOR_[#Headers],0)),"-")</f>
        <v>WAIT</v>
      </c>
      <c r="X193" s="41" t="str">
        <f>IFERROR(INDEX(_group_[],MATCH(_SCHEDULE_[[#This Row],[CONTEST_CODE]],_group_[CONTEST_CODE],0),MATCH($X$2,_group_[#Headers],0)),"-")</f>
        <v>BANK</v>
      </c>
      <c r="Y193" s="61" t="str">
        <f>IFERROR(INDEX(_DATA_[],MATCH(_SCHEDULE_[[#This Row],[CONTEST_CODE]],_DATA_[CONTEST_CODE],0),MATCH($Y$2,_DATA_[#Headers],0)),"-")</f>
        <v>Темп роста опердохода (3 месяца 2025 года к 3 месяцам 2024 года)</v>
      </c>
      <c r="Z193" s="41" t="str">
        <f>IFERROR(INDEX(_reward_link_[],MATCH(_SCHEDULE_[[#This Row],[CONTEST_CODE]],_reward_link_[CONTEST_CODE],0),MATCH($Z$2,_reward_link_[#Headers],0)),"-")</f>
        <v>BANK</v>
      </c>
      <c r="AA193" s="41" t="str">
        <f>IFERROR(INDEX(_report[],MATCH(_SCHEDULE_[[#This Row],[CONTEST_CODE]],_report[CONTEST_CODE],0),MATCH($AA$2,_report[#Headers],0)),"-")</f>
        <v>-</v>
      </c>
      <c r="AB193"/>
    </row>
    <row r="194" spans="1:28" x14ac:dyDescent="0.25">
      <c r="A194" s="14" t="s">
        <v>1960</v>
      </c>
      <c r="B194" s="14" t="s">
        <v>146</v>
      </c>
      <c r="C194" s="14" t="s">
        <v>1308</v>
      </c>
      <c r="D194" s="14" t="s">
        <v>27</v>
      </c>
      <c r="E194" s="14" t="s">
        <v>194</v>
      </c>
      <c r="F194" s="14" t="s">
        <v>194</v>
      </c>
      <c r="G194" s="14" t="s">
        <v>194</v>
      </c>
      <c r="H194" s="14" t="s">
        <v>194</v>
      </c>
      <c r="I194" s="14" t="s">
        <v>194</v>
      </c>
      <c r="J194" s="14" t="s">
        <v>194</v>
      </c>
      <c r="K194" s="14" t="s">
        <v>34</v>
      </c>
      <c r="L194" s="14" t="s">
        <v>1868</v>
      </c>
      <c r="M194" s="14" t="s">
        <v>3599</v>
      </c>
      <c r="N194" s="14" t="s">
        <v>2</v>
      </c>
      <c r="O194" s="14" t="s">
        <v>1961</v>
      </c>
      <c r="P194" s="14" t="s">
        <v>1064</v>
      </c>
      <c r="R194" s="38">
        <f>IFERROR(COUNTIFS(_report[TOURNAMENT_CODE],_SCHEDULE_[[#This Row],[TOURNAMENT_CODE]],_report[CONTEST_CODE],_SCHEDULE_[[#This Row],[CONTEST_CODE]]),"-")</f>
        <v>0</v>
      </c>
      <c r="S194" s="41" t="str">
        <f>SUBSTITUTE(IFERROR(INDEX(_group_[],MATCH(CONCATENATE(_SCHEDULE_[[#This Row],[CONTEST_CODE]],"_",$S$2),_group_[ИД2],0),MATCH($S$1,_group_[#Headers],0)),"---"),".",",")</f>
        <v>BANK</v>
      </c>
      <c r="T194" s="41" t="str">
        <f>SUBSTITUTE(IFERROR(INDEX(_group_[],MATCH(CONCATENATE(_SCHEDULE_[[#This Row],[CONTEST_CODE]],"_",$T$2),_group_[ИД2],0),MATCH($T$1,_group_[#Headers],0)),"---"),".",",")</f>
        <v>---</v>
      </c>
      <c r="U194" s="41" t="str">
        <f>SUBSTITUTE(IFERROR(INDEX(_group_[],MATCH(CONCATENATE(_SCHEDULE_[[#This Row],[CONTEST_CODE]],"_",$U$2),_group_[ИД2],0),MATCH($U$1,_group_[#Headers],0)),"---"),".",",")</f>
        <v>---</v>
      </c>
      <c r="V194" s="41" t="str">
        <f>SUBSTITUTE(IFERROR(INDEX(_group_[],MATCH(CONCATENATE(_SCHEDULE_[[#This Row],[CONTEST_CODE]],"_",$V$2),_group_[ИД2],0),MATCH($V$1,_group_[#Headers],0)),"---"),".",",")</f>
        <v>---</v>
      </c>
      <c r="W194" s="41" t="str">
        <f>IFERROR(INDEX(_INDICATOR_[],MATCH(_SCHEDULE_[[#This Row],[CONTEST_CODE]],_INDICATOR_[CONTEST_CODE],0),MATCH($W$2,_INDICATOR_[#Headers],0)),"-")</f>
        <v>WAIT</v>
      </c>
      <c r="X194" s="41" t="str">
        <f>IFERROR(INDEX(_group_[],MATCH(_SCHEDULE_[[#This Row],[CONTEST_CODE]],_group_[CONTEST_CODE],0),MATCH($X$2,_group_[#Headers],0)),"-")</f>
        <v>BANK</v>
      </c>
      <c r="Y194" s="61" t="str">
        <f>IFERROR(INDEX(_DATA_[],MATCH(_SCHEDULE_[[#This Row],[CONTEST_CODE]],_DATA_[CONTEST_CODE],0),MATCH($Y$2,_DATA_[#Headers],0)),"-")</f>
        <v>Категория темпа роста ОД</v>
      </c>
      <c r="Z194" s="41" t="str">
        <f>IFERROR(INDEX(_reward_link_[],MATCH(_SCHEDULE_[[#This Row],[CONTEST_CODE]],_reward_link_[CONTEST_CODE],0),MATCH($Z$2,_reward_link_[#Headers],0)),"-")</f>
        <v>BANK</v>
      </c>
      <c r="AA194" s="41" t="str">
        <f>IFERROR(INDEX(_report[],MATCH(_SCHEDULE_[[#This Row],[CONTEST_CODE]],_report[CONTEST_CODE],0),MATCH($AA$2,_report[#Headers],0)),"-")</f>
        <v>-</v>
      </c>
      <c r="AB194"/>
    </row>
    <row r="195" spans="1:28" hidden="1" x14ac:dyDescent="0.25">
      <c r="A195" s="14" t="s">
        <v>649</v>
      </c>
      <c r="B195" s="14" t="s">
        <v>229</v>
      </c>
      <c r="C195" s="14" t="s">
        <v>192</v>
      </c>
      <c r="D195" s="14" t="s">
        <v>252</v>
      </c>
      <c r="E195" s="14" t="s">
        <v>3217</v>
      </c>
      <c r="F195" s="14" t="s">
        <v>182</v>
      </c>
      <c r="G195" s="14" t="s">
        <v>188</v>
      </c>
      <c r="H195" s="14" t="s">
        <v>194</v>
      </c>
      <c r="I195" s="14" t="s">
        <v>194</v>
      </c>
      <c r="J195" s="14" t="s">
        <v>194</v>
      </c>
      <c r="K195" s="14" t="s">
        <v>176</v>
      </c>
      <c r="L195" s="14" t="s">
        <v>645</v>
      </c>
      <c r="M195" s="14" t="s">
        <v>3600</v>
      </c>
      <c r="N195" s="14" t="s">
        <v>2</v>
      </c>
      <c r="O195" s="14" t="s">
        <v>1615</v>
      </c>
      <c r="P195" s="14" t="s">
        <v>1064</v>
      </c>
      <c r="R195" s="38">
        <f>IFERROR(COUNTIFS(_report[TOURNAMENT_CODE],_SCHEDULE_[[#This Row],[TOURNAMENT_CODE]],_report[CONTEST_CODE],_SCHEDULE_[[#This Row],[CONTEST_CODE]]),"-")</f>
        <v>0</v>
      </c>
      <c r="S195" s="41" t="str">
        <f>SUBSTITUTE(IFERROR(INDEX(_group_[],MATCH(CONCATENATE(_SCHEDULE_[[#This Row],[CONTEST_CODE]],"_",$S$2),_group_[ИД2],0),MATCH($S$1,_group_[#Headers],0)),"---"),".",",")</f>
        <v>BANK</v>
      </c>
      <c r="T195" s="41" t="str">
        <f>SUBSTITUTE(IFERROR(INDEX(_group_[],MATCH(CONCATENATE(_SCHEDULE_[[#This Row],[CONTEST_CODE]],"_",$T$2),_group_[ИД2],0),MATCH($T$1,_group_[#Headers],0)),"---"),".",",")</f>
        <v>TB</v>
      </c>
      <c r="U195" s="41" t="str">
        <f>SUBSTITUTE(IFERROR(INDEX(_group_[],MATCH(CONCATENATE(_SCHEDULE_[[#This Row],[CONTEST_CODE]],"_",$U$2),_group_[ИД2],0),MATCH($U$1,_group_[#Headers],0)),"---"),".",",")</f>
        <v>---</v>
      </c>
      <c r="V195" s="41" t="str">
        <f>SUBSTITUTE(IFERROR(INDEX(_group_[],MATCH(CONCATENATE(_SCHEDULE_[[#This Row],[CONTEST_CODE]],"_",$V$2),_group_[ИД2],0),MATCH($V$1,_group_[#Headers],0)),"---"),".",",")</f>
        <v>---</v>
      </c>
      <c r="W195" s="41" t="str">
        <f>IFERROR(INDEX(_INDICATOR_[],MATCH(_SCHEDULE_[[#This Row],[CONTEST_CODE]],_INDICATOR_[CONTEST_CODE],0),MATCH($W$2,_INDICATOR_[#Headers],0)),"-")</f>
        <v>WAIT</v>
      </c>
      <c r="X195" s="41" t="str">
        <f>IFERROR(INDEX(_group_[],MATCH(_SCHEDULE_[[#This Row],[CONTEST_CODE]],_group_[CONTEST_CODE],0),MATCH($X$2,_group_[#Headers],0)),"-")</f>
        <v>BANK</v>
      </c>
      <c r="Y195" s="61" t="str">
        <f>IFERROR(INDEX(_DATA_[],MATCH(_SCHEDULE_[[#This Row],[CONTEST_CODE]],_DATA_[CONTEST_CODE],0),MATCH($Y$2,_DATA_[#Headers],0)),"-")</f>
        <v>Экосистема. Лучший СМНС по продажам продуктов экосистемы</v>
      </c>
      <c r="Z195" s="41" t="str">
        <f>IFERROR(INDEX(_reward_link_[],MATCH(_SCHEDULE_[[#This Row],[CONTEST_CODE]],_reward_link_[CONTEST_CODE],0),MATCH($Z$2,_reward_link_[#Headers],0)),"-")</f>
        <v>TB</v>
      </c>
      <c r="AA195" s="41" t="str">
        <f>IFERROR(INDEX(_report[],MATCH(_SCHEDULE_[[#This Row],[CONTEST_CODE]],_report[CONTEST_CODE],0),MATCH($AA$2,_report[#Headers],0)),"-")</f>
        <v>-</v>
      </c>
      <c r="AB195"/>
    </row>
    <row r="196" spans="1:28" hidden="1" x14ac:dyDescent="0.25">
      <c r="A196" s="14" t="s">
        <v>1162</v>
      </c>
      <c r="B196" s="14" t="s">
        <v>229</v>
      </c>
      <c r="C196" s="14" t="s">
        <v>703</v>
      </c>
      <c r="D196" s="14" t="s">
        <v>1070</v>
      </c>
      <c r="E196" s="14" t="s">
        <v>1071</v>
      </c>
      <c r="F196" s="14" t="s">
        <v>192</v>
      </c>
      <c r="G196" s="14" t="s">
        <v>252</v>
      </c>
      <c r="H196" s="14" t="s">
        <v>194</v>
      </c>
      <c r="I196" s="14" t="s">
        <v>194</v>
      </c>
      <c r="J196" s="14" t="s">
        <v>194</v>
      </c>
      <c r="K196" s="14" t="s">
        <v>155</v>
      </c>
      <c r="L196" s="14" t="s">
        <v>645</v>
      </c>
      <c r="M196" s="14" t="s">
        <v>3600</v>
      </c>
      <c r="N196" s="14" t="s">
        <v>2</v>
      </c>
      <c r="O196" s="14" t="s">
        <v>1616</v>
      </c>
      <c r="P196" s="14" t="s">
        <v>1064</v>
      </c>
      <c r="R196" s="38">
        <f>IFERROR(COUNTIFS(_report[TOURNAMENT_CODE],_SCHEDULE_[[#This Row],[TOURNAMENT_CODE]],_report[CONTEST_CODE],_SCHEDULE_[[#This Row],[CONTEST_CODE]]),"-")</f>
        <v>0</v>
      </c>
      <c r="S196" s="41" t="str">
        <f>SUBSTITUTE(IFERROR(INDEX(_group_[],MATCH(CONCATENATE(_SCHEDULE_[[#This Row],[CONTEST_CODE]],"_",$S$2),_group_[ИД2],0),MATCH($S$1,_group_[#Headers],0)),"---"),".",",")</f>
        <v>BANK</v>
      </c>
      <c r="T196" s="41" t="str">
        <f>SUBSTITUTE(IFERROR(INDEX(_group_[],MATCH(CONCATENATE(_SCHEDULE_[[#This Row],[CONTEST_CODE]],"_",$T$2),_group_[ИД2],0),MATCH($T$1,_group_[#Headers],0)),"---"),".",",")</f>
        <v>TB</v>
      </c>
      <c r="U196" s="41" t="str">
        <f>SUBSTITUTE(IFERROR(INDEX(_group_[],MATCH(CONCATENATE(_SCHEDULE_[[#This Row],[CONTEST_CODE]],"_",$U$2),_group_[ИД2],0),MATCH($U$1,_group_[#Headers],0)),"---"),".",",")</f>
        <v>---</v>
      </c>
      <c r="V196" s="41" t="str">
        <f>SUBSTITUTE(IFERROR(INDEX(_group_[],MATCH(CONCATENATE(_SCHEDULE_[[#This Row],[CONTEST_CODE]],"_",$V$2),_group_[ИД2],0),MATCH($V$1,_group_[#Headers],0)),"---"),".",",")</f>
        <v>---</v>
      </c>
      <c r="W196" s="41" t="str">
        <f>IFERROR(INDEX(_INDICATOR_[],MATCH(_SCHEDULE_[[#This Row],[CONTEST_CODE]],_INDICATOR_[CONTEST_CODE],0),MATCH($W$2,_INDICATOR_[#Headers],0)),"-")</f>
        <v>WAIT</v>
      </c>
      <c r="X196" s="41" t="str">
        <f>IFERROR(INDEX(_group_[],MATCH(_SCHEDULE_[[#This Row],[CONTEST_CODE]],_group_[CONTEST_CODE],0),MATCH($X$2,_group_[#Headers],0)),"-")</f>
        <v>BANK</v>
      </c>
      <c r="Y196" s="61" t="str">
        <f>IFERROR(INDEX(_DATA_[],MATCH(_SCHEDULE_[[#This Row],[CONTEST_CODE]],_DATA_[CONTEST_CODE],0),MATCH($Y$2,_DATA_[#Headers],0)),"-")</f>
        <v>Экосистема. Лучший СМНС по продажам продуктов экосистемы</v>
      </c>
      <c r="Z196" s="41" t="str">
        <f>IFERROR(INDEX(_reward_link_[],MATCH(_SCHEDULE_[[#This Row],[CONTEST_CODE]],_reward_link_[CONTEST_CODE],0),MATCH($Z$2,_reward_link_[#Headers],0)),"-")</f>
        <v>TB</v>
      </c>
      <c r="AA196" s="41" t="str">
        <f>IFERROR(INDEX(_report[],MATCH(_SCHEDULE_[[#This Row],[CONTEST_CODE]],_report[CONTEST_CODE],0),MATCH($AA$2,_report[#Headers],0)),"-")</f>
        <v>-</v>
      </c>
      <c r="AB196"/>
    </row>
    <row r="197" spans="1:28" hidden="1" x14ac:dyDescent="0.25">
      <c r="A197" s="14" t="s">
        <v>650</v>
      </c>
      <c r="B197" s="14" t="s">
        <v>229</v>
      </c>
      <c r="C197" s="14" t="s">
        <v>192</v>
      </c>
      <c r="D197" s="14" t="s">
        <v>252</v>
      </c>
      <c r="E197" s="14" t="s">
        <v>253</v>
      </c>
      <c r="F197" s="14" t="s">
        <v>182</v>
      </c>
      <c r="G197" s="14" t="s">
        <v>188</v>
      </c>
      <c r="H197" s="14" t="s">
        <v>194</v>
      </c>
      <c r="I197" s="14" t="s">
        <v>194</v>
      </c>
      <c r="J197" s="14" t="s">
        <v>194</v>
      </c>
      <c r="K197" s="14" t="s">
        <v>155</v>
      </c>
      <c r="L197" s="14" t="s">
        <v>646</v>
      </c>
      <c r="M197" s="14" t="s">
        <v>3600</v>
      </c>
      <c r="N197" s="14" t="s">
        <v>2</v>
      </c>
      <c r="O197" s="14" t="s">
        <v>1617</v>
      </c>
      <c r="P197" s="14" t="s">
        <v>1064</v>
      </c>
      <c r="R197" s="38">
        <f>IFERROR(COUNTIFS(_report[TOURNAMENT_CODE],_SCHEDULE_[[#This Row],[TOURNAMENT_CODE]],_report[CONTEST_CODE],_SCHEDULE_[[#This Row],[CONTEST_CODE]]),"-")</f>
        <v>0</v>
      </c>
      <c r="S197" s="41" t="str">
        <f>SUBSTITUTE(IFERROR(INDEX(_group_[],MATCH(CONCATENATE(_SCHEDULE_[[#This Row],[CONTEST_CODE]],"_",$S$2),_group_[ИД2],0),MATCH($S$1,_group_[#Headers],0)),"---"),".",",")</f>
        <v>BANK</v>
      </c>
      <c r="T197" s="41" t="str">
        <f>SUBSTITUTE(IFERROR(INDEX(_group_[],MATCH(CONCATENATE(_SCHEDULE_[[#This Row],[CONTEST_CODE]],"_",$T$2),_group_[ИД2],0),MATCH($T$1,_group_[#Headers],0)),"---"),".",",")</f>
        <v>---</v>
      </c>
      <c r="U197" s="41" t="str">
        <f>SUBSTITUTE(IFERROR(INDEX(_group_[],MATCH(CONCATENATE(_SCHEDULE_[[#This Row],[CONTEST_CODE]],"_",$U$2),_group_[ИД2],0),MATCH($U$1,_group_[#Headers],0)),"---"),".",",")</f>
        <v>---</v>
      </c>
      <c r="V197" s="41" t="str">
        <f>SUBSTITUTE(IFERROR(INDEX(_group_[],MATCH(CONCATENATE(_SCHEDULE_[[#This Row],[CONTEST_CODE]],"_",$V$2),_group_[ИД2],0),MATCH($V$1,_group_[#Headers],0)),"---"),".",",")</f>
        <v>---</v>
      </c>
      <c r="W197" s="41" t="str">
        <f>IFERROR(INDEX(_INDICATOR_[],MATCH(_SCHEDULE_[[#This Row],[CONTEST_CODE]],_INDICATOR_[CONTEST_CODE],0),MATCH($W$2,_INDICATOR_[#Headers],0)),"-")</f>
        <v>WAIT</v>
      </c>
      <c r="X197" s="41" t="str">
        <f>IFERROR(INDEX(_group_[],MATCH(_SCHEDULE_[[#This Row],[CONTEST_CODE]],_group_[CONTEST_CODE],0),MATCH($X$2,_group_[#Headers],0)),"-")</f>
        <v>BANK</v>
      </c>
      <c r="Y197" s="61" t="str">
        <f>IFERROR(INDEX(_DATA_[],MATCH(_SCHEDULE_[[#This Row],[CONTEST_CODE]],_DATA_[CONTEST_CODE],0),MATCH($Y$2,_DATA_[#Headers],0)),"-")</f>
        <v>Экосистема. Лучший директор по продажам продуктов экосистемы</v>
      </c>
      <c r="Z197" s="41" t="str">
        <f>IFERROR(INDEX(_reward_link_[],MATCH(_SCHEDULE_[[#This Row],[CONTEST_CODE]],_reward_link_[CONTEST_CODE],0),MATCH($Z$2,_reward_link_[#Headers],0)),"-")</f>
        <v>BANK</v>
      </c>
      <c r="AA197" s="41" t="str">
        <f>IFERROR(INDEX(_report[],MATCH(_SCHEDULE_[[#This Row],[CONTEST_CODE]],_report[CONTEST_CODE],0),MATCH($AA$2,_report[#Headers],0)),"-")</f>
        <v>-</v>
      </c>
      <c r="AB197"/>
    </row>
    <row r="198" spans="1:28" hidden="1" x14ac:dyDescent="0.25">
      <c r="A198" s="14" t="s">
        <v>1824</v>
      </c>
      <c r="B198" s="14" t="s">
        <v>229</v>
      </c>
      <c r="C198" s="14" t="s">
        <v>1308</v>
      </c>
      <c r="D198" s="14" t="s">
        <v>642</v>
      </c>
      <c r="E198" s="14" t="s">
        <v>3217</v>
      </c>
      <c r="F198" s="14" t="s">
        <v>695</v>
      </c>
      <c r="G198" s="14" t="s">
        <v>1070</v>
      </c>
      <c r="H198" s="14" t="s">
        <v>194</v>
      </c>
      <c r="I198" s="14" t="s">
        <v>194</v>
      </c>
      <c r="J198" s="14" t="s">
        <v>194</v>
      </c>
      <c r="K198" s="14" t="s">
        <v>176</v>
      </c>
      <c r="L198" s="14" t="s">
        <v>1352</v>
      </c>
      <c r="M198" s="14" t="s">
        <v>3600</v>
      </c>
      <c r="N198" s="14" t="s">
        <v>2</v>
      </c>
      <c r="O198" s="14" t="s">
        <v>1825</v>
      </c>
      <c r="P198" s="14" t="s">
        <v>1064</v>
      </c>
      <c r="R198" s="38">
        <f>IFERROR(COUNTIFS(_report[TOURNAMENT_CODE],_SCHEDULE_[[#This Row],[TOURNAMENT_CODE]],_report[CONTEST_CODE],_SCHEDULE_[[#This Row],[CONTEST_CODE]]),"-")</f>
        <v>0</v>
      </c>
      <c r="S198" s="41" t="str">
        <f>SUBSTITUTE(IFERROR(INDEX(_group_[],MATCH(CONCATENATE(_SCHEDULE_[[#This Row],[CONTEST_CODE]],"_",$S$2),_group_[ИД2],0),MATCH($S$1,_group_[#Headers],0)),"---"),".",",")</f>
        <v>BANK</v>
      </c>
      <c r="T198" s="41" t="str">
        <f>SUBSTITUTE(IFERROR(INDEX(_group_[],MATCH(CONCATENATE(_SCHEDULE_[[#This Row],[CONTEST_CODE]],"_",$T$2),_group_[ИД2],0),MATCH($T$1,_group_[#Headers],0)),"---"),".",",")</f>
        <v>TB</v>
      </c>
      <c r="U198" s="41" t="str">
        <f>SUBSTITUTE(IFERROR(INDEX(_group_[],MATCH(CONCATENATE(_SCHEDULE_[[#This Row],[CONTEST_CODE]],"_",$U$2),_group_[ИД2],0),MATCH($U$1,_group_[#Headers],0)),"---"),".",",")</f>
        <v>---</v>
      </c>
      <c r="V198" s="41" t="str">
        <f>SUBSTITUTE(IFERROR(INDEX(_group_[],MATCH(CONCATENATE(_SCHEDULE_[[#This Row],[CONTEST_CODE]],"_",$V$2),_group_[ИД2],0),MATCH($V$1,_group_[#Headers],0)),"---"),".",",")</f>
        <v>---</v>
      </c>
      <c r="W198" s="41" t="str">
        <f>IFERROR(INDEX(_INDICATOR_[],MATCH(_SCHEDULE_[[#This Row],[CONTEST_CODE]],_INDICATOR_[CONTEST_CODE],0),MATCH($W$2,_INDICATOR_[#Headers],0)),"-")</f>
        <v>WAIT</v>
      </c>
      <c r="X198" s="41" t="str">
        <f>IFERROR(INDEX(_group_[],MATCH(_SCHEDULE_[[#This Row],[CONTEST_CODE]],_group_[CONTEST_CODE],0),MATCH($X$2,_group_[#Headers],0)),"-")</f>
        <v>BANK</v>
      </c>
      <c r="Y198" s="61" t="str">
        <f>IFERROR(INDEX(_DATA_[],MATCH(_SCHEDULE_[[#This Row],[CONTEST_CODE]],_DATA_[CONTEST_CODE],0),MATCH($Y$2,_DATA_[#Headers],0)),"-")</f>
        <v>Экосистема. Лидер по числу сделок</v>
      </c>
      <c r="Z198" s="41" t="str">
        <f>IFERROR(INDEX(_reward_link_[],MATCH(_SCHEDULE_[[#This Row],[CONTEST_CODE]],_reward_link_[CONTEST_CODE],0),MATCH($Z$2,_reward_link_[#Headers],0)),"-")</f>
        <v>TB</v>
      </c>
      <c r="AA198" s="41" t="str">
        <f>IFERROR(INDEX(_report[],MATCH(_SCHEDULE_[[#This Row],[CONTEST_CODE]],_report[CONTEST_CODE],0),MATCH($AA$2,_report[#Headers],0)),"-")</f>
        <v>-</v>
      </c>
      <c r="AB198"/>
    </row>
    <row r="199" spans="1:28" hidden="1" x14ac:dyDescent="0.25">
      <c r="A199" s="14" t="s">
        <v>1826</v>
      </c>
      <c r="B199" s="14" t="s">
        <v>229</v>
      </c>
      <c r="C199" s="14" t="s">
        <v>1308</v>
      </c>
      <c r="D199" s="14" t="s">
        <v>642</v>
      </c>
      <c r="E199" s="14" t="s">
        <v>3217</v>
      </c>
      <c r="F199" s="14" t="s">
        <v>695</v>
      </c>
      <c r="G199" s="14" t="s">
        <v>1070</v>
      </c>
      <c r="H199" s="14" t="s">
        <v>194</v>
      </c>
      <c r="I199" s="14" t="s">
        <v>194</v>
      </c>
      <c r="J199" s="14" t="s">
        <v>194</v>
      </c>
      <c r="K199" s="14" t="s">
        <v>176</v>
      </c>
      <c r="L199" s="14" t="s">
        <v>1359</v>
      </c>
      <c r="M199" s="14" t="s">
        <v>3600</v>
      </c>
      <c r="N199" s="14" t="s">
        <v>2</v>
      </c>
      <c r="O199" s="14" t="s">
        <v>1827</v>
      </c>
      <c r="P199" s="14" t="s">
        <v>1064</v>
      </c>
      <c r="R199" s="38">
        <f>IFERROR(COUNTIFS(_report[TOURNAMENT_CODE],_SCHEDULE_[[#This Row],[TOURNAMENT_CODE]],_report[CONTEST_CODE],_SCHEDULE_[[#This Row],[CONTEST_CODE]]),"-")</f>
        <v>0</v>
      </c>
      <c r="S199" s="41" t="str">
        <f>SUBSTITUTE(IFERROR(INDEX(_group_[],MATCH(CONCATENATE(_SCHEDULE_[[#This Row],[CONTEST_CODE]],"_",$S$2),_group_[ИД2],0),MATCH($S$1,_group_[#Headers],0)),"---"),".",",")</f>
        <v>BANK</v>
      </c>
      <c r="T199" s="41" t="str">
        <f>SUBSTITUTE(IFERROR(INDEX(_group_[],MATCH(CONCATENATE(_SCHEDULE_[[#This Row],[CONTEST_CODE]],"_",$T$2),_group_[ИД2],0),MATCH($T$1,_group_[#Headers],0)),"---"),".",",")</f>
        <v>TB</v>
      </c>
      <c r="U199" s="41" t="str">
        <f>SUBSTITUTE(IFERROR(INDEX(_group_[],MATCH(CONCATENATE(_SCHEDULE_[[#This Row],[CONTEST_CODE]],"_",$U$2),_group_[ИД2],0),MATCH($U$1,_group_[#Headers],0)),"---"),".",",")</f>
        <v>---</v>
      </c>
      <c r="V199" s="41" t="str">
        <f>SUBSTITUTE(IFERROR(INDEX(_group_[],MATCH(CONCATENATE(_SCHEDULE_[[#This Row],[CONTEST_CODE]],"_",$V$2),_group_[ИД2],0),MATCH($V$1,_group_[#Headers],0)),"---"),".",",")</f>
        <v>---</v>
      </c>
      <c r="W199" s="41" t="str">
        <f>IFERROR(INDEX(_INDICATOR_[],MATCH(_SCHEDULE_[[#This Row],[CONTEST_CODE]],_INDICATOR_[CONTEST_CODE],0),MATCH($W$2,_INDICATOR_[#Headers],0)),"-")</f>
        <v>WAIT</v>
      </c>
      <c r="X199" s="41" t="str">
        <f>IFERROR(INDEX(_group_[],MATCH(_SCHEDULE_[[#This Row],[CONTEST_CODE]],_group_[CONTEST_CODE],0),MATCH($X$2,_group_[#Headers],0)),"-")</f>
        <v>BANK</v>
      </c>
      <c r="Y199" s="61" t="str">
        <f>IFERROR(INDEX(_DATA_[],MATCH(_SCHEDULE_[[#This Row],[CONTEST_CODE]],_DATA_[CONTEST_CODE],0),MATCH($Y$2,_DATA_[#Headers],0)),"-")</f>
        <v>Лидер по продаже образовательных услуг</v>
      </c>
      <c r="Z199" s="41" t="str">
        <f>IFERROR(INDEX(_reward_link_[],MATCH(_SCHEDULE_[[#This Row],[CONTEST_CODE]],_reward_link_[CONTEST_CODE],0),MATCH($Z$2,_reward_link_[#Headers],0)),"-")</f>
        <v>TB</v>
      </c>
      <c r="AA199" s="41" t="str">
        <f>IFERROR(INDEX(_report[],MATCH(_SCHEDULE_[[#This Row],[CONTEST_CODE]],_report[CONTEST_CODE],0),MATCH($AA$2,_report[#Headers],0)),"-")</f>
        <v>-</v>
      </c>
      <c r="AB199"/>
    </row>
    <row r="200" spans="1:28" hidden="1" x14ac:dyDescent="0.25">
      <c r="A200" s="14" t="s">
        <v>1828</v>
      </c>
      <c r="B200" s="14" t="s">
        <v>229</v>
      </c>
      <c r="C200" s="14" t="s">
        <v>1308</v>
      </c>
      <c r="D200" s="14" t="s">
        <v>642</v>
      </c>
      <c r="E200" s="14" t="s">
        <v>3217</v>
      </c>
      <c r="F200" s="14" t="s">
        <v>695</v>
      </c>
      <c r="G200" s="14" t="s">
        <v>1070</v>
      </c>
      <c r="H200" s="14" t="s">
        <v>194</v>
      </c>
      <c r="I200" s="14" t="s">
        <v>194</v>
      </c>
      <c r="J200" s="14" t="s">
        <v>194</v>
      </c>
      <c r="K200" s="14" t="s">
        <v>176</v>
      </c>
      <c r="L200" s="14" t="s">
        <v>1366</v>
      </c>
      <c r="M200" s="14" t="s">
        <v>3600</v>
      </c>
      <c r="N200" s="14" t="s">
        <v>2</v>
      </c>
      <c r="O200" s="14" t="s">
        <v>1829</v>
      </c>
      <c r="P200" s="14" t="s">
        <v>1064</v>
      </c>
      <c r="R200" s="38">
        <f>IFERROR(COUNTIFS(_report[TOURNAMENT_CODE],_SCHEDULE_[[#This Row],[TOURNAMENT_CODE]],_report[CONTEST_CODE],_SCHEDULE_[[#This Row],[CONTEST_CODE]]),"-")</f>
        <v>0</v>
      </c>
      <c r="S200" s="41" t="str">
        <f>SUBSTITUTE(IFERROR(INDEX(_group_[],MATCH(CONCATENATE(_SCHEDULE_[[#This Row],[CONTEST_CODE]],"_",$S$2),_group_[ИД2],0),MATCH($S$1,_group_[#Headers],0)),"---"),".",",")</f>
        <v>BANK</v>
      </c>
      <c r="T200" s="41" t="str">
        <f>SUBSTITUTE(IFERROR(INDEX(_group_[],MATCH(CONCATENATE(_SCHEDULE_[[#This Row],[CONTEST_CODE]],"_",$T$2),_group_[ИД2],0),MATCH($T$1,_group_[#Headers],0)),"---"),".",",")</f>
        <v>TB</v>
      </c>
      <c r="U200" s="41" t="str">
        <f>SUBSTITUTE(IFERROR(INDEX(_group_[],MATCH(CONCATENATE(_SCHEDULE_[[#This Row],[CONTEST_CODE]],"_",$U$2),_group_[ИД2],0),MATCH($U$1,_group_[#Headers],0)),"---"),".",",")</f>
        <v>---</v>
      </c>
      <c r="V200" s="41" t="str">
        <f>SUBSTITUTE(IFERROR(INDEX(_group_[],MATCH(CONCATENATE(_SCHEDULE_[[#This Row],[CONTEST_CODE]],"_",$V$2),_group_[ИД2],0),MATCH($V$1,_group_[#Headers],0)),"---"),".",",")</f>
        <v>---</v>
      </c>
      <c r="W200" s="41" t="str">
        <f>IFERROR(INDEX(_INDICATOR_[],MATCH(_SCHEDULE_[[#This Row],[CONTEST_CODE]],_INDICATOR_[CONTEST_CODE],0),MATCH($W$2,_INDICATOR_[#Headers],0)),"-")</f>
        <v>WAIT</v>
      </c>
      <c r="X200" s="41" t="str">
        <f>IFERROR(INDEX(_group_[],MATCH(_SCHEDULE_[[#This Row],[CONTEST_CODE]],_group_[CONTEST_CODE],0),MATCH($X$2,_group_[#Headers],0)),"-")</f>
        <v>BANK</v>
      </c>
      <c r="Y200" s="61" t="str">
        <f>IFERROR(INDEX(_DATA_[],MATCH(_SCHEDULE_[[#This Row],[CONTEST_CODE]],_DATA_[CONTEST_CODE],0),MATCH($Y$2,_DATA_[#Headers],0)),"-")</f>
        <v>Лидер по продажам RAIT-продуктов</v>
      </c>
      <c r="Z200" s="41" t="str">
        <f>IFERROR(INDEX(_reward_link_[],MATCH(_SCHEDULE_[[#This Row],[CONTEST_CODE]],_reward_link_[CONTEST_CODE],0),MATCH($Z$2,_reward_link_[#Headers],0)),"-")</f>
        <v>TB</v>
      </c>
      <c r="AA200" s="41" t="str">
        <f>IFERROR(INDEX(_report[],MATCH(_SCHEDULE_[[#This Row],[CONTEST_CODE]],_report[CONTEST_CODE],0),MATCH($AA$2,_report[#Headers],0)),"-")</f>
        <v>-</v>
      </c>
      <c r="AB200"/>
    </row>
    <row r="201" spans="1:28" hidden="1" x14ac:dyDescent="0.25">
      <c r="A201" s="14" t="s">
        <v>1830</v>
      </c>
      <c r="B201" s="14" t="s">
        <v>229</v>
      </c>
      <c r="C201" s="14" t="s">
        <v>1308</v>
      </c>
      <c r="D201" s="14" t="s">
        <v>642</v>
      </c>
      <c r="E201" s="14" t="s">
        <v>3217</v>
      </c>
      <c r="F201" s="14" t="s">
        <v>695</v>
      </c>
      <c r="G201" s="14" t="s">
        <v>1070</v>
      </c>
      <c r="H201" s="14" t="s">
        <v>194</v>
      </c>
      <c r="I201" s="14" t="s">
        <v>194</v>
      </c>
      <c r="J201" s="14" t="s">
        <v>194</v>
      </c>
      <c r="K201" s="14" t="s">
        <v>176</v>
      </c>
      <c r="L201" s="14" t="s">
        <v>1373</v>
      </c>
      <c r="M201" s="14" t="s">
        <v>3600</v>
      </c>
      <c r="N201" s="14" t="s">
        <v>2</v>
      </c>
      <c r="O201" s="14" t="s">
        <v>1831</v>
      </c>
      <c r="P201" s="14" t="s">
        <v>1064</v>
      </c>
      <c r="R201" s="38">
        <f>IFERROR(COUNTIFS(_report[TOURNAMENT_CODE],_SCHEDULE_[[#This Row],[TOURNAMENT_CODE]],_report[CONTEST_CODE],_SCHEDULE_[[#This Row],[CONTEST_CODE]]),"-")</f>
        <v>0</v>
      </c>
      <c r="S201" s="41" t="str">
        <f>SUBSTITUTE(IFERROR(INDEX(_group_[],MATCH(CONCATENATE(_SCHEDULE_[[#This Row],[CONTEST_CODE]],"_",$S$2),_group_[ИД2],0),MATCH($S$1,_group_[#Headers],0)),"---"),".",",")</f>
        <v>BANK</v>
      </c>
      <c r="T201" s="41" t="str">
        <f>SUBSTITUTE(IFERROR(INDEX(_group_[],MATCH(CONCATENATE(_SCHEDULE_[[#This Row],[CONTEST_CODE]],"_",$T$2),_group_[ИД2],0),MATCH($T$1,_group_[#Headers],0)),"---"),".",",")</f>
        <v>TB</v>
      </c>
      <c r="U201" s="41" t="str">
        <f>SUBSTITUTE(IFERROR(INDEX(_group_[],MATCH(CONCATENATE(_SCHEDULE_[[#This Row],[CONTEST_CODE]],"_",$U$2),_group_[ИД2],0),MATCH($U$1,_group_[#Headers],0)),"---"),".",",")</f>
        <v>---</v>
      </c>
      <c r="V201" s="41" t="str">
        <f>SUBSTITUTE(IFERROR(INDEX(_group_[],MATCH(CONCATENATE(_SCHEDULE_[[#This Row],[CONTEST_CODE]],"_",$V$2),_group_[ИД2],0),MATCH($V$1,_group_[#Headers],0)),"---"),".",",")</f>
        <v>---</v>
      </c>
      <c r="W201" s="41" t="str">
        <f>IFERROR(INDEX(_INDICATOR_[],MATCH(_SCHEDULE_[[#This Row],[CONTEST_CODE]],_INDICATOR_[CONTEST_CODE],0),MATCH($W$2,_INDICATOR_[#Headers],0)),"-")</f>
        <v>WAIT</v>
      </c>
      <c r="X201" s="41" t="str">
        <f>IFERROR(INDEX(_group_[],MATCH(_SCHEDULE_[[#This Row],[CONTEST_CODE]],_group_[CONTEST_CODE],0),MATCH($X$2,_group_[#Headers],0)),"-")</f>
        <v>BANK</v>
      </c>
      <c r="Y201" s="61" t="str">
        <f>IFERROR(INDEX(_DATA_[],MATCH(_SCHEDULE_[[#This Row],[CONTEST_CODE]],_DATA_[CONTEST_CODE],0),MATCH($Y$2,_DATA_[#Headers],0)),"-")</f>
        <v>Лидер по продажам продуктов AI-native</v>
      </c>
      <c r="Z201" s="41" t="str">
        <f>IFERROR(INDEX(_reward_link_[],MATCH(_SCHEDULE_[[#This Row],[CONTEST_CODE]],_reward_link_[CONTEST_CODE],0),MATCH($Z$2,_reward_link_[#Headers],0)),"-")</f>
        <v>TB</v>
      </c>
      <c r="AA201" s="41" t="str">
        <f>IFERROR(INDEX(_report[],MATCH(_SCHEDULE_[[#This Row],[CONTEST_CODE]],_report[CONTEST_CODE],0),MATCH($AA$2,_report[#Headers],0)),"-")</f>
        <v>-</v>
      </c>
      <c r="AB201"/>
    </row>
    <row r="202" spans="1:28" hidden="1" x14ac:dyDescent="0.25">
      <c r="A202" s="14" t="s">
        <v>1832</v>
      </c>
      <c r="B202" s="14" t="s">
        <v>229</v>
      </c>
      <c r="C202" s="14" t="s">
        <v>1308</v>
      </c>
      <c r="D202" s="14" t="s">
        <v>642</v>
      </c>
      <c r="E202" s="14" t="s">
        <v>3217</v>
      </c>
      <c r="F202" s="14" t="s">
        <v>695</v>
      </c>
      <c r="G202" s="14" t="s">
        <v>1070</v>
      </c>
      <c r="H202" s="14" t="s">
        <v>194</v>
      </c>
      <c r="I202" s="14" t="s">
        <v>194</v>
      </c>
      <c r="J202" s="14" t="s">
        <v>194</v>
      </c>
      <c r="K202" s="14" t="s">
        <v>176</v>
      </c>
      <c r="L202" s="14" t="s">
        <v>1380</v>
      </c>
      <c r="M202" s="14" t="s">
        <v>3600</v>
      </c>
      <c r="N202" s="14" t="s">
        <v>2</v>
      </c>
      <c r="O202" s="14" t="s">
        <v>1833</v>
      </c>
      <c r="P202" s="14" t="s">
        <v>1064</v>
      </c>
      <c r="R202" s="38">
        <f>IFERROR(COUNTIFS(_report[TOURNAMENT_CODE],_SCHEDULE_[[#This Row],[TOURNAMENT_CODE]],_report[CONTEST_CODE],_SCHEDULE_[[#This Row],[CONTEST_CODE]]),"-")</f>
        <v>0</v>
      </c>
      <c r="S202" s="41" t="str">
        <f>SUBSTITUTE(IFERROR(INDEX(_group_[],MATCH(CONCATENATE(_SCHEDULE_[[#This Row],[CONTEST_CODE]],"_",$S$2),_group_[ИД2],0),MATCH($S$1,_group_[#Headers],0)),"---"),".",",")</f>
        <v>BANK</v>
      </c>
      <c r="T202" s="41" t="str">
        <f>SUBSTITUTE(IFERROR(INDEX(_group_[],MATCH(CONCATENATE(_SCHEDULE_[[#This Row],[CONTEST_CODE]],"_",$T$2),_group_[ИД2],0),MATCH($T$1,_group_[#Headers],0)),"---"),".",",")</f>
        <v>TB</v>
      </c>
      <c r="U202" s="41" t="str">
        <f>SUBSTITUTE(IFERROR(INDEX(_group_[],MATCH(CONCATENATE(_SCHEDULE_[[#This Row],[CONTEST_CODE]],"_",$U$2),_group_[ИД2],0),MATCH($U$1,_group_[#Headers],0)),"---"),".",",")</f>
        <v>---</v>
      </c>
      <c r="V202" s="41" t="str">
        <f>SUBSTITUTE(IFERROR(INDEX(_group_[],MATCH(CONCATENATE(_SCHEDULE_[[#This Row],[CONTEST_CODE]],"_",$V$2),_group_[ИД2],0),MATCH($V$1,_group_[#Headers],0)),"---"),".",",")</f>
        <v>---</v>
      </c>
      <c r="W202" s="41" t="str">
        <f>IFERROR(INDEX(_INDICATOR_[],MATCH(_SCHEDULE_[[#This Row],[CONTEST_CODE]],_INDICATOR_[CONTEST_CODE],0),MATCH($W$2,_INDICATOR_[#Headers],0)),"-")</f>
        <v>WAIT</v>
      </c>
      <c r="X202" s="41" t="str">
        <f>IFERROR(INDEX(_group_[],MATCH(_SCHEDULE_[[#This Row],[CONTEST_CODE]],_group_[CONTEST_CODE],0),MATCH($X$2,_group_[#Headers],0)),"-")</f>
        <v>BANK</v>
      </c>
      <c r="Y202" s="61" t="str">
        <f>IFERROR(INDEX(_DATA_[],MATCH(_SCHEDULE_[[#This Row],[CONTEST_CODE]],_DATA_[CONTEST_CODE],0),MATCH($Y$2,_DATA_[#Headers],0)),"-")</f>
        <v>Лидер по продажам продуктов AI-featured</v>
      </c>
      <c r="Z202" s="41" t="str">
        <f>IFERROR(INDEX(_reward_link_[],MATCH(_SCHEDULE_[[#This Row],[CONTEST_CODE]],_reward_link_[CONTEST_CODE],0),MATCH($Z$2,_reward_link_[#Headers],0)),"-")</f>
        <v>TB</v>
      </c>
      <c r="AA202" s="41" t="str">
        <f>IFERROR(INDEX(_report[],MATCH(_SCHEDULE_[[#This Row],[CONTEST_CODE]],_report[CONTEST_CODE],0),MATCH($AA$2,_report[#Headers],0)),"-")</f>
        <v>-</v>
      </c>
      <c r="AB202"/>
    </row>
    <row r="203" spans="1:28" hidden="1" x14ac:dyDescent="0.25">
      <c r="A203" s="14" t="s">
        <v>1822</v>
      </c>
      <c r="B203" s="14" t="s">
        <v>662</v>
      </c>
      <c r="C203" s="14" t="s">
        <v>1308</v>
      </c>
      <c r="D203" s="14" t="s">
        <v>1800</v>
      </c>
      <c r="E203" s="14" t="s">
        <v>194</v>
      </c>
      <c r="F203" s="14" t="s">
        <v>194</v>
      </c>
      <c r="G203" s="14" t="s">
        <v>194</v>
      </c>
      <c r="H203" s="14" t="s">
        <v>194</v>
      </c>
      <c r="I203" s="14" t="s">
        <v>194</v>
      </c>
      <c r="J203" s="14" t="s">
        <v>194</v>
      </c>
      <c r="K203" s="14" t="s">
        <v>184</v>
      </c>
      <c r="L203" s="14" t="s">
        <v>1675</v>
      </c>
      <c r="M203" s="14" t="s">
        <v>3600</v>
      </c>
      <c r="N203" s="14" t="s">
        <v>2</v>
      </c>
      <c r="O203" s="14" t="s">
        <v>1823</v>
      </c>
      <c r="P203" s="14" t="s">
        <v>1064</v>
      </c>
      <c r="R203" s="38">
        <f>IFERROR(COUNTIFS(_report[TOURNAMENT_CODE],_SCHEDULE_[[#This Row],[TOURNAMENT_CODE]],_report[CONTEST_CODE],_SCHEDULE_[[#This Row],[CONTEST_CODE]]),"-")</f>
        <v>0</v>
      </c>
      <c r="S203" s="41" t="str">
        <f>SUBSTITUTE(IFERROR(INDEX(_group_[],MATCH(CONCATENATE(_SCHEDULE_[[#This Row],[CONTEST_CODE]],"_",$S$2),_group_[ИД2],0),MATCH($S$1,_group_[#Headers],0)),"---"),".",",")</f>
        <v>BANK</v>
      </c>
      <c r="T203" s="41" t="str">
        <f>SUBSTITUTE(IFERROR(INDEX(_group_[],MATCH(CONCATENATE(_SCHEDULE_[[#This Row],[CONTEST_CODE]],"_",$T$2),_group_[ИД2],0),MATCH($T$1,_group_[#Headers],0)),"---"),".",",")</f>
        <v>---</v>
      </c>
      <c r="U203" s="41" t="str">
        <f>SUBSTITUTE(IFERROR(INDEX(_group_[],MATCH(CONCATENATE(_SCHEDULE_[[#This Row],[CONTEST_CODE]],"_",$U$2),_group_[ИД2],0),MATCH($U$1,_group_[#Headers],0)),"---"),".",",")</f>
        <v>---</v>
      </c>
      <c r="V203" s="41" t="str">
        <f>SUBSTITUTE(IFERROR(INDEX(_group_[],MATCH(CONCATENATE(_SCHEDULE_[[#This Row],[CONTEST_CODE]],"_",$V$2),_group_[ИД2],0),MATCH($V$1,_group_[#Headers],0)),"---"),".",",")</f>
        <v>---</v>
      </c>
      <c r="W203" s="41" t="str">
        <f>IFERROR(INDEX(_INDICATOR_[],MATCH(_SCHEDULE_[[#This Row],[CONTEST_CODE]],_INDICATOR_[CONTEST_CODE],0),MATCH($W$2,_INDICATOR_[#Headers],0)),"-")</f>
        <v>WAIT</v>
      </c>
      <c r="X203" s="41" t="str">
        <f>IFERROR(INDEX(_group_[],MATCH(_SCHEDULE_[[#This Row],[CONTEST_CODE]],_group_[CONTEST_CODE],0),MATCH($X$2,_group_[#Headers],0)),"-")</f>
        <v>BANK</v>
      </c>
      <c r="Y203" s="61" t="str">
        <f>IFERROR(INDEX(_DATA_[],MATCH(_SCHEDULE_[[#This Row],[CONTEST_CODE]],_DATA_[CONTEST_CODE],0),MATCH($Y$2,_DATA_[#Headers],0)),"-")</f>
        <v>Финалист конкурса лучший по профессии</v>
      </c>
      <c r="Z203" s="41" t="str">
        <f>IFERROR(INDEX(_reward_link_[],MATCH(_SCHEDULE_[[#This Row],[CONTEST_CODE]],_reward_link_[CONTEST_CODE],0),MATCH($Z$2,_reward_link_[#Headers],0)),"-")</f>
        <v>BANK</v>
      </c>
      <c r="AA203" s="41" t="str">
        <f>IFERROR(INDEX(_report[],MATCH(_SCHEDULE_[[#This Row],[CONTEST_CODE]],_report[CONTEST_CODE],0),MATCH($AA$2,_report[#Headers],0)),"-")</f>
        <v>-</v>
      </c>
      <c r="AB203"/>
    </row>
    <row r="204" spans="1:28" hidden="1" x14ac:dyDescent="0.25">
      <c r="A204" s="14" t="s">
        <v>707</v>
      </c>
      <c r="B204" s="14" t="s">
        <v>229</v>
      </c>
      <c r="C204" s="14" t="s">
        <v>192</v>
      </c>
      <c r="D204" s="14" t="s">
        <v>252</v>
      </c>
      <c r="E204" s="14" t="s">
        <v>3217</v>
      </c>
      <c r="F204" s="14" t="s">
        <v>182</v>
      </c>
      <c r="G204" s="14" t="s">
        <v>188</v>
      </c>
      <c r="H204" s="14" t="s">
        <v>194</v>
      </c>
      <c r="I204" s="14" t="s">
        <v>194</v>
      </c>
      <c r="J204" s="14" t="s">
        <v>194</v>
      </c>
      <c r="K204" s="14" t="s">
        <v>176</v>
      </c>
      <c r="L204" s="14" t="s">
        <v>74</v>
      </c>
      <c r="M204" s="14" t="s">
        <v>3600</v>
      </c>
      <c r="N204" s="14" t="s">
        <v>2</v>
      </c>
      <c r="O204" s="14" t="s">
        <v>1618</v>
      </c>
      <c r="P204" s="14" t="s">
        <v>1064</v>
      </c>
      <c r="R204" s="38">
        <f>IFERROR(COUNTIFS(_report[TOURNAMENT_CODE],_SCHEDULE_[[#This Row],[TOURNAMENT_CODE]],_report[CONTEST_CODE],_SCHEDULE_[[#This Row],[CONTEST_CODE]]),"-")</f>
        <v>0</v>
      </c>
      <c r="S204" s="41" t="str">
        <f>SUBSTITUTE(IFERROR(INDEX(_group_[],MATCH(CONCATENATE(_SCHEDULE_[[#This Row],[CONTEST_CODE]],"_",$S$2),_group_[ИД2],0),MATCH($S$1,_group_[#Headers],0)),"---"),".",",")</f>
        <v>BANK</v>
      </c>
      <c r="T204" s="41" t="str">
        <f>SUBSTITUTE(IFERROR(INDEX(_group_[],MATCH(CONCATENATE(_SCHEDULE_[[#This Row],[CONTEST_CODE]],"_",$T$2),_group_[ИД2],0),MATCH($T$1,_group_[#Headers],0)),"---"),".",",")</f>
        <v>TB</v>
      </c>
      <c r="U204" s="41" t="str">
        <f>SUBSTITUTE(IFERROR(INDEX(_group_[],MATCH(CONCATENATE(_SCHEDULE_[[#This Row],[CONTEST_CODE]],"_",$U$2),_group_[ИД2],0),MATCH($U$1,_group_[#Headers],0)),"---"),".",",")</f>
        <v>---</v>
      </c>
      <c r="V204" s="41" t="str">
        <f>SUBSTITUTE(IFERROR(INDEX(_group_[],MATCH(CONCATENATE(_SCHEDULE_[[#This Row],[CONTEST_CODE]],"_",$V$2),_group_[ИД2],0),MATCH($V$1,_group_[#Headers],0)),"---"),".",",")</f>
        <v>---</v>
      </c>
      <c r="W204" s="41" t="str">
        <f>IFERROR(INDEX(_INDICATOR_[],MATCH(_SCHEDULE_[[#This Row],[CONTEST_CODE]],_INDICATOR_[CONTEST_CODE],0),MATCH($W$2,_INDICATOR_[#Headers],0)),"-")</f>
        <v>WAIT</v>
      </c>
      <c r="X204" s="41" t="str">
        <f>IFERROR(INDEX(_group_[],MATCH(_SCHEDULE_[[#This Row],[CONTEST_CODE]],_group_[CONTEST_CODE],0),MATCH($X$2,_group_[#Headers],0)),"-")</f>
        <v>BANK</v>
      </c>
      <c r="Y204" s="61" t="str">
        <f>IFERROR(INDEX(_DATA_[],MATCH(_SCHEDULE_[[#This Row],[CONTEST_CODE]],_DATA_[CONTEST_CODE],0),MATCH($Y$2,_DATA_[#Headers],0)),"-")</f>
        <v>Максимальный полученный доход от продажи продуктов СберЗдоровье</v>
      </c>
      <c r="Z204" s="41" t="str">
        <f>IFERROR(INDEX(_reward_link_[],MATCH(_SCHEDULE_[[#This Row],[CONTEST_CODE]],_reward_link_[CONTEST_CODE],0),MATCH($Z$2,_reward_link_[#Headers],0)),"-")</f>
        <v>TB</v>
      </c>
      <c r="AA204" s="41" t="str">
        <f>IFERROR(INDEX(_report[],MATCH(_SCHEDULE_[[#This Row],[CONTEST_CODE]],_report[CONTEST_CODE],0),MATCH($AA$2,_report[#Headers],0)),"-")</f>
        <v>-</v>
      </c>
      <c r="AB204"/>
    </row>
    <row r="205" spans="1:28" hidden="1" x14ac:dyDescent="0.25">
      <c r="A205" s="14" t="s">
        <v>1161</v>
      </c>
      <c r="B205" s="14" t="s">
        <v>229</v>
      </c>
      <c r="C205" s="14" t="s">
        <v>703</v>
      </c>
      <c r="D205" s="14" t="s">
        <v>1070</v>
      </c>
      <c r="E205" s="14" t="s">
        <v>3217</v>
      </c>
      <c r="F205" s="14" t="s">
        <v>192</v>
      </c>
      <c r="G205" s="14" t="s">
        <v>252</v>
      </c>
      <c r="H205" s="14" t="s">
        <v>194</v>
      </c>
      <c r="I205" s="14" t="s">
        <v>194</v>
      </c>
      <c r="J205" s="14" t="s">
        <v>194</v>
      </c>
      <c r="K205" s="14" t="s">
        <v>176</v>
      </c>
      <c r="L205" s="14" t="s">
        <v>74</v>
      </c>
      <c r="M205" s="14" t="s">
        <v>3600</v>
      </c>
      <c r="N205" s="14" t="s">
        <v>2</v>
      </c>
      <c r="O205" s="14" t="s">
        <v>1619</v>
      </c>
      <c r="P205" s="14" t="s">
        <v>1064</v>
      </c>
      <c r="R205" s="38">
        <f>IFERROR(COUNTIFS(_report[TOURNAMENT_CODE],_SCHEDULE_[[#This Row],[TOURNAMENT_CODE]],_report[CONTEST_CODE],_SCHEDULE_[[#This Row],[CONTEST_CODE]]),"-")</f>
        <v>0</v>
      </c>
      <c r="S205" s="41" t="str">
        <f>SUBSTITUTE(IFERROR(INDEX(_group_[],MATCH(CONCATENATE(_SCHEDULE_[[#This Row],[CONTEST_CODE]],"_",$S$2),_group_[ИД2],0),MATCH($S$1,_group_[#Headers],0)),"---"),".",",")</f>
        <v>BANK</v>
      </c>
      <c r="T205" s="41" t="str">
        <f>SUBSTITUTE(IFERROR(INDEX(_group_[],MATCH(CONCATENATE(_SCHEDULE_[[#This Row],[CONTEST_CODE]],"_",$T$2),_group_[ИД2],0),MATCH($T$1,_group_[#Headers],0)),"---"),".",",")</f>
        <v>TB</v>
      </c>
      <c r="U205" s="41" t="str">
        <f>SUBSTITUTE(IFERROR(INDEX(_group_[],MATCH(CONCATENATE(_SCHEDULE_[[#This Row],[CONTEST_CODE]],"_",$U$2),_group_[ИД2],0),MATCH($U$1,_group_[#Headers],0)),"---"),".",",")</f>
        <v>---</v>
      </c>
      <c r="V205" s="41" t="str">
        <f>SUBSTITUTE(IFERROR(INDEX(_group_[],MATCH(CONCATENATE(_SCHEDULE_[[#This Row],[CONTEST_CODE]],"_",$V$2),_group_[ИД2],0),MATCH($V$1,_group_[#Headers],0)),"---"),".",",")</f>
        <v>---</v>
      </c>
      <c r="W205" s="41" t="str">
        <f>IFERROR(INDEX(_INDICATOR_[],MATCH(_SCHEDULE_[[#This Row],[CONTEST_CODE]],_INDICATOR_[CONTEST_CODE],0),MATCH($W$2,_INDICATOR_[#Headers],0)),"-")</f>
        <v>WAIT</v>
      </c>
      <c r="X205" s="41" t="str">
        <f>IFERROR(INDEX(_group_[],MATCH(_SCHEDULE_[[#This Row],[CONTEST_CODE]],_group_[CONTEST_CODE],0),MATCH($X$2,_group_[#Headers],0)),"-")</f>
        <v>BANK</v>
      </c>
      <c r="Y205" s="61" t="str">
        <f>IFERROR(INDEX(_DATA_[],MATCH(_SCHEDULE_[[#This Row],[CONTEST_CODE]],_DATA_[CONTEST_CODE],0),MATCH($Y$2,_DATA_[#Headers],0)),"-")</f>
        <v>Максимальный полученный доход от продажи продуктов СберЗдоровье</v>
      </c>
      <c r="Z205" s="41" t="str">
        <f>IFERROR(INDEX(_reward_link_[],MATCH(_SCHEDULE_[[#This Row],[CONTEST_CODE]],_reward_link_[CONTEST_CODE],0),MATCH($Z$2,_reward_link_[#Headers],0)),"-")</f>
        <v>TB</v>
      </c>
      <c r="AA205" s="41" t="str">
        <f>IFERROR(INDEX(_report[],MATCH(_SCHEDULE_[[#This Row],[CONTEST_CODE]],_report[CONTEST_CODE],0),MATCH($AA$2,_report[#Headers],0)),"-")</f>
        <v>-</v>
      </c>
      <c r="AB205"/>
    </row>
    <row r="206" spans="1:28" hidden="1" x14ac:dyDescent="0.25">
      <c r="A206" s="14" t="s">
        <v>1787</v>
      </c>
      <c r="B206" s="14" t="s">
        <v>229</v>
      </c>
      <c r="C206" s="14" t="s">
        <v>1308</v>
      </c>
      <c r="D206" s="14" t="s">
        <v>642</v>
      </c>
      <c r="E206" s="14" t="s">
        <v>3217</v>
      </c>
      <c r="F206" s="14" t="s">
        <v>703</v>
      </c>
      <c r="G206" s="14" t="s">
        <v>1070</v>
      </c>
      <c r="H206" s="14" t="s">
        <v>194</v>
      </c>
      <c r="I206" s="14" t="s">
        <v>194</v>
      </c>
      <c r="J206" s="14" t="s">
        <v>194</v>
      </c>
      <c r="K206" s="14" t="s">
        <v>176</v>
      </c>
      <c r="L206" s="14" t="s">
        <v>74</v>
      </c>
      <c r="M206" s="14" t="s">
        <v>3600</v>
      </c>
      <c r="N206" s="14" t="s">
        <v>2</v>
      </c>
      <c r="O206" s="14" t="s">
        <v>1788</v>
      </c>
      <c r="P206" s="14" t="s">
        <v>1064</v>
      </c>
      <c r="R206" s="38">
        <f>IFERROR(COUNTIFS(_report[TOURNAMENT_CODE],_SCHEDULE_[[#This Row],[TOURNAMENT_CODE]],_report[CONTEST_CODE],_SCHEDULE_[[#This Row],[CONTEST_CODE]]),"-")</f>
        <v>0</v>
      </c>
      <c r="S206" s="41" t="str">
        <f>SUBSTITUTE(IFERROR(INDEX(_group_[],MATCH(CONCATENATE(_SCHEDULE_[[#This Row],[CONTEST_CODE]],"_",$S$2),_group_[ИД2],0),MATCH($S$1,_group_[#Headers],0)),"---"),".",",")</f>
        <v>BANK</v>
      </c>
      <c r="T206" s="41" t="str">
        <f>SUBSTITUTE(IFERROR(INDEX(_group_[],MATCH(CONCATENATE(_SCHEDULE_[[#This Row],[CONTEST_CODE]],"_",$T$2),_group_[ИД2],0),MATCH($T$1,_group_[#Headers],0)),"---"),".",",")</f>
        <v>TB</v>
      </c>
      <c r="U206" s="41" t="str">
        <f>SUBSTITUTE(IFERROR(INDEX(_group_[],MATCH(CONCATENATE(_SCHEDULE_[[#This Row],[CONTEST_CODE]],"_",$U$2),_group_[ИД2],0),MATCH($U$1,_group_[#Headers],0)),"---"),".",",")</f>
        <v>---</v>
      </c>
      <c r="V206" s="41" t="str">
        <f>SUBSTITUTE(IFERROR(INDEX(_group_[],MATCH(CONCATENATE(_SCHEDULE_[[#This Row],[CONTEST_CODE]],"_",$V$2),_group_[ИД2],0),MATCH($V$1,_group_[#Headers],0)),"---"),".",",")</f>
        <v>---</v>
      </c>
      <c r="W206" s="41" t="str">
        <f>IFERROR(INDEX(_INDICATOR_[],MATCH(_SCHEDULE_[[#This Row],[CONTEST_CODE]],_INDICATOR_[CONTEST_CODE],0),MATCH($W$2,_INDICATOR_[#Headers],0)),"-")</f>
        <v>WAIT</v>
      </c>
      <c r="X206" s="41" t="str">
        <f>IFERROR(INDEX(_group_[],MATCH(_SCHEDULE_[[#This Row],[CONTEST_CODE]],_group_[CONTEST_CODE],0),MATCH($X$2,_group_[#Headers],0)),"-")</f>
        <v>BANK</v>
      </c>
      <c r="Y206" s="61" t="str">
        <f>IFERROR(INDEX(_DATA_[],MATCH(_SCHEDULE_[[#This Row],[CONTEST_CODE]],_DATA_[CONTEST_CODE],0),MATCH($Y$2,_DATA_[#Headers],0)),"-")</f>
        <v>Максимальный полученный доход от продажи продуктов СберЗдоровье</v>
      </c>
      <c r="Z206" s="41" t="str">
        <f>IFERROR(INDEX(_reward_link_[],MATCH(_SCHEDULE_[[#This Row],[CONTEST_CODE]],_reward_link_[CONTEST_CODE],0),MATCH($Z$2,_reward_link_[#Headers],0)),"-")</f>
        <v>TB</v>
      </c>
      <c r="AA206" s="41" t="str">
        <f>IFERROR(INDEX(_report[],MATCH(_SCHEDULE_[[#This Row],[CONTEST_CODE]],_report[CONTEST_CODE],0),MATCH($AA$2,_report[#Headers],0)),"-")</f>
        <v>-</v>
      </c>
      <c r="AB206"/>
    </row>
    <row r="207" spans="1:28" x14ac:dyDescent="0.25">
      <c r="A207" s="14" t="s">
        <v>1079</v>
      </c>
      <c r="B207" s="14" t="s">
        <v>229</v>
      </c>
      <c r="C207" s="14" t="s">
        <v>192</v>
      </c>
      <c r="D207" s="14" t="s">
        <v>27</v>
      </c>
      <c r="E207" s="14" t="s">
        <v>194</v>
      </c>
      <c r="F207" s="14" t="s">
        <v>194</v>
      </c>
      <c r="G207" s="14" t="s">
        <v>194</v>
      </c>
      <c r="H207" s="14" t="s">
        <v>194</v>
      </c>
      <c r="I207" s="14" t="s">
        <v>194</v>
      </c>
      <c r="J207" s="14" t="s">
        <v>194</v>
      </c>
      <c r="K207" s="14" t="s">
        <v>34</v>
      </c>
      <c r="L207" s="14" t="s">
        <v>1054</v>
      </c>
      <c r="M207" s="14" t="s">
        <v>3602</v>
      </c>
      <c r="N207" s="14" t="s">
        <v>2</v>
      </c>
      <c r="O207" s="14" t="s">
        <v>1620</v>
      </c>
      <c r="P207" s="14" t="s">
        <v>1064</v>
      </c>
      <c r="R207" s="38">
        <f>IFERROR(COUNTIFS(_report[TOURNAMENT_CODE],_SCHEDULE_[[#This Row],[TOURNAMENT_CODE]],_report[CONTEST_CODE],_SCHEDULE_[[#This Row],[CONTEST_CODE]]),"-")</f>
        <v>0</v>
      </c>
      <c r="S207" s="41" t="str">
        <f>SUBSTITUTE(IFERROR(INDEX(_group_[],MATCH(CONCATENATE(_SCHEDULE_[[#This Row],[CONTEST_CODE]],"_",$S$2),_group_[ИД2],0),MATCH($S$1,_group_[#Headers],0)),"---"),".",",")</f>
        <v>BANK</v>
      </c>
      <c r="T207" s="41" t="str">
        <f>SUBSTITUTE(IFERROR(INDEX(_group_[],MATCH(CONCATENATE(_SCHEDULE_[[#This Row],[CONTEST_CODE]],"_",$T$2),_group_[ИД2],0),MATCH($T$1,_group_[#Headers],0)),"---"),".",",")</f>
        <v>---</v>
      </c>
      <c r="U207" s="41" t="str">
        <f>SUBSTITUTE(IFERROR(INDEX(_group_[],MATCH(CONCATENATE(_SCHEDULE_[[#This Row],[CONTEST_CODE]],"_",$U$2),_group_[ИД2],0),MATCH($U$1,_group_[#Headers],0)),"---"),".",",")</f>
        <v>---</v>
      </c>
      <c r="V207" s="41" t="str">
        <f>SUBSTITUTE(IFERROR(INDEX(_group_[],MATCH(CONCATENATE(_SCHEDULE_[[#This Row],[CONTEST_CODE]],"_",$V$2),_group_[ИД2],0),MATCH($V$1,_group_[#Headers],0)),"---"),".",",")</f>
        <v>---</v>
      </c>
      <c r="W207" s="41" t="str">
        <f>IFERROR(INDEX(_INDICATOR_[],MATCH(_SCHEDULE_[[#This Row],[CONTEST_CODE]],_INDICATOR_[CONTEST_CODE],0),MATCH($W$2,_INDICATOR_[#Headers],0)),"-")</f>
        <v>WAIT</v>
      </c>
      <c r="X207" s="41" t="str">
        <f>IFERROR(INDEX(_group_[],MATCH(_SCHEDULE_[[#This Row],[CONTEST_CODE]],_group_[CONTEST_CODE],0),MATCH($X$2,_group_[#Headers],0)),"-")</f>
        <v>BANK</v>
      </c>
      <c r="Y207" s="61" t="str">
        <f>IFERROR(INDEX(_DATA_[],MATCH(_SCHEDULE_[[#This Row],[CONTEST_CODE]],_DATA_[CONTEST_CODE],0),MATCH($Y$2,_DATA_[#Headers],0)),"-")</f>
        <v>1 инициатива</v>
      </c>
      <c r="Z207" s="41" t="str">
        <f>IFERROR(INDEX(_reward_link_[],MATCH(_SCHEDULE_[[#This Row],[CONTEST_CODE]],_reward_link_[CONTEST_CODE],0),MATCH($Z$2,_reward_link_[#Headers],0)),"-")</f>
        <v>BANK</v>
      </c>
      <c r="AA207" s="41" t="str">
        <f>IFERROR(INDEX(_report[],MATCH(_SCHEDULE_[[#This Row],[CONTEST_CODE]],_report[CONTEST_CODE],0),MATCH($AA$2,_report[#Headers],0)),"-")</f>
        <v>-</v>
      </c>
      <c r="AB207"/>
    </row>
    <row r="208" spans="1:28" x14ac:dyDescent="0.25">
      <c r="A208" s="14" t="s">
        <v>1080</v>
      </c>
      <c r="B208" s="14" t="s">
        <v>229</v>
      </c>
      <c r="C208" s="14" t="s">
        <v>192</v>
      </c>
      <c r="D208" s="14" t="s">
        <v>27</v>
      </c>
      <c r="E208" s="14" t="s">
        <v>194</v>
      </c>
      <c r="F208" s="14" t="s">
        <v>194</v>
      </c>
      <c r="G208" s="14" t="s">
        <v>194</v>
      </c>
      <c r="H208" s="14" t="s">
        <v>194</v>
      </c>
      <c r="I208" s="14" t="s">
        <v>194</v>
      </c>
      <c r="J208" s="14" t="s">
        <v>194</v>
      </c>
      <c r="K208" s="14" t="s">
        <v>34</v>
      </c>
      <c r="L208" s="14" t="s">
        <v>1056</v>
      </c>
      <c r="M208" s="14" t="s">
        <v>3602</v>
      </c>
      <c r="N208" s="14" t="s">
        <v>2</v>
      </c>
      <c r="O208" s="14" t="s">
        <v>1621</v>
      </c>
      <c r="P208" s="14" t="s">
        <v>1064</v>
      </c>
      <c r="R208" s="38">
        <f>IFERROR(COUNTIFS(_report[TOURNAMENT_CODE],_SCHEDULE_[[#This Row],[TOURNAMENT_CODE]],_report[CONTEST_CODE],_SCHEDULE_[[#This Row],[CONTEST_CODE]]),"-")</f>
        <v>0</v>
      </c>
      <c r="S208" s="41" t="str">
        <f>SUBSTITUTE(IFERROR(INDEX(_group_[],MATCH(CONCATENATE(_SCHEDULE_[[#This Row],[CONTEST_CODE]],"_",$S$2),_group_[ИД2],0),MATCH($S$1,_group_[#Headers],0)),"---"),".",",")</f>
        <v>BANK</v>
      </c>
      <c r="T208" s="41" t="str">
        <f>SUBSTITUTE(IFERROR(INDEX(_group_[],MATCH(CONCATENATE(_SCHEDULE_[[#This Row],[CONTEST_CODE]],"_",$T$2),_group_[ИД2],0),MATCH($T$1,_group_[#Headers],0)),"---"),".",",")</f>
        <v>---</v>
      </c>
      <c r="U208" s="41" t="str">
        <f>SUBSTITUTE(IFERROR(INDEX(_group_[],MATCH(CONCATENATE(_SCHEDULE_[[#This Row],[CONTEST_CODE]],"_",$U$2),_group_[ИД2],0),MATCH($U$1,_group_[#Headers],0)),"---"),".",",")</f>
        <v>---</v>
      </c>
      <c r="V208" s="41" t="str">
        <f>SUBSTITUTE(IFERROR(INDEX(_group_[],MATCH(CONCATENATE(_SCHEDULE_[[#This Row],[CONTEST_CODE]],"_",$V$2),_group_[ИД2],0),MATCH($V$1,_group_[#Headers],0)),"---"),".",",")</f>
        <v>---</v>
      </c>
      <c r="W208" s="41" t="str">
        <f>IFERROR(INDEX(_INDICATOR_[],MATCH(_SCHEDULE_[[#This Row],[CONTEST_CODE]],_INDICATOR_[CONTEST_CODE],0),MATCH($W$2,_INDICATOR_[#Headers],0)),"-")</f>
        <v>WAIT</v>
      </c>
      <c r="X208" s="41" t="str">
        <f>IFERROR(INDEX(_group_[],MATCH(_SCHEDULE_[[#This Row],[CONTEST_CODE]],_group_[CONTEST_CODE],0),MATCH($X$2,_group_[#Headers],0)),"-")</f>
        <v>BANK</v>
      </c>
      <c r="Y208" s="61" t="str">
        <f>IFERROR(INDEX(_DATA_[],MATCH(_SCHEDULE_[[#This Row],[CONTEST_CODE]],_DATA_[CONTEST_CODE],0),MATCH($Y$2,_DATA_[#Headers],0)),"-")</f>
        <v>3 инициативы</v>
      </c>
      <c r="Z208" s="41" t="str">
        <f>IFERROR(INDEX(_reward_link_[],MATCH(_SCHEDULE_[[#This Row],[CONTEST_CODE]],_reward_link_[CONTEST_CODE],0),MATCH($Z$2,_reward_link_[#Headers],0)),"-")</f>
        <v>BANK</v>
      </c>
      <c r="AA208" s="41" t="str">
        <f>IFERROR(INDEX(_report[],MATCH(_SCHEDULE_[[#This Row],[CONTEST_CODE]],_report[CONTEST_CODE],0),MATCH($AA$2,_report[#Headers],0)),"-")</f>
        <v>-</v>
      </c>
      <c r="AB208"/>
    </row>
    <row r="209" spans="1:28" x14ac:dyDescent="0.25">
      <c r="A209" s="14" t="s">
        <v>1081</v>
      </c>
      <c r="B209" s="14" t="s">
        <v>229</v>
      </c>
      <c r="C209" s="14" t="s">
        <v>192</v>
      </c>
      <c r="D209" s="14" t="s">
        <v>27</v>
      </c>
      <c r="E209" s="14" t="s">
        <v>194</v>
      </c>
      <c r="F209" s="14" t="s">
        <v>194</v>
      </c>
      <c r="G209" s="14" t="s">
        <v>194</v>
      </c>
      <c r="H209" s="14" t="s">
        <v>194</v>
      </c>
      <c r="I209" s="14" t="s">
        <v>194</v>
      </c>
      <c r="J209" s="14" t="s">
        <v>194</v>
      </c>
      <c r="K209" s="14" t="s">
        <v>34</v>
      </c>
      <c r="L209" s="14" t="s">
        <v>1057</v>
      </c>
      <c r="M209" s="14" t="s">
        <v>3602</v>
      </c>
      <c r="N209" s="14" t="s">
        <v>2</v>
      </c>
      <c r="O209" s="14" t="s">
        <v>1622</v>
      </c>
      <c r="P209" s="14" t="s">
        <v>1064</v>
      </c>
      <c r="R209" s="38">
        <f>IFERROR(COUNTIFS(_report[TOURNAMENT_CODE],_SCHEDULE_[[#This Row],[TOURNAMENT_CODE]],_report[CONTEST_CODE],_SCHEDULE_[[#This Row],[CONTEST_CODE]]),"-")</f>
        <v>0</v>
      </c>
      <c r="S209" s="41" t="str">
        <f>SUBSTITUTE(IFERROR(INDEX(_group_[],MATCH(CONCATENATE(_SCHEDULE_[[#This Row],[CONTEST_CODE]],"_",$S$2),_group_[ИД2],0),MATCH($S$1,_group_[#Headers],0)),"---"),".",",")</f>
        <v>BANK</v>
      </c>
      <c r="T209" s="41" t="str">
        <f>SUBSTITUTE(IFERROR(INDEX(_group_[],MATCH(CONCATENATE(_SCHEDULE_[[#This Row],[CONTEST_CODE]],"_",$T$2),_group_[ИД2],0),MATCH($T$1,_group_[#Headers],0)),"---"),".",",")</f>
        <v>---</v>
      </c>
      <c r="U209" s="41" t="str">
        <f>SUBSTITUTE(IFERROR(INDEX(_group_[],MATCH(CONCATENATE(_SCHEDULE_[[#This Row],[CONTEST_CODE]],"_",$U$2),_group_[ИД2],0),MATCH($U$1,_group_[#Headers],0)),"---"),".",",")</f>
        <v>---</v>
      </c>
      <c r="V209" s="41" t="str">
        <f>SUBSTITUTE(IFERROR(INDEX(_group_[],MATCH(CONCATENATE(_SCHEDULE_[[#This Row],[CONTEST_CODE]],"_",$V$2),_group_[ИД2],0),MATCH($V$1,_group_[#Headers],0)),"---"),".",",")</f>
        <v>---</v>
      </c>
      <c r="W209" s="41" t="str">
        <f>IFERROR(INDEX(_INDICATOR_[],MATCH(_SCHEDULE_[[#This Row],[CONTEST_CODE]],_INDICATOR_[CONTEST_CODE],0),MATCH($W$2,_INDICATOR_[#Headers],0)),"-")</f>
        <v>WAIT</v>
      </c>
      <c r="X209" s="41" t="str">
        <f>IFERROR(INDEX(_group_[],MATCH(_SCHEDULE_[[#This Row],[CONTEST_CODE]],_group_[CONTEST_CODE],0),MATCH($X$2,_group_[#Headers],0)),"-")</f>
        <v>BANK</v>
      </c>
      <c r="Y209" s="61" t="str">
        <f>IFERROR(INDEX(_DATA_[],MATCH(_SCHEDULE_[[#This Row],[CONTEST_CODE]],_DATA_[CONTEST_CODE],0),MATCH($Y$2,_DATA_[#Headers],0)),"-")</f>
        <v>5 инициатив</v>
      </c>
      <c r="Z209" s="41" t="str">
        <f>IFERROR(INDEX(_reward_link_[],MATCH(_SCHEDULE_[[#This Row],[CONTEST_CODE]],_reward_link_[CONTEST_CODE],0),MATCH($Z$2,_reward_link_[#Headers],0)),"-")</f>
        <v>BANK</v>
      </c>
      <c r="AA209" s="41" t="str">
        <f>IFERROR(INDEX(_report[],MATCH(_SCHEDULE_[[#This Row],[CONTEST_CODE]],_report[CONTEST_CODE],0),MATCH($AA$2,_report[#Headers],0)),"-")</f>
        <v>-</v>
      </c>
      <c r="AB209"/>
    </row>
    <row r="210" spans="1:28" hidden="1" x14ac:dyDescent="0.25">
      <c r="A210" s="14" t="s">
        <v>1722</v>
      </c>
      <c r="B210" s="14" t="s">
        <v>229</v>
      </c>
      <c r="C210" s="14" t="s">
        <v>1308</v>
      </c>
      <c r="D210" s="14" t="s">
        <v>642</v>
      </c>
      <c r="E210" s="14" t="s">
        <v>1987</v>
      </c>
      <c r="F210" s="14" t="s">
        <v>194</v>
      </c>
      <c r="G210" s="14" t="s">
        <v>194</v>
      </c>
      <c r="H210" s="14" t="s">
        <v>194</v>
      </c>
      <c r="I210" s="14" t="s">
        <v>194</v>
      </c>
      <c r="J210" s="14" t="s">
        <v>194</v>
      </c>
      <c r="K210" s="14" t="s">
        <v>184</v>
      </c>
      <c r="L210" s="14" t="s">
        <v>1387</v>
      </c>
      <c r="M210" s="14" t="s">
        <v>3602</v>
      </c>
      <c r="N210" s="14" t="s">
        <v>2</v>
      </c>
      <c r="O210" s="14" t="s">
        <v>1723</v>
      </c>
      <c r="P210" s="14" t="s">
        <v>1064</v>
      </c>
      <c r="R210" s="38">
        <f>IFERROR(COUNTIFS(_report[TOURNAMENT_CODE],_SCHEDULE_[[#This Row],[TOURNAMENT_CODE]],_report[CONTEST_CODE],_SCHEDULE_[[#This Row],[CONTEST_CODE]]),"-")</f>
        <v>0</v>
      </c>
      <c r="S210" s="41" t="str">
        <f>SUBSTITUTE(IFERROR(INDEX(_group_[],MATCH(CONCATENATE(_SCHEDULE_[[#This Row],[CONTEST_CODE]],"_",$S$2),_group_[ИД2],0),MATCH($S$1,_group_[#Headers],0)),"---"),".",",")</f>
        <v>BANK</v>
      </c>
      <c r="T210" s="41" t="str">
        <f>SUBSTITUTE(IFERROR(INDEX(_group_[],MATCH(CONCATENATE(_SCHEDULE_[[#This Row],[CONTEST_CODE]],"_",$T$2),_group_[ИД2],0),MATCH($T$1,_group_[#Headers],0)),"---"),".",",")</f>
        <v>---</v>
      </c>
      <c r="U210" s="41" t="str">
        <f>SUBSTITUTE(IFERROR(INDEX(_group_[],MATCH(CONCATENATE(_SCHEDULE_[[#This Row],[CONTEST_CODE]],"_",$U$2),_group_[ИД2],0),MATCH($U$1,_group_[#Headers],0)),"---"),".",",")</f>
        <v>---</v>
      </c>
      <c r="V210" s="41" t="str">
        <f>SUBSTITUTE(IFERROR(INDEX(_group_[],MATCH(CONCATENATE(_SCHEDULE_[[#This Row],[CONTEST_CODE]],"_",$V$2),_group_[ИД2],0),MATCH($V$1,_group_[#Headers],0)),"---"),".",",")</f>
        <v>---</v>
      </c>
      <c r="W210" s="41" t="str">
        <f>IFERROR(INDEX(_INDICATOR_[],MATCH(_SCHEDULE_[[#This Row],[CONTEST_CODE]],_INDICATOR_[CONTEST_CODE],0),MATCH($W$2,_INDICATOR_[#Headers],0)),"-")</f>
        <v>WAIT</v>
      </c>
      <c r="X210" s="41" t="str">
        <f>IFERROR(INDEX(_group_[],MATCH(_SCHEDULE_[[#This Row],[CONTEST_CODE]],_group_[CONTEST_CODE],0),MATCH($X$2,_group_[#Headers],0)),"-")</f>
        <v>BANK</v>
      </c>
      <c r="Y210" s="61" t="str">
        <f>IFERROR(INDEX(_DATA_[],MATCH(_SCHEDULE_[[#This Row],[CONTEST_CODE]],_DATA_[CONTEST_CODE],0),MATCH($Y$2,_DATA_[#Headers],0)),"-")</f>
        <v xml:space="preserve">CSI на 100% </v>
      </c>
      <c r="Z210" s="41" t="str">
        <f>IFERROR(INDEX(_reward_link_[],MATCH(_SCHEDULE_[[#This Row],[CONTEST_CODE]],_reward_link_[CONTEST_CODE],0),MATCH($Z$2,_reward_link_[#Headers],0)),"-")</f>
        <v>BANK</v>
      </c>
      <c r="AA210" s="41" t="str">
        <f>IFERROR(INDEX(_report[],MATCH(_SCHEDULE_[[#This Row],[CONTEST_CODE]],_report[CONTEST_CODE],0),MATCH($AA$2,_report[#Headers],0)),"-")</f>
        <v>-</v>
      </c>
      <c r="AB210"/>
    </row>
    <row r="211" spans="1:28" hidden="1" x14ac:dyDescent="0.25">
      <c r="A211" s="14" t="s">
        <v>1724</v>
      </c>
      <c r="B211" s="14" t="s">
        <v>229</v>
      </c>
      <c r="C211" s="14" t="s">
        <v>1308</v>
      </c>
      <c r="D211" s="14" t="s">
        <v>642</v>
      </c>
      <c r="E211" s="14" t="s">
        <v>1987</v>
      </c>
      <c r="F211" s="14" t="s">
        <v>194</v>
      </c>
      <c r="G211" s="14" t="s">
        <v>194</v>
      </c>
      <c r="H211" s="14" t="s">
        <v>194</v>
      </c>
      <c r="I211" s="14" t="s">
        <v>194</v>
      </c>
      <c r="J211" s="14" t="s">
        <v>194</v>
      </c>
      <c r="K211" s="14" t="s">
        <v>184</v>
      </c>
      <c r="L211" s="14" t="s">
        <v>1391</v>
      </c>
      <c r="M211" s="14" t="s">
        <v>3602</v>
      </c>
      <c r="N211" s="14" t="s">
        <v>2</v>
      </c>
      <c r="O211" s="14" t="s">
        <v>1725</v>
      </c>
      <c r="P211" s="14" t="s">
        <v>1064</v>
      </c>
      <c r="R211" s="38">
        <f>IFERROR(COUNTIFS(_report[TOURNAMENT_CODE],_SCHEDULE_[[#This Row],[TOURNAMENT_CODE]],_report[CONTEST_CODE],_SCHEDULE_[[#This Row],[CONTEST_CODE]]),"-")</f>
        <v>0</v>
      </c>
      <c r="S211" s="41" t="str">
        <f>SUBSTITUTE(IFERROR(INDEX(_group_[],MATCH(CONCATENATE(_SCHEDULE_[[#This Row],[CONTEST_CODE]],"_",$S$2),_group_[ИД2],0),MATCH($S$1,_group_[#Headers],0)),"---"),".",",")</f>
        <v>BANK</v>
      </c>
      <c r="T211" s="41" t="str">
        <f>SUBSTITUTE(IFERROR(INDEX(_group_[],MATCH(CONCATENATE(_SCHEDULE_[[#This Row],[CONTEST_CODE]],"_",$T$2),_group_[ИД2],0),MATCH($T$1,_group_[#Headers],0)),"---"),".",",")</f>
        <v>---</v>
      </c>
      <c r="U211" s="41" t="str">
        <f>SUBSTITUTE(IFERROR(INDEX(_group_[],MATCH(CONCATENATE(_SCHEDULE_[[#This Row],[CONTEST_CODE]],"_",$U$2),_group_[ИД2],0),MATCH($U$1,_group_[#Headers],0)),"---"),".",",")</f>
        <v>---</v>
      </c>
      <c r="V211" s="41" t="str">
        <f>SUBSTITUTE(IFERROR(INDEX(_group_[],MATCH(CONCATENATE(_SCHEDULE_[[#This Row],[CONTEST_CODE]],"_",$V$2),_group_[ИД2],0),MATCH($V$1,_group_[#Headers],0)),"---"),".",",")</f>
        <v>---</v>
      </c>
      <c r="W211" s="41" t="str">
        <f>IFERROR(INDEX(_INDICATOR_[],MATCH(_SCHEDULE_[[#This Row],[CONTEST_CODE]],_INDICATOR_[CONTEST_CODE],0),MATCH($W$2,_INDICATOR_[#Headers],0)),"-")</f>
        <v>WAIT</v>
      </c>
      <c r="X211" s="41" t="str">
        <f>IFERROR(INDEX(_group_[],MATCH(_SCHEDULE_[[#This Row],[CONTEST_CODE]],_group_[CONTEST_CODE],0),MATCH($X$2,_group_[#Headers],0)),"-")</f>
        <v>BANK</v>
      </c>
      <c r="Y211" s="61" t="str">
        <f>IFERROR(INDEX(_DATA_[],MATCH(_SCHEDULE_[[#This Row],[CONTEST_CODE]],_DATA_[CONTEST_CODE],0),MATCH($Y$2,_DATA_[#Headers],0)),"-")</f>
        <v xml:space="preserve">SLA на 100% </v>
      </c>
      <c r="Z211" s="41" t="str">
        <f>IFERROR(INDEX(_reward_link_[],MATCH(_SCHEDULE_[[#This Row],[CONTEST_CODE]],_reward_link_[CONTEST_CODE],0),MATCH($Z$2,_reward_link_[#Headers],0)),"-")</f>
        <v>BANK</v>
      </c>
      <c r="AA211" s="41" t="str">
        <f>IFERROR(INDEX(_report[],MATCH(_SCHEDULE_[[#This Row],[CONTEST_CODE]],_report[CONTEST_CODE],0),MATCH($AA$2,_report[#Headers],0)),"-")</f>
        <v>-</v>
      </c>
      <c r="AB211"/>
    </row>
    <row r="212" spans="1:28" hidden="1" x14ac:dyDescent="0.25">
      <c r="A212" s="14" t="s">
        <v>1726</v>
      </c>
      <c r="B212" s="14" t="s">
        <v>662</v>
      </c>
      <c r="C212" s="14" t="s">
        <v>1308</v>
      </c>
      <c r="D212" s="14" t="s">
        <v>1800</v>
      </c>
      <c r="E212" s="14" t="s">
        <v>194</v>
      </c>
      <c r="F212" s="14" t="s">
        <v>194</v>
      </c>
      <c r="G212" s="14" t="s">
        <v>194</v>
      </c>
      <c r="H212" s="14" t="s">
        <v>194</v>
      </c>
      <c r="I212" s="14" t="s">
        <v>194</v>
      </c>
      <c r="J212" s="14" t="s">
        <v>194</v>
      </c>
      <c r="K212" s="14" t="s">
        <v>184</v>
      </c>
      <c r="L212" s="14" t="s">
        <v>1395</v>
      </c>
      <c r="M212" s="14" t="s">
        <v>3602</v>
      </c>
      <c r="N212" s="14" t="s">
        <v>2</v>
      </c>
      <c r="O212" s="14" t="s">
        <v>1727</v>
      </c>
      <c r="P212" s="14" t="s">
        <v>1064</v>
      </c>
      <c r="R212" s="38">
        <f>IFERROR(COUNTIFS(_report[TOURNAMENT_CODE],_SCHEDULE_[[#This Row],[TOURNAMENT_CODE]],_report[CONTEST_CODE],_SCHEDULE_[[#This Row],[CONTEST_CODE]]),"-")</f>
        <v>0</v>
      </c>
      <c r="S212" s="41" t="str">
        <f>SUBSTITUTE(IFERROR(INDEX(_group_[],MATCH(CONCATENATE(_SCHEDULE_[[#This Row],[CONTEST_CODE]],"_",$S$2),_group_[ИД2],0),MATCH($S$1,_group_[#Headers],0)),"---"),".",",")</f>
        <v>BANK</v>
      </c>
      <c r="T212" s="41" t="str">
        <f>SUBSTITUTE(IFERROR(INDEX(_group_[],MATCH(CONCATENATE(_SCHEDULE_[[#This Row],[CONTEST_CODE]],"_",$T$2),_group_[ИД2],0),MATCH($T$1,_group_[#Headers],0)),"---"),".",",")</f>
        <v>---</v>
      </c>
      <c r="U212" s="41" t="str">
        <f>SUBSTITUTE(IFERROR(INDEX(_group_[],MATCH(CONCATENATE(_SCHEDULE_[[#This Row],[CONTEST_CODE]],"_",$U$2),_group_[ИД2],0),MATCH($U$1,_group_[#Headers],0)),"---"),".",",")</f>
        <v>---</v>
      </c>
      <c r="V212" s="41" t="str">
        <f>SUBSTITUTE(IFERROR(INDEX(_group_[],MATCH(CONCATENATE(_SCHEDULE_[[#This Row],[CONTEST_CODE]],"_",$V$2),_group_[ИД2],0),MATCH($V$1,_group_[#Headers],0)),"---"),".",",")</f>
        <v>---</v>
      </c>
      <c r="W212" s="41" t="str">
        <f>IFERROR(INDEX(_INDICATOR_[],MATCH(_SCHEDULE_[[#This Row],[CONTEST_CODE]],_INDICATOR_[CONTEST_CODE],0),MATCH($W$2,_INDICATOR_[#Headers],0)),"-")</f>
        <v>WAIT</v>
      </c>
      <c r="X212" s="41" t="str">
        <f>IFERROR(INDEX(_group_[],MATCH(_SCHEDULE_[[#This Row],[CONTEST_CODE]],_group_[CONTEST_CODE],0),MATCH($X$2,_group_[#Headers],0)),"-")</f>
        <v>BANK</v>
      </c>
      <c r="Y212" s="61" t="str">
        <f>IFERROR(INDEX(_DATA_[],MATCH(_SCHEDULE_[[#This Row],[CONTEST_CODE]],_DATA_[CONTEST_CODE],0),MATCH($Y$2,_DATA_[#Headers],0)),"-")</f>
        <v>Финалист конкурса лучший по профессии</v>
      </c>
      <c r="Z212" s="41" t="str">
        <f>IFERROR(INDEX(_reward_link_[],MATCH(_SCHEDULE_[[#This Row],[CONTEST_CODE]],_reward_link_[CONTEST_CODE],0),MATCH($Z$2,_reward_link_[#Headers],0)),"-")</f>
        <v>BANK</v>
      </c>
      <c r="AA212" s="41" t="str">
        <f>IFERROR(INDEX(_report[],MATCH(_SCHEDULE_[[#This Row],[CONTEST_CODE]],_report[CONTEST_CODE],0),MATCH($AA$2,_report[#Headers],0)),"-")</f>
        <v>-</v>
      </c>
      <c r="AB212"/>
    </row>
    <row r="213" spans="1:28" hidden="1" x14ac:dyDescent="0.25">
      <c r="A213" s="14" t="s">
        <v>1728</v>
      </c>
      <c r="B213" s="14" t="s">
        <v>662</v>
      </c>
      <c r="C213" s="14" t="s">
        <v>1308</v>
      </c>
      <c r="D213" s="14" t="s">
        <v>1800</v>
      </c>
      <c r="E213" s="14" t="s">
        <v>194</v>
      </c>
      <c r="F213" s="14" t="s">
        <v>194</v>
      </c>
      <c r="G213" s="14" t="s">
        <v>194</v>
      </c>
      <c r="H213" s="14" t="s">
        <v>194</v>
      </c>
      <c r="I213" s="14" t="s">
        <v>194</v>
      </c>
      <c r="J213" s="14" t="s">
        <v>194</v>
      </c>
      <c r="K213" s="14" t="s">
        <v>184</v>
      </c>
      <c r="L213" s="14" t="s">
        <v>1399</v>
      </c>
      <c r="M213" s="14" t="s">
        <v>3602</v>
      </c>
      <c r="N213" s="14" t="s">
        <v>2</v>
      </c>
      <c r="O213" s="14" t="s">
        <v>1729</v>
      </c>
      <c r="P213" s="14" t="s">
        <v>1064</v>
      </c>
      <c r="R213" s="38">
        <f>IFERROR(COUNTIFS(_report[TOURNAMENT_CODE],_SCHEDULE_[[#This Row],[TOURNAMENT_CODE]],_report[CONTEST_CODE],_SCHEDULE_[[#This Row],[CONTEST_CODE]]),"-")</f>
        <v>0</v>
      </c>
      <c r="S213" s="41" t="str">
        <f>SUBSTITUTE(IFERROR(INDEX(_group_[],MATCH(CONCATENATE(_SCHEDULE_[[#This Row],[CONTEST_CODE]],"_",$S$2),_group_[ИД2],0),MATCH($S$1,_group_[#Headers],0)),"---"),".",",")</f>
        <v>BANK</v>
      </c>
      <c r="T213" s="41" t="str">
        <f>SUBSTITUTE(IFERROR(INDEX(_group_[],MATCH(CONCATENATE(_SCHEDULE_[[#This Row],[CONTEST_CODE]],"_",$T$2),_group_[ИД2],0),MATCH($T$1,_group_[#Headers],0)),"---"),".",",")</f>
        <v>---</v>
      </c>
      <c r="U213" s="41" t="str">
        <f>SUBSTITUTE(IFERROR(INDEX(_group_[],MATCH(CONCATENATE(_SCHEDULE_[[#This Row],[CONTEST_CODE]],"_",$U$2),_group_[ИД2],0),MATCH($U$1,_group_[#Headers],0)),"---"),".",",")</f>
        <v>---</v>
      </c>
      <c r="V213" s="41" t="str">
        <f>SUBSTITUTE(IFERROR(INDEX(_group_[],MATCH(CONCATENATE(_SCHEDULE_[[#This Row],[CONTEST_CODE]],"_",$V$2),_group_[ИД2],0),MATCH($V$1,_group_[#Headers],0)),"---"),".",",")</f>
        <v>---</v>
      </c>
      <c r="W213" s="41" t="str">
        <f>IFERROR(INDEX(_INDICATOR_[],MATCH(_SCHEDULE_[[#This Row],[CONTEST_CODE]],_INDICATOR_[CONTEST_CODE],0),MATCH($W$2,_INDICATOR_[#Headers],0)),"-")</f>
        <v>WAIT</v>
      </c>
      <c r="X213" s="41" t="str">
        <f>IFERROR(INDEX(_group_[],MATCH(_SCHEDULE_[[#This Row],[CONTEST_CODE]],_group_[CONTEST_CODE],0),MATCH($X$2,_group_[#Headers],0)),"-")</f>
        <v>BANK</v>
      </c>
      <c r="Y213" s="61" t="str">
        <f>IFERROR(INDEX(_DATA_[],MATCH(_SCHEDULE_[[#This Row],[CONTEST_CODE]],_DATA_[CONTEST_CODE],0),MATCH($Y$2,_DATA_[#Headers],0)),"-")</f>
        <v>Призер конкурса лучший по профессии</v>
      </c>
      <c r="Z213" s="41" t="str">
        <f>IFERROR(INDEX(_reward_link_[],MATCH(_SCHEDULE_[[#This Row],[CONTEST_CODE]],_reward_link_[CONTEST_CODE],0),MATCH($Z$2,_reward_link_[#Headers],0)),"-")</f>
        <v>BANK</v>
      </c>
      <c r="AA213" s="41" t="str">
        <f>IFERROR(INDEX(_report[],MATCH(_SCHEDULE_[[#This Row],[CONTEST_CODE]],_report[CONTEST_CODE],0),MATCH($AA$2,_report[#Headers],0)),"-")</f>
        <v>-</v>
      </c>
      <c r="AB213"/>
    </row>
    <row r="214" spans="1:28" hidden="1" x14ac:dyDescent="0.25">
      <c r="A214" s="14" t="s">
        <v>1730</v>
      </c>
      <c r="B214" s="14" t="s">
        <v>662</v>
      </c>
      <c r="C214" s="14" t="s">
        <v>1308</v>
      </c>
      <c r="D214" s="14" t="s">
        <v>642</v>
      </c>
      <c r="E214" s="14" t="s">
        <v>194</v>
      </c>
      <c r="F214" s="14" t="s">
        <v>194</v>
      </c>
      <c r="G214" s="14" t="s">
        <v>194</v>
      </c>
      <c r="H214" s="14" t="s">
        <v>194</v>
      </c>
      <c r="I214" s="14" t="s">
        <v>194</v>
      </c>
      <c r="J214" s="14" t="s">
        <v>194</v>
      </c>
      <c r="K214" s="14" t="s">
        <v>155</v>
      </c>
      <c r="L214" s="14" t="s">
        <v>1403</v>
      </c>
      <c r="M214" s="14" t="s">
        <v>3602</v>
      </c>
      <c r="N214" s="14" t="s">
        <v>2</v>
      </c>
      <c r="O214" s="14" t="s">
        <v>1731</v>
      </c>
      <c r="P214" s="14" t="s">
        <v>1064</v>
      </c>
      <c r="R214" s="38">
        <f>IFERROR(COUNTIFS(_report[TOURNAMENT_CODE],_SCHEDULE_[[#This Row],[TOURNAMENT_CODE]],_report[CONTEST_CODE],_SCHEDULE_[[#This Row],[CONTEST_CODE]]),"-")</f>
        <v>0</v>
      </c>
      <c r="S214" s="41" t="str">
        <f>SUBSTITUTE(IFERROR(INDEX(_group_[],MATCH(CONCATENATE(_SCHEDULE_[[#This Row],[CONTEST_CODE]],"_",$S$2),_group_[ИД2],0),MATCH($S$1,_group_[#Headers],0)),"---"),".",",")</f>
        <v>BANK</v>
      </c>
      <c r="T214" s="41" t="str">
        <f>SUBSTITUTE(IFERROR(INDEX(_group_[],MATCH(CONCATENATE(_SCHEDULE_[[#This Row],[CONTEST_CODE]],"_",$T$2),_group_[ИД2],0),MATCH($T$1,_group_[#Headers],0)),"---"),".",",")</f>
        <v>---</v>
      </c>
      <c r="U214" s="41" t="str">
        <f>SUBSTITUTE(IFERROR(INDEX(_group_[],MATCH(CONCATENATE(_SCHEDULE_[[#This Row],[CONTEST_CODE]],"_",$U$2),_group_[ИД2],0),MATCH($U$1,_group_[#Headers],0)),"---"),".",",")</f>
        <v>---</v>
      </c>
      <c r="V214" s="41" t="str">
        <f>SUBSTITUTE(IFERROR(INDEX(_group_[],MATCH(CONCATENATE(_SCHEDULE_[[#This Row],[CONTEST_CODE]],"_",$V$2),_group_[ИД2],0),MATCH($V$1,_group_[#Headers],0)),"---"),".",",")</f>
        <v>---</v>
      </c>
      <c r="W214" s="41" t="str">
        <f>IFERROR(INDEX(_INDICATOR_[],MATCH(_SCHEDULE_[[#This Row],[CONTEST_CODE]],_INDICATOR_[CONTEST_CODE],0),MATCH($W$2,_INDICATOR_[#Headers],0)),"-")</f>
        <v>WAIT</v>
      </c>
      <c r="X214" s="41" t="str">
        <f>IFERROR(INDEX(_group_[],MATCH(_SCHEDULE_[[#This Row],[CONTEST_CODE]],_group_[CONTEST_CODE],0),MATCH($X$2,_group_[#Headers],0)),"-")</f>
        <v>BANK</v>
      </c>
      <c r="Y214" s="61" t="str">
        <f>IFERROR(INDEX(_DATA_[],MATCH(_SCHEDULE_[[#This Row],[CONTEST_CODE]],_DATA_[CONTEST_CODE],0),MATCH($Y$2,_DATA_[#Headers],0)),"-")</f>
        <v>Победитель конкурса лучший по профессии</v>
      </c>
      <c r="Z214" s="41" t="str">
        <f>IFERROR(INDEX(_reward_link_[],MATCH(_SCHEDULE_[[#This Row],[CONTEST_CODE]],_reward_link_[CONTEST_CODE],0),MATCH($Z$2,_reward_link_[#Headers],0)),"-")</f>
        <v>BANK</v>
      </c>
      <c r="AA214" s="41" t="str">
        <f>IFERROR(INDEX(_report[],MATCH(_SCHEDULE_[[#This Row],[CONTEST_CODE]],_report[CONTEST_CODE],0),MATCH($AA$2,_report[#Headers],0)),"-")</f>
        <v>-</v>
      </c>
      <c r="AB214"/>
    </row>
    <row r="215" spans="1:28" x14ac:dyDescent="0.25">
      <c r="A215" s="14" t="s">
        <v>2507</v>
      </c>
      <c r="B215" s="14" t="s">
        <v>662</v>
      </c>
      <c r="C215" s="14" t="s">
        <v>2508</v>
      </c>
      <c r="D215" s="14" t="s">
        <v>2509</v>
      </c>
      <c r="E215" s="14" t="s">
        <v>2510</v>
      </c>
      <c r="F215" s="14" t="s">
        <v>194</v>
      </c>
      <c r="G215" s="14" t="s">
        <v>194</v>
      </c>
      <c r="H215" s="14" t="s">
        <v>194</v>
      </c>
      <c r="I215" s="14" t="s">
        <v>194</v>
      </c>
      <c r="J215" s="14" t="s">
        <v>194</v>
      </c>
      <c r="K215" s="14" t="s">
        <v>34</v>
      </c>
      <c r="L215" s="14" t="s">
        <v>2175</v>
      </c>
      <c r="M215" s="14" t="s">
        <v>3603</v>
      </c>
      <c r="N215" s="14" t="s">
        <v>2</v>
      </c>
      <c r="O215" s="14" t="s">
        <v>2511</v>
      </c>
      <c r="P215" s="14" t="s">
        <v>1064</v>
      </c>
      <c r="R215" s="38">
        <f>IFERROR(COUNTIFS(_report[TOURNAMENT_CODE],_SCHEDULE_[[#This Row],[TOURNAMENT_CODE]],_report[CONTEST_CODE],_SCHEDULE_[[#This Row],[CONTEST_CODE]]),"-")</f>
        <v>0</v>
      </c>
      <c r="S215" s="41" t="str">
        <f>SUBSTITUTE(IFERROR(INDEX(_group_[],MATCH(CONCATENATE(_SCHEDULE_[[#This Row],[CONTEST_CODE]],"_",$S$2),_group_[ИД2],0),MATCH($S$1,_group_[#Headers],0)),"---"),".",",")</f>
        <v>BANK</v>
      </c>
      <c r="T215" s="41" t="str">
        <f>SUBSTITUTE(IFERROR(INDEX(_group_[],MATCH(CONCATENATE(_SCHEDULE_[[#This Row],[CONTEST_CODE]],"_",$T$2),_group_[ИД2],0),MATCH($T$1,_group_[#Headers],0)),"---"),".",",")</f>
        <v>---</v>
      </c>
      <c r="U215" s="41" t="str">
        <f>SUBSTITUTE(IFERROR(INDEX(_group_[],MATCH(CONCATENATE(_SCHEDULE_[[#This Row],[CONTEST_CODE]],"_",$U$2),_group_[ИД2],0),MATCH($U$1,_group_[#Headers],0)),"---"),".",",")</f>
        <v>---</v>
      </c>
      <c r="V215" s="41" t="str">
        <f>SUBSTITUTE(IFERROR(INDEX(_group_[],MATCH(CONCATENATE(_SCHEDULE_[[#This Row],[CONTEST_CODE]],"_",$V$2),_group_[ИД2],0),MATCH($V$1,_group_[#Headers],0)),"---"),".",",")</f>
        <v>---</v>
      </c>
      <c r="W215" s="41" t="str">
        <f>IFERROR(INDEX(_INDICATOR_[],MATCH(_SCHEDULE_[[#This Row],[CONTEST_CODE]],_INDICATOR_[CONTEST_CODE],0),MATCH($W$2,_INDICATOR_[#Headers],0)),"-")</f>
        <v>WAIT</v>
      </c>
      <c r="X215" s="41" t="str">
        <f>IFERROR(INDEX(_group_[],MATCH(_SCHEDULE_[[#This Row],[CONTEST_CODE]],_group_[CONTEST_CODE],0),MATCH($X$2,_group_[#Headers],0)),"-")</f>
        <v>BANK</v>
      </c>
      <c r="Y215" s="61" t="str">
        <f>IFERROR(INDEX(_DATA_[],MATCH(_SCHEDULE_[[#This Row],[CONTEST_CODE]],_DATA_[CONTEST_CODE],0),MATCH($Y$2,_DATA_[#Headers],0)),"-")</f>
        <v>Участник ТОП-проекта цифровой транcформации</v>
      </c>
      <c r="Z215" s="41" t="str">
        <f>IFERROR(INDEX(_reward_link_[],MATCH(_SCHEDULE_[[#This Row],[CONTEST_CODE]],_reward_link_[CONTEST_CODE],0),MATCH($Z$2,_reward_link_[#Headers],0)),"-")</f>
        <v>BANK</v>
      </c>
      <c r="AA215" s="41" t="str">
        <f>IFERROR(INDEX(_report[],MATCH(_SCHEDULE_[[#This Row],[CONTEST_CODE]],_report[CONTEST_CODE],0),MATCH($AA$2,_report[#Headers],0)),"-")</f>
        <v>-</v>
      </c>
      <c r="AB215"/>
    </row>
    <row r="216" spans="1:28" x14ac:dyDescent="0.25">
      <c r="A216" s="65" t="s">
        <v>2512</v>
      </c>
      <c r="B216" s="14" t="s">
        <v>662</v>
      </c>
      <c r="C216" s="14" t="s">
        <v>2508</v>
      </c>
      <c r="D216" s="14" t="s">
        <v>2509</v>
      </c>
      <c r="E216" s="14" t="s">
        <v>2510</v>
      </c>
      <c r="F216" s="14" t="s">
        <v>194</v>
      </c>
      <c r="G216" s="14" t="s">
        <v>194</v>
      </c>
      <c r="H216" s="14" t="s">
        <v>194</v>
      </c>
      <c r="I216" s="14" t="s">
        <v>194</v>
      </c>
      <c r="J216" s="14" t="s">
        <v>194</v>
      </c>
      <c r="K216" s="14" t="s">
        <v>34</v>
      </c>
      <c r="L216" s="14" t="s">
        <v>2177</v>
      </c>
      <c r="M216" s="14" t="s">
        <v>3603</v>
      </c>
      <c r="N216" s="14" t="s">
        <v>32</v>
      </c>
      <c r="O216" s="14" t="s">
        <v>2513</v>
      </c>
      <c r="P216" s="14" t="s">
        <v>1064</v>
      </c>
      <c r="R216" s="38">
        <f>IFERROR(COUNTIFS(_report[TOURNAMENT_CODE],_SCHEDULE_[[#This Row],[TOURNAMENT_CODE]],_report[CONTEST_CODE],_SCHEDULE_[[#This Row],[CONTEST_CODE]]),"-")</f>
        <v>0</v>
      </c>
      <c r="S216" s="41" t="str">
        <f>SUBSTITUTE(IFERROR(INDEX(_group_[],MATCH(CONCATENATE(_SCHEDULE_[[#This Row],[CONTEST_CODE]],"_",$S$2),_group_[ИД2],0),MATCH($S$1,_group_[#Headers],0)),"---"),".",",")</f>
        <v>BANK</v>
      </c>
      <c r="T216" s="41" t="str">
        <f>SUBSTITUTE(IFERROR(INDEX(_group_[],MATCH(CONCATENATE(_SCHEDULE_[[#This Row],[CONTEST_CODE]],"_",$T$2),_group_[ИД2],0),MATCH($T$1,_group_[#Headers],0)),"---"),".",",")</f>
        <v>---</v>
      </c>
      <c r="U216" s="41" t="str">
        <f>SUBSTITUTE(IFERROR(INDEX(_group_[],MATCH(CONCATENATE(_SCHEDULE_[[#This Row],[CONTEST_CODE]],"_",$U$2),_group_[ИД2],0),MATCH($U$1,_group_[#Headers],0)),"---"),".",",")</f>
        <v>---</v>
      </c>
      <c r="V216" s="41" t="str">
        <f>SUBSTITUTE(IFERROR(INDEX(_group_[],MATCH(CONCATENATE(_SCHEDULE_[[#This Row],[CONTEST_CODE]],"_",$V$2),_group_[ИД2],0),MATCH($V$1,_group_[#Headers],0)),"---"),".",",")</f>
        <v>---</v>
      </c>
      <c r="W216" s="41" t="str">
        <f>IFERROR(INDEX(_INDICATOR_[],MATCH(_SCHEDULE_[[#This Row],[CONTEST_CODE]],_INDICATOR_[CONTEST_CODE],0),MATCH($W$2,_INDICATOR_[#Headers],0)),"-")</f>
        <v>INCOME</v>
      </c>
      <c r="X216" s="41" t="str">
        <f>IFERROR(INDEX(_group_[],MATCH(_SCHEDULE_[[#This Row],[CONTEST_CODE]],_group_[CONTEST_CODE],0),MATCH($X$2,_group_[#Headers],0)),"-")</f>
        <v>BANK</v>
      </c>
      <c r="Y216" s="61" t="str">
        <f>IFERROR(INDEX(_DATA_[],MATCH(_SCHEDULE_[[#This Row],[CONTEST_CODE]],_DATA_[CONTEST_CODE],0),MATCH($Y$2,_DATA_[#Headers],0)),"-")</f>
        <v>Индия накопи 100</v>
      </c>
      <c r="Z216" s="41" t="str">
        <f>IFERROR(INDEX(_reward_link_[],MATCH(_SCHEDULE_[[#This Row],[CONTEST_CODE]],_reward_link_[CONTEST_CODE],0),MATCH($Z$2,_reward_link_[#Headers],0)),"-")</f>
        <v>BANK</v>
      </c>
      <c r="AA216" s="41" t="str">
        <f>IFERROR(INDEX(_report[],MATCH(_SCHEDULE_[[#This Row],[CONTEST_CODE]],_report[CONTEST_CODE],0),MATCH($AA$2,_report[#Headers],0)),"-")</f>
        <v>-</v>
      </c>
      <c r="AB216"/>
    </row>
    <row r="217" spans="1:28" x14ac:dyDescent="0.25">
      <c r="A217" s="14" t="s">
        <v>2514</v>
      </c>
      <c r="B217" s="14" t="s">
        <v>662</v>
      </c>
      <c r="C217" s="14" t="s">
        <v>2508</v>
      </c>
      <c r="D217" s="14" t="s">
        <v>2509</v>
      </c>
      <c r="E217" s="14" t="s">
        <v>2510</v>
      </c>
      <c r="F217" s="14" t="s">
        <v>194</v>
      </c>
      <c r="G217" s="14" t="s">
        <v>194</v>
      </c>
      <c r="H217" s="14" t="s">
        <v>194</v>
      </c>
      <c r="I217" s="14" t="s">
        <v>194</v>
      </c>
      <c r="J217" s="14" t="s">
        <v>194</v>
      </c>
      <c r="K217" s="14" t="s">
        <v>34</v>
      </c>
      <c r="L217" s="14" t="s">
        <v>2179</v>
      </c>
      <c r="M217" s="14" t="s">
        <v>3603</v>
      </c>
      <c r="N217" s="14" t="s">
        <v>32</v>
      </c>
      <c r="O217" s="14" t="s">
        <v>2515</v>
      </c>
      <c r="P217" s="14" t="s">
        <v>1064</v>
      </c>
      <c r="R217" s="38">
        <f>IFERROR(COUNTIFS(_report[TOURNAMENT_CODE],_SCHEDULE_[[#This Row],[TOURNAMENT_CODE]],_report[CONTEST_CODE],_SCHEDULE_[[#This Row],[CONTEST_CODE]]),"-")</f>
        <v>0</v>
      </c>
      <c r="S217" s="41" t="str">
        <f>SUBSTITUTE(IFERROR(INDEX(_group_[],MATCH(CONCATENATE(_SCHEDULE_[[#This Row],[CONTEST_CODE]],"_",$S$2),_group_[ИД2],0),MATCH($S$1,_group_[#Headers],0)),"---"),".",",")</f>
        <v>BANK</v>
      </c>
      <c r="T217" s="41" t="str">
        <f>SUBSTITUTE(IFERROR(INDEX(_group_[],MATCH(CONCATENATE(_SCHEDULE_[[#This Row],[CONTEST_CODE]],"_",$T$2),_group_[ИД2],0),MATCH($T$1,_group_[#Headers],0)),"---"),".",",")</f>
        <v>---</v>
      </c>
      <c r="U217" s="41" t="str">
        <f>SUBSTITUTE(IFERROR(INDEX(_group_[],MATCH(CONCATENATE(_SCHEDULE_[[#This Row],[CONTEST_CODE]],"_",$U$2),_group_[ИД2],0),MATCH($U$1,_group_[#Headers],0)),"---"),".",",")</f>
        <v>---</v>
      </c>
      <c r="V217" s="41" t="str">
        <f>SUBSTITUTE(IFERROR(INDEX(_group_[],MATCH(CONCATENATE(_SCHEDULE_[[#This Row],[CONTEST_CODE]],"_",$V$2),_group_[ИД2],0),MATCH($V$1,_group_[#Headers],0)),"---"),".",",")</f>
        <v>---</v>
      </c>
      <c r="W217" s="41" t="str">
        <f>IFERROR(INDEX(_INDICATOR_[],MATCH(_SCHEDULE_[[#This Row],[CONTEST_CODE]],_INDICATOR_[CONTEST_CODE],0),MATCH($W$2,_INDICATOR_[#Headers],0)),"-")</f>
        <v>INCOME</v>
      </c>
      <c r="X217" s="41" t="str">
        <f>IFERROR(INDEX(_group_[],MATCH(_SCHEDULE_[[#This Row],[CONTEST_CODE]],_group_[CONTEST_CODE],0),MATCH($X$2,_group_[#Headers],0)),"-")</f>
        <v>BANK</v>
      </c>
      <c r="Y217" s="61" t="str">
        <f>IFERROR(INDEX(_DATA_[],MATCH(_SCHEDULE_[[#This Row],[CONTEST_CODE]],_DATA_[CONTEST_CODE],0),MATCH($Y$2,_DATA_[#Headers],0)),"-")</f>
        <v>Индия накопи 500</v>
      </c>
      <c r="Z217" s="41" t="str">
        <f>IFERROR(INDEX(_reward_link_[],MATCH(_SCHEDULE_[[#This Row],[CONTEST_CODE]],_reward_link_[CONTEST_CODE],0),MATCH($Z$2,_reward_link_[#Headers],0)),"-")</f>
        <v>BANK</v>
      </c>
      <c r="AA217" s="41" t="str">
        <f>IFERROR(INDEX(_report[],MATCH(_SCHEDULE_[[#This Row],[CONTEST_CODE]],_report[CONTEST_CODE],0),MATCH($AA$2,_report[#Headers],0)),"-")</f>
        <v>-</v>
      </c>
      <c r="AB217"/>
    </row>
    <row r="218" spans="1:28" x14ac:dyDescent="0.25">
      <c r="A218" s="14" t="s">
        <v>2516</v>
      </c>
      <c r="B218" s="14" t="s">
        <v>662</v>
      </c>
      <c r="C218" s="14" t="s">
        <v>2508</v>
      </c>
      <c r="D218" s="14" t="s">
        <v>2509</v>
      </c>
      <c r="E218" s="14" t="s">
        <v>2510</v>
      </c>
      <c r="F218" s="14" t="s">
        <v>194</v>
      </c>
      <c r="G218" s="14" t="s">
        <v>194</v>
      </c>
      <c r="H218" s="14" t="s">
        <v>194</v>
      </c>
      <c r="I218" s="14" t="s">
        <v>194</v>
      </c>
      <c r="J218" s="14" t="s">
        <v>194</v>
      </c>
      <c r="K218" s="14" t="s">
        <v>34</v>
      </c>
      <c r="L218" s="14" t="s">
        <v>2181</v>
      </c>
      <c r="M218" s="14" t="s">
        <v>3603</v>
      </c>
      <c r="N218" s="14" t="s">
        <v>32</v>
      </c>
      <c r="O218" s="14" t="s">
        <v>2517</v>
      </c>
      <c r="P218" s="14" t="s">
        <v>1064</v>
      </c>
      <c r="R218" s="38">
        <f>IFERROR(COUNTIFS(_report[TOURNAMENT_CODE],_SCHEDULE_[[#This Row],[TOURNAMENT_CODE]],_report[CONTEST_CODE],_SCHEDULE_[[#This Row],[CONTEST_CODE]]),"-")</f>
        <v>0</v>
      </c>
      <c r="S218" s="41" t="str">
        <f>SUBSTITUTE(IFERROR(INDEX(_group_[],MATCH(CONCATENATE(_SCHEDULE_[[#This Row],[CONTEST_CODE]],"_",$S$2),_group_[ИД2],0),MATCH($S$1,_group_[#Headers],0)),"---"),".",",")</f>
        <v>BANK</v>
      </c>
      <c r="T218" s="41" t="str">
        <f>SUBSTITUTE(IFERROR(INDEX(_group_[],MATCH(CONCATENATE(_SCHEDULE_[[#This Row],[CONTEST_CODE]],"_",$T$2),_group_[ИД2],0),MATCH($T$1,_group_[#Headers],0)),"---"),".",",")</f>
        <v>---</v>
      </c>
      <c r="U218" s="41" t="str">
        <f>SUBSTITUTE(IFERROR(INDEX(_group_[],MATCH(CONCATENATE(_SCHEDULE_[[#This Row],[CONTEST_CODE]],"_",$U$2),_group_[ИД2],0),MATCH($U$1,_group_[#Headers],0)),"---"),".",",")</f>
        <v>---</v>
      </c>
      <c r="V218" s="41" t="str">
        <f>SUBSTITUTE(IFERROR(INDEX(_group_[],MATCH(CONCATENATE(_SCHEDULE_[[#This Row],[CONTEST_CODE]],"_",$V$2),_group_[ИД2],0),MATCH($V$1,_group_[#Headers],0)),"---"),".",",")</f>
        <v>---</v>
      </c>
      <c r="W218" s="41" t="str">
        <f>IFERROR(INDEX(_INDICATOR_[],MATCH(_SCHEDULE_[[#This Row],[CONTEST_CODE]],_INDICATOR_[CONTEST_CODE],0),MATCH($W$2,_INDICATOR_[#Headers],0)),"-")</f>
        <v>INCOME</v>
      </c>
      <c r="X218" s="41" t="str">
        <f>IFERROR(INDEX(_group_[],MATCH(_SCHEDULE_[[#This Row],[CONTEST_CODE]],_group_[CONTEST_CODE],0),MATCH($X$2,_group_[#Headers],0)),"-")</f>
        <v>BANK</v>
      </c>
      <c r="Y218" s="61" t="str">
        <f>IFERROR(INDEX(_DATA_[],MATCH(_SCHEDULE_[[#This Row],[CONTEST_CODE]],_DATA_[CONTEST_CODE],0),MATCH($Y$2,_DATA_[#Headers],0)),"-")</f>
        <v>Индия накопи 3000</v>
      </c>
      <c r="Z218" s="41" t="str">
        <f>IFERROR(INDEX(_reward_link_[],MATCH(_SCHEDULE_[[#This Row],[CONTEST_CODE]],_reward_link_[CONTEST_CODE],0),MATCH($Z$2,_reward_link_[#Headers],0)),"-")</f>
        <v>BANK</v>
      </c>
      <c r="AA218" s="41" t="str">
        <f>IFERROR(INDEX(_report[],MATCH(_SCHEDULE_[[#This Row],[CONTEST_CODE]],_report[CONTEST_CODE],0),MATCH($AA$2,_report[#Headers],0)),"-")</f>
        <v>-</v>
      </c>
      <c r="AB218"/>
    </row>
    <row r="219" spans="1:28" x14ac:dyDescent="0.25">
      <c r="A219" s="14" t="s">
        <v>2518</v>
      </c>
      <c r="B219" s="14" t="s">
        <v>662</v>
      </c>
      <c r="C219" s="14" t="s">
        <v>2508</v>
      </c>
      <c r="D219" s="14" t="s">
        <v>2509</v>
      </c>
      <c r="E219" s="14" t="s">
        <v>2510</v>
      </c>
      <c r="F219" s="14" t="s">
        <v>194</v>
      </c>
      <c r="G219" s="14" t="s">
        <v>194</v>
      </c>
      <c r="H219" s="14" t="s">
        <v>194</v>
      </c>
      <c r="I219" s="14" t="s">
        <v>194</v>
      </c>
      <c r="J219" s="14" t="s">
        <v>194</v>
      </c>
      <c r="K219" s="14" t="s">
        <v>34</v>
      </c>
      <c r="L219" s="14" t="s">
        <v>2183</v>
      </c>
      <c r="M219" s="14" t="s">
        <v>3603</v>
      </c>
      <c r="N219" s="14" t="s">
        <v>32</v>
      </c>
      <c r="O219" s="14" t="s">
        <v>2519</v>
      </c>
      <c r="P219" s="14" t="s">
        <v>1064</v>
      </c>
      <c r="R219" s="38">
        <f>IFERROR(COUNTIFS(_report[TOURNAMENT_CODE],_SCHEDULE_[[#This Row],[TOURNAMENT_CODE]],_report[CONTEST_CODE],_SCHEDULE_[[#This Row],[CONTEST_CODE]]),"-")</f>
        <v>0</v>
      </c>
      <c r="S219" s="41" t="str">
        <f>SUBSTITUTE(IFERROR(INDEX(_group_[],MATCH(CONCATENATE(_SCHEDULE_[[#This Row],[CONTEST_CODE]],"_",$S$2),_group_[ИД2],0),MATCH($S$1,_group_[#Headers],0)),"---"),".",",")</f>
        <v>BANK</v>
      </c>
      <c r="T219" s="41" t="str">
        <f>SUBSTITUTE(IFERROR(INDEX(_group_[],MATCH(CONCATENATE(_SCHEDULE_[[#This Row],[CONTEST_CODE]],"_",$T$2),_group_[ИД2],0),MATCH($T$1,_group_[#Headers],0)),"---"),".",",")</f>
        <v>---</v>
      </c>
      <c r="U219" s="41" t="str">
        <f>SUBSTITUTE(IFERROR(INDEX(_group_[],MATCH(CONCATENATE(_SCHEDULE_[[#This Row],[CONTEST_CODE]],"_",$U$2),_group_[ИД2],0),MATCH($U$1,_group_[#Headers],0)),"---"),".",",")</f>
        <v>---</v>
      </c>
      <c r="V219" s="41" t="str">
        <f>SUBSTITUTE(IFERROR(INDEX(_group_[],MATCH(CONCATENATE(_SCHEDULE_[[#This Row],[CONTEST_CODE]],"_",$V$2),_group_[ИД2],0),MATCH($V$1,_group_[#Headers],0)),"---"),".",",")</f>
        <v>---</v>
      </c>
      <c r="W219" s="41" t="str">
        <f>IFERROR(INDEX(_INDICATOR_[],MATCH(_SCHEDULE_[[#This Row],[CONTEST_CODE]],_INDICATOR_[CONTEST_CODE],0),MATCH($W$2,_INDICATOR_[#Headers],0)),"-")</f>
        <v>INCOME</v>
      </c>
      <c r="X219" s="41" t="str">
        <f>IFERROR(INDEX(_group_[],MATCH(_SCHEDULE_[[#This Row],[CONTEST_CODE]],_group_[CONTEST_CODE],0),MATCH($X$2,_group_[#Headers],0)),"-")</f>
        <v>BANK</v>
      </c>
      <c r="Y219" s="61" t="str">
        <f>IFERROR(INDEX(_DATA_[],MATCH(_SCHEDULE_[[#This Row],[CONTEST_CODE]],_DATA_[CONTEST_CODE],0),MATCH($Y$2,_DATA_[#Headers],0)),"-")</f>
        <v>Индия накопи 10000</v>
      </c>
      <c r="Z219" s="41" t="str">
        <f>IFERROR(INDEX(_reward_link_[],MATCH(_SCHEDULE_[[#This Row],[CONTEST_CODE]],_reward_link_[CONTEST_CODE],0),MATCH($Z$2,_reward_link_[#Headers],0)),"-")</f>
        <v>BANK</v>
      </c>
      <c r="AA219" s="41" t="str">
        <f>IFERROR(INDEX(_report[],MATCH(_SCHEDULE_[[#This Row],[CONTEST_CODE]],_report[CONTEST_CODE],0),MATCH($AA$2,_report[#Headers],0)),"-")</f>
        <v>-</v>
      </c>
      <c r="AB219"/>
    </row>
    <row r="220" spans="1:28" hidden="1" x14ac:dyDescent="0.25">
      <c r="A220" s="14" t="s">
        <v>2520</v>
      </c>
      <c r="B220" s="14" t="s">
        <v>208</v>
      </c>
      <c r="C220" s="14" t="s">
        <v>2521</v>
      </c>
      <c r="D220" s="14" t="s">
        <v>2522</v>
      </c>
      <c r="E220" s="14" t="s">
        <v>4147</v>
      </c>
      <c r="F220" s="14" t="s">
        <v>194</v>
      </c>
      <c r="G220" s="14" t="s">
        <v>194</v>
      </c>
      <c r="H220" s="14" t="s">
        <v>194</v>
      </c>
      <c r="I220" s="14" t="s">
        <v>194</v>
      </c>
      <c r="J220" s="14" t="s">
        <v>194</v>
      </c>
      <c r="K220" s="14" t="s">
        <v>176</v>
      </c>
      <c r="L220" s="14" t="s">
        <v>2185</v>
      </c>
      <c r="M220" s="14" t="s">
        <v>3603</v>
      </c>
      <c r="N220" s="14" t="s">
        <v>2</v>
      </c>
      <c r="O220" s="14" t="s">
        <v>2523</v>
      </c>
      <c r="P220" s="14" t="s">
        <v>1064</v>
      </c>
      <c r="R220" s="38">
        <f>IFERROR(COUNTIFS(_report[TOURNAMENT_CODE],_SCHEDULE_[[#This Row],[TOURNAMENT_CODE]],_report[CONTEST_CODE],_SCHEDULE_[[#This Row],[CONTEST_CODE]]),"-")</f>
        <v>0</v>
      </c>
      <c r="S220" s="41" t="str">
        <f>SUBSTITUTE(IFERROR(INDEX(_group_[],MATCH(CONCATENATE(_SCHEDULE_[[#This Row],[CONTEST_CODE]],"_",$S$2),_group_[ИД2],0),MATCH($S$1,_group_[#Headers],0)),"---"),".",",")</f>
        <v>BANK</v>
      </c>
      <c r="T220" s="41" t="str">
        <f>SUBSTITUTE(IFERROR(INDEX(_group_[],MATCH(CONCATENATE(_SCHEDULE_[[#This Row],[CONTEST_CODE]],"_",$T$2),_group_[ИД2],0),MATCH($T$1,_group_[#Headers],0)),"---"),".",",")</f>
        <v>---</v>
      </c>
      <c r="U220" s="41" t="str">
        <f>SUBSTITUTE(IFERROR(INDEX(_group_[],MATCH(CONCATENATE(_SCHEDULE_[[#This Row],[CONTEST_CODE]],"_",$U$2),_group_[ИД2],0),MATCH($U$1,_group_[#Headers],0)),"---"),".",",")</f>
        <v>GOSB</v>
      </c>
      <c r="V220" s="41" t="str">
        <f>SUBSTITUTE(IFERROR(INDEX(_group_[],MATCH(CONCATENATE(_SCHEDULE_[[#This Row],[CONTEST_CODE]],"_",$V$2),_group_[ИД2],0),MATCH($V$1,_group_[#Headers],0)),"---"),".",",")</f>
        <v>---</v>
      </c>
      <c r="W220" s="41" t="str">
        <f>IFERROR(INDEX(_INDICATOR_[],MATCH(_SCHEDULE_[[#This Row],[CONTEST_CODE]],_INDICATOR_[CONTEST_CODE],0),MATCH($W$2,_INDICATOR_[#Headers],0)),"-")</f>
        <v>WAIT</v>
      </c>
      <c r="X220" s="41" t="str">
        <f>IFERROR(INDEX(_group_[],MATCH(_SCHEDULE_[[#This Row],[CONTEST_CODE]],_group_[CONTEST_CODE],0),MATCH($X$2,_group_[#Headers],0)),"-")</f>
        <v>BANK</v>
      </c>
      <c r="Y220" s="61" t="str">
        <f>IFERROR(INDEX(_DATA_[],MATCH(_SCHEDULE_[[#This Row],[CONTEST_CODE]],_DATA_[CONTEST_CODE],0),MATCH($Y$2,_DATA_[#Headers],0)),"-")</f>
        <v>Гарантии. Прирост комиссии</v>
      </c>
      <c r="Z220" s="41" t="str">
        <f>IFERROR(INDEX(_reward_link_[],MATCH(_SCHEDULE_[[#This Row],[CONTEST_CODE]],_reward_link_[CONTEST_CODE],0),MATCH($Z$2,_reward_link_[#Headers],0)),"-")</f>
        <v>BANK</v>
      </c>
      <c r="AA220" s="41" t="str">
        <f>IFERROR(INDEX(_report[],MATCH(_SCHEDULE_[[#This Row],[CONTEST_CODE]],_report[CONTEST_CODE],0),MATCH($AA$2,_report[#Headers],0)),"-")</f>
        <v>-</v>
      </c>
      <c r="AB220"/>
    </row>
    <row r="221" spans="1:28" hidden="1" x14ac:dyDescent="0.25">
      <c r="A221" s="14" t="s">
        <v>3218</v>
      </c>
      <c r="B221" s="14" t="s">
        <v>186</v>
      </c>
      <c r="C221" s="14" t="s">
        <v>3219</v>
      </c>
      <c r="D221" s="14" t="s">
        <v>2534</v>
      </c>
      <c r="E221" s="14" t="s">
        <v>4132</v>
      </c>
      <c r="F221" s="14" t="s">
        <v>194</v>
      </c>
      <c r="G221" s="14" t="s">
        <v>194</v>
      </c>
      <c r="H221" s="14" t="s">
        <v>194</v>
      </c>
      <c r="I221" s="14" t="s">
        <v>194</v>
      </c>
      <c r="J221" s="14" t="s">
        <v>194</v>
      </c>
      <c r="K221" s="14" t="s">
        <v>176</v>
      </c>
      <c r="L221" s="14" t="s">
        <v>2185</v>
      </c>
      <c r="M221" s="14" t="s">
        <v>3603</v>
      </c>
      <c r="N221" s="14" t="s">
        <v>2</v>
      </c>
      <c r="O221" s="14" t="s">
        <v>3220</v>
      </c>
      <c r="P221" s="14" t="s">
        <v>1064</v>
      </c>
      <c r="R221" s="38">
        <f>IFERROR(COUNTIFS(_report[TOURNAMENT_CODE],_SCHEDULE_[[#This Row],[TOURNAMENT_CODE]],_report[CONTEST_CODE],_SCHEDULE_[[#This Row],[CONTEST_CODE]]),"-")</f>
        <v>0</v>
      </c>
      <c r="S221" s="41" t="str">
        <f>SUBSTITUTE(IFERROR(INDEX(_group_[],MATCH(CONCATENATE(_SCHEDULE_[[#This Row],[CONTEST_CODE]],"_",$S$2),_group_[ИД2],0),MATCH($S$1,_group_[#Headers],0)),"---"),".",",")</f>
        <v>BANK</v>
      </c>
      <c r="T221" s="41" t="str">
        <f>SUBSTITUTE(IFERROR(INDEX(_group_[],MATCH(CONCATENATE(_SCHEDULE_[[#This Row],[CONTEST_CODE]],"_",$T$2),_group_[ИД2],0),MATCH($T$1,_group_[#Headers],0)),"---"),".",",")</f>
        <v>---</v>
      </c>
      <c r="U221" s="41" t="str">
        <f>SUBSTITUTE(IFERROR(INDEX(_group_[],MATCH(CONCATENATE(_SCHEDULE_[[#This Row],[CONTEST_CODE]],"_",$U$2),_group_[ИД2],0),MATCH($U$1,_group_[#Headers],0)),"---"),".",",")</f>
        <v>GOSB</v>
      </c>
      <c r="V221" s="41" t="str">
        <f>SUBSTITUTE(IFERROR(INDEX(_group_[],MATCH(CONCATENATE(_SCHEDULE_[[#This Row],[CONTEST_CODE]],"_",$V$2),_group_[ИД2],0),MATCH($V$1,_group_[#Headers],0)),"---"),".",",")</f>
        <v>---</v>
      </c>
      <c r="W221" s="41" t="str">
        <f>IFERROR(INDEX(_INDICATOR_[],MATCH(_SCHEDULE_[[#This Row],[CONTEST_CODE]],_INDICATOR_[CONTEST_CODE],0),MATCH($W$2,_INDICATOR_[#Headers],0)),"-")</f>
        <v>WAIT</v>
      </c>
      <c r="X221" s="41" t="str">
        <f>IFERROR(INDEX(_group_[],MATCH(_SCHEDULE_[[#This Row],[CONTEST_CODE]],_group_[CONTEST_CODE],0),MATCH($X$2,_group_[#Headers],0)),"-")</f>
        <v>BANK</v>
      </c>
      <c r="Y221" s="61" t="str">
        <f>IFERROR(INDEX(_DATA_[],MATCH(_SCHEDULE_[[#This Row],[CONTEST_CODE]],_DATA_[CONTEST_CODE],0),MATCH($Y$2,_DATA_[#Headers],0)),"-")</f>
        <v>Гарантии. Прирост комиссии</v>
      </c>
      <c r="Z221" s="41" t="str">
        <f>IFERROR(INDEX(_reward_link_[],MATCH(_SCHEDULE_[[#This Row],[CONTEST_CODE]],_reward_link_[CONTEST_CODE],0),MATCH($Z$2,_reward_link_[#Headers],0)),"-")</f>
        <v>BANK</v>
      </c>
      <c r="AA221" s="41" t="str">
        <f>IFERROR(INDEX(_report[],MATCH(_SCHEDULE_[[#This Row],[CONTEST_CODE]],_report[CONTEST_CODE],0),MATCH($AA$2,_report[#Headers],0)),"-")</f>
        <v>-</v>
      </c>
      <c r="AB221"/>
    </row>
    <row r="222" spans="1:28" hidden="1" x14ac:dyDescent="0.25">
      <c r="A222" s="14" t="s">
        <v>3646</v>
      </c>
      <c r="B222" s="14" t="s">
        <v>191</v>
      </c>
      <c r="C222" s="14" t="s">
        <v>4019</v>
      </c>
      <c r="D222" s="14" t="s">
        <v>3647</v>
      </c>
      <c r="E222" s="14" t="s">
        <v>4771</v>
      </c>
      <c r="F222" s="14" t="s">
        <v>194</v>
      </c>
      <c r="G222" s="14" t="s">
        <v>194</v>
      </c>
      <c r="H222" s="14" t="s">
        <v>194</v>
      </c>
      <c r="I222" s="14" t="s">
        <v>194</v>
      </c>
      <c r="J222" s="14" t="s">
        <v>194</v>
      </c>
      <c r="K222" s="14" t="s">
        <v>176</v>
      </c>
      <c r="L222" s="14" t="s">
        <v>2185</v>
      </c>
      <c r="M222" s="14" t="s">
        <v>3603</v>
      </c>
      <c r="N222" s="14" t="s">
        <v>2</v>
      </c>
      <c r="O222" s="14" t="s">
        <v>3648</v>
      </c>
      <c r="P222" s="14" t="s">
        <v>1064</v>
      </c>
      <c r="R222" s="38">
        <f>IFERROR(COUNTIFS(_report[TOURNAMENT_CODE],_SCHEDULE_[[#This Row],[TOURNAMENT_CODE]],_report[CONTEST_CODE],_SCHEDULE_[[#This Row],[CONTEST_CODE]]),"-")</f>
        <v>0</v>
      </c>
      <c r="S222" s="41" t="str">
        <f>SUBSTITUTE(IFERROR(INDEX(_group_[],MATCH(CONCATENATE(_SCHEDULE_[[#This Row],[CONTEST_CODE]],"_",$S$2),_group_[ИД2],0),MATCH($S$1,_group_[#Headers],0)),"---"),".",",")</f>
        <v>BANK</v>
      </c>
      <c r="T222" s="41" t="str">
        <f>SUBSTITUTE(IFERROR(INDEX(_group_[],MATCH(CONCATENATE(_SCHEDULE_[[#This Row],[CONTEST_CODE]],"_",$T$2),_group_[ИД2],0),MATCH($T$1,_group_[#Headers],0)),"---"),".",",")</f>
        <v>---</v>
      </c>
      <c r="U222" s="41" t="str">
        <f>SUBSTITUTE(IFERROR(INDEX(_group_[],MATCH(CONCATENATE(_SCHEDULE_[[#This Row],[CONTEST_CODE]],"_",$U$2),_group_[ИД2],0),MATCH($U$1,_group_[#Headers],0)),"---"),".",",")</f>
        <v>GOSB</v>
      </c>
      <c r="V222" s="41" t="str">
        <f>SUBSTITUTE(IFERROR(INDEX(_group_[],MATCH(CONCATENATE(_SCHEDULE_[[#This Row],[CONTEST_CODE]],"_",$V$2),_group_[ИД2],0),MATCH($V$1,_group_[#Headers],0)),"---"),".",",")</f>
        <v>---</v>
      </c>
      <c r="W222" s="41" t="str">
        <f>IFERROR(INDEX(_INDICATOR_[],MATCH(_SCHEDULE_[[#This Row],[CONTEST_CODE]],_INDICATOR_[CONTEST_CODE],0),MATCH($W$2,_INDICATOR_[#Headers],0)),"-")</f>
        <v>WAIT</v>
      </c>
      <c r="X222" s="41" t="str">
        <f>IFERROR(INDEX(_group_[],MATCH(_SCHEDULE_[[#This Row],[CONTEST_CODE]],_group_[CONTEST_CODE],0),MATCH($X$2,_group_[#Headers],0)),"-")</f>
        <v>BANK</v>
      </c>
      <c r="Y222" s="61" t="str">
        <f>IFERROR(INDEX(_DATA_[],MATCH(_SCHEDULE_[[#This Row],[CONTEST_CODE]],_DATA_[CONTEST_CODE],0),MATCH($Y$2,_DATA_[#Headers],0)),"-")</f>
        <v>Гарантии. Прирост комиссии</v>
      </c>
      <c r="Z222" s="41" t="str">
        <f>IFERROR(INDEX(_reward_link_[],MATCH(_SCHEDULE_[[#This Row],[CONTEST_CODE]],_reward_link_[CONTEST_CODE],0),MATCH($Z$2,_reward_link_[#Headers],0)),"-")</f>
        <v>BANK</v>
      </c>
      <c r="AA222" s="41" t="str">
        <f>IFERROR(INDEX(_report[],MATCH(_SCHEDULE_[[#This Row],[CONTEST_CODE]],_report[CONTEST_CODE],0),MATCH($AA$2,_report[#Headers],0)),"-")</f>
        <v>-</v>
      </c>
      <c r="AB222"/>
    </row>
    <row r="223" spans="1:28" x14ac:dyDescent="0.25">
      <c r="A223" s="14" t="s">
        <v>4755</v>
      </c>
      <c r="B223" s="14" t="s">
        <v>209</v>
      </c>
      <c r="C223" s="14" t="s">
        <v>2554</v>
      </c>
      <c r="D223" s="14" t="s">
        <v>4756</v>
      </c>
      <c r="E223" s="14" t="s">
        <v>4757</v>
      </c>
      <c r="F223" s="14" t="s">
        <v>194</v>
      </c>
      <c r="G223" s="14" t="s">
        <v>194</v>
      </c>
      <c r="H223" s="14" t="s">
        <v>194</v>
      </c>
      <c r="I223" s="14" t="s">
        <v>194</v>
      </c>
      <c r="J223" s="14" t="s">
        <v>194</v>
      </c>
      <c r="K223" s="14" t="s">
        <v>34</v>
      </c>
      <c r="L223" s="14" t="s">
        <v>2185</v>
      </c>
      <c r="M223" s="14" t="s">
        <v>3603</v>
      </c>
      <c r="N223" s="14" t="s">
        <v>2</v>
      </c>
      <c r="O223" s="14" t="s">
        <v>4758</v>
      </c>
      <c r="P223" s="14" t="s">
        <v>1064</v>
      </c>
      <c r="R223" s="38">
        <f>IFERROR(COUNTIFS(_report[TOURNAMENT_CODE],_SCHEDULE_[[#This Row],[TOURNAMENT_CODE]],_report[CONTEST_CODE],_SCHEDULE_[[#This Row],[CONTEST_CODE]]),"-")</f>
        <v>0</v>
      </c>
      <c r="S223" s="41" t="str">
        <f>SUBSTITUTE(IFERROR(INDEX(_group_[],MATCH(CONCATENATE(_SCHEDULE_[[#This Row],[CONTEST_CODE]],"_",$S$2),_group_[ИД2],0),MATCH($S$1,_group_[#Headers],0)),"---"),".",",")</f>
        <v>BANK</v>
      </c>
      <c r="T223" s="41" t="str">
        <f>SUBSTITUTE(IFERROR(INDEX(_group_[],MATCH(CONCATENATE(_SCHEDULE_[[#This Row],[CONTEST_CODE]],"_",$T$2),_group_[ИД2],0),MATCH($T$1,_group_[#Headers],0)),"---"),".",",")</f>
        <v>---</v>
      </c>
      <c r="U223" s="41" t="str">
        <f>SUBSTITUTE(IFERROR(INDEX(_group_[],MATCH(CONCATENATE(_SCHEDULE_[[#This Row],[CONTEST_CODE]],"_",$U$2),_group_[ИД2],0),MATCH($U$1,_group_[#Headers],0)),"---"),".",",")</f>
        <v>GOSB</v>
      </c>
      <c r="V223" s="41" t="str">
        <f>SUBSTITUTE(IFERROR(INDEX(_group_[],MATCH(CONCATENATE(_SCHEDULE_[[#This Row],[CONTEST_CODE]],"_",$V$2),_group_[ИД2],0),MATCH($V$1,_group_[#Headers],0)),"---"),".",",")</f>
        <v>---</v>
      </c>
      <c r="W223" s="41" t="str">
        <f>IFERROR(INDEX(_INDICATOR_[],MATCH(_SCHEDULE_[[#This Row],[CONTEST_CODE]],_INDICATOR_[CONTEST_CODE],0),MATCH($W$2,_INDICATOR_[#Headers],0)),"-")</f>
        <v>WAIT</v>
      </c>
      <c r="X223" s="41" t="str">
        <f>IFERROR(INDEX(_group_[],MATCH(_SCHEDULE_[[#This Row],[CONTEST_CODE]],_group_[CONTEST_CODE],0),MATCH($X$2,_group_[#Headers],0)),"-")</f>
        <v>BANK</v>
      </c>
      <c r="Y223" s="61" t="str">
        <f>IFERROR(INDEX(_DATA_[],MATCH(_SCHEDULE_[[#This Row],[CONTEST_CODE]],_DATA_[CONTEST_CODE],0),MATCH($Y$2,_DATA_[#Headers],0)),"-")</f>
        <v>Гарантии. Прирост комиссии</v>
      </c>
      <c r="Z223" s="41" t="str">
        <f>IFERROR(INDEX(_reward_link_[],MATCH(_SCHEDULE_[[#This Row],[CONTEST_CODE]],_reward_link_[CONTEST_CODE],0),MATCH($Z$2,_reward_link_[#Headers],0)),"-")</f>
        <v>BANK</v>
      </c>
      <c r="AA223" s="41" t="str">
        <f>IFERROR(INDEX(_report[],MATCH(_SCHEDULE_[[#This Row],[CONTEST_CODE]],_report[CONTEST_CODE],0),MATCH($AA$2,_report[#Headers],0)),"-")</f>
        <v>-</v>
      </c>
      <c r="AB223"/>
    </row>
    <row r="224" spans="1:28" x14ac:dyDescent="0.25">
      <c r="A224" s="14" t="s">
        <v>4808</v>
      </c>
      <c r="B224" s="14" t="s">
        <v>210</v>
      </c>
      <c r="C224" s="14" t="s">
        <v>4809</v>
      </c>
      <c r="D224" s="14" t="s">
        <v>2542</v>
      </c>
      <c r="E224" s="14" t="s">
        <v>3545</v>
      </c>
      <c r="F224" s="14" t="s">
        <v>194</v>
      </c>
      <c r="G224" s="14" t="s">
        <v>194</v>
      </c>
      <c r="H224" s="14" t="s">
        <v>194</v>
      </c>
      <c r="I224" s="14" t="s">
        <v>194</v>
      </c>
      <c r="J224" s="14" t="s">
        <v>194</v>
      </c>
      <c r="K224" s="14" t="s">
        <v>34</v>
      </c>
      <c r="L224" s="14" t="s">
        <v>2185</v>
      </c>
      <c r="M224" s="14" t="s">
        <v>3603</v>
      </c>
      <c r="N224" s="14" t="s">
        <v>2</v>
      </c>
      <c r="O224" s="14" t="s">
        <v>4810</v>
      </c>
      <c r="P224" s="14" t="s">
        <v>1064</v>
      </c>
      <c r="R224" s="38">
        <f>IFERROR(COUNTIFS(_report[TOURNAMENT_CODE],_SCHEDULE_[[#This Row],[TOURNAMENT_CODE]],_report[CONTEST_CODE],_SCHEDULE_[[#This Row],[CONTEST_CODE]]),"-")</f>
        <v>0</v>
      </c>
      <c r="S224" s="41" t="str">
        <f>SUBSTITUTE(IFERROR(INDEX(_group_[],MATCH(CONCATENATE(_SCHEDULE_[[#This Row],[CONTEST_CODE]],"_",$S$2),_group_[ИД2],0),MATCH($S$1,_group_[#Headers],0)),"---"),".",",")</f>
        <v>BANK</v>
      </c>
      <c r="T224" s="41" t="str">
        <f>SUBSTITUTE(IFERROR(INDEX(_group_[],MATCH(CONCATENATE(_SCHEDULE_[[#This Row],[CONTEST_CODE]],"_",$T$2),_group_[ИД2],0),MATCH($T$1,_group_[#Headers],0)),"---"),".",",")</f>
        <v>---</v>
      </c>
      <c r="U224" s="41" t="str">
        <f>SUBSTITUTE(IFERROR(INDEX(_group_[],MATCH(CONCATENATE(_SCHEDULE_[[#This Row],[CONTEST_CODE]],"_",$U$2),_group_[ИД2],0),MATCH($U$1,_group_[#Headers],0)),"---"),".",",")</f>
        <v>GOSB</v>
      </c>
      <c r="V224" s="41" t="str">
        <f>SUBSTITUTE(IFERROR(INDEX(_group_[],MATCH(CONCATENATE(_SCHEDULE_[[#This Row],[CONTEST_CODE]],"_",$V$2),_group_[ИД2],0),MATCH($V$1,_group_[#Headers],0)),"---"),".",",")</f>
        <v>---</v>
      </c>
      <c r="W224" s="41" t="str">
        <f>IFERROR(INDEX(_INDICATOR_[],MATCH(_SCHEDULE_[[#This Row],[CONTEST_CODE]],_INDICATOR_[CONTEST_CODE],0),MATCH($W$2,_INDICATOR_[#Headers],0)),"-")</f>
        <v>WAIT</v>
      </c>
      <c r="X224" s="41" t="str">
        <f>IFERROR(INDEX(_group_[],MATCH(_SCHEDULE_[[#This Row],[CONTEST_CODE]],_group_[CONTEST_CODE],0),MATCH($X$2,_group_[#Headers],0)),"-")</f>
        <v>BANK</v>
      </c>
      <c r="Y224" s="61" t="str">
        <f>IFERROR(INDEX(_DATA_[],MATCH(_SCHEDULE_[[#This Row],[CONTEST_CODE]],_DATA_[CONTEST_CODE],0),MATCH($Y$2,_DATA_[#Headers],0)),"-")</f>
        <v>Гарантии. Прирост комиссии</v>
      </c>
      <c r="Z224" s="41" t="str">
        <f>IFERROR(INDEX(_reward_link_[],MATCH(_SCHEDULE_[[#This Row],[CONTEST_CODE]],_reward_link_[CONTEST_CODE],0),MATCH($Z$2,_reward_link_[#Headers],0)),"-")</f>
        <v>BANK</v>
      </c>
      <c r="AA224" s="41" t="str">
        <f>IFERROR(INDEX(_report[],MATCH(_SCHEDULE_[[#This Row],[CONTEST_CODE]],_report[CONTEST_CODE],0),MATCH($AA$2,_report[#Headers],0)),"-")</f>
        <v>-</v>
      </c>
      <c r="AB224"/>
    </row>
    <row r="225" spans="1:28" x14ac:dyDescent="0.25">
      <c r="A225" s="14" t="s">
        <v>2524</v>
      </c>
      <c r="B225" s="14" t="s">
        <v>662</v>
      </c>
      <c r="C225" s="14" t="s">
        <v>2508</v>
      </c>
      <c r="D225" s="14" t="s">
        <v>2509</v>
      </c>
      <c r="E225" s="14" t="s">
        <v>2510</v>
      </c>
      <c r="F225" s="14" t="s">
        <v>194</v>
      </c>
      <c r="G225" s="14" t="s">
        <v>194</v>
      </c>
      <c r="H225" s="14" t="s">
        <v>194</v>
      </c>
      <c r="I225" s="14" t="s">
        <v>194</v>
      </c>
      <c r="J225" s="14" t="s">
        <v>194</v>
      </c>
      <c r="K225" s="14" t="s">
        <v>34</v>
      </c>
      <c r="L225" s="14" t="s">
        <v>2188</v>
      </c>
      <c r="M225" s="14" t="s">
        <v>3603</v>
      </c>
      <c r="N225" s="14" t="s">
        <v>32</v>
      </c>
      <c r="O225" s="14" t="s">
        <v>2525</v>
      </c>
      <c r="P225" s="14" t="s">
        <v>1064</v>
      </c>
      <c r="R225" s="38">
        <f>IFERROR(COUNTIFS(_report[TOURNAMENT_CODE],_SCHEDULE_[[#This Row],[TOURNAMENT_CODE]],_report[CONTEST_CODE],_SCHEDULE_[[#This Row],[CONTEST_CODE]]),"-")</f>
        <v>0</v>
      </c>
      <c r="S225" s="41" t="str">
        <f>SUBSTITUTE(IFERROR(INDEX(_group_[],MATCH(CONCATENATE(_SCHEDULE_[[#This Row],[CONTEST_CODE]],"_",$S$2),_group_[ИД2],0),MATCH($S$1,_group_[#Headers],0)),"---"),".",",")</f>
        <v>BANK</v>
      </c>
      <c r="T225" s="41" t="str">
        <f>SUBSTITUTE(IFERROR(INDEX(_group_[],MATCH(CONCATENATE(_SCHEDULE_[[#This Row],[CONTEST_CODE]],"_",$T$2),_group_[ИД2],0),MATCH($T$1,_group_[#Headers],0)),"---"),".",",")</f>
        <v>---</v>
      </c>
      <c r="U225" s="41" t="str">
        <f>SUBSTITUTE(IFERROR(INDEX(_group_[],MATCH(CONCATENATE(_SCHEDULE_[[#This Row],[CONTEST_CODE]],"_",$U$2),_group_[ИД2],0),MATCH($U$1,_group_[#Headers],0)),"---"),".",",")</f>
        <v>---</v>
      </c>
      <c r="V225" s="41" t="str">
        <f>SUBSTITUTE(IFERROR(INDEX(_group_[],MATCH(CONCATENATE(_SCHEDULE_[[#This Row],[CONTEST_CODE]],"_",$V$2),_group_[ИД2],0),MATCH($V$1,_group_[#Headers],0)),"---"),".",",")</f>
        <v>---</v>
      </c>
      <c r="W225" s="41" t="str">
        <f>IFERROR(INDEX(_INDICATOR_[],MATCH(_SCHEDULE_[[#This Row],[CONTEST_CODE]],_INDICATOR_[CONTEST_CODE],0),MATCH($W$2,_INDICATOR_[#Headers],0)),"-")</f>
        <v>PFIMIS_CUSTOMER_ID</v>
      </c>
      <c r="X225" s="41" t="str">
        <f>IFERROR(INDEX(_group_[],MATCH(_SCHEDULE_[[#This Row],[CONTEST_CODE]],_group_[CONTEST_CODE],0),MATCH($X$2,_group_[#Headers],0)),"-")</f>
        <v>BANK</v>
      </c>
      <c r="Y225" s="61" t="str">
        <f>IFERROR(INDEX(_DATA_[],MATCH(_SCHEDULE_[[#This Row],[CONTEST_CODE]],_DATA_[CONTEST_CODE],0),MATCH($Y$2,_DATA_[#Headers],0)),"-")</f>
        <v>CAPMAN 1 клиент</v>
      </c>
      <c r="Z225" s="41" t="str">
        <f>IFERROR(INDEX(_reward_link_[],MATCH(_SCHEDULE_[[#This Row],[CONTEST_CODE]],_reward_link_[CONTEST_CODE],0),MATCH($Z$2,_reward_link_[#Headers],0)),"-")</f>
        <v>BANK</v>
      </c>
      <c r="AA225" s="41" t="str">
        <f>IFERROR(INDEX(_report[],MATCH(_SCHEDULE_[[#This Row],[CONTEST_CODE]],_report[CONTEST_CODE],0),MATCH($AA$2,_report[#Headers],0)),"-")</f>
        <v>-</v>
      </c>
      <c r="AB225"/>
    </row>
    <row r="226" spans="1:28" x14ac:dyDescent="0.25">
      <c r="A226" s="14" t="s">
        <v>2526</v>
      </c>
      <c r="B226" s="14" t="s">
        <v>662</v>
      </c>
      <c r="C226" s="14" t="s">
        <v>2508</v>
      </c>
      <c r="D226" s="14" t="s">
        <v>2509</v>
      </c>
      <c r="E226" s="14" t="s">
        <v>2510</v>
      </c>
      <c r="F226" s="14" t="s">
        <v>194</v>
      </c>
      <c r="G226" s="14" t="s">
        <v>194</v>
      </c>
      <c r="H226" s="14" t="s">
        <v>194</v>
      </c>
      <c r="I226" s="14" t="s">
        <v>194</v>
      </c>
      <c r="J226" s="14" t="s">
        <v>194</v>
      </c>
      <c r="K226" s="14" t="s">
        <v>34</v>
      </c>
      <c r="L226" s="14" t="s">
        <v>2190</v>
      </c>
      <c r="M226" s="14" t="s">
        <v>3603</v>
      </c>
      <c r="N226" s="14" t="s">
        <v>32</v>
      </c>
      <c r="O226" s="14" t="s">
        <v>2527</v>
      </c>
      <c r="P226" s="14" t="s">
        <v>1064</v>
      </c>
      <c r="R226" s="38">
        <f>IFERROR(COUNTIFS(_report[TOURNAMENT_CODE],_SCHEDULE_[[#This Row],[TOURNAMENT_CODE]],_report[CONTEST_CODE],_SCHEDULE_[[#This Row],[CONTEST_CODE]]),"-")</f>
        <v>0</v>
      </c>
      <c r="S226" s="41" t="str">
        <f>SUBSTITUTE(IFERROR(INDEX(_group_[],MATCH(CONCATENATE(_SCHEDULE_[[#This Row],[CONTEST_CODE]],"_",$S$2),_group_[ИД2],0),MATCH($S$1,_group_[#Headers],0)),"---"),".",",")</f>
        <v>BANK</v>
      </c>
      <c r="T226" s="41" t="str">
        <f>SUBSTITUTE(IFERROR(INDEX(_group_[],MATCH(CONCATENATE(_SCHEDULE_[[#This Row],[CONTEST_CODE]],"_",$T$2),_group_[ИД2],0),MATCH($T$1,_group_[#Headers],0)),"---"),".",",")</f>
        <v>---</v>
      </c>
      <c r="U226" s="41" t="str">
        <f>SUBSTITUTE(IFERROR(INDEX(_group_[],MATCH(CONCATENATE(_SCHEDULE_[[#This Row],[CONTEST_CODE]],"_",$U$2),_group_[ИД2],0),MATCH($U$1,_group_[#Headers],0)),"---"),".",",")</f>
        <v>---</v>
      </c>
      <c r="V226" s="41" t="str">
        <f>SUBSTITUTE(IFERROR(INDEX(_group_[],MATCH(CONCATENATE(_SCHEDULE_[[#This Row],[CONTEST_CODE]],"_",$V$2),_group_[ИД2],0),MATCH($V$1,_group_[#Headers],0)),"---"),".",",")</f>
        <v>---</v>
      </c>
      <c r="W226" s="41" t="str">
        <f>IFERROR(INDEX(_INDICATOR_[],MATCH(_SCHEDULE_[[#This Row],[CONTEST_CODE]],_INDICATOR_[CONTEST_CODE],0),MATCH($W$2,_INDICATOR_[#Headers],0)),"-")</f>
        <v>PFIMIS_CUSTOMER_ID</v>
      </c>
      <c r="X226" s="41" t="str">
        <f>IFERROR(INDEX(_group_[],MATCH(_SCHEDULE_[[#This Row],[CONTEST_CODE]],_group_[CONTEST_CODE],0),MATCH($X$2,_group_[#Headers],0)),"-")</f>
        <v>BANK</v>
      </c>
      <c r="Y226" s="61" t="str">
        <f>IFERROR(INDEX(_DATA_[],MATCH(_SCHEDULE_[[#This Row],[CONTEST_CODE]],_DATA_[CONTEST_CODE],0),MATCH($Y$2,_DATA_[#Headers],0)),"-")</f>
        <v>CAPMAN 3 клиента</v>
      </c>
      <c r="Z226" s="41" t="str">
        <f>IFERROR(INDEX(_reward_link_[],MATCH(_SCHEDULE_[[#This Row],[CONTEST_CODE]],_reward_link_[CONTEST_CODE],0),MATCH($Z$2,_reward_link_[#Headers],0)),"-")</f>
        <v>BANK</v>
      </c>
      <c r="AA226" s="41" t="str">
        <f>IFERROR(INDEX(_report[],MATCH(_SCHEDULE_[[#This Row],[CONTEST_CODE]],_report[CONTEST_CODE],0),MATCH($AA$2,_report[#Headers],0)),"-")</f>
        <v>-</v>
      </c>
      <c r="AB226"/>
    </row>
    <row r="227" spans="1:28" x14ac:dyDescent="0.25">
      <c r="A227" s="14" t="s">
        <v>2528</v>
      </c>
      <c r="B227" s="14" t="s">
        <v>662</v>
      </c>
      <c r="C227" s="14" t="s">
        <v>2508</v>
      </c>
      <c r="D227" s="14" t="s">
        <v>2509</v>
      </c>
      <c r="E227" s="14" t="s">
        <v>2510</v>
      </c>
      <c r="F227" s="14" t="s">
        <v>194</v>
      </c>
      <c r="G227" s="14" t="s">
        <v>194</v>
      </c>
      <c r="H227" s="14" t="s">
        <v>194</v>
      </c>
      <c r="I227" s="14" t="s">
        <v>194</v>
      </c>
      <c r="J227" s="14" t="s">
        <v>194</v>
      </c>
      <c r="K227" s="14" t="s">
        <v>34</v>
      </c>
      <c r="L227" s="14" t="s">
        <v>2192</v>
      </c>
      <c r="M227" s="14" t="s">
        <v>3603</v>
      </c>
      <c r="N227" s="14" t="s">
        <v>32</v>
      </c>
      <c r="O227" s="14" t="s">
        <v>2529</v>
      </c>
      <c r="P227" s="14" t="s">
        <v>1064</v>
      </c>
      <c r="R227" s="38">
        <f>IFERROR(COUNTIFS(_report[TOURNAMENT_CODE],_SCHEDULE_[[#This Row],[TOURNAMENT_CODE]],_report[CONTEST_CODE],_SCHEDULE_[[#This Row],[CONTEST_CODE]]),"-")</f>
        <v>0</v>
      </c>
      <c r="S227" s="41" t="str">
        <f>SUBSTITUTE(IFERROR(INDEX(_group_[],MATCH(CONCATENATE(_SCHEDULE_[[#This Row],[CONTEST_CODE]],"_",$S$2),_group_[ИД2],0),MATCH($S$1,_group_[#Headers],0)),"---"),".",",")</f>
        <v>BANK</v>
      </c>
      <c r="T227" s="41" t="str">
        <f>SUBSTITUTE(IFERROR(INDEX(_group_[],MATCH(CONCATENATE(_SCHEDULE_[[#This Row],[CONTEST_CODE]],"_",$T$2),_group_[ИД2],0),MATCH($T$1,_group_[#Headers],0)),"---"),".",",")</f>
        <v>---</v>
      </c>
      <c r="U227" s="41" t="str">
        <f>SUBSTITUTE(IFERROR(INDEX(_group_[],MATCH(CONCATENATE(_SCHEDULE_[[#This Row],[CONTEST_CODE]],"_",$U$2),_group_[ИД2],0),MATCH($U$1,_group_[#Headers],0)),"---"),".",",")</f>
        <v>---</v>
      </c>
      <c r="V227" s="41" t="str">
        <f>SUBSTITUTE(IFERROR(INDEX(_group_[],MATCH(CONCATENATE(_SCHEDULE_[[#This Row],[CONTEST_CODE]],"_",$V$2),_group_[ИД2],0),MATCH($V$1,_group_[#Headers],0)),"---"),".",",")</f>
        <v>---</v>
      </c>
      <c r="W227" s="41" t="str">
        <f>IFERROR(INDEX(_INDICATOR_[],MATCH(_SCHEDULE_[[#This Row],[CONTEST_CODE]],_INDICATOR_[CONTEST_CODE],0),MATCH($W$2,_INDICATOR_[#Headers],0)),"-")</f>
        <v>PFIMIS_CUSTOMER_ID</v>
      </c>
      <c r="X227" s="41" t="str">
        <f>IFERROR(INDEX(_group_[],MATCH(_SCHEDULE_[[#This Row],[CONTEST_CODE]],_group_[CONTEST_CODE],0),MATCH($X$2,_group_[#Headers],0)),"-")</f>
        <v>BANK</v>
      </c>
      <c r="Y227" s="61" t="str">
        <f>IFERROR(INDEX(_DATA_[],MATCH(_SCHEDULE_[[#This Row],[CONTEST_CODE]],_DATA_[CONTEST_CODE],0),MATCH($Y$2,_DATA_[#Headers],0)),"-")</f>
        <v>CAPMAN 10 клиентов</v>
      </c>
      <c r="Z227" s="41" t="str">
        <f>IFERROR(INDEX(_reward_link_[],MATCH(_SCHEDULE_[[#This Row],[CONTEST_CODE]],_reward_link_[CONTEST_CODE],0),MATCH($Z$2,_reward_link_[#Headers],0)),"-")</f>
        <v>BANK</v>
      </c>
      <c r="AA227" s="41" t="str">
        <f>IFERROR(INDEX(_report[],MATCH(_SCHEDULE_[[#This Row],[CONTEST_CODE]],_report[CONTEST_CODE],0),MATCH($AA$2,_report[#Headers],0)),"-")</f>
        <v>-</v>
      </c>
      <c r="AB227"/>
    </row>
    <row r="228" spans="1:28" hidden="1" x14ac:dyDescent="0.25">
      <c r="A228" s="14" t="s">
        <v>2530</v>
      </c>
      <c r="B228" s="14" t="s">
        <v>208</v>
      </c>
      <c r="C228" s="14" t="s">
        <v>2521</v>
      </c>
      <c r="D228" s="14" t="s">
        <v>2522</v>
      </c>
      <c r="E228" s="14" t="s">
        <v>4105</v>
      </c>
      <c r="F228" s="14" t="s">
        <v>194</v>
      </c>
      <c r="G228" s="14" t="s">
        <v>194</v>
      </c>
      <c r="H228" s="14" t="s">
        <v>194</v>
      </c>
      <c r="I228" s="14" t="s">
        <v>194</v>
      </c>
      <c r="J228" s="14" t="s">
        <v>194</v>
      </c>
      <c r="K228" s="14" t="s">
        <v>176</v>
      </c>
      <c r="L228" s="14" t="s">
        <v>2194</v>
      </c>
      <c r="M228" s="14" t="s">
        <v>3603</v>
      </c>
      <c r="N228" s="14" t="s">
        <v>2</v>
      </c>
      <c r="O228" s="14" t="s">
        <v>2531</v>
      </c>
      <c r="P228" s="14" t="s">
        <v>1064</v>
      </c>
      <c r="R228" s="38">
        <f>IFERROR(COUNTIFS(_report[TOURNAMENT_CODE],_SCHEDULE_[[#This Row],[TOURNAMENT_CODE]],_report[CONTEST_CODE],_SCHEDULE_[[#This Row],[CONTEST_CODE]]),"-")</f>
        <v>0</v>
      </c>
      <c r="S228" s="39" t="str">
        <f>SUBSTITUTE(IFERROR(INDEX(_group_[],MATCH(CONCATENATE(_SCHEDULE_[[#This Row],[CONTEST_CODE]],"_",$S$2),_group_[ИД2],0),MATCH($S$1,_group_[#Headers],0)),"---"),".",",")</f>
        <v>BANK</v>
      </c>
      <c r="T228" s="39" t="str">
        <f>SUBSTITUTE(IFERROR(INDEX(_group_[],MATCH(CONCATENATE(_SCHEDULE_[[#This Row],[CONTEST_CODE]],"_",$T$2),_group_[ИД2],0),MATCH($T$1,_group_[#Headers],0)),"---"),".",",")</f>
        <v>TB</v>
      </c>
      <c r="U228" s="39" t="str">
        <f>SUBSTITUTE(IFERROR(INDEX(_group_[],MATCH(CONCATENATE(_SCHEDULE_[[#This Row],[CONTEST_CODE]],"_",$U$2),_group_[ИД2],0),MATCH($U$1,_group_[#Headers],0)),"---"),".",",")</f>
        <v>GOSB</v>
      </c>
      <c r="V228" s="39" t="str">
        <f>SUBSTITUTE(IFERROR(INDEX(_group_[],MATCH(CONCATENATE(_SCHEDULE_[[#This Row],[CONTEST_CODE]],"_",$V$2),_group_[ИД2],0),MATCH($V$1,_group_[#Headers],0)),"---"),".",",")</f>
        <v>---</v>
      </c>
      <c r="W228" s="41" t="str">
        <f>IFERROR(INDEX(_INDICATOR_[],MATCH(_SCHEDULE_[[#This Row],[CONTEST_CODE]],_INDICATOR_[CONTEST_CODE],0),MATCH($W$2,_INDICATOR_[#Headers],0)),"-")</f>
        <v>WAIT</v>
      </c>
      <c r="X228" s="41" t="str">
        <f>IFERROR(INDEX(_group_[],MATCH(_SCHEDULE_[[#This Row],[CONTEST_CODE]],_group_[CONTEST_CODE],0),MATCH($X$2,_group_[#Headers],0)),"-")</f>
        <v>BANK</v>
      </c>
      <c r="Y228" s="61" t="str">
        <f>IFERROR(INDEX(_DATA_[],MATCH(_SCHEDULE_[[#This Row],[CONTEST_CODE]],_DATA_[CONTEST_CODE],0),MATCH($Y$2,_DATA_[#Headers],0)),"-")</f>
        <v>Активы. Максимизируй прирост остатка</v>
      </c>
      <c r="Z228" s="41" t="str">
        <f>IFERROR(INDEX(_reward_link_[],MATCH(_SCHEDULE_[[#This Row],[CONTEST_CODE]],_reward_link_[CONTEST_CODE],0),MATCH($Z$2,_reward_link_[#Headers],0)),"-")</f>
        <v>BANK</v>
      </c>
      <c r="AA228" s="41" t="str">
        <f>IFERROR(INDEX(_report[],MATCH(_SCHEDULE_[[#This Row],[CONTEST_CODE]],_report[CONTEST_CODE],0),MATCH($AA$2,_report[#Headers],0)),"-")</f>
        <v>-</v>
      </c>
      <c r="AB228"/>
    </row>
    <row r="229" spans="1:28" hidden="1" x14ac:dyDescent="0.25">
      <c r="A229" s="14" t="s">
        <v>3221</v>
      </c>
      <c r="B229" s="14" t="s">
        <v>186</v>
      </c>
      <c r="C229" s="14" t="s">
        <v>3219</v>
      </c>
      <c r="D229" s="14" t="s">
        <v>2534</v>
      </c>
      <c r="E229" s="14" t="s">
        <v>4154</v>
      </c>
      <c r="F229" s="14" t="s">
        <v>194</v>
      </c>
      <c r="G229" s="14" t="s">
        <v>194</v>
      </c>
      <c r="H229" s="14" t="s">
        <v>194</v>
      </c>
      <c r="I229" s="14" t="s">
        <v>194</v>
      </c>
      <c r="J229" s="14" t="s">
        <v>194</v>
      </c>
      <c r="K229" s="14" t="s">
        <v>176</v>
      </c>
      <c r="L229" s="14" t="s">
        <v>2194</v>
      </c>
      <c r="M229" s="14" t="s">
        <v>3603</v>
      </c>
      <c r="N229" s="14" t="s">
        <v>2</v>
      </c>
      <c r="O229" s="14" t="s">
        <v>3222</v>
      </c>
      <c r="P229" s="14" t="s">
        <v>1064</v>
      </c>
      <c r="R229" s="38">
        <f>IFERROR(COUNTIFS(_report[TOURNAMENT_CODE],_SCHEDULE_[[#This Row],[TOURNAMENT_CODE]],_report[CONTEST_CODE],_SCHEDULE_[[#This Row],[CONTEST_CODE]]),"-")</f>
        <v>0</v>
      </c>
      <c r="S229" s="41" t="str">
        <f>SUBSTITUTE(IFERROR(INDEX(_group_[],MATCH(CONCATENATE(_SCHEDULE_[[#This Row],[CONTEST_CODE]],"_",$S$2),_group_[ИД2],0),MATCH($S$1,_group_[#Headers],0)),"---"),".",",")</f>
        <v>BANK</v>
      </c>
      <c r="T229" s="41" t="str">
        <f>SUBSTITUTE(IFERROR(INDEX(_group_[],MATCH(CONCATENATE(_SCHEDULE_[[#This Row],[CONTEST_CODE]],"_",$T$2),_group_[ИД2],0),MATCH($T$1,_group_[#Headers],0)),"---"),".",",")</f>
        <v>TB</v>
      </c>
      <c r="U229" s="41" t="str">
        <f>SUBSTITUTE(IFERROR(INDEX(_group_[],MATCH(CONCATENATE(_SCHEDULE_[[#This Row],[CONTEST_CODE]],"_",$U$2),_group_[ИД2],0),MATCH($U$1,_group_[#Headers],0)),"---"),".",",")</f>
        <v>GOSB</v>
      </c>
      <c r="V229" s="41" t="str">
        <f>SUBSTITUTE(IFERROR(INDEX(_group_[],MATCH(CONCATENATE(_SCHEDULE_[[#This Row],[CONTEST_CODE]],"_",$V$2),_group_[ИД2],0),MATCH($V$1,_group_[#Headers],0)),"---"),".",",")</f>
        <v>---</v>
      </c>
      <c r="W229" s="41" t="str">
        <f>IFERROR(INDEX(_INDICATOR_[],MATCH(_SCHEDULE_[[#This Row],[CONTEST_CODE]],_INDICATOR_[CONTEST_CODE],0),MATCH($W$2,_INDICATOR_[#Headers],0)),"-")</f>
        <v>WAIT</v>
      </c>
      <c r="X229" s="41" t="str">
        <f>IFERROR(INDEX(_group_[],MATCH(_SCHEDULE_[[#This Row],[CONTEST_CODE]],_group_[CONTEST_CODE],0),MATCH($X$2,_group_[#Headers],0)),"-")</f>
        <v>BANK</v>
      </c>
      <c r="Y229" s="61" t="str">
        <f>IFERROR(INDEX(_DATA_[],MATCH(_SCHEDULE_[[#This Row],[CONTEST_CODE]],_DATA_[CONTEST_CODE],0),MATCH($Y$2,_DATA_[#Headers],0)),"-")</f>
        <v>Активы. Максимизируй прирост остатка</v>
      </c>
      <c r="Z229" s="41" t="str">
        <f>IFERROR(INDEX(_reward_link_[],MATCH(_SCHEDULE_[[#This Row],[CONTEST_CODE]],_reward_link_[CONTEST_CODE],0),MATCH($Z$2,_reward_link_[#Headers],0)),"-")</f>
        <v>BANK</v>
      </c>
      <c r="AA229" s="41" t="str">
        <f>IFERROR(INDEX(_report[],MATCH(_SCHEDULE_[[#This Row],[CONTEST_CODE]],_report[CONTEST_CODE],0),MATCH($AA$2,_report[#Headers],0)),"-")</f>
        <v>-</v>
      </c>
      <c r="AB229"/>
    </row>
    <row r="230" spans="1:28" hidden="1" x14ac:dyDescent="0.25">
      <c r="A230" s="14" t="s">
        <v>3649</v>
      </c>
      <c r="B230" s="14" t="s">
        <v>191</v>
      </c>
      <c r="C230" s="14" t="s">
        <v>4019</v>
      </c>
      <c r="D230" s="14" t="s">
        <v>3647</v>
      </c>
      <c r="E230" s="14" t="s">
        <v>4776</v>
      </c>
      <c r="F230" s="14" t="s">
        <v>194</v>
      </c>
      <c r="G230" s="14" t="s">
        <v>194</v>
      </c>
      <c r="H230" s="14" t="s">
        <v>194</v>
      </c>
      <c r="I230" s="14" t="s">
        <v>194</v>
      </c>
      <c r="J230" s="14" t="s">
        <v>194</v>
      </c>
      <c r="K230" s="14" t="s">
        <v>176</v>
      </c>
      <c r="L230" s="14" t="s">
        <v>2194</v>
      </c>
      <c r="M230" s="14" t="s">
        <v>3603</v>
      </c>
      <c r="N230" s="14" t="s">
        <v>2</v>
      </c>
      <c r="O230" s="14" t="s">
        <v>3650</v>
      </c>
      <c r="P230" s="14" t="s">
        <v>1064</v>
      </c>
      <c r="R230" s="38">
        <f>IFERROR(COUNTIFS(_report[TOURNAMENT_CODE],_SCHEDULE_[[#This Row],[TOURNAMENT_CODE]],_report[CONTEST_CODE],_SCHEDULE_[[#This Row],[CONTEST_CODE]]),"-")</f>
        <v>0</v>
      </c>
      <c r="S230" s="41" t="str">
        <f>SUBSTITUTE(IFERROR(INDEX(_group_[],MATCH(CONCATENATE(_SCHEDULE_[[#This Row],[CONTEST_CODE]],"_",$S$2),_group_[ИД2],0),MATCH($S$1,_group_[#Headers],0)),"---"),".",",")</f>
        <v>BANK</v>
      </c>
      <c r="T230" s="41" t="str">
        <f>SUBSTITUTE(IFERROR(INDEX(_group_[],MATCH(CONCATENATE(_SCHEDULE_[[#This Row],[CONTEST_CODE]],"_",$T$2),_group_[ИД2],0),MATCH($T$1,_group_[#Headers],0)),"---"),".",",")</f>
        <v>TB</v>
      </c>
      <c r="U230" s="41" t="str">
        <f>SUBSTITUTE(IFERROR(INDEX(_group_[],MATCH(CONCATENATE(_SCHEDULE_[[#This Row],[CONTEST_CODE]],"_",$U$2),_group_[ИД2],0),MATCH($U$1,_group_[#Headers],0)),"---"),".",",")</f>
        <v>GOSB</v>
      </c>
      <c r="V230" s="41" t="str">
        <f>SUBSTITUTE(IFERROR(INDEX(_group_[],MATCH(CONCATENATE(_SCHEDULE_[[#This Row],[CONTEST_CODE]],"_",$V$2),_group_[ИД2],0),MATCH($V$1,_group_[#Headers],0)),"---"),".",",")</f>
        <v>---</v>
      </c>
      <c r="W230" s="41" t="str">
        <f>IFERROR(INDEX(_INDICATOR_[],MATCH(_SCHEDULE_[[#This Row],[CONTEST_CODE]],_INDICATOR_[CONTEST_CODE],0),MATCH($W$2,_INDICATOR_[#Headers],0)),"-")</f>
        <v>WAIT</v>
      </c>
      <c r="X230" s="41" t="str">
        <f>IFERROR(INDEX(_group_[],MATCH(_SCHEDULE_[[#This Row],[CONTEST_CODE]],_group_[CONTEST_CODE],0),MATCH($X$2,_group_[#Headers],0)),"-")</f>
        <v>BANK</v>
      </c>
      <c r="Y230" s="61" t="str">
        <f>IFERROR(INDEX(_DATA_[],MATCH(_SCHEDULE_[[#This Row],[CONTEST_CODE]],_DATA_[CONTEST_CODE],0),MATCH($Y$2,_DATA_[#Headers],0)),"-")</f>
        <v>Активы. Максимизируй прирост остатка</v>
      </c>
      <c r="Z230" s="41" t="str">
        <f>IFERROR(INDEX(_reward_link_[],MATCH(_SCHEDULE_[[#This Row],[CONTEST_CODE]],_reward_link_[CONTEST_CODE],0),MATCH($Z$2,_reward_link_[#Headers],0)),"-")</f>
        <v>BANK</v>
      </c>
      <c r="AA230" s="41" t="str">
        <f>IFERROR(INDEX(_report[],MATCH(_SCHEDULE_[[#This Row],[CONTEST_CODE]],_report[CONTEST_CODE],0),MATCH($AA$2,_report[#Headers],0)),"-")</f>
        <v>-</v>
      </c>
      <c r="AB230"/>
    </row>
    <row r="231" spans="1:28" x14ac:dyDescent="0.25">
      <c r="A231" s="14" t="s">
        <v>4759</v>
      </c>
      <c r="B231" s="14" t="s">
        <v>209</v>
      </c>
      <c r="C231" s="14" t="s">
        <v>2554</v>
      </c>
      <c r="D231" s="14" t="s">
        <v>4756</v>
      </c>
      <c r="E231" s="14" t="s">
        <v>4757</v>
      </c>
      <c r="F231" s="14" t="s">
        <v>194</v>
      </c>
      <c r="G231" s="14" t="s">
        <v>194</v>
      </c>
      <c r="H231" s="14" t="s">
        <v>194</v>
      </c>
      <c r="I231" s="14" t="s">
        <v>194</v>
      </c>
      <c r="J231" s="14" t="s">
        <v>194</v>
      </c>
      <c r="K231" s="14" t="s">
        <v>34</v>
      </c>
      <c r="L231" s="14" t="s">
        <v>2194</v>
      </c>
      <c r="M231" s="14" t="s">
        <v>3603</v>
      </c>
      <c r="N231" s="14" t="s">
        <v>2</v>
      </c>
      <c r="O231" s="14" t="s">
        <v>4760</v>
      </c>
      <c r="P231" s="14" t="s">
        <v>1064</v>
      </c>
      <c r="R231" s="38">
        <f>IFERROR(COUNTIFS(_report[TOURNAMENT_CODE],_SCHEDULE_[[#This Row],[TOURNAMENT_CODE]],_report[CONTEST_CODE],_SCHEDULE_[[#This Row],[CONTEST_CODE]]),"-")</f>
        <v>0</v>
      </c>
      <c r="S231" s="41" t="str">
        <f>SUBSTITUTE(IFERROR(INDEX(_group_[],MATCH(CONCATENATE(_SCHEDULE_[[#This Row],[CONTEST_CODE]],"_",$S$2),_group_[ИД2],0),MATCH($S$1,_group_[#Headers],0)),"---"),".",",")</f>
        <v>BANK</v>
      </c>
      <c r="T231" s="41" t="str">
        <f>SUBSTITUTE(IFERROR(INDEX(_group_[],MATCH(CONCATENATE(_SCHEDULE_[[#This Row],[CONTEST_CODE]],"_",$T$2),_group_[ИД2],0),MATCH($T$1,_group_[#Headers],0)),"---"),".",",")</f>
        <v>TB</v>
      </c>
      <c r="U231" s="41" t="str">
        <f>SUBSTITUTE(IFERROR(INDEX(_group_[],MATCH(CONCATENATE(_SCHEDULE_[[#This Row],[CONTEST_CODE]],"_",$U$2),_group_[ИД2],0),MATCH($U$1,_group_[#Headers],0)),"---"),".",",")</f>
        <v>GOSB</v>
      </c>
      <c r="V231" s="41" t="str">
        <f>SUBSTITUTE(IFERROR(INDEX(_group_[],MATCH(CONCATENATE(_SCHEDULE_[[#This Row],[CONTEST_CODE]],"_",$V$2),_group_[ИД2],0),MATCH($V$1,_group_[#Headers],0)),"---"),".",",")</f>
        <v>---</v>
      </c>
      <c r="W231" s="41" t="str">
        <f>IFERROR(INDEX(_INDICATOR_[],MATCH(_SCHEDULE_[[#This Row],[CONTEST_CODE]],_INDICATOR_[CONTEST_CODE],0),MATCH($W$2,_INDICATOR_[#Headers],0)),"-")</f>
        <v>WAIT</v>
      </c>
      <c r="X231" s="41" t="str">
        <f>IFERROR(INDEX(_group_[],MATCH(_SCHEDULE_[[#This Row],[CONTEST_CODE]],_group_[CONTEST_CODE],0),MATCH($X$2,_group_[#Headers],0)),"-")</f>
        <v>BANK</v>
      </c>
      <c r="Y231" s="61" t="str">
        <f>IFERROR(INDEX(_DATA_[],MATCH(_SCHEDULE_[[#This Row],[CONTEST_CODE]],_DATA_[CONTEST_CODE],0),MATCH($Y$2,_DATA_[#Headers],0)),"-")</f>
        <v>Активы. Максимизируй прирост остатка</v>
      </c>
      <c r="Z231" s="41" t="str">
        <f>IFERROR(INDEX(_reward_link_[],MATCH(_SCHEDULE_[[#This Row],[CONTEST_CODE]],_reward_link_[CONTEST_CODE],0),MATCH($Z$2,_reward_link_[#Headers],0)),"-")</f>
        <v>BANK</v>
      </c>
      <c r="AA231" s="41" t="str">
        <f>IFERROR(INDEX(_report[],MATCH(_SCHEDULE_[[#This Row],[CONTEST_CODE]],_report[CONTEST_CODE],0),MATCH($AA$2,_report[#Headers],0)),"-")</f>
        <v>-</v>
      </c>
      <c r="AB231"/>
    </row>
    <row r="232" spans="1:28" x14ac:dyDescent="0.25">
      <c r="A232" s="14" t="s">
        <v>4811</v>
      </c>
      <c r="B232" s="14" t="s">
        <v>210</v>
      </c>
      <c r="C232" s="14" t="s">
        <v>4809</v>
      </c>
      <c r="D232" s="14" t="s">
        <v>2542</v>
      </c>
      <c r="E232" s="14" t="s">
        <v>3545</v>
      </c>
      <c r="F232" s="14" t="s">
        <v>194</v>
      </c>
      <c r="G232" s="14" t="s">
        <v>194</v>
      </c>
      <c r="H232" s="14" t="s">
        <v>194</v>
      </c>
      <c r="I232" s="14" t="s">
        <v>194</v>
      </c>
      <c r="J232" s="14" t="s">
        <v>194</v>
      </c>
      <c r="K232" s="14" t="s">
        <v>34</v>
      </c>
      <c r="L232" s="14" t="s">
        <v>2194</v>
      </c>
      <c r="M232" s="14" t="s">
        <v>3603</v>
      </c>
      <c r="N232" s="14" t="s">
        <v>2</v>
      </c>
      <c r="O232" s="14" t="s">
        <v>4812</v>
      </c>
      <c r="P232" s="14" t="s">
        <v>1064</v>
      </c>
      <c r="R232" s="38">
        <f>IFERROR(COUNTIFS(_report[TOURNAMENT_CODE],_SCHEDULE_[[#This Row],[TOURNAMENT_CODE]],_report[CONTEST_CODE],_SCHEDULE_[[#This Row],[CONTEST_CODE]]),"-")</f>
        <v>0</v>
      </c>
      <c r="S232" s="41" t="str">
        <f>SUBSTITUTE(IFERROR(INDEX(_group_[],MATCH(CONCATENATE(_SCHEDULE_[[#This Row],[CONTEST_CODE]],"_",$S$2),_group_[ИД2],0),MATCH($S$1,_group_[#Headers],0)),"---"),".",",")</f>
        <v>BANK</v>
      </c>
      <c r="T232" s="41" t="str">
        <f>SUBSTITUTE(IFERROR(INDEX(_group_[],MATCH(CONCATENATE(_SCHEDULE_[[#This Row],[CONTEST_CODE]],"_",$T$2),_group_[ИД2],0),MATCH($T$1,_group_[#Headers],0)),"---"),".",",")</f>
        <v>TB</v>
      </c>
      <c r="U232" s="41" t="str">
        <f>SUBSTITUTE(IFERROR(INDEX(_group_[],MATCH(CONCATENATE(_SCHEDULE_[[#This Row],[CONTEST_CODE]],"_",$U$2),_group_[ИД2],0),MATCH($U$1,_group_[#Headers],0)),"---"),".",",")</f>
        <v>GOSB</v>
      </c>
      <c r="V232" s="41" t="str">
        <f>SUBSTITUTE(IFERROR(INDEX(_group_[],MATCH(CONCATENATE(_SCHEDULE_[[#This Row],[CONTEST_CODE]],"_",$V$2),_group_[ИД2],0),MATCH($V$1,_group_[#Headers],0)),"---"),".",",")</f>
        <v>---</v>
      </c>
      <c r="W232" s="41" t="str">
        <f>IFERROR(INDEX(_INDICATOR_[],MATCH(_SCHEDULE_[[#This Row],[CONTEST_CODE]],_INDICATOR_[CONTEST_CODE],0),MATCH($W$2,_INDICATOR_[#Headers],0)),"-")</f>
        <v>WAIT</v>
      </c>
      <c r="X232" s="41" t="str">
        <f>IFERROR(INDEX(_group_[],MATCH(_SCHEDULE_[[#This Row],[CONTEST_CODE]],_group_[CONTEST_CODE],0),MATCH($X$2,_group_[#Headers],0)),"-")</f>
        <v>BANK</v>
      </c>
      <c r="Y232" s="61" t="str">
        <f>IFERROR(INDEX(_DATA_[],MATCH(_SCHEDULE_[[#This Row],[CONTEST_CODE]],_DATA_[CONTEST_CODE],0),MATCH($Y$2,_DATA_[#Headers],0)),"-")</f>
        <v>Активы. Максимизируй прирост остатка</v>
      </c>
      <c r="Z232" s="41" t="str">
        <f>IFERROR(INDEX(_reward_link_[],MATCH(_SCHEDULE_[[#This Row],[CONTEST_CODE]],_reward_link_[CONTEST_CODE],0),MATCH($Z$2,_reward_link_[#Headers],0)),"-")</f>
        <v>BANK</v>
      </c>
      <c r="AA232" s="41" t="str">
        <f>IFERROR(INDEX(_report[],MATCH(_SCHEDULE_[[#This Row],[CONTEST_CODE]],_report[CONTEST_CODE],0),MATCH($AA$2,_report[#Headers],0)),"-")</f>
        <v>-</v>
      </c>
      <c r="AB232"/>
    </row>
    <row r="233" spans="1:28" hidden="1" x14ac:dyDescent="0.25">
      <c r="A233" s="14" t="s">
        <v>2532</v>
      </c>
      <c r="B233" s="14" t="s">
        <v>2533</v>
      </c>
      <c r="C233" s="14" t="s">
        <v>2508</v>
      </c>
      <c r="D233" s="14" t="s">
        <v>2534</v>
      </c>
      <c r="E233" s="14" t="s">
        <v>4118</v>
      </c>
      <c r="F233" s="14" t="s">
        <v>194</v>
      </c>
      <c r="G233" s="14" t="s">
        <v>194</v>
      </c>
      <c r="H233" s="14" t="s">
        <v>194</v>
      </c>
      <c r="I233" s="14" t="s">
        <v>194</v>
      </c>
      <c r="J233" s="14" t="s">
        <v>194</v>
      </c>
      <c r="K233" s="14" t="s">
        <v>176</v>
      </c>
      <c r="L233" s="14" t="s">
        <v>2198</v>
      </c>
      <c r="M233" s="14" t="s">
        <v>3603</v>
      </c>
      <c r="N233" s="14" t="s">
        <v>2</v>
      </c>
      <c r="O233" s="14" t="s">
        <v>2536</v>
      </c>
      <c r="P233" s="14" t="s">
        <v>1064</v>
      </c>
      <c r="R233" s="38">
        <f>IFERROR(COUNTIFS(_report[TOURNAMENT_CODE],_SCHEDULE_[[#This Row],[TOURNAMENT_CODE]],_report[CONTEST_CODE],_SCHEDULE_[[#This Row],[CONTEST_CODE]]),"-")</f>
        <v>0</v>
      </c>
      <c r="S233" s="41" t="str">
        <f>SUBSTITUTE(IFERROR(INDEX(_group_[],MATCH(CONCATENATE(_SCHEDULE_[[#This Row],[CONTEST_CODE]],"_",$S$2),_group_[ИД2],0),MATCH($S$1,_group_[#Headers],0)),"---"),".",",")</f>
        <v>BANK</v>
      </c>
      <c r="T233" s="41" t="str">
        <f>SUBSTITUTE(IFERROR(INDEX(_group_[],MATCH(CONCATENATE(_SCHEDULE_[[#This Row],[CONTEST_CODE]],"_",$T$2),_group_[ИД2],0),MATCH($T$1,_group_[#Headers],0)),"---"),".",",")</f>
        <v>---</v>
      </c>
      <c r="U233" s="41" t="str">
        <f>SUBSTITUTE(IFERROR(INDEX(_group_[],MATCH(CONCATENATE(_SCHEDULE_[[#This Row],[CONTEST_CODE]],"_",$U$2),_group_[ИД2],0),MATCH($U$1,_group_[#Headers],0)),"---"),".",",")</f>
        <v>---</v>
      </c>
      <c r="V233" s="41" t="str">
        <f>SUBSTITUTE(IFERROR(INDEX(_group_[],MATCH(CONCATENATE(_SCHEDULE_[[#This Row],[CONTEST_CODE]],"_",$V$2),_group_[ИД2],0),MATCH($V$1,_group_[#Headers],0)),"---"),".",",")</f>
        <v>---</v>
      </c>
      <c r="W233" s="41" t="str">
        <f>IFERROR(INDEX(_INDICATOR_[],MATCH(_SCHEDULE_[[#This Row],[CONTEST_CODE]],_INDICATOR_[CONTEST_CODE],0),MATCH($W$2,_INDICATOR_[#Headers],0)),"-")</f>
        <v>WAIT</v>
      </c>
      <c r="X233" s="41" t="str">
        <f>IFERROR(INDEX(_group_[],MATCH(_SCHEDULE_[[#This Row],[CONTEST_CODE]],_group_[CONTEST_CODE],0),MATCH($X$2,_group_[#Headers],0)),"-")</f>
        <v>BANK</v>
      </c>
      <c r="Y233" s="61" t="str">
        <f>IFERROR(INDEX(_DATA_[],MATCH(_SCHEDULE_[[#This Row],[CONTEST_CODE]],_DATA_[CONTEST_CODE],0),MATCH($Y$2,_DATA_[#Headers],0)),"-")</f>
        <v>Лизинг. Максимизируй сумму договоров</v>
      </c>
      <c r="Z233" s="41" t="str">
        <f>IFERROR(INDEX(_reward_link_[],MATCH(_SCHEDULE_[[#This Row],[CONTEST_CODE]],_reward_link_[CONTEST_CODE],0),MATCH($Z$2,_reward_link_[#Headers],0)),"-")</f>
        <v>BANK</v>
      </c>
      <c r="AA233" s="41" t="str">
        <f>IFERROR(INDEX(_report[],MATCH(_SCHEDULE_[[#This Row],[CONTEST_CODE]],_report[CONTEST_CODE],0),MATCH($AA$2,_report[#Headers],0)),"-")</f>
        <v>-</v>
      </c>
      <c r="AB233"/>
    </row>
    <row r="234" spans="1:28" x14ac:dyDescent="0.25">
      <c r="A234" s="14" t="s">
        <v>3651</v>
      </c>
      <c r="B234" s="14" t="s">
        <v>3652</v>
      </c>
      <c r="C234" s="14" t="s">
        <v>4019</v>
      </c>
      <c r="D234" s="14" t="s">
        <v>2542</v>
      </c>
      <c r="E234" s="14" t="s">
        <v>3545</v>
      </c>
      <c r="F234" s="14" t="s">
        <v>194</v>
      </c>
      <c r="G234" s="14" t="s">
        <v>194</v>
      </c>
      <c r="H234" s="14" t="s">
        <v>194</v>
      </c>
      <c r="I234" s="14" t="s">
        <v>194</v>
      </c>
      <c r="J234" s="14" t="s">
        <v>194</v>
      </c>
      <c r="K234" s="14" t="s">
        <v>34</v>
      </c>
      <c r="L234" s="14" t="s">
        <v>2198</v>
      </c>
      <c r="M234" s="14" t="s">
        <v>3603</v>
      </c>
      <c r="N234" s="14" t="s">
        <v>2</v>
      </c>
      <c r="O234" s="14" t="s">
        <v>3653</v>
      </c>
      <c r="P234" s="14" t="s">
        <v>1064</v>
      </c>
      <c r="R234" s="38">
        <f>IFERROR(COUNTIFS(_report[TOURNAMENT_CODE],_SCHEDULE_[[#This Row],[TOURNAMENT_CODE]],_report[CONTEST_CODE],_SCHEDULE_[[#This Row],[CONTEST_CODE]]),"-")</f>
        <v>0</v>
      </c>
      <c r="S234" s="41" t="str">
        <f>SUBSTITUTE(IFERROR(INDEX(_group_[],MATCH(CONCATENATE(_SCHEDULE_[[#This Row],[CONTEST_CODE]],"_",$S$2),_group_[ИД2],0),MATCH($S$1,_group_[#Headers],0)),"---"),".",",")</f>
        <v>BANK</v>
      </c>
      <c r="T234" s="41" t="str">
        <f>SUBSTITUTE(IFERROR(INDEX(_group_[],MATCH(CONCATENATE(_SCHEDULE_[[#This Row],[CONTEST_CODE]],"_",$T$2),_group_[ИД2],0),MATCH($T$1,_group_[#Headers],0)),"---"),".",",")</f>
        <v>---</v>
      </c>
      <c r="U234" s="41" t="str">
        <f>SUBSTITUTE(IFERROR(INDEX(_group_[],MATCH(CONCATENATE(_SCHEDULE_[[#This Row],[CONTEST_CODE]],"_",$U$2),_group_[ИД2],0),MATCH($U$1,_group_[#Headers],0)),"---"),".",",")</f>
        <v>---</v>
      </c>
      <c r="V234" s="41" t="str">
        <f>SUBSTITUTE(IFERROR(INDEX(_group_[],MATCH(CONCATENATE(_SCHEDULE_[[#This Row],[CONTEST_CODE]],"_",$V$2),_group_[ИД2],0),MATCH($V$1,_group_[#Headers],0)),"---"),".",",")</f>
        <v>---</v>
      </c>
      <c r="W234" s="41" t="str">
        <f>IFERROR(INDEX(_INDICATOR_[],MATCH(_SCHEDULE_[[#This Row],[CONTEST_CODE]],_INDICATOR_[CONTEST_CODE],0),MATCH($W$2,_INDICATOR_[#Headers],0)),"-")</f>
        <v>WAIT</v>
      </c>
      <c r="X234" s="41" t="str">
        <f>IFERROR(INDEX(_group_[],MATCH(_SCHEDULE_[[#This Row],[CONTEST_CODE]],_group_[CONTEST_CODE],0),MATCH($X$2,_group_[#Headers],0)),"-")</f>
        <v>BANK</v>
      </c>
      <c r="Y234" s="61" t="str">
        <f>IFERROR(INDEX(_DATA_[],MATCH(_SCHEDULE_[[#This Row],[CONTEST_CODE]],_DATA_[CONTEST_CODE],0),MATCH($Y$2,_DATA_[#Headers],0)),"-")</f>
        <v>Лизинг. Максимизируй сумму договоров</v>
      </c>
      <c r="Z234" s="41" t="str">
        <f>IFERROR(INDEX(_reward_link_[],MATCH(_SCHEDULE_[[#This Row],[CONTEST_CODE]],_reward_link_[CONTEST_CODE],0),MATCH($Z$2,_reward_link_[#Headers],0)),"-")</f>
        <v>BANK</v>
      </c>
      <c r="AA234" s="41" t="str">
        <f>IFERROR(INDEX(_report[],MATCH(_SCHEDULE_[[#This Row],[CONTEST_CODE]],_report[CONTEST_CODE],0),MATCH($AA$2,_report[#Headers],0)),"-")</f>
        <v>-</v>
      </c>
      <c r="AB234"/>
    </row>
    <row r="235" spans="1:28" hidden="1" x14ac:dyDescent="0.25">
      <c r="A235" s="14" t="s">
        <v>2537</v>
      </c>
      <c r="B235" s="14" t="s">
        <v>208</v>
      </c>
      <c r="C235" s="14" t="s">
        <v>2521</v>
      </c>
      <c r="D235" s="14" t="s">
        <v>2522</v>
      </c>
      <c r="E235" s="14" t="s">
        <v>4119</v>
      </c>
      <c r="F235" s="14" t="s">
        <v>194</v>
      </c>
      <c r="G235" s="14" t="s">
        <v>194</v>
      </c>
      <c r="H235" s="14" t="s">
        <v>2170</v>
      </c>
      <c r="I235" s="14" t="s">
        <v>32</v>
      </c>
      <c r="J235" s="14" t="s">
        <v>3582</v>
      </c>
      <c r="K235" s="14" t="s">
        <v>176</v>
      </c>
      <c r="L235" s="14" t="s">
        <v>2172</v>
      </c>
      <c r="M235" s="14" t="s">
        <v>3603</v>
      </c>
      <c r="N235" s="14" t="s">
        <v>32</v>
      </c>
      <c r="O235" s="14" t="s">
        <v>2538</v>
      </c>
      <c r="P235" s="14" t="s">
        <v>1064</v>
      </c>
      <c r="R235" s="38">
        <f>IFERROR(COUNTIFS(_report[TOURNAMENT_CODE],_SCHEDULE_[[#This Row],[TOURNAMENT_CODE]],_report[CONTEST_CODE],_SCHEDULE_[[#This Row],[CONTEST_CODE]]),"-")</f>
        <v>0</v>
      </c>
      <c r="S235" s="41" t="str">
        <f>SUBSTITUTE(IFERROR(INDEX(_group_[],MATCH(CONCATENATE(_SCHEDULE_[[#This Row],[CONTEST_CODE]],"_",$S$2),_group_[ИД2],0),MATCH($S$1,_group_[#Headers],0)),"---"),".",",")</f>
        <v>BANK</v>
      </c>
      <c r="T235" s="41" t="str">
        <f>SUBSTITUTE(IFERROR(INDEX(_group_[],MATCH(CONCATENATE(_SCHEDULE_[[#This Row],[CONTEST_CODE]],"_",$T$2),_group_[ИД2],0),MATCH($T$1,_group_[#Headers],0)),"---"),".",",")</f>
        <v>TB</v>
      </c>
      <c r="U235" s="41" t="str">
        <f>SUBSTITUTE(IFERROR(INDEX(_group_[],MATCH(CONCATENATE(_SCHEDULE_[[#This Row],[CONTEST_CODE]],"_",$U$2),_group_[ИД2],0),MATCH($U$1,_group_[#Headers],0)),"---"),".",",")</f>
        <v>---</v>
      </c>
      <c r="V235" s="41" t="str">
        <f>SUBSTITUTE(IFERROR(INDEX(_group_[],MATCH(CONCATENATE(_SCHEDULE_[[#This Row],[CONTEST_CODE]],"_",$V$2),_group_[ИД2],0),MATCH($V$1,_group_[#Headers],0)),"---"),".",",")</f>
        <v>---</v>
      </c>
      <c r="W235" s="41" t="str">
        <f>IFERROR(INDEX(_INDICATOR_[],MATCH(_SCHEDULE_[[#This Row],[CONTEST_CODE]],_INDICATOR_[CONTEST_CODE],0),MATCH($W$2,_INDICATOR_[#Headers],0)),"-")</f>
        <v>PULMIS_BALANCE_OUT_RUB</v>
      </c>
      <c r="X235" s="41" t="str">
        <f>IFERROR(INDEX(_group_[],MATCH(_SCHEDULE_[[#This Row],[CONTEST_CODE]],_group_[CONTEST_CODE],0),MATCH($X$2,_group_[#Headers],0)),"-")</f>
        <v>BANK</v>
      </c>
      <c r="Y235" s="61" t="str">
        <f>IFERROR(INDEX(_DATA_[],MATCH(_SCHEDULE_[[#This Row],[CONTEST_CODE]],_DATA_[CONTEST_CODE],0),MATCH($Y$2,_DATA_[#Headers],0)),"-")</f>
        <v>Пассивы. Максимизируй прирост остатка</v>
      </c>
      <c r="Z235" s="41" t="str">
        <f>IFERROR(INDEX(_reward_link_[],MATCH(_SCHEDULE_[[#This Row],[CONTEST_CODE]],_reward_link_[CONTEST_CODE],0),MATCH($Z$2,_reward_link_[#Headers],0)),"-")</f>
        <v>BANK</v>
      </c>
      <c r="AA235" s="41" t="str">
        <f>IFERROR(INDEX(_report[],MATCH(_SCHEDULE_[[#This Row],[CONTEST_CODE]],_report[CONTEST_CODE],0),MATCH($AA$2,_report[#Headers],0)),"-")</f>
        <v>-</v>
      </c>
      <c r="AB235"/>
    </row>
    <row r="236" spans="1:28" hidden="1" x14ac:dyDescent="0.25">
      <c r="A236" s="14" t="s">
        <v>3223</v>
      </c>
      <c r="B236" s="14" t="s">
        <v>186</v>
      </c>
      <c r="C236" s="14" t="s">
        <v>3219</v>
      </c>
      <c r="D236" s="14" t="s">
        <v>2534</v>
      </c>
      <c r="E236" s="14" t="s">
        <v>2535</v>
      </c>
      <c r="F236" s="14" t="s">
        <v>194</v>
      </c>
      <c r="G236" s="14" t="s">
        <v>194</v>
      </c>
      <c r="H236" s="14" t="s">
        <v>2170</v>
      </c>
      <c r="I236" s="14" t="s">
        <v>32</v>
      </c>
      <c r="J236" s="14" t="s">
        <v>3583</v>
      </c>
      <c r="K236" s="14" t="s">
        <v>176</v>
      </c>
      <c r="L236" s="14" t="s">
        <v>2172</v>
      </c>
      <c r="M236" s="14" t="s">
        <v>3603</v>
      </c>
      <c r="N236" s="14" t="s">
        <v>32</v>
      </c>
      <c r="O236" s="14" t="s">
        <v>3224</v>
      </c>
      <c r="P236" s="14" t="s">
        <v>1064</v>
      </c>
      <c r="R236" s="38">
        <f>IFERROR(COUNTIFS(_report[TOURNAMENT_CODE],_SCHEDULE_[[#This Row],[TOURNAMENT_CODE]],_report[CONTEST_CODE],_SCHEDULE_[[#This Row],[CONTEST_CODE]]),"-")</f>
        <v>0</v>
      </c>
      <c r="S236" s="41" t="str">
        <f>SUBSTITUTE(IFERROR(INDEX(_group_[],MATCH(CONCATENATE(_SCHEDULE_[[#This Row],[CONTEST_CODE]],"_",$S$2),_group_[ИД2],0),MATCH($S$1,_group_[#Headers],0)),"---"),".",",")</f>
        <v>BANK</v>
      </c>
      <c r="T236" s="41" t="str">
        <f>SUBSTITUTE(IFERROR(INDEX(_group_[],MATCH(CONCATENATE(_SCHEDULE_[[#This Row],[CONTEST_CODE]],"_",$T$2),_group_[ИД2],0),MATCH($T$1,_group_[#Headers],0)),"---"),".",",")</f>
        <v>TB</v>
      </c>
      <c r="U236" s="41" t="str">
        <f>SUBSTITUTE(IFERROR(INDEX(_group_[],MATCH(CONCATENATE(_SCHEDULE_[[#This Row],[CONTEST_CODE]],"_",$U$2),_group_[ИД2],0),MATCH($U$1,_group_[#Headers],0)),"---"),".",",")</f>
        <v>---</v>
      </c>
      <c r="V236" s="41" t="str">
        <f>SUBSTITUTE(IFERROR(INDEX(_group_[],MATCH(CONCATENATE(_SCHEDULE_[[#This Row],[CONTEST_CODE]],"_",$V$2),_group_[ИД2],0),MATCH($V$1,_group_[#Headers],0)),"---"),".",",")</f>
        <v>---</v>
      </c>
      <c r="W236" s="41" t="str">
        <f>IFERROR(INDEX(_INDICATOR_[],MATCH(_SCHEDULE_[[#This Row],[CONTEST_CODE]],_INDICATOR_[CONTEST_CODE],0),MATCH($W$2,_INDICATOR_[#Headers],0)),"-")</f>
        <v>PULMIS_BALANCE_OUT_RUB</v>
      </c>
      <c r="X236" s="41" t="str">
        <f>IFERROR(INDEX(_group_[],MATCH(_SCHEDULE_[[#This Row],[CONTEST_CODE]],_group_[CONTEST_CODE],0),MATCH($X$2,_group_[#Headers],0)),"-")</f>
        <v>BANK</v>
      </c>
      <c r="Y236" s="61" t="str">
        <f>IFERROR(INDEX(_DATA_[],MATCH(_SCHEDULE_[[#This Row],[CONTEST_CODE]],_DATA_[CONTEST_CODE],0),MATCH($Y$2,_DATA_[#Headers],0)),"-")</f>
        <v>Пассивы. Максимизируй прирост остатка</v>
      </c>
      <c r="Z236" s="41" t="str">
        <f>IFERROR(INDEX(_reward_link_[],MATCH(_SCHEDULE_[[#This Row],[CONTEST_CODE]],_reward_link_[CONTEST_CODE],0),MATCH($Z$2,_reward_link_[#Headers],0)),"-")</f>
        <v>BANK</v>
      </c>
      <c r="AA236" s="41" t="str">
        <f>IFERROR(INDEX(_report[],MATCH(_SCHEDULE_[[#This Row],[CONTEST_CODE]],_report[CONTEST_CODE],0),MATCH($AA$2,_report[#Headers],0)),"-")</f>
        <v>-</v>
      </c>
      <c r="AB236"/>
    </row>
    <row r="237" spans="1:28" hidden="1" x14ac:dyDescent="0.25">
      <c r="A237" s="14" t="s">
        <v>2539</v>
      </c>
      <c r="B237" s="14" t="s">
        <v>208</v>
      </c>
      <c r="C237" s="14" t="s">
        <v>2521</v>
      </c>
      <c r="D237" s="14" t="s">
        <v>2522</v>
      </c>
      <c r="E237" s="14" t="s">
        <v>4119</v>
      </c>
      <c r="F237" s="14" t="s">
        <v>194</v>
      </c>
      <c r="G237" s="14" t="s">
        <v>194</v>
      </c>
      <c r="H237" s="14" t="s">
        <v>2170</v>
      </c>
      <c r="I237" s="14" t="s">
        <v>32</v>
      </c>
      <c r="J237" s="14" t="s">
        <v>3582</v>
      </c>
      <c r="K237" s="14" t="s">
        <v>176</v>
      </c>
      <c r="L237" s="14" t="s">
        <v>2200</v>
      </c>
      <c r="M237" s="14" t="s">
        <v>3603</v>
      </c>
      <c r="N237" s="14" t="s">
        <v>32</v>
      </c>
      <c r="O237" s="14" t="s">
        <v>2540</v>
      </c>
      <c r="P237" s="14" t="s">
        <v>1064</v>
      </c>
      <c r="R237" s="38">
        <f>IFERROR(COUNTIFS(_report[TOURNAMENT_CODE],_SCHEDULE_[[#This Row],[TOURNAMENT_CODE]],_report[CONTEST_CODE],_SCHEDULE_[[#This Row],[CONTEST_CODE]]),"-")</f>
        <v>0</v>
      </c>
      <c r="S237" s="41" t="str">
        <f>SUBSTITUTE(IFERROR(INDEX(_group_[],MATCH(CONCATENATE(_SCHEDULE_[[#This Row],[CONTEST_CODE]],"_",$S$2),_group_[ИД2],0),MATCH($S$1,_group_[#Headers],0)),"---"),".",",")</f>
        <v>BANK</v>
      </c>
      <c r="T237" s="41" t="str">
        <f>SUBSTITUTE(IFERROR(INDEX(_group_[],MATCH(CONCATENATE(_SCHEDULE_[[#This Row],[CONTEST_CODE]],"_",$T$2),_group_[ИД2],0),MATCH($T$1,_group_[#Headers],0)),"---"),".",",")</f>
        <v>TB</v>
      </c>
      <c r="U237" s="41" t="str">
        <f>SUBSTITUTE(IFERROR(INDEX(_group_[],MATCH(CONCATENATE(_SCHEDULE_[[#This Row],[CONTEST_CODE]],"_",$U$2),_group_[ИД2],0),MATCH($U$1,_group_[#Headers],0)),"---"),".",",")</f>
        <v>---</v>
      </c>
      <c r="V237" s="41" t="str">
        <f>SUBSTITUTE(IFERROR(INDEX(_group_[],MATCH(CONCATENATE(_SCHEDULE_[[#This Row],[CONTEST_CODE]],"_",$V$2),_group_[ИД2],0),MATCH($V$1,_group_[#Headers],0)),"---"),".",",")</f>
        <v>---</v>
      </c>
      <c r="W237" s="41" t="str">
        <f>IFERROR(INDEX(_INDICATOR_[],MATCH(_SCHEDULE_[[#This Row],[CONTEST_CODE]],_INDICATOR_[CONTEST_CODE],0),MATCH($W$2,_INDICATOR_[#Headers],0)),"-")</f>
        <v>PULMIS_BALANCE_OUT_RUB</v>
      </c>
      <c r="X237" s="41" t="str">
        <f>IFERROR(INDEX(_group_[],MATCH(_SCHEDULE_[[#This Row],[CONTEST_CODE]],_group_[CONTEST_CODE],0),MATCH($X$2,_group_[#Headers],0)),"-")</f>
        <v>BANK</v>
      </c>
      <c r="Y237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237" s="41" t="str">
        <f>IFERROR(INDEX(_reward_link_[],MATCH(_SCHEDULE_[[#This Row],[CONTEST_CODE]],_reward_link_[CONTEST_CODE],0),MATCH($Z$2,_reward_link_[#Headers],0)),"-")</f>
        <v>BANK</v>
      </c>
      <c r="AA237" s="41" t="str">
        <f>IFERROR(INDEX(_report[],MATCH(_SCHEDULE_[[#This Row],[CONTEST_CODE]],_report[CONTEST_CODE],0),MATCH($AA$2,_report[#Headers],0)),"-")</f>
        <v>-</v>
      </c>
      <c r="AB237"/>
    </row>
    <row r="238" spans="1:28" hidden="1" x14ac:dyDescent="0.25">
      <c r="A238" s="14" t="s">
        <v>3225</v>
      </c>
      <c r="B238" s="14" t="s">
        <v>186</v>
      </c>
      <c r="C238" s="14" t="s">
        <v>3219</v>
      </c>
      <c r="D238" s="14" t="s">
        <v>2534</v>
      </c>
      <c r="E238" s="14" t="s">
        <v>2535</v>
      </c>
      <c r="F238" s="14" t="s">
        <v>194</v>
      </c>
      <c r="G238" s="14" t="s">
        <v>194</v>
      </c>
      <c r="H238" s="14" t="s">
        <v>2170</v>
      </c>
      <c r="I238" s="14" t="s">
        <v>32</v>
      </c>
      <c r="J238" s="14" t="s">
        <v>3583</v>
      </c>
      <c r="K238" s="14" t="s">
        <v>176</v>
      </c>
      <c r="L238" s="14" t="s">
        <v>2200</v>
      </c>
      <c r="M238" s="14" t="s">
        <v>3603</v>
      </c>
      <c r="N238" s="14" t="s">
        <v>32</v>
      </c>
      <c r="O238" s="14" t="s">
        <v>3226</v>
      </c>
      <c r="P238" s="14" t="s">
        <v>1064</v>
      </c>
      <c r="R238" s="38">
        <f>IFERROR(COUNTIFS(_report[TOURNAMENT_CODE],_SCHEDULE_[[#This Row],[TOURNAMENT_CODE]],_report[CONTEST_CODE],_SCHEDULE_[[#This Row],[CONTEST_CODE]]),"-")</f>
        <v>0</v>
      </c>
      <c r="S238" s="41" t="str">
        <f>SUBSTITUTE(IFERROR(INDEX(_group_[],MATCH(CONCATENATE(_SCHEDULE_[[#This Row],[CONTEST_CODE]],"_",$S$2),_group_[ИД2],0),MATCH($S$1,_group_[#Headers],0)),"---"),".",",")</f>
        <v>BANK</v>
      </c>
      <c r="T238" s="41" t="str">
        <f>SUBSTITUTE(IFERROR(INDEX(_group_[],MATCH(CONCATENATE(_SCHEDULE_[[#This Row],[CONTEST_CODE]],"_",$T$2),_group_[ИД2],0),MATCH($T$1,_group_[#Headers],0)),"---"),".",",")</f>
        <v>TB</v>
      </c>
      <c r="U238" s="41" t="str">
        <f>SUBSTITUTE(IFERROR(INDEX(_group_[],MATCH(CONCATENATE(_SCHEDULE_[[#This Row],[CONTEST_CODE]],"_",$U$2),_group_[ИД2],0),MATCH($U$1,_group_[#Headers],0)),"---"),".",",")</f>
        <v>---</v>
      </c>
      <c r="V238" s="41" t="str">
        <f>SUBSTITUTE(IFERROR(INDEX(_group_[],MATCH(CONCATENATE(_SCHEDULE_[[#This Row],[CONTEST_CODE]],"_",$V$2),_group_[ИД2],0),MATCH($V$1,_group_[#Headers],0)),"---"),".",",")</f>
        <v>---</v>
      </c>
      <c r="W238" s="41" t="str">
        <f>IFERROR(INDEX(_INDICATOR_[],MATCH(_SCHEDULE_[[#This Row],[CONTEST_CODE]],_INDICATOR_[CONTEST_CODE],0),MATCH($W$2,_INDICATOR_[#Headers],0)),"-")</f>
        <v>PULMIS_BALANCE_OUT_RUB</v>
      </c>
      <c r="X238" s="41" t="str">
        <f>IFERROR(INDEX(_group_[],MATCH(_SCHEDULE_[[#This Row],[CONTEST_CODE]],_group_[CONTEST_CODE],0),MATCH($X$2,_group_[#Headers],0)),"-")</f>
        <v>BANK</v>
      </c>
      <c r="Y238" s="61" t="str">
        <f>IFERROR(INDEX(_DATA_[],MATCH(_SCHEDULE_[[#This Row],[CONTEST_CODE]],_DATA_[CONTEST_CODE],0),MATCH($Y$2,_DATA_[#Headers],0)),"-")</f>
        <v>Пассивы. Прирост остатка долгосрочных депозитов</v>
      </c>
      <c r="Z238" s="41" t="str">
        <f>IFERROR(INDEX(_reward_link_[],MATCH(_SCHEDULE_[[#This Row],[CONTEST_CODE]],_reward_link_[CONTEST_CODE],0),MATCH($Z$2,_reward_link_[#Headers],0)),"-")</f>
        <v>BANK</v>
      </c>
      <c r="AA238" s="41" t="str">
        <f>IFERROR(INDEX(_report[],MATCH(_SCHEDULE_[[#This Row],[CONTEST_CODE]],_report[CONTEST_CODE],0),MATCH($AA$2,_report[#Headers],0)),"-")</f>
        <v>-</v>
      </c>
      <c r="AB238"/>
    </row>
    <row r="239" spans="1:28" hidden="1" x14ac:dyDescent="0.25">
      <c r="A239" s="14" t="s">
        <v>2541</v>
      </c>
      <c r="B239" s="14" t="s">
        <v>2533</v>
      </c>
      <c r="C239" s="14" t="s">
        <v>2508</v>
      </c>
      <c r="D239" s="14" t="s">
        <v>2534</v>
      </c>
      <c r="E239" s="14" t="s">
        <v>2543</v>
      </c>
      <c r="F239" s="14" t="s">
        <v>194</v>
      </c>
      <c r="G239" s="14" t="s">
        <v>194</v>
      </c>
      <c r="H239" s="14" t="s">
        <v>194</v>
      </c>
      <c r="I239" s="14" t="s">
        <v>194</v>
      </c>
      <c r="J239" s="14" t="s">
        <v>194</v>
      </c>
      <c r="K239" s="14" t="s">
        <v>176</v>
      </c>
      <c r="L239" s="14" t="s">
        <v>2206</v>
      </c>
      <c r="M239" s="14" t="s">
        <v>3603</v>
      </c>
      <c r="N239" s="14" t="s">
        <v>2</v>
      </c>
      <c r="O239" s="14" t="s">
        <v>2544</v>
      </c>
      <c r="P239" s="14" t="s">
        <v>1064</v>
      </c>
      <c r="R239" s="38">
        <f>IFERROR(COUNTIFS(_report[TOURNAMENT_CODE],_SCHEDULE_[[#This Row],[TOURNAMENT_CODE]],_report[CONTEST_CODE],_SCHEDULE_[[#This Row],[CONTEST_CODE]]),"-")</f>
        <v>0</v>
      </c>
      <c r="S239" s="41" t="str">
        <f>SUBSTITUTE(IFERROR(INDEX(_group_[],MATCH(CONCATENATE(_SCHEDULE_[[#This Row],[CONTEST_CODE]],"_",$S$2),_group_[ИД2],0),MATCH($S$1,_group_[#Headers],0)),"---"),".",",")</f>
        <v>BANK</v>
      </c>
      <c r="T239" s="41" t="str">
        <f>SUBSTITUTE(IFERROR(INDEX(_group_[],MATCH(CONCATENATE(_SCHEDULE_[[#This Row],[CONTEST_CODE]],"_",$T$2),_group_[ИД2],0),MATCH($T$1,_group_[#Headers],0)),"---"),".",",")</f>
        <v>---</v>
      </c>
      <c r="U239" s="41" t="str">
        <f>SUBSTITUTE(IFERROR(INDEX(_group_[],MATCH(CONCATENATE(_SCHEDULE_[[#This Row],[CONTEST_CODE]],"_",$U$2),_group_[ИД2],0),MATCH($U$1,_group_[#Headers],0)),"---"),".",",")</f>
        <v>---</v>
      </c>
      <c r="V239" s="41" t="str">
        <f>SUBSTITUTE(IFERROR(INDEX(_group_[],MATCH(CONCATENATE(_SCHEDULE_[[#This Row],[CONTEST_CODE]],"_",$V$2),_group_[ИД2],0),MATCH($V$1,_group_[#Headers],0)),"---"),".",",")</f>
        <v>---</v>
      </c>
      <c r="W239" s="41" t="str">
        <f>IFERROR(INDEX(_INDICATOR_[],MATCH(_SCHEDULE_[[#This Row],[CONTEST_CODE]],_INDICATOR_[CONTEST_CODE],0),MATCH($W$2,_INDICATOR_[#Headers],0)),"-")</f>
        <v>WAIT</v>
      </c>
      <c r="X239" s="41" t="str">
        <f>IFERROR(INDEX(_group_[],MATCH(_SCHEDULE_[[#This Row],[CONTEST_CODE]],_group_[CONTEST_CODE],0),MATCH($X$2,_group_[#Headers],0)),"-")</f>
        <v>BANK</v>
      </c>
      <c r="Y239" s="61" t="str">
        <f>IFERROR(INDEX(_DATA_[],MATCH(_SCHEDULE_[[#This Row],[CONTEST_CODE]],_DATA_[CONTEST_CODE],0),MATCH($Y$2,_DATA_[#Headers],0)),"-")</f>
        <v>Защита 360. Накопи 500</v>
      </c>
      <c r="Z239" s="41" t="str">
        <f>IFERROR(INDEX(_reward_link_[],MATCH(_SCHEDULE_[[#This Row],[CONTEST_CODE]],_reward_link_[CONTEST_CODE],0),MATCH($Z$2,_reward_link_[#Headers],0)),"-")</f>
        <v>BANK</v>
      </c>
      <c r="AA239" s="41" t="str">
        <f>IFERROR(INDEX(_report[],MATCH(_SCHEDULE_[[#This Row],[CONTEST_CODE]],_report[CONTEST_CODE],0),MATCH($AA$2,_report[#Headers],0)),"-")</f>
        <v>-</v>
      </c>
      <c r="AB239"/>
    </row>
    <row r="240" spans="1:28" x14ac:dyDescent="0.25">
      <c r="A240" s="14" t="s">
        <v>4793</v>
      </c>
      <c r="B240" s="14" t="s">
        <v>3652</v>
      </c>
      <c r="C240" s="14" t="s">
        <v>4019</v>
      </c>
      <c r="D240" s="14" t="s">
        <v>2542</v>
      </c>
      <c r="E240" s="14" t="s">
        <v>3659</v>
      </c>
      <c r="F240" s="14" t="s">
        <v>194</v>
      </c>
      <c r="G240" s="14" t="s">
        <v>194</v>
      </c>
      <c r="H240" s="14" t="s">
        <v>194</v>
      </c>
      <c r="I240" s="14" t="s">
        <v>194</v>
      </c>
      <c r="J240" s="14" t="s">
        <v>194</v>
      </c>
      <c r="K240" s="14" t="s">
        <v>34</v>
      </c>
      <c r="L240" s="14" t="s">
        <v>2206</v>
      </c>
      <c r="M240" s="14" t="s">
        <v>3603</v>
      </c>
      <c r="N240" s="14" t="s">
        <v>2</v>
      </c>
      <c r="O240" s="14" t="s">
        <v>4794</v>
      </c>
      <c r="P240" s="14" t="s">
        <v>1064</v>
      </c>
      <c r="R240" s="38">
        <f>IFERROR(COUNTIFS(_report[TOURNAMENT_CODE],_SCHEDULE_[[#This Row],[TOURNAMENT_CODE]],_report[CONTEST_CODE],_SCHEDULE_[[#This Row],[CONTEST_CODE]]),"-")</f>
        <v>0</v>
      </c>
      <c r="S240" s="41" t="str">
        <f>SUBSTITUTE(IFERROR(INDEX(_group_[],MATCH(CONCATENATE(_SCHEDULE_[[#This Row],[CONTEST_CODE]],"_",$S$2),_group_[ИД2],0),MATCH($S$1,_group_[#Headers],0)),"---"),".",",")</f>
        <v>BANK</v>
      </c>
      <c r="T240" s="41" t="str">
        <f>SUBSTITUTE(IFERROR(INDEX(_group_[],MATCH(CONCATENATE(_SCHEDULE_[[#This Row],[CONTEST_CODE]],"_",$T$2),_group_[ИД2],0),MATCH($T$1,_group_[#Headers],0)),"---"),".",",")</f>
        <v>---</v>
      </c>
      <c r="U240" s="41" t="str">
        <f>SUBSTITUTE(IFERROR(INDEX(_group_[],MATCH(CONCATENATE(_SCHEDULE_[[#This Row],[CONTEST_CODE]],"_",$U$2),_group_[ИД2],0),MATCH($U$1,_group_[#Headers],0)),"---"),".",",")</f>
        <v>---</v>
      </c>
      <c r="V240" s="41" t="str">
        <f>SUBSTITUTE(IFERROR(INDEX(_group_[],MATCH(CONCATENATE(_SCHEDULE_[[#This Row],[CONTEST_CODE]],"_",$V$2),_group_[ИД2],0),MATCH($V$1,_group_[#Headers],0)),"---"),".",",")</f>
        <v>---</v>
      </c>
      <c r="W240" s="41" t="str">
        <f>IFERROR(INDEX(_INDICATOR_[],MATCH(_SCHEDULE_[[#This Row],[CONTEST_CODE]],_INDICATOR_[CONTEST_CODE],0),MATCH($W$2,_INDICATOR_[#Headers],0)),"-")</f>
        <v>WAIT</v>
      </c>
      <c r="X240" s="41" t="str">
        <f>IFERROR(INDEX(_group_[],MATCH(_SCHEDULE_[[#This Row],[CONTEST_CODE]],_group_[CONTEST_CODE],0),MATCH($X$2,_group_[#Headers],0)),"-")</f>
        <v>BANK</v>
      </c>
      <c r="Y240" s="61" t="str">
        <f>IFERROR(INDEX(_DATA_[],MATCH(_SCHEDULE_[[#This Row],[CONTEST_CODE]],_DATA_[CONTEST_CODE],0),MATCH($Y$2,_DATA_[#Headers],0)),"-")</f>
        <v>Защита 360. Накопи 500</v>
      </c>
      <c r="Z240" s="41" t="str">
        <f>IFERROR(INDEX(_reward_link_[],MATCH(_SCHEDULE_[[#This Row],[CONTEST_CODE]],_reward_link_[CONTEST_CODE],0),MATCH($Z$2,_reward_link_[#Headers],0)),"-")</f>
        <v>BANK</v>
      </c>
      <c r="AA240" s="41" t="str">
        <f>IFERROR(INDEX(_report[],MATCH(_SCHEDULE_[[#This Row],[CONTEST_CODE]],_report[CONTEST_CODE],0),MATCH($AA$2,_report[#Headers],0)),"-")</f>
        <v>-</v>
      </c>
      <c r="AB240"/>
    </row>
    <row r="241" spans="1:28" hidden="1" x14ac:dyDescent="0.25">
      <c r="A241" s="14" t="s">
        <v>2545</v>
      </c>
      <c r="B241" s="14" t="s">
        <v>208</v>
      </c>
      <c r="C241" s="14" t="s">
        <v>2521</v>
      </c>
      <c r="D241" s="14" t="s">
        <v>2522</v>
      </c>
      <c r="E241" s="14" t="s">
        <v>4119</v>
      </c>
      <c r="F241" s="14" t="s">
        <v>194</v>
      </c>
      <c r="G241" s="14" t="s">
        <v>194</v>
      </c>
      <c r="H241" s="14" t="s">
        <v>194</v>
      </c>
      <c r="I241" s="14" t="s">
        <v>194</v>
      </c>
      <c r="J241" s="14" t="s">
        <v>194</v>
      </c>
      <c r="K241" s="14" t="s">
        <v>176</v>
      </c>
      <c r="L241" s="14" t="s">
        <v>2228</v>
      </c>
      <c r="M241" s="14" t="s">
        <v>3603</v>
      </c>
      <c r="N241" s="14" t="s">
        <v>2</v>
      </c>
      <c r="O241" s="14" t="s">
        <v>2546</v>
      </c>
      <c r="P241" s="14" t="s">
        <v>1064</v>
      </c>
      <c r="R241" s="38">
        <f>IFERROR(COUNTIFS(_report[TOURNAMENT_CODE],_SCHEDULE_[[#This Row],[TOURNAMENT_CODE]],_report[CONTEST_CODE],_SCHEDULE_[[#This Row],[CONTEST_CODE]]),"-")</f>
        <v>0</v>
      </c>
      <c r="S241" s="41" t="str">
        <f>SUBSTITUTE(IFERROR(INDEX(_group_[],MATCH(CONCATENATE(_SCHEDULE_[[#This Row],[CONTEST_CODE]],"_",$S$2),_group_[ИД2],0),MATCH($S$1,_group_[#Headers],0)),"---"),".",",")</f>
        <v>BANK</v>
      </c>
      <c r="T241" s="41" t="str">
        <f>SUBSTITUTE(IFERROR(INDEX(_group_[],MATCH(CONCATENATE(_SCHEDULE_[[#This Row],[CONTEST_CODE]],"_",$T$2),_group_[ИД2],0),MATCH($T$1,_group_[#Headers],0)),"---"),".",",")</f>
        <v>TB</v>
      </c>
      <c r="U241" s="41" t="str">
        <f>SUBSTITUTE(IFERROR(INDEX(_group_[],MATCH(CONCATENATE(_SCHEDULE_[[#This Row],[CONTEST_CODE]],"_",$U$2),_group_[ИД2],0),MATCH($U$1,_group_[#Headers],0)),"---"),".",",")</f>
        <v>GOSB</v>
      </c>
      <c r="V241" s="41" t="str">
        <f>SUBSTITUTE(IFERROR(INDEX(_group_[],MATCH(CONCATENATE(_SCHEDULE_[[#This Row],[CONTEST_CODE]],"_",$V$2),_group_[ИД2],0),MATCH($V$1,_group_[#Headers],0)),"---"),".",",")</f>
        <v>---</v>
      </c>
      <c r="W241" s="41" t="str">
        <f>IFERROR(INDEX(_INDICATOR_[],MATCH(_SCHEDULE_[[#This Row],[CONTEST_CODE]],_INDICATOR_[CONTEST_CODE],0),MATCH($W$2,_INDICATOR_[#Headers],0)),"-")</f>
        <v>WAIT</v>
      </c>
      <c r="X241" s="41" t="str">
        <f>IFERROR(INDEX(_group_[],MATCH(_SCHEDULE_[[#This Row],[CONTEST_CODE]],_group_[CONTEST_CODE],0),MATCH($X$2,_group_[#Headers],0)),"-")</f>
        <v>BANK</v>
      </c>
      <c r="Y241" s="61" t="str">
        <f>IFERROR(INDEX(_DATA_[],MATCH(_SCHEDULE_[[#This Row],[CONTEST_CODE]],_DATA_[CONTEST_CODE],0),MATCH($Y$2,_DATA_[#Headers],0)),"-")</f>
        <v>ФОТ. Прирост объема перечислений</v>
      </c>
      <c r="Z241" s="41" t="str">
        <f>IFERROR(INDEX(_reward_link_[],MATCH(_SCHEDULE_[[#This Row],[CONTEST_CODE]],_reward_link_[CONTEST_CODE],0),MATCH($Z$2,_reward_link_[#Headers],0)),"-")</f>
        <v>BANK</v>
      </c>
      <c r="AA241" s="41" t="str">
        <f>IFERROR(INDEX(_report[],MATCH(_SCHEDULE_[[#This Row],[CONTEST_CODE]],_report[CONTEST_CODE],0),MATCH($AA$2,_report[#Headers],0)),"-")</f>
        <v>-</v>
      </c>
      <c r="AB241"/>
    </row>
    <row r="242" spans="1:28" hidden="1" x14ac:dyDescent="0.25">
      <c r="A242" s="14" t="s">
        <v>3227</v>
      </c>
      <c r="B242" s="14" t="s">
        <v>186</v>
      </c>
      <c r="C242" s="14" t="s">
        <v>3219</v>
      </c>
      <c r="D242" s="14" t="s">
        <v>2534</v>
      </c>
      <c r="E242" s="14" t="s">
        <v>4132</v>
      </c>
      <c r="F242" s="14" t="s">
        <v>194</v>
      </c>
      <c r="G242" s="14" t="s">
        <v>194</v>
      </c>
      <c r="H242" s="14" t="s">
        <v>194</v>
      </c>
      <c r="I242" s="14" t="s">
        <v>194</v>
      </c>
      <c r="J242" s="14" t="s">
        <v>194</v>
      </c>
      <c r="K242" s="14" t="s">
        <v>176</v>
      </c>
      <c r="L242" s="14" t="s">
        <v>2228</v>
      </c>
      <c r="M242" s="14" t="s">
        <v>3603</v>
      </c>
      <c r="N242" s="14" t="s">
        <v>2</v>
      </c>
      <c r="O242" s="14" t="s">
        <v>3228</v>
      </c>
      <c r="P242" s="14" t="s">
        <v>1064</v>
      </c>
      <c r="R242" s="38">
        <f>IFERROR(COUNTIFS(_report[TOURNAMENT_CODE],_SCHEDULE_[[#This Row],[TOURNAMENT_CODE]],_report[CONTEST_CODE],_SCHEDULE_[[#This Row],[CONTEST_CODE]]),"-")</f>
        <v>0</v>
      </c>
      <c r="S242" s="41" t="str">
        <f>SUBSTITUTE(IFERROR(INDEX(_group_[],MATCH(CONCATENATE(_SCHEDULE_[[#This Row],[CONTEST_CODE]],"_",$S$2),_group_[ИД2],0),MATCH($S$1,_group_[#Headers],0)),"---"),".",",")</f>
        <v>BANK</v>
      </c>
      <c r="T242" s="41" t="str">
        <f>SUBSTITUTE(IFERROR(INDEX(_group_[],MATCH(CONCATENATE(_SCHEDULE_[[#This Row],[CONTEST_CODE]],"_",$T$2),_group_[ИД2],0),MATCH($T$1,_group_[#Headers],0)),"---"),".",",")</f>
        <v>TB</v>
      </c>
      <c r="U242" s="41" t="str">
        <f>SUBSTITUTE(IFERROR(INDEX(_group_[],MATCH(CONCATENATE(_SCHEDULE_[[#This Row],[CONTEST_CODE]],"_",$U$2),_group_[ИД2],0),MATCH($U$1,_group_[#Headers],0)),"---"),".",",")</f>
        <v>GOSB</v>
      </c>
      <c r="V242" s="41" t="str">
        <f>SUBSTITUTE(IFERROR(INDEX(_group_[],MATCH(CONCATENATE(_SCHEDULE_[[#This Row],[CONTEST_CODE]],"_",$V$2),_group_[ИД2],0),MATCH($V$1,_group_[#Headers],0)),"---"),".",",")</f>
        <v>---</v>
      </c>
      <c r="W242" s="41" t="str">
        <f>IFERROR(INDEX(_INDICATOR_[],MATCH(_SCHEDULE_[[#This Row],[CONTEST_CODE]],_INDICATOR_[CONTEST_CODE],0),MATCH($W$2,_INDICATOR_[#Headers],0)),"-")</f>
        <v>WAIT</v>
      </c>
      <c r="X242" s="41" t="str">
        <f>IFERROR(INDEX(_group_[],MATCH(_SCHEDULE_[[#This Row],[CONTEST_CODE]],_group_[CONTEST_CODE],0),MATCH($X$2,_group_[#Headers],0)),"-")</f>
        <v>BANK</v>
      </c>
      <c r="Y242" s="61" t="str">
        <f>IFERROR(INDEX(_DATA_[],MATCH(_SCHEDULE_[[#This Row],[CONTEST_CODE]],_DATA_[CONTEST_CODE],0),MATCH($Y$2,_DATA_[#Headers],0)),"-")</f>
        <v>ФОТ. Прирост объема перечислений</v>
      </c>
      <c r="Z242" s="41" t="str">
        <f>IFERROR(INDEX(_reward_link_[],MATCH(_SCHEDULE_[[#This Row],[CONTEST_CODE]],_reward_link_[CONTEST_CODE],0),MATCH($Z$2,_reward_link_[#Headers],0)),"-")</f>
        <v>BANK</v>
      </c>
      <c r="AA242" s="41" t="str">
        <f>IFERROR(INDEX(_report[],MATCH(_SCHEDULE_[[#This Row],[CONTEST_CODE]],_report[CONTEST_CODE],0),MATCH($AA$2,_report[#Headers],0)),"-")</f>
        <v>-</v>
      </c>
      <c r="AB242"/>
    </row>
    <row r="243" spans="1:28" hidden="1" x14ac:dyDescent="0.25">
      <c r="A243" s="14" t="s">
        <v>3654</v>
      </c>
      <c r="B243" s="14" t="s">
        <v>191</v>
      </c>
      <c r="C243" s="14" t="s">
        <v>4019</v>
      </c>
      <c r="D243" s="14" t="s">
        <v>3647</v>
      </c>
      <c r="E243" s="14" t="s">
        <v>4771</v>
      </c>
      <c r="F243" s="14" t="s">
        <v>194</v>
      </c>
      <c r="G243" s="14" t="s">
        <v>194</v>
      </c>
      <c r="H243" s="14" t="s">
        <v>194</v>
      </c>
      <c r="I243" s="14" t="s">
        <v>194</v>
      </c>
      <c r="J243" s="14" t="s">
        <v>194</v>
      </c>
      <c r="K243" s="14" t="s">
        <v>176</v>
      </c>
      <c r="L243" s="14" t="s">
        <v>2228</v>
      </c>
      <c r="M243" s="14" t="s">
        <v>3603</v>
      </c>
      <c r="N243" s="14" t="s">
        <v>2</v>
      </c>
      <c r="O243" s="14" t="s">
        <v>3655</v>
      </c>
      <c r="P243" s="14" t="s">
        <v>1064</v>
      </c>
      <c r="R243" s="38">
        <f>IFERROR(COUNTIFS(_report[TOURNAMENT_CODE],_SCHEDULE_[[#This Row],[TOURNAMENT_CODE]],_report[CONTEST_CODE],_SCHEDULE_[[#This Row],[CONTEST_CODE]]),"-")</f>
        <v>0</v>
      </c>
      <c r="S243" s="41" t="str">
        <f>SUBSTITUTE(IFERROR(INDEX(_group_[],MATCH(CONCATENATE(_SCHEDULE_[[#This Row],[CONTEST_CODE]],"_",$S$2),_group_[ИД2],0),MATCH($S$1,_group_[#Headers],0)),"---"),".",",")</f>
        <v>BANK</v>
      </c>
      <c r="T243" s="41" t="str">
        <f>SUBSTITUTE(IFERROR(INDEX(_group_[],MATCH(CONCATENATE(_SCHEDULE_[[#This Row],[CONTEST_CODE]],"_",$T$2),_group_[ИД2],0),MATCH($T$1,_group_[#Headers],0)),"---"),".",",")</f>
        <v>TB</v>
      </c>
      <c r="U243" s="41" t="str">
        <f>SUBSTITUTE(IFERROR(INDEX(_group_[],MATCH(CONCATENATE(_SCHEDULE_[[#This Row],[CONTEST_CODE]],"_",$U$2),_group_[ИД2],0),MATCH($U$1,_group_[#Headers],0)),"---"),".",",")</f>
        <v>GOSB</v>
      </c>
      <c r="V243" s="41" t="str">
        <f>SUBSTITUTE(IFERROR(INDEX(_group_[],MATCH(CONCATENATE(_SCHEDULE_[[#This Row],[CONTEST_CODE]],"_",$V$2),_group_[ИД2],0),MATCH($V$1,_group_[#Headers],0)),"---"),".",",")</f>
        <v>---</v>
      </c>
      <c r="W243" s="41" t="str">
        <f>IFERROR(INDEX(_INDICATOR_[],MATCH(_SCHEDULE_[[#This Row],[CONTEST_CODE]],_INDICATOR_[CONTEST_CODE],0),MATCH($W$2,_INDICATOR_[#Headers],0)),"-")</f>
        <v>WAIT</v>
      </c>
      <c r="X243" s="41" t="str">
        <f>IFERROR(INDEX(_group_[],MATCH(_SCHEDULE_[[#This Row],[CONTEST_CODE]],_group_[CONTEST_CODE],0),MATCH($X$2,_group_[#Headers],0)),"-")</f>
        <v>BANK</v>
      </c>
      <c r="Y243" s="61" t="str">
        <f>IFERROR(INDEX(_DATA_[],MATCH(_SCHEDULE_[[#This Row],[CONTEST_CODE]],_DATA_[CONTEST_CODE],0),MATCH($Y$2,_DATA_[#Headers],0)),"-")</f>
        <v>ФОТ. Прирост объема перечислений</v>
      </c>
      <c r="Z243" s="41" t="str">
        <f>IFERROR(INDEX(_reward_link_[],MATCH(_SCHEDULE_[[#This Row],[CONTEST_CODE]],_reward_link_[CONTEST_CODE],0),MATCH($Z$2,_reward_link_[#Headers],0)),"-")</f>
        <v>BANK</v>
      </c>
      <c r="AA243" s="41" t="str">
        <f>IFERROR(INDEX(_report[],MATCH(_SCHEDULE_[[#This Row],[CONTEST_CODE]],_report[CONTEST_CODE],0),MATCH($AA$2,_report[#Headers],0)),"-")</f>
        <v>-</v>
      </c>
      <c r="AB243"/>
    </row>
    <row r="244" spans="1:28" x14ac:dyDescent="0.25">
      <c r="A244" s="14" t="s">
        <v>4761</v>
      </c>
      <c r="B244" s="14" t="s">
        <v>209</v>
      </c>
      <c r="C244" s="14" t="s">
        <v>2554</v>
      </c>
      <c r="D244" s="14" t="s">
        <v>4756</v>
      </c>
      <c r="E244" s="14" t="s">
        <v>4757</v>
      </c>
      <c r="F244" s="14" t="s">
        <v>194</v>
      </c>
      <c r="G244" s="14" t="s">
        <v>194</v>
      </c>
      <c r="H244" s="14" t="s">
        <v>194</v>
      </c>
      <c r="I244" s="14" t="s">
        <v>194</v>
      </c>
      <c r="J244" s="14" t="s">
        <v>194</v>
      </c>
      <c r="K244" s="14" t="s">
        <v>34</v>
      </c>
      <c r="L244" s="14" t="s">
        <v>2228</v>
      </c>
      <c r="M244" s="14" t="s">
        <v>3603</v>
      </c>
      <c r="N244" s="14" t="s">
        <v>2</v>
      </c>
      <c r="O244" s="14" t="s">
        <v>4762</v>
      </c>
      <c r="P244" s="14" t="s">
        <v>1064</v>
      </c>
      <c r="R244" s="38">
        <f>IFERROR(COUNTIFS(_report[TOURNAMENT_CODE],_SCHEDULE_[[#This Row],[TOURNAMENT_CODE]],_report[CONTEST_CODE],_SCHEDULE_[[#This Row],[CONTEST_CODE]]),"-")</f>
        <v>0</v>
      </c>
      <c r="S244" s="41" t="str">
        <f>SUBSTITUTE(IFERROR(INDEX(_group_[],MATCH(CONCATENATE(_SCHEDULE_[[#This Row],[CONTEST_CODE]],"_",$S$2),_group_[ИД2],0),MATCH($S$1,_group_[#Headers],0)),"---"),".",",")</f>
        <v>BANK</v>
      </c>
      <c r="T244" s="41" t="str">
        <f>SUBSTITUTE(IFERROR(INDEX(_group_[],MATCH(CONCATENATE(_SCHEDULE_[[#This Row],[CONTEST_CODE]],"_",$T$2),_group_[ИД2],0),MATCH($T$1,_group_[#Headers],0)),"---"),".",",")</f>
        <v>TB</v>
      </c>
      <c r="U244" s="41" t="str">
        <f>SUBSTITUTE(IFERROR(INDEX(_group_[],MATCH(CONCATENATE(_SCHEDULE_[[#This Row],[CONTEST_CODE]],"_",$U$2),_group_[ИД2],0),MATCH($U$1,_group_[#Headers],0)),"---"),".",",")</f>
        <v>GOSB</v>
      </c>
      <c r="V244" s="41" t="str">
        <f>SUBSTITUTE(IFERROR(INDEX(_group_[],MATCH(CONCATENATE(_SCHEDULE_[[#This Row],[CONTEST_CODE]],"_",$V$2),_group_[ИД2],0),MATCH($V$1,_group_[#Headers],0)),"---"),".",",")</f>
        <v>---</v>
      </c>
      <c r="W244" s="41" t="str">
        <f>IFERROR(INDEX(_INDICATOR_[],MATCH(_SCHEDULE_[[#This Row],[CONTEST_CODE]],_INDICATOR_[CONTEST_CODE],0),MATCH($W$2,_INDICATOR_[#Headers],0)),"-")</f>
        <v>WAIT</v>
      </c>
      <c r="X244" s="41" t="str">
        <f>IFERROR(INDEX(_group_[],MATCH(_SCHEDULE_[[#This Row],[CONTEST_CODE]],_group_[CONTEST_CODE],0),MATCH($X$2,_group_[#Headers],0)),"-")</f>
        <v>BANK</v>
      </c>
      <c r="Y244" s="61" t="str">
        <f>IFERROR(INDEX(_DATA_[],MATCH(_SCHEDULE_[[#This Row],[CONTEST_CODE]],_DATA_[CONTEST_CODE],0),MATCH($Y$2,_DATA_[#Headers],0)),"-")</f>
        <v>ФОТ. Прирост объема перечислений</v>
      </c>
      <c r="Z244" s="41" t="str">
        <f>IFERROR(INDEX(_reward_link_[],MATCH(_SCHEDULE_[[#This Row],[CONTEST_CODE]],_reward_link_[CONTEST_CODE],0),MATCH($Z$2,_reward_link_[#Headers],0)),"-")</f>
        <v>BANK</v>
      </c>
      <c r="AA244" s="41" t="str">
        <f>IFERROR(INDEX(_report[],MATCH(_SCHEDULE_[[#This Row],[CONTEST_CODE]],_report[CONTEST_CODE],0),MATCH($AA$2,_report[#Headers],0)),"-")</f>
        <v>-</v>
      </c>
      <c r="AB244"/>
    </row>
    <row r="245" spans="1:28" x14ac:dyDescent="0.25">
      <c r="A245" s="14" t="s">
        <v>4813</v>
      </c>
      <c r="B245" s="14" t="s">
        <v>210</v>
      </c>
      <c r="C245" s="14" t="s">
        <v>4809</v>
      </c>
      <c r="D245" s="14" t="s">
        <v>2542</v>
      </c>
      <c r="E245" s="14" t="s">
        <v>3545</v>
      </c>
      <c r="F245" s="14" t="s">
        <v>194</v>
      </c>
      <c r="G245" s="14" t="s">
        <v>194</v>
      </c>
      <c r="H245" s="14" t="s">
        <v>194</v>
      </c>
      <c r="I245" s="14" t="s">
        <v>194</v>
      </c>
      <c r="J245" s="14" t="s">
        <v>194</v>
      </c>
      <c r="K245" s="14" t="s">
        <v>34</v>
      </c>
      <c r="L245" s="14" t="s">
        <v>2228</v>
      </c>
      <c r="M245" s="14" t="s">
        <v>3603</v>
      </c>
      <c r="N245" s="14" t="s">
        <v>2</v>
      </c>
      <c r="O245" s="14" t="s">
        <v>4814</v>
      </c>
      <c r="P245" s="14" t="s">
        <v>1064</v>
      </c>
      <c r="R245" s="38">
        <f>IFERROR(COUNTIFS(_report[TOURNAMENT_CODE],_SCHEDULE_[[#This Row],[TOURNAMENT_CODE]],_report[CONTEST_CODE],_SCHEDULE_[[#This Row],[CONTEST_CODE]]),"-")</f>
        <v>0</v>
      </c>
      <c r="S245" s="41" t="str">
        <f>SUBSTITUTE(IFERROR(INDEX(_group_[],MATCH(CONCATENATE(_SCHEDULE_[[#This Row],[CONTEST_CODE]],"_",$S$2),_group_[ИД2],0),MATCH($S$1,_group_[#Headers],0)),"---"),".",",")</f>
        <v>BANK</v>
      </c>
      <c r="T245" s="41" t="str">
        <f>SUBSTITUTE(IFERROR(INDEX(_group_[],MATCH(CONCATENATE(_SCHEDULE_[[#This Row],[CONTEST_CODE]],"_",$T$2),_group_[ИД2],0),MATCH($T$1,_group_[#Headers],0)),"---"),".",",")</f>
        <v>TB</v>
      </c>
      <c r="U245" s="41" t="str">
        <f>SUBSTITUTE(IFERROR(INDEX(_group_[],MATCH(CONCATENATE(_SCHEDULE_[[#This Row],[CONTEST_CODE]],"_",$U$2),_group_[ИД2],0),MATCH($U$1,_group_[#Headers],0)),"---"),".",",")</f>
        <v>GOSB</v>
      </c>
      <c r="V245" s="41" t="str">
        <f>SUBSTITUTE(IFERROR(INDEX(_group_[],MATCH(CONCATENATE(_SCHEDULE_[[#This Row],[CONTEST_CODE]],"_",$V$2),_group_[ИД2],0),MATCH($V$1,_group_[#Headers],0)),"---"),".",",")</f>
        <v>---</v>
      </c>
      <c r="W245" s="41" t="str">
        <f>IFERROR(INDEX(_INDICATOR_[],MATCH(_SCHEDULE_[[#This Row],[CONTEST_CODE]],_INDICATOR_[CONTEST_CODE],0),MATCH($W$2,_INDICATOR_[#Headers],0)),"-")</f>
        <v>WAIT</v>
      </c>
      <c r="X245" s="41" t="str">
        <f>IFERROR(INDEX(_group_[],MATCH(_SCHEDULE_[[#This Row],[CONTEST_CODE]],_group_[CONTEST_CODE],0),MATCH($X$2,_group_[#Headers],0)),"-")</f>
        <v>BANK</v>
      </c>
      <c r="Y245" s="61" t="str">
        <f>IFERROR(INDEX(_DATA_[],MATCH(_SCHEDULE_[[#This Row],[CONTEST_CODE]],_DATA_[CONTEST_CODE],0),MATCH($Y$2,_DATA_[#Headers],0)),"-")</f>
        <v>ФОТ. Прирост объема перечислений</v>
      </c>
      <c r="Z245" s="41" t="str">
        <f>IFERROR(INDEX(_reward_link_[],MATCH(_SCHEDULE_[[#This Row],[CONTEST_CODE]],_reward_link_[CONTEST_CODE],0),MATCH($Z$2,_reward_link_[#Headers],0)),"-")</f>
        <v>BANK</v>
      </c>
      <c r="AA245" s="41" t="str">
        <f>IFERROR(INDEX(_report[],MATCH(_SCHEDULE_[[#This Row],[CONTEST_CODE]],_report[CONTEST_CODE],0),MATCH($AA$2,_report[#Headers],0)),"-")</f>
        <v>-</v>
      </c>
      <c r="AB245"/>
    </row>
    <row r="246" spans="1:28" hidden="1" x14ac:dyDescent="0.25">
      <c r="A246" s="14" t="s">
        <v>2547</v>
      </c>
      <c r="B246" s="14" t="s">
        <v>208</v>
      </c>
      <c r="C246" s="14" t="s">
        <v>2521</v>
      </c>
      <c r="D246" s="14" t="s">
        <v>2522</v>
      </c>
      <c r="E246" s="14" t="s">
        <v>4110</v>
      </c>
      <c r="F246" s="14" t="s">
        <v>194</v>
      </c>
      <c r="G246" s="14" t="s">
        <v>194</v>
      </c>
      <c r="H246" s="14" t="s">
        <v>194</v>
      </c>
      <c r="I246" s="14" t="s">
        <v>194</v>
      </c>
      <c r="J246" s="14" t="s">
        <v>194</v>
      </c>
      <c r="K246" s="14" t="s">
        <v>176</v>
      </c>
      <c r="L246" s="14" t="s">
        <v>2210</v>
      </c>
      <c r="M246" s="14" t="s">
        <v>3603</v>
      </c>
      <c r="N246" s="14" t="s">
        <v>2</v>
      </c>
      <c r="O246" s="14" t="s">
        <v>2548</v>
      </c>
      <c r="P246" s="14" t="s">
        <v>1064</v>
      </c>
      <c r="R246" s="38">
        <f>IFERROR(COUNTIFS(_report[TOURNAMENT_CODE],_SCHEDULE_[[#This Row],[TOURNAMENT_CODE]],_report[CONTEST_CODE],_SCHEDULE_[[#This Row],[CONTEST_CODE]]),"-")</f>
        <v>0</v>
      </c>
      <c r="S246" s="41" t="str">
        <f>SUBSTITUTE(IFERROR(INDEX(_group_[],MATCH(CONCATENATE(_SCHEDULE_[[#This Row],[CONTEST_CODE]],"_",$S$2),_group_[ИД2],0),MATCH($S$1,_group_[#Headers],0)),"---"),".",",")</f>
        <v>BANK</v>
      </c>
      <c r="T246" s="41" t="str">
        <f>SUBSTITUTE(IFERROR(INDEX(_group_[],MATCH(CONCATENATE(_SCHEDULE_[[#This Row],[CONTEST_CODE]],"_",$T$2),_group_[ИД2],0),MATCH($T$1,_group_[#Headers],0)),"---"),".",",")</f>
        <v>TB</v>
      </c>
      <c r="U246" s="41" t="str">
        <f>SUBSTITUTE(IFERROR(INDEX(_group_[],MATCH(CONCATENATE(_SCHEDULE_[[#This Row],[CONTEST_CODE]],"_",$U$2),_group_[ИД2],0),MATCH($U$1,_group_[#Headers],0)),"---"),".",",")</f>
        <v>---</v>
      </c>
      <c r="V246" s="41" t="str">
        <f>SUBSTITUTE(IFERROR(INDEX(_group_[],MATCH(CONCATENATE(_SCHEDULE_[[#This Row],[CONTEST_CODE]],"_",$V$2),_group_[ИД2],0),MATCH($V$1,_group_[#Headers],0)),"---"),".",",")</f>
        <v>---</v>
      </c>
      <c r="W246" s="41" t="str">
        <f>IFERROR(INDEX(_INDICATOR_[],MATCH(_SCHEDULE_[[#This Row],[CONTEST_CODE]],_INDICATOR_[CONTEST_CODE],0),MATCH($W$2,_INDICATOR_[#Headers],0)),"-")</f>
        <v>WAIT</v>
      </c>
      <c r="X246" s="41" t="str">
        <f>IFERROR(INDEX(_group_[],MATCH(_SCHEDULE_[[#This Row],[CONTEST_CODE]],_group_[CONTEST_CODE],0),MATCH($X$2,_group_[#Headers],0)),"-")</f>
        <v>BANK</v>
      </c>
      <c r="Y246" s="61" t="str">
        <f>IFERROR(INDEX(_DATA_[],MATCH(_SCHEDULE_[[#This Row],[CONTEST_CODE]],_DATA_[CONTEST_CODE],0),MATCH($Y$2,_DATA_[#Headers],0)),"-")</f>
        <v>Страхование. Рыночные продажи</v>
      </c>
      <c r="Z246" s="41" t="str">
        <f>IFERROR(INDEX(_reward_link_[],MATCH(_SCHEDULE_[[#This Row],[CONTEST_CODE]],_reward_link_[CONTEST_CODE],0),MATCH($Z$2,_reward_link_[#Headers],0)),"-")</f>
        <v>BANK</v>
      </c>
      <c r="AA246" s="41" t="str">
        <f>IFERROR(INDEX(_report[],MATCH(_SCHEDULE_[[#This Row],[CONTEST_CODE]],_report[CONTEST_CODE],0),MATCH($AA$2,_report[#Headers],0)),"-")</f>
        <v>-</v>
      </c>
      <c r="AB246"/>
    </row>
    <row r="247" spans="1:28" hidden="1" x14ac:dyDescent="0.25">
      <c r="A247" s="14" t="s">
        <v>3229</v>
      </c>
      <c r="B247" s="14" t="s">
        <v>186</v>
      </c>
      <c r="C247" s="14" t="s">
        <v>3219</v>
      </c>
      <c r="D247" s="14" t="s">
        <v>2534</v>
      </c>
      <c r="E247" s="14" t="s">
        <v>4153</v>
      </c>
      <c r="F247" s="14" t="s">
        <v>194</v>
      </c>
      <c r="G247" s="14" t="s">
        <v>194</v>
      </c>
      <c r="H247" s="14" t="s">
        <v>194</v>
      </c>
      <c r="I247" s="14" t="s">
        <v>194</v>
      </c>
      <c r="J247" s="14" t="s">
        <v>194</v>
      </c>
      <c r="K247" s="14" t="s">
        <v>176</v>
      </c>
      <c r="L247" s="14" t="s">
        <v>2210</v>
      </c>
      <c r="M247" s="14" t="s">
        <v>3603</v>
      </c>
      <c r="N247" s="14" t="s">
        <v>2</v>
      </c>
      <c r="O247" s="14" t="s">
        <v>3230</v>
      </c>
      <c r="P247" s="14" t="s">
        <v>1064</v>
      </c>
      <c r="R247" s="38">
        <f>IFERROR(COUNTIFS(_report[TOURNAMENT_CODE],_SCHEDULE_[[#This Row],[TOURNAMENT_CODE]],_report[CONTEST_CODE],_SCHEDULE_[[#This Row],[CONTEST_CODE]]),"-")</f>
        <v>0</v>
      </c>
      <c r="S247" s="41" t="str">
        <f>SUBSTITUTE(IFERROR(INDEX(_group_[],MATCH(CONCATENATE(_SCHEDULE_[[#This Row],[CONTEST_CODE]],"_",$S$2),_group_[ИД2],0),MATCH($S$1,_group_[#Headers],0)),"---"),".",",")</f>
        <v>BANK</v>
      </c>
      <c r="T247" s="41" t="str">
        <f>SUBSTITUTE(IFERROR(INDEX(_group_[],MATCH(CONCATENATE(_SCHEDULE_[[#This Row],[CONTEST_CODE]],"_",$T$2),_group_[ИД2],0),MATCH($T$1,_group_[#Headers],0)),"---"),".",",")</f>
        <v>TB</v>
      </c>
      <c r="U247" s="41" t="str">
        <f>SUBSTITUTE(IFERROR(INDEX(_group_[],MATCH(CONCATENATE(_SCHEDULE_[[#This Row],[CONTEST_CODE]],"_",$U$2),_group_[ИД2],0),MATCH($U$1,_group_[#Headers],0)),"---"),".",",")</f>
        <v>---</v>
      </c>
      <c r="V247" s="41" t="str">
        <f>SUBSTITUTE(IFERROR(INDEX(_group_[],MATCH(CONCATENATE(_SCHEDULE_[[#This Row],[CONTEST_CODE]],"_",$V$2),_group_[ИД2],0),MATCH($V$1,_group_[#Headers],0)),"---"),".",",")</f>
        <v>---</v>
      </c>
      <c r="W247" s="41" t="str">
        <f>IFERROR(INDEX(_INDICATOR_[],MATCH(_SCHEDULE_[[#This Row],[CONTEST_CODE]],_INDICATOR_[CONTEST_CODE],0),MATCH($W$2,_INDICATOR_[#Headers],0)),"-")</f>
        <v>WAIT</v>
      </c>
      <c r="X247" s="41" t="str">
        <f>IFERROR(INDEX(_group_[],MATCH(_SCHEDULE_[[#This Row],[CONTEST_CODE]],_group_[CONTEST_CODE],0),MATCH($X$2,_group_[#Headers],0)),"-")</f>
        <v>BANK</v>
      </c>
      <c r="Y247" s="61" t="str">
        <f>IFERROR(INDEX(_DATA_[],MATCH(_SCHEDULE_[[#This Row],[CONTEST_CODE]],_DATA_[CONTEST_CODE],0),MATCH($Y$2,_DATA_[#Headers],0)),"-")</f>
        <v>Страхование. Рыночные продажи</v>
      </c>
      <c r="Z247" s="41" t="str">
        <f>IFERROR(INDEX(_reward_link_[],MATCH(_SCHEDULE_[[#This Row],[CONTEST_CODE]],_reward_link_[CONTEST_CODE],0),MATCH($Z$2,_reward_link_[#Headers],0)),"-")</f>
        <v>BANK</v>
      </c>
      <c r="AA247" s="41" t="str">
        <f>IFERROR(INDEX(_report[],MATCH(_SCHEDULE_[[#This Row],[CONTEST_CODE]],_report[CONTEST_CODE],0),MATCH($AA$2,_report[#Headers],0)),"-")</f>
        <v>-</v>
      </c>
      <c r="AB247"/>
    </row>
    <row r="248" spans="1:28" hidden="1" x14ac:dyDescent="0.25">
      <c r="A248" s="14" t="s">
        <v>3685</v>
      </c>
      <c r="B248" s="14" t="s">
        <v>191</v>
      </c>
      <c r="C248" s="14" t="s">
        <v>4019</v>
      </c>
      <c r="D248" s="14" t="s">
        <v>3647</v>
      </c>
      <c r="E248" s="14" t="s">
        <v>4770</v>
      </c>
      <c r="F248" s="14" t="s">
        <v>194</v>
      </c>
      <c r="G248" s="14" t="s">
        <v>194</v>
      </c>
      <c r="H248" s="14" t="s">
        <v>194</v>
      </c>
      <c r="I248" s="14" t="s">
        <v>194</v>
      </c>
      <c r="J248" s="14" t="s">
        <v>194</v>
      </c>
      <c r="K248" s="14" t="s">
        <v>176</v>
      </c>
      <c r="L248" s="14" t="s">
        <v>2210</v>
      </c>
      <c r="M248" s="14" t="s">
        <v>3603</v>
      </c>
      <c r="N248" s="14" t="s">
        <v>2</v>
      </c>
      <c r="O248" s="14" t="s">
        <v>3686</v>
      </c>
      <c r="P248" s="14" t="s">
        <v>1064</v>
      </c>
      <c r="R248" s="38">
        <f>IFERROR(COUNTIFS(_report[TOURNAMENT_CODE],_SCHEDULE_[[#This Row],[TOURNAMENT_CODE]],_report[CONTEST_CODE],_SCHEDULE_[[#This Row],[CONTEST_CODE]]),"-")</f>
        <v>0</v>
      </c>
      <c r="S248" s="41" t="str">
        <f>SUBSTITUTE(IFERROR(INDEX(_group_[],MATCH(CONCATENATE(_SCHEDULE_[[#This Row],[CONTEST_CODE]],"_",$S$2),_group_[ИД2],0),MATCH($S$1,_group_[#Headers],0)),"---"),".",",")</f>
        <v>BANK</v>
      </c>
      <c r="T248" s="41" t="str">
        <f>SUBSTITUTE(IFERROR(INDEX(_group_[],MATCH(CONCATENATE(_SCHEDULE_[[#This Row],[CONTEST_CODE]],"_",$T$2),_group_[ИД2],0),MATCH($T$1,_group_[#Headers],0)),"---"),".",",")</f>
        <v>TB</v>
      </c>
      <c r="U248" s="41" t="str">
        <f>SUBSTITUTE(IFERROR(INDEX(_group_[],MATCH(CONCATENATE(_SCHEDULE_[[#This Row],[CONTEST_CODE]],"_",$U$2),_group_[ИД2],0),MATCH($U$1,_group_[#Headers],0)),"---"),".",",")</f>
        <v>---</v>
      </c>
      <c r="V248" s="41" t="str">
        <f>SUBSTITUTE(IFERROR(INDEX(_group_[],MATCH(CONCATENATE(_SCHEDULE_[[#This Row],[CONTEST_CODE]],"_",$V$2),_group_[ИД2],0),MATCH($V$1,_group_[#Headers],0)),"---"),".",",")</f>
        <v>---</v>
      </c>
      <c r="W248" s="41" t="str">
        <f>IFERROR(INDEX(_INDICATOR_[],MATCH(_SCHEDULE_[[#This Row],[CONTEST_CODE]],_INDICATOR_[CONTEST_CODE],0),MATCH($W$2,_INDICATOR_[#Headers],0)),"-")</f>
        <v>WAIT</v>
      </c>
      <c r="X248" s="41" t="str">
        <f>IFERROR(INDEX(_group_[],MATCH(_SCHEDULE_[[#This Row],[CONTEST_CODE]],_group_[CONTEST_CODE],0),MATCH($X$2,_group_[#Headers],0)),"-")</f>
        <v>BANK</v>
      </c>
      <c r="Y248" s="61" t="str">
        <f>IFERROR(INDEX(_DATA_[],MATCH(_SCHEDULE_[[#This Row],[CONTEST_CODE]],_DATA_[CONTEST_CODE],0),MATCH($Y$2,_DATA_[#Headers],0)),"-")</f>
        <v>Страхование. Рыночные продажи</v>
      </c>
      <c r="Z248" s="41" t="str">
        <f>IFERROR(INDEX(_reward_link_[],MATCH(_SCHEDULE_[[#This Row],[CONTEST_CODE]],_reward_link_[CONTEST_CODE],0),MATCH($Z$2,_reward_link_[#Headers],0)),"-")</f>
        <v>BANK</v>
      </c>
      <c r="AA248" s="41" t="str">
        <f>IFERROR(INDEX(_report[],MATCH(_SCHEDULE_[[#This Row],[CONTEST_CODE]],_report[CONTEST_CODE],0),MATCH($AA$2,_report[#Headers],0)),"-")</f>
        <v>-</v>
      </c>
      <c r="AB248"/>
    </row>
    <row r="249" spans="1:28" x14ac:dyDescent="0.25">
      <c r="A249" s="14" t="s">
        <v>4763</v>
      </c>
      <c r="B249" s="14" t="s">
        <v>209</v>
      </c>
      <c r="C249" s="14" t="s">
        <v>2554</v>
      </c>
      <c r="D249" s="14" t="s">
        <v>4756</v>
      </c>
      <c r="E249" s="14" t="s">
        <v>4757</v>
      </c>
      <c r="F249" s="14" t="s">
        <v>194</v>
      </c>
      <c r="G249" s="14" t="s">
        <v>194</v>
      </c>
      <c r="H249" s="14" t="s">
        <v>194</v>
      </c>
      <c r="I249" s="14" t="s">
        <v>194</v>
      </c>
      <c r="J249" s="14" t="s">
        <v>194</v>
      </c>
      <c r="K249" s="14" t="s">
        <v>34</v>
      </c>
      <c r="L249" s="14" t="s">
        <v>2210</v>
      </c>
      <c r="M249" s="14" t="s">
        <v>3603</v>
      </c>
      <c r="N249" s="14" t="s">
        <v>2</v>
      </c>
      <c r="O249" s="14" t="s">
        <v>4764</v>
      </c>
      <c r="P249" s="14" t="s">
        <v>1064</v>
      </c>
      <c r="R249" s="38">
        <f>IFERROR(COUNTIFS(_report[TOURNAMENT_CODE],_SCHEDULE_[[#This Row],[TOURNAMENT_CODE]],_report[CONTEST_CODE],_SCHEDULE_[[#This Row],[CONTEST_CODE]]),"-")</f>
        <v>0</v>
      </c>
      <c r="S249" s="41" t="str">
        <f>SUBSTITUTE(IFERROR(INDEX(_group_[],MATCH(CONCATENATE(_SCHEDULE_[[#This Row],[CONTEST_CODE]],"_",$S$2),_group_[ИД2],0),MATCH($S$1,_group_[#Headers],0)),"---"),".",",")</f>
        <v>BANK</v>
      </c>
      <c r="T249" s="41" t="str">
        <f>SUBSTITUTE(IFERROR(INDEX(_group_[],MATCH(CONCATENATE(_SCHEDULE_[[#This Row],[CONTEST_CODE]],"_",$T$2),_group_[ИД2],0),MATCH($T$1,_group_[#Headers],0)),"---"),".",",")</f>
        <v>TB</v>
      </c>
      <c r="U249" s="41" t="str">
        <f>SUBSTITUTE(IFERROR(INDEX(_group_[],MATCH(CONCATENATE(_SCHEDULE_[[#This Row],[CONTEST_CODE]],"_",$U$2),_group_[ИД2],0),MATCH($U$1,_group_[#Headers],0)),"---"),".",",")</f>
        <v>---</v>
      </c>
      <c r="V249" s="41" t="str">
        <f>SUBSTITUTE(IFERROR(INDEX(_group_[],MATCH(CONCATENATE(_SCHEDULE_[[#This Row],[CONTEST_CODE]],"_",$V$2),_group_[ИД2],0),MATCH($V$1,_group_[#Headers],0)),"---"),".",",")</f>
        <v>---</v>
      </c>
      <c r="W249" s="41" t="str">
        <f>IFERROR(INDEX(_INDICATOR_[],MATCH(_SCHEDULE_[[#This Row],[CONTEST_CODE]],_INDICATOR_[CONTEST_CODE],0),MATCH($W$2,_INDICATOR_[#Headers],0)),"-")</f>
        <v>WAIT</v>
      </c>
      <c r="X249" s="41" t="str">
        <f>IFERROR(INDEX(_group_[],MATCH(_SCHEDULE_[[#This Row],[CONTEST_CODE]],_group_[CONTEST_CODE],0),MATCH($X$2,_group_[#Headers],0)),"-")</f>
        <v>BANK</v>
      </c>
      <c r="Y249" s="61" t="str">
        <f>IFERROR(INDEX(_DATA_[],MATCH(_SCHEDULE_[[#This Row],[CONTEST_CODE]],_DATA_[CONTEST_CODE],0),MATCH($Y$2,_DATA_[#Headers],0)),"-")</f>
        <v>Страхование. Рыночные продажи</v>
      </c>
      <c r="Z249" s="41" t="str">
        <f>IFERROR(INDEX(_reward_link_[],MATCH(_SCHEDULE_[[#This Row],[CONTEST_CODE]],_reward_link_[CONTEST_CODE],0),MATCH($Z$2,_reward_link_[#Headers],0)),"-")</f>
        <v>BANK</v>
      </c>
      <c r="AA249" s="41" t="str">
        <f>IFERROR(INDEX(_report[],MATCH(_SCHEDULE_[[#This Row],[CONTEST_CODE]],_report[CONTEST_CODE],0),MATCH($AA$2,_report[#Headers],0)),"-")</f>
        <v>-</v>
      </c>
      <c r="AB249"/>
    </row>
    <row r="250" spans="1:28" x14ac:dyDescent="0.25">
      <c r="A250" s="14" t="s">
        <v>4815</v>
      </c>
      <c r="B250" s="14" t="s">
        <v>210</v>
      </c>
      <c r="C250" s="14" t="s">
        <v>4809</v>
      </c>
      <c r="D250" s="14" t="s">
        <v>2542</v>
      </c>
      <c r="E250" s="14" t="s">
        <v>3545</v>
      </c>
      <c r="F250" s="14" t="s">
        <v>194</v>
      </c>
      <c r="G250" s="14" t="s">
        <v>194</v>
      </c>
      <c r="H250" s="14" t="s">
        <v>194</v>
      </c>
      <c r="I250" s="14" t="s">
        <v>194</v>
      </c>
      <c r="J250" s="14" t="s">
        <v>194</v>
      </c>
      <c r="K250" s="14" t="s">
        <v>34</v>
      </c>
      <c r="L250" s="14" t="s">
        <v>2210</v>
      </c>
      <c r="M250" s="14" t="s">
        <v>3603</v>
      </c>
      <c r="N250" s="14" t="s">
        <v>2</v>
      </c>
      <c r="O250" s="14" t="s">
        <v>4816</v>
      </c>
      <c r="P250" s="14" t="s">
        <v>1064</v>
      </c>
      <c r="R250" s="38">
        <f>IFERROR(COUNTIFS(_report[TOURNAMENT_CODE],_SCHEDULE_[[#This Row],[TOURNAMENT_CODE]],_report[CONTEST_CODE],_SCHEDULE_[[#This Row],[CONTEST_CODE]]),"-")</f>
        <v>0</v>
      </c>
      <c r="S250" s="41" t="str">
        <f>SUBSTITUTE(IFERROR(INDEX(_group_[],MATCH(CONCATENATE(_SCHEDULE_[[#This Row],[CONTEST_CODE]],"_",$S$2),_group_[ИД2],0),MATCH($S$1,_group_[#Headers],0)),"---"),".",",")</f>
        <v>BANK</v>
      </c>
      <c r="T250" s="41" t="str">
        <f>SUBSTITUTE(IFERROR(INDEX(_group_[],MATCH(CONCATENATE(_SCHEDULE_[[#This Row],[CONTEST_CODE]],"_",$T$2),_group_[ИД2],0),MATCH($T$1,_group_[#Headers],0)),"---"),".",",")</f>
        <v>TB</v>
      </c>
      <c r="U250" s="41" t="str">
        <f>SUBSTITUTE(IFERROR(INDEX(_group_[],MATCH(CONCATENATE(_SCHEDULE_[[#This Row],[CONTEST_CODE]],"_",$U$2),_group_[ИД2],0),MATCH($U$1,_group_[#Headers],0)),"---"),".",",")</f>
        <v>---</v>
      </c>
      <c r="V250" s="41" t="str">
        <f>SUBSTITUTE(IFERROR(INDEX(_group_[],MATCH(CONCATENATE(_SCHEDULE_[[#This Row],[CONTEST_CODE]],"_",$V$2),_group_[ИД2],0),MATCH($V$1,_group_[#Headers],0)),"---"),".",",")</f>
        <v>---</v>
      </c>
      <c r="W250" s="41" t="str">
        <f>IFERROR(INDEX(_INDICATOR_[],MATCH(_SCHEDULE_[[#This Row],[CONTEST_CODE]],_INDICATOR_[CONTEST_CODE],0),MATCH($W$2,_INDICATOR_[#Headers],0)),"-")</f>
        <v>WAIT</v>
      </c>
      <c r="X250" s="41" t="str">
        <f>IFERROR(INDEX(_group_[],MATCH(_SCHEDULE_[[#This Row],[CONTEST_CODE]],_group_[CONTEST_CODE],0),MATCH($X$2,_group_[#Headers],0)),"-")</f>
        <v>BANK</v>
      </c>
      <c r="Y250" s="61" t="str">
        <f>IFERROR(INDEX(_DATA_[],MATCH(_SCHEDULE_[[#This Row],[CONTEST_CODE]],_DATA_[CONTEST_CODE],0),MATCH($Y$2,_DATA_[#Headers],0)),"-")</f>
        <v>Страхование. Рыночные продажи</v>
      </c>
      <c r="Z250" s="41" t="str">
        <f>IFERROR(INDEX(_reward_link_[],MATCH(_SCHEDULE_[[#This Row],[CONTEST_CODE]],_reward_link_[CONTEST_CODE],0),MATCH($Z$2,_reward_link_[#Headers],0)),"-")</f>
        <v>BANK</v>
      </c>
      <c r="AA250" s="41" t="str">
        <f>IFERROR(INDEX(_report[],MATCH(_SCHEDULE_[[#This Row],[CONTEST_CODE]],_report[CONTEST_CODE],0),MATCH($AA$2,_report[#Headers],0)),"-")</f>
        <v>-</v>
      </c>
      <c r="AB250"/>
    </row>
    <row r="251" spans="1:28" x14ac:dyDescent="0.25">
      <c r="A251" s="14" t="s">
        <v>2549</v>
      </c>
      <c r="B251" s="14" t="s">
        <v>146</v>
      </c>
      <c r="C251" s="14" t="s">
        <v>2508</v>
      </c>
      <c r="D251" s="14" t="s">
        <v>2542</v>
      </c>
      <c r="E251" s="14" t="s">
        <v>2543</v>
      </c>
      <c r="F251" s="14" t="s">
        <v>194</v>
      </c>
      <c r="G251" s="14" t="s">
        <v>194</v>
      </c>
      <c r="H251" s="14" t="s">
        <v>194</v>
      </c>
      <c r="I251" s="14" t="s">
        <v>194</v>
      </c>
      <c r="J251" s="14" t="s">
        <v>194</v>
      </c>
      <c r="K251" s="14" t="s">
        <v>34</v>
      </c>
      <c r="L251" s="14" t="s">
        <v>2208</v>
      </c>
      <c r="M251" s="14" t="s">
        <v>3603</v>
      </c>
      <c r="N251" s="14" t="s">
        <v>2</v>
      </c>
      <c r="O251" s="14" t="s">
        <v>2550</v>
      </c>
      <c r="P251" s="14" t="s">
        <v>1064</v>
      </c>
      <c r="R251" s="38">
        <f>IFERROR(COUNTIFS(_report[TOURNAMENT_CODE],_SCHEDULE_[[#This Row],[TOURNAMENT_CODE]],_report[CONTEST_CODE],_SCHEDULE_[[#This Row],[CONTEST_CODE]]),"-")</f>
        <v>0</v>
      </c>
      <c r="S251" s="41" t="str">
        <f>SUBSTITUTE(IFERROR(INDEX(_group_[],MATCH(CONCATENATE(_SCHEDULE_[[#This Row],[CONTEST_CODE]],"_",$S$2),_group_[ИД2],0),MATCH($S$1,_group_[#Headers],0)),"---"),".",",")</f>
        <v>BANK</v>
      </c>
      <c r="T251" s="41" t="str">
        <f>SUBSTITUTE(IFERROR(INDEX(_group_[],MATCH(CONCATENATE(_SCHEDULE_[[#This Row],[CONTEST_CODE]],"_",$T$2),_group_[ИД2],0),MATCH($T$1,_group_[#Headers],0)),"---"),".",",")</f>
        <v>---</v>
      </c>
      <c r="U251" s="41" t="str">
        <f>SUBSTITUTE(IFERROR(INDEX(_group_[],MATCH(CONCATENATE(_SCHEDULE_[[#This Row],[CONTEST_CODE]],"_",$U$2),_group_[ИД2],0),MATCH($U$1,_group_[#Headers],0)),"---"),".",",")</f>
        <v>---</v>
      </c>
      <c r="V251" s="41" t="str">
        <f>SUBSTITUTE(IFERROR(INDEX(_group_[],MATCH(CONCATENATE(_SCHEDULE_[[#This Row],[CONTEST_CODE]],"_",$V$2),_group_[ИД2],0),MATCH($V$1,_group_[#Headers],0)),"---"),".",",")</f>
        <v>---</v>
      </c>
      <c r="W251" s="41" t="str">
        <f>IFERROR(INDEX(_INDICATOR_[],MATCH(_SCHEDULE_[[#This Row],[CONTEST_CODE]],_INDICATOR_[CONTEST_CODE],0),MATCH($W$2,_INDICATOR_[#Headers],0)),"-")</f>
        <v>WAIT</v>
      </c>
      <c r="X251" s="41" t="str">
        <f>IFERROR(INDEX(_group_[],MATCH(_SCHEDULE_[[#This Row],[CONTEST_CODE]],_group_[CONTEST_CODE],0),MATCH($X$2,_group_[#Headers],0)),"-")</f>
        <v>BANK</v>
      </c>
      <c r="Y251" s="61" t="str">
        <f>IFERROR(INDEX(_DATA_[],MATCH(_SCHEDULE_[[#This Row],[CONTEST_CODE]],_DATA_[CONTEST_CODE],0),MATCH($Y$2,_DATA_[#Headers],0)),"-")</f>
        <v>Страхование залога в СберБизнес. Первая продажа</v>
      </c>
      <c r="Z251" s="41" t="str">
        <f>IFERROR(INDEX(_reward_link_[],MATCH(_SCHEDULE_[[#This Row],[CONTEST_CODE]],_reward_link_[CONTEST_CODE],0),MATCH($Z$2,_reward_link_[#Headers],0)),"-")</f>
        <v>BANK</v>
      </c>
      <c r="AA251" s="41" t="str">
        <f>IFERROR(INDEX(_report[],MATCH(_SCHEDULE_[[#This Row],[CONTEST_CODE]],_report[CONTEST_CODE],0),MATCH($AA$2,_report[#Headers],0)),"-")</f>
        <v>-</v>
      </c>
      <c r="AB251"/>
    </row>
    <row r="252" spans="1:28" hidden="1" x14ac:dyDescent="0.25">
      <c r="A252" s="14" t="s">
        <v>2551</v>
      </c>
      <c r="B252" s="14" t="s">
        <v>2533</v>
      </c>
      <c r="C252" s="14" t="s">
        <v>2508</v>
      </c>
      <c r="D252" s="14" t="s">
        <v>2534</v>
      </c>
      <c r="E252" s="14" t="s">
        <v>4111</v>
      </c>
      <c r="F252" s="14" t="s">
        <v>194</v>
      </c>
      <c r="G252" s="14" t="s">
        <v>194</v>
      </c>
      <c r="H252" s="14" t="s">
        <v>194</v>
      </c>
      <c r="I252" s="14" t="s">
        <v>194</v>
      </c>
      <c r="J252" s="14" t="s">
        <v>194</v>
      </c>
      <c r="K252" s="14" t="s">
        <v>176</v>
      </c>
      <c r="L252" s="14" t="s">
        <v>2214</v>
      </c>
      <c r="M252" s="14" t="s">
        <v>3603</v>
      </c>
      <c r="N252" s="14" t="s">
        <v>2</v>
      </c>
      <c r="O252" s="14" t="s">
        <v>2552</v>
      </c>
      <c r="P252" s="14" t="s">
        <v>1064</v>
      </c>
      <c r="R252" s="38">
        <f>IFERROR(COUNTIFS(_report[TOURNAMENT_CODE],_SCHEDULE_[[#This Row],[TOURNAMENT_CODE]],_report[CONTEST_CODE],_SCHEDULE_[[#This Row],[CONTEST_CODE]]),"-")</f>
        <v>0</v>
      </c>
      <c r="S252" s="41" t="str">
        <f>SUBSTITUTE(IFERROR(INDEX(_group_[],MATCH(CONCATENATE(_SCHEDULE_[[#This Row],[CONTEST_CODE]],"_",$S$2),_group_[ИД2],0),MATCH($S$1,_group_[#Headers],0)),"---"),".",",")</f>
        <v>BANK</v>
      </c>
      <c r="T252" s="41" t="str">
        <f>SUBSTITUTE(IFERROR(INDEX(_group_[],MATCH(CONCATENATE(_SCHEDULE_[[#This Row],[CONTEST_CODE]],"_",$T$2),_group_[ИД2],0),MATCH($T$1,_group_[#Headers],0)),"---"),".",",")</f>
        <v>---</v>
      </c>
      <c r="U252" s="41" t="str">
        <f>SUBSTITUTE(IFERROR(INDEX(_group_[],MATCH(CONCATENATE(_SCHEDULE_[[#This Row],[CONTEST_CODE]],"_",$U$2),_group_[ИД2],0),MATCH($U$1,_group_[#Headers],0)),"---"),".",",")</f>
        <v>---</v>
      </c>
      <c r="V252" s="41" t="str">
        <f>SUBSTITUTE(IFERROR(INDEX(_group_[],MATCH(CONCATENATE(_SCHEDULE_[[#This Row],[CONTEST_CODE]],"_",$V$2),_group_[ИД2],0),MATCH($V$1,_group_[#Headers],0)),"---"),".",",")</f>
        <v>---</v>
      </c>
      <c r="W252" s="41" t="str">
        <f>IFERROR(INDEX(_INDICATOR_[],MATCH(_SCHEDULE_[[#This Row],[CONTEST_CODE]],_INDICATOR_[CONTEST_CODE],0),MATCH($W$2,_INDICATOR_[#Headers],0)),"-")</f>
        <v>WAIT</v>
      </c>
      <c r="X252" s="41" t="str">
        <f>IFERROR(INDEX(_group_[],MATCH(_SCHEDULE_[[#This Row],[CONTEST_CODE]],_group_[CONTEST_CODE],0),MATCH($X$2,_group_[#Headers],0)),"-")</f>
        <v>BANK</v>
      </c>
      <c r="Y252" s="61" t="str">
        <f>IFERROR(INDEX(_DATA_[],MATCH(_SCHEDULE_[[#This Row],[CONTEST_CODE]],_DATA_[CONTEST_CODE],0),MATCH($Y$2,_DATA_[#Headers],0)),"-")</f>
        <v>Факторинг. Лучший по продажам</v>
      </c>
      <c r="Z252" s="41" t="str">
        <f>IFERROR(INDEX(_reward_link_[],MATCH(_SCHEDULE_[[#This Row],[CONTEST_CODE]],_reward_link_[CONTEST_CODE],0),MATCH($Z$2,_reward_link_[#Headers],0)),"-")</f>
        <v>BANK</v>
      </c>
      <c r="AA252" s="41" t="str">
        <f>IFERROR(INDEX(_report[],MATCH(_SCHEDULE_[[#This Row],[CONTEST_CODE]],_report[CONTEST_CODE],0),MATCH($AA$2,_report[#Headers],0)),"-")</f>
        <v>-</v>
      </c>
      <c r="AB252"/>
    </row>
    <row r="253" spans="1:28" x14ac:dyDescent="0.25">
      <c r="A253" s="14" t="s">
        <v>3656</v>
      </c>
      <c r="B253" s="14" t="s">
        <v>3652</v>
      </c>
      <c r="C253" s="14" t="s">
        <v>4019</v>
      </c>
      <c r="D253" s="14" t="s">
        <v>2542</v>
      </c>
      <c r="E253" s="14" t="s">
        <v>3545</v>
      </c>
      <c r="F253" s="14" t="s">
        <v>194</v>
      </c>
      <c r="G253" s="14" t="s">
        <v>194</v>
      </c>
      <c r="H253" s="14" t="s">
        <v>194</v>
      </c>
      <c r="I253" s="14" t="s">
        <v>194</v>
      </c>
      <c r="J253" s="14" t="s">
        <v>194</v>
      </c>
      <c r="K253" s="14" t="s">
        <v>34</v>
      </c>
      <c r="L253" s="14" t="s">
        <v>2214</v>
      </c>
      <c r="M253" s="14" t="s">
        <v>3603</v>
      </c>
      <c r="N253" s="14" t="s">
        <v>2</v>
      </c>
      <c r="O253" s="14" t="s">
        <v>3657</v>
      </c>
      <c r="P253" s="14" t="s">
        <v>1064</v>
      </c>
      <c r="R253" s="38">
        <f>IFERROR(COUNTIFS(_report[TOURNAMENT_CODE],_SCHEDULE_[[#This Row],[TOURNAMENT_CODE]],_report[CONTEST_CODE],_SCHEDULE_[[#This Row],[CONTEST_CODE]]),"-")</f>
        <v>0</v>
      </c>
      <c r="S253" s="41" t="str">
        <f>SUBSTITUTE(IFERROR(INDEX(_group_[],MATCH(CONCATENATE(_SCHEDULE_[[#This Row],[CONTEST_CODE]],"_",$S$2),_group_[ИД2],0),MATCH($S$1,_group_[#Headers],0)),"---"),".",",")</f>
        <v>BANK</v>
      </c>
      <c r="T253" s="41" t="str">
        <f>SUBSTITUTE(IFERROR(INDEX(_group_[],MATCH(CONCATENATE(_SCHEDULE_[[#This Row],[CONTEST_CODE]],"_",$T$2),_group_[ИД2],0),MATCH($T$1,_group_[#Headers],0)),"---"),".",",")</f>
        <v>---</v>
      </c>
      <c r="U253" s="41" t="str">
        <f>SUBSTITUTE(IFERROR(INDEX(_group_[],MATCH(CONCATENATE(_SCHEDULE_[[#This Row],[CONTEST_CODE]],"_",$U$2),_group_[ИД2],0),MATCH($U$1,_group_[#Headers],0)),"---"),".",",")</f>
        <v>---</v>
      </c>
      <c r="V253" s="41" t="str">
        <f>SUBSTITUTE(IFERROR(INDEX(_group_[],MATCH(CONCATENATE(_SCHEDULE_[[#This Row],[CONTEST_CODE]],"_",$V$2),_group_[ИД2],0),MATCH($V$1,_group_[#Headers],0)),"---"),".",",")</f>
        <v>---</v>
      </c>
      <c r="W253" s="41" t="str">
        <f>IFERROR(INDEX(_INDICATOR_[],MATCH(_SCHEDULE_[[#This Row],[CONTEST_CODE]],_INDICATOR_[CONTEST_CODE],0),MATCH($W$2,_INDICATOR_[#Headers],0)),"-")</f>
        <v>WAIT</v>
      </c>
      <c r="X253" s="41" t="str">
        <f>IFERROR(INDEX(_group_[],MATCH(_SCHEDULE_[[#This Row],[CONTEST_CODE]],_group_[CONTEST_CODE],0),MATCH($X$2,_group_[#Headers],0)),"-")</f>
        <v>BANK</v>
      </c>
      <c r="Y253" s="61" t="str">
        <f>IFERROR(INDEX(_DATA_[],MATCH(_SCHEDULE_[[#This Row],[CONTEST_CODE]],_DATA_[CONTEST_CODE],0),MATCH($Y$2,_DATA_[#Headers],0)),"-")</f>
        <v>Факторинг. Лучший по продажам</v>
      </c>
      <c r="Z253" s="41" t="str">
        <f>IFERROR(INDEX(_reward_link_[],MATCH(_SCHEDULE_[[#This Row],[CONTEST_CODE]],_reward_link_[CONTEST_CODE],0),MATCH($Z$2,_reward_link_[#Headers],0)),"-")</f>
        <v>BANK</v>
      </c>
      <c r="AA253" s="41" t="str">
        <f>IFERROR(INDEX(_report[],MATCH(_SCHEDULE_[[#This Row],[CONTEST_CODE]],_report[CONTEST_CODE],0),MATCH($AA$2,_report[#Headers],0)),"-")</f>
        <v>-</v>
      </c>
      <c r="AB253"/>
    </row>
    <row r="254" spans="1:28" hidden="1" x14ac:dyDescent="0.25">
      <c r="A254" s="14" t="s">
        <v>2553</v>
      </c>
      <c r="B254" s="14" t="s">
        <v>2533</v>
      </c>
      <c r="C254" s="14" t="s">
        <v>2508</v>
      </c>
      <c r="D254" s="14" t="s">
        <v>2534</v>
      </c>
      <c r="E254" s="14" t="s">
        <v>4751</v>
      </c>
      <c r="F254" s="14" t="s">
        <v>194</v>
      </c>
      <c r="G254" s="14" t="s">
        <v>194</v>
      </c>
      <c r="H254" s="14" t="s">
        <v>194</v>
      </c>
      <c r="I254" s="14" t="s">
        <v>194</v>
      </c>
      <c r="J254" s="14" t="s">
        <v>194</v>
      </c>
      <c r="K254" s="14" t="s">
        <v>176</v>
      </c>
      <c r="L254" s="14" t="s">
        <v>2216</v>
      </c>
      <c r="M254" s="14" t="s">
        <v>3604</v>
      </c>
      <c r="N254" s="14" t="s">
        <v>2</v>
      </c>
      <c r="O254" s="14" t="s">
        <v>2555</v>
      </c>
      <c r="P254" s="14" t="s">
        <v>1064</v>
      </c>
      <c r="R254" s="38">
        <f>IFERROR(COUNTIFS(_report[TOURNAMENT_CODE],_SCHEDULE_[[#This Row],[TOURNAMENT_CODE]],_report[CONTEST_CODE],_SCHEDULE_[[#This Row],[CONTEST_CODE]]),"-")</f>
        <v>0</v>
      </c>
      <c r="S254" s="41" t="str">
        <f>SUBSTITUTE(IFERROR(INDEX(_group_[],MATCH(CONCATENATE(_SCHEDULE_[[#This Row],[CONTEST_CODE]],"_",$S$2),_group_[ИД2],0),MATCH($S$1,_group_[#Headers],0)),"---"),".",",")</f>
        <v>BANK</v>
      </c>
      <c r="T254" s="41" t="str">
        <f>SUBSTITUTE(IFERROR(INDEX(_group_[],MATCH(CONCATENATE(_SCHEDULE_[[#This Row],[CONTEST_CODE]],"_",$T$2),_group_[ИД2],0),MATCH($T$1,_group_[#Headers],0)),"---"),".",",")</f>
        <v>---</v>
      </c>
      <c r="U254" s="41" t="str">
        <f>SUBSTITUTE(IFERROR(INDEX(_group_[],MATCH(CONCATENATE(_SCHEDULE_[[#This Row],[CONTEST_CODE]],"_",$U$2),_group_[ИД2],0),MATCH($U$1,_group_[#Headers],0)),"---"),".",",")</f>
        <v>---</v>
      </c>
      <c r="V254" s="41" t="str">
        <f>SUBSTITUTE(IFERROR(INDEX(_group_[],MATCH(CONCATENATE(_SCHEDULE_[[#This Row],[CONTEST_CODE]],"_",$V$2),_group_[ИД2],0),MATCH($V$1,_group_[#Headers],0)),"---"),".",",")</f>
        <v>---</v>
      </c>
      <c r="W254" s="41" t="str">
        <f>IFERROR(INDEX(_INDICATOR_[],MATCH(_SCHEDULE_[[#This Row],[CONTEST_CODE]],_INDICATOR_[CONTEST_CODE],0),MATCH($W$2,_INDICATOR_[#Headers],0)),"-")</f>
        <v>WAIT</v>
      </c>
      <c r="X254" s="41" t="str">
        <f>IFERROR(INDEX(_group_[],MATCH(_SCHEDULE_[[#This Row],[CONTEST_CODE]],_group_[CONTEST_CODE],0),MATCH($X$2,_group_[#Headers],0)),"-")</f>
        <v>BANK</v>
      </c>
      <c r="Y254" s="61" t="str">
        <f>IFERROR(INDEX(_DATA_[],MATCH(_SCHEDULE_[[#This Row],[CONTEST_CODE]],_DATA_[CONTEST_CODE],0),MATCH($Y$2,_DATA_[#Headers],0)),"-")</f>
        <v>Первенство КМ хантер по сумме лимитов реализованных сделок</v>
      </c>
      <c r="Z254" s="41" t="str">
        <f>IFERROR(INDEX(_reward_link_[],MATCH(_SCHEDULE_[[#This Row],[CONTEST_CODE]],_reward_link_[CONTEST_CODE],0),MATCH($Z$2,_reward_link_[#Headers],0)),"-")</f>
        <v>BANK</v>
      </c>
      <c r="AA254" s="41" t="str">
        <f>IFERROR(INDEX(_report[],MATCH(_SCHEDULE_[[#This Row],[CONTEST_CODE]],_report[CONTEST_CODE],0),MATCH($AA$2,_report[#Headers],0)),"-")</f>
        <v>-</v>
      </c>
      <c r="AB254"/>
    </row>
    <row r="255" spans="1:28" x14ac:dyDescent="0.25">
      <c r="A255" s="14" t="s">
        <v>3658</v>
      </c>
      <c r="B255" s="14" t="s">
        <v>3652</v>
      </c>
      <c r="C255" s="14" t="s">
        <v>4019</v>
      </c>
      <c r="D255" s="14" t="s">
        <v>2542</v>
      </c>
      <c r="E255" s="14" t="s">
        <v>3659</v>
      </c>
      <c r="F255" s="14" t="s">
        <v>194</v>
      </c>
      <c r="G255" s="14" t="s">
        <v>194</v>
      </c>
      <c r="H255" s="14" t="s">
        <v>194</v>
      </c>
      <c r="I255" s="14" t="s">
        <v>194</v>
      </c>
      <c r="J255" s="14" t="s">
        <v>194</v>
      </c>
      <c r="K255" s="14" t="s">
        <v>34</v>
      </c>
      <c r="L255" s="14" t="s">
        <v>2216</v>
      </c>
      <c r="M255" s="14" t="s">
        <v>3604</v>
      </c>
      <c r="N255" s="14" t="s">
        <v>2</v>
      </c>
      <c r="O255" s="14" t="s">
        <v>3660</v>
      </c>
      <c r="P255" s="14" t="s">
        <v>1064</v>
      </c>
      <c r="R255" s="38">
        <f>IFERROR(COUNTIFS(_report[TOURNAMENT_CODE],_SCHEDULE_[[#This Row],[TOURNAMENT_CODE]],_report[CONTEST_CODE],_SCHEDULE_[[#This Row],[CONTEST_CODE]]),"-")</f>
        <v>0</v>
      </c>
      <c r="S255" s="41" t="str">
        <f>SUBSTITUTE(IFERROR(INDEX(_group_[],MATCH(CONCATENATE(_SCHEDULE_[[#This Row],[CONTEST_CODE]],"_",$S$2),_group_[ИД2],0),MATCH($S$1,_group_[#Headers],0)),"---"),".",",")</f>
        <v>BANK</v>
      </c>
      <c r="T255" s="41" t="str">
        <f>SUBSTITUTE(IFERROR(INDEX(_group_[],MATCH(CONCATENATE(_SCHEDULE_[[#This Row],[CONTEST_CODE]],"_",$T$2),_group_[ИД2],0),MATCH($T$1,_group_[#Headers],0)),"---"),".",",")</f>
        <v>---</v>
      </c>
      <c r="U255" s="41" t="str">
        <f>SUBSTITUTE(IFERROR(INDEX(_group_[],MATCH(CONCATENATE(_SCHEDULE_[[#This Row],[CONTEST_CODE]],"_",$U$2),_group_[ИД2],0),MATCH($U$1,_group_[#Headers],0)),"---"),".",",")</f>
        <v>---</v>
      </c>
      <c r="V255" s="41" t="str">
        <f>SUBSTITUTE(IFERROR(INDEX(_group_[],MATCH(CONCATENATE(_SCHEDULE_[[#This Row],[CONTEST_CODE]],"_",$V$2),_group_[ИД2],0),MATCH($V$1,_group_[#Headers],0)),"---"),".",",")</f>
        <v>---</v>
      </c>
      <c r="W255" s="41" t="str">
        <f>IFERROR(INDEX(_INDICATOR_[],MATCH(_SCHEDULE_[[#This Row],[CONTEST_CODE]],_INDICATOR_[CONTEST_CODE],0),MATCH($W$2,_INDICATOR_[#Headers],0)),"-")</f>
        <v>WAIT</v>
      </c>
      <c r="X255" s="41" t="str">
        <f>IFERROR(INDEX(_group_[],MATCH(_SCHEDULE_[[#This Row],[CONTEST_CODE]],_group_[CONTEST_CODE],0),MATCH($X$2,_group_[#Headers],0)),"-")</f>
        <v>BANK</v>
      </c>
      <c r="Y255" s="61" t="str">
        <f>IFERROR(INDEX(_DATA_[],MATCH(_SCHEDULE_[[#This Row],[CONTEST_CODE]],_DATA_[CONTEST_CODE],0),MATCH($Y$2,_DATA_[#Headers],0)),"-")</f>
        <v>Первенство КМ хантер по сумме лимитов реализованных сделок</v>
      </c>
      <c r="Z255" s="41" t="str">
        <f>IFERROR(INDEX(_reward_link_[],MATCH(_SCHEDULE_[[#This Row],[CONTEST_CODE]],_reward_link_[CONTEST_CODE],0),MATCH($Z$2,_reward_link_[#Headers],0)),"-")</f>
        <v>BANK</v>
      </c>
      <c r="AA255" s="41" t="str">
        <f>IFERROR(INDEX(_report[],MATCH(_SCHEDULE_[[#This Row],[CONTEST_CODE]],_report[CONTEST_CODE],0),MATCH($AA$2,_report[#Headers],0)),"-")</f>
        <v>-</v>
      </c>
      <c r="AB255"/>
    </row>
    <row r="256" spans="1:28" hidden="1" x14ac:dyDescent="0.25">
      <c r="A256" s="14" t="s">
        <v>2556</v>
      </c>
      <c r="B256" s="14" t="s">
        <v>2533</v>
      </c>
      <c r="C256" s="14" t="s">
        <v>2508</v>
      </c>
      <c r="D256" s="14" t="s">
        <v>2534</v>
      </c>
      <c r="E256" s="14" t="s">
        <v>4751</v>
      </c>
      <c r="F256" s="14" t="s">
        <v>194</v>
      </c>
      <c r="G256" s="14" t="s">
        <v>194</v>
      </c>
      <c r="H256" s="14" t="s">
        <v>194</v>
      </c>
      <c r="I256" s="14" t="s">
        <v>194</v>
      </c>
      <c r="J256" s="14" t="s">
        <v>194</v>
      </c>
      <c r="K256" s="14" t="s">
        <v>176</v>
      </c>
      <c r="L256" s="14" t="s">
        <v>2218</v>
      </c>
      <c r="M256" s="14" t="s">
        <v>3604</v>
      </c>
      <c r="N256" s="14" t="s">
        <v>2</v>
      </c>
      <c r="O256" s="14" t="s">
        <v>2557</v>
      </c>
      <c r="P256" s="14" t="s">
        <v>1064</v>
      </c>
      <c r="R256" s="38">
        <f>IFERROR(COUNTIFS(_report[TOURNAMENT_CODE],_SCHEDULE_[[#This Row],[TOURNAMENT_CODE]],_report[CONTEST_CODE],_SCHEDULE_[[#This Row],[CONTEST_CODE]]),"-")</f>
        <v>0</v>
      </c>
      <c r="S256" s="41" t="str">
        <f>SUBSTITUTE(IFERROR(INDEX(_group_[],MATCH(CONCATENATE(_SCHEDULE_[[#This Row],[CONTEST_CODE]],"_",$S$2),_group_[ИД2],0),MATCH($S$1,_group_[#Headers],0)),"---"),".",",")</f>
        <v>BANK</v>
      </c>
      <c r="T256" s="41" t="str">
        <f>SUBSTITUTE(IFERROR(INDEX(_group_[],MATCH(CONCATENATE(_SCHEDULE_[[#This Row],[CONTEST_CODE]],"_",$T$2),_group_[ИД2],0),MATCH($T$1,_group_[#Headers],0)),"---"),".",",")</f>
        <v>---</v>
      </c>
      <c r="U256" s="41" t="str">
        <f>SUBSTITUTE(IFERROR(INDEX(_group_[],MATCH(CONCATENATE(_SCHEDULE_[[#This Row],[CONTEST_CODE]],"_",$U$2),_group_[ИД2],0),MATCH($U$1,_group_[#Headers],0)),"---"),".",",")</f>
        <v>---</v>
      </c>
      <c r="V256" s="41" t="str">
        <f>SUBSTITUTE(IFERROR(INDEX(_group_[],MATCH(CONCATENATE(_SCHEDULE_[[#This Row],[CONTEST_CODE]],"_",$V$2),_group_[ИД2],0),MATCH($V$1,_group_[#Headers],0)),"---"),".",",")</f>
        <v>---</v>
      </c>
      <c r="W256" s="41" t="str">
        <f>IFERROR(INDEX(_INDICATOR_[],MATCH(_SCHEDULE_[[#This Row],[CONTEST_CODE]],_INDICATOR_[CONTEST_CODE],0),MATCH($W$2,_INDICATOR_[#Headers],0)),"-")</f>
        <v>WAIT</v>
      </c>
      <c r="X256" s="41" t="str">
        <f>IFERROR(INDEX(_group_[],MATCH(_SCHEDULE_[[#This Row],[CONTEST_CODE]],_group_[CONTEST_CODE],0),MATCH($X$2,_group_[#Headers],0)),"-")</f>
        <v>BANK</v>
      </c>
      <c r="Y256" s="61" t="str">
        <f>IFERROR(INDEX(_DATA_[],MATCH(_SCHEDULE_[[#This Row],[CONTEST_CODE]],_DATA_[CONTEST_CODE],0),MATCH($Y$2,_DATA_[#Headers],0)),"-")</f>
        <v>Новые деньги. Наращиваем СДО (МРБ)</v>
      </c>
      <c r="Z256" s="41" t="str">
        <f>IFERROR(INDEX(_reward_link_[],MATCH(_SCHEDULE_[[#This Row],[CONTEST_CODE]],_reward_link_[CONTEST_CODE],0),MATCH($Z$2,_reward_link_[#Headers],0)),"-")</f>
        <v>BANK</v>
      </c>
      <c r="AA256" s="41" t="str">
        <f>IFERROR(INDEX(_report[],MATCH(_SCHEDULE_[[#This Row],[CONTEST_CODE]],_report[CONTEST_CODE],0),MATCH($AA$2,_report[#Headers],0)),"-")</f>
        <v>-</v>
      </c>
      <c r="AB256"/>
    </row>
    <row r="257" spans="1:28" x14ac:dyDescent="0.25">
      <c r="A257" s="14" t="s">
        <v>3661</v>
      </c>
      <c r="B257" s="14" t="s">
        <v>3652</v>
      </c>
      <c r="C257" s="14" t="s">
        <v>4019</v>
      </c>
      <c r="D257" s="14" t="s">
        <v>2542</v>
      </c>
      <c r="E257" s="14" t="s">
        <v>3659</v>
      </c>
      <c r="F257" s="14" t="s">
        <v>194</v>
      </c>
      <c r="G257" s="14" t="s">
        <v>194</v>
      </c>
      <c r="H257" s="14" t="s">
        <v>194</v>
      </c>
      <c r="I257" s="14" t="s">
        <v>194</v>
      </c>
      <c r="J257" s="14" t="s">
        <v>194</v>
      </c>
      <c r="K257" s="14" t="s">
        <v>34</v>
      </c>
      <c r="L257" s="14" t="s">
        <v>2218</v>
      </c>
      <c r="M257" s="14" t="s">
        <v>3604</v>
      </c>
      <c r="N257" s="14" t="s">
        <v>2</v>
      </c>
      <c r="O257" s="14" t="s">
        <v>3662</v>
      </c>
      <c r="P257" s="14" t="s">
        <v>1064</v>
      </c>
      <c r="R257" s="38">
        <f>IFERROR(COUNTIFS(_report[TOURNAMENT_CODE],_SCHEDULE_[[#This Row],[TOURNAMENT_CODE]],_report[CONTEST_CODE],_SCHEDULE_[[#This Row],[CONTEST_CODE]]),"-")</f>
        <v>0</v>
      </c>
      <c r="S257" s="41" t="str">
        <f>SUBSTITUTE(IFERROR(INDEX(_group_[],MATCH(CONCATENATE(_SCHEDULE_[[#This Row],[CONTEST_CODE]],"_",$S$2),_group_[ИД2],0),MATCH($S$1,_group_[#Headers],0)),"---"),".",",")</f>
        <v>BANK</v>
      </c>
      <c r="T257" s="41" t="str">
        <f>SUBSTITUTE(IFERROR(INDEX(_group_[],MATCH(CONCATENATE(_SCHEDULE_[[#This Row],[CONTEST_CODE]],"_",$T$2),_group_[ИД2],0),MATCH($T$1,_group_[#Headers],0)),"---"),".",",")</f>
        <v>---</v>
      </c>
      <c r="U257" s="41" t="str">
        <f>SUBSTITUTE(IFERROR(INDEX(_group_[],MATCH(CONCATENATE(_SCHEDULE_[[#This Row],[CONTEST_CODE]],"_",$U$2),_group_[ИД2],0),MATCH($U$1,_group_[#Headers],0)),"---"),".",",")</f>
        <v>---</v>
      </c>
      <c r="V257" s="41" t="str">
        <f>SUBSTITUTE(IFERROR(INDEX(_group_[],MATCH(CONCATENATE(_SCHEDULE_[[#This Row],[CONTEST_CODE]],"_",$V$2),_group_[ИД2],0),MATCH($V$1,_group_[#Headers],0)),"---"),".",",")</f>
        <v>---</v>
      </c>
      <c r="W257" s="41" t="str">
        <f>IFERROR(INDEX(_INDICATOR_[],MATCH(_SCHEDULE_[[#This Row],[CONTEST_CODE]],_INDICATOR_[CONTEST_CODE],0),MATCH($W$2,_INDICATOR_[#Headers],0)),"-")</f>
        <v>WAIT</v>
      </c>
      <c r="X257" s="41" t="str">
        <f>IFERROR(INDEX(_group_[],MATCH(_SCHEDULE_[[#This Row],[CONTEST_CODE]],_group_[CONTEST_CODE],0),MATCH($X$2,_group_[#Headers],0)),"-")</f>
        <v>BANK</v>
      </c>
      <c r="Y257" s="61" t="str">
        <f>IFERROR(INDEX(_DATA_[],MATCH(_SCHEDULE_[[#This Row],[CONTEST_CODE]],_DATA_[CONTEST_CODE],0),MATCH($Y$2,_DATA_[#Headers],0)),"-")</f>
        <v>Новые деньги. Наращиваем СДО (МРБ)</v>
      </c>
      <c r="Z257" s="41" t="str">
        <f>IFERROR(INDEX(_reward_link_[],MATCH(_SCHEDULE_[[#This Row],[CONTEST_CODE]],_reward_link_[CONTEST_CODE],0),MATCH($Z$2,_reward_link_[#Headers],0)),"-")</f>
        <v>BANK</v>
      </c>
      <c r="AA257" s="41" t="str">
        <f>IFERROR(INDEX(_report[],MATCH(_SCHEDULE_[[#This Row],[CONTEST_CODE]],_report[CONTEST_CODE],0),MATCH($AA$2,_report[#Headers],0)),"-")</f>
        <v>-</v>
      </c>
      <c r="AB257"/>
    </row>
    <row r="258" spans="1:28" hidden="1" x14ac:dyDescent="0.25">
      <c r="A258" s="14" t="s">
        <v>2558</v>
      </c>
      <c r="B258" s="14" t="s">
        <v>2533</v>
      </c>
      <c r="C258" s="14" t="s">
        <v>2508</v>
      </c>
      <c r="D258" s="14" t="s">
        <v>2534</v>
      </c>
      <c r="E258" s="14" t="s">
        <v>4132</v>
      </c>
      <c r="F258" s="14" t="s">
        <v>194</v>
      </c>
      <c r="G258" s="14" t="s">
        <v>194</v>
      </c>
      <c r="H258" s="14" t="s">
        <v>194</v>
      </c>
      <c r="I258" s="14" t="s">
        <v>194</v>
      </c>
      <c r="J258" s="14" t="s">
        <v>194</v>
      </c>
      <c r="K258" s="14" t="s">
        <v>176</v>
      </c>
      <c r="L258" s="14" t="s">
        <v>2220</v>
      </c>
      <c r="M258" s="14" t="s">
        <v>3604</v>
      </c>
      <c r="N258" s="14" t="s">
        <v>2</v>
      </c>
      <c r="O258" s="14" t="s">
        <v>2559</v>
      </c>
      <c r="P258" s="14" t="s">
        <v>1064</v>
      </c>
      <c r="R258" s="38">
        <f>IFERROR(COUNTIFS(_report[TOURNAMENT_CODE],_SCHEDULE_[[#This Row],[TOURNAMENT_CODE]],_report[CONTEST_CODE],_SCHEDULE_[[#This Row],[CONTEST_CODE]]),"-")</f>
        <v>0</v>
      </c>
      <c r="S258" s="41" t="str">
        <f>SUBSTITUTE(IFERROR(INDEX(_group_[],MATCH(CONCATENATE(_SCHEDULE_[[#This Row],[CONTEST_CODE]],"_",$S$2),_group_[ИД2],0),MATCH($S$1,_group_[#Headers],0)),"---"),".",",")</f>
        <v>BANK</v>
      </c>
      <c r="T258" s="41" t="str">
        <f>SUBSTITUTE(IFERROR(INDEX(_group_[],MATCH(CONCATENATE(_SCHEDULE_[[#This Row],[CONTEST_CODE]],"_",$T$2),_group_[ИД2],0),MATCH($T$1,_group_[#Headers],0)),"---"),".",",")</f>
        <v>---</v>
      </c>
      <c r="U258" s="41" t="str">
        <f>SUBSTITUTE(IFERROR(INDEX(_group_[],MATCH(CONCATENATE(_SCHEDULE_[[#This Row],[CONTEST_CODE]],"_",$U$2),_group_[ИД2],0),MATCH($U$1,_group_[#Headers],0)),"---"),".",",")</f>
        <v>---</v>
      </c>
      <c r="V258" s="41" t="str">
        <f>SUBSTITUTE(IFERROR(INDEX(_group_[],MATCH(CONCATENATE(_SCHEDULE_[[#This Row],[CONTEST_CODE]],"_",$V$2),_group_[ИД2],0),MATCH($V$1,_group_[#Headers],0)),"---"),".",",")</f>
        <v>---</v>
      </c>
      <c r="W258" s="41" t="str">
        <f>IFERROR(INDEX(_INDICATOR_[],MATCH(_SCHEDULE_[[#This Row],[CONTEST_CODE]],_INDICATOR_[CONTEST_CODE],0),MATCH($W$2,_INDICATOR_[#Headers],0)),"-")</f>
        <v>WAIT</v>
      </c>
      <c r="X258" s="41" t="str">
        <f>IFERROR(INDEX(_group_[],MATCH(_SCHEDULE_[[#This Row],[CONTEST_CODE]],_group_[CONTEST_CODE],0),MATCH($X$2,_group_[#Headers],0)),"-")</f>
        <v>BANK</v>
      </c>
      <c r="Y258" s="61" t="str">
        <f>IFERROR(INDEX(_DATA_[],MATCH(_SCHEDULE_[[#This Row],[CONTEST_CODE]],_DATA_[CONTEST_CODE],0),MATCH($Y$2,_DATA_[#Headers],0)),"-")</f>
        <v>Новые деньги. Наращиваем СДО (КМ с портфелем)</v>
      </c>
      <c r="Z258" s="41" t="str">
        <f>IFERROR(INDEX(_reward_link_[],MATCH(_SCHEDULE_[[#This Row],[CONTEST_CODE]],_reward_link_[CONTEST_CODE],0),MATCH($Z$2,_reward_link_[#Headers],0)),"-")</f>
        <v>BANK</v>
      </c>
      <c r="AA258" s="41" t="str">
        <f>IFERROR(INDEX(_report[],MATCH(_SCHEDULE_[[#This Row],[CONTEST_CODE]],_report[CONTEST_CODE],0),MATCH($AA$2,_report[#Headers],0)),"-")</f>
        <v>-</v>
      </c>
      <c r="AB258"/>
    </row>
    <row r="259" spans="1:28" x14ac:dyDescent="0.25">
      <c r="A259" s="14" t="s">
        <v>3663</v>
      </c>
      <c r="B259" s="14" t="s">
        <v>3652</v>
      </c>
      <c r="C259" s="14" t="s">
        <v>4019</v>
      </c>
      <c r="D259" s="14" t="s">
        <v>2542</v>
      </c>
      <c r="E259" s="14" t="s">
        <v>3659</v>
      </c>
      <c r="F259" s="14" t="s">
        <v>194</v>
      </c>
      <c r="G259" s="14" t="s">
        <v>194</v>
      </c>
      <c r="H259" s="14" t="s">
        <v>194</v>
      </c>
      <c r="I259" s="14" t="s">
        <v>194</v>
      </c>
      <c r="J259" s="14" t="s">
        <v>194</v>
      </c>
      <c r="K259" s="14" t="s">
        <v>34</v>
      </c>
      <c r="L259" s="14" t="s">
        <v>2220</v>
      </c>
      <c r="M259" s="14" t="s">
        <v>3604</v>
      </c>
      <c r="N259" s="14" t="s">
        <v>2</v>
      </c>
      <c r="O259" s="14" t="s">
        <v>3664</v>
      </c>
      <c r="P259" s="14" t="s">
        <v>1064</v>
      </c>
      <c r="R259" s="38">
        <f>IFERROR(COUNTIFS(_report[TOURNAMENT_CODE],_SCHEDULE_[[#This Row],[TOURNAMENT_CODE]],_report[CONTEST_CODE],_SCHEDULE_[[#This Row],[CONTEST_CODE]]),"-")</f>
        <v>0</v>
      </c>
      <c r="S259" s="41" t="str">
        <f>SUBSTITUTE(IFERROR(INDEX(_group_[],MATCH(CONCATENATE(_SCHEDULE_[[#This Row],[CONTEST_CODE]],"_",$S$2),_group_[ИД2],0),MATCH($S$1,_group_[#Headers],0)),"---"),".",",")</f>
        <v>BANK</v>
      </c>
      <c r="T259" s="41" t="str">
        <f>SUBSTITUTE(IFERROR(INDEX(_group_[],MATCH(CONCATENATE(_SCHEDULE_[[#This Row],[CONTEST_CODE]],"_",$T$2),_group_[ИД2],0),MATCH($T$1,_group_[#Headers],0)),"---"),".",",")</f>
        <v>---</v>
      </c>
      <c r="U259" s="41" t="str">
        <f>SUBSTITUTE(IFERROR(INDEX(_group_[],MATCH(CONCATENATE(_SCHEDULE_[[#This Row],[CONTEST_CODE]],"_",$U$2),_group_[ИД2],0),MATCH($U$1,_group_[#Headers],0)),"---"),".",",")</f>
        <v>---</v>
      </c>
      <c r="V259" s="41" t="str">
        <f>SUBSTITUTE(IFERROR(INDEX(_group_[],MATCH(CONCATENATE(_SCHEDULE_[[#This Row],[CONTEST_CODE]],"_",$V$2),_group_[ИД2],0),MATCH($V$1,_group_[#Headers],0)),"---"),".",",")</f>
        <v>---</v>
      </c>
      <c r="W259" s="41" t="str">
        <f>IFERROR(INDEX(_INDICATOR_[],MATCH(_SCHEDULE_[[#This Row],[CONTEST_CODE]],_INDICATOR_[CONTEST_CODE],0),MATCH($W$2,_INDICATOR_[#Headers],0)),"-")</f>
        <v>WAIT</v>
      </c>
      <c r="X259" s="41" t="str">
        <f>IFERROR(INDEX(_group_[],MATCH(_SCHEDULE_[[#This Row],[CONTEST_CODE]],_group_[CONTEST_CODE],0),MATCH($X$2,_group_[#Headers],0)),"-")</f>
        <v>BANK</v>
      </c>
      <c r="Y259" s="61" t="str">
        <f>IFERROR(INDEX(_DATA_[],MATCH(_SCHEDULE_[[#This Row],[CONTEST_CODE]],_DATA_[CONTEST_CODE],0),MATCH($Y$2,_DATA_[#Headers],0)),"-")</f>
        <v>Новые деньги. Наращиваем СДО (КМ с портфелем)</v>
      </c>
      <c r="Z259" s="41" t="str">
        <f>IFERROR(INDEX(_reward_link_[],MATCH(_SCHEDULE_[[#This Row],[CONTEST_CODE]],_reward_link_[CONTEST_CODE],0),MATCH($Z$2,_reward_link_[#Headers],0)),"-")</f>
        <v>BANK</v>
      </c>
      <c r="AA259" s="41" t="str">
        <f>IFERROR(INDEX(_report[],MATCH(_SCHEDULE_[[#This Row],[CONTEST_CODE]],_report[CONTEST_CODE],0),MATCH($AA$2,_report[#Headers],0)),"-")</f>
        <v>-</v>
      </c>
      <c r="AB259"/>
    </row>
    <row r="260" spans="1:28" hidden="1" x14ac:dyDescent="0.25">
      <c r="A260" s="14" t="s">
        <v>2560</v>
      </c>
      <c r="B260" s="14" t="s">
        <v>2533</v>
      </c>
      <c r="C260" s="14" t="s">
        <v>2508</v>
      </c>
      <c r="D260" s="14" t="s">
        <v>2534</v>
      </c>
      <c r="E260" s="14" t="s">
        <v>4132</v>
      </c>
      <c r="F260" s="14" t="s">
        <v>194</v>
      </c>
      <c r="G260" s="14" t="s">
        <v>194</v>
      </c>
      <c r="H260" s="14" t="s">
        <v>194</v>
      </c>
      <c r="I260" s="14" t="s">
        <v>194</v>
      </c>
      <c r="J260" s="14" t="s">
        <v>194</v>
      </c>
      <c r="K260" s="14" t="s">
        <v>176</v>
      </c>
      <c r="L260" s="14" t="s">
        <v>2222</v>
      </c>
      <c r="M260" s="14" t="s">
        <v>3604</v>
      </c>
      <c r="N260" s="14" t="s">
        <v>2</v>
      </c>
      <c r="O260" s="14" t="s">
        <v>2561</v>
      </c>
      <c r="P260" s="14" t="s">
        <v>1064</v>
      </c>
      <c r="R260" s="38">
        <f>IFERROR(COUNTIFS(_report[TOURNAMENT_CODE],_SCHEDULE_[[#This Row],[TOURNAMENT_CODE]],_report[CONTEST_CODE],_SCHEDULE_[[#This Row],[CONTEST_CODE]]),"-")</f>
        <v>0</v>
      </c>
      <c r="S260" s="41" t="str">
        <f>SUBSTITUTE(IFERROR(INDEX(_group_[],MATCH(CONCATENATE(_SCHEDULE_[[#This Row],[CONTEST_CODE]],"_",$S$2),_group_[ИД2],0),MATCH($S$1,_group_[#Headers],0)),"---"),".",",")</f>
        <v>BANK</v>
      </c>
      <c r="T260" s="41" t="str">
        <f>SUBSTITUTE(IFERROR(INDEX(_group_[],MATCH(CONCATENATE(_SCHEDULE_[[#This Row],[CONTEST_CODE]],"_",$T$2),_group_[ИД2],0),MATCH($T$1,_group_[#Headers],0)),"---"),".",",")</f>
        <v>---</v>
      </c>
      <c r="U260" s="41" t="str">
        <f>SUBSTITUTE(IFERROR(INDEX(_group_[],MATCH(CONCATENATE(_SCHEDULE_[[#This Row],[CONTEST_CODE]],"_",$U$2),_group_[ИД2],0),MATCH($U$1,_group_[#Headers],0)),"---"),".",",")</f>
        <v>---</v>
      </c>
      <c r="V260" s="41" t="str">
        <f>SUBSTITUTE(IFERROR(INDEX(_group_[],MATCH(CONCATENATE(_SCHEDULE_[[#This Row],[CONTEST_CODE]],"_",$V$2),_group_[ИД2],0),MATCH($V$1,_group_[#Headers],0)),"---"),".",",")</f>
        <v>---</v>
      </c>
      <c r="W260" s="41" t="str">
        <f>IFERROR(INDEX(_INDICATOR_[],MATCH(_SCHEDULE_[[#This Row],[CONTEST_CODE]],_INDICATOR_[CONTEST_CODE],0),MATCH($W$2,_INDICATOR_[#Headers],0)),"-")</f>
        <v>WAIT</v>
      </c>
      <c r="X260" s="41" t="str">
        <f>IFERROR(INDEX(_group_[],MATCH(_SCHEDULE_[[#This Row],[CONTEST_CODE]],_group_[CONTEST_CODE],0),MATCH($X$2,_group_[#Headers],0)),"-")</f>
        <v>BANK</v>
      </c>
      <c r="Y260" s="61" t="str">
        <f>IFERROR(INDEX(_DATA_[],MATCH(_SCHEDULE_[[#This Row],[CONTEST_CODE]],_DATA_[CONTEST_CODE],0),MATCH($Y$2,_DATA_[#Headers],0)),"-")</f>
        <v>Производительность. Потоковые сделки (МС)</v>
      </c>
      <c r="Z260" s="41" t="str">
        <f>IFERROR(INDEX(_reward_link_[],MATCH(_SCHEDULE_[[#This Row],[CONTEST_CODE]],_reward_link_[CONTEST_CODE],0),MATCH($Z$2,_reward_link_[#Headers],0)),"-")</f>
        <v>BANK</v>
      </c>
      <c r="AA260" s="41" t="str">
        <f>IFERROR(INDEX(_report[],MATCH(_SCHEDULE_[[#This Row],[CONTEST_CODE]],_report[CONTEST_CODE],0),MATCH($AA$2,_report[#Headers],0)),"-")</f>
        <v>-</v>
      </c>
      <c r="AB260"/>
    </row>
    <row r="261" spans="1:28" x14ac:dyDescent="0.25">
      <c r="A261" s="14" t="s">
        <v>3665</v>
      </c>
      <c r="B261" s="14" t="s">
        <v>3652</v>
      </c>
      <c r="C261" s="14" t="s">
        <v>4019</v>
      </c>
      <c r="D261" s="14" t="s">
        <v>2542</v>
      </c>
      <c r="E261" s="14" t="s">
        <v>3659</v>
      </c>
      <c r="F261" s="14" t="s">
        <v>194</v>
      </c>
      <c r="G261" s="14" t="s">
        <v>194</v>
      </c>
      <c r="H261" s="14" t="s">
        <v>194</v>
      </c>
      <c r="I261" s="14" t="s">
        <v>194</v>
      </c>
      <c r="J261" s="14" t="s">
        <v>194</v>
      </c>
      <c r="K261" s="14" t="s">
        <v>34</v>
      </c>
      <c r="L261" s="14" t="s">
        <v>2222</v>
      </c>
      <c r="M261" s="14" t="s">
        <v>3604</v>
      </c>
      <c r="N261" s="14" t="s">
        <v>2</v>
      </c>
      <c r="O261" s="14" t="s">
        <v>3666</v>
      </c>
      <c r="P261" s="14" t="s">
        <v>1064</v>
      </c>
      <c r="R261" s="38">
        <f>IFERROR(COUNTIFS(_report[TOURNAMENT_CODE],_SCHEDULE_[[#This Row],[TOURNAMENT_CODE]],_report[CONTEST_CODE],_SCHEDULE_[[#This Row],[CONTEST_CODE]]),"-")</f>
        <v>0</v>
      </c>
      <c r="S261" s="41" t="str">
        <f>SUBSTITUTE(IFERROR(INDEX(_group_[],MATCH(CONCATENATE(_SCHEDULE_[[#This Row],[CONTEST_CODE]],"_",$S$2),_group_[ИД2],0),MATCH($S$1,_group_[#Headers],0)),"---"),".",",")</f>
        <v>BANK</v>
      </c>
      <c r="T261" s="41" t="str">
        <f>SUBSTITUTE(IFERROR(INDEX(_group_[],MATCH(CONCATENATE(_SCHEDULE_[[#This Row],[CONTEST_CODE]],"_",$T$2),_group_[ИД2],0),MATCH($T$1,_group_[#Headers],0)),"---"),".",",")</f>
        <v>---</v>
      </c>
      <c r="U261" s="41" t="str">
        <f>SUBSTITUTE(IFERROR(INDEX(_group_[],MATCH(CONCATENATE(_SCHEDULE_[[#This Row],[CONTEST_CODE]],"_",$U$2),_group_[ИД2],0),MATCH($U$1,_group_[#Headers],0)),"---"),".",",")</f>
        <v>---</v>
      </c>
      <c r="V261" s="41" t="str">
        <f>SUBSTITUTE(IFERROR(INDEX(_group_[],MATCH(CONCATENATE(_SCHEDULE_[[#This Row],[CONTEST_CODE]],"_",$V$2),_group_[ИД2],0),MATCH($V$1,_group_[#Headers],0)),"---"),".",",")</f>
        <v>---</v>
      </c>
      <c r="W261" s="41" t="str">
        <f>IFERROR(INDEX(_INDICATOR_[],MATCH(_SCHEDULE_[[#This Row],[CONTEST_CODE]],_INDICATOR_[CONTEST_CODE],0),MATCH($W$2,_INDICATOR_[#Headers],0)),"-")</f>
        <v>WAIT</v>
      </c>
      <c r="X261" s="41" t="str">
        <f>IFERROR(INDEX(_group_[],MATCH(_SCHEDULE_[[#This Row],[CONTEST_CODE]],_group_[CONTEST_CODE],0),MATCH($X$2,_group_[#Headers],0)),"-")</f>
        <v>BANK</v>
      </c>
      <c r="Y261" s="61" t="str">
        <f>IFERROR(INDEX(_DATA_[],MATCH(_SCHEDULE_[[#This Row],[CONTEST_CODE]],_DATA_[CONTEST_CODE],0),MATCH($Y$2,_DATA_[#Headers],0)),"-")</f>
        <v>Производительность. Потоковые сделки (МС)</v>
      </c>
      <c r="Z261" s="41" t="str">
        <f>IFERROR(INDEX(_reward_link_[],MATCH(_SCHEDULE_[[#This Row],[CONTEST_CODE]],_reward_link_[CONTEST_CODE],0),MATCH($Z$2,_reward_link_[#Headers],0)),"-")</f>
        <v>BANK</v>
      </c>
      <c r="AA261" s="41" t="str">
        <f>IFERROR(INDEX(_report[],MATCH(_SCHEDULE_[[#This Row],[CONTEST_CODE]],_report[CONTEST_CODE],0),MATCH($AA$2,_report[#Headers],0)),"-")</f>
        <v>-</v>
      </c>
      <c r="AB261"/>
    </row>
    <row r="262" spans="1:28" hidden="1" x14ac:dyDescent="0.25">
      <c r="A262" s="14" t="s">
        <v>2562</v>
      </c>
      <c r="B262" s="14" t="s">
        <v>2533</v>
      </c>
      <c r="C262" s="14" t="s">
        <v>2508</v>
      </c>
      <c r="D262" s="14" t="s">
        <v>2534</v>
      </c>
      <c r="E262" s="14" t="s">
        <v>4132</v>
      </c>
      <c r="F262" s="14" t="s">
        <v>194</v>
      </c>
      <c r="G262" s="14" t="s">
        <v>194</v>
      </c>
      <c r="H262" s="14" t="s">
        <v>194</v>
      </c>
      <c r="I262" s="14" t="s">
        <v>194</v>
      </c>
      <c r="J262" s="14" t="s">
        <v>194</v>
      </c>
      <c r="K262" s="14" t="s">
        <v>176</v>
      </c>
      <c r="L262" s="14" t="s">
        <v>2224</v>
      </c>
      <c r="M262" s="14" t="s">
        <v>3604</v>
      </c>
      <c r="N262" s="14" t="s">
        <v>2</v>
      </c>
      <c r="O262" s="14" t="s">
        <v>2563</v>
      </c>
      <c r="P262" s="14" t="s">
        <v>1064</v>
      </c>
      <c r="R262" s="38">
        <f>IFERROR(COUNTIFS(_report[TOURNAMENT_CODE],_SCHEDULE_[[#This Row],[TOURNAMENT_CODE]],_report[CONTEST_CODE],_SCHEDULE_[[#This Row],[CONTEST_CODE]]),"-")</f>
        <v>0</v>
      </c>
      <c r="S262" s="41" t="str">
        <f>SUBSTITUTE(IFERROR(INDEX(_group_[],MATCH(CONCATENATE(_SCHEDULE_[[#This Row],[CONTEST_CODE]],"_",$S$2),_group_[ИД2],0),MATCH($S$1,_group_[#Headers],0)),"---"),".",",")</f>
        <v>BANK</v>
      </c>
      <c r="T262" s="41" t="str">
        <f>SUBSTITUTE(IFERROR(INDEX(_group_[],MATCH(CONCATENATE(_SCHEDULE_[[#This Row],[CONTEST_CODE]],"_",$T$2),_group_[ИД2],0),MATCH($T$1,_group_[#Headers],0)),"---"),".",",")</f>
        <v>---</v>
      </c>
      <c r="U262" s="41" t="str">
        <f>SUBSTITUTE(IFERROR(INDEX(_group_[],MATCH(CONCATENATE(_SCHEDULE_[[#This Row],[CONTEST_CODE]],"_",$U$2),_group_[ИД2],0),MATCH($U$1,_group_[#Headers],0)),"---"),".",",")</f>
        <v>---</v>
      </c>
      <c r="V262" s="41" t="str">
        <f>SUBSTITUTE(IFERROR(INDEX(_group_[],MATCH(CONCATENATE(_SCHEDULE_[[#This Row],[CONTEST_CODE]],"_",$V$2),_group_[ИД2],0),MATCH($V$1,_group_[#Headers],0)),"---"),".",",")</f>
        <v>---</v>
      </c>
      <c r="W262" s="41" t="str">
        <f>IFERROR(INDEX(_INDICATOR_[],MATCH(_SCHEDULE_[[#This Row],[CONTEST_CODE]],_INDICATOR_[CONTEST_CODE],0),MATCH($W$2,_INDICATOR_[#Headers],0)),"-")</f>
        <v>WAIT</v>
      </c>
      <c r="X262" s="41" t="str">
        <f>IFERROR(INDEX(_group_[],MATCH(_SCHEDULE_[[#This Row],[CONTEST_CODE]],_group_[CONTEST_CODE],0),MATCH($X$2,_group_[#Headers],0)),"-")</f>
        <v>BANK</v>
      </c>
      <c r="Y262" s="61" t="str">
        <f>IFERROR(INDEX(_DATA_[],MATCH(_SCHEDULE_[[#This Row],[CONTEST_CODE]],_DATA_[CONTEST_CODE],0),MATCH($Y$2,_DATA_[#Headers],0)),"-")</f>
        <v>Производительность. Индивидуальные сделки (МС)</v>
      </c>
      <c r="Z262" s="41" t="str">
        <f>IFERROR(INDEX(_reward_link_[],MATCH(_SCHEDULE_[[#This Row],[CONTEST_CODE]],_reward_link_[CONTEST_CODE],0),MATCH($Z$2,_reward_link_[#Headers],0)),"-")</f>
        <v>BANK</v>
      </c>
      <c r="AA262" s="41" t="str">
        <f>IFERROR(INDEX(_report[],MATCH(_SCHEDULE_[[#This Row],[CONTEST_CODE]],_report[CONTEST_CODE],0),MATCH($AA$2,_report[#Headers],0)),"-")</f>
        <v>-</v>
      </c>
      <c r="AB262"/>
    </row>
    <row r="263" spans="1:28" x14ac:dyDescent="0.25">
      <c r="A263" s="14" t="s">
        <v>3667</v>
      </c>
      <c r="B263" s="14" t="s">
        <v>3652</v>
      </c>
      <c r="C263" s="14" t="s">
        <v>4019</v>
      </c>
      <c r="D263" s="14" t="s">
        <v>2542</v>
      </c>
      <c r="E263" s="14" t="s">
        <v>3659</v>
      </c>
      <c r="F263" s="14" t="s">
        <v>194</v>
      </c>
      <c r="G263" s="14" t="s">
        <v>194</v>
      </c>
      <c r="H263" s="14" t="s">
        <v>194</v>
      </c>
      <c r="I263" s="14" t="s">
        <v>194</v>
      </c>
      <c r="J263" s="14" t="s">
        <v>194</v>
      </c>
      <c r="K263" s="14" t="s">
        <v>34</v>
      </c>
      <c r="L263" s="14" t="s">
        <v>2224</v>
      </c>
      <c r="M263" s="14" t="s">
        <v>3604</v>
      </c>
      <c r="N263" s="14" t="s">
        <v>2</v>
      </c>
      <c r="O263" s="14" t="s">
        <v>3668</v>
      </c>
      <c r="P263" s="14" t="s">
        <v>1064</v>
      </c>
      <c r="R263" s="38">
        <f>IFERROR(COUNTIFS(_report[TOURNAMENT_CODE],_SCHEDULE_[[#This Row],[TOURNAMENT_CODE]],_report[CONTEST_CODE],_SCHEDULE_[[#This Row],[CONTEST_CODE]]),"-")</f>
        <v>0</v>
      </c>
      <c r="S263" s="41" t="str">
        <f>SUBSTITUTE(IFERROR(INDEX(_group_[],MATCH(CONCATENATE(_SCHEDULE_[[#This Row],[CONTEST_CODE]],"_",$S$2),_group_[ИД2],0),MATCH($S$1,_group_[#Headers],0)),"---"),".",",")</f>
        <v>BANK</v>
      </c>
      <c r="T263" s="41" t="str">
        <f>SUBSTITUTE(IFERROR(INDEX(_group_[],MATCH(CONCATENATE(_SCHEDULE_[[#This Row],[CONTEST_CODE]],"_",$T$2),_group_[ИД2],0),MATCH($T$1,_group_[#Headers],0)),"---"),".",",")</f>
        <v>---</v>
      </c>
      <c r="U263" s="41" t="str">
        <f>SUBSTITUTE(IFERROR(INDEX(_group_[],MATCH(CONCATENATE(_SCHEDULE_[[#This Row],[CONTEST_CODE]],"_",$U$2),_group_[ИД2],0),MATCH($U$1,_group_[#Headers],0)),"---"),".",",")</f>
        <v>---</v>
      </c>
      <c r="V263" s="41" t="str">
        <f>SUBSTITUTE(IFERROR(INDEX(_group_[],MATCH(CONCATENATE(_SCHEDULE_[[#This Row],[CONTEST_CODE]],"_",$V$2),_group_[ИД2],0),MATCH($V$1,_group_[#Headers],0)),"---"),".",",")</f>
        <v>---</v>
      </c>
      <c r="W263" s="41" t="str">
        <f>IFERROR(INDEX(_INDICATOR_[],MATCH(_SCHEDULE_[[#This Row],[CONTEST_CODE]],_INDICATOR_[CONTEST_CODE],0),MATCH($W$2,_INDICATOR_[#Headers],0)),"-")</f>
        <v>WAIT</v>
      </c>
      <c r="X263" s="41" t="str">
        <f>IFERROR(INDEX(_group_[],MATCH(_SCHEDULE_[[#This Row],[CONTEST_CODE]],_group_[CONTEST_CODE],0),MATCH($X$2,_group_[#Headers],0)),"-")</f>
        <v>BANK</v>
      </c>
      <c r="Y263" s="61" t="str">
        <f>IFERROR(INDEX(_DATA_[],MATCH(_SCHEDULE_[[#This Row],[CONTEST_CODE]],_DATA_[CONTEST_CODE],0),MATCH($Y$2,_DATA_[#Headers],0)),"-")</f>
        <v>Производительность. Индивидуальные сделки (МС)</v>
      </c>
      <c r="Z263" s="41" t="str">
        <f>IFERROR(INDEX(_reward_link_[],MATCH(_SCHEDULE_[[#This Row],[CONTEST_CODE]],_reward_link_[CONTEST_CODE],0),MATCH($Z$2,_reward_link_[#Headers],0)),"-")</f>
        <v>BANK</v>
      </c>
      <c r="AA263" s="41" t="str">
        <f>IFERROR(INDEX(_report[],MATCH(_SCHEDULE_[[#This Row],[CONTEST_CODE]],_report[CONTEST_CODE],0),MATCH($AA$2,_report[#Headers],0)),"-")</f>
        <v>-</v>
      </c>
      <c r="AB263"/>
    </row>
    <row r="264" spans="1:28" hidden="1" x14ac:dyDescent="0.25">
      <c r="A264" s="14" t="s">
        <v>2564</v>
      </c>
      <c r="B264" s="14" t="s">
        <v>2533</v>
      </c>
      <c r="C264" s="14" t="s">
        <v>2508</v>
      </c>
      <c r="D264" s="14" t="s">
        <v>2534</v>
      </c>
      <c r="E264" s="14" t="s">
        <v>4132</v>
      </c>
      <c r="F264" s="14" t="s">
        <v>194</v>
      </c>
      <c r="G264" s="14" t="s">
        <v>194</v>
      </c>
      <c r="H264" s="14" t="s">
        <v>194</v>
      </c>
      <c r="I264" s="14" t="s">
        <v>194</v>
      </c>
      <c r="J264" s="14" t="s">
        <v>194</v>
      </c>
      <c r="K264" s="14" t="s">
        <v>176</v>
      </c>
      <c r="L264" s="14" t="s">
        <v>2226</v>
      </c>
      <c r="M264" s="14" t="s">
        <v>3604</v>
      </c>
      <c r="N264" s="14" t="s">
        <v>2</v>
      </c>
      <c r="O264" s="14" t="s">
        <v>2565</v>
      </c>
      <c r="P264" s="14" t="s">
        <v>1064</v>
      </c>
      <c r="R264" s="38">
        <f>IFERROR(COUNTIFS(_report[TOURNAMENT_CODE],_SCHEDULE_[[#This Row],[TOURNAMENT_CODE]],_report[CONTEST_CODE],_SCHEDULE_[[#This Row],[CONTEST_CODE]]),"-")</f>
        <v>0</v>
      </c>
      <c r="S264" s="41" t="str">
        <f>SUBSTITUTE(IFERROR(INDEX(_group_[],MATCH(CONCATENATE(_SCHEDULE_[[#This Row],[CONTEST_CODE]],"_",$S$2),_group_[ИД2],0),MATCH($S$1,_group_[#Headers],0)),"---"),".",",")</f>
        <v>BANK</v>
      </c>
      <c r="T264" s="41" t="str">
        <f>SUBSTITUTE(IFERROR(INDEX(_group_[],MATCH(CONCATENATE(_SCHEDULE_[[#This Row],[CONTEST_CODE]],"_",$T$2),_group_[ИД2],0),MATCH($T$1,_group_[#Headers],0)),"---"),".",",")</f>
        <v>---</v>
      </c>
      <c r="U264" s="41" t="str">
        <f>SUBSTITUTE(IFERROR(INDEX(_group_[],MATCH(CONCATENATE(_SCHEDULE_[[#This Row],[CONTEST_CODE]],"_",$U$2),_group_[ИД2],0),MATCH($U$1,_group_[#Headers],0)),"---"),".",",")</f>
        <v>---</v>
      </c>
      <c r="V264" s="41" t="str">
        <f>SUBSTITUTE(IFERROR(INDEX(_group_[],MATCH(CONCATENATE(_SCHEDULE_[[#This Row],[CONTEST_CODE]],"_",$V$2),_group_[ИД2],0),MATCH($V$1,_group_[#Headers],0)),"---"),".",",")</f>
        <v>---</v>
      </c>
      <c r="W264" s="41" t="str">
        <f>IFERROR(INDEX(_INDICATOR_[],MATCH(_SCHEDULE_[[#This Row],[CONTEST_CODE]],_INDICATOR_[CONTEST_CODE],0),MATCH($W$2,_INDICATOR_[#Headers],0)),"-")</f>
        <v>WAIT</v>
      </c>
      <c r="X264" s="41" t="str">
        <f>IFERROR(INDEX(_group_[],MATCH(_SCHEDULE_[[#This Row],[CONTEST_CODE]],_group_[CONTEST_CODE],0),MATCH($X$2,_group_[#Headers],0)),"-")</f>
        <v>BANK</v>
      </c>
      <c r="Y264" s="61" t="str">
        <f>IFERROR(INDEX(_DATA_[],MATCH(_SCHEDULE_[[#This Row],[CONTEST_CODE]],_DATA_[CONTEST_CODE],0),MATCH($Y$2,_DATA_[#Headers],0)),"-")</f>
        <v>Производительность. Сделки изменений (МС)</v>
      </c>
      <c r="Z264" s="41" t="str">
        <f>IFERROR(INDEX(_reward_link_[],MATCH(_SCHEDULE_[[#This Row],[CONTEST_CODE]],_reward_link_[CONTEST_CODE],0),MATCH($Z$2,_reward_link_[#Headers],0)),"-")</f>
        <v>BANK</v>
      </c>
      <c r="AA264" s="41" t="str">
        <f>IFERROR(INDEX(_report[],MATCH(_SCHEDULE_[[#This Row],[CONTEST_CODE]],_report[CONTEST_CODE],0),MATCH($AA$2,_report[#Headers],0)),"-")</f>
        <v>-</v>
      </c>
      <c r="AB264"/>
    </row>
    <row r="265" spans="1:28" x14ac:dyDescent="0.25">
      <c r="A265" s="14" t="s">
        <v>3669</v>
      </c>
      <c r="B265" s="14" t="s">
        <v>3652</v>
      </c>
      <c r="C265" s="14" t="s">
        <v>4019</v>
      </c>
      <c r="D265" s="14" t="s">
        <v>2542</v>
      </c>
      <c r="E265" s="14" t="s">
        <v>3659</v>
      </c>
      <c r="F265" s="14" t="s">
        <v>194</v>
      </c>
      <c r="G265" s="14" t="s">
        <v>194</v>
      </c>
      <c r="H265" s="14" t="s">
        <v>194</v>
      </c>
      <c r="I265" s="14" t="s">
        <v>194</v>
      </c>
      <c r="J265" s="14" t="s">
        <v>194</v>
      </c>
      <c r="K265" s="14" t="s">
        <v>34</v>
      </c>
      <c r="L265" s="14" t="s">
        <v>2226</v>
      </c>
      <c r="M265" s="14" t="s">
        <v>3604</v>
      </c>
      <c r="N265" s="14" t="s">
        <v>2</v>
      </c>
      <c r="O265" s="14" t="s">
        <v>3670</v>
      </c>
      <c r="P265" s="14" t="s">
        <v>1064</v>
      </c>
      <c r="R265" s="38">
        <f>IFERROR(COUNTIFS(_report[TOURNAMENT_CODE],_SCHEDULE_[[#This Row],[TOURNAMENT_CODE]],_report[CONTEST_CODE],_SCHEDULE_[[#This Row],[CONTEST_CODE]]),"-")</f>
        <v>0</v>
      </c>
      <c r="S265" s="41" t="str">
        <f>SUBSTITUTE(IFERROR(INDEX(_group_[],MATCH(CONCATENATE(_SCHEDULE_[[#This Row],[CONTEST_CODE]],"_",$S$2),_group_[ИД2],0),MATCH($S$1,_group_[#Headers],0)),"---"),".",",")</f>
        <v>BANK</v>
      </c>
      <c r="T265" s="41" t="str">
        <f>SUBSTITUTE(IFERROR(INDEX(_group_[],MATCH(CONCATENATE(_SCHEDULE_[[#This Row],[CONTEST_CODE]],"_",$T$2),_group_[ИД2],0),MATCH($T$1,_group_[#Headers],0)),"---"),".",",")</f>
        <v>---</v>
      </c>
      <c r="U265" s="41" t="str">
        <f>SUBSTITUTE(IFERROR(INDEX(_group_[],MATCH(CONCATENATE(_SCHEDULE_[[#This Row],[CONTEST_CODE]],"_",$U$2),_group_[ИД2],0),MATCH($U$1,_group_[#Headers],0)),"---"),".",",")</f>
        <v>---</v>
      </c>
      <c r="V265" s="41" t="str">
        <f>SUBSTITUTE(IFERROR(INDEX(_group_[],MATCH(CONCATENATE(_SCHEDULE_[[#This Row],[CONTEST_CODE]],"_",$V$2),_group_[ИД2],0),MATCH($V$1,_group_[#Headers],0)),"---"),".",",")</f>
        <v>---</v>
      </c>
      <c r="W265" s="41" t="str">
        <f>IFERROR(INDEX(_INDICATOR_[],MATCH(_SCHEDULE_[[#This Row],[CONTEST_CODE]],_INDICATOR_[CONTEST_CODE],0),MATCH($W$2,_INDICATOR_[#Headers],0)),"-")</f>
        <v>WAIT</v>
      </c>
      <c r="X265" s="41" t="str">
        <f>IFERROR(INDEX(_group_[],MATCH(_SCHEDULE_[[#This Row],[CONTEST_CODE]],_group_[CONTEST_CODE],0),MATCH($X$2,_group_[#Headers],0)),"-")</f>
        <v>BANK</v>
      </c>
      <c r="Y265" s="61" t="str">
        <f>IFERROR(INDEX(_DATA_[],MATCH(_SCHEDULE_[[#This Row],[CONTEST_CODE]],_DATA_[CONTEST_CODE],0),MATCH($Y$2,_DATA_[#Headers],0)),"-")</f>
        <v>Производительность. Сделки изменений (МС)</v>
      </c>
      <c r="Z265" s="41" t="str">
        <f>IFERROR(INDEX(_reward_link_[],MATCH(_SCHEDULE_[[#This Row],[CONTEST_CODE]],_reward_link_[CONTEST_CODE],0),MATCH($Z$2,_reward_link_[#Headers],0)),"-")</f>
        <v>BANK</v>
      </c>
      <c r="AA265" s="41" t="str">
        <f>IFERROR(INDEX(_report[],MATCH(_SCHEDULE_[[#This Row],[CONTEST_CODE]],_report[CONTEST_CODE],0),MATCH($AA$2,_report[#Headers],0)),"-")</f>
        <v>-</v>
      </c>
      <c r="AB265"/>
    </row>
    <row r="266" spans="1:28" x14ac:dyDescent="0.25">
      <c r="A266" s="14" t="s">
        <v>2566</v>
      </c>
      <c r="B266" s="14" t="s">
        <v>146</v>
      </c>
      <c r="C266" s="14" t="s">
        <v>2508</v>
      </c>
      <c r="D266" s="14" t="s">
        <v>2509</v>
      </c>
      <c r="E266" s="14" t="s">
        <v>194</v>
      </c>
      <c r="F266" s="14" t="s">
        <v>194</v>
      </c>
      <c r="G266" s="14" t="s">
        <v>194</v>
      </c>
      <c r="H266" s="14" t="s">
        <v>194</v>
      </c>
      <c r="I266" s="14" t="s">
        <v>194</v>
      </c>
      <c r="J266" s="14" t="s">
        <v>194</v>
      </c>
      <c r="K266" s="14" t="s">
        <v>34</v>
      </c>
      <c r="L266" s="14" t="s">
        <v>2232</v>
      </c>
      <c r="M266" s="14" t="s">
        <v>3603</v>
      </c>
      <c r="N266" s="14" t="s">
        <v>2</v>
      </c>
      <c r="O266" s="14" t="s">
        <v>2567</v>
      </c>
      <c r="P266" s="14" t="s">
        <v>1064</v>
      </c>
      <c r="R266" s="38">
        <f>IFERROR(COUNTIFS(_report[TOURNAMENT_CODE],_SCHEDULE_[[#This Row],[TOURNAMENT_CODE]],_report[CONTEST_CODE],_SCHEDULE_[[#This Row],[CONTEST_CODE]]),"-")</f>
        <v>0</v>
      </c>
      <c r="S266" s="41" t="str">
        <f>SUBSTITUTE(IFERROR(INDEX(_group_[],MATCH(CONCATENATE(_SCHEDULE_[[#This Row],[CONTEST_CODE]],"_",$S$2),_group_[ИД2],0),MATCH($S$1,_group_[#Headers],0)),"---"),".",",")</f>
        <v>BANK</v>
      </c>
      <c r="T266" s="41" t="str">
        <f>SUBSTITUTE(IFERROR(INDEX(_group_[],MATCH(CONCATENATE(_SCHEDULE_[[#This Row],[CONTEST_CODE]],"_",$T$2),_group_[ИД2],0),MATCH($T$1,_group_[#Headers],0)),"---"),".",",")</f>
        <v>---</v>
      </c>
      <c r="U266" s="41" t="str">
        <f>SUBSTITUTE(IFERROR(INDEX(_group_[],MATCH(CONCATENATE(_SCHEDULE_[[#This Row],[CONTEST_CODE]],"_",$U$2),_group_[ИД2],0),MATCH($U$1,_group_[#Headers],0)),"---"),".",",")</f>
        <v>---</v>
      </c>
      <c r="V266" s="41" t="str">
        <f>SUBSTITUTE(IFERROR(INDEX(_group_[],MATCH(CONCATENATE(_SCHEDULE_[[#This Row],[CONTEST_CODE]],"_",$V$2),_group_[ИД2],0),MATCH($V$1,_group_[#Headers],0)),"---"),".",",")</f>
        <v>---</v>
      </c>
      <c r="W266" s="41" t="str">
        <f>IFERROR(INDEX(_INDICATOR_[],MATCH(_SCHEDULE_[[#This Row],[CONTEST_CODE]],_INDICATOR_[CONTEST_CODE],0),MATCH($W$2,_INDICATOR_[#Headers],0)),"-")</f>
        <v>WAIT</v>
      </c>
      <c r="X266" s="41" t="str">
        <f>IFERROR(INDEX(_group_[],MATCH(_SCHEDULE_[[#This Row],[CONTEST_CODE]],_group_[CONTEST_CODE],0),MATCH($X$2,_group_[#Headers],0)),"-")</f>
        <v>BANK</v>
      </c>
      <c r="Y266" s="61" t="str">
        <f>IFERROR(INDEX(_DATA_[],MATCH(_SCHEDULE_[[#This Row],[CONTEST_CODE]],_DATA_[CONTEST_CODE],0),MATCH($Y$2,_DATA_[#Headers],0)),"-")</f>
        <v>Благотворительность</v>
      </c>
      <c r="Z266" s="41" t="str">
        <f>IFERROR(INDEX(_reward_link_[],MATCH(_SCHEDULE_[[#This Row],[CONTEST_CODE]],_reward_link_[CONTEST_CODE],0),MATCH($Z$2,_reward_link_[#Headers],0)),"-")</f>
        <v>BANK</v>
      </c>
      <c r="AA266" s="41" t="str">
        <f>IFERROR(INDEX(_report[],MATCH(_SCHEDULE_[[#This Row],[CONTEST_CODE]],_report[CONTEST_CODE],0),MATCH($AA$2,_report[#Headers],0)),"-")</f>
        <v>-</v>
      </c>
      <c r="AB266"/>
    </row>
    <row r="267" spans="1:28" x14ac:dyDescent="0.25">
      <c r="A267" s="14" t="s">
        <v>3549</v>
      </c>
      <c r="B267" s="14" t="s">
        <v>146</v>
      </c>
      <c r="C267" s="14" t="s">
        <v>3219</v>
      </c>
      <c r="D267" s="14" t="s">
        <v>2542</v>
      </c>
      <c r="E267" s="14" t="s">
        <v>3545</v>
      </c>
      <c r="F267" s="14" t="s">
        <v>194</v>
      </c>
      <c r="G267" s="14" t="s">
        <v>194</v>
      </c>
      <c r="H267" s="14" t="s">
        <v>194</v>
      </c>
      <c r="I267" s="14" t="s">
        <v>194</v>
      </c>
      <c r="J267" s="14" t="s">
        <v>194</v>
      </c>
      <c r="K267" s="14" t="s">
        <v>34</v>
      </c>
      <c r="L267" s="14" t="s">
        <v>2234</v>
      </c>
      <c r="M267" s="14" t="s">
        <v>3596</v>
      </c>
      <c r="N267" s="14" t="s">
        <v>2</v>
      </c>
      <c r="O267" s="14" t="s">
        <v>3550</v>
      </c>
      <c r="P267" s="14" t="s">
        <v>1064</v>
      </c>
      <c r="R267" s="38">
        <f>IFERROR(COUNTIFS(_report[TOURNAMENT_CODE],_SCHEDULE_[[#This Row],[TOURNAMENT_CODE]],_report[CONTEST_CODE],_SCHEDULE_[[#This Row],[CONTEST_CODE]]),"-")</f>
        <v>0</v>
      </c>
      <c r="S267" s="41" t="str">
        <f>SUBSTITUTE(IFERROR(INDEX(_group_[],MATCH(CONCATENATE(_SCHEDULE_[[#This Row],[CONTEST_CODE]],"_",$S$2),_group_[ИД2],0),MATCH($S$1,_group_[#Headers],0)),"---"),".",",")</f>
        <v>BANK</v>
      </c>
      <c r="T267" s="41" t="str">
        <f>SUBSTITUTE(IFERROR(INDEX(_group_[],MATCH(CONCATENATE(_SCHEDULE_[[#This Row],[CONTEST_CODE]],"_",$T$2),_group_[ИД2],0),MATCH($T$1,_group_[#Headers],0)),"---"),".",",")</f>
        <v>---</v>
      </c>
      <c r="U267" s="41" t="str">
        <f>SUBSTITUTE(IFERROR(INDEX(_group_[],MATCH(CONCATENATE(_SCHEDULE_[[#This Row],[CONTEST_CODE]],"_",$U$2),_group_[ИД2],0),MATCH($U$1,_group_[#Headers],0)),"---"),".",",")</f>
        <v>---</v>
      </c>
      <c r="V267" s="41" t="str">
        <f>SUBSTITUTE(IFERROR(INDEX(_group_[],MATCH(CONCATENATE(_SCHEDULE_[[#This Row],[CONTEST_CODE]],"_",$V$2),_group_[ИД2],0),MATCH($V$1,_group_[#Headers],0)),"---"),".",",")</f>
        <v>---</v>
      </c>
      <c r="W267" s="41" t="str">
        <f>IFERROR(INDEX(_INDICATOR_[],MATCH(_SCHEDULE_[[#This Row],[CONTEST_CODE]],_INDICATOR_[CONTEST_CODE],0),MATCH($W$2,_INDICATOR_[#Headers],0)),"-")</f>
        <v>WAIT</v>
      </c>
      <c r="X267" s="41" t="str">
        <f>IFERROR(INDEX(_group_[],MATCH(_SCHEDULE_[[#This Row],[CONTEST_CODE]],_group_[CONTEST_CODE],0),MATCH($X$2,_group_[#Headers],0)),"-")</f>
        <v>BANK</v>
      </c>
      <c r="Y267" s="61" t="str">
        <f>IFERROR(INDEX(_DATA_[],MATCH(_SCHEDULE_[[#This Row],[CONTEST_CODE]],_DATA_[CONTEST_CODE],0),MATCH($Y$2,_DATA_[#Headers],0)),"-")</f>
        <v>Лотос у моря</v>
      </c>
      <c r="Z267" s="41" t="str">
        <f>IFERROR(INDEX(_reward_link_[],MATCH(_SCHEDULE_[[#This Row],[CONTEST_CODE]],_reward_link_[CONTEST_CODE],0),MATCH($Z$2,_reward_link_[#Headers],0)),"-")</f>
        <v>BANK</v>
      </c>
      <c r="AA267" s="41" t="str">
        <f>IFERROR(INDEX(_report[],MATCH(_SCHEDULE_[[#This Row],[CONTEST_CODE]],_report[CONTEST_CODE],0),MATCH($AA$2,_report[#Headers],0)),"-")</f>
        <v>-</v>
      </c>
      <c r="AB267"/>
    </row>
    <row r="268" spans="1:28" x14ac:dyDescent="0.25">
      <c r="A268" s="14" t="s">
        <v>3551</v>
      </c>
      <c r="B268" s="14" t="s">
        <v>146</v>
      </c>
      <c r="C268" s="14" t="s">
        <v>3219</v>
      </c>
      <c r="D268" s="14" t="s">
        <v>2542</v>
      </c>
      <c r="E268" s="14" t="s">
        <v>3545</v>
      </c>
      <c r="F268" s="14" t="s">
        <v>194</v>
      </c>
      <c r="G268" s="14" t="s">
        <v>194</v>
      </c>
      <c r="H268" s="14" t="s">
        <v>194</v>
      </c>
      <c r="I268" s="14" t="s">
        <v>194</v>
      </c>
      <c r="J268" s="14" t="s">
        <v>194</v>
      </c>
      <c r="K268" s="14" t="s">
        <v>34</v>
      </c>
      <c r="L268" s="14" t="s">
        <v>2248</v>
      </c>
      <c r="M268" s="14" t="s">
        <v>3596</v>
      </c>
      <c r="N268" s="14" t="s">
        <v>2</v>
      </c>
      <c r="O268" s="14" t="s">
        <v>3552</v>
      </c>
      <c r="P268" s="14" t="s">
        <v>1064</v>
      </c>
      <c r="R268" s="38">
        <f>IFERROR(COUNTIFS(_report[TOURNAMENT_CODE],_SCHEDULE_[[#This Row],[TOURNAMENT_CODE]],_report[CONTEST_CODE],_SCHEDULE_[[#This Row],[CONTEST_CODE]]),"-")</f>
        <v>0</v>
      </c>
      <c r="S268" s="41" t="str">
        <f>SUBSTITUTE(IFERROR(INDEX(_group_[],MATCH(CONCATENATE(_SCHEDULE_[[#This Row],[CONTEST_CODE]],"_",$S$2),_group_[ИД2],0),MATCH($S$1,_group_[#Headers],0)),"---"),".",",")</f>
        <v>---</v>
      </c>
      <c r="T268" s="41" t="str">
        <f>SUBSTITUTE(IFERROR(INDEX(_group_[],MATCH(CONCATENATE(_SCHEDULE_[[#This Row],[CONTEST_CODE]],"_",$T$2),_group_[ИД2],0),MATCH($T$1,_group_[#Headers],0)),"---"),".",",")</f>
        <v>TB</v>
      </c>
      <c r="U268" s="41" t="str">
        <f>SUBSTITUTE(IFERROR(INDEX(_group_[],MATCH(CONCATENATE(_SCHEDULE_[[#This Row],[CONTEST_CODE]],"_",$U$2),_group_[ИД2],0),MATCH($U$1,_group_[#Headers],0)),"---"),".",",")</f>
        <v>---</v>
      </c>
      <c r="V268" s="41" t="str">
        <f>SUBSTITUTE(IFERROR(INDEX(_group_[],MATCH(CONCATENATE(_SCHEDULE_[[#This Row],[CONTEST_CODE]],"_",$V$2),_group_[ИД2],0),MATCH($V$1,_group_[#Headers],0)),"---"),".",",")</f>
        <v>---</v>
      </c>
      <c r="W268" s="41" t="str">
        <f>IFERROR(INDEX(_INDICATOR_[],MATCH(_SCHEDULE_[[#This Row],[CONTEST_CODE]],_INDICATOR_[CONTEST_CODE],0),MATCH($W$2,_INDICATOR_[#Headers],0)),"-")</f>
        <v>WAIT</v>
      </c>
      <c r="X268" s="41" t="str">
        <f>IFERROR(INDEX(_group_[],MATCH(_SCHEDULE_[[#This Row],[CONTEST_CODE]],_group_[CONTEST_CODE],0),MATCH($X$2,_group_[#Headers],0)),"-")</f>
        <v>TB</v>
      </c>
      <c r="Y268" s="61" t="str">
        <f>IFERROR(INDEX(_DATA_[],MATCH(_SCHEDULE_[[#This Row],[CONTEST_CODE]],_DATA_[CONTEST_CODE],0),MATCH($Y$2,_DATA_[#Headers],0)),"-")</f>
        <v>Марафон УК Первая</v>
      </c>
      <c r="Z268" s="41" t="str">
        <f>IFERROR(INDEX(_reward_link_[],MATCH(_SCHEDULE_[[#This Row],[CONTEST_CODE]],_reward_link_[CONTEST_CODE],0),MATCH($Z$2,_reward_link_[#Headers],0)),"-")</f>
        <v>TB</v>
      </c>
      <c r="AA268" s="41" t="str">
        <f>IFERROR(INDEX(_report[],MATCH(_SCHEDULE_[[#This Row],[CONTEST_CODE]],_report[CONTEST_CODE],0),MATCH($AA$2,_report[#Headers],0)),"-")</f>
        <v>-</v>
      </c>
      <c r="AB268"/>
    </row>
    <row r="269" spans="1:28" x14ac:dyDescent="0.25">
      <c r="A269" s="14" t="s">
        <v>3553</v>
      </c>
      <c r="B269" s="14" t="s">
        <v>146</v>
      </c>
      <c r="C269" s="14" t="s">
        <v>3219</v>
      </c>
      <c r="D269" s="14" t="s">
        <v>2542</v>
      </c>
      <c r="E269" s="14" t="s">
        <v>3545</v>
      </c>
      <c r="F269" s="14" t="s">
        <v>194</v>
      </c>
      <c r="G269" s="14" t="s">
        <v>194</v>
      </c>
      <c r="H269" s="14" t="s">
        <v>194</v>
      </c>
      <c r="I269" s="14" t="s">
        <v>194</v>
      </c>
      <c r="J269" s="14" t="s">
        <v>194</v>
      </c>
      <c r="K269" s="14" t="s">
        <v>34</v>
      </c>
      <c r="L269" s="14" t="s">
        <v>2249</v>
      </c>
      <c r="M269" s="14" t="s">
        <v>3596</v>
      </c>
      <c r="N269" s="14" t="s">
        <v>2</v>
      </c>
      <c r="O269" s="14" t="s">
        <v>3554</v>
      </c>
      <c r="P269" s="14" t="s">
        <v>1064</v>
      </c>
      <c r="R269" s="38">
        <f>IFERROR(COUNTIFS(_report[TOURNAMENT_CODE],_SCHEDULE_[[#This Row],[TOURNAMENT_CODE]],_report[CONTEST_CODE],_SCHEDULE_[[#This Row],[CONTEST_CODE]]),"-")</f>
        <v>0</v>
      </c>
      <c r="S269" s="41" t="str">
        <f>SUBSTITUTE(IFERROR(INDEX(_group_[],MATCH(CONCATENATE(_SCHEDULE_[[#This Row],[CONTEST_CODE]],"_",$S$2),_group_[ИД2],0),MATCH($S$1,_group_[#Headers],0)),"---"),".",",")</f>
        <v>BANK</v>
      </c>
      <c r="T269" s="41" t="str">
        <f>SUBSTITUTE(IFERROR(INDEX(_group_[],MATCH(CONCATENATE(_SCHEDULE_[[#This Row],[CONTEST_CODE]],"_",$T$2),_group_[ИД2],0),MATCH($T$1,_group_[#Headers],0)),"---"),".",",")</f>
        <v>TB</v>
      </c>
      <c r="U269" s="41" t="str">
        <f>SUBSTITUTE(IFERROR(INDEX(_group_[],MATCH(CONCATENATE(_SCHEDULE_[[#This Row],[CONTEST_CODE]],"_",$U$2),_group_[ИД2],0),MATCH($U$1,_group_[#Headers],0)),"---"),".",",")</f>
        <v>---</v>
      </c>
      <c r="V269" s="41" t="str">
        <f>SUBSTITUTE(IFERROR(INDEX(_group_[],MATCH(CONCATENATE(_SCHEDULE_[[#This Row],[CONTEST_CODE]],"_",$V$2),_group_[ИД2],0),MATCH($V$1,_group_[#Headers],0)),"---"),".",",")</f>
        <v>---</v>
      </c>
      <c r="W269" s="41" t="str">
        <f>IFERROR(INDEX(_INDICATOR_[],MATCH(_SCHEDULE_[[#This Row],[CONTEST_CODE]],_INDICATOR_[CONTEST_CODE],0),MATCH($W$2,_INDICATOR_[#Headers],0)),"-")</f>
        <v>WAIT</v>
      </c>
      <c r="X269" s="41" t="str">
        <f>IFERROR(INDEX(_group_[],MATCH(_SCHEDULE_[[#This Row],[CONTEST_CODE]],_group_[CONTEST_CODE],0),MATCH($X$2,_group_[#Headers],0)),"-")</f>
        <v>BANK</v>
      </c>
      <c r="Y269" s="61" t="str">
        <f>IFERROR(INDEX(_DATA_[],MATCH(_SCHEDULE_[[#This Row],[CONTEST_CODE]],_DATA_[CONTEST_CODE],0),MATCH($Y$2,_DATA_[#Headers],0)),"-")</f>
        <v>Турнир по квадратным метрам</v>
      </c>
      <c r="Z269" s="41" t="str">
        <f>IFERROR(INDEX(_reward_link_[],MATCH(_SCHEDULE_[[#This Row],[CONTEST_CODE]],_reward_link_[CONTEST_CODE],0),MATCH($Z$2,_reward_link_[#Headers],0)),"-")</f>
        <v>TB</v>
      </c>
      <c r="AA269" s="41" t="str">
        <f>IFERROR(INDEX(_report[],MATCH(_SCHEDULE_[[#This Row],[CONTEST_CODE]],_report[CONTEST_CODE],0),MATCH($AA$2,_report[#Headers],0)),"-")</f>
        <v>-</v>
      </c>
      <c r="AB269"/>
    </row>
    <row r="270" spans="1:28" x14ac:dyDescent="0.25">
      <c r="A270" s="14" t="s">
        <v>3555</v>
      </c>
      <c r="B270" s="14" t="s">
        <v>146</v>
      </c>
      <c r="C270" s="14" t="s">
        <v>3219</v>
      </c>
      <c r="D270" s="14" t="s">
        <v>2542</v>
      </c>
      <c r="E270" s="14" t="s">
        <v>3545</v>
      </c>
      <c r="F270" s="14" t="s">
        <v>194</v>
      </c>
      <c r="G270" s="14" t="s">
        <v>194</v>
      </c>
      <c r="H270" s="14" t="s">
        <v>194</v>
      </c>
      <c r="I270" s="14" t="s">
        <v>194</v>
      </c>
      <c r="J270" s="14" t="s">
        <v>194</v>
      </c>
      <c r="K270" s="14" t="s">
        <v>34</v>
      </c>
      <c r="L270" s="14" t="s">
        <v>2251</v>
      </c>
      <c r="M270" s="14" t="s">
        <v>3596</v>
      </c>
      <c r="N270" s="14" t="s">
        <v>2</v>
      </c>
      <c r="O270" s="14" t="s">
        <v>3556</v>
      </c>
      <c r="P270" s="14" t="s">
        <v>1064</v>
      </c>
      <c r="R270" s="38">
        <f>IFERROR(COUNTIFS(_report[TOURNAMENT_CODE],_SCHEDULE_[[#This Row],[TOURNAMENT_CODE]],_report[CONTEST_CODE],_SCHEDULE_[[#This Row],[CONTEST_CODE]]),"-")</f>
        <v>0</v>
      </c>
      <c r="S270" s="41" t="str">
        <f>SUBSTITUTE(IFERROR(INDEX(_group_[],MATCH(CONCATENATE(_SCHEDULE_[[#This Row],[CONTEST_CODE]],"_",$S$2),_group_[ИД2],0),MATCH($S$1,_group_[#Headers],0)),"---"),".",",")</f>
        <v>---</v>
      </c>
      <c r="T270" s="41" t="str">
        <f>SUBSTITUTE(IFERROR(INDEX(_group_[],MATCH(CONCATENATE(_SCHEDULE_[[#This Row],[CONTEST_CODE]],"_",$T$2),_group_[ИД2],0),MATCH($T$1,_group_[#Headers],0)),"---"),".",",")</f>
        <v>TB</v>
      </c>
      <c r="U270" s="41" t="str">
        <f>SUBSTITUTE(IFERROR(INDEX(_group_[],MATCH(CONCATENATE(_SCHEDULE_[[#This Row],[CONTEST_CODE]],"_",$U$2),_group_[ИД2],0),MATCH($U$1,_group_[#Headers],0)),"---"),".",",")</f>
        <v>---</v>
      </c>
      <c r="V270" s="41" t="str">
        <f>SUBSTITUTE(IFERROR(INDEX(_group_[],MATCH(CONCATENATE(_SCHEDULE_[[#This Row],[CONTEST_CODE]],"_",$V$2),_group_[ИД2],0),MATCH($V$1,_group_[#Headers],0)),"---"),".",",")</f>
        <v>---</v>
      </c>
      <c r="W270" s="41" t="str">
        <f>IFERROR(INDEX(_INDICATOR_[],MATCH(_SCHEDULE_[[#This Row],[CONTEST_CODE]],_INDICATOR_[CONTEST_CODE],0),MATCH($W$2,_INDICATOR_[#Headers],0)),"-")</f>
        <v>WAIT</v>
      </c>
      <c r="X270" s="41" t="str">
        <f>IFERROR(INDEX(_group_[],MATCH(_SCHEDULE_[[#This Row],[CONTEST_CODE]],_group_[CONTEST_CODE],0),MATCH($X$2,_group_[#Headers],0)),"-")</f>
        <v>TB</v>
      </c>
      <c r="Y270" s="61" t="str">
        <f>IFERROR(INDEX(_DATA_[],MATCH(_SCHEDULE_[[#This Row],[CONTEST_CODE]],_DATA_[CONTEST_CODE],0),MATCH($Y$2,_DATA_[#Headers],0)),"-")</f>
        <v>Ралли брокера</v>
      </c>
      <c r="Z270" s="41" t="str">
        <f>IFERROR(INDEX(_reward_link_[],MATCH(_SCHEDULE_[[#This Row],[CONTEST_CODE]],_reward_link_[CONTEST_CODE],0),MATCH($Z$2,_reward_link_[#Headers],0)),"-")</f>
        <v>TB</v>
      </c>
      <c r="AA270" s="41" t="str">
        <f>IFERROR(INDEX(_report[],MATCH(_SCHEDULE_[[#This Row],[CONTEST_CODE]],_report[CONTEST_CODE],0),MATCH($AA$2,_report[#Headers],0)),"-")</f>
        <v>-</v>
      </c>
      <c r="AB270"/>
    </row>
    <row r="271" spans="1:28" x14ac:dyDescent="0.25">
      <c r="A271" s="14" t="s">
        <v>3557</v>
      </c>
      <c r="B271" s="14" t="s">
        <v>146</v>
      </c>
      <c r="C271" s="14" t="s">
        <v>3219</v>
      </c>
      <c r="D271" s="14" t="s">
        <v>2542</v>
      </c>
      <c r="E271" s="14" t="s">
        <v>3545</v>
      </c>
      <c r="F271" s="14" t="s">
        <v>194</v>
      </c>
      <c r="G271" s="14" t="s">
        <v>194</v>
      </c>
      <c r="H271" s="14" t="s">
        <v>194</v>
      </c>
      <c r="I271" s="14" t="s">
        <v>194</v>
      </c>
      <c r="J271" s="14" t="s">
        <v>194</v>
      </c>
      <c r="K271" s="14" t="s">
        <v>34</v>
      </c>
      <c r="L271" s="14" t="s">
        <v>2253</v>
      </c>
      <c r="M271" s="14" t="s">
        <v>3596</v>
      </c>
      <c r="N271" s="14" t="s">
        <v>2</v>
      </c>
      <c r="O271" s="14" t="s">
        <v>3558</v>
      </c>
      <c r="P271" s="14" t="s">
        <v>1064</v>
      </c>
      <c r="R271" s="38">
        <f>IFERROR(COUNTIFS(_report[TOURNAMENT_CODE],_SCHEDULE_[[#This Row],[TOURNAMENT_CODE]],_report[CONTEST_CODE],_SCHEDULE_[[#This Row],[CONTEST_CODE]]),"-")</f>
        <v>0</v>
      </c>
      <c r="S271" s="41" t="str">
        <f>SUBSTITUTE(IFERROR(INDEX(_group_[],MATCH(CONCATENATE(_SCHEDULE_[[#This Row],[CONTEST_CODE]],"_",$S$2),_group_[ИД2],0),MATCH($S$1,_group_[#Headers],0)),"---"),".",",")</f>
        <v>---</v>
      </c>
      <c r="T271" s="41" t="str">
        <f>SUBSTITUTE(IFERROR(INDEX(_group_[],MATCH(CONCATENATE(_SCHEDULE_[[#This Row],[CONTEST_CODE]],"_",$T$2),_group_[ИД2],0),MATCH($T$1,_group_[#Headers],0)),"---"),".",",")</f>
        <v>TB</v>
      </c>
      <c r="U271" s="41" t="str">
        <f>SUBSTITUTE(IFERROR(INDEX(_group_[],MATCH(CONCATENATE(_SCHEDULE_[[#This Row],[CONTEST_CODE]],"_",$U$2),_group_[ИД2],0),MATCH($U$1,_group_[#Headers],0)),"---"),".",",")</f>
        <v>---</v>
      </c>
      <c r="V271" s="41" t="str">
        <f>SUBSTITUTE(IFERROR(INDEX(_group_[],MATCH(CONCATENATE(_SCHEDULE_[[#This Row],[CONTEST_CODE]],"_",$V$2),_group_[ИД2],0),MATCH($V$1,_group_[#Headers],0)),"---"),".",",")</f>
        <v>---</v>
      </c>
      <c r="W271" s="41" t="str">
        <f>IFERROR(INDEX(_INDICATOR_[],MATCH(_SCHEDULE_[[#This Row],[CONTEST_CODE]],_INDICATOR_[CONTEST_CODE],0),MATCH($W$2,_INDICATOR_[#Headers],0)),"-")</f>
        <v>WAIT</v>
      </c>
      <c r="X271" s="41" t="str">
        <f>IFERROR(INDEX(_group_[],MATCH(_SCHEDULE_[[#This Row],[CONTEST_CODE]],_group_[CONTEST_CODE],0),MATCH($X$2,_group_[#Headers],0)),"-")</f>
        <v>TB</v>
      </c>
      <c r="Y271" s="61" t="str">
        <f>IFERROR(INDEX(_DATA_[],MATCH(_SCHEDULE_[[#This Row],[CONTEST_CODE]],_DATA_[CONTEST_CODE],0),MATCH($Y$2,_DATA_[#Headers],0)),"-")</f>
        <v>Страховой олимп</v>
      </c>
      <c r="Z271" s="41" t="str">
        <f>IFERROR(INDEX(_reward_link_[],MATCH(_SCHEDULE_[[#This Row],[CONTEST_CODE]],_reward_link_[CONTEST_CODE],0),MATCH($Z$2,_reward_link_[#Headers],0)),"-")</f>
        <v>TB</v>
      </c>
      <c r="AA271" s="41" t="str">
        <f>IFERROR(INDEX(_report[],MATCH(_SCHEDULE_[[#This Row],[CONTEST_CODE]],_report[CONTEST_CODE],0),MATCH($AA$2,_report[#Headers],0)),"-")</f>
        <v>-</v>
      </c>
      <c r="AB271"/>
    </row>
    <row r="272" spans="1:28" x14ac:dyDescent="0.25">
      <c r="A272" s="14" t="s">
        <v>3559</v>
      </c>
      <c r="B272" s="14" t="s">
        <v>146</v>
      </c>
      <c r="C272" s="14" t="s">
        <v>3219</v>
      </c>
      <c r="D272" s="14" t="s">
        <v>2542</v>
      </c>
      <c r="E272" s="14" t="s">
        <v>3545</v>
      </c>
      <c r="F272" s="14" t="s">
        <v>194</v>
      </c>
      <c r="G272" s="14" t="s">
        <v>194</v>
      </c>
      <c r="H272" s="14" t="s">
        <v>194</v>
      </c>
      <c r="I272" s="14" t="s">
        <v>194</v>
      </c>
      <c r="J272" s="14" t="s">
        <v>194</v>
      </c>
      <c r="K272" s="14" t="s">
        <v>34</v>
      </c>
      <c r="L272" s="14" t="s">
        <v>2254</v>
      </c>
      <c r="M272" s="14" t="s">
        <v>3605</v>
      </c>
      <c r="N272" s="14" t="s">
        <v>2</v>
      </c>
      <c r="O272" s="14" t="s">
        <v>3560</v>
      </c>
      <c r="P272" s="14" t="s">
        <v>1064</v>
      </c>
      <c r="R272" s="38">
        <f>IFERROR(COUNTIFS(_report[TOURNAMENT_CODE],_SCHEDULE_[[#This Row],[TOURNAMENT_CODE]],_report[CONTEST_CODE],_SCHEDULE_[[#This Row],[CONTEST_CODE]]),"-")</f>
        <v>0</v>
      </c>
      <c r="S272" s="41" t="str">
        <f>SUBSTITUTE(IFERROR(INDEX(_group_[],MATCH(CONCATENATE(_SCHEDULE_[[#This Row],[CONTEST_CODE]],"_",$S$2),_group_[ИД2],0),MATCH($S$1,_group_[#Headers],0)),"---"),".",",")</f>
        <v>BANK</v>
      </c>
      <c r="T272" s="41" t="str">
        <f>SUBSTITUTE(IFERROR(INDEX(_group_[],MATCH(CONCATENATE(_SCHEDULE_[[#This Row],[CONTEST_CODE]],"_",$T$2),_group_[ИД2],0),MATCH($T$1,_group_[#Headers],0)),"---"),".",",")</f>
        <v>---</v>
      </c>
      <c r="U272" s="41" t="str">
        <f>SUBSTITUTE(IFERROR(INDEX(_group_[],MATCH(CONCATENATE(_SCHEDULE_[[#This Row],[CONTEST_CODE]],"_",$U$2),_group_[ИД2],0),MATCH($U$1,_group_[#Headers],0)),"---"),".",",")</f>
        <v>---</v>
      </c>
      <c r="V272" s="41" t="str">
        <f>SUBSTITUTE(IFERROR(INDEX(_group_[],MATCH(CONCATENATE(_SCHEDULE_[[#This Row],[CONTEST_CODE]],"_",$V$2),_group_[ИД2],0),MATCH($V$1,_group_[#Headers],0)),"---"),".",",")</f>
        <v>---</v>
      </c>
      <c r="W272" s="41" t="str">
        <f>IFERROR(INDEX(_INDICATOR_[],MATCH(_SCHEDULE_[[#This Row],[CONTEST_CODE]],_INDICATOR_[CONTEST_CODE],0),MATCH($W$2,_INDICATOR_[#Headers],0)),"-")</f>
        <v>WAIT</v>
      </c>
      <c r="X272" s="41" t="str">
        <f>IFERROR(INDEX(_group_[],MATCH(_SCHEDULE_[[#This Row],[CONTEST_CODE]],_group_[CONTEST_CODE],0),MATCH($X$2,_group_[#Headers],0)),"-")</f>
        <v>BANK</v>
      </c>
      <c r="Y272" s="61" t="str">
        <f>IFERROR(INDEX(_DATA_[],MATCH(_SCHEDULE_[[#This Row],[CONTEST_CODE]],_DATA_[CONTEST_CODE],0),MATCH($Y$2,_DATA_[#Headers],0)),"-")</f>
        <v>Марафон УК Первая</v>
      </c>
      <c r="Z272" s="41" t="str">
        <f>IFERROR(INDEX(_reward_link_[],MATCH(_SCHEDULE_[[#This Row],[CONTEST_CODE]],_reward_link_[CONTEST_CODE],0),MATCH($Z$2,_reward_link_[#Headers],0)),"-")</f>
        <v>BANK</v>
      </c>
      <c r="AA272" s="41" t="str">
        <f>IFERROR(INDEX(_report[],MATCH(_SCHEDULE_[[#This Row],[CONTEST_CODE]],_report[CONTEST_CODE],0),MATCH($AA$2,_report[#Headers],0)),"-")</f>
        <v>-</v>
      </c>
      <c r="AB272"/>
    </row>
    <row r="273" spans="1:28" x14ac:dyDescent="0.25">
      <c r="A273" s="14" t="s">
        <v>3561</v>
      </c>
      <c r="B273" s="14" t="s">
        <v>146</v>
      </c>
      <c r="C273" s="14" t="s">
        <v>3219</v>
      </c>
      <c r="D273" s="14" t="s">
        <v>2542</v>
      </c>
      <c r="E273" s="14" t="s">
        <v>3545</v>
      </c>
      <c r="F273" s="14" t="s">
        <v>194</v>
      </c>
      <c r="G273" s="14" t="s">
        <v>194</v>
      </c>
      <c r="H273" s="14" t="s">
        <v>194</v>
      </c>
      <c r="I273" s="14" t="s">
        <v>194</v>
      </c>
      <c r="J273" s="14" t="s">
        <v>194</v>
      </c>
      <c r="K273" s="14" t="s">
        <v>34</v>
      </c>
      <c r="L273" s="14" t="s">
        <v>2256</v>
      </c>
      <c r="M273" s="14" t="s">
        <v>3605</v>
      </c>
      <c r="N273" s="14" t="s">
        <v>2</v>
      </c>
      <c r="O273" s="14" t="s">
        <v>3562</v>
      </c>
      <c r="P273" s="14" t="s">
        <v>1064</v>
      </c>
      <c r="R273" s="38">
        <f>IFERROR(COUNTIFS(_report[TOURNAMENT_CODE],_SCHEDULE_[[#This Row],[TOURNAMENT_CODE]],_report[CONTEST_CODE],_SCHEDULE_[[#This Row],[CONTEST_CODE]]),"-")</f>
        <v>0</v>
      </c>
      <c r="S273" s="41" t="str">
        <f>SUBSTITUTE(IFERROR(INDEX(_group_[],MATCH(CONCATENATE(_SCHEDULE_[[#This Row],[CONTEST_CODE]],"_",$S$2),_group_[ИД2],0),MATCH($S$1,_group_[#Headers],0)),"---"),".",",")</f>
        <v>BANK</v>
      </c>
      <c r="T273" s="41" t="str">
        <f>SUBSTITUTE(IFERROR(INDEX(_group_[],MATCH(CONCATENATE(_SCHEDULE_[[#This Row],[CONTEST_CODE]],"_",$T$2),_group_[ИД2],0),MATCH($T$1,_group_[#Headers],0)),"---"),".",",")</f>
        <v>---</v>
      </c>
      <c r="U273" s="41" t="str">
        <f>SUBSTITUTE(IFERROR(INDEX(_group_[],MATCH(CONCATENATE(_SCHEDULE_[[#This Row],[CONTEST_CODE]],"_",$U$2),_group_[ИД2],0),MATCH($U$1,_group_[#Headers],0)),"---"),".",",")</f>
        <v>---</v>
      </c>
      <c r="V273" s="41" t="str">
        <f>SUBSTITUTE(IFERROR(INDEX(_group_[],MATCH(CONCATENATE(_SCHEDULE_[[#This Row],[CONTEST_CODE]],"_",$V$2),_group_[ИД2],0),MATCH($V$1,_group_[#Headers],0)),"---"),".",",")</f>
        <v>---</v>
      </c>
      <c r="W273" s="41" t="str">
        <f>IFERROR(INDEX(_INDICATOR_[],MATCH(_SCHEDULE_[[#This Row],[CONTEST_CODE]],_INDICATOR_[CONTEST_CODE],0),MATCH($W$2,_INDICATOR_[#Headers],0)),"-")</f>
        <v>WAIT</v>
      </c>
      <c r="X273" s="41" t="str">
        <f>IFERROR(INDEX(_group_[],MATCH(_SCHEDULE_[[#This Row],[CONTEST_CODE]],_group_[CONTEST_CODE],0),MATCH($X$2,_group_[#Headers],0)),"-")</f>
        <v>BANK</v>
      </c>
      <c r="Y273" s="61" t="str">
        <f>IFERROR(INDEX(_DATA_[],MATCH(_SCHEDULE_[[#This Row],[CONTEST_CODE]],_DATA_[CONTEST_CODE],0),MATCH($Y$2,_DATA_[#Headers],0)),"-")</f>
        <v>Турнир по квадратным метрам</v>
      </c>
      <c r="Z273" s="41" t="str">
        <f>IFERROR(INDEX(_reward_link_[],MATCH(_SCHEDULE_[[#This Row],[CONTEST_CODE]],_reward_link_[CONTEST_CODE],0),MATCH($Z$2,_reward_link_[#Headers],0)),"-")</f>
        <v>BANK</v>
      </c>
      <c r="AA273" s="41" t="str">
        <f>IFERROR(INDEX(_report[],MATCH(_SCHEDULE_[[#This Row],[CONTEST_CODE]],_report[CONTEST_CODE],0),MATCH($AA$2,_report[#Headers],0)),"-")</f>
        <v>-</v>
      </c>
      <c r="AB273"/>
    </row>
    <row r="274" spans="1:28" x14ac:dyDescent="0.25">
      <c r="A274" s="14" t="s">
        <v>3563</v>
      </c>
      <c r="B274" s="14" t="s">
        <v>146</v>
      </c>
      <c r="C274" s="14" t="s">
        <v>3219</v>
      </c>
      <c r="D274" s="14" t="s">
        <v>2542</v>
      </c>
      <c r="E274" s="14" t="s">
        <v>3545</v>
      </c>
      <c r="F274" s="14" t="s">
        <v>194</v>
      </c>
      <c r="G274" s="14" t="s">
        <v>194</v>
      </c>
      <c r="H274" s="14" t="s">
        <v>194</v>
      </c>
      <c r="I274" s="14" t="s">
        <v>194</v>
      </c>
      <c r="J274" s="14" t="s">
        <v>194</v>
      </c>
      <c r="K274" s="14" t="s">
        <v>34</v>
      </c>
      <c r="L274" s="14" t="s">
        <v>2258</v>
      </c>
      <c r="M274" s="14" t="s">
        <v>3605</v>
      </c>
      <c r="N274" s="14" t="s">
        <v>2</v>
      </c>
      <c r="O274" s="14" t="s">
        <v>3564</v>
      </c>
      <c r="P274" s="14" t="s">
        <v>1064</v>
      </c>
      <c r="R274" s="38">
        <f>IFERROR(COUNTIFS(_report[TOURNAMENT_CODE],_SCHEDULE_[[#This Row],[TOURNAMENT_CODE]],_report[CONTEST_CODE],_SCHEDULE_[[#This Row],[CONTEST_CODE]]),"-")</f>
        <v>0</v>
      </c>
      <c r="S274" s="41" t="str">
        <f>SUBSTITUTE(IFERROR(INDEX(_group_[],MATCH(CONCATENATE(_SCHEDULE_[[#This Row],[CONTEST_CODE]],"_",$S$2),_group_[ИД2],0),MATCH($S$1,_group_[#Headers],0)),"---"),".",",")</f>
        <v>BANK</v>
      </c>
      <c r="T274" s="41" t="str">
        <f>SUBSTITUTE(IFERROR(INDEX(_group_[],MATCH(CONCATENATE(_SCHEDULE_[[#This Row],[CONTEST_CODE]],"_",$T$2),_group_[ИД2],0),MATCH($T$1,_group_[#Headers],0)),"---"),".",",")</f>
        <v>---</v>
      </c>
      <c r="U274" s="41" t="str">
        <f>SUBSTITUTE(IFERROR(INDEX(_group_[],MATCH(CONCATENATE(_SCHEDULE_[[#This Row],[CONTEST_CODE]],"_",$U$2),_group_[ИД2],0),MATCH($U$1,_group_[#Headers],0)),"---"),".",",")</f>
        <v>---</v>
      </c>
      <c r="V274" s="41" t="str">
        <f>SUBSTITUTE(IFERROR(INDEX(_group_[],MATCH(CONCATENATE(_SCHEDULE_[[#This Row],[CONTEST_CODE]],"_",$V$2),_group_[ИД2],0),MATCH($V$1,_group_[#Headers],0)),"---"),".",",")</f>
        <v>---</v>
      </c>
      <c r="W274" s="41" t="str">
        <f>IFERROR(INDEX(_INDICATOR_[],MATCH(_SCHEDULE_[[#This Row],[CONTEST_CODE]],_INDICATOR_[CONTEST_CODE],0),MATCH($W$2,_INDICATOR_[#Headers],0)),"-")</f>
        <v>WAIT</v>
      </c>
      <c r="X274" s="41" t="str">
        <f>IFERROR(INDEX(_group_[],MATCH(_SCHEDULE_[[#This Row],[CONTEST_CODE]],_group_[CONTEST_CODE],0),MATCH($X$2,_group_[#Headers],0)),"-")</f>
        <v>BANK</v>
      </c>
      <c r="Y274" s="61" t="str">
        <f>IFERROR(INDEX(_DATA_[],MATCH(_SCHEDULE_[[#This Row],[CONTEST_CODE]],_DATA_[CONTEST_CODE],0),MATCH($Y$2,_DATA_[#Headers],0)),"-")</f>
        <v>Ралли брокера</v>
      </c>
      <c r="Z274" s="41" t="str">
        <f>IFERROR(INDEX(_reward_link_[],MATCH(_SCHEDULE_[[#This Row],[CONTEST_CODE]],_reward_link_[CONTEST_CODE],0),MATCH($Z$2,_reward_link_[#Headers],0)),"-")</f>
        <v>BANK</v>
      </c>
      <c r="AA274" s="41" t="str">
        <f>IFERROR(INDEX(_report[],MATCH(_SCHEDULE_[[#This Row],[CONTEST_CODE]],_report[CONTEST_CODE],0),MATCH($AA$2,_report[#Headers],0)),"-")</f>
        <v>-</v>
      </c>
      <c r="AB274"/>
    </row>
    <row r="275" spans="1:28" x14ac:dyDescent="0.25">
      <c r="A275" s="14" t="s">
        <v>3565</v>
      </c>
      <c r="B275" s="14" t="s">
        <v>146</v>
      </c>
      <c r="C275" s="14" t="s">
        <v>3219</v>
      </c>
      <c r="D275" s="14" t="s">
        <v>2542</v>
      </c>
      <c r="E275" s="14" t="s">
        <v>3545</v>
      </c>
      <c r="F275" s="14" t="s">
        <v>194</v>
      </c>
      <c r="G275" s="14" t="s">
        <v>194</v>
      </c>
      <c r="H275" s="14" t="s">
        <v>194</v>
      </c>
      <c r="I275" s="14" t="s">
        <v>194</v>
      </c>
      <c r="J275" s="14" t="s">
        <v>194</v>
      </c>
      <c r="K275" s="14" t="s">
        <v>34</v>
      </c>
      <c r="L275" s="14" t="s">
        <v>2260</v>
      </c>
      <c r="M275" s="14" t="s">
        <v>3605</v>
      </c>
      <c r="N275" s="14" t="s">
        <v>2</v>
      </c>
      <c r="O275" s="14" t="s">
        <v>3566</v>
      </c>
      <c r="P275" s="14" t="s">
        <v>1064</v>
      </c>
      <c r="R275" s="38">
        <f>IFERROR(COUNTIFS(_report[TOURNAMENT_CODE],_SCHEDULE_[[#This Row],[TOURNAMENT_CODE]],_report[CONTEST_CODE],_SCHEDULE_[[#This Row],[CONTEST_CODE]]),"-")</f>
        <v>0</v>
      </c>
      <c r="S275" s="41" t="str">
        <f>SUBSTITUTE(IFERROR(INDEX(_group_[],MATCH(CONCATENATE(_SCHEDULE_[[#This Row],[CONTEST_CODE]],"_",$S$2),_group_[ИД2],0),MATCH($S$1,_group_[#Headers],0)),"---"),".",",")</f>
        <v>BANK</v>
      </c>
      <c r="T275" s="41" t="str">
        <f>SUBSTITUTE(IFERROR(INDEX(_group_[],MATCH(CONCATENATE(_SCHEDULE_[[#This Row],[CONTEST_CODE]],"_",$T$2),_group_[ИД2],0),MATCH($T$1,_group_[#Headers],0)),"---"),".",",")</f>
        <v>---</v>
      </c>
      <c r="U275" s="41" t="str">
        <f>SUBSTITUTE(IFERROR(INDEX(_group_[],MATCH(CONCATENATE(_SCHEDULE_[[#This Row],[CONTEST_CODE]],"_",$U$2),_group_[ИД2],0),MATCH($U$1,_group_[#Headers],0)),"---"),".",",")</f>
        <v>---</v>
      </c>
      <c r="V275" s="41" t="str">
        <f>SUBSTITUTE(IFERROR(INDEX(_group_[],MATCH(CONCATENATE(_SCHEDULE_[[#This Row],[CONTEST_CODE]],"_",$V$2),_group_[ИД2],0),MATCH($V$1,_group_[#Headers],0)),"---"),".",",")</f>
        <v>---</v>
      </c>
      <c r="W275" s="41" t="str">
        <f>IFERROR(INDEX(_INDICATOR_[],MATCH(_SCHEDULE_[[#This Row],[CONTEST_CODE]],_INDICATOR_[CONTEST_CODE],0),MATCH($W$2,_INDICATOR_[#Headers],0)),"-")</f>
        <v>WAIT</v>
      </c>
      <c r="X275" s="41" t="str">
        <f>IFERROR(INDEX(_group_[],MATCH(_SCHEDULE_[[#This Row],[CONTEST_CODE]],_group_[CONTEST_CODE],0),MATCH($X$2,_group_[#Headers],0)),"-")</f>
        <v>BANK</v>
      </c>
      <c r="Y275" s="61" t="str">
        <f>IFERROR(INDEX(_DATA_[],MATCH(_SCHEDULE_[[#This Row],[CONTEST_CODE]],_DATA_[CONTEST_CODE],0),MATCH($Y$2,_DATA_[#Headers],0)),"-")</f>
        <v>Страховой олимп</v>
      </c>
      <c r="Z275" s="41" t="str">
        <f>IFERROR(INDEX(_reward_link_[],MATCH(_SCHEDULE_[[#This Row],[CONTEST_CODE]],_reward_link_[CONTEST_CODE],0),MATCH($Z$2,_reward_link_[#Headers],0)),"-")</f>
        <v>BANK</v>
      </c>
      <c r="AA275" s="41" t="str">
        <f>IFERROR(INDEX(_report[],MATCH(_SCHEDULE_[[#This Row],[CONTEST_CODE]],_report[CONTEST_CODE],0),MATCH($AA$2,_report[#Headers],0)),"-")</f>
        <v>-</v>
      </c>
      <c r="AB275"/>
    </row>
    <row r="276" spans="1:28" x14ac:dyDescent="0.25">
      <c r="A276" s="14" t="s">
        <v>3567</v>
      </c>
      <c r="B276" s="14" t="s">
        <v>146</v>
      </c>
      <c r="C276" s="14" t="s">
        <v>3219</v>
      </c>
      <c r="D276" s="14" t="s">
        <v>2542</v>
      </c>
      <c r="E276" s="14" t="s">
        <v>3545</v>
      </c>
      <c r="F276" s="14" t="s">
        <v>194</v>
      </c>
      <c r="G276" s="14" t="s">
        <v>194</v>
      </c>
      <c r="H276" s="14" t="s">
        <v>194</v>
      </c>
      <c r="I276" s="14" t="s">
        <v>194</v>
      </c>
      <c r="J276" s="14" t="s">
        <v>194</v>
      </c>
      <c r="K276" s="14" t="s">
        <v>34</v>
      </c>
      <c r="L276" s="14" t="s">
        <v>2262</v>
      </c>
      <c r="M276" s="14" t="s">
        <v>3597</v>
      </c>
      <c r="N276" s="14" t="s">
        <v>2</v>
      </c>
      <c r="O276" s="14" t="s">
        <v>3568</v>
      </c>
      <c r="P276" s="14" t="s">
        <v>1064</v>
      </c>
      <c r="R276" s="38">
        <f>IFERROR(COUNTIFS(_report[TOURNAMENT_CODE],_SCHEDULE_[[#This Row],[TOURNAMENT_CODE]],_report[CONTEST_CODE],_SCHEDULE_[[#This Row],[CONTEST_CODE]]),"-")</f>
        <v>0</v>
      </c>
      <c r="S276" s="41" t="str">
        <f>SUBSTITUTE(IFERROR(INDEX(_group_[],MATCH(CONCATENATE(_SCHEDULE_[[#This Row],[CONTEST_CODE]],"_",$S$2),_group_[ИД2],0),MATCH($S$1,_group_[#Headers],0)),"---"),".",",")</f>
        <v>BANK</v>
      </c>
      <c r="T276" s="41" t="str">
        <f>SUBSTITUTE(IFERROR(INDEX(_group_[],MATCH(CONCATENATE(_SCHEDULE_[[#This Row],[CONTEST_CODE]],"_",$T$2),_group_[ИД2],0),MATCH($T$1,_group_[#Headers],0)),"---"),".",",")</f>
        <v>---</v>
      </c>
      <c r="U276" s="41" t="str">
        <f>SUBSTITUTE(IFERROR(INDEX(_group_[],MATCH(CONCATENATE(_SCHEDULE_[[#This Row],[CONTEST_CODE]],"_",$U$2),_group_[ИД2],0),MATCH($U$1,_group_[#Headers],0)),"---"),".",",")</f>
        <v>---</v>
      </c>
      <c r="V276" s="41" t="str">
        <f>SUBSTITUTE(IFERROR(INDEX(_group_[],MATCH(CONCATENATE(_SCHEDULE_[[#This Row],[CONTEST_CODE]],"_",$V$2),_group_[ИД2],0),MATCH($V$1,_group_[#Headers],0)),"---"),".",",")</f>
        <v>---</v>
      </c>
      <c r="W276" s="41" t="str">
        <f>IFERROR(INDEX(_INDICATOR_[],MATCH(_SCHEDULE_[[#This Row],[CONTEST_CODE]],_INDICATOR_[CONTEST_CODE],0),MATCH($W$2,_INDICATOR_[#Headers],0)),"-")</f>
        <v>WAIT</v>
      </c>
      <c r="X276" s="41" t="str">
        <f>IFERROR(INDEX(_group_[],MATCH(_SCHEDULE_[[#This Row],[CONTEST_CODE]],_group_[CONTEST_CODE],0),MATCH($X$2,_group_[#Headers],0)),"-")</f>
        <v>BANK</v>
      </c>
      <c r="Y276" s="61" t="str">
        <f>IFERROR(INDEX(_DATA_[],MATCH(_SCHEDULE_[[#This Row],[CONTEST_CODE]],_DATA_[CONTEST_CODE],0),MATCH($Y$2,_DATA_[#Headers],0)),"-")</f>
        <v>Марафон УК Первая</v>
      </c>
      <c r="Z276" s="41" t="str">
        <f>IFERROR(INDEX(_reward_link_[],MATCH(_SCHEDULE_[[#This Row],[CONTEST_CODE]],_reward_link_[CONTEST_CODE],0),MATCH($Z$2,_reward_link_[#Headers],0)),"-")</f>
        <v>BANK</v>
      </c>
      <c r="AA276" s="41" t="str">
        <f>IFERROR(INDEX(_report[],MATCH(_SCHEDULE_[[#This Row],[CONTEST_CODE]],_report[CONTEST_CODE],0),MATCH($AA$2,_report[#Headers],0)),"-")</f>
        <v>-</v>
      </c>
      <c r="AB276"/>
    </row>
    <row r="277" spans="1:28" x14ac:dyDescent="0.25">
      <c r="A277" s="14" t="s">
        <v>3569</v>
      </c>
      <c r="B277" s="14" t="s">
        <v>146</v>
      </c>
      <c r="C277" s="14" t="s">
        <v>3219</v>
      </c>
      <c r="D277" s="14" t="s">
        <v>2542</v>
      </c>
      <c r="E277" s="14" t="s">
        <v>3545</v>
      </c>
      <c r="F277" s="14" t="s">
        <v>194</v>
      </c>
      <c r="G277" s="14" t="s">
        <v>194</v>
      </c>
      <c r="H277" s="14" t="s">
        <v>194</v>
      </c>
      <c r="I277" s="14" t="s">
        <v>194</v>
      </c>
      <c r="J277" s="14" t="s">
        <v>194</v>
      </c>
      <c r="K277" s="14" t="s">
        <v>34</v>
      </c>
      <c r="L277" s="14" t="s">
        <v>2264</v>
      </c>
      <c r="M277" s="14" t="s">
        <v>3597</v>
      </c>
      <c r="N277" s="14" t="s">
        <v>2</v>
      </c>
      <c r="O277" s="14" t="s">
        <v>3570</v>
      </c>
      <c r="P277" s="14" t="s">
        <v>1064</v>
      </c>
      <c r="R277" s="38">
        <f>IFERROR(COUNTIFS(_report[TOURNAMENT_CODE],_SCHEDULE_[[#This Row],[TOURNAMENT_CODE]],_report[CONTEST_CODE],_SCHEDULE_[[#This Row],[CONTEST_CODE]]),"-")</f>
        <v>0</v>
      </c>
      <c r="S277" s="41" t="str">
        <f>SUBSTITUTE(IFERROR(INDEX(_group_[],MATCH(CONCATENATE(_SCHEDULE_[[#This Row],[CONTEST_CODE]],"_",$S$2),_group_[ИД2],0),MATCH($S$1,_group_[#Headers],0)),"---"),".",",")</f>
        <v>BANK</v>
      </c>
      <c r="T277" s="41" t="str">
        <f>SUBSTITUTE(IFERROR(INDEX(_group_[],MATCH(CONCATENATE(_SCHEDULE_[[#This Row],[CONTEST_CODE]],"_",$T$2),_group_[ИД2],0),MATCH($T$1,_group_[#Headers],0)),"---"),".",",")</f>
        <v>---</v>
      </c>
      <c r="U277" s="41" t="str">
        <f>SUBSTITUTE(IFERROR(INDEX(_group_[],MATCH(CONCATENATE(_SCHEDULE_[[#This Row],[CONTEST_CODE]],"_",$U$2),_group_[ИД2],0),MATCH($U$1,_group_[#Headers],0)),"---"),".",",")</f>
        <v>---</v>
      </c>
      <c r="V277" s="41" t="str">
        <f>SUBSTITUTE(IFERROR(INDEX(_group_[],MATCH(CONCATENATE(_SCHEDULE_[[#This Row],[CONTEST_CODE]],"_",$V$2),_group_[ИД2],0),MATCH($V$1,_group_[#Headers],0)),"---"),".",",")</f>
        <v>---</v>
      </c>
      <c r="W277" s="41" t="str">
        <f>IFERROR(INDEX(_INDICATOR_[],MATCH(_SCHEDULE_[[#This Row],[CONTEST_CODE]],_INDICATOR_[CONTEST_CODE],0),MATCH($W$2,_INDICATOR_[#Headers],0)),"-")</f>
        <v>WAIT</v>
      </c>
      <c r="X277" s="41" t="str">
        <f>IFERROR(INDEX(_group_[],MATCH(_SCHEDULE_[[#This Row],[CONTEST_CODE]],_group_[CONTEST_CODE],0),MATCH($X$2,_group_[#Headers],0)),"-")</f>
        <v>BANK</v>
      </c>
      <c r="Y277" s="61" t="str">
        <f>IFERROR(INDEX(_DATA_[],MATCH(_SCHEDULE_[[#This Row],[CONTEST_CODE]],_DATA_[CONTEST_CODE],0),MATCH($Y$2,_DATA_[#Headers],0)),"-")</f>
        <v>Турнир по квадратным метрам</v>
      </c>
      <c r="Z277" s="41" t="str">
        <f>IFERROR(INDEX(_reward_link_[],MATCH(_SCHEDULE_[[#This Row],[CONTEST_CODE]],_reward_link_[CONTEST_CODE],0),MATCH($Z$2,_reward_link_[#Headers],0)),"-")</f>
        <v>BANK</v>
      </c>
      <c r="AA277" s="41" t="str">
        <f>IFERROR(INDEX(_report[],MATCH(_SCHEDULE_[[#This Row],[CONTEST_CODE]],_report[CONTEST_CODE],0),MATCH($AA$2,_report[#Headers],0)),"-")</f>
        <v>-</v>
      </c>
      <c r="AB277"/>
    </row>
    <row r="278" spans="1:28" x14ac:dyDescent="0.25">
      <c r="A278" s="14" t="s">
        <v>3571</v>
      </c>
      <c r="B278" s="14" t="s">
        <v>146</v>
      </c>
      <c r="C278" s="14" t="s">
        <v>3219</v>
      </c>
      <c r="D278" s="14" t="s">
        <v>2542</v>
      </c>
      <c r="E278" s="14" t="s">
        <v>3545</v>
      </c>
      <c r="F278" s="14" t="s">
        <v>194</v>
      </c>
      <c r="G278" s="14" t="s">
        <v>194</v>
      </c>
      <c r="H278" s="14" t="s">
        <v>194</v>
      </c>
      <c r="I278" s="14" t="s">
        <v>194</v>
      </c>
      <c r="J278" s="14" t="s">
        <v>194</v>
      </c>
      <c r="K278" s="14" t="s">
        <v>34</v>
      </c>
      <c r="L278" s="14" t="s">
        <v>2268</v>
      </c>
      <c r="M278" s="14" t="s">
        <v>3597</v>
      </c>
      <c r="N278" s="14" t="s">
        <v>2</v>
      </c>
      <c r="O278" s="14" t="s">
        <v>3572</v>
      </c>
      <c r="P278" s="14" t="s">
        <v>1064</v>
      </c>
      <c r="R278" s="38">
        <f>IFERROR(COUNTIFS(_report[TOURNAMENT_CODE],_SCHEDULE_[[#This Row],[TOURNAMENT_CODE]],_report[CONTEST_CODE],_SCHEDULE_[[#This Row],[CONTEST_CODE]]),"-")</f>
        <v>0</v>
      </c>
      <c r="S278" s="41" t="str">
        <f>SUBSTITUTE(IFERROR(INDEX(_group_[],MATCH(CONCATENATE(_SCHEDULE_[[#This Row],[CONTEST_CODE]],"_",$S$2),_group_[ИД2],0),MATCH($S$1,_group_[#Headers],0)),"---"),".",",")</f>
        <v>BANK</v>
      </c>
      <c r="T278" s="41" t="str">
        <f>SUBSTITUTE(IFERROR(INDEX(_group_[],MATCH(CONCATENATE(_SCHEDULE_[[#This Row],[CONTEST_CODE]],"_",$T$2),_group_[ИД2],0),MATCH($T$1,_group_[#Headers],0)),"---"),".",",")</f>
        <v>---</v>
      </c>
      <c r="U278" s="41" t="str">
        <f>SUBSTITUTE(IFERROR(INDEX(_group_[],MATCH(CONCATENATE(_SCHEDULE_[[#This Row],[CONTEST_CODE]],"_",$U$2),_group_[ИД2],0),MATCH($U$1,_group_[#Headers],0)),"---"),".",",")</f>
        <v>---</v>
      </c>
      <c r="V278" s="41" t="str">
        <f>SUBSTITUTE(IFERROR(INDEX(_group_[],MATCH(CONCATENATE(_SCHEDULE_[[#This Row],[CONTEST_CODE]],"_",$V$2),_group_[ИД2],0),MATCH($V$1,_group_[#Headers],0)),"---"),".",",")</f>
        <v>---</v>
      </c>
      <c r="W278" s="41" t="str">
        <f>IFERROR(INDEX(_INDICATOR_[],MATCH(_SCHEDULE_[[#This Row],[CONTEST_CODE]],_INDICATOR_[CONTEST_CODE],0),MATCH($W$2,_INDICATOR_[#Headers],0)),"-")</f>
        <v>WAIT</v>
      </c>
      <c r="X278" s="41" t="str">
        <f>IFERROR(INDEX(_group_[],MATCH(_SCHEDULE_[[#This Row],[CONTEST_CODE]],_group_[CONTEST_CODE],0),MATCH($X$2,_group_[#Headers],0)),"-")</f>
        <v>BANK</v>
      </c>
      <c r="Y278" s="61" t="str">
        <f>IFERROR(INDEX(_DATA_[],MATCH(_SCHEDULE_[[#This Row],[CONTEST_CODE]],_DATA_[CONTEST_CODE],0),MATCH($Y$2,_DATA_[#Headers],0)),"-")</f>
        <v>Страховой олимп</v>
      </c>
      <c r="Z278" s="41" t="str">
        <f>IFERROR(INDEX(_reward_link_[],MATCH(_SCHEDULE_[[#This Row],[CONTEST_CODE]],_reward_link_[CONTEST_CODE],0),MATCH($Z$2,_reward_link_[#Headers],0)),"-")</f>
        <v>BANK</v>
      </c>
      <c r="AA278" s="41" t="str">
        <f>IFERROR(INDEX(_report[],MATCH(_SCHEDULE_[[#This Row],[CONTEST_CODE]],_report[CONTEST_CODE],0),MATCH($AA$2,_report[#Headers],0)),"-")</f>
        <v>-</v>
      </c>
      <c r="AB278"/>
    </row>
    <row r="279" spans="1:28" x14ac:dyDescent="0.25">
      <c r="A279" s="14" t="s">
        <v>3573</v>
      </c>
      <c r="B279" s="14" t="s">
        <v>146</v>
      </c>
      <c r="C279" s="14" t="s">
        <v>3219</v>
      </c>
      <c r="D279" s="14" t="s">
        <v>2542</v>
      </c>
      <c r="E279" s="14" t="s">
        <v>3545</v>
      </c>
      <c r="F279" s="14" t="s">
        <v>194</v>
      </c>
      <c r="G279" s="14" t="s">
        <v>194</v>
      </c>
      <c r="H279" s="14" t="s">
        <v>194</v>
      </c>
      <c r="I279" s="14" t="s">
        <v>194</v>
      </c>
      <c r="J279" s="14" t="s">
        <v>194</v>
      </c>
      <c r="K279" s="14" t="s">
        <v>34</v>
      </c>
      <c r="L279" s="14" t="s">
        <v>2270</v>
      </c>
      <c r="M279" s="14" t="s">
        <v>3606</v>
      </c>
      <c r="N279" s="14" t="s">
        <v>2</v>
      </c>
      <c r="O279" s="14" t="s">
        <v>3574</v>
      </c>
      <c r="P279" s="14" t="s">
        <v>1064</v>
      </c>
      <c r="R279" s="38">
        <f>IFERROR(COUNTIFS(_report[TOURNAMENT_CODE],_SCHEDULE_[[#This Row],[TOURNAMENT_CODE]],_report[CONTEST_CODE],_SCHEDULE_[[#This Row],[CONTEST_CODE]]),"-")</f>
        <v>0</v>
      </c>
      <c r="S279" s="41" t="str">
        <f>SUBSTITUTE(IFERROR(INDEX(_group_[],MATCH(CONCATENATE(_SCHEDULE_[[#This Row],[CONTEST_CODE]],"_",$S$2),_group_[ИД2],0),MATCH($S$1,_group_[#Headers],0)),"---"),".",",")</f>
        <v>BANK</v>
      </c>
      <c r="T279" s="41" t="str">
        <f>SUBSTITUTE(IFERROR(INDEX(_group_[],MATCH(CONCATENATE(_SCHEDULE_[[#This Row],[CONTEST_CODE]],"_",$T$2),_group_[ИД2],0),MATCH($T$1,_group_[#Headers],0)),"---"),".",",")</f>
        <v>---</v>
      </c>
      <c r="U279" s="41" t="str">
        <f>SUBSTITUTE(IFERROR(INDEX(_group_[],MATCH(CONCATENATE(_SCHEDULE_[[#This Row],[CONTEST_CODE]],"_",$U$2),_group_[ИД2],0),MATCH($U$1,_group_[#Headers],0)),"---"),".",",")</f>
        <v>---</v>
      </c>
      <c r="V279" s="41" t="str">
        <f>SUBSTITUTE(IFERROR(INDEX(_group_[],MATCH(CONCATENATE(_SCHEDULE_[[#This Row],[CONTEST_CODE]],"_",$V$2),_group_[ИД2],0),MATCH($V$1,_group_[#Headers],0)),"---"),".",",")</f>
        <v>---</v>
      </c>
      <c r="W279" s="41" t="str">
        <f>IFERROR(INDEX(_INDICATOR_[],MATCH(_SCHEDULE_[[#This Row],[CONTEST_CODE]],_INDICATOR_[CONTEST_CODE],0),MATCH($W$2,_INDICATOR_[#Headers],0)),"-")</f>
        <v>WAIT</v>
      </c>
      <c r="X279" s="41" t="str">
        <f>IFERROR(INDEX(_group_[],MATCH(_SCHEDULE_[[#This Row],[CONTEST_CODE]],_group_[CONTEST_CODE],0),MATCH($X$2,_group_[#Headers],0)),"-")</f>
        <v>BANK</v>
      </c>
      <c r="Y279" s="61" t="str">
        <f>IFERROR(INDEX(_DATA_[],MATCH(_SCHEDULE_[[#This Row],[CONTEST_CODE]],_DATA_[CONTEST_CODE],0),MATCH($Y$2,_DATA_[#Headers],0)),"-")</f>
        <v>Марафон УК Первая</v>
      </c>
      <c r="Z279" s="41" t="str">
        <f>IFERROR(INDEX(_reward_link_[],MATCH(_SCHEDULE_[[#This Row],[CONTEST_CODE]],_reward_link_[CONTEST_CODE],0),MATCH($Z$2,_reward_link_[#Headers],0)),"-")</f>
        <v>BANK</v>
      </c>
      <c r="AA279" s="41" t="str">
        <f>IFERROR(INDEX(_report[],MATCH(_SCHEDULE_[[#This Row],[CONTEST_CODE]],_report[CONTEST_CODE],0),MATCH($AA$2,_report[#Headers],0)),"-")</f>
        <v>-</v>
      </c>
      <c r="AB279"/>
    </row>
    <row r="280" spans="1:28" x14ac:dyDescent="0.25">
      <c r="A280" s="14" t="s">
        <v>3575</v>
      </c>
      <c r="B280" s="14" t="s">
        <v>146</v>
      </c>
      <c r="C280" s="14" t="s">
        <v>3219</v>
      </c>
      <c r="D280" s="14" t="s">
        <v>2542</v>
      </c>
      <c r="E280" s="14" t="s">
        <v>3545</v>
      </c>
      <c r="F280" s="14" t="s">
        <v>194</v>
      </c>
      <c r="G280" s="14" t="s">
        <v>194</v>
      </c>
      <c r="H280" s="14" t="s">
        <v>194</v>
      </c>
      <c r="I280" s="14" t="s">
        <v>194</v>
      </c>
      <c r="J280" s="14" t="s">
        <v>194</v>
      </c>
      <c r="K280" s="14" t="s">
        <v>34</v>
      </c>
      <c r="L280" s="14" t="s">
        <v>2272</v>
      </c>
      <c r="M280" s="14" t="s">
        <v>3606</v>
      </c>
      <c r="N280" s="14" t="s">
        <v>2</v>
      </c>
      <c r="O280" s="14" t="s">
        <v>3576</v>
      </c>
      <c r="P280" s="14" t="s">
        <v>1064</v>
      </c>
      <c r="R280" s="38">
        <f>IFERROR(COUNTIFS(_report[TOURNAMENT_CODE],_SCHEDULE_[[#This Row],[TOURNAMENT_CODE]],_report[CONTEST_CODE],_SCHEDULE_[[#This Row],[CONTEST_CODE]]),"-")</f>
        <v>0</v>
      </c>
      <c r="S280" s="41" t="str">
        <f>SUBSTITUTE(IFERROR(INDEX(_group_[],MATCH(CONCATENATE(_SCHEDULE_[[#This Row],[CONTEST_CODE]],"_",$S$2),_group_[ИД2],0),MATCH($S$1,_group_[#Headers],0)),"---"),".",",")</f>
        <v>BANK</v>
      </c>
      <c r="T280" s="41" t="str">
        <f>SUBSTITUTE(IFERROR(INDEX(_group_[],MATCH(CONCATENATE(_SCHEDULE_[[#This Row],[CONTEST_CODE]],"_",$T$2),_group_[ИД2],0),MATCH($T$1,_group_[#Headers],0)),"---"),".",",")</f>
        <v>---</v>
      </c>
      <c r="U280" s="41" t="str">
        <f>SUBSTITUTE(IFERROR(INDEX(_group_[],MATCH(CONCATENATE(_SCHEDULE_[[#This Row],[CONTEST_CODE]],"_",$U$2),_group_[ИД2],0),MATCH($U$1,_group_[#Headers],0)),"---"),".",",")</f>
        <v>---</v>
      </c>
      <c r="V280" s="41" t="str">
        <f>SUBSTITUTE(IFERROR(INDEX(_group_[],MATCH(CONCATENATE(_SCHEDULE_[[#This Row],[CONTEST_CODE]],"_",$V$2),_group_[ИД2],0),MATCH($V$1,_group_[#Headers],0)),"---"),".",",")</f>
        <v>---</v>
      </c>
      <c r="W280" s="41" t="str">
        <f>IFERROR(INDEX(_INDICATOR_[],MATCH(_SCHEDULE_[[#This Row],[CONTEST_CODE]],_INDICATOR_[CONTEST_CODE],0),MATCH($W$2,_INDICATOR_[#Headers],0)),"-")</f>
        <v>WAIT</v>
      </c>
      <c r="X280" s="41" t="str">
        <f>IFERROR(INDEX(_group_[],MATCH(_SCHEDULE_[[#This Row],[CONTEST_CODE]],_group_[CONTEST_CODE],0),MATCH($X$2,_group_[#Headers],0)),"-")</f>
        <v>BANK</v>
      </c>
      <c r="Y280" s="61" t="str">
        <f>IFERROR(INDEX(_DATA_[],MATCH(_SCHEDULE_[[#This Row],[CONTEST_CODE]],_DATA_[CONTEST_CODE],0),MATCH($Y$2,_DATA_[#Headers],0)),"-")</f>
        <v>Турнир по квадратным метрам</v>
      </c>
      <c r="Z280" s="41" t="str">
        <f>IFERROR(INDEX(_reward_link_[],MATCH(_SCHEDULE_[[#This Row],[CONTEST_CODE]],_reward_link_[CONTEST_CODE],0),MATCH($Z$2,_reward_link_[#Headers],0)),"-")</f>
        <v>BANK</v>
      </c>
      <c r="AA280" s="41" t="str">
        <f>IFERROR(INDEX(_report[],MATCH(_SCHEDULE_[[#This Row],[CONTEST_CODE]],_report[CONTEST_CODE],0),MATCH($AA$2,_report[#Headers],0)),"-")</f>
        <v>-</v>
      </c>
      <c r="AB280"/>
    </row>
    <row r="281" spans="1:28" x14ac:dyDescent="0.25">
      <c r="A281" s="14" t="s">
        <v>3577</v>
      </c>
      <c r="B281" s="14" t="s">
        <v>146</v>
      </c>
      <c r="C281" s="14" t="s">
        <v>3219</v>
      </c>
      <c r="D281" s="14" t="s">
        <v>2542</v>
      </c>
      <c r="E281" s="14" t="s">
        <v>3545</v>
      </c>
      <c r="F281" s="14" t="s">
        <v>194</v>
      </c>
      <c r="G281" s="14" t="s">
        <v>194</v>
      </c>
      <c r="H281" s="14" t="s">
        <v>194</v>
      </c>
      <c r="I281" s="14" t="s">
        <v>194</v>
      </c>
      <c r="J281" s="14" t="s">
        <v>194</v>
      </c>
      <c r="K281" s="14" t="s">
        <v>34</v>
      </c>
      <c r="L281" s="14" t="s">
        <v>2274</v>
      </c>
      <c r="M281" s="14" t="s">
        <v>3606</v>
      </c>
      <c r="N281" s="14" t="s">
        <v>2</v>
      </c>
      <c r="O281" s="14" t="s">
        <v>3578</v>
      </c>
      <c r="P281" s="14" t="s">
        <v>1064</v>
      </c>
      <c r="R281" s="38">
        <f>IFERROR(COUNTIFS(_report[TOURNAMENT_CODE],_SCHEDULE_[[#This Row],[TOURNAMENT_CODE]],_report[CONTEST_CODE],_SCHEDULE_[[#This Row],[CONTEST_CODE]]),"-")</f>
        <v>0</v>
      </c>
      <c r="S281" s="41" t="str">
        <f>SUBSTITUTE(IFERROR(INDEX(_group_[],MATCH(CONCATENATE(_SCHEDULE_[[#This Row],[CONTEST_CODE]],"_",$S$2),_group_[ИД2],0),MATCH($S$1,_group_[#Headers],0)),"---"),".",",")</f>
        <v>BANK</v>
      </c>
      <c r="T281" s="41" t="str">
        <f>SUBSTITUTE(IFERROR(INDEX(_group_[],MATCH(CONCATENATE(_SCHEDULE_[[#This Row],[CONTEST_CODE]],"_",$T$2),_group_[ИД2],0),MATCH($T$1,_group_[#Headers],0)),"---"),".",",")</f>
        <v>---</v>
      </c>
      <c r="U281" s="41" t="str">
        <f>SUBSTITUTE(IFERROR(INDEX(_group_[],MATCH(CONCATENATE(_SCHEDULE_[[#This Row],[CONTEST_CODE]],"_",$U$2),_group_[ИД2],0),MATCH($U$1,_group_[#Headers],0)),"---"),".",",")</f>
        <v>---</v>
      </c>
      <c r="V281" s="41" t="str">
        <f>SUBSTITUTE(IFERROR(INDEX(_group_[],MATCH(CONCATENATE(_SCHEDULE_[[#This Row],[CONTEST_CODE]],"_",$V$2),_group_[ИД2],0),MATCH($V$1,_group_[#Headers],0)),"---"),".",",")</f>
        <v>---</v>
      </c>
      <c r="W281" s="41" t="str">
        <f>IFERROR(INDEX(_INDICATOR_[],MATCH(_SCHEDULE_[[#This Row],[CONTEST_CODE]],_INDICATOR_[CONTEST_CODE],0),MATCH($W$2,_INDICATOR_[#Headers],0)),"-")</f>
        <v>WAIT</v>
      </c>
      <c r="X281" s="41" t="str">
        <f>IFERROR(INDEX(_group_[],MATCH(_SCHEDULE_[[#This Row],[CONTEST_CODE]],_group_[CONTEST_CODE],0),MATCH($X$2,_group_[#Headers],0)),"-")</f>
        <v>BANK</v>
      </c>
      <c r="Y281" s="61" t="str">
        <f>IFERROR(INDEX(_DATA_[],MATCH(_SCHEDULE_[[#This Row],[CONTEST_CODE]],_DATA_[CONTEST_CODE],0),MATCH($Y$2,_DATA_[#Headers],0)),"-")</f>
        <v>Ралли брокера</v>
      </c>
      <c r="Z281" s="41" t="str">
        <f>IFERROR(INDEX(_reward_link_[],MATCH(_SCHEDULE_[[#This Row],[CONTEST_CODE]],_reward_link_[CONTEST_CODE],0),MATCH($Z$2,_reward_link_[#Headers],0)),"-")</f>
        <v>BANK</v>
      </c>
      <c r="AA281" s="41" t="str">
        <f>IFERROR(INDEX(_report[],MATCH(_SCHEDULE_[[#This Row],[CONTEST_CODE]],_report[CONTEST_CODE],0),MATCH($AA$2,_report[#Headers],0)),"-")</f>
        <v>-</v>
      </c>
      <c r="AB281"/>
    </row>
    <row r="282" spans="1:28" x14ac:dyDescent="0.25">
      <c r="A282" s="14" t="s">
        <v>3579</v>
      </c>
      <c r="B282" s="14" t="s">
        <v>146</v>
      </c>
      <c r="C282" s="14" t="s">
        <v>3219</v>
      </c>
      <c r="D282" s="14" t="s">
        <v>2542</v>
      </c>
      <c r="E282" s="14" t="s">
        <v>3545</v>
      </c>
      <c r="F282" s="14" t="s">
        <v>194</v>
      </c>
      <c r="G282" s="14" t="s">
        <v>194</v>
      </c>
      <c r="H282" s="14" t="s">
        <v>194</v>
      </c>
      <c r="I282" s="14" t="s">
        <v>194</v>
      </c>
      <c r="J282" s="14" t="s">
        <v>194</v>
      </c>
      <c r="K282" s="14" t="s">
        <v>34</v>
      </c>
      <c r="L282" s="14" t="s">
        <v>2276</v>
      </c>
      <c r="M282" s="14" t="s">
        <v>3606</v>
      </c>
      <c r="N282" s="14" t="s">
        <v>2</v>
      </c>
      <c r="O282" s="14" t="s">
        <v>3580</v>
      </c>
      <c r="P282" s="14" t="s">
        <v>1064</v>
      </c>
      <c r="R282" s="38">
        <f>IFERROR(COUNTIFS(_report[TOURNAMENT_CODE],_SCHEDULE_[[#This Row],[TOURNAMENT_CODE]],_report[CONTEST_CODE],_SCHEDULE_[[#This Row],[CONTEST_CODE]]),"-")</f>
        <v>0</v>
      </c>
      <c r="S282" s="41" t="str">
        <f>SUBSTITUTE(IFERROR(INDEX(_group_[],MATCH(CONCATENATE(_SCHEDULE_[[#This Row],[CONTEST_CODE]],"_",$S$2),_group_[ИД2],0),MATCH($S$1,_group_[#Headers],0)),"---"),".",",")</f>
        <v>BANK</v>
      </c>
      <c r="T282" s="41" t="str">
        <f>SUBSTITUTE(IFERROR(INDEX(_group_[],MATCH(CONCATENATE(_SCHEDULE_[[#This Row],[CONTEST_CODE]],"_",$T$2),_group_[ИД2],0),MATCH($T$1,_group_[#Headers],0)),"---"),".",",")</f>
        <v>---</v>
      </c>
      <c r="U282" s="41" t="str">
        <f>SUBSTITUTE(IFERROR(INDEX(_group_[],MATCH(CONCATENATE(_SCHEDULE_[[#This Row],[CONTEST_CODE]],"_",$U$2),_group_[ИД2],0),MATCH($U$1,_group_[#Headers],0)),"---"),".",",")</f>
        <v>---</v>
      </c>
      <c r="V282" s="41" t="str">
        <f>SUBSTITUTE(IFERROR(INDEX(_group_[],MATCH(CONCATENATE(_SCHEDULE_[[#This Row],[CONTEST_CODE]],"_",$V$2),_group_[ИД2],0),MATCH($V$1,_group_[#Headers],0)),"---"),".",",")</f>
        <v>---</v>
      </c>
      <c r="W282" s="41" t="str">
        <f>IFERROR(INDEX(_INDICATOR_[],MATCH(_SCHEDULE_[[#This Row],[CONTEST_CODE]],_INDICATOR_[CONTEST_CODE],0),MATCH($W$2,_INDICATOR_[#Headers],0)),"-")</f>
        <v>WAIT</v>
      </c>
      <c r="X282" s="41" t="str">
        <f>IFERROR(INDEX(_group_[],MATCH(_SCHEDULE_[[#This Row],[CONTEST_CODE]],_group_[CONTEST_CODE],0),MATCH($X$2,_group_[#Headers],0)),"-")</f>
        <v>BANK</v>
      </c>
      <c r="Y282" s="61" t="str">
        <f>IFERROR(INDEX(_DATA_[],MATCH(_SCHEDULE_[[#This Row],[CONTEST_CODE]],_DATA_[CONTEST_CODE],0),MATCH($Y$2,_DATA_[#Headers],0)),"-")</f>
        <v>Страховой олимп</v>
      </c>
      <c r="Z282" s="41" t="str">
        <f>IFERROR(INDEX(_reward_link_[],MATCH(_SCHEDULE_[[#This Row],[CONTEST_CODE]],_reward_link_[CONTEST_CODE],0),MATCH($Z$2,_reward_link_[#Headers],0)),"-")</f>
        <v>BANK</v>
      </c>
      <c r="AA282" s="41" t="str">
        <f>IFERROR(INDEX(_report[],MATCH(_SCHEDULE_[[#This Row],[CONTEST_CODE]],_report[CONTEST_CODE],0),MATCH($AA$2,_report[#Headers],0)),"-")</f>
        <v>-</v>
      </c>
      <c r="AB282"/>
    </row>
    <row r="283" spans="1:28" hidden="1" x14ac:dyDescent="0.25">
      <c r="A283" s="14" t="s">
        <v>2568</v>
      </c>
      <c r="B283" s="14" t="s">
        <v>2533</v>
      </c>
      <c r="C283" s="14" t="s">
        <v>2508</v>
      </c>
      <c r="D283" s="14" t="s">
        <v>2534</v>
      </c>
      <c r="E283" s="14" t="s">
        <v>2535</v>
      </c>
      <c r="F283" s="14" t="s">
        <v>194</v>
      </c>
      <c r="G283" s="14" t="s">
        <v>194</v>
      </c>
      <c r="H283" s="14" t="s">
        <v>194</v>
      </c>
      <c r="I283" s="14" t="s">
        <v>194</v>
      </c>
      <c r="J283" s="14" t="s">
        <v>194</v>
      </c>
      <c r="K283" s="14" t="s">
        <v>155</v>
      </c>
      <c r="L283" s="14" t="s">
        <v>2234</v>
      </c>
      <c r="M283" s="14" t="s">
        <v>3596</v>
      </c>
      <c r="N283" s="14" t="s">
        <v>2</v>
      </c>
      <c r="O283" s="14" t="s">
        <v>2569</v>
      </c>
      <c r="P283" s="14" t="s">
        <v>1064</v>
      </c>
      <c r="R283" s="38">
        <f>IFERROR(COUNTIFS(_report[TOURNAMENT_CODE],_SCHEDULE_[[#This Row],[TOURNAMENT_CODE]],_report[CONTEST_CODE],_SCHEDULE_[[#This Row],[CONTEST_CODE]]),"-")</f>
        <v>0</v>
      </c>
      <c r="S283" s="41" t="str">
        <f>SUBSTITUTE(IFERROR(INDEX(_group_[],MATCH(CONCATENATE(_SCHEDULE_[[#This Row],[CONTEST_CODE]],"_",$S$2),_group_[ИД2],0),MATCH($S$1,_group_[#Headers],0)),"---"),".",",")</f>
        <v>BANK</v>
      </c>
      <c r="T283" s="41" t="str">
        <f>SUBSTITUTE(IFERROR(INDEX(_group_[],MATCH(CONCATENATE(_SCHEDULE_[[#This Row],[CONTEST_CODE]],"_",$T$2),_group_[ИД2],0),MATCH($T$1,_group_[#Headers],0)),"---"),".",",")</f>
        <v>---</v>
      </c>
      <c r="U283" s="41" t="str">
        <f>SUBSTITUTE(IFERROR(INDEX(_group_[],MATCH(CONCATENATE(_SCHEDULE_[[#This Row],[CONTEST_CODE]],"_",$U$2),_group_[ИД2],0),MATCH($U$1,_group_[#Headers],0)),"---"),".",",")</f>
        <v>---</v>
      </c>
      <c r="V283" s="41" t="str">
        <f>SUBSTITUTE(IFERROR(INDEX(_group_[],MATCH(CONCATENATE(_SCHEDULE_[[#This Row],[CONTEST_CODE]],"_",$V$2),_group_[ИД2],0),MATCH($V$1,_group_[#Headers],0)),"---"),".",",")</f>
        <v>---</v>
      </c>
      <c r="W283" s="41" t="str">
        <f>IFERROR(INDEX(_INDICATOR_[],MATCH(_SCHEDULE_[[#This Row],[CONTEST_CODE]],_INDICATOR_[CONTEST_CODE],0),MATCH($W$2,_INDICATOR_[#Headers],0)),"-")</f>
        <v>WAIT</v>
      </c>
      <c r="X283" s="41" t="str">
        <f>IFERROR(INDEX(_group_[],MATCH(_SCHEDULE_[[#This Row],[CONTEST_CODE]],_group_[CONTEST_CODE],0),MATCH($X$2,_group_[#Headers],0)),"-")</f>
        <v>BANK</v>
      </c>
      <c r="Y283" s="61" t="str">
        <f>IFERROR(INDEX(_DATA_[],MATCH(_SCHEDULE_[[#This Row],[CONTEST_CODE]],_DATA_[CONTEST_CODE],0),MATCH($Y$2,_DATA_[#Headers],0)),"-")</f>
        <v>Лотос у моря</v>
      </c>
      <c r="Z283" s="41" t="str">
        <f>IFERROR(INDEX(_reward_link_[],MATCH(_SCHEDULE_[[#This Row],[CONTEST_CODE]],_reward_link_[CONTEST_CODE],0),MATCH($Z$2,_reward_link_[#Headers],0)),"-")</f>
        <v>BANK</v>
      </c>
      <c r="AA283" s="41" t="str">
        <f>IFERROR(INDEX(_report[],MATCH(_SCHEDULE_[[#This Row],[CONTEST_CODE]],_report[CONTEST_CODE],0),MATCH($AA$2,_report[#Headers],0)),"-")</f>
        <v>-</v>
      </c>
      <c r="AB283"/>
    </row>
    <row r="284" spans="1:28" hidden="1" x14ac:dyDescent="0.25">
      <c r="A284" s="14" t="s">
        <v>2570</v>
      </c>
      <c r="B284" s="14" t="s">
        <v>2533</v>
      </c>
      <c r="C284" s="14" t="s">
        <v>2508</v>
      </c>
      <c r="D284" s="14" t="s">
        <v>2534</v>
      </c>
      <c r="E284" s="14" t="s">
        <v>2554</v>
      </c>
      <c r="F284" s="14" t="s">
        <v>194</v>
      </c>
      <c r="G284" s="14" t="s">
        <v>194</v>
      </c>
      <c r="H284" s="14" t="s">
        <v>194</v>
      </c>
      <c r="I284" s="14" t="s">
        <v>194</v>
      </c>
      <c r="J284" s="14" t="s">
        <v>194</v>
      </c>
      <c r="K284" s="14" t="s">
        <v>155</v>
      </c>
      <c r="L284" s="14" t="s">
        <v>2248</v>
      </c>
      <c r="M284" s="14" t="s">
        <v>3596</v>
      </c>
      <c r="N284" s="14" t="s">
        <v>2</v>
      </c>
      <c r="O284" s="14" t="s">
        <v>2571</v>
      </c>
      <c r="P284" s="14" t="s">
        <v>1064</v>
      </c>
      <c r="R284" s="38">
        <f>IFERROR(COUNTIFS(_report[TOURNAMENT_CODE],_SCHEDULE_[[#This Row],[TOURNAMENT_CODE]],_report[CONTEST_CODE],_SCHEDULE_[[#This Row],[CONTEST_CODE]]),"-")</f>
        <v>0</v>
      </c>
      <c r="S284" s="41" t="str">
        <f>SUBSTITUTE(IFERROR(INDEX(_group_[],MATCH(CONCATENATE(_SCHEDULE_[[#This Row],[CONTEST_CODE]],"_",$S$2),_group_[ИД2],0),MATCH($S$1,_group_[#Headers],0)),"---"),".",",")</f>
        <v>---</v>
      </c>
      <c r="T284" s="41" t="str">
        <f>SUBSTITUTE(IFERROR(INDEX(_group_[],MATCH(CONCATENATE(_SCHEDULE_[[#This Row],[CONTEST_CODE]],"_",$T$2),_group_[ИД2],0),MATCH($T$1,_group_[#Headers],0)),"---"),".",",")</f>
        <v>TB</v>
      </c>
      <c r="U284" s="41" t="str">
        <f>SUBSTITUTE(IFERROR(INDEX(_group_[],MATCH(CONCATENATE(_SCHEDULE_[[#This Row],[CONTEST_CODE]],"_",$U$2),_group_[ИД2],0),MATCH($U$1,_group_[#Headers],0)),"---"),".",",")</f>
        <v>---</v>
      </c>
      <c r="V284" s="41" t="str">
        <f>SUBSTITUTE(IFERROR(INDEX(_group_[],MATCH(CONCATENATE(_SCHEDULE_[[#This Row],[CONTEST_CODE]],"_",$V$2),_group_[ИД2],0),MATCH($V$1,_group_[#Headers],0)),"---"),".",",")</f>
        <v>---</v>
      </c>
      <c r="W284" s="41" t="str">
        <f>IFERROR(INDEX(_INDICATOR_[],MATCH(_SCHEDULE_[[#This Row],[CONTEST_CODE]],_INDICATOR_[CONTEST_CODE],0),MATCH($W$2,_INDICATOR_[#Headers],0)),"-")</f>
        <v>WAIT</v>
      </c>
      <c r="X284" s="41" t="str">
        <f>IFERROR(INDEX(_group_[],MATCH(_SCHEDULE_[[#This Row],[CONTEST_CODE]],_group_[CONTEST_CODE],0),MATCH($X$2,_group_[#Headers],0)),"-")</f>
        <v>TB</v>
      </c>
      <c r="Y284" s="61" t="str">
        <f>IFERROR(INDEX(_DATA_[],MATCH(_SCHEDULE_[[#This Row],[CONTEST_CODE]],_DATA_[CONTEST_CODE],0),MATCH($Y$2,_DATA_[#Headers],0)),"-")</f>
        <v>Марафон УК Первая</v>
      </c>
      <c r="Z284" s="41" t="str">
        <f>IFERROR(INDEX(_reward_link_[],MATCH(_SCHEDULE_[[#This Row],[CONTEST_CODE]],_reward_link_[CONTEST_CODE],0),MATCH($Z$2,_reward_link_[#Headers],0)),"-")</f>
        <v>TB</v>
      </c>
      <c r="AA284" s="41" t="str">
        <f>IFERROR(INDEX(_report[],MATCH(_SCHEDULE_[[#This Row],[CONTEST_CODE]],_report[CONTEST_CODE],0),MATCH($AA$2,_report[#Headers],0)),"-")</f>
        <v>-</v>
      </c>
      <c r="AB284"/>
    </row>
    <row r="285" spans="1:28" hidden="1" x14ac:dyDescent="0.25">
      <c r="A285" s="14" t="s">
        <v>2572</v>
      </c>
      <c r="B285" s="14" t="s">
        <v>2533</v>
      </c>
      <c r="C285" s="14" t="s">
        <v>2508</v>
      </c>
      <c r="D285" s="14" t="s">
        <v>2534</v>
      </c>
      <c r="E285" s="14" t="s">
        <v>2554</v>
      </c>
      <c r="F285" s="14" t="s">
        <v>194</v>
      </c>
      <c r="G285" s="14" t="s">
        <v>194</v>
      </c>
      <c r="H285" s="14" t="s">
        <v>194</v>
      </c>
      <c r="I285" s="14" t="s">
        <v>194</v>
      </c>
      <c r="J285" s="14" t="s">
        <v>194</v>
      </c>
      <c r="K285" s="14" t="s">
        <v>155</v>
      </c>
      <c r="L285" s="14" t="s">
        <v>2253</v>
      </c>
      <c r="M285" s="14" t="s">
        <v>3596</v>
      </c>
      <c r="N285" s="14" t="s">
        <v>2</v>
      </c>
      <c r="O285" s="14" t="s">
        <v>3581</v>
      </c>
      <c r="P285" s="14" t="s">
        <v>1064</v>
      </c>
      <c r="R285" s="38">
        <f>IFERROR(COUNTIFS(_report[TOURNAMENT_CODE],_SCHEDULE_[[#This Row],[TOURNAMENT_CODE]],_report[CONTEST_CODE],_SCHEDULE_[[#This Row],[CONTEST_CODE]]),"-")</f>
        <v>0</v>
      </c>
      <c r="S285" s="41" t="str">
        <f>SUBSTITUTE(IFERROR(INDEX(_group_[],MATCH(CONCATENATE(_SCHEDULE_[[#This Row],[CONTEST_CODE]],"_",$S$2),_group_[ИД2],0),MATCH($S$1,_group_[#Headers],0)),"---"),".",",")</f>
        <v>---</v>
      </c>
      <c r="T285" s="41" t="str">
        <f>SUBSTITUTE(IFERROR(INDEX(_group_[],MATCH(CONCATENATE(_SCHEDULE_[[#This Row],[CONTEST_CODE]],"_",$T$2),_group_[ИД2],0),MATCH($T$1,_group_[#Headers],0)),"---"),".",",")</f>
        <v>TB</v>
      </c>
      <c r="U285" s="41" t="str">
        <f>SUBSTITUTE(IFERROR(INDEX(_group_[],MATCH(CONCATENATE(_SCHEDULE_[[#This Row],[CONTEST_CODE]],"_",$U$2),_group_[ИД2],0),MATCH($U$1,_group_[#Headers],0)),"---"),".",",")</f>
        <v>---</v>
      </c>
      <c r="V285" s="41" t="str">
        <f>SUBSTITUTE(IFERROR(INDEX(_group_[],MATCH(CONCATENATE(_SCHEDULE_[[#This Row],[CONTEST_CODE]],"_",$V$2),_group_[ИД2],0),MATCH($V$1,_group_[#Headers],0)),"---"),".",",")</f>
        <v>---</v>
      </c>
      <c r="W285" s="41" t="str">
        <f>IFERROR(INDEX(_INDICATOR_[],MATCH(_SCHEDULE_[[#This Row],[CONTEST_CODE]],_INDICATOR_[CONTEST_CODE],0),MATCH($W$2,_INDICATOR_[#Headers],0)),"-")</f>
        <v>WAIT</v>
      </c>
      <c r="X285" s="41" t="str">
        <f>IFERROR(INDEX(_group_[],MATCH(_SCHEDULE_[[#This Row],[CONTEST_CODE]],_group_[CONTEST_CODE],0),MATCH($X$2,_group_[#Headers],0)),"-")</f>
        <v>TB</v>
      </c>
      <c r="Y285" s="61" t="str">
        <f>IFERROR(INDEX(_DATA_[],MATCH(_SCHEDULE_[[#This Row],[CONTEST_CODE]],_DATA_[CONTEST_CODE],0),MATCH($Y$2,_DATA_[#Headers],0)),"-")</f>
        <v>Страховой олимп</v>
      </c>
      <c r="Z285" s="41" t="str">
        <f>IFERROR(INDEX(_reward_link_[],MATCH(_SCHEDULE_[[#This Row],[CONTEST_CODE]],_reward_link_[CONTEST_CODE],0),MATCH($Z$2,_reward_link_[#Headers],0)),"-")</f>
        <v>TB</v>
      </c>
      <c r="AA285" s="41" t="str">
        <f>IFERROR(INDEX(_report[],MATCH(_SCHEDULE_[[#This Row],[CONTEST_CODE]],_report[CONTEST_CODE],0),MATCH($AA$2,_report[#Headers],0)),"-")</f>
        <v>-</v>
      </c>
      <c r="AB285"/>
    </row>
    <row r="286" spans="1:28" hidden="1" x14ac:dyDescent="0.25">
      <c r="A286" s="14" t="s">
        <v>2573</v>
      </c>
      <c r="B286" s="14" t="s">
        <v>2533</v>
      </c>
      <c r="C286" s="14" t="s">
        <v>2508</v>
      </c>
      <c r="D286" s="14" t="s">
        <v>2534</v>
      </c>
      <c r="E286" s="14" t="s">
        <v>2554</v>
      </c>
      <c r="F286" s="14" t="s">
        <v>194</v>
      </c>
      <c r="G286" s="14" t="s">
        <v>194</v>
      </c>
      <c r="H286" s="14" t="s">
        <v>194</v>
      </c>
      <c r="I286" s="14" t="s">
        <v>194</v>
      </c>
      <c r="J286" s="14" t="s">
        <v>194</v>
      </c>
      <c r="K286" s="14" t="s">
        <v>155</v>
      </c>
      <c r="L286" s="14" t="s">
        <v>2251</v>
      </c>
      <c r="M286" s="14" t="s">
        <v>3596</v>
      </c>
      <c r="N286" s="14" t="s">
        <v>2</v>
      </c>
      <c r="O286" s="14" t="s">
        <v>2574</v>
      </c>
      <c r="P286" s="14" t="s">
        <v>1064</v>
      </c>
      <c r="R286" s="38">
        <f>IFERROR(COUNTIFS(_report[TOURNAMENT_CODE],_SCHEDULE_[[#This Row],[TOURNAMENT_CODE]],_report[CONTEST_CODE],_SCHEDULE_[[#This Row],[CONTEST_CODE]]),"-")</f>
        <v>0</v>
      </c>
      <c r="S286" s="41" t="str">
        <f>SUBSTITUTE(IFERROR(INDEX(_group_[],MATCH(CONCATENATE(_SCHEDULE_[[#This Row],[CONTEST_CODE]],"_",$S$2),_group_[ИД2],0),MATCH($S$1,_group_[#Headers],0)),"---"),".",",")</f>
        <v>---</v>
      </c>
      <c r="T286" s="41" t="str">
        <f>SUBSTITUTE(IFERROR(INDEX(_group_[],MATCH(CONCATENATE(_SCHEDULE_[[#This Row],[CONTEST_CODE]],"_",$T$2),_group_[ИД2],0),MATCH($T$1,_group_[#Headers],0)),"---"),".",",")</f>
        <v>TB</v>
      </c>
      <c r="U286" s="41" t="str">
        <f>SUBSTITUTE(IFERROR(INDEX(_group_[],MATCH(CONCATENATE(_SCHEDULE_[[#This Row],[CONTEST_CODE]],"_",$U$2),_group_[ИД2],0),MATCH($U$1,_group_[#Headers],0)),"---"),".",",")</f>
        <v>---</v>
      </c>
      <c r="V286" s="41" t="str">
        <f>SUBSTITUTE(IFERROR(INDEX(_group_[],MATCH(CONCATENATE(_SCHEDULE_[[#This Row],[CONTEST_CODE]],"_",$V$2),_group_[ИД2],0),MATCH($V$1,_group_[#Headers],0)),"---"),".",",")</f>
        <v>---</v>
      </c>
      <c r="W286" s="41" t="str">
        <f>IFERROR(INDEX(_INDICATOR_[],MATCH(_SCHEDULE_[[#This Row],[CONTEST_CODE]],_INDICATOR_[CONTEST_CODE],0),MATCH($W$2,_INDICATOR_[#Headers],0)),"-")</f>
        <v>WAIT</v>
      </c>
      <c r="X286" s="41" t="str">
        <f>IFERROR(INDEX(_group_[],MATCH(_SCHEDULE_[[#This Row],[CONTEST_CODE]],_group_[CONTEST_CODE],0),MATCH($X$2,_group_[#Headers],0)),"-")</f>
        <v>TB</v>
      </c>
      <c r="Y286" s="61" t="str">
        <f>IFERROR(INDEX(_DATA_[],MATCH(_SCHEDULE_[[#This Row],[CONTEST_CODE]],_DATA_[CONTEST_CODE],0),MATCH($Y$2,_DATA_[#Headers],0)),"-")</f>
        <v>Ралли брокера</v>
      </c>
      <c r="Z286" s="41" t="str">
        <f>IFERROR(INDEX(_reward_link_[],MATCH(_SCHEDULE_[[#This Row],[CONTEST_CODE]],_reward_link_[CONTEST_CODE],0),MATCH($Z$2,_reward_link_[#Headers],0)),"-")</f>
        <v>TB</v>
      </c>
      <c r="AA286" s="41" t="str">
        <f>IFERROR(INDEX(_report[],MATCH(_SCHEDULE_[[#This Row],[CONTEST_CODE]],_report[CONTEST_CODE],0),MATCH($AA$2,_report[#Headers],0)),"-")</f>
        <v>-</v>
      </c>
      <c r="AB286"/>
    </row>
    <row r="287" spans="1:28" hidden="1" x14ac:dyDescent="0.25">
      <c r="A287" s="14" t="s">
        <v>2575</v>
      </c>
      <c r="B287" s="14" t="s">
        <v>2533</v>
      </c>
      <c r="C287" s="14" t="s">
        <v>2508</v>
      </c>
      <c r="D287" s="14" t="s">
        <v>2534</v>
      </c>
      <c r="E287" s="14" t="s">
        <v>2554</v>
      </c>
      <c r="F287" s="14" t="s">
        <v>194</v>
      </c>
      <c r="G287" s="14" t="s">
        <v>194</v>
      </c>
      <c r="H287" s="14" t="s">
        <v>194</v>
      </c>
      <c r="I287" s="14" t="s">
        <v>194</v>
      </c>
      <c r="J287" s="14" t="s">
        <v>194</v>
      </c>
      <c r="K287" s="14" t="s">
        <v>155</v>
      </c>
      <c r="L287" s="14" t="s">
        <v>2253</v>
      </c>
      <c r="M287" s="14" t="s">
        <v>3596</v>
      </c>
      <c r="N287" s="14" t="s">
        <v>2</v>
      </c>
      <c r="O287" s="14" t="s">
        <v>2576</v>
      </c>
      <c r="P287" s="14" t="s">
        <v>1064</v>
      </c>
      <c r="R287" s="38">
        <f>IFERROR(COUNTIFS(_report[TOURNAMENT_CODE],_SCHEDULE_[[#This Row],[TOURNAMENT_CODE]],_report[CONTEST_CODE],_SCHEDULE_[[#This Row],[CONTEST_CODE]]),"-")</f>
        <v>0</v>
      </c>
      <c r="S287" s="41" t="str">
        <f>SUBSTITUTE(IFERROR(INDEX(_group_[],MATCH(CONCATENATE(_SCHEDULE_[[#This Row],[CONTEST_CODE]],"_",$S$2),_group_[ИД2],0),MATCH($S$1,_group_[#Headers],0)),"---"),".",",")</f>
        <v>---</v>
      </c>
      <c r="T287" s="41" t="str">
        <f>SUBSTITUTE(IFERROR(INDEX(_group_[],MATCH(CONCATENATE(_SCHEDULE_[[#This Row],[CONTEST_CODE]],"_",$T$2),_group_[ИД2],0),MATCH($T$1,_group_[#Headers],0)),"---"),".",",")</f>
        <v>TB</v>
      </c>
      <c r="U287" s="41" t="str">
        <f>SUBSTITUTE(IFERROR(INDEX(_group_[],MATCH(CONCATENATE(_SCHEDULE_[[#This Row],[CONTEST_CODE]],"_",$U$2),_group_[ИД2],0),MATCH($U$1,_group_[#Headers],0)),"---"),".",",")</f>
        <v>---</v>
      </c>
      <c r="V287" s="41" t="str">
        <f>SUBSTITUTE(IFERROR(INDEX(_group_[],MATCH(CONCATENATE(_SCHEDULE_[[#This Row],[CONTEST_CODE]],"_",$V$2),_group_[ИД2],0),MATCH($V$1,_group_[#Headers],0)),"---"),".",",")</f>
        <v>---</v>
      </c>
      <c r="W287" s="41" t="str">
        <f>IFERROR(INDEX(_INDICATOR_[],MATCH(_SCHEDULE_[[#This Row],[CONTEST_CODE]],_INDICATOR_[CONTEST_CODE],0),MATCH($W$2,_INDICATOR_[#Headers],0)),"-")</f>
        <v>WAIT</v>
      </c>
      <c r="X287" s="41" t="str">
        <f>IFERROR(INDEX(_group_[],MATCH(_SCHEDULE_[[#This Row],[CONTEST_CODE]],_group_[CONTEST_CODE],0),MATCH($X$2,_group_[#Headers],0)),"-")</f>
        <v>TB</v>
      </c>
      <c r="Y287" s="61" t="str">
        <f>IFERROR(INDEX(_DATA_[],MATCH(_SCHEDULE_[[#This Row],[CONTEST_CODE]],_DATA_[CONTEST_CODE],0),MATCH($Y$2,_DATA_[#Headers],0)),"-")</f>
        <v>Страховой олимп</v>
      </c>
      <c r="Z287" s="41" t="str">
        <f>IFERROR(INDEX(_reward_link_[],MATCH(_SCHEDULE_[[#This Row],[CONTEST_CODE]],_reward_link_[CONTEST_CODE],0),MATCH($Z$2,_reward_link_[#Headers],0)),"-")</f>
        <v>TB</v>
      </c>
      <c r="AA287" s="41" t="str">
        <f>IFERROR(INDEX(_report[],MATCH(_SCHEDULE_[[#This Row],[CONTEST_CODE]],_report[CONTEST_CODE],0),MATCH($AA$2,_report[#Headers],0)),"-")</f>
        <v>-</v>
      </c>
      <c r="AB287"/>
    </row>
    <row r="288" spans="1:28" hidden="1" x14ac:dyDescent="0.25">
      <c r="A288" s="14" t="s">
        <v>2577</v>
      </c>
      <c r="B288" s="14" t="s">
        <v>2533</v>
      </c>
      <c r="C288" s="14" t="s">
        <v>2508</v>
      </c>
      <c r="D288" s="14" t="s">
        <v>2534</v>
      </c>
      <c r="E288" s="14" t="s">
        <v>2554</v>
      </c>
      <c r="F288" s="14" t="s">
        <v>194</v>
      </c>
      <c r="G288" s="14" t="s">
        <v>194</v>
      </c>
      <c r="H288" s="14" t="s">
        <v>194</v>
      </c>
      <c r="I288" s="14" t="s">
        <v>194</v>
      </c>
      <c r="J288" s="14" t="s">
        <v>194</v>
      </c>
      <c r="K288" s="14" t="s">
        <v>155</v>
      </c>
      <c r="L288" s="14" t="s">
        <v>2254</v>
      </c>
      <c r="M288" s="14" t="s">
        <v>3605</v>
      </c>
      <c r="N288" s="14" t="s">
        <v>2</v>
      </c>
      <c r="O288" s="14" t="s">
        <v>2578</v>
      </c>
      <c r="P288" s="14" t="s">
        <v>1064</v>
      </c>
      <c r="R288" s="38">
        <f>IFERROR(COUNTIFS(_report[TOURNAMENT_CODE],_SCHEDULE_[[#This Row],[TOURNAMENT_CODE]],_report[CONTEST_CODE],_SCHEDULE_[[#This Row],[CONTEST_CODE]]),"-")</f>
        <v>0</v>
      </c>
      <c r="S288" s="41" t="str">
        <f>SUBSTITUTE(IFERROR(INDEX(_group_[],MATCH(CONCATENATE(_SCHEDULE_[[#This Row],[CONTEST_CODE]],"_",$S$2),_group_[ИД2],0),MATCH($S$1,_group_[#Headers],0)),"---"),".",",")</f>
        <v>BANK</v>
      </c>
      <c r="T288" s="41" t="str">
        <f>SUBSTITUTE(IFERROR(INDEX(_group_[],MATCH(CONCATENATE(_SCHEDULE_[[#This Row],[CONTEST_CODE]],"_",$T$2),_group_[ИД2],0),MATCH($T$1,_group_[#Headers],0)),"---"),".",",")</f>
        <v>---</v>
      </c>
      <c r="U288" s="41" t="str">
        <f>SUBSTITUTE(IFERROR(INDEX(_group_[],MATCH(CONCATENATE(_SCHEDULE_[[#This Row],[CONTEST_CODE]],"_",$U$2),_group_[ИД2],0),MATCH($U$1,_group_[#Headers],0)),"---"),".",",")</f>
        <v>---</v>
      </c>
      <c r="V288" s="41" t="str">
        <f>SUBSTITUTE(IFERROR(INDEX(_group_[],MATCH(CONCATENATE(_SCHEDULE_[[#This Row],[CONTEST_CODE]],"_",$V$2),_group_[ИД2],0),MATCH($V$1,_group_[#Headers],0)),"---"),".",",")</f>
        <v>---</v>
      </c>
      <c r="W288" s="41" t="str">
        <f>IFERROR(INDEX(_INDICATOR_[],MATCH(_SCHEDULE_[[#This Row],[CONTEST_CODE]],_INDICATOR_[CONTEST_CODE],0),MATCH($W$2,_INDICATOR_[#Headers],0)),"-")</f>
        <v>WAIT</v>
      </c>
      <c r="X288" s="41" t="str">
        <f>IFERROR(INDEX(_group_[],MATCH(_SCHEDULE_[[#This Row],[CONTEST_CODE]],_group_[CONTEST_CODE],0),MATCH($X$2,_group_[#Headers],0)),"-")</f>
        <v>BANK</v>
      </c>
      <c r="Y288" s="61" t="str">
        <f>IFERROR(INDEX(_DATA_[],MATCH(_SCHEDULE_[[#This Row],[CONTEST_CODE]],_DATA_[CONTEST_CODE],0),MATCH($Y$2,_DATA_[#Headers],0)),"-")</f>
        <v>Марафон УК Первая</v>
      </c>
      <c r="Z288" s="41" t="str">
        <f>IFERROR(INDEX(_reward_link_[],MATCH(_SCHEDULE_[[#This Row],[CONTEST_CODE]],_reward_link_[CONTEST_CODE],0),MATCH($Z$2,_reward_link_[#Headers],0)),"-")</f>
        <v>BANK</v>
      </c>
      <c r="AA288" s="41" t="str">
        <f>IFERROR(INDEX(_report[],MATCH(_SCHEDULE_[[#This Row],[CONTEST_CODE]],_report[CONTEST_CODE],0),MATCH($AA$2,_report[#Headers],0)),"-")</f>
        <v>-</v>
      </c>
      <c r="AB288"/>
    </row>
    <row r="289" spans="1:28" hidden="1" x14ac:dyDescent="0.25">
      <c r="A289" s="14" t="s">
        <v>2579</v>
      </c>
      <c r="B289" s="14" t="s">
        <v>2533</v>
      </c>
      <c r="C289" s="14" t="s">
        <v>2508</v>
      </c>
      <c r="D289" s="14" t="s">
        <v>2534</v>
      </c>
      <c r="E289" s="14" t="s">
        <v>2554</v>
      </c>
      <c r="F289" s="14" t="s">
        <v>194</v>
      </c>
      <c r="G289" s="14" t="s">
        <v>194</v>
      </c>
      <c r="H289" s="14" t="s">
        <v>194</v>
      </c>
      <c r="I289" s="14" t="s">
        <v>194</v>
      </c>
      <c r="J289" s="14" t="s">
        <v>194</v>
      </c>
      <c r="K289" s="14" t="s">
        <v>155</v>
      </c>
      <c r="L289" s="14" t="s">
        <v>2256</v>
      </c>
      <c r="M289" s="14" t="s">
        <v>3605</v>
      </c>
      <c r="N289" s="14" t="s">
        <v>2</v>
      </c>
      <c r="O289" s="14" t="s">
        <v>2580</v>
      </c>
      <c r="P289" s="14" t="s">
        <v>1064</v>
      </c>
      <c r="R289" s="38">
        <f>IFERROR(COUNTIFS(_report[TOURNAMENT_CODE],_SCHEDULE_[[#This Row],[TOURNAMENT_CODE]],_report[CONTEST_CODE],_SCHEDULE_[[#This Row],[CONTEST_CODE]]),"-")</f>
        <v>0</v>
      </c>
      <c r="S289" s="41" t="str">
        <f>SUBSTITUTE(IFERROR(INDEX(_group_[],MATCH(CONCATENATE(_SCHEDULE_[[#This Row],[CONTEST_CODE]],"_",$S$2),_group_[ИД2],0),MATCH($S$1,_group_[#Headers],0)),"---"),".",",")</f>
        <v>BANK</v>
      </c>
      <c r="T289" s="41" t="str">
        <f>SUBSTITUTE(IFERROR(INDEX(_group_[],MATCH(CONCATENATE(_SCHEDULE_[[#This Row],[CONTEST_CODE]],"_",$T$2),_group_[ИД2],0),MATCH($T$1,_group_[#Headers],0)),"---"),".",",")</f>
        <v>---</v>
      </c>
      <c r="U289" s="41" t="str">
        <f>SUBSTITUTE(IFERROR(INDEX(_group_[],MATCH(CONCATENATE(_SCHEDULE_[[#This Row],[CONTEST_CODE]],"_",$U$2),_group_[ИД2],0),MATCH($U$1,_group_[#Headers],0)),"---"),".",",")</f>
        <v>---</v>
      </c>
      <c r="V289" s="41" t="str">
        <f>SUBSTITUTE(IFERROR(INDEX(_group_[],MATCH(CONCATENATE(_SCHEDULE_[[#This Row],[CONTEST_CODE]],"_",$V$2),_group_[ИД2],0),MATCH($V$1,_group_[#Headers],0)),"---"),".",",")</f>
        <v>---</v>
      </c>
      <c r="W289" s="41" t="str">
        <f>IFERROR(INDEX(_INDICATOR_[],MATCH(_SCHEDULE_[[#This Row],[CONTEST_CODE]],_INDICATOR_[CONTEST_CODE],0),MATCH($W$2,_INDICATOR_[#Headers],0)),"-")</f>
        <v>WAIT</v>
      </c>
      <c r="X289" s="41" t="str">
        <f>IFERROR(INDEX(_group_[],MATCH(_SCHEDULE_[[#This Row],[CONTEST_CODE]],_group_[CONTEST_CODE],0),MATCH($X$2,_group_[#Headers],0)),"-")</f>
        <v>BANK</v>
      </c>
      <c r="Y289" s="61" t="str">
        <f>IFERROR(INDEX(_DATA_[],MATCH(_SCHEDULE_[[#This Row],[CONTEST_CODE]],_DATA_[CONTEST_CODE],0),MATCH($Y$2,_DATA_[#Headers],0)),"-")</f>
        <v>Турнир по квадратным метрам</v>
      </c>
      <c r="Z289" s="41" t="str">
        <f>IFERROR(INDEX(_reward_link_[],MATCH(_SCHEDULE_[[#This Row],[CONTEST_CODE]],_reward_link_[CONTEST_CODE],0),MATCH($Z$2,_reward_link_[#Headers],0)),"-")</f>
        <v>BANK</v>
      </c>
      <c r="AA289" s="41" t="str">
        <f>IFERROR(INDEX(_report[],MATCH(_SCHEDULE_[[#This Row],[CONTEST_CODE]],_report[CONTEST_CODE],0),MATCH($AA$2,_report[#Headers],0)),"-")</f>
        <v>-</v>
      </c>
      <c r="AB289"/>
    </row>
    <row r="290" spans="1:28" hidden="1" x14ac:dyDescent="0.25">
      <c r="A290" s="14" t="s">
        <v>2581</v>
      </c>
      <c r="B290" s="14" t="s">
        <v>2533</v>
      </c>
      <c r="C290" s="14" t="s">
        <v>2508</v>
      </c>
      <c r="D290" s="14" t="s">
        <v>2534</v>
      </c>
      <c r="E290" s="14" t="s">
        <v>2554</v>
      </c>
      <c r="F290" s="14" t="s">
        <v>194</v>
      </c>
      <c r="G290" s="14" t="s">
        <v>194</v>
      </c>
      <c r="H290" s="14" t="s">
        <v>194</v>
      </c>
      <c r="I290" s="14" t="s">
        <v>194</v>
      </c>
      <c r="J290" s="14" t="s">
        <v>194</v>
      </c>
      <c r="K290" s="14" t="s">
        <v>155</v>
      </c>
      <c r="L290" s="14" t="s">
        <v>2258</v>
      </c>
      <c r="M290" s="14" t="s">
        <v>3605</v>
      </c>
      <c r="N290" s="14" t="s">
        <v>2</v>
      </c>
      <c r="O290" s="14" t="s">
        <v>2582</v>
      </c>
      <c r="P290" s="14" t="s">
        <v>1064</v>
      </c>
      <c r="R290" s="38">
        <f>IFERROR(COUNTIFS(_report[TOURNAMENT_CODE],_SCHEDULE_[[#This Row],[TOURNAMENT_CODE]],_report[CONTEST_CODE],_SCHEDULE_[[#This Row],[CONTEST_CODE]]),"-")</f>
        <v>0</v>
      </c>
      <c r="S290" s="41" t="str">
        <f>SUBSTITUTE(IFERROR(INDEX(_group_[],MATCH(CONCATENATE(_SCHEDULE_[[#This Row],[CONTEST_CODE]],"_",$S$2),_group_[ИД2],0),MATCH($S$1,_group_[#Headers],0)),"---"),".",",")</f>
        <v>BANK</v>
      </c>
      <c r="T290" s="41" t="str">
        <f>SUBSTITUTE(IFERROR(INDEX(_group_[],MATCH(CONCATENATE(_SCHEDULE_[[#This Row],[CONTEST_CODE]],"_",$T$2),_group_[ИД2],0),MATCH($T$1,_group_[#Headers],0)),"---"),".",",")</f>
        <v>---</v>
      </c>
      <c r="U290" s="41" t="str">
        <f>SUBSTITUTE(IFERROR(INDEX(_group_[],MATCH(CONCATENATE(_SCHEDULE_[[#This Row],[CONTEST_CODE]],"_",$U$2),_group_[ИД2],0),MATCH($U$1,_group_[#Headers],0)),"---"),".",",")</f>
        <v>---</v>
      </c>
      <c r="V290" s="41" t="str">
        <f>SUBSTITUTE(IFERROR(INDEX(_group_[],MATCH(CONCATENATE(_SCHEDULE_[[#This Row],[CONTEST_CODE]],"_",$V$2),_group_[ИД2],0),MATCH($V$1,_group_[#Headers],0)),"---"),".",",")</f>
        <v>---</v>
      </c>
      <c r="W290" s="41" t="str">
        <f>IFERROR(INDEX(_INDICATOR_[],MATCH(_SCHEDULE_[[#This Row],[CONTEST_CODE]],_INDICATOR_[CONTEST_CODE],0),MATCH($W$2,_INDICATOR_[#Headers],0)),"-")</f>
        <v>WAIT</v>
      </c>
      <c r="X290" s="41" t="str">
        <f>IFERROR(INDEX(_group_[],MATCH(_SCHEDULE_[[#This Row],[CONTEST_CODE]],_group_[CONTEST_CODE],0),MATCH($X$2,_group_[#Headers],0)),"-")</f>
        <v>BANK</v>
      </c>
      <c r="Y290" s="61" t="str">
        <f>IFERROR(INDEX(_DATA_[],MATCH(_SCHEDULE_[[#This Row],[CONTEST_CODE]],_DATA_[CONTEST_CODE],0),MATCH($Y$2,_DATA_[#Headers],0)),"-")</f>
        <v>Ралли брокера</v>
      </c>
      <c r="Z290" s="41" t="str">
        <f>IFERROR(INDEX(_reward_link_[],MATCH(_SCHEDULE_[[#This Row],[CONTEST_CODE]],_reward_link_[CONTEST_CODE],0),MATCH($Z$2,_reward_link_[#Headers],0)),"-")</f>
        <v>BANK</v>
      </c>
      <c r="AA290" s="41" t="str">
        <f>IFERROR(INDEX(_report[],MATCH(_SCHEDULE_[[#This Row],[CONTEST_CODE]],_report[CONTEST_CODE],0),MATCH($AA$2,_report[#Headers],0)),"-")</f>
        <v>-</v>
      </c>
      <c r="AB290"/>
    </row>
    <row r="291" spans="1:28" hidden="1" x14ac:dyDescent="0.25">
      <c r="A291" s="14" t="s">
        <v>2583</v>
      </c>
      <c r="B291" s="14" t="s">
        <v>2533</v>
      </c>
      <c r="C291" s="14" t="s">
        <v>2508</v>
      </c>
      <c r="D291" s="14" t="s">
        <v>2534</v>
      </c>
      <c r="E291" s="14" t="s">
        <v>2554</v>
      </c>
      <c r="F291" s="14" t="s">
        <v>194</v>
      </c>
      <c r="G291" s="14" t="s">
        <v>194</v>
      </c>
      <c r="H291" s="14" t="s">
        <v>194</v>
      </c>
      <c r="I291" s="14" t="s">
        <v>194</v>
      </c>
      <c r="J291" s="14" t="s">
        <v>194</v>
      </c>
      <c r="K291" s="14" t="s">
        <v>155</v>
      </c>
      <c r="L291" s="14" t="s">
        <v>2260</v>
      </c>
      <c r="M291" s="14" t="s">
        <v>3605</v>
      </c>
      <c r="N291" s="14" t="s">
        <v>2</v>
      </c>
      <c r="O291" s="14" t="s">
        <v>2584</v>
      </c>
      <c r="P291" s="14" t="s">
        <v>1064</v>
      </c>
      <c r="R291" s="38">
        <f>IFERROR(COUNTIFS(_report[TOURNAMENT_CODE],_SCHEDULE_[[#This Row],[TOURNAMENT_CODE]],_report[CONTEST_CODE],_SCHEDULE_[[#This Row],[CONTEST_CODE]]),"-")</f>
        <v>0</v>
      </c>
      <c r="S291" s="41" t="str">
        <f>SUBSTITUTE(IFERROR(INDEX(_group_[],MATCH(CONCATENATE(_SCHEDULE_[[#This Row],[CONTEST_CODE]],"_",$S$2),_group_[ИД2],0),MATCH($S$1,_group_[#Headers],0)),"---"),".",",")</f>
        <v>BANK</v>
      </c>
      <c r="T291" s="41" t="str">
        <f>SUBSTITUTE(IFERROR(INDEX(_group_[],MATCH(CONCATENATE(_SCHEDULE_[[#This Row],[CONTEST_CODE]],"_",$T$2),_group_[ИД2],0),MATCH($T$1,_group_[#Headers],0)),"---"),".",",")</f>
        <v>---</v>
      </c>
      <c r="U291" s="41" t="str">
        <f>SUBSTITUTE(IFERROR(INDEX(_group_[],MATCH(CONCATENATE(_SCHEDULE_[[#This Row],[CONTEST_CODE]],"_",$U$2),_group_[ИД2],0),MATCH($U$1,_group_[#Headers],0)),"---"),".",",")</f>
        <v>---</v>
      </c>
      <c r="V291" s="41" t="str">
        <f>SUBSTITUTE(IFERROR(INDEX(_group_[],MATCH(CONCATENATE(_SCHEDULE_[[#This Row],[CONTEST_CODE]],"_",$V$2),_group_[ИД2],0),MATCH($V$1,_group_[#Headers],0)),"---"),".",",")</f>
        <v>---</v>
      </c>
      <c r="W291" s="41" t="str">
        <f>IFERROR(INDEX(_INDICATOR_[],MATCH(_SCHEDULE_[[#This Row],[CONTEST_CODE]],_INDICATOR_[CONTEST_CODE],0),MATCH($W$2,_INDICATOR_[#Headers],0)),"-")</f>
        <v>WAIT</v>
      </c>
      <c r="X291" s="41" t="str">
        <f>IFERROR(INDEX(_group_[],MATCH(_SCHEDULE_[[#This Row],[CONTEST_CODE]],_group_[CONTEST_CODE],0),MATCH($X$2,_group_[#Headers],0)),"-")</f>
        <v>BANK</v>
      </c>
      <c r="Y291" s="61" t="str">
        <f>IFERROR(INDEX(_DATA_[],MATCH(_SCHEDULE_[[#This Row],[CONTEST_CODE]],_DATA_[CONTEST_CODE],0),MATCH($Y$2,_DATA_[#Headers],0)),"-")</f>
        <v>Страховой олимп</v>
      </c>
      <c r="Z291" s="41" t="str">
        <f>IFERROR(INDEX(_reward_link_[],MATCH(_SCHEDULE_[[#This Row],[CONTEST_CODE]],_reward_link_[CONTEST_CODE],0),MATCH($Z$2,_reward_link_[#Headers],0)),"-")</f>
        <v>BANK</v>
      </c>
      <c r="AA291" s="41" t="str">
        <f>IFERROR(INDEX(_report[],MATCH(_SCHEDULE_[[#This Row],[CONTEST_CODE]],_report[CONTEST_CODE],0),MATCH($AA$2,_report[#Headers],0)),"-")</f>
        <v>-</v>
      </c>
      <c r="AB291"/>
    </row>
    <row r="292" spans="1:28" hidden="1" x14ac:dyDescent="0.25">
      <c r="A292" s="14" t="s">
        <v>2585</v>
      </c>
      <c r="B292" s="14" t="s">
        <v>2533</v>
      </c>
      <c r="C292" s="14" t="s">
        <v>2508</v>
      </c>
      <c r="D292" s="14" t="s">
        <v>2534</v>
      </c>
      <c r="E292" s="14" t="s">
        <v>2554</v>
      </c>
      <c r="F292" s="14" t="s">
        <v>194</v>
      </c>
      <c r="G292" s="14" t="s">
        <v>194</v>
      </c>
      <c r="H292" s="14" t="s">
        <v>194</v>
      </c>
      <c r="I292" s="14" t="s">
        <v>194</v>
      </c>
      <c r="J292" s="14" t="s">
        <v>194</v>
      </c>
      <c r="K292" s="14" t="s">
        <v>155</v>
      </c>
      <c r="L292" s="14" t="s">
        <v>2262</v>
      </c>
      <c r="M292" s="14" t="s">
        <v>3597</v>
      </c>
      <c r="N292" s="14" t="s">
        <v>2</v>
      </c>
      <c r="O292" s="14" t="s">
        <v>2586</v>
      </c>
      <c r="P292" s="14" t="s">
        <v>1064</v>
      </c>
      <c r="R292" s="38">
        <f>IFERROR(COUNTIFS(_report[TOURNAMENT_CODE],_SCHEDULE_[[#This Row],[TOURNAMENT_CODE]],_report[CONTEST_CODE],_SCHEDULE_[[#This Row],[CONTEST_CODE]]),"-")</f>
        <v>0</v>
      </c>
      <c r="S292" s="41" t="str">
        <f>SUBSTITUTE(IFERROR(INDEX(_group_[],MATCH(CONCATENATE(_SCHEDULE_[[#This Row],[CONTEST_CODE]],"_",$S$2),_group_[ИД2],0),MATCH($S$1,_group_[#Headers],0)),"---"),".",",")</f>
        <v>BANK</v>
      </c>
      <c r="T292" s="41" t="str">
        <f>SUBSTITUTE(IFERROR(INDEX(_group_[],MATCH(CONCATENATE(_SCHEDULE_[[#This Row],[CONTEST_CODE]],"_",$T$2),_group_[ИД2],0),MATCH($T$1,_group_[#Headers],0)),"---"),".",",")</f>
        <v>---</v>
      </c>
      <c r="U292" s="41" t="str">
        <f>SUBSTITUTE(IFERROR(INDEX(_group_[],MATCH(CONCATENATE(_SCHEDULE_[[#This Row],[CONTEST_CODE]],"_",$U$2),_group_[ИД2],0),MATCH($U$1,_group_[#Headers],0)),"---"),".",",")</f>
        <v>---</v>
      </c>
      <c r="V292" s="41" t="str">
        <f>SUBSTITUTE(IFERROR(INDEX(_group_[],MATCH(CONCATENATE(_SCHEDULE_[[#This Row],[CONTEST_CODE]],"_",$V$2),_group_[ИД2],0),MATCH($V$1,_group_[#Headers],0)),"---"),".",",")</f>
        <v>---</v>
      </c>
      <c r="W292" s="41" t="str">
        <f>IFERROR(INDEX(_INDICATOR_[],MATCH(_SCHEDULE_[[#This Row],[CONTEST_CODE]],_INDICATOR_[CONTEST_CODE],0),MATCH($W$2,_INDICATOR_[#Headers],0)),"-")</f>
        <v>WAIT</v>
      </c>
      <c r="X292" s="41" t="str">
        <f>IFERROR(INDEX(_group_[],MATCH(_SCHEDULE_[[#This Row],[CONTEST_CODE]],_group_[CONTEST_CODE],0),MATCH($X$2,_group_[#Headers],0)),"-")</f>
        <v>BANK</v>
      </c>
      <c r="Y292" s="61" t="str">
        <f>IFERROR(INDEX(_DATA_[],MATCH(_SCHEDULE_[[#This Row],[CONTEST_CODE]],_DATA_[CONTEST_CODE],0),MATCH($Y$2,_DATA_[#Headers],0)),"-")</f>
        <v>Марафон УК Первая</v>
      </c>
      <c r="Z292" s="41" t="str">
        <f>IFERROR(INDEX(_reward_link_[],MATCH(_SCHEDULE_[[#This Row],[CONTEST_CODE]],_reward_link_[CONTEST_CODE],0),MATCH($Z$2,_reward_link_[#Headers],0)),"-")</f>
        <v>BANK</v>
      </c>
      <c r="AA292" s="41" t="str">
        <f>IFERROR(INDEX(_report[],MATCH(_SCHEDULE_[[#This Row],[CONTEST_CODE]],_report[CONTEST_CODE],0),MATCH($AA$2,_report[#Headers],0)),"-")</f>
        <v>-</v>
      </c>
      <c r="AB292"/>
    </row>
    <row r="293" spans="1:28" hidden="1" x14ac:dyDescent="0.25">
      <c r="A293" s="14" t="s">
        <v>2587</v>
      </c>
      <c r="B293" s="14" t="s">
        <v>2533</v>
      </c>
      <c r="C293" s="14" t="s">
        <v>2508</v>
      </c>
      <c r="D293" s="14" t="s">
        <v>2534</v>
      </c>
      <c r="E293" s="14" t="s">
        <v>2554</v>
      </c>
      <c r="F293" s="14" t="s">
        <v>194</v>
      </c>
      <c r="G293" s="14" t="s">
        <v>194</v>
      </c>
      <c r="H293" s="14" t="s">
        <v>194</v>
      </c>
      <c r="I293" s="14" t="s">
        <v>194</v>
      </c>
      <c r="J293" s="14" t="s">
        <v>194</v>
      </c>
      <c r="K293" s="14" t="s">
        <v>155</v>
      </c>
      <c r="L293" s="14" t="s">
        <v>2264</v>
      </c>
      <c r="M293" s="14" t="s">
        <v>3597</v>
      </c>
      <c r="N293" s="14" t="s">
        <v>2</v>
      </c>
      <c r="O293" s="14" t="s">
        <v>2588</v>
      </c>
      <c r="P293" s="14" t="s">
        <v>1064</v>
      </c>
      <c r="R293" s="38">
        <f>IFERROR(COUNTIFS(_report[TOURNAMENT_CODE],_SCHEDULE_[[#This Row],[TOURNAMENT_CODE]],_report[CONTEST_CODE],_SCHEDULE_[[#This Row],[CONTEST_CODE]]),"-")</f>
        <v>0</v>
      </c>
      <c r="S293" s="41" t="str">
        <f>SUBSTITUTE(IFERROR(INDEX(_group_[],MATCH(CONCATENATE(_SCHEDULE_[[#This Row],[CONTEST_CODE]],"_",$S$2),_group_[ИД2],0),MATCH($S$1,_group_[#Headers],0)),"---"),".",",")</f>
        <v>BANK</v>
      </c>
      <c r="T293" s="41" t="str">
        <f>SUBSTITUTE(IFERROR(INDEX(_group_[],MATCH(CONCATENATE(_SCHEDULE_[[#This Row],[CONTEST_CODE]],"_",$T$2),_group_[ИД2],0),MATCH($T$1,_group_[#Headers],0)),"---"),".",",")</f>
        <v>---</v>
      </c>
      <c r="U293" s="41" t="str">
        <f>SUBSTITUTE(IFERROR(INDEX(_group_[],MATCH(CONCATENATE(_SCHEDULE_[[#This Row],[CONTEST_CODE]],"_",$U$2),_group_[ИД2],0),MATCH($U$1,_group_[#Headers],0)),"---"),".",",")</f>
        <v>---</v>
      </c>
      <c r="V293" s="41" t="str">
        <f>SUBSTITUTE(IFERROR(INDEX(_group_[],MATCH(CONCATENATE(_SCHEDULE_[[#This Row],[CONTEST_CODE]],"_",$V$2),_group_[ИД2],0),MATCH($V$1,_group_[#Headers],0)),"---"),".",",")</f>
        <v>---</v>
      </c>
      <c r="W293" s="41" t="str">
        <f>IFERROR(INDEX(_INDICATOR_[],MATCH(_SCHEDULE_[[#This Row],[CONTEST_CODE]],_INDICATOR_[CONTEST_CODE],0),MATCH($W$2,_INDICATOR_[#Headers],0)),"-")</f>
        <v>WAIT</v>
      </c>
      <c r="X293" s="41" t="str">
        <f>IFERROR(INDEX(_group_[],MATCH(_SCHEDULE_[[#This Row],[CONTEST_CODE]],_group_[CONTEST_CODE],0),MATCH($X$2,_group_[#Headers],0)),"-")</f>
        <v>BANK</v>
      </c>
      <c r="Y293" s="61" t="str">
        <f>IFERROR(INDEX(_DATA_[],MATCH(_SCHEDULE_[[#This Row],[CONTEST_CODE]],_DATA_[CONTEST_CODE],0),MATCH($Y$2,_DATA_[#Headers],0)),"-")</f>
        <v>Турнир по квадратным метрам</v>
      </c>
      <c r="Z293" s="41" t="str">
        <f>IFERROR(INDEX(_reward_link_[],MATCH(_SCHEDULE_[[#This Row],[CONTEST_CODE]],_reward_link_[CONTEST_CODE],0),MATCH($Z$2,_reward_link_[#Headers],0)),"-")</f>
        <v>BANK</v>
      </c>
      <c r="AA293" s="41" t="str">
        <f>IFERROR(INDEX(_report[],MATCH(_SCHEDULE_[[#This Row],[CONTEST_CODE]],_report[CONTEST_CODE],0),MATCH($AA$2,_report[#Headers],0)),"-")</f>
        <v>-</v>
      </c>
      <c r="AB293"/>
    </row>
    <row r="294" spans="1:28" hidden="1" x14ac:dyDescent="0.25">
      <c r="A294" s="14" t="s">
        <v>2591</v>
      </c>
      <c r="B294" s="14" t="s">
        <v>2533</v>
      </c>
      <c r="C294" s="14" t="s">
        <v>2508</v>
      </c>
      <c r="D294" s="14" t="s">
        <v>2534</v>
      </c>
      <c r="E294" s="14" t="s">
        <v>2554</v>
      </c>
      <c r="F294" s="14" t="s">
        <v>194</v>
      </c>
      <c r="G294" s="14" t="s">
        <v>194</v>
      </c>
      <c r="H294" s="14" t="s">
        <v>194</v>
      </c>
      <c r="I294" s="14" t="s">
        <v>194</v>
      </c>
      <c r="J294" s="14" t="s">
        <v>194</v>
      </c>
      <c r="K294" s="14" t="s">
        <v>155</v>
      </c>
      <c r="L294" s="14" t="s">
        <v>2268</v>
      </c>
      <c r="M294" s="14" t="s">
        <v>3597</v>
      </c>
      <c r="N294" s="14" t="s">
        <v>2</v>
      </c>
      <c r="O294" s="14" t="s">
        <v>2592</v>
      </c>
      <c r="P294" s="14" t="s">
        <v>1064</v>
      </c>
      <c r="R294" s="38">
        <f>IFERROR(COUNTIFS(_report[TOURNAMENT_CODE],_SCHEDULE_[[#This Row],[TOURNAMENT_CODE]],_report[CONTEST_CODE],_SCHEDULE_[[#This Row],[CONTEST_CODE]]),"-")</f>
        <v>0</v>
      </c>
      <c r="S294" s="41" t="str">
        <f>SUBSTITUTE(IFERROR(INDEX(_group_[],MATCH(CONCATENATE(_SCHEDULE_[[#This Row],[CONTEST_CODE]],"_",$S$2),_group_[ИД2],0),MATCH($S$1,_group_[#Headers],0)),"---"),".",",")</f>
        <v>BANK</v>
      </c>
      <c r="T294" s="41" t="str">
        <f>SUBSTITUTE(IFERROR(INDEX(_group_[],MATCH(CONCATENATE(_SCHEDULE_[[#This Row],[CONTEST_CODE]],"_",$T$2),_group_[ИД2],0),MATCH($T$1,_group_[#Headers],0)),"---"),".",",")</f>
        <v>---</v>
      </c>
      <c r="U294" s="41" t="str">
        <f>SUBSTITUTE(IFERROR(INDEX(_group_[],MATCH(CONCATENATE(_SCHEDULE_[[#This Row],[CONTEST_CODE]],"_",$U$2),_group_[ИД2],0),MATCH($U$1,_group_[#Headers],0)),"---"),".",",")</f>
        <v>---</v>
      </c>
      <c r="V294" s="41" t="str">
        <f>SUBSTITUTE(IFERROR(INDEX(_group_[],MATCH(CONCATENATE(_SCHEDULE_[[#This Row],[CONTEST_CODE]],"_",$V$2),_group_[ИД2],0),MATCH($V$1,_group_[#Headers],0)),"---"),".",",")</f>
        <v>---</v>
      </c>
      <c r="W294" s="41" t="str">
        <f>IFERROR(INDEX(_INDICATOR_[],MATCH(_SCHEDULE_[[#This Row],[CONTEST_CODE]],_INDICATOR_[CONTEST_CODE],0),MATCH($W$2,_INDICATOR_[#Headers],0)),"-")</f>
        <v>WAIT</v>
      </c>
      <c r="X294" s="41" t="str">
        <f>IFERROR(INDEX(_group_[],MATCH(_SCHEDULE_[[#This Row],[CONTEST_CODE]],_group_[CONTEST_CODE],0),MATCH($X$2,_group_[#Headers],0)),"-")</f>
        <v>BANK</v>
      </c>
      <c r="Y294" s="61" t="str">
        <f>IFERROR(INDEX(_DATA_[],MATCH(_SCHEDULE_[[#This Row],[CONTEST_CODE]],_DATA_[CONTEST_CODE],0),MATCH($Y$2,_DATA_[#Headers],0)),"-")</f>
        <v>Страховой олимп</v>
      </c>
      <c r="Z294" s="41" t="str">
        <f>IFERROR(INDEX(_reward_link_[],MATCH(_SCHEDULE_[[#This Row],[CONTEST_CODE]],_reward_link_[CONTEST_CODE],0),MATCH($Z$2,_reward_link_[#Headers],0)),"-")</f>
        <v>BANK</v>
      </c>
      <c r="AA294" s="41" t="str">
        <f>IFERROR(INDEX(_report[],MATCH(_SCHEDULE_[[#This Row],[CONTEST_CODE]],_report[CONTEST_CODE],0),MATCH($AA$2,_report[#Headers],0)),"-")</f>
        <v>-</v>
      </c>
      <c r="AB294"/>
    </row>
    <row r="295" spans="1:28" hidden="1" x14ac:dyDescent="0.25">
      <c r="A295" s="14" t="s">
        <v>2593</v>
      </c>
      <c r="B295" s="14" t="s">
        <v>2533</v>
      </c>
      <c r="C295" s="14" t="s">
        <v>2508</v>
      </c>
      <c r="D295" s="14" t="s">
        <v>2534</v>
      </c>
      <c r="E295" s="14" t="s">
        <v>2554</v>
      </c>
      <c r="F295" s="14" t="s">
        <v>194</v>
      </c>
      <c r="G295" s="14" t="s">
        <v>194</v>
      </c>
      <c r="H295" s="14" t="s">
        <v>194</v>
      </c>
      <c r="I295" s="14" t="s">
        <v>194</v>
      </c>
      <c r="J295" s="14" t="s">
        <v>194</v>
      </c>
      <c r="K295" s="14" t="s">
        <v>155</v>
      </c>
      <c r="L295" s="14" t="s">
        <v>2270</v>
      </c>
      <c r="M295" s="14" t="s">
        <v>3606</v>
      </c>
      <c r="N295" s="14" t="s">
        <v>2</v>
      </c>
      <c r="O295" s="14" t="s">
        <v>2594</v>
      </c>
      <c r="P295" s="14" t="s">
        <v>1064</v>
      </c>
      <c r="R295" s="38">
        <f>IFERROR(COUNTIFS(_report[TOURNAMENT_CODE],_SCHEDULE_[[#This Row],[TOURNAMENT_CODE]],_report[CONTEST_CODE],_SCHEDULE_[[#This Row],[CONTEST_CODE]]),"-")</f>
        <v>0</v>
      </c>
      <c r="S295" s="41" t="str">
        <f>SUBSTITUTE(IFERROR(INDEX(_group_[],MATCH(CONCATENATE(_SCHEDULE_[[#This Row],[CONTEST_CODE]],"_",$S$2),_group_[ИД2],0),MATCH($S$1,_group_[#Headers],0)),"---"),".",",")</f>
        <v>BANK</v>
      </c>
      <c r="T295" s="41" t="str">
        <f>SUBSTITUTE(IFERROR(INDEX(_group_[],MATCH(CONCATENATE(_SCHEDULE_[[#This Row],[CONTEST_CODE]],"_",$T$2),_group_[ИД2],0),MATCH($T$1,_group_[#Headers],0)),"---"),".",",")</f>
        <v>---</v>
      </c>
      <c r="U295" s="41" t="str">
        <f>SUBSTITUTE(IFERROR(INDEX(_group_[],MATCH(CONCATENATE(_SCHEDULE_[[#This Row],[CONTEST_CODE]],"_",$U$2),_group_[ИД2],0),MATCH($U$1,_group_[#Headers],0)),"---"),".",",")</f>
        <v>---</v>
      </c>
      <c r="V295" s="41" t="str">
        <f>SUBSTITUTE(IFERROR(INDEX(_group_[],MATCH(CONCATENATE(_SCHEDULE_[[#This Row],[CONTEST_CODE]],"_",$V$2),_group_[ИД2],0),MATCH($V$1,_group_[#Headers],0)),"---"),".",",")</f>
        <v>---</v>
      </c>
      <c r="W295" s="41" t="str">
        <f>IFERROR(INDEX(_INDICATOR_[],MATCH(_SCHEDULE_[[#This Row],[CONTEST_CODE]],_INDICATOR_[CONTEST_CODE],0),MATCH($W$2,_INDICATOR_[#Headers],0)),"-")</f>
        <v>WAIT</v>
      </c>
      <c r="X295" s="41" t="str">
        <f>IFERROR(INDEX(_group_[],MATCH(_SCHEDULE_[[#This Row],[CONTEST_CODE]],_group_[CONTEST_CODE],0),MATCH($X$2,_group_[#Headers],0)),"-")</f>
        <v>BANK</v>
      </c>
      <c r="Y295" s="61" t="str">
        <f>IFERROR(INDEX(_DATA_[],MATCH(_SCHEDULE_[[#This Row],[CONTEST_CODE]],_DATA_[CONTEST_CODE],0),MATCH($Y$2,_DATA_[#Headers],0)),"-")</f>
        <v>Марафон УК Первая</v>
      </c>
      <c r="Z295" s="41" t="str">
        <f>IFERROR(INDEX(_reward_link_[],MATCH(_SCHEDULE_[[#This Row],[CONTEST_CODE]],_reward_link_[CONTEST_CODE],0),MATCH($Z$2,_reward_link_[#Headers],0)),"-")</f>
        <v>BANK</v>
      </c>
      <c r="AA295" s="41" t="str">
        <f>IFERROR(INDEX(_report[],MATCH(_SCHEDULE_[[#This Row],[CONTEST_CODE]],_report[CONTEST_CODE],0),MATCH($AA$2,_report[#Headers],0)),"-")</f>
        <v>-</v>
      </c>
      <c r="AB295"/>
    </row>
    <row r="296" spans="1:28" hidden="1" x14ac:dyDescent="0.25">
      <c r="A296" s="14" t="s">
        <v>2595</v>
      </c>
      <c r="B296" s="14" t="s">
        <v>2533</v>
      </c>
      <c r="C296" s="14" t="s">
        <v>2508</v>
      </c>
      <c r="D296" s="14" t="s">
        <v>2534</v>
      </c>
      <c r="E296" s="14" t="s">
        <v>2554</v>
      </c>
      <c r="F296" s="14" t="s">
        <v>194</v>
      </c>
      <c r="G296" s="14" t="s">
        <v>194</v>
      </c>
      <c r="H296" s="14" t="s">
        <v>194</v>
      </c>
      <c r="I296" s="14" t="s">
        <v>194</v>
      </c>
      <c r="J296" s="14" t="s">
        <v>194</v>
      </c>
      <c r="K296" s="14" t="s">
        <v>155</v>
      </c>
      <c r="L296" s="14" t="s">
        <v>2272</v>
      </c>
      <c r="M296" s="14" t="s">
        <v>3606</v>
      </c>
      <c r="N296" s="14" t="s">
        <v>2</v>
      </c>
      <c r="O296" s="14" t="s">
        <v>2596</v>
      </c>
      <c r="P296" s="14" t="s">
        <v>1064</v>
      </c>
      <c r="R296" s="38">
        <f>IFERROR(COUNTIFS(_report[TOURNAMENT_CODE],_SCHEDULE_[[#This Row],[TOURNAMENT_CODE]],_report[CONTEST_CODE],_SCHEDULE_[[#This Row],[CONTEST_CODE]]),"-")</f>
        <v>0</v>
      </c>
      <c r="S296" s="41" t="str">
        <f>SUBSTITUTE(IFERROR(INDEX(_group_[],MATCH(CONCATENATE(_SCHEDULE_[[#This Row],[CONTEST_CODE]],"_",$S$2),_group_[ИД2],0),MATCH($S$1,_group_[#Headers],0)),"---"),".",",")</f>
        <v>BANK</v>
      </c>
      <c r="T296" s="41" t="str">
        <f>SUBSTITUTE(IFERROR(INDEX(_group_[],MATCH(CONCATENATE(_SCHEDULE_[[#This Row],[CONTEST_CODE]],"_",$T$2),_group_[ИД2],0),MATCH($T$1,_group_[#Headers],0)),"---"),".",",")</f>
        <v>---</v>
      </c>
      <c r="U296" s="41" t="str">
        <f>SUBSTITUTE(IFERROR(INDEX(_group_[],MATCH(CONCATENATE(_SCHEDULE_[[#This Row],[CONTEST_CODE]],"_",$U$2),_group_[ИД2],0),MATCH($U$1,_group_[#Headers],0)),"---"),".",",")</f>
        <v>---</v>
      </c>
      <c r="V296" s="41" t="str">
        <f>SUBSTITUTE(IFERROR(INDEX(_group_[],MATCH(CONCATENATE(_SCHEDULE_[[#This Row],[CONTEST_CODE]],"_",$V$2),_group_[ИД2],0),MATCH($V$1,_group_[#Headers],0)),"---"),".",",")</f>
        <v>---</v>
      </c>
      <c r="W296" s="41" t="str">
        <f>IFERROR(INDEX(_INDICATOR_[],MATCH(_SCHEDULE_[[#This Row],[CONTEST_CODE]],_INDICATOR_[CONTEST_CODE],0),MATCH($W$2,_INDICATOR_[#Headers],0)),"-")</f>
        <v>WAIT</v>
      </c>
      <c r="X296" s="41" t="str">
        <f>IFERROR(INDEX(_group_[],MATCH(_SCHEDULE_[[#This Row],[CONTEST_CODE]],_group_[CONTEST_CODE],0),MATCH($X$2,_group_[#Headers],0)),"-")</f>
        <v>BANK</v>
      </c>
      <c r="Y296" s="61" t="str">
        <f>IFERROR(INDEX(_DATA_[],MATCH(_SCHEDULE_[[#This Row],[CONTEST_CODE]],_DATA_[CONTEST_CODE],0),MATCH($Y$2,_DATA_[#Headers],0)),"-")</f>
        <v>Турнир по квадратным метрам</v>
      </c>
      <c r="Z296" s="41" t="str">
        <f>IFERROR(INDEX(_reward_link_[],MATCH(_SCHEDULE_[[#This Row],[CONTEST_CODE]],_reward_link_[CONTEST_CODE],0),MATCH($Z$2,_reward_link_[#Headers],0)),"-")</f>
        <v>BANK</v>
      </c>
      <c r="AA296" s="41" t="str">
        <f>IFERROR(INDEX(_report[],MATCH(_SCHEDULE_[[#This Row],[CONTEST_CODE]],_report[CONTEST_CODE],0),MATCH($AA$2,_report[#Headers],0)),"-")</f>
        <v>-</v>
      </c>
      <c r="AB296"/>
    </row>
    <row r="297" spans="1:28" hidden="1" x14ac:dyDescent="0.25">
      <c r="A297" s="14" t="s">
        <v>2597</v>
      </c>
      <c r="B297" s="14" t="s">
        <v>2533</v>
      </c>
      <c r="C297" s="14" t="s">
        <v>2508</v>
      </c>
      <c r="D297" s="14" t="s">
        <v>2534</v>
      </c>
      <c r="E297" s="14" t="s">
        <v>2554</v>
      </c>
      <c r="F297" s="14" t="s">
        <v>194</v>
      </c>
      <c r="G297" s="14" t="s">
        <v>194</v>
      </c>
      <c r="H297" s="14" t="s">
        <v>194</v>
      </c>
      <c r="I297" s="14" t="s">
        <v>194</v>
      </c>
      <c r="J297" s="14" t="s">
        <v>194</v>
      </c>
      <c r="K297" s="14" t="s">
        <v>155</v>
      </c>
      <c r="L297" s="14" t="s">
        <v>2274</v>
      </c>
      <c r="M297" s="14" t="s">
        <v>3606</v>
      </c>
      <c r="N297" s="14" t="s">
        <v>2</v>
      </c>
      <c r="O297" s="14" t="s">
        <v>2598</v>
      </c>
      <c r="P297" s="14" t="s">
        <v>1064</v>
      </c>
      <c r="R297" s="38">
        <f>IFERROR(COUNTIFS(_report[TOURNAMENT_CODE],_SCHEDULE_[[#This Row],[TOURNAMENT_CODE]],_report[CONTEST_CODE],_SCHEDULE_[[#This Row],[CONTEST_CODE]]),"-")</f>
        <v>0</v>
      </c>
      <c r="S297" s="41" t="str">
        <f>SUBSTITUTE(IFERROR(INDEX(_group_[],MATCH(CONCATENATE(_SCHEDULE_[[#This Row],[CONTEST_CODE]],"_",$S$2),_group_[ИД2],0),MATCH($S$1,_group_[#Headers],0)),"---"),".",",")</f>
        <v>BANK</v>
      </c>
      <c r="T297" s="41" t="str">
        <f>SUBSTITUTE(IFERROR(INDEX(_group_[],MATCH(CONCATENATE(_SCHEDULE_[[#This Row],[CONTEST_CODE]],"_",$T$2),_group_[ИД2],0),MATCH($T$1,_group_[#Headers],0)),"---"),".",",")</f>
        <v>---</v>
      </c>
      <c r="U297" s="41" t="str">
        <f>SUBSTITUTE(IFERROR(INDEX(_group_[],MATCH(CONCATENATE(_SCHEDULE_[[#This Row],[CONTEST_CODE]],"_",$U$2),_group_[ИД2],0),MATCH($U$1,_group_[#Headers],0)),"---"),".",",")</f>
        <v>---</v>
      </c>
      <c r="V297" s="41" t="str">
        <f>SUBSTITUTE(IFERROR(INDEX(_group_[],MATCH(CONCATENATE(_SCHEDULE_[[#This Row],[CONTEST_CODE]],"_",$V$2),_group_[ИД2],0),MATCH($V$1,_group_[#Headers],0)),"---"),".",",")</f>
        <v>---</v>
      </c>
      <c r="W297" s="41" t="str">
        <f>IFERROR(INDEX(_INDICATOR_[],MATCH(_SCHEDULE_[[#This Row],[CONTEST_CODE]],_INDICATOR_[CONTEST_CODE],0),MATCH($W$2,_INDICATOR_[#Headers],0)),"-")</f>
        <v>WAIT</v>
      </c>
      <c r="X297" s="41" t="str">
        <f>IFERROR(INDEX(_group_[],MATCH(_SCHEDULE_[[#This Row],[CONTEST_CODE]],_group_[CONTEST_CODE],0),MATCH($X$2,_group_[#Headers],0)),"-")</f>
        <v>BANK</v>
      </c>
      <c r="Y297" s="61" t="str">
        <f>IFERROR(INDEX(_DATA_[],MATCH(_SCHEDULE_[[#This Row],[CONTEST_CODE]],_DATA_[CONTEST_CODE],0),MATCH($Y$2,_DATA_[#Headers],0)),"-")</f>
        <v>Ралли брокера</v>
      </c>
      <c r="Z297" s="41" t="str">
        <f>IFERROR(INDEX(_reward_link_[],MATCH(_SCHEDULE_[[#This Row],[CONTEST_CODE]],_reward_link_[CONTEST_CODE],0),MATCH($Z$2,_reward_link_[#Headers],0)),"-")</f>
        <v>BANK</v>
      </c>
      <c r="AA297" s="41" t="str">
        <f>IFERROR(INDEX(_report[],MATCH(_SCHEDULE_[[#This Row],[CONTEST_CODE]],_report[CONTEST_CODE],0),MATCH($AA$2,_report[#Headers],0)),"-")</f>
        <v>-</v>
      </c>
      <c r="AB297"/>
    </row>
    <row r="298" spans="1:28" hidden="1" x14ac:dyDescent="0.25">
      <c r="A298" s="14" t="s">
        <v>2599</v>
      </c>
      <c r="B298" s="14" t="s">
        <v>2533</v>
      </c>
      <c r="C298" s="14" t="s">
        <v>2508</v>
      </c>
      <c r="D298" s="14" t="s">
        <v>2534</v>
      </c>
      <c r="E298" s="14" t="s">
        <v>2554</v>
      </c>
      <c r="F298" s="14" t="s">
        <v>194</v>
      </c>
      <c r="G298" s="14" t="s">
        <v>194</v>
      </c>
      <c r="H298" s="14" t="s">
        <v>194</v>
      </c>
      <c r="I298" s="14" t="s">
        <v>194</v>
      </c>
      <c r="J298" s="14" t="s">
        <v>194</v>
      </c>
      <c r="K298" s="14" t="s">
        <v>155</v>
      </c>
      <c r="L298" s="14" t="s">
        <v>2276</v>
      </c>
      <c r="M298" s="14" t="s">
        <v>3606</v>
      </c>
      <c r="N298" s="14" t="s">
        <v>2</v>
      </c>
      <c r="O298" s="14" t="s">
        <v>2600</v>
      </c>
      <c r="P298" s="14" t="s">
        <v>1064</v>
      </c>
      <c r="R298" s="38">
        <f>IFERROR(COUNTIFS(_report[TOURNAMENT_CODE],_SCHEDULE_[[#This Row],[TOURNAMENT_CODE]],_report[CONTEST_CODE],_SCHEDULE_[[#This Row],[CONTEST_CODE]]),"-")</f>
        <v>0</v>
      </c>
      <c r="S298" s="41" t="str">
        <f>SUBSTITUTE(IFERROR(INDEX(_group_[],MATCH(CONCATENATE(_SCHEDULE_[[#This Row],[CONTEST_CODE]],"_",$S$2),_group_[ИД2],0),MATCH($S$1,_group_[#Headers],0)),"---"),".",",")</f>
        <v>BANK</v>
      </c>
      <c r="T298" s="41" t="str">
        <f>SUBSTITUTE(IFERROR(INDEX(_group_[],MATCH(CONCATENATE(_SCHEDULE_[[#This Row],[CONTEST_CODE]],"_",$T$2),_group_[ИД2],0),MATCH($T$1,_group_[#Headers],0)),"---"),".",",")</f>
        <v>---</v>
      </c>
      <c r="U298" s="41" t="str">
        <f>SUBSTITUTE(IFERROR(INDEX(_group_[],MATCH(CONCATENATE(_SCHEDULE_[[#This Row],[CONTEST_CODE]],"_",$U$2),_group_[ИД2],0),MATCH($U$1,_group_[#Headers],0)),"---"),".",",")</f>
        <v>---</v>
      </c>
      <c r="V298" s="41" t="str">
        <f>SUBSTITUTE(IFERROR(INDEX(_group_[],MATCH(CONCATENATE(_SCHEDULE_[[#This Row],[CONTEST_CODE]],"_",$V$2),_group_[ИД2],0),MATCH($V$1,_group_[#Headers],0)),"---"),".",",")</f>
        <v>---</v>
      </c>
      <c r="W298" s="41" t="str">
        <f>IFERROR(INDEX(_INDICATOR_[],MATCH(_SCHEDULE_[[#This Row],[CONTEST_CODE]],_INDICATOR_[CONTEST_CODE],0),MATCH($W$2,_INDICATOR_[#Headers],0)),"-")</f>
        <v>WAIT</v>
      </c>
      <c r="X298" s="41" t="str">
        <f>IFERROR(INDEX(_group_[],MATCH(_SCHEDULE_[[#This Row],[CONTEST_CODE]],_group_[CONTEST_CODE],0),MATCH($X$2,_group_[#Headers],0)),"-")</f>
        <v>BANK</v>
      </c>
      <c r="Y298" s="61" t="str">
        <f>IFERROR(INDEX(_DATA_[],MATCH(_SCHEDULE_[[#This Row],[CONTEST_CODE]],_DATA_[CONTEST_CODE],0),MATCH($Y$2,_DATA_[#Headers],0)),"-")</f>
        <v>Страховой олимп</v>
      </c>
      <c r="Z298" s="41" t="str">
        <f>IFERROR(INDEX(_reward_link_[],MATCH(_SCHEDULE_[[#This Row],[CONTEST_CODE]],_reward_link_[CONTEST_CODE],0),MATCH($Z$2,_reward_link_[#Headers],0)),"-")</f>
        <v>BANK</v>
      </c>
      <c r="AA298" s="41" t="str">
        <f>IFERROR(INDEX(_report[],MATCH(_SCHEDULE_[[#This Row],[CONTEST_CODE]],_report[CONTEST_CODE],0),MATCH($AA$2,_report[#Headers],0)),"-")</f>
        <v>-</v>
      </c>
      <c r="AB298"/>
    </row>
    <row r="299" spans="1:28" x14ac:dyDescent="0.25">
      <c r="A299" s="14" t="s">
        <v>2926</v>
      </c>
      <c r="B299" s="14" t="s">
        <v>662</v>
      </c>
      <c r="C299" s="14" t="s">
        <v>2508</v>
      </c>
      <c r="D299" s="14" t="s">
        <v>2509</v>
      </c>
      <c r="E299" s="14" t="s">
        <v>2510</v>
      </c>
      <c r="F299" s="14" t="s">
        <v>194</v>
      </c>
      <c r="G299" s="14" t="s">
        <v>194</v>
      </c>
      <c r="H299" s="14" t="s">
        <v>194</v>
      </c>
      <c r="I299" s="14" t="s">
        <v>194</v>
      </c>
      <c r="J299" s="14" t="s">
        <v>194</v>
      </c>
      <c r="K299" s="14" t="s">
        <v>34</v>
      </c>
      <c r="L299" s="14" t="s">
        <v>2908</v>
      </c>
      <c r="M299" s="14" t="s">
        <v>3596</v>
      </c>
      <c r="N299" s="14" t="s">
        <v>2</v>
      </c>
      <c r="O299" s="14" t="s">
        <v>2927</v>
      </c>
      <c r="P299" s="14" t="s">
        <v>1064</v>
      </c>
      <c r="R299" s="38">
        <f>IFERROR(COUNTIFS(_report[TOURNAMENT_CODE],_SCHEDULE_[[#This Row],[TOURNAMENT_CODE]],_report[CONTEST_CODE],_SCHEDULE_[[#This Row],[CONTEST_CODE]]),"-")</f>
        <v>0</v>
      </c>
      <c r="S299" s="41" t="str">
        <f>SUBSTITUTE(IFERROR(INDEX(_group_[],MATCH(CONCATENATE(_SCHEDULE_[[#This Row],[CONTEST_CODE]],"_",$S$2),_group_[ИД2],0),MATCH($S$1,_group_[#Headers],0)),"---"),".",",")</f>
        <v>BANK</v>
      </c>
      <c r="T299" s="41" t="str">
        <f>SUBSTITUTE(IFERROR(INDEX(_group_[],MATCH(CONCATENATE(_SCHEDULE_[[#This Row],[CONTEST_CODE]],"_",$T$2),_group_[ИД2],0),MATCH($T$1,_group_[#Headers],0)),"---"),".",",")</f>
        <v>---</v>
      </c>
      <c r="U299" s="41" t="str">
        <f>SUBSTITUTE(IFERROR(INDEX(_group_[],MATCH(CONCATENATE(_SCHEDULE_[[#This Row],[CONTEST_CODE]],"_",$U$2),_group_[ИД2],0),MATCH($U$1,_group_[#Headers],0)),"---"),".",",")</f>
        <v>---</v>
      </c>
      <c r="V299" s="41" t="str">
        <f>SUBSTITUTE(IFERROR(INDEX(_group_[],MATCH(CONCATENATE(_SCHEDULE_[[#This Row],[CONTEST_CODE]],"_",$V$2),_group_[ИД2],0),MATCH($V$1,_group_[#Headers],0)),"---"),".",",")</f>
        <v>---</v>
      </c>
      <c r="W299" s="41" t="str">
        <f>IFERROR(INDEX(_INDICATOR_[],MATCH(_SCHEDULE_[[#This Row],[CONTEST_CODE]],_INDICATOR_[CONTEST_CODE],0),MATCH($W$2,_INDICATOR_[#Headers],0)),"-")</f>
        <v>WAIT</v>
      </c>
      <c r="X299" s="41" t="str">
        <f>IFERROR(INDEX(_group_[],MATCH(_SCHEDULE_[[#This Row],[CONTEST_CODE]],_group_[CONTEST_CODE],0),MATCH($X$2,_group_[#Headers],0)),"-")</f>
        <v>BANK</v>
      </c>
      <c r="Y299" s="61" t="str">
        <f>IFERROR(INDEX(_DATA_[],MATCH(_SCHEDULE_[[#This Row],[CONTEST_CODE]],_DATA_[CONTEST_CODE],0),MATCH($Y$2,_DATA_[#Headers],0)),"-")</f>
        <v>1 клиент на пакет услуг</v>
      </c>
      <c r="Z299" s="41" t="str">
        <f>IFERROR(INDEX(_reward_link_[],MATCH(_SCHEDULE_[[#This Row],[CONTEST_CODE]],_reward_link_[CONTEST_CODE],0),MATCH($Z$2,_reward_link_[#Headers],0)),"-")</f>
        <v>BANK</v>
      </c>
      <c r="AA299" s="41" t="str">
        <f>IFERROR(INDEX(_report[],MATCH(_SCHEDULE_[[#This Row],[CONTEST_CODE]],_report[CONTEST_CODE],0),MATCH($AA$2,_report[#Headers],0)),"-")</f>
        <v>-</v>
      </c>
      <c r="AB299"/>
    </row>
    <row r="300" spans="1:28" x14ac:dyDescent="0.25">
      <c r="A300" s="14" t="s">
        <v>2928</v>
      </c>
      <c r="B300" s="14" t="s">
        <v>662</v>
      </c>
      <c r="C300" s="14" t="s">
        <v>2508</v>
      </c>
      <c r="D300" s="14" t="s">
        <v>2509</v>
      </c>
      <c r="E300" s="14" t="s">
        <v>2510</v>
      </c>
      <c r="F300" s="14" t="s">
        <v>194</v>
      </c>
      <c r="G300" s="14" t="s">
        <v>194</v>
      </c>
      <c r="H300" s="14" t="s">
        <v>194</v>
      </c>
      <c r="I300" s="14" t="s">
        <v>194</v>
      </c>
      <c r="J300" s="14" t="s">
        <v>194</v>
      </c>
      <c r="K300" s="14" t="s">
        <v>34</v>
      </c>
      <c r="L300" s="14" t="s">
        <v>2910</v>
      </c>
      <c r="M300" s="14" t="s">
        <v>3596</v>
      </c>
      <c r="N300" s="14" t="s">
        <v>2</v>
      </c>
      <c r="O300" s="14" t="s">
        <v>2929</v>
      </c>
      <c r="P300" s="14" t="s">
        <v>1064</v>
      </c>
      <c r="R300" s="38">
        <f>IFERROR(COUNTIFS(_report[TOURNAMENT_CODE],_SCHEDULE_[[#This Row],[TOURNAMENT_CODE]],_report[CONTEST_CODE],_SCHEDULE_[[#This Row],[CONTEST_CODE]]),"-")</f>
        <v>0</v>
      </c>
      <c r="S300" s="41" t="str">
        <f>SUBSTITUTE(IFERROR(INDEX(_group_[],MATCH(CONCATENATE(_SCHEDULE_[[#This Row],[CONTEST_CODE]],"_",$S$2),_group_[ИД2],0),MATCH($S$1,_group_[#Headers],0)),"---"),".",",")</f>
        <v>BANK</v>
      </c>
      <c r="T300" s="41" t="str">
        <f>SUBSTITUTE(IFERROR(INDEX(_group_[],MATCH(CONCATENATE(_SCHEDULE_[[#This Row],[CONTEST_CODE]],"_",$T$2),_group_[ИД2],0),MATCH($T$1,_group_[#Headers],0)),"---"),".",",")</f>
        <v>---</v>
      </c>
      <c r="U300" s="41" t="str">
        <f>SUBSTITUTE(IFERROR(INDEX(_group_[],MATCH(CONCATENATE(_SCHEDULE_[[#This Row],[CONTEST_CODE]],"_",$U$2),_group_[ИД2],0),MATCH($U$1,_group_[#Headers],0)),"---"),".",",")</f>
        <v>---</v>
      </c>
      <c r="V300" s="41" t="str">
        <f>SUBSTITUTE(IFERROR(INDEX(_group_[],MATCH(CONCATENATE(_SCHEDULE_[[#This Row],[CONTEST_CODE]],"_",$V$2),_group_[ИД2],0),MATCH($V$1,_group_[#Headers],0)),"---"),".",",")</f>
        <v>---</v>
      </c>
      <c r="W300" s="41" t="str">
        <f>IFERROR(INDEX(_INDICATOR_[],MATCH(_SCHEDULE_[[#This Row],[CONTEST_CODE]],_INDICATOR_[CONTEST_CODE],0),MATCH($W$2,_INDICATOR_[#Headers],0)),"-")</f>
        <v>WAIT</v>
      </c>
      <c r="X300" s="41" t="str">
        <f>IFERROR(INDEX(_group_[],MATCH(_SCHEDULE_[[#This Row],[CONTEST_CODE]],_group_[CONTEST_CODE],0),MATCH($X$2,_group_[#Headers],0)),"-")</f>
        <v>BANK</v>
      </c>
      <c r="Y300" s="61" t="str">
        <f>IFERROR(INDEX(_DATA_[],MATCH(_SCHEDULE_[[#This Row],[CONTEST_CODE]],_DATA_[CONTEST_CODE],0),MATCH($Y$2,_DATA_[#Headers],0)),"-")</f>
        <v>3 клиента на пакет услуг</v>
      </c>
      <c r="Z300" s="41" t="str">
        <f>IFERROR(INDEX(_reward_link_[],MATCH(_SCHEDULE_[[#This Row],[CONTEST_CODE]],_reward_link_[CONTEST_CODE],0),MATCH($Z$2,_reward_link_[#Headers],0)),"-")</f>
        <v>BANK</v>
      </c>
      <c r="AA300" s="41" t="str">
        <f>IFERROR(INDEX(_report[],MATCH(_SCHEDULE_[[#This Row],[CONTEST_CODE]],_report[CONTEST_CODE],0),MATCH($AA$2,_report[#Headers],0)),"-")</f>
        <v>-</v>
      </c>
      <c r="AB300"/>
    </row>
    <row r="301" spans="1:28" x14ac:dyDescent="0.25">
      <c r="A301" s="14" t="s">
        <v>2930</v>
      </c>
      <c r="B301" s="14" t="s">
        <v>662</v>
      </c>
      <c r="C301" s="14" t="s">
        <v>2508</v>
      </c>
      <c r="D301" s="14" t="s">
        <v>2509</v>
      </c>
      <c r="E301" s="14" t="s">
        <v>2510</v>
      </c>
      <c r="F301" s="14" t="s">
        <v>194</v>
      </c>
      <c r="G301" s="14" t="s">
        <v>194</v>
      </c>
      <c r="H301" s="14" t="s">
        <v>194</v>
      </c>
      <c r="I301" s="14" t="s">
        <v>194</v>
      </c>
      <c r="J301" s="14" t="s">
        <v>194</v>
      </c>
      <c r="K301" s="14" t="s">
        <v>34</v>
      </c>
      <c r="L301" s="14" t="s">
        <v>2912</v>
      </c>
      <c r="M301" s="14" t="s">
        <v>3596</v>
      </c>
      <c r="N301" s="14" t="s">
        <v>2</v>
      </c>
      <c r="O301" s="14" t="s">
        <v>2931</v>
      </c>
      <c r="P301" s="14" t="s">
        <v>1064</v>
      </c>
      <c r="R301" s="38">
        <f>IFERROR(COUNTIFS(_report[TOURNAMENT_CODE],_SCHEDULE_[[#This Row],[TOURNAMENT_CODE]],_report[CONTEST_CODE],_SCHEDULE_[[#This Row],[CONTEST_CODE]]),"-")</f>
        <v>0</v>
      </c>
      <c r="S301" s="41" t="str">
        <f>SUBSTITUTE(IFERROR(INDEX(_group_[],MATCH(CONCATENATE(_SCHEDULE_[[#This Row],[CONTEST_CODE]],"_",$S$2),_group_[ИД2],0),MATCH($S$1,_group_[#Headers],0)),"---"),".",",")</f>
        <v>BANK</v>
      </c>
      <c r="T301" s="41" t="str">
        <f>SUBSTITUTE(IFERROR(INDEX(_group_[],MATCH(CONCATENATE(_SCHEDULE_[[#This Row],[CONTEST_CODE]],"_",$T$2),_group_[ИД2],0),MATCH($T$1,_group_[#Headers],0)),"---"),".",",")</f>
        <v>---</v>
      </c>
      <c r="U301" s="41" t="str">
        <f>SUBSTITUTE(IFERROR(INDEX(_group_[],MATCH(CONCATENATE(_SCHEDULE_[[#This Row],[CONTEST_CODE]],"_",$U$2),_group_[ИД2],0),MATCH($U$1,_group_[#Headers],0)),"---"),".",",")</f>
        <v>---</v>
      </c>
      <c r="V301" s="41" t="str">
        <f>SUBSTITUTE(IFERROR(INDEX(_group_[],MATCH(CONCATENATE(_SCHEDULE_[[#This Row],[CONTEST_CODE]],"_",$V$2),_group_[ИД2],0),MATCH($V$1,_group_[#Headers],0)),"---"),".",",")</f>
        <v>---</v>
      </c>
      <c r="W301" s="41" t="str">
        <f>IFERROR(INDEX(_INDICATOR_[],MATCH(_SCHEDULE_[[#This Row],[CONTEST_CODE]],_INDICATOR_[CONTEST_CODE],0),MATCH($W$2,_INDICATOR_[#Headers],0)),"-")</f>
        <v>WAIT</v>
      </c>
      <c r="X301" s="41" t="str">
        <f>IFERROR(INDEX(_group_[],MATCH(_SCHEDULE_[[#This Row],[CONTEST_CODE]],_group_[CONTEST_CODE],0),MATCH($X$2,_group_[#Headers],0)),"-")</f>
        <v>BANK</v>
      </c>
      <c r="Y301" s="61" t="str">
        <f>IFERROR(INDEX(_DATA_[],MATCH(_SCHEDULE_[[#This Row],[CONTEST_CODE]],_DATA_[CONTEST_CODE],0),MATCH($Y$2,_DATA_[#Headers],0)),"-")</f>
        <v>5 клиентов на пакет услуг</v>
      </c>
      <c r="Z301" s="41" t="str">
        <f>IFERROR(INDEX(_reward_link_[],MATCH(_SCHEDULE_[[#This Row],[CONTEST_CODE]],_reward_link_[CONTEST_CODE],0),MATCH($Z$2,_reward_link_[#Headers],0)),"-")</f>
        <v>BANK</v>
      </c>
      <c r="AA301" s="41" t="str">
        <f>IFERROR(INDEX(_report[],MATCH(_SCHEDULE_[[#This Row],[CONTEST_CODE]],_report[CONTEST_CODE],0),MATCH($AA$2,_report[#Headers],0)),"-")</f>
        <v>-</v>
      </c>
      <c r="AB301"/>
    </row>
    <row r="302" spans="1:28" x14ac:dyDescent="0.25">
      <c r="A302" s="14" t="s">
        <v>2932</v>
      </c>
      <c r="B302" s="14" t="s">
        <v>662</v>
      </c>
      <c r="C302" s="14" t="s">
        <v>2508</v>
      </c>
      <c r="D302" s="14" t="s">
        <v>2509</v>
      </c>
      <c r="E302" s="14" t="s">
        <v>2510</v>
      </c>
      <c r="F302" s="14" t="s">
        <v>194</v>
      </c>
      <c r="G302" s="14" t="s">
        <v>194</v>
      </c>
      <c r="H302" s="14" t="s">
        <v>194</v>
      </c>
      <c r="I302" s="14" t="s">
        <v>194</v>
      </c>
      <c r="J302" s="14" t="s">
        <v>194</v>
      </c>
      <c r="K302" s="14" t="s">
        <v>34</v>
      </c>
      <c r="L302" s="14" t="s">
        <v>2914</v>
      </c>
      <c r="M302" s="14" t="s">
        <v>3596</v>
      </c>
      <c r="N302" s="14" t="s">
        <v>2</v>
      </c>
      <c r="O302" s="14" t="s">
        <v>2933</v>
      </c>
      <c r="P302" s="14" t="s">
        <v>1064</v>
      </c>
      <c r="R302" s="38">
        <f>IFERROR(COUNTIFS(_report[TOURNAMENT_CODE],_SCHEDULE_[[#This Row],[TOURNAMENT_CODE]],_report[CONTEST_CODE],_SCHEDULE_[[#This Row],[CONTEST_CODE]]),"-")</f>
        <v>0</v>
      </c>
      <c r="S302" s="41" t="str">
        <f>SUBSTITUTE(IFERROR(INDEX(_group_[],MATCH(CONCATENATE(_SCHEDULE_[[#This Row],[CONTEST_CODE]],"_",$S$2),_group_[ИД2],0),MATCH($S$1,_group_[#Headers],0)),"---"),".",",")</f>
        <v>BANK</v>
      </c>
      <c r="T302" s="41" t="str">
        <f>SUBSTITUTE(IFERROR(INDEX(_group_[],MATCH(CONCATENATE(_SCHEDULE_[[#This Row],[CONTEST_CODE]],"_",$T$2),_group_[ИД2],0),MATCH($T$1,_group_[#Headers],0)),"---"),".",",")</f>
        <v>---</v>
      </c>
      <c r="U302" s="41" t="str">
        <f>SUBSTITUTE(IFERROR(INDEX(_group_[],MATCH(CONCATENATE(_SCHEDULE_[[#This Row],[CONTEST_CODE]],"_",$U$2),_group_[ИД2],0),MATCH($U$1,_group_[#Headers],0)),"---"),".",",")</f>
        <v>---</v>
      </c>
      <c r="V302" s="41" t="str">
        <f>SUBSTITUTE(IFERROR(INDEX(_group_[],MATCH(CONCATENATE(_SCHEDULE_[[#This Row],[CONTEST_CODE]],"_",$V$2),_group_[ИД2],0),MATCH($V$1,_group_[#Headers],0)),"---"),".",",")</f>
        <v>---</v>
      </c>
      <c r="W302" s="41" t="str">
        <f>IFERROR(INDEX(_INDICATOR_[],MATCH(_SCHEDULE_[[#This Row],[CONTEST_CODE]],_INDICATOR_[CONTEST_CODE],0),MATCH($W$2,_INDICATOR_[#Headers],0)),"-")</f>
        <v>WAIT</v>
      </c>
      <c r="X302" s="41" t="str">
        <f>IFERROR(INDEX(_group_[],MATCH(_SCHEDULE_[[#This Row],[CONTEST_CODE]],_group_[CONTEST_CODE],0),MATCH($X$2,_group_[#Headers],0)),"-")</f>
        <v>BANK</v>
      </c>
      <c r="Y302" s="61" t="str">
        <f>IFERROR(INDEX(_DATA_[],MATCH(_SCHEDULE_[[#This Row],[CONTEST_CODE]],_DATA_[CONTEST_CODE],0),MATCH($Y$2,_DATA_[#Headers],0)),"-")</f>
        <v>10 клиентов на пакет услуг</v>
      </c>
      <c r="Z302" s="41" t="str">
        <f>IFERROR(INDEX(_reward_link_[],MATCH(_SCHEDULE_[[#This Row],[CONTEST_CODE]],_reward_link_[CONTEST_CODE],0),MATCH($Z$2,_reward_link_[#Headers],0)),"-")</f>
        <v>BANK</v>
      </c>
      <c r="AA302" s="41" t="str">
        <f>IFERROR(INDEX(_report[],MATCH(_SCHEDULE_[[#This Row],[CONTEST_CODE]],_report[CONTEST_CODE],0),MATCH($AA$2,_report[#Headers],0)),"-")</f>
        <v>-</v>
      </c>
      <c r="AB302"/>
    </row>
    <row r="303" spans="1:28" x14ac:dyDescent="0.25">
      <c r="A303" s="14" t="s">
        <v>2934</v>
      </c>
      <c r="B303" s="14" t="s">
        <v>662</v>
      </c>
      <c r="C303" s="14" t="s">
        <v>2508</v>
      </c>
      <c r="D303" s="14" t="s">
        <v>2509</v>
      </c>
      <c r="E303" s="14" t="s">
        <v>2510</v>
      </c>
      <c r="F303" s="14" t="s">
        <v>194</v>
      </c>
      <c r="G303" s="14" t="s">
        <v>194</v>
      </c>
      <c r="H303" s="14" t="s">
        <v>194</v>
      </c>
      <c r="I303" s="14" t="s">
        <v>194</v>
      </c>
      <c r="J303" s="14" t="s">
        <v>194</v>
      </c>
      <c r="K303" s="14" t="s">
        <v>34</v>
      </c>
      <c r="L303" s="14" t="s">
        <v>2916</v>
      </c>
      <c r="M303" s="14" t="s">
        <v>3603</v>
      </c>
      <c r="N303" s="14" t="s">
        <v>2</v>
      </c>
      <c r="O303" s="14" t="s">
        <v>2935</v>
      </c>
      <c r="P303" s="14" t="s">
        <v>1064</v>
      </c>
      <c r="R303" s="38">
        <f>IFERROR(COUNTIFS(_report[TOURNAMENT_CODE],_SCHEDULE_[[#This Row],[TOURNAMENT_CODE]],_report[CONTEST_CODE],_SCHEDULE_[[#This Row],[CONTEST_CODE]]),"-")</f>
        <v>0</v>
      </c>
      <c r="S303" s="41" t="str">
        <f>SUBSTITUTE(IFERROR(INDEX(_group_[],MATCH(CONCATENATE(_SCHEDULE_[[#This Row],[CONTEST_CODE]],"_",$S$2),_group_[ИД2],0),MATCH($S$1,_group_[#Headers],0)),"---"),".",",")</f>
        <v>BANK</v>
      </c>
      <c r="T303" s="41" t="str">
        <f>SUBSTITUTE(IFERROR(INDEX(_group_[],MATCH(CONCATENATE(_SCHEDULE_[[#This Row],[CONTEST_CODE]],"_",$T$2),_group_[ИД2],0),MATCH($T$1,_group_[#Headers],0)),"---"),".",",")</f>
        <v>---</v>
      </c>
      <c r="U303" s="41" t="str">
        <f>SUBSTITUTE(IFERROR(INDEX(_group_[],MATCH(CONCATENATE(_SCHEDULE_[[#This Row],[CONTEST_CODE]],"_",$U$2),_group_[ИД2],0),MATCH($U$1,_group_[#Headers],0)),"---"),".",",")</f>
        <v>---</v>
      </c>
      <c r="V303" s="41" t="str">
        <f>SUBSTITUTE(IFERROR(INDEX(_group_[],MATCH(CONCATENATE(_SCHEDULE_[[#This Row],[CONTEST_CODE]],"_",$V$2),_group_[ИД2],0),MATCH($V$1,_group_[#Headers],0)),"---"),".",",")</f>
        <v>---</v>
      </c>
      <c r="W303" s="41" t="str">
        <f>IFERROR(INDEX(_INDICATOR_[],MATCH(_SCHEDULE_[[#This Row],[CONTEST_CODE]],_INDICATOR_[CONTEST_CODE],0),MATCH($W$2,_INDICATOR_[#Headers],0)),"-")</f>
        <v>WAIT</v>
      </c>
      <c r="X303" s="41" t="str">
        <f>IFERROR(INDEX(_group_[],MATCH(_SCHEDULE_[[#This Row],[CONTEST_CODE]],_group_[CONTEST_CODE],0),MATCH($X$2,_group_[#Headers],0)),"-")</f>
        <v>BANK</v>
      </c>
      <c r="Y303" s="61" t="str">
        <f>IFERROR(INDEX(_DATA_[],MATCH(_SCHEDULE_[[#This Row],[CONTEST_CODE]],_DATA_[CONTEST_CODE],0),MATCH($Y$2,_DATA_[#Headers],0)),"-")</f>
        <v>1 клиент на пакет услуг</v>
      </c>
      <c r="Z303" s="41" t="str">
        <f>IFERROR(INDEX(_reward_link_[],MATCH(_SCHEDULE_[[#This Row],[CONTEST_CODE]],_reward_link_[CONTEST_CODE],0),MATCH($Z$2,_reward_link_[#Headers],0)),"-")</f>
        <v>BANK</v>
      </c>
      <c r="AA303" s="41" t="str">
        <f>IFERROR(INDEX(_report[],MATCH(_SCHEDULE_[[#This Row],[CONTEST_CODE]],_report[CONTEST_CODE],0),MATCH($AA$2,_report[#Headers],0)),"-")</f>
        <v>-</v>
      </c>
      <c r="AB303"/>
    </row>
    <row r="304" spans="1:28" x14ac:dyDescent="0.25">
      <c r="A304" s="14" t="s">
        <v>2936</v>
      </c>
      <c r="B304" s="14" t="s">
        <v>662</v>
      </c>
      <c r="C304" s="14" t="s">
        <v>2508</v>
      </c>
      <c r="D304" s="14" t="s">
        <v>2509</v>
      </c>
      <c r="E304" s="14" t="s">
        <v>2510</v>
      </c>
      <c r="F304" s="14" t="s">
        <v>194</v>
      </c>
      <c r="G304" s="14" t="s">
        <v>194</v>
      </c>
      <c r="H304" s="14" t="s">
        <v>194</v>
      </c>
      <c r="I304" s="14" t="s">
        <v>194</v>
      </c>
      <c r="J304" s="14" t="s">
        <v>194</v>
      </c>
      <c r="K304" s="14" t="s">
        <v>34</v>
      </c>
      <c r="L304" s="14" t="s">
        <v>2918</v>
      </c>
      <c r="M304" s="14" t="s">
        <v>3603</v>
      </c>
      <c r="N304" s="14" t="s">
        <v>2</v>
      </c>
      <c r="O304" s="14" t="s">
        <v>2937</v>
      </c>
      <c r="P304" s="14" t="s">
        <v>1064</v>
      </c>
      <c r="R304" s="38">
        <f>IFERROR(COUNTIFS(_report[TOURNAMENT_CODE],_SCHEDULE_[[#This Row],[TOURNAMENT_CODE]],_report[CONTEST_CODE],_SCHEDULE_[[#This Row],[CONTEST_CODE]]),"-")</f>
        <v>0</v>
      </c>
      <c r="S304" s="41" t="str">
        <f>SUBSTITUTE(IFERROR(INDEX(_group_[],MATCH(CONCATENATE(_SCHEDULE_[[#This Row],[CONTEST_CODE]],"_",$S$2),_group_[ИД2],0),MATCH($S$1,_group_[#Headers],0)),"---"),".",",")</f>
        <v>BANK</v>
      </c>
      <c r="T304" s="41" t="str">
        <f>SUBSTITUTE(IFERROR(INDEX(_group_[],MATCH(CONCATENATE(_SCHEDULE_[[#This Row],[CONTEST_CODE]],"_",$T$2),_group_[ИД2],0),MATCH($T$1,_group_[#Headers],0)),"---"),".",",")</f>
        <v>---</v>
      </c>
      <c r="U304" s="41" t="str">
        <f>SUBSTITUTE(IFERROR(INDEX(_group_[],MATCH(CONCATENATE(_SCHEDULE_[[#This Row],[CONTEST_CODE]],"_",$U$2),_group_[ИД2],0),MATCH($U$1,_group_[#Headers],0)),"---"),".",",")</f>
        <v>---</v>
      </c>
      <c r="V304" s="41" t="str">
        <f>SUBSTITUTE(IFERROR(INDEX(_group_[],MATCH(CONCATENATE(_SCHEDULE_[[#This Row],[CONTEST_CODE]],"_",$V$2),_group_[ИД2],0),MATCH($V$1,_group_[#Headers],0)),"---"),".",",")</f>
        <v>---</v>
      </c>
      <c r="W304" s="41" t="str">
        <f>IFERROR(INDEX(_INDICATOR_[],MATCH(_SCHEDULE_[[#This Row],[CONTEST_CODE]],_INDICATOR_[CONTEST_CODE],0),MATCH($W$2,_INDICATOR_[#Headers],0)),"-")</f>
        <v>WAIT</v>
      </c>
      <c r="X304" s="41" t="str">
        <f>IFERROR(INDEX(_group_[],MATCH(_SCHEDULE_[[#This Row],[CONTEST_CODE]],_group_[CONTEST_CODE],0),MATCH($X$2,_group_[#Headers],0)),"-")</f>
        <v>BANK</v>
      </c>
      <c r="Y304" s="61" t="str">
        <f>IFERROR(INDEX(_DATA_[],MATCH(_SCHEDULE_[[#This Row],[CONTEST_CODE]],_DATA_[CONTEST_CODE],0),MATCH($Y$2,_DATA_[#Headers],0)),"-")</f>
        <v>3 клиента на пакет услуг</v>
      </c>
      <c r="Z304" s="41" t="str">
        <f>IFERROR(INDEX(_reward_link_[],MATCH(_SCHEDULE_[[#This Row],[CONTEST_CODE]],_reward_link_[CONTEST_CODE],0),MATCH($Z$2,_reward_link_[#Headers],0)),"-")</f>
        <v>BANK</v>
      </c>
      <c r="AA304" s="41" t="str">
        <f>IFERROR(INDEX(_report[],MATCH(_SCHEDULE_[[#This Row],[CONTEST_CODE]],_report[CONTEST_CODE],0),MATCH($AA$2,_report[#Headers],0)),"-")</f>
        <v>-</v>
      </c>
      <c r="AB304"/>
    </row>
    <row r="305" spans="1:28" x14ac:dyDescent="0.25">
      <c r="A305" s="14" t="s">
        <v>2938</v>
      </c>
      <c r="B305" s="14" t="s">
        <v>662</v>
      </c>
      <c r="C305" s="14" t="s">
        <v>2508</v>
      </c>
      <c r="D305" s="14" t="s">
        <v>2509</v>
      </c>
      <c r="E305" s="14" t="s">
        <v>2510</v>
      </c>
      <c r="F305" s="14" t="s">
        <v>194</v>
      </c>
      <c r="G305" s="14" t="s">
        <v>194</v>
      </c>
      <c r="H305" s="14" t="s">
        <v>194</v>
      </c>
      <c r="I305" s="14" t="s">
        <v>194</v>
      </c>
      <c r="J305" s="14" t="s">
        <v>194</v>
      </c>
      <c r="K305" s="14" t="s">
        <v>34</v>
      </c>
      <c r="L305" s="14" t="s">
        <v>2920</v>
      </c>
      <c r="M305" s="14" t="s">
        <v>3603</v>
      </c>
      <c r="N305" s="14" t="s">
        <v>2</v>
      </c>
      <c r="O305" s="14" t="s">
        <v>2939</v>
      </c>
      <c r="P305" s="14" t="s">
        <v>1064</v>
      </c>
      <c r="R305" s="38">
        <f>IFERROR(COUNTIFS(_report[TOURNAMENT_CODE],_SCHEDULE_[[#This Row],[TOURNAMENT_CODE]],_report[CONTEST_CODE],_SCHEDULE_[[#This Row],[CONTEST_CODE]]),"-")</f>
        <v>0</v>
      </c>
      <c r="S305" s="41" t="str">
        <f>SUBSTITUTE(IFERROR(INDEX(_group_[],MATCH(CONCATENATE(_SCHEDULE_[[#This Row],[CONTEST_CODE]],"_",$S$2),_group_[ИД2],0),MATCH($S$1,_group_[#Headers],0)),"---"),".",",")</f>
        <v>BANK</v>
      </c>
      <c r="T305" s="41" t="str">
        <f>SUBSTITUTE(IFERROR(INDEX(_group_[],MATCH(CONCATENATE(_SCHEDULE_[[#This Row],[CONTEST_CODE]],"_",$T$2),_group_[ИД2],0),MATCH($T$1,_group_[#Headers],0)),"---"),".",",")</f>
        <v>---</v>
      </c>
      <c r="U305" s="41" t="str">
        <f>SUBSTITUTE(IFERROR(INDEX(_group_[],MATCH(CONCATENATE(_SCHEDULE_[[#This Row],[CONTEST_CODE]],"_",$U$2),_group_[ИД2],0),MATCH($U$1,_group_[#Headers],0)),"---"),".",",")</f>
        <v>---</v>
      </c>
      <c r="V305" s="41" t="str">
        <f>SUBSTITUTE(IFERROR(INDEX(_group_[],MATCH(CONCATENATE(_SCHEDULE_[[#This Row],[CONTEST_CODE]],"_",$V$2),_group_[ИД2],0),MATCH($V$1,_group_[#Headers],0)),"---"),".",",")</f>
        <v>---</v>
      </c>
      <c r="W305" s="41" t="str">
        <f>IFERROR(INDEX(_INDICATOR_[],MATCH(_SCHEDULE_[[#This Row],[CONTEST_CODE]],_INDICATOR_[CONTEST_CODE],0),MATCH($W$2,_INDICATOR_[#Headers],0)),"-")</f>
        <v>WAIT</v>
      </c>
      <c r="X305" s="41" t="str">
        <f>IFERROR(INDEX(_group_[],MATCH(_SCHEDULE_[[#This Row],[CONTEST_CODE]],_group_[CONTEST_CODE],0),MATCH($X$2,_group_[#Headers],0)),"-")</f>
        <v>BANK</v>
      </c>
      <c r="Y305" s="61" t="str">
        <f>IFERROR(INDEX(_DATA_[],MATCH(_SCHEDULE_[[#This Row],[CONTEST_CODE]],_DATA_[CONTEST_CODE],0),MATCH($Y$2,_DATA_[#Headers],0)),"-")</f>
        <v>5 клиентов на пакет услуг</v>
      </c>
      <c r="Z305" s="41" t="str">
        <f>IFERROR(INDEX(_reward_link_[],MATCH(_SCHEDULE_[[#This Row],[CONTEST_CODE]],_reward_link_[CONTEST_CODE],0),MATCH($Z$2,_reward_link_[#Headers],0)),"-")</f>
        <v>BANK</v>
      </c>
      <c r="AA305" s="41" t="str">
        <f>IFERROR(INDEX(_report[],MATCH(_SCHEDULE_[[#This Row],[CONTEST_CODE]],_report[CONTEST_CODE],0),MATCH($AA$2,_report[#Headers],0)),"-")</f>
        <v>-</v>
      </c>
      <c r="AB305"/>
    </row>
    <row r="306" spans="1:28" x14ac:dyDescent="0.25">
      <c r="A306" s="14" t="s">
        <v>2940</v>
      </c>
      <c r="B306" s="14" t="s">
        <v>662</v>
      </c>
      <c r="C306" s="14" t="s">
        <v>2508</v>
      </c>
      <c r="D306" s="14" t="s">
        <v>2509</v>
      </c>
      <c r="E306" s="14" t="s">
        <v>2510</v>
      </c>
      <c r="F306" s="14" t="s">
        <v>194</v>
      </c>
      <c r="G306" s="14" t="s">
        <v>194</v>
      </c>
      <c r="H306" s="14" t="s">
        <v>194</v>
      </c>
      <c r="I306" s="14" t="s">
        <v>194</v>
      </c>
      <c r="J306" s="14" t="s">
        <v>194</v>
      </c>
      <c r="K306" s="14" t="s">
        <v>34</v>
      </c>
      <c r="L306" s="14" t="s">
        <v>2922</v>
      </c>
      <c r="M306" s="14" t="s">
        <v>3603</v>
      </c>
      <c r="N306" s="14" t="s">
        <v>2</v>
      </c>
      <c r="O306" s="14" t="s">
        <v>2941</v>
      </c>
      <c r="P306" s="14" t="s">
        <v>1064</v>
      </c>
      <c r="R306" s="38">
        <f>IFERROR(COUNTIFS(_report[TOURNAMENT_CODE],_SCHEDULE_[[#This Row],[TOURNAMENT_CODE]],_report[CONTEST_CODE],_SCHEDULE_[[#This Row],[CONTEST_CODE]]),"-")</f>
        <v>0</v>
      </c>
      <c r="S306" s="41" t="str">
        <f>SUBSTITUTE(IFERROR(INDEX(_group_[],MATCH(CONCATENATE(_SCHEDULE_[[#This Row],[CONTEST_CODE]],"_",$S$2),_group_[ИД2],0),MATCH($S$1,_group_[#Headers],0)),"---"),".",",")</f>
        <v>BANK</v>
      </c>
      <c r="T306" s="41" t="str">
        <f>SUBSTITUTE(IFERROR(INDEX(_group_[],MATCH(CONCATENATE(_SCHEDULE_[[#This Row],[CONTEST_CODE]],"_",$T$2),_group_[ИД2],0),MATCH($T$1,_group_[#Headers],0)),"---"),".",",")</f>
        <v>---</v>
      </c>
      <c r="U306" s="41" t="str">
        <f>SUBSTITUTE(IFERROR(INDEX(_group_[],MATCH(CONCATENATE(_SCHEDULE_[[#This Row],[CONTEST_CODE]],"_",$U$2),_group_[ИД2],0),MATCH($U$1,_group_[#Headers],0)),"---"),".",",")</f>
        <v>---</v>
      </c>
      <c r="V306" s="41" t="str">
        <f>SUBSTITUTE(IFERROR(INDEX(_group_[],MATCH(CONCATENATE(_SCHEDULE_[[#This Row],[CONTEST_CODE]],"_",$V$2),_group_[ИД2],0),MATCH($V$1,_group_[#Headers],0)),"---"),".",",")</f>
        <v>---</v>
      </c>
      <c r="W306" s="41" t="str">
        <f>IFERROR(INDEX(_INDICATOR_[],MATCH(_SCHEDULE_[[#This Row],[CONTEST_CODE]],_INDICATOR_[CONTEST_CODE],0),MATCH($W$2,_INDICATOR_[#Headers],0)),"-")</f>
        <v>WAIT</v>
      </c>
      <c r="X306" s="41" t="str">
        <f>IFERROR(INDEX(_group_[],MATCH(_SCHEDULE_[[#This Row],[CONTEST_CODE]],_group_[CONTEST_CODE],0),MATCH($X$2,_group_[#Headers],0)),"-")</f>
        <v>BANK</v>
      </c>
      <c r="Y306" s="61" t="str">
        <f>IFERROR(INDEX(_DATA_[],MATCH(_SCHEDULE_[[#This Row],[CONTEST_CODE]],_DATA_[CONTEST_CODE],0),MATCH($Y$2,_DATA_[#Headers],0)),"-")</f>
        <v>10 клиентов на пакет услуг</v>
      </c>
      <c r="Z306" s="41" t="str">
        <f>IFERROR(INDEX(_reward_link_[],MATCH(_SCHEDULE_[[#This Row],[CONTEST_CODE]],_reward_link_[CONTEST_CODE],0),MATCH($Z$2,_reward_link_[#Headers],0)),"-")</f>
        <v>BANK</v>
      </c>
      <c r="AA306" s="41" t="str">
        <f>IFERROR(INDEX(_report[],MATCH(_SCHEDULE_[[#This Row],[CONTEST_CODE]],_report[CONTEST_CODE],0),MATCH($AA$2,_report[#Headers],0)),"-")</f>
        <v>-</v>
      </c>
      <c r="AB306"/>
    </row>
    <row r="307" spans="1:28" hidden="1" x14ac:dyDescent="0.25">
      <c r="A307" s="14" t="s">
        <v>2961</v>
      </c>
      <c r="B307" s="14" t="s">
        <v>2533</v>
      </c>
      <c r="C307" s="14" t="s">
        <v>2508</v>
      </c>
      <c r="D307" s="14" t="s">
        <v>2534</v>
      </c>
      <c r="E307" s="14" t="s">
        <v>4025</v>
      </c>
      <c r="F307" s="14" t="s">
        <v>194</v>
      </c>
      <c r="G307" s="14" t="s">
        <v>194</v>
      </c>
      <c r="H307" s="14" t="s">
        <v>194</v>
      </c>
      <c r="I307" s="14" t="s">
        <v>194</v>
      </c>
      <c r="J307" s="14" t="s">
        <v>194</v>
      </c>
      <c r="K307" s="14" t="s">
        <v>176</v>
      </c>
      <c r="L307" s="14" t="s">
        <v>2902</v>
      </c>
      <c r="M307" s="14" t="s">
        <v>3603</v>
      </c>
      <c r="N307" s="14" t="s">
        <v>2</v>
      </c>
      <c r="O307" s="14" t="s">
        <v>2962</v>
      </c>
      <c r="P307" s="14" t="s">
        <v>1064</v>
      </c>
      <c r="R307" s="38">
        <f>IFERROR(COUNTIFS(_report[TOURNAMENT_CODE],_SCHEDULE_[[#This Row],[TOURNAMENT_CODE]],_report[CONTEST_CODE],_SCHEDULE_[[#This Row],[CONTEST_CODE]]),"-")</f>
        <v>0</v>
      </c>
      <c r="S307" s="41" t="str">
        <f>SUBSTITUTE(IFERROR(INDEX(_group_[],MATCH(CONCATENATE(_SCHEDULE_[[#This Row],[CONTEST_CODE]],"_",$S$2),_group_[ИД2],0),MATCH($S$1,_group_[#Headers],0)),"---"),".",",")</f>
        <v>---</v>
      </c>
      <c r="T307" s="41" t="str">
        <f>SUBSTITUTE(IFERROR(INDEX(_group_[],MATCH(CONCATENATE(_SCHEDULE_[[#This Row],[CONTEST_CODE]],"_",$T$2),_group_[ИД2],0),MATCH($T$1,_group_[#Headers],0)),"---"),".",",")</f>
        <v>TB</v>
      </c>
      <c r="U307" s="41" t="str">
        <f>SUBSTITUTE(IFERROR(INDEX(_group_[],MATCH(CONCATENATE(_SCHEDULE_[[#This Row],[CONTEST_CODE]],"_",$U$2),_group_[ИД2],0),MATCH($U$1,_group_[#Headers],0)),"---"),".",",")</f>
        <v>---</v>
      </c>
      <c r="V307" s="41" t="str">
        <f>SUBSTITUTE(IFERROR(INDEX(_group_[],MATCH(CONCATENATE(_SCHEDULE_[[#This Row],[CONTEST_CODE]],"_",$V$2),_group_[ИД2],0),MATCH($V$1,_group_[#Headers],0)),"---"),".",",")</f>
        <v>---</v>
      </c>
      <c r="W307" s="41" t="str">
        <f>IFERROR(INDEX(_INDICATOR_[],MATCH(_SCHEDULE_[[#This Row],[CONTEST_CODE]],_INDICATOR_[CONTEST_CODE],0),MATCH($W$2,_INDICATOR_[#Headers],0)),"-")</f>
        <v>WAIT</v>
      </c>
      <c r="X307" s="41" t="str">
        <f>IFERROR(INDEX(_group_[],MATCH(_SCHEDULE_[[#This Row],[CONTEST_CODE]],_group_[CONTEST_CODE],0),MATCH($X$2,_group_[#Headers],0)),"-")</f>
        <v>TB</v>
      </c>
      <c r="Y307" s="61" t="str">
        <f>IFERROR(INDEX(_DATA_[],MATCH(_SCHEDULE_[[#This Row],[CONTEST_CODE]],_DATA_[CONTEST_CODE],0),MATCH($Y$2,_DATA_[#Headers],0)),"-")</f>
        <v>Защита Бизнеса 360. Максимизируй комиссию</v>
      </c>
      <c r="Z307" s="41" t="str">
        <f>IFERROR(INDEX(_reward_link_[],MATCH(_SCHEDULE_[[#This Row],[CONTEST_CODE]],_reward_link_[CONTEST_CODE],0),MATCH($Z$2,_reward_link_[#Headers],0)),"-")</f>
        <v>TB</v>
      </c>
      <c r="AA307" s="41" t="str">
        <f>IFERROR(INDEX(_report[],MATCH(_SCHEDULE_[[#This Row],[CONTEST_CODE]],_report[CONTEST_CODE],0),MATCH($AA$2,_report[#Headers],0)),"-")</f>
        <v>-</v>
      </c>
      <c r="AB307"/>
    </row>
    <row r="308" spans="1:28" hidden="1" x14ac:dyDescent="0.25">
      <c r="A308" s="14" t="s">
        <v>3671</v>
      </c>
      <c r="B308" s="14" t="s">
        <v>3652</v>
      </c>
      <c r="C308" s="14" t="s">
        <v>4019</v>
      </c>
      <c r="D308" s="14" t="s">
        <v>2542</v>
      </c>
      <c r="E308" s="14" t="s">
        <v>3545</v>
      </c>
      <c r="F308" s="14" t="s">
        <v>194</v>
      </c>
      <c r="G308" s="14" t="s">
        <v>194</v>
      </c>
      <c r="H308" s="14" t="s">
        <v>194</v>
      </c>
      <c r="I308" s="14" t="s">
        <v>194</v>
      </c>
      <c r="J308" s="14" t="s">
        <v>194</v>
      </c>
      <c r="K308" s="14" t="s">
        <v>155</v>
      </c>
      <c r="L308" s="14" t="s">
        <v>2902</v>
      </c>
      <c r="M308" s="14" t="s">
        <v>3603</v>
      </c>
      <c r="N308" s="14" t="s">
        <v>2</v>
      </c>
      <c r="O308" s="14" t="s">
        <v>3672</v>
      </c>
      <c r="P308" s="14" t="s">
        <v>1064</v>
      </c>
      <c r="R308" s="38">
        <f>IFERROR(COUNTIFS(_report[TOURNAMENT_CODE],_SCHEDULE_[[#This Row],[TOURNAMENT_CODE]],_report[CONTEST_CODE],_SCHEDULE_[[#This Row],[CONTEST_CODE]]),"-")</f>
        <v>0</v>
      </c>
      <c r="S308" s="41" t="str">
        <f>SUBSTITUTE(IFERROR(INDEX(_group_[],MATCH(CONCATENATE(_SCHEDULE_[[#This Row],[CONTEST_CODE]],"_",$S$2),_group_[ИД2],0),MATCH($S$1,_group_[#Headers],0)),"---"),".",",")</f>
        <v>---</v>
      </c>
      <c r="T308" s="41" t="str">
        <f>SUBSTITUTE(IFERROR(INDEX(_group_[],MATCH(CONCATENATE(_SCHEDULE_[[#This Row],[CONTEST_CODE]],"_",$T$2),_group_[ИД2],0),MATCH($T$1,_group_[#Headers],0)),"---"),".",",")</f>
        <v>TB</v>
      </c>
      <c r="U308" s="41" t="str">
        <f>SUBSTITUTE(IFERROR(INDEX(_group_[],MATCH(CONCATENATE(_SCHEDULE_[[#This Row],[CONTEST_CODE]],"_",$U$2),_group_[ИД2],0),MATCH($U$1,_group_[#Headers],0)),"---"),".",",")</f>
        <v>---</v>
      </c>
      <c r="V308" s="41" t="str">
        <f>SUBSTITUTE(IFERROR(INDEX(_group_[],MATCH(CONCATENATE(_SCHEDULE_[[#This Row],[CONTEST_CODE]],"_",$V$2),_group_[ИД2],0),MATCH($V$1,_group_[#Headers],0)),"---"),".",",")</f>
        <v>---</v>
      </c>
      <c r="W308" s="41" t="str">
        <f>IFERROR(INDEX(_INDICATOR_[],MATCH(_SCHEDULE_[[#This Row],[CONTEST_CODE]],_INDICATOR_[CONTEST_CODE],0),MATCH($W$2,_INDICATOR_[#Headers],0)),"-")</f>
        <v>WAIT</v>
      </c>
      <c r="X308" s="41" t="str">
        <f>IFERROR(INDEX(_group_[],MATCH(_SCHEDULE_[[#This Row],[CONTEST_CODE]],_group_[CONTEST_CODE],0),MATCH($X$2,_group_[#Headers],0)),"-")</f>
        <v>TB</v>
      </c>
      <c r="Y308" s="61" t="str">
        <f>IFERROR(INDEX(_DATA_[],MATCH(_SCHEDULE_[[#This Row],[CONTEST_CODE]],_DATA_[CONTEST_CODE],0),MATCH($Y$2,_DATA_[#Headers],0)),"-")</f>
        <v>Защита Бизнеса 360. Максимизируй комиссию</v>
      </c>
      <c r="Z308" s="41" t="str">
        <f>IFERROR(INDEX(_reward_link_[],MATCH(_SCHEDULE_[[#This Row],[CONTEST_CODE]],_reward_link_[CONTEST_CODE],0),MATCH($Z$2,_reward_link_[#Headers],0)),"-")</f>
        <v>TB</v>
      </c>
      <c r="AA308" s="41" t="str">
        <f>IFERROR(INDEX(_report[],MATCH(_SCHEDULE_[[#This Row],[CONTEST_CODE]],_report[CONTEST_CODE],0),MATCH($AA$2,_report[#Headers],0)),"-")</f>
        <v>-</v>
      </c>
      <c r="AB308"/>
    </row>
    <row r="309" spans="1:28" x14ac:dyDescent="0.25">
      <c r="A309" s="14" t="s">
        <v>3231</v>
      </c>
      <c r="B309" s="14" t="s">
        <v>146</v>
      </c>
      <c r="C309" s="14" t="s">
        <v>2508</v>
      </c>
      <c r="D309" s="14" t="s">
        <v>3232</v>
      </c>
      <c r="E309" s="14" t="s">
        <v>3233</v>
      </c>
      <c r="F309" s="14" t="s">
        <v>194</v>
      </c>
      <c r="G309" s="14" t="s">
        <v>194</v>
      </c>
      <c r="H309" s="14" t="s">
        <v>194</v>
      </c>
      <c r="I309" s="14" t="s">
        <v>194</v>
      </c>
      <c r="J309" s="14" t="s">
        <v>194</v>
      </c>
      <c r="K309" s="14" t="s">
        <v>34</v>
      </c>
      <c r="L309" s="14" t="s">
        <v>3087</v>
      </c>
      <c r="M309" s="14" t="s">
        <v>3603</v>
      </c>
      <c r="N309" s="14" t="s">
        <v>2</v>
      </c>
      <c r="O309" s="14" t="s">
        <v>3234</v>
      </c>
      <c r="P309" s="14" t="s">
        <v>1064</v>
      </c>
      <c r="R309" s="38">
        <f>IFERROR(COUNTIFS(_report[TOURNAMENT_CODE],_SCHEDULE_[[#This Row],[TOURNAMENT_CODE]],_report[CONTEST_CODE],_SCHEDULE_[[#This Row],[CONTEST_CODE]]),"-")</f>
        <v>0</v>
      </c>
      <c r="S309" s="41" t="str">
        <f>SUBSTITUTE(IFERROR(INDEX(_group_[],MATCH(CONCATENATE(_SCHEDULE_[[#This Row],[CONTEST_CODE]],"_",$S$2),_group_[ИД2],0),MATCH($S$1,_group_[#Headers],0)),"---"),".",",")</f>
        <v>BANK</v>
      </c>
      <c r="T309" s="41" t="str">
        <f>SUBSTITUTE(IFERROR(INDEX(_group_[],MATCH(CONCATENATE(_SCHEDULE_[[#This Row],[CONTEST_CODE]],"_",$T$2),_group_[ИД2],0),MATCH($T$1,_group_[#Headers],0)),"---"),".",",")</f>
        <v>---</v>
      </c>
      <c r="U309" s="41" t="str">
        <f>SUBSTITUTE(IFERROR(INDEX(_group_[],MATCH(CONCATENATE(_SCHEDULE_[[#This Row],[CONTEST_CODE]],"_",$U$2),_group_[ИД2],0),MATCH($U$1,_group_[#Headers],0)),"---"),".",",")</f>
        <v>---</v>
      </c>
      <c r="V309" s="41" t="str">
        <f>SUBSTITUTE(IFERROR(INDEX(_group_[],MATCH(CONCATENATE(_SCHEDULE_[[#This Row],[CONTEST_CODE]],"_",$V$2),_group_[ИД2],0),MATCH($V$1,_group_[#Headers],0)),"---"),".",",")</f>
        <v>---</v>
      </c>
      <c r="W309" s="41" t="str">
        <f>IFERROR(INDEX(_INDICATOR_[],MATCH(_SCHEDULE_[[#This Row],[CONTEST_CODE]],_INDICATOR_[CONTEST_CODE],0),MATCH($W$2,_INDICATOR_[#Headers],0)),"-")</f>
        <v>WAIT</v>
      </c>
      <c r="X309" s="41" t="str">
        <f>IFERROR(INDEX(_group_[],MATCH(_SCHEDULE_[[#This Row],[CONTEST_CODE]],_group_[CONTEST_CODE],0),MATCH($X$2,_group_[#Headers],0)),"-")</f>
        <v>BANK</v>
      </c>
      <c r="Y309" s="61" t="str">
        <f>IFERROR(INDEX(_DATA_[],MATCH(_SCHEDULE_[[#This Row],[CONTEST_CODE]],_DATA_[CONTEST_CODE],0),MATCH($Y$2,_DATA_[#Headers],0)),"-")</f>
        <v>1 млн руб по Process Mining</v>
      </c>
      <c r="Z309" s="41" t="str">
        <f>IFERROR(INDEX(_reward_link_[],MATCH(_SCHEDULE_[[#This Row],[CONTEST_CODE]],_reward_link_[CONTEST_CODE],0),MATCH($Z$2,_reward_link_[#Headers],0)),"-")</f>
        <v>BANK</v>
      </c>
      <c r="AA309" s="41" t="str">
        <f>IFERROR(INDEX(_report[],MATCH(_SCHEDULE_[[#This Row],[CONTEST_CODE]],_report[CONTEST_CODE],0),MATCH($AA$2,_report[#Headers],0)),"-")</f>
        <v>-</v>
      </c>
      <c r="AB309"/>
    </row>
    <row r="310" spans="1:28" x14ac:dyDescent="0.25">
      <c r="A310" s="14" t="s">
        <v>3235</v>
      </c>
      <c r="B310" s="14" t="s">
        <v>146</v>
      </c>
      <c r="C310" s="14" t="s">
        <v>2508</v>
      </c>
      <c r="D310" s="14" t="s">
        <v>3232</v>
      </c>
      <c r="E310" s="14" t="s">
        <v>3233</v>
      </c>
      <c r="F310" s="14" t="s">
        <v>194</v>
      </c>
      <c r="G310" s="14" t="s">
        <v>194</v>
      </c>
      <c r="H310" s="14" t="s">
        <v>194</v>
      </c>
      <c r="I310" s="14" t="s">
        <v>194</v>
      </c>
      <c r="J310" s="14" t="s">
        <v>194</v>
      </c>
      <c r="K310" s="14" t="s">
        <v>34</v>
      </c>
      <c r="L310" s="14" t="s">
        <v>3089</v>
      </c>
      <c r="M310" s="14" t="s">
        <v>3603</v>
      </c>
      <c r="N310" s="14" t="s">
        <v>2</v>
      </c>
      <c r="O310" s="14" t="s">
        <v>3236</v>
      </c>
      <c r="P310" s="14" t="s">
        <v>1064</v>
      </c>
      <c r="R310" s="38">
        <f>IFERROR(COUNTIFS(_report[TOURNAMENT_CODE],_SCHEDULE_[[#This Row],[TOURNAMENT_CODE]],_report[CONTEST_CODE],_SCHEDULE_[[#This Row],[CONTEST_CODE]]),"-")</f>
        <v>0</v>
      </c>
      <c r="S310" s="41" t="str">
        <f>SUBSTITUTE(IFERROR(INDEX(_group_[],MATCH(CONCATENATE(_SCHEDULE_[[#This Row],[CONTEST_CODE]],"_",$S$2),_group_[ИД2],0),MATCH($S$1,_group_[#Headers],0)),"---"),".",",")</f>
        <v>BANK</v>
      </c>
      <c r="T310" s="41" t="str">
        <f>SUBSTITUTE(IFERROR(INDEX(_group_[],MATCH(CONCATENATE(_SCHEDULE_[[#This Row],[CONTEST_CODE]],"_",$T$2),_group_[ИД2],0),MATCH($T$1,_group_[#Headers],0)),"---"),".",",")</f>
        <v>---</v>
      </c>
      <c r="U310" s="41" t="str">
        <f>SUBSTITUTE(IFERROR(INDEX(_group_[],MATCH(CONCATENATE(_SCHEDULE_[[#This Row],[CONTEST_CODE]],"_",$U$2),_group_[ИД2],0),MATCH($U$1,_group_[#Headers],0)),"---"),".",",")</f>
        <v>---</v>
      </c>
      <c r="V310" s="41" t="str">
        <f>SUBSTITUTE(IFERROR(INDEX(_group_[],MATCH(CONCATENATE(_SCHEDULE_[[#This Row],[CONTEST_CODE]],"_",$V$2),_group_[ИД2],0),MATCH($V$1,_group_[#Headers],0)),"---"),".",",")</f>
        <v>---</v>
      </c>
      <c r="W310" s="41" t="str">
        <f>IFERROR(INDEX(_INDICATOR_[],MATCH(_SCHEDULE_[[#This Row],[CONTEST_CODE]],_INDICATOR_[CONTEST_CODE],0),MATCH($W$2,_INDICATOR_[#Headers],0)),"-")</f>
        <v>WAIT</v>
      </c>
      <c r="X310" s="41" t="str">
        <f>IFERROR(INDEX(_group_[],MATCH(_SCHEDULE_[[#This Row],[CONTEST_CODE]],_group_[CONTEST_CODE],0),MATCH($X$2,_group_[#Headers],0)),"-")</f>
        <v>BANK</v>
      </c>
      <c r="Y310" s="61" t="str">
        <f>IFERROR(INDEX(_DATA_[],MATCH(_SCHEDULE_[[#This Row],[CONTEST_CODE]],_DATA_[CONTEST_CODE],0),MATCH($Y$2,_DATA_[#Headers],0)),"-")</f>
        <v>1 млн руб по Навигатор BI</v>
      </c>
      <c r="Z310" s="41" t="str">
        <f>IFERROR(INDEX(_reward_link_[],MATCH(_SCHEDULE_[[#This Row],[CONTEST_CODE]],_reward_link_[CONTEST_CODE],0),MATCH($Z$2,_reward_link_[#Headers],0)),"-")</f>
        <v>BANK</v>
      </c>
      <c r="AA310" s="41" t="str">
        <f>IFERROR(INDEX(_report[],MATCH(_SCHEDULE_[[#This Row],[CONTEST_CODE]],_report[CONTEST_CODE],0),MATCH($AA$2,_report[#Headers],0)),"-")</f>
        <v>-</v>
      </c>
      <c r="AB310"/>
    </row>
    <row r="311" spans="1:28" x14ac:dyDescent="0.25">
      <c r="A311" s="14" t="s">
        <v>3237</v>
      </c>
      <c r="B311" s="14" t="s">
        <v>146</v>
      </c>
      <c r="C311" s="14" t="s">
        <v>2508</v>
      </c>
      <c r="D311" s="14" t="s">
        <v>3232</v>
      </c>
      <c r="E311" s="14" t="s">
        <v>3233</v>
      </c>
      <c r="F311" s="14" t="s">
        <v>194</v>
      </c>
      <c r="G311" s="14" t="s">
        <v>194</v>
      </c>
      <c r="H311" s="14" t="s">
        <v>194</v>
      </c>
      <c r="I311" s="14" t="s">
        <v>194</v>
      </c>
      <c r="J311" s="14" t="s">
        <v>194</v>
      </c>
      <c r="K311" s="14" t="s">
        <v>34</v>
      </c>
      <c r="L311" s="14" t="s">
        <v>3091</v>
      </c>
      <c r="M311" s="14" t="s">
        <v>3603</v>
      </c>
      <c r="N311" s="14" t="s">
        <v>2</v>
      </c>
      <c r="O311" s="14" t="s">
        <v>3238</v>
      </c>
      <c r="P311" s="14" t="s">
        <v>1064</v>
      </c>
      <c r="R311" s="38">
        <f>IFERROR(COUNTIFS(_report[TOURNAMENT_CODE],_SCHEDULE_[[#This Row],[TOURNAMENT_CODE]],_report[CONTEST_CODE],_SCHEDULE_[[#This Row],[CONTEST_CODE]]),"-")</f>
        <v>0</v>
      </c>
      <c r="S311" s="41" t="str">
        <f>SUBSTITUTE(IFERROR(INDEX(_group_[],MATCH(CONCATENATE(_SCHEDULE_[[#This Row],[CONTEST_CODE]],"_",$S$2),_group_[ИД2],0),MATCH($S$1,_group_[#Headers],0)),"---"),".",",")</f>
        <v>BANK</v>
      </c>
      <c r="T311" s="41" t="str">
        <f>SUBSTITUTE(IFERROR(INDEX(_group_[],MATCH(CONCATENATE(_SCHEDULE_[[#This Row],[CONTEST_CODE]],"_",$T$2),_group_[ИД2],0),MATCH($T$1,_group_[#Headers],0)),"---"),".",",")</f>
        <v>---</v>
      </c>
      <c r="U311" s="41" t="str">
        <f>SUBSTITUTE(IFERROR(INDEX(_group_[],MATCH(CONCATENATE(_SCHEDULE_[[#This Row],[CONTEST_CODE]],"_",$U$2),_group_[ИД2],0),MATCH($U$1,_group_[#Headers],0)),"---"),".",",")</f>
        <v>---</v>
      </c>
      <c r="V311" s="41" t="str">
        <f>SUBSTITUTE(IFERROR(INDEX(_group_[],MATCH(CONCATENATE(_SCHEDULE_[[#This Row],[CONTEST_CODE]],"_",$V$2),_group_[ИД2],0),MATCH($V$1,_group_[#Headers],0)),"---"),".",",")</f>
        <v>---</v>
      </c>
      <c r="W311" s="41" t="str">
        <f>IFERROR(INDEX(_INDICATOR_[],MATCH(_SCHEDULE_[[#This Row],[CONTEST_CODE]],_INDICATOR_[CONTEST_CODE],0),MATCH($W$2,_INDICATOR_[#Headers],0)),"-")</f>
        <v>WAIT</v>
      </c>
      <c r="X311" s="41" t="str">
        <f>IFERROR(INDEX(_group_[],MATCH(_SCHEDULE_[[#This Row],[CONTEST_CODE]],_group_[CONTEST_CODE],0),MATCH($X$2,_group_[#Headers],0)),"-")</f>
        <v>BANK</v>
      </c>
      <c r="Y311" s="61" t="str">
        <f>IFERROR(INDEX(_DATA_[],MATCH(_SCHEDULE_[[#This Row],[CONTEST_CODE]],_DATA_[CONTEST_CODE],0),MATCH($Y$2,_DATA_[#Headers],0)),"-")</f>
        <v>250 тыс. руб. по СберИндексПро</v>
      </c>
      <c r="Z311" s="41" t="str">
        <f>IFERROR(INDEX(_reward_link_[],MATCH(_SCHEDULE_[[#This Row],[CONTEST_CODE]],_reward_link_[CONTEST_CODE],0),MATCH($Z$2,_reward_link_[#Headers],0)),"-")</f>
        <v>BANK</v>
      </c>
      <c r="AA311" s="41" t="str">
        <f>IFERROR(INDEX(_report[],MATCH(_SCHEDULE_[[#This Row],[CONTEST_CODE]],_report[CONTEST_CODE],0),MATCH($AA$2,_report[#Headers],0)),"-")</f>
        <v>-</v>
      </c>
      <c r="AB311"/>
    </row>
    <row r="312" spans="1:28" x14ac:dyDescent="0.25">
      <c r="A312" s="14" t="s">
        <v>3239</v>
      </c>
      <c r="B312" s="14" t="s">
        <v>146</v>
      </c>
      <c r="C312" s="14" t="s">
        <v>2508</v>
      </c>
      <c r="D312" s="14" t="s">
        <v>3232</v>
      </c>
      <c r="E312" s="14" t="s">
        <v>3233</v>
      </c>
      <c r="F312" s="14" t="s">
        <v>194</v>
      </c>
      <c r="G312" s="14" t="s">
        <v>194</v>
      </c>
      <c r="H312" s="14" t="s">
        <v>194</v>
      </c>
      <c r="I312" s="14" t="s">
        <v>194</v>
      </c>
      <c r="J312" s="14" t="s">
        <v>194</v>
      </c>
      <c r="K312" s="14" t="s">
        <v>34</v>
      </c>
      <c r="L312" s="14" t="s">
        <v>3093</v>
      </c>
      <c r="M312" s="14" t="s">
        <v>3607</v>
      </c>
      <c r="N312" s="14" t="s">
        <v>2</v>
      </c>
      <c r="O312" s="14" t="s">
        <v>3240</v>
      </c>
      <c r="P312" s="14" t="s">
        <v>1064</v>
      </c>
      <c r="R312" s="38">
        <f>IFERROR(COUNTIFS(_report[TOURNAMENT_CODE],_SCHEDULE_[[#This Row],[TOURNAMENT_CODE]],_report[CONTEST_CODE],_SCHEDULE_[[#This Row],[CONTEST_CODE]]),"-")</f>
        <v>0</v>
      </c>
      <c r="S312" s="41" t="str">
        <f>SUBSTITUTE(IFERROR(INDEX(_group_[],MATCH(CONCATENATE(_SCHEDULE_[[#This Row],[CONTEST_CODE]],"_",$S$2),_group_[ИД2],0),MATCH($S$1,_group_[#Headers],0)),"---"),".",",")</f>
        <v>BANK</v>
      </c>
      <c r="T312" s="41" t="str">
        <f>SUBSTITUTE(IFERROR(INDEX(_group_[],MATCH(CONCATENATE(_SCHEDULE_[[#This Row],[CONTEST_CODE]],"_",$T$2),_group_[ИД2],0),MATCH($T$1,_group_[#Headers],0)),"---"),".",",")</f>
        <v>---</v>
      </c>
      <c r="U312" s="41" t="str">
        <f>SUBSTITUTE(IFERROR(INDEX(_group_[],MATCH(CONCATENATE(_SCHEDULE_[[#This Row],[CONTEST_CODE]],"_",$U$2),_group_[ИД2],0),MATCH($U$1,_group_[#Headers],0)),"---"),".",",")</f>
        <v>---</v>
      </c>
      <c r="V312" s="41" t="str">
        <f>SUBSTITUTE(IFERROR(INDEX(_group_[],MATCH(CONCATENATE(_SCHEDULE_[[#This Row],[CONTEST_CODE]],"_",$V$2),_group_[ИД2],0),MATCH($V$1,_group_[#Headers],0)),"---"),".",",")</f>
        <v>---</v>
      </c>
      <c r="W312" s="41" t="str">
        <f>IFERROR(INDEX(_INDICATOR_[],MATCH(_SCHEDULE_[[#This Row],[CONTEST_CODE]],_INDICATOR_[CONTEST_CODE],0),MATCH($W$2,_INDICATOR_[#Headers],0)),"-")</f>
        <v>WAIT</v>
      </c>
      <c r="X312" s="41" t="str">
        <f>IFERROR(INDEX(_group_[],MATCH(_SCHEDULE_[[#This Row],[CONTEST_CODE]],_group_[CONTEST_CODE],0),MATCH($X$2,_group_[#Headers],0)),"-")</f>
        <v>BANK</v>
      </c>
      <c r="Y312" s="61" t="str">
        <f>IFERROR(INDEX(_DATA_[],MATCH(_SCHEDULE_[[#This Row],[CONTEST_CODE]],_DATA_[CONTEST_CODE],0),MATCH($Y$2,_DATA_[#Headers],0)),"-")</f>
        <v>5 млн руб. по Process Mining</v>
      </c>
      <c r="Z312" s="41" t="str">
        <f>IFERROR(INDEX(_reward_link_[],MATCH(_SCHEDULE_[[#This Row],[CONTEST_CODE]],_reward_link_[CONTEST_CODE],0),MATCH($Z$2,_reward_link_[#Headers],0)),"-")</f>
        <v>BANK</v>
      </c>
      <c r="AA312" s="41" t="str">
        <f>IFERROR(INDEX(_report[],MATCH(_SCHEDULE_[[#This Row],[CONTEST_CODE]],_report[CONTEST_CODE],0),MATCH($AA$2,_report[#Headers],0)),"-")</f>
        <v>-</v>
      </c>
      <c r="AB312"/>
    </row>
    <row r="313" spans="1:28" x14ac:dyDescent="0.25">
      <c r="A313" s="14" t="s">
        <v>3241</v>
      </c>
      <c r="B313" s="14" t="s">
        <v>146</v>
      </c>
      <c r="C313" s="14" t="s">
        <v>2508</v>
      </c>
      <c r="D313" s="14" t="s">
        <v>3232</v>
      </c>
      <c r="E313" s="14" t="s">
        <v>3233</v>
      </c>
      <c r="F313" s="14" t="s">
        <v>194</v>
      </c>
      <c r="G313" s="14" t="s">
        <v>194</v>
      </c>
      <c r="H313" s="14" t="s">
        <v>194</v>
      </c>
      <c r="I313" s="14" t="s">
        <v>194</v>
      </c>
      <c r="J313" s="14" t="s">
        <v>194</v>
      </c>
      <c r="K313" s="14" t="s">
        <v>34</v>
      </c>
      <c r="L313" s="14" t="s">
        <v>3095</v>
      </c>
      <c r="M313" s="14" t="s">
        <v>3607</v>
      </c>
      <c r="N313" s="14" t="s">
        <v>2</v>
      </c>
      <c r="O313" s="14" t="s">
        <v>3242</v>
      </c>
      <c r="P313" s="14" t="s">
        <v>1064</v>
      </c>
      <c r="R313" s="38">
        <f>IFERROR(COUNTIFS(_report[TOURNAMENT_CODE],_SCHEDULE_[[#This Row],[TOURNAMENT_CODE]],_report[CONTEST_CODE],_SCHEDULE_[[#This Row],[CONTEST_CODE]]),"-")</f>
        <v>0</v>
      </c>
      <c r="S313" s="41" t="str">
        <f>SUBSTITUTE(IFERROR(INDEX(_group_[],MATCH(CONCATENATE(_SCHEDULE_[[#This Row],[CONTEST_CODE]],"_",$S$2),_group_[ИД2],0),MATCH($S$1,_group_[#Headers],0)),"---"),".",",")</f>
        <v>BANK</v>
      </c>
      <c r="T313" s="41" t="str">
        <f>SUBSTITUTE(IFERROR(INDEX(_group_[],MATCH(CONCATENATE(_SCHEDULE_[[#This Row],[CONTEST_CODE]],"_",$T$2),_group_[ИД2],0),MATCH($T$1,_group_[#Headers],0)),"---"),".",",")</f>
        <v>---</v>
      </c>
      <c r="U313" s="41" t="str">
        <f>SUBSTITUTE(IFERROR(INDEX(_group_[],MATCH(CONCATENATE(_SCHEDULE_[[#This Row],[CONTEST_CODE]],"_",$U$2),_group_[ИД2],0),MATCH($U$1,_group_[#Headers],0)),"---"),".",",")</f>
        <v>---</v>
      </c>
      <c r="V313" s="41" t="str">
        <f>SUBSTITUTE(IFERROR(INDEX(_group_[],MATCH(CONCATENATE(_SCHEDULE_[[#This Row],[CONTEST_CODE]],"_",$V$2),_group_[ИД2],0),MATCH($V$1,_group_[#Headers],0)),"---"),".",",")</f>
        <v>---</v>
      </c>
      <c r="W313" s="41" t="str">
        <f>IFERROR(INDEX(_INDICATOR_[],MATCH(_SCHEDULE_[[#This Row],[CONTEST_CODE]],_INDICATOR_[CONTEST_CODE],0),MATCH($W$2,_INDICATOR_[#Headers],0)),"-")</f>
        <v>WAIT</v>
      </c>
      <c r="X313" s="41" t="str">
        <f>IFERROR(INDEX(_group_[],MATCH(_SCHEDULE_[[#This Row],[CONTEST_CODE]],_group_[CONTEST_CODE],0),MATCH($X$2,_group_[#Headers],0)),"-")</f>
        <v>BANK</v>
      </c>
      <c r="Y313" s="61" t="str">
        <f>IFERROR(INDEX(_DATA_[],MATCH(_SCHEDULE_[[#This Row],[CONTEST_CODE]],_DATA_[CONTEST_CODE],0),MATCH($Y$2,_DATA_[#Headers],0)),"-")</f>
        <v>5 млн руб. по Навигатор BI</v>
      </c>
      <c r="Z313" s="41" t="str">
        <f>IFERROR(INDEX(_reward_link_[],MATCH(_SCHEDULE_[[#This Row],[CONTEST_CODE]],_reward_link_[CONTEST_CODE],0),MATCH($Z$2,_reward_link_[#Headers],0)),"-")</f>
        <v>BANK</v>
      </c>
      <c r="AA313" s="41" t="str">
        <f>IFERROR(INDEX(_report[],MATCH(_SCHEDULE_[[#This Row],[CONTEST_CODE]],_report[CONTEST_CODE],0),MATCH($AA$2,_report[#Headers],0)),"-")</f>
        <v>-</v>
      </c>
      <c r="AB313"/>
    </row>
    <row r="314" spans="1:28" x14ac:dyDescent="0.25">
      <c r="A314" s="14" t="s">
        <v>3243</v>
      </c>
      <c r="B314" s="14" t="s">
        <v>146</v>
      </c>
      <c r="C314" s="14" t="s">
        <v>2508</v>
      </c>
      <c r="D314" s="14" t="s">
        <v>3232</v>
      </c>
      <c r="E314" s="14" t="s">
        <v>3233</v>
      </c>
      <c r="F314" s="14" t="s">
        <v>194</v>
      </c>
      <c r="G314" s="14" t="s">
        <v>194</v>
      </c>
      <c r="H314" s="14" t="s">
        <v>194</v>
      </c>
      <c r="I314" s="14" t="s">
        <v>194</v>
      </c>
      <c r="J314" s="14" t="s">
        <v>194</v>
      </c>
      <c r="K314" s="14" t="s">
        <v>34</v>
      </c>
      <c r="L314" s="14" t="s">
        <v>3097</v>
      </c>
      <c r="M314" s="14" t="s">
        <v>3607</v>
      </c>
      <c r="N314" s="14" t="s">
        <v>2</v>
      </c>
      <c r="O314" s="14" t="s">
        <v>3244</v>
      </c>
      <c r="P314" s="14" t="s">
        <v>1064</v>
      </c>
      <c r="R314" s="38">
        <f>IFERROR(COUNTIFS(_report[TOURNAMENT_CODE],_SCHEDULE_[[#This Row],[TOURNAMENT_CODE]],_report[CONTEST_CODE],_SCHEDULE_[[#This Row],[CONTEST_CODE]]),"-")</f>
        <v>0</v>
      </c>
      <c r="S314" s="41" t="str">
        <f>SUBSTITUTE(IFERROR(INDEX(_group_[],MATCH(CONCATENATE(_SCHEDULE_[[#This Row],[CONTEST_CODE]],"_",$S$2),_group_[ИД2],0),MATCH($S$1,_group_[#Headers],0)),"---"),".",",")</f>
        <v>BANK</v>
      </c>
      <c r="T314" s="41" t="str">
        <f>SUBSTITUTE(IFERROR(INDEX(_group_[],MATCH(CONCATENATE(_SCHEDULE_[[#This Row],[CONTEST_CODE]],"_",$T$2),_group_[ИД2],0),MATCH($T$1,_group_[#Headers],0)),"---"),".",",")</f>
        <v>---</v>
      </c>
      <c r="U314" s="41" t="str">
        <f>SUBSTITUTE(IFERROR(INDEX(_group_[],MATCH(CONCATENATE(_SCHEDULE_[[#This Row],[CONTEST_CODE]],"_",$U$2),_group_[ИД2],0),MATCH($U$1,_group_[#Headers],0)),"---"),".",",")</f>
        <v>---</v>
      </c>
      <c r="V314" s="41" t="str">
        <f>SUBSTITUTE(IFERROR(INDEX(_group_[],MATCH(CONCATENATE(_SCHEDULE_[[#This Row],[CONTEST_CODE]],"_",$V$2),_group_[ИД2],0),MATCH($V$1,_group_[#Headers],0)),"---"),".",",")</f>
        <v>---</v>
      </c>
      <c r="W314" s="41" t="str">
        <f>IFERROR(INDEX(_INDICATOR_[],MATCH(_SCHEDULE_[[#This Row],[CONTEST_CODE]],_INDICATOR_[CONTEST_CODE],0),MATCH($W$2,_INDICATOR_[#Headers],0)),"-")</f>
        <v>WAIT</v>
      </c>
      <c r="X314" s="41" t="str">
        <f>IFERROR(INDEX(_group_[],MATCH(_SCHEDULE_[[#This Row],[CONTEST_CODE]],_group_[CONTEST_CODE],0),MATCH($X$2,_group_[#Headers],0)),"-")</f>
        <v>BANK</v>
      </c>
      <c r="Y314" s="61" t="str">
        <f>IFERROR(INDEX(_DATA_[],MATCH(_SCHEDULE_[[#This Row],[CONTEST_CODE]],_DATA_[CONTEST_CODE],0),MATCH($Y$2,_DATA_[#Headers],0)),"-")</f>
        <v>500 тыс. руб. по СберИндексПро</v>
      </c>
      <c r="Z314" s="41" t="str">
        <f>IFERROR(INDEX(_reward_link_[],MATCH(_SCHEDULE_[[#This Row],[CONTEST_CODE]],_reward_link_[CONTEST_CODE],0),MATCH($Z$2,_reward_link_[#Headers],0)),"-")</f>
        <v>BANK</v>
      </c>
      <c r="AA314" s="41" t="str">
        <f>IFERROR(INDEX(_report[],MATCH(_SCHEDULE_[[#This Row],[CONTEST_CODE]],_report[CONTEST_CODE],0),MATCH($AA$2,_report[#Headers],0)),"-")</f>
        <v>-</v>
      </c>
      <c r="AB314"/>
    </row>
    <row r="315" spans="1:28" hidden="1" x14ac:dyDescent="0.25">
      <c r="A315" s="14" t="s">
        <v>3245</v>
      </c>
      <c r="B315" s="14" t="s">
        <v>2533</v>
      </c>
      <c r="C315" s="14" t="s">
        <v>2508</v>
      </c>
      <c r="D315" s="14" t="s">
        <v>2534</v>
      </c>
      <c r="E315" s="14" t="s">
        <v>4152</v>
      </c>
      <c r="F315" s="14" t="s">
        <v>194</v>
      </c>
      <c r="G315" s="14" t="s">
        <v>194</v>
      </c>
      <c r="H315" s="14" t="s">
        <v>194</v>
      </c>
      <c r="I315" s="14" t="s">
        <v>194</v>
      </c>
      <c r="J315" s="14" t="s">
        <v>194</v>
      </c>
      <c r="K315" s="14" t="s">
        <v>176</v>
      </c>
      <c r="L315" s="14" t="s">
        <v>3099</v>
      </c>
      <c r="M315" s="14" t="s">
        <v>3607</v>
      </c>
      <c r="N315" s="14" t="s">
        <v>2</v>
      </c>
      <c r="O315" s="14" t="s">
        <v>3246</v>
      </c>
      <c r="P315" s="14" t="s">
        <v>1064</v>
      </c>
      <c r="R315" s="38">
        <f>IFERROR(COUNTIFS(_report[TOURNAMENT_CODE],_SCHEDULE_[[#This Row],[TOURNAMENT_CODE]],_report[CONTEST_CODE],_SCHEDULE_[[#This Row],[CONTEST_CODE]]),"-")</f>
        <v>0</v>
      </c>
      <c r="S315" s="41" t="str">
        <f>SUBSTITUTE(IFERROR(INDEX(_group_[],MATCH(CONCATENATE(_SCHEDULE_[[#This Row],[CONTEST_CODE]],"_",$S$2),_group_[ИД2],0),MATCH($S$1,_group_[#Headers],0)),"---"),".",",")</f>
        <v>BANK</v>
      </c>
      <c r="T315" s="41" t="str">
        <f>SUBSTITUTE(IFERROR(INDEX(_group_[],MATCH(CONCATENATE(_SCHEDULE_[[#This Row],[CONTEST_CODE]],"_",$T$2),_group_[ИД2],0),MATCH($T$1,_group_[#Headers],0)),"---"),".",",")</f>
        <v>TB</v>
      </c>
      <c r="U315" s="41" t="str">
        <f>SUBSTITUTE(IFERROR(INDEX(_group_[],MATCH(CONCATENATE(_SCHEDULE_[[#This Row],[CONTEST_CODE]],"_",$U$2),_group_[ИД2],0),MATCH($U$1,_group_[#Headers],0)),"---"),".",",")</f>
        <v>---</v>
      </c>
      <c r="V315" s="41" t="str">
        <f>SUBSTITUTE(IFERROR(INDEX(_group_[],MATCH(CONCATENATE(_SCHEDULE_[[#This Row],[CONTEST_CODE]],"_",$V$2),_group_[ИД2],0),MATCH($V$1,_group_[#Headers],0)),"---"),".",",")</f>
        <v>---</v>
      </c>
      <c r="W315" s="41" t="str">
        <f>IFERROR(INDEX(_INDICATOR_[],MATCH(_SCHEDULE_[[#This Row],[CONTEST_CODE]],_INDICATOR_[CONTEST_CODE],0),MATCH($W$2,_INDICATOR_[#Headers],0)),"-")</f>
        <v>WAIT</v>
      </c>
      <c r="X315" s="41" t="str">
        <f>IFERROR(INDEX(_group_[],MATCH(_SCHEDULE_[[#This Row],[CONTEST_CODE]],_group_[CONTEST_CODE],0),MATCH($X$2,_group_[#Headers],0)),"-")</f>
        <v>BANK</v>
      </c>
      <c r="Y315" s="61" t="str">
        <f>IFERROR(INDEX(_DATA_[],MATCH(_SCHEDULE_[[#This Row],[CONTEST_CODE]],_DATA_[CONTEST_CODE],0),MATCH($Y$2,_DATA_[#Headers],0)),"-")</f>
        <v>Максимальный полученный доход от продажи продуктов СберЗдоровье</v>
      </c>
      <c r="Z315" s="41" t="str">
        <f>IFERROR(INDEX(_reward_link_[],MATCH(_SCHEDULE_[[#This Row],[CONTEST_CODE]],_reward_link_[CONTEST_CODE],0),MATCH($Z$2,_reward_link_[#Headers],0)),"-")</f>
        <v>BANK</v>
      </c>
      <c r="AA315" s="41" t="str">
        <f>IFERROR(INDEX(_report[],MATCH(_SCHEDULE_[[#This Row],[CONTEST_CODE]],_report[CONTEST_CODE],0),MATCH($AA$2,_report[#Headers],0)),"-")</f>
        <v>-</v>
      </c>
      <c r="AB315"/>
    </row>
    <row r="316" spans="1:28" x14ac:dyDescent="0.25">
      <c r="A316" s="14" t="s">
        <v>3673</v>
      </c>
      <c r="B316" s="14" t="s">
        <v>3652</v>
      </c>
      <c r="C316" s="14" t="s">
        <v>4019</v>
      </c>
      <c r="D316" s="14" t="s">
        <v>2542</v>
      </c>
      <c r="E316" s="14" t="s">
        <v>3545</v>
      </c>
      <c r="F316" s="14" t="s">
        <v>194</v>
      </c>
      <c r="G316" s="14" t="s">
        <v>194</v>
      </c>
      <c r="H316" s="14" t="s">
        <v>194</v>
      </c>
      <c r="I316" s="14" t="s">
        <v>194</v>
      </c>
      <c r="J316" s="14" t="s">
        <v>194</v>
      </c>
      <c r="K316" s="14" t="s">
        <v>34</v>
      </c>
      <c r="L316" s="14" t="s">
        <v>3099</v>
      </c>
      <c r="M316" s="14" t="s">
        <v>3607</v>
      </c>
      <c r="N316" s="14" t="s">
        <v>2</v>
      </c>
      <c r="O316" s="14" t="s">
        <v>3674</v>
      </c>
      <c r="P316" s="14" t="s">
        <v>1064</v>
      </c>
      <c r="R316" s="38">
        <f>IFERROR(COUNTIFS(_report[TOURNAMENT_CODE],_SCHEDULE_[[#This Row],[TOURNAMENT_CODE]],_report[CONTEST_CODE],_SCHEDULE_[[#This Row],[CONTEST_CODE]]),"-")</f>
        <v>0</v>
      </c>
      <c r="S316" s="41" t="str">
        <f>SUBSTITUTE(IFERROR(INDEX(_group_[],MATCH(CONCATENATE(_SCHEDULE_[[#This Row],[CONTEST_CODE]],"_",$S$2),_group_[ИД2],0),MATCH($S$1,_group_[#Headers],0)),"---"),".",",")</f>
        <v>BANK</v>
      </c>
      <c r="T316" s="41" t="str">
        <f>SUBSTITUTE(IFERROR(INDEX(_group_[],MATCH(CONCATENATE(_SCHEDULE_[[#This Row],[CONTEST_CODE]],"_",$T$2),_group_[ИД2],0),MATCH($T$1,_group_[#Headers],0)),"---"),".",",")</f>
        <v>TB</v>
      </c>
      <c r="U316" s="41" t="str">
        <f>SUBSTITUTE(IFERROR(INDEX(_group_[],MATCH(CONCATENATE(_SCHEDULE_[[#This Row],[CONTEST_CODE]],"_",$U$2),_group_[ИД2],0),MATCH($U$1,_group_[#Headers],0)),"---"),".",",")</f>
        <v>---</v>
      </c>
      <c r="V316" s="41" t="str">
        <f>SUBSTITUTE(IFERROR(INDEX(_group_[],MATCH(CONCATENATE(_SCHEDULE_[[#This Row],[CONTEST_CODE]],"_",$V$2),_group_[ИД2],0),MATCH($V$1,_group_[#Headers],0)),"---"),".",",")</f>
        <v>---</v>
      </c>
      <c r="W316" s="41" t="str">
        <f>IFERROR(INDEX(_INDICATOR_[],MATCH(_SCHEDULE_[[#This Row],[CONTEST_CODE]],_INDICATOR_[CONTEST_CODE],0),MATCH($W$2,_INDICATOR_[#Headers],0)),"-")</f>
        <v>WAIT</v>
      </c>
      <c r="X316" s="41" t="str">
        <f>IFERROR(INDEX(_group_[],MATCH(_SCHEDULE_[[#This Row],[CONTEST_CODE]],_group_[CONTEST_CODE],0),MATCH($X$2,_group_[#Headers],0)),"-")</f>
        <v>BANK</v>
      </c>
      <c r="Y316" s="61" t="str">
        <f>IFERROR(INDEX(_DATA_[],MATCH(_SCHEDULE_[[#This Row],[CONTEST_CODE]],_DATA_[CONTEST_CODE],0),MATCH($Y$2,_DATA_[#Headers],0)),"-")</f>
        <v>Максимальный полученный доход от продажи продуктов СберЗдоровье</v>
      </c>
      <c r="Z316" s="41" t="str">
        <f>IFERROR(INDEX(_reward_link_[],MATCH(_SCHEDULE_[[#This Row],[CONTEST_CODE]],_reward_link_[CONTEST_CODE],0),MATCH($Z$2,_reward_link_[#Headers],0)),"-")</f>
        <v>BANK</v>
      </c>
      <c r="AA316" s="41" t="str">
        <f>IFERROR(INDEX(_report[],MATCH(_SCHEDULE_[[#This Row],[CONTEST_CODE]],_report[CONTEST_CODE],0),MATCH($AA$2,_report[#Headers],0)),"-")</f>
        <v>-</v>
      </c>
      <c r="AB316"/>
    </row>
    <row r="317" spans="1:28" hidden="1" x14ac:dyDescent="0.25">
      <c r="A317" s="14" t="s">
        <v>3247</v>
      </c>
      <c r="B317" s="14" t="s">
        <v>2533</v>
      </c>
      <c r="C317" s="14" t="s">
        <v>2508</v>
      </c>
      <c r="D317" s="14" t="s">
        <v>2534</v>
      </c>
      <c r="E317" s="14" t="s">
        <v>4152</v>
      </c>
      <c r="F317" s="14" t="s">
        <v>194</v>
      </c>
      <c r="G317" s="14" t="s">
        <v>194</v>
      </c>
      <c r="H317" s="14" t="s">
        <v>194</v>
      </c>
      <c r="I317" s="14" t="s">
        <v>194</v>
      </c>
      <c r="J317" s="14" t="s">
        <v>194</v>
      </c>
      <c r="K317" s="14" t="s">
        <v>176</v>
      </c>
      <c r="L317" s="14" t="s">
        <v>3102</v>
      </c>
      <c r="M317" s="14" t="s">
        <v>3607</v>
      </c>
      <c r="N317" s="14" t="s">
        <v>2</v>
      </c>
      <c r="O317" s="14" t="s">
        <v>3248</v>
      </c>
      <c r="P317" s="14" t="s">
        <v>1064</v>
      </c>
      <c r="R317" s="38">
        <f>IFERROR(COUNTIFS(_report[TOURNAMENT_CODE],_SCHEDULE_[[#This Row],[TOURNAMENT_CODE]],_report[CONTEST_CODE],_SCHEDULE_[[#This Row],[CONTEST_CODE]]),"-")</f>
        <v>0</v>
      </c>
      <c r="S317" s="41" t="str">
        <f>SUBSTITUTE(IFERROR(INDEX(_group_[],MATCH(CONCATENATE(_SCHEDULE_[[#This Row],[CONTEST_CODE]],"_",$S$2),_group_[ИД2],0),MATCH($S$1,_group_[#Headers],0)),"---"),".",",")</f>
        <v>BANK</v>
      </c>
      <c r="T317" s="41" t="str">
        <f>SUBSTITUTE(IFERROR(INDEX(_group_[],MATCH(CONCATENATE(_SCHEDULE_[[#This Row],[CONTEST_CODE]],"_",$T$2),_group_[ИД2],0),MATCH($T$1,_group_[#Headers],0)),"---"),".",",")</f>
        <v>TB</v>
      </c>
      <c r="U317" s="41" t="str">
        <f>SUBSTITUTE(IFERROR(INDEX(_group_[],MATCH(CONCATENATE(_SCHEDULE_[[#This Row],[CONTEST_CODE]],"_",$U$2),_group_[ИД2],0),MATCH($U$1,_group_[#Headers],0)),"---"),".",",")</f>
        <v>---</v>
      </c>
      <c r="V317" s="41" t="str">
        <f>SUBSTITUTE(IFERROR(INDEX(_group_[],MATCH(CONCATENATE(_SCHEDULE_[[#This Row],[CONTEST_CODE]],"_",$V$2),_group_[ИД2],0),MATCH($V$1,_group_[#Headers],0)),"---"),".",",")</f>
        <v>---</v>
      </c>
      <c r="W317" s="41" t="str">
        <f>IFERROR(INDEX(_INDICATOR_[],MATCH(_SCHEDULE_[[#This Row],[CONTEST_CODE]],_INDICATOR_[CONTEST_CODE],0),MATCH($W$2,_INDICATOR_[#Headers],0)),"-")</f>
        <v>WAIT</v>
      </c>
      <c r="X317" s="41" t="str">
        <f>IFERROR(INDEX(_group_[],MATCH(_SCHEDULE_[[#This Row],[CONTEST_CODE]],_group_[CONTEST_CODE],0),MATCH($X$2,_group_[#Headers],0)),"-")</f>
        <v>BANK</v>
      </c>
      <c r="Y317" s="61" t="str">
        <f>IFERROR(INDEX(_DATA_[],MATCH(_SCHEDULE_[[#This Row],[CONTEST_CODE]],_DATA_[CONTEST_CODE],0),MATCH($Y$2,_DATA_[#Headers],0)),"-")</f>
        <v>Экосистема. Лидер по числу сделок</v>
      </c>
      <c r="Z317" s="41" t="str">
        <f>IFERROR(INDEX(_reward_link_[],MATCH(_SCHEDULE_[[#This Row],[CONTEST_CODE]],_reward_link_[CONTEST_CODE],0),MATCH($Z$2,_reward_link_[#Headers],0)),"-")</f>
        <v>BANK</v>
      </c>
      <c r="AA317" s="41" t="str">
        <f>IFERROR(INDEX(_report[],MATCH(_SCHEDULE_[[#This Row],[CONTEST_CODE]],_report[CONTEST_CODE],0),MATCH($AA$2,_report[#Headers],0)),"-")</f>
        <v>-</v>
      </c>
      <c r="AB317"/>
    </row>
    <row r="318" spans="1:28" x14ac:dyDescent="0.25">
      <c r="A318" s="14" t="s">
        <v>3675</v>
      </c>
      <c r="B318" s="14" t="s">
        <v>3652</v>
      </c>
      <c r="C318" s="14" t="s">
        <v>4019</v>
      </c>
      <c r="D318" s="14" t="s">
        <v>2542</v>
      </c>
      <c r="E318" s="14" t="s">
        <v>3545</v>
      </c>
      <c r="F318" s="14" t="s">
        <v>194</v>
      </c>
      <c r="G318" s="14" t="s">
        <v>194</v>
      </c>
      <c r="H318" s="14" t="s">
        <v>194</v>
      </c>
      <c r="I318" s="14" t="s">
        <v>194</v>
      </c>
      <c r="J318" s="14" t="s">
        <v>194</v>
      </c>
      <c r="K318" s="14" t="s">
        <v>34</v>
      </c>
      <c r="L318" s="14" t="s">
        <v>3102</v>
      </c>
      <c r="M318" s="14" t="s">
        <v>3607</v>
      </c>
      <c r="N318" s="14" t="s">
        <v>2</v>
      </c>
      <c r="O318" s="14" t="s">
        <v>3676</v>
      </c>
      <c r="P318" s="14" t="s">
        <v>1064</v>
      </c>
      <c r="R318" s="38">
        <f>IFERROR(COUNTIFS(_report[TOURNAMENT_CODE],_SCHEDULE_[[#This Row],[TOURNAMENT_CODE]],_report[CONTEST_CODE],_SCHEDULE_[[#This Row],[CONTEST_CODE]]),"-")</f>
        <v>0</v>
      </c>
      <c r="S318" s="41" t="str">
        <f>SUBSTITUTE(IFERROR(INDEX(_group_[],MATCH(CONCATENATE(_SCHEDULE_[[#This Row],[CONTEST_CODE]],"_",$S$2),_group_[ИД2],0),MATCH($S$1,_group_[#Headers],0)),"---"),".",",")</f>
        <v>BANK</v>
      </c>
      <c r="T318" s="41" t="str">
        <f>SUBSTITUTE(IFERROR(INDEX(_group_[],MATCH(CONCATENATE(_SCHEDULE_[[#This Row],[CONTEST_CODE]],"_",$T$2),_group_[ИД2],0),MATCH($T$1,_group_[#Headers],0)),"---"),".",",")</f>
        <v>TB</v>
      </c>
      <c r="U318" s="41" t="str">
        <f>SUBSTITUTE(IFERROR(INDEX(_group_[],MATCH(CONCATENATE(_SCHEDULE_[[#This Row],[CONTEST_CODE]],"_",$U$2),_group_[ИД2],0),MATCH($U$1,_group_[#Headers],0)),"---"),".",",")</f>
        <v>---</v>
      </c>
      <c r="V318" s="41" t="str">
        <f>SUBSTITUTE(IFERROR(INDEX(_group_[],MATCH(CONCATENATE(_SCHEDULE_[[#This Row],[CONTEST_CODE]],"_",$V$2),_group_[ИД2],0),MATCH($V$1,_group_[#Headers],0)),"---"),".",",")</f>
        <v>---</v>
      </c>
      <c r="W318" s="41" t="str">
        <f>IFERROR(INDEX(_INDICATOR_[],MATCH(_SCHEDULE_[[#This Row],[CONTEST_CODE]],_INDICATOR_[CONTEST_CODE],0),MATCH($W$2,_INDICATOR_[#Headers],0)),"-")</f>
        <v>WAIT</v>
      </c>
      <c r="X318" s="41" t="str">
        <f>IFERROR(INDEX(_group_[],MATCH(_SCHEDULE_[[#This Row],[CONTEST_CODE]],_group_[CONTEST_CODE],0),MATCH($X$2,_group_[#Headers],0)),"-")</f>
        <v>BANK</v>
      </c>
      <c r="Y318" s="61" t="str">
        <f>IFERROR(INDEX(_DATA_[],MATCH(_SCHEDULE_[[#This Row],[CONTEST_CODE]],_DATA_[CONTEST_CODE],0),MATCH($Y$2,_DATA_[#Headers],0)),"-")</f>
        <v>Экосистема. Лидер по числу сделок</v>
      </c>
      <c r="Z318" s="41" t="str">
        <f>IFERROR(INDEX(_reward_link_[],MATCH(_SCHEDULE_[[#This Row],[CONTEST_CODE]],_reward_link_[CONTEST_CODE],0),MATCH($Z$2,_reward_link_[#Headers],0)),"-")</f>
        <v>BANK</v>
      </c>
      <c r="AA318" s="41" t="str">
        <f>IFERROR(INDEX(_report[],MATCH(_SCHEDULE_[[#This Row],[CONTEST_CODE]],_report[CONTEST_CODE],0),MATCH($AA$2,_report[#Headers],0)),"-")</f>
        <v>-</v>
      </c>
      <c r="AB318"/>
    </row>
    <row r="319" spans="1:28" hidden="1" x14ac:dyDescent="0.25">
      <c r="A319" s="14" t="s">
        <v>3249</v>
      </c>
      <c r="B319" s="14" t="s">
        <v>2533</v>
      </c>
      <c r="C319" s="14" t="s">
        <v>2508</v>
      </c>
      <c r="D319" s="14" t="s">
        <v>2534</v>
      </c>
      <c r="E319" s="14" t="s">
        <v>4152</v>
      </c>
      <c r="F319" s="14" t="s">
        <v>194</v>
      </c>
      <c r="G319" s="14" t="s">
        <v>194</v>
      </c>
      <c r="H319" s="14" t="s">
        <v>194</v>
      </c>
      <c r="I319" s="14" t="s">
        <v>194</v>
      </c>
      <c r="J319" s="14" t="s">
        <v>194</v>
      </c>
      <c r="K319" s="14" t="s">
        <v>176</v>
      </c>
      <c r="L319" s="14" t="s">
        <v>3105</v>
      </c>
      <c r="M319" s="14" t="s">
        <v>3607</v>
      </c>
      <c r="N319" s="14" t="s">
        <v>2</v>
      </c>
      <c r="O319" s="14" t="s">
        <v>3250</v>
      </c>
      <c r="P319" s="14" t="s">
        <v>1064</v>
      </c>
      <c r="R319" s="38">
        <f>IFERROR(COUNTIFS(_report[TOURNAMENT_CODE],_SCHEDULE_[[#This Row],[TOURNAMENT_CODE]],_report[CONTEST_CODE],_SCHEDULE_[[#This Row],[CONTEST_CODE]]),"-")</f>
        <v>0</v>
      </c>
      <c r="S319" s="41" t="str">
        <f>SUBSTITUTE(IFERROR(INDEX(_group_[],MATCH(CONCATENATE(_SCHEDULE_[[#This Row],[CONTEST_CODE]],"_",$S$2),_group_[ИД2],0),MATCH($S$1,_group_[#Headers],0)),"---"),".",",")</f>
        <v>BANK</v>
      </c>
      <c r="T319" s="41" t="str">
        <f>SUBSTITUTE(IFERROR(INDEX(_group_[],MATCH(CONCATENATE(_SCHEDULE_[[#This Row],[CONTEST_CODE]],"_",$T$2),_group_[ИД2],0),MATCH($T$1,_group_[#Headers],0)),"---"),".",",")</f>
        <v>TB</v>
      </c>
      <c r="U319" s="41" t="str">
        <f>SUBSTITUTE(IFERROR(INDEX(_group_[],MATCH(CONCATENATE(_SCHEDULE_[[#This Row],[CONTEST_CODE]],"_",$U$2),_group_[ИД2],0),MATCH($U$1,_group_[#Headers],0)),"---"),".",",")</f>
        <v>---</v>
      </c>
      <c r="V319" s="41" t="str">
        <f>SUBSTITUTE(IFERROR(INDEX(_group_[],MATCH(CONCATENATE(_SCHEDULE_[[#This Row],[CONTEST_CODE]],"_",$V$2),_group_[ИД2],0),MATCH($V$1,_group_[#Headers],0)),"---"),".",",")</f>
        <v>---</v>
      </c>
      <c r="W319" s="41" t="str">
        <f>IFERROR(INDEX(_INDICATOR_[],MATCH(_SCHEDULE_[[#This Row],[CONTEST_CODE]],_INDICATOR_[CONTEST_CODE],0),MATCH($W$2,_INDICATOR_[#Headers],0)),"-")</f>
        <v>WAIT</v>
      </c>
      <c r="X319" s="41" t="str">
        <f>IFERROR(INDEX(_group_[],MATCH(_SCHEDULE_[[#This Row],[CONTEST_CODE]],_group_[CONTEST_CODE],0),MATCH($X$2,_group_[#Headers],0)),"-")</f>
        <v>BANK</v>
      </c>
      <c r="Y319" s="61" t="str">
        <f>IFERROR(INDEX(_DATA_[],MATCH(_SCHEDULE_[[#This Row],[CONTEST_CODE]],_DATA_[CONTEST_CODE],0),MATCH($Y$2,_DATA_[#Headers],0)),"-")</f>
        <v>Лидер по продажам продуктов AI-native</v>
      </c>
      <c r="Z319" s="41" t="str">
        <f>IFERROR(INDEX(_reward_link_[],MATCH(_SCHEDULE_[[#This Row],[CONTEST_CODE]],_reward_link_[CONTEST_CODE],0),MATCH($Z$2,_reward_link_[#Headers],0)),"-")</f>
        <v>BANK</v>
      </c>
      <c r="AA319" s="41" t="str">
        <f>IFERROR(INDEX(_report[],MATCH(_SCHEDULE_[[#This Row],[CONTEST_CODE]],_report[CONTEST_CODE],0),MATCH($AA$2,_report[#Headers],0)),"-")</f>
        <v>-</v>
      </c>
      <c r="AB319"/>
    </row>
    <row r="320" spans="1:28" x14ac:dyDescent="0.25">
      <c r="A320" s="14" t="s">
        <v>3677</v>
      </c>
      <c r="B320" s="14" t="s">
        <v>3652</v>
      </c>
      <c r="C320" s="14" t="s">
        <v>4019</v>
      </c>
      <c r="D320" s="14" t="s">
        <v>2542</v>
      </c>
      <c r="E320" s="14" t="s">
        <v>3545</v>
      </c>
      <c r="F320" s="14" t="s">
        <v>194</v>
      </c>
      <c r="G320" s="14" t="s">
        <v>194</v>
      </c>
      <c r="H320" s="14" t="s">
        <v>194</v>
      </c>
      <c r="I320" s="14" t="s">
        <v>194</v>
      </c>
      <c r="J320" s="14" t="s">
        <v>194</v>
      </c>
      <c r="K320" s="14" t="s">
        <v>34</v>
      </c>
      <c r="L320" s="14" t="s">
        <v>3105</v>
      </c>
      <c r="M320" s="14" t="s">
        <v>3607</v>
      </c>
      <c r="N320" s="14" t="s">
        <v>2</v>
      </c>
      <c r="O320" s="14" t="s">
        <v>3678</v>
      </c>
      <c r="P320" s="14" t="s">
        <v>1064</v>
      </c>
      <c r="R320" s="38">
        <f>IFERROR(COUNTIFS(_report[TOURNAMENT_CODE],_SCHEDULE_[[#This Row],[TOURNAMENT_CODE]],_report[CONTEST_CODE],_SCHEDULE_[[#This Row],[CONTEST_CODE]]),"-")</f>
        <v>0</v>
      </c>
      <c r="S320" s="41" t="str">
        <f>SUBSTITUTE(IFERROR(INDEX(_group_[],MATCH(CONCATENATE(_SCHEDULE_[[#This Row],[CONTEST_CODE]],"_",$S$2),_group_[ИД2],0),MATCH($S$1,_group_[#Headers],0)),"---"),".",",")</f>
        <v>BANK</v>
      </c>
      <c r="T320" s="41" t="str">
        <f>SUBSTITUTE(IFERROR(INDEX(_group_[],MATCH(CONCATENATE(_SCHEDULE_[[#This Row],[CONTEST_CODE]],"_",$T$2),_group_[ИД2],0),MATCH($T$1,_group_[#Headers],0)),"---"),".",",")</f>
        <v>TB</v>
      </c>
      <c r="U320" s="41" t="str">
        <f>SUBSTITUTE(IFERROR(INDEX(_group_[],MATCH(CONCATENATE(_SCHEDULE_[[#This Row],[CONTEST_CODE]],"_",$U$2),_group_[ИД2],0),MATCH($U$1,_group_[#Headers],0)),"---"),".",",")</f>
        <v>---</v>
      </c>
      <c r="V320" s="41" t="str">
        <f>SUBSTITUTE(IFERROR(INDEX(_group_[],MATCH(CONCATENATE(_SCHEDULE_[[#This Row],[CONTEST_CODE]],"_",$V$2),_group_[ИД2],0),MATCH($V$1,_group_[#Headers],0)),"---"),".",",")</f>
        <v>---</v>
      </c>
      <c r="W320" s="41" t="str">
        <f>IFERROR(INDEX(_INDICATOR_[],MATCH(_SCHEDULE_[[#This Row],[CONTEST_CODE]],_INDICATOR_[CONTEST_CODE],0),MATCH($W$2,_INDICATOR_[#Headers],0)),"-")</f>
        <v>WAIT</v>
      </c>
      <c r="X320" s="41" t="str">
        <f>IFERROR(INDEX(_group_[],MATCH(_SCHEDULE_[[#This Row],[CONTEST_CODE]],_group_[CONTEST_CODE],0),MATCH($X$2,_group_[#Headers],0)),"-")</f>
        <v>BANK</v>
      </c>
      <c r="Y320" s="61" t="str">
        <f>IFERROR(INDEX(_DATA_[],MATCH(_SCHEDULE_[[#This Row],[CONTEST_CODE]],_DATA_[CONTEST_CODE],0),MATCH($Y$2,_DATA_[#Headers],0)),"-")</f>
        <v>Лидер по продажам продуктов AI-native</v>
      </c>
      <c r="Z320" s="41" t="str">
        <f>IFERROR(INDEX(_reward_link_[],MATCH(_SCHEDULE_[[#This Row],[CONTEST_CODE]],_reward_link_[CONTEST_CODE],0),MATCH($Z$2,_reward_link_[#Headers],0)),"-")</f>
        <v>BANK</v>
      </c>
      <c r="AA320" s="41" t="str">
        <f>IFERROR(INDEX(_report[],MATCH(_SCHEDULE_[[#This Row],[CONTEST_CODE]],_report[CONTEST_CODE],0),MATCH($AA$2,_report[#Headers],0)),"-")</f>
        <v>-</v>
      </c>
      <c r="AB320"/>
    </row>
    <row r="321" spans="1:28" hidden="1" x14ac:dyDescent="0.25">
      <c r="A321" s="14" t="s">
        <v>3251</v>
      </c>
      <c r="B321" s="14" t="s">
        <v>2533</v>
      </c>
      <c r="C321" s="14" t="s">
        <v>2508</v>
      </c>
      <c r="D321" s="14" t="s">
        <v>2534</v>
      </c>
      <c r="E321" s="14" t="s">
        <v>4152</v>
      </c>
      <c r="F321" s="14" t="s">
        <v>194</v>
      </c>
      <c r="G321" s="14" t="s">
        <v>194</v>
      </c>
      <c r="H321" s="14" t="s">
        <v>194</v>
      </c>
      <c r="I321" s="14" t="s">
        <v>194</v>
      </c>
      <c r="J321" s="14" t="s">
        <v>194</v>
      </c>
      <c r="K321" s="14" t="s">
        <v>176</v>
      </c>
      <c r="L321" s="14" t="s">
        <v>3108</v>
      </c>
      <c r="M321" s="14" t="s">
        <v>3607</v>
      </c>
      <c r="N321" s="14" t="s">
        <v>2</v>
      </c>
      <c r="O321" s="14" t="s">
        <v>3252</v>
      </c>
      <c r="P321" s="14" t="s">
        <v>1064</v>
      </c>
      <c r="R321" s="38">
        <f>IFERROR(COUNTIFS(_report[TOURNAMENT_CODE],_SCHEDULE_[[#This Row],[TOURNAMENT_CODE]],_report[CONTEST_CODE],_SCHEDULE_[[#This Row],[CONTEST_CODE]]),"-")</f>
        <v>0</v>
      </c>
      <c r="S321" s="41" t="str">
        <f>SUBSTITUTE(IFERROR(INDEX(_group_[],MATCH(CONCATENATE(_SCHEDULE_[[#This Row],[CONTEST_CODE]],"_",$S$2),_group_[ИД2],0),MATCH($S$1,_group_[#Headers],0)),"---"),".",",")</f>
        <v>BANK</v>
      </c>
      <c r="T321" s="41" t="str">
        <f>SUBSTITUTE(IFERROR(INDEX(_group_[],MATCH(CONCATENATE(_SCHEDULE_[[#This Row],[CONTEST_CODE]],"_",$T$2),_group_[ИД2],0),MATCH($T$1,_group_[#Headers],0)),"---"),".",",")</f>
        <v>TB</v>
      </c>
      <c r="U321" s="41" t="str">
        <f>SUBSTITUTE(IFERROR(INDEX(_group_[],MATCH(CONCATENATE(_SCHEDULE_[[#This Row],[CONTEST_CODE]],"_",$U$2),_group_[ИД2],0),MATCH($U$1,_group_[#Headers],0)),"---"),".",",")</f>
        <v>---</v>
      </c>
      <c r="V321" s="41" t="str">
        <f>SUBSTITUTE(IFERROR(INDEX(_group_[],MATCH(CONCATENATE(_SCHEDULE_[[#This Row],[CONTEST_CODE]],"_",$V$2),_group_[ИД2],0),MATCH($V$1,_group_[#Headers],0)),"---"),".",",")</f>
        <v>---</v>
      </c>
      <c r="W321" s="41" t="str">
        <f>IFERROR(INDEX(_INDICATOR_[],MATCH(_SCHEDULE_[[#This Row],[CONTEST_CODE]],_INDICATOR_[CONTEST_CODE],0),MATCH($W$2,_INDICATOR_[#Headers],0)),"-")</f>
        <v>WAIT</v>
      </c>
      <c r="X321" s="41" t="str">
        <f>IFERROR(INDEX(_group_[],MATCH(_SCHEDULE_[[#This Row],[CONTEST_CODE]],_group_[CONTEST_CODE],0),MATCH($X$2,_group_[#Headers],0)),"-")</f>
        <v>BANK</v>
      </c>
      <c r="Y321" s="61" t="str">
        <f>IFERROR(INDEX(_DATA_[],MATCH(_SCHEDULE_[[#This Row],[CONTEST_CODE]],_DATA_[CONTEST_CODE],0),MATCH($Y$2,_DATA_[#Headers],0)),"-")</f>
        <v>Лидер по продажам продуктов HR направления</v>
      </c>
      <c r="Z321" s="41" t="str">
        <f>IFERROR(INDEX(_reward_link_[],MATCH(_SCHEDULE_[[#This Row],[CONTEST_CODE]],_reward_link_[CONTEST_CODE],0),MATCH($Z$2,_reward_link_[#Headers],0)),"-")</f>
        <v>BANK</v>
      </c>
      <c r="AA321" s="41" t="str">
        <f>IFERROR(INDEX(_report[],MATCH(_SCHEDULE_[[#This Row],[CONTEST_CODE]],_report[CONTEST_CODE],0),MATCH($AA$2,_report[#Headers],0)),"-")</f>
        <v>-</v>
      </c>
      <c r="AB321"/>
    </row>
    <row r="322" spans="1:28" x14ac:dyDescent="0.25">
      <c r="A322" s="14" t="s">
        <v>3679</v>
      </c>
      <c r="B322" s="14" t="s">
        <v>3652</v>
      </c>
      <c r="C322" s="14" t="s">
        <v>4019</v>
      </c>
      <c r="D322" s="14" t="s">
        <v>2542</v>
      </c>
      <c r="E322" s="14" t="s">
        <v>3545</v>
      </c>
      <c r="F322" s="14" t="s">
        <v>194</v>
      </c>
      <c r="G322" s="14" t="s">
        <v>194</v>
      </c>
      <c r="H322" s="14" t="s">
        <v>194</v>
      </c>
      <c r="I322" s="14" t="s">
        <v>194</v>
      </c>
      <c r="J322" s="14" t="s">
        <v>194</v>
      </c>
      <c r="K322" s="14" t="s">
        <v>34</v>
      </c>
      <c r="L322" s="14" t="s">
        <v>3108</v>
      </c>
      <c r="M322" s="14" t="s">
        <v>3607</v>
      </c>
      <c r="N322" s="14" t="s">
        <v>2</v>
      </c>
      <c r="O322" s="14" t="s">
        <v>3680</v>
      </c>
      <c r="P322" s="14" t="s">
        <v>1064</v>
      </c>
      <c r="R322" s="38">
        <f>IFERROR(COUNTIFS(_report[TOURNAMENT_CODE],_SCHEDULE_[[#This Row],[TOURNAMENT_CODE]],_report[CONTEST_CODE],_SCHEDULE_[[#This Row],[CONTEST_CODE]]),"-")</f>
        <v>0</v>
      </c>
      <c r="S322" s="41" t="str">
        <f>SUBSTITUTE(IFERROR(INDEX(_group_[],MATCH(CONCATENATE(_SCHEDULE_[[#This Row],[CONTEST_CODE]],"_",$S$2),_group_[ИД2],0),MATCH($S$1,_group_[#Headers],0)),"---"),".",",")</f>
        <v>BANK</v>
      </c>
      <c r="T322" s="41" t="str">
        <f>SUBSTITUTE(IFERROR(INDEX(_group_[],MATCH(CONCATENATE(_SCHEDULE_[[#This Row],[CONTEST_CODE]],"_",$T$2),_group_[ИД2],0),MATCH($T$1,_group_[#Headers],0)),"---"),".",",")</f>
        <v>TB</v>
      </c>
      <c r="U322" s="41" t="str">
        <f>SUBSTITUTE(IFERROR(INDEX(_group_[],MATCH(CONCATENATE(_SCHEDULE_[[#This Row],[CONTEST_CODE]],"_",$U$2),_group_[ИД2],0),MATCH($U$1,_group_[#Headers],0)),"---"),".",",")</f>
        <v>---</v>
      </c>
      <c r="V322" s="41" t="str">
        <f>SUBSTITUTE(IFERROR(INDEX(_group_[],MATCH(CONCATENATE(_SCHEDULE_[[#This Row],[CONTEST_CODE]],"_",$V$2),_group_[ИД2],0),MATCH($V$1,_group_[#Headers],0)),"---"),".",",")</f>
        <v>---</v>
      </c>
      <c r="W322" s="41" t="str">
        <f>IFERROR(INDEX(_INDICATOR_[],MATCH(_SCHEDULE_[[#This Row],[CONTEST_CODE]],_INDICATOR_[CONTEST_CODE],0),MATCH($W$2,_INDICATOR_[#Headers],0)),"-")</f>
        <v>WAIT</v>
      </c>
      <c r="X322" s="41" t="str">
        <f>IFERROR(INDEX(_group_[],MATCH(_SCHEDULE_[[#This Row],[CONTEST_CODE]],_group_[CONTEST_CODE],0),MATCH($X$2,_group_[#Headers],0)),"-")</f>
        <v>BANK</v>
      </c>
      <c r="Y322" s="61" t="str">
        <f>IFERROR(INDEX(_DATA_[],MATCH(_SCHEDULE_[[#This Row],[CONTEST_CODE]],_DATA_[CONTEST_CODE],0),MATCH($Y$2,_DATA_[#Headers],0)),"-")</f>
        <v>Лидер по продажам продуктов HR направления</v>
      </c>
      <c r="Z322" s="41" t="str">
        <f>IFERROR(INDEX(_reward_link_[],MATCH(_SCHEDULE_[[#This Row],[CONTEST_CODE]],_reward_link_[CONTEST_CODE],0),MATCH($Z$2,_reward_link_[#Headers],0)),"-")</f>
        <v>BANK</v>
      </c>
      <c r="AA322" s="41" t="str">
        <f>IFERROR(INDEX(_report[],MATCH(_SCHEDULE_[[#This Row],[CONTEST_CODE]],_report[CONTEST_CODE],0),MATCH($AA$2,_report[#Headers],0)),"-")</f>
        <v>-</v>
      </c>
      <c r="AB322"/>
    </row>
    <row r="323" spans="1:28" hidden="1" x14ac:dyDescent="0.25">
      <c r="A323" s="14" t="s">
        <v>3253</v>
      </c>
      <c r="B323" s="14" t="s">
        <v>2533</v>
      </c>
      <c r="C323" s="14" t="s">
        <v>2508</v>
      </c>
      <c r="D323" s="14" t="s">
        <v>2534</v>
      </c>
      <c r="E323" s="14" t="s">
        <v>4152</v>
      </c>
      <c r="F323" s="14" t="s">
        <v>194</v>
      </c>
      <c r="G323" s="14" t="s">
        <v>194</v>
      </c>
      <c r="H323" s="14" t="s">
        <v>194</v>
      </c>
      <c r="I323" s="14" t="s">
        <v>194</v>
      </c>
      <c r="J323" s="14" t="s">
        <v>194</v>
      </c>
      <c r="K323" s="14" t="s">
        <v>176</v>
      </c>
      <c r="L323" s="14" t="s">
        <v>3111</v>
      </c>
      <c r="M323" s="14" t="s">
        <v>3607</v>
      </c>
      <c r="N323" s="14" t="s">
        <v>2</v>
      </c>
      <c r="O323" s="14" t="s">
        <v>3254</v>
      </c>
      <c r="P323" s="14" t="s">
        <v>1064</v>
      </c>
      <c r="R323" s="38">
        <f>IFERROR(COUNTIFS(_report[TOURNAMENT_CODE],_SCHEDULE_[[#This Row],[TOURNAMENT_CODE]],_report[CONTEST_CODE],_SCHEDULE_[[#This Row],[CONTEST_CODE]]),"-")</f>
        <v>0</v>
      </c>
      <c r="S323" s="41" t="str">
        <f>SUBSTITUTE(IFERROR(INDEX(_group_[],MATCH(CONCATENATE(_SCHEDULE_[[#This Row],[CONTEST_CODE]],"_",$S$2),_group_[ИД2],0),MATCH($S$1,_group_[#Headers],0)),"---"),".",",")</f>
        <v>BANK</v>
      </c>
      <c r="T323" s="41" t="str">
        <f>SUBSTITUTE(IFERROR(INDEX(_group_[],MATCH(CONCATENATE(_SCHEDULE_[[#This Row],[CONTEST_CODE]],"_",$T$2),_group_[ИД2],0),MATCH($T$1,_group_[#Headers],0)),"---"),".",",")</f>
        <v>TB</v>
      </c>
      <c r="U323" s="41" t="str">
        <f>SUBSTITUTE(IFERROR(INDEX(_group_[],MATCH(CONCATENATE(_SCHEDULE_[[#This Row],[CONTEST_CODE]],"_",$U$2),_group_[ИД2],0),MATCH($U$1,_group_[#Headers],0)),"---"),".",",")</f>
        <v>---</v>
      </c>
      <c r="V323" s="41" t="str">
        <f>SUBSTITUTE(IFERROR(INDEX(_group_[],MATCH(CONCATENATE(_SCHEDULE_[[#This Row],[CONTEST_CODE]],"_",$V$2),_group_[ИД2],0),MATCH($V$1,_group_[#Headers],0)),"---"),".",",")</f>
        <v>---</v>
      </c>
      <c r="W323" s="41" t="str">
        <f>IFERROR(INDEX(_INDICATOR_[],MATCH(_SCHEDULE_[[#This Row],[CONTEST_CODE]],_INDICATOR_[CONTEST_CODE],0),MATCH($W$2,_INDICATOR_[#Headers],0)),"-")</f>
        <v>WAIT</v>
      </c>
      <c r="X323" s="41" t="str">
        <f>IFERROR(INDEX(_group_[],MATCH(_SCHEDULE_[[#This Row],[CONTEST_CODE]],_group_[CONTEST_CODE],0),MATCH($X$2,_group_[#Headers],0)),"-")</f>
        <v>BANK</v>
      </c>
      <c r="Y323" s="61" t="str">
        <f>IFERROR(INDEX(_DATA_[],MATCH(_SCHEDULE_[[#This Row],[CONTEST_CODE]],_DATA_[CONTEST_CODE],0),MATCH($Y$2,_DATA_[#Headers],0)),"-")</f>
        <v>Лидер по продажам продуктов IT направления</v>
      </c>
      <c r="Z323" s="41" t="str">
        <f>IFERROR(INDEX(_reward_link_[],MATCH(_SCHEDULE_[[#This Row],[CONTEST_CODE]],_reward_link_[CONTEST_CODE],0),MATCH($Z$2,_reward_link_[#Headers],0)),"-")</f>
        <v>BANK</v>
      </c>
      <c r="AA323" s="41" t="str">
        <f>IFERROR(INDEX(_report[],MATCH(_SCHEDULE_[[#This Row],[CONTEST_CODE]],_report[CONTEST_CODE],0),MATCH($AA$2,_report[#Headers],0)),"-")</f>
        <v>-</v>
      </c>
      <c r="AB323"/>
    </row>
    <row r="324" spans="1:28" x14ac:dyDescent="0.25">
      <c r="A324" s="14" t="s">
        <v>3681</v>
      </c>
      <c r="B324" s="14" t="s">
        <v>3652</v>
      </c>
      <c r="C324" s="14" t="s">
        <v>4019</v>
      </c>
      <c r="D324" s="14" t="s">
        <v>2542</v>
      </c>
      <c r="E324" s="14" t="s">
        <v>3545</v>
      </c>
      <c r="F324" s="14" t="s">
        <v>194</v>
      </c>
      <c r="G324" s="14" t="s">
        <v>194</v>
      </c>
      <c r="H324" s="14" t="s">
        <v>194</v>
      </c>
      <c r="I324" s="14" t="s">
        <v>194</v>
      </c>
      <c r="J324" s="14" t="s">
        <v>194</v>
      </c>
      <c r="K324" s="14" t="s">
        <v>34</v>
      </c>
      <c r="L324" s="14" t="s">
        <v>3111</v>
      </c>
      <c r="M324" s="14" t="s">
        <v>3607</v>
      </c>
      <c r="N324" s="14" t="s">
        <v>2</v>
      </c>
      <c r="O324" s="14" t="s">
        <v>3682</v>
      </c>
      <c r="P324" s="14" t="s">
        <v>1064</v>
      </c>
      <c r="R324" s="38">
        <f>IFERROR(COUNTIFS(_report[TOURNAMENT_CODE],_SCHEDULE_[[#This Row],[TOURNAMENT_CODE]],_report[CONTEST_CODE],_SCHEDULE_[[#This Row],[CONTEST_CODE]]),"-")</f>
        <v>0</v>
      </c>
      <c r="S324" s="41" t="str">
        <f>SUBSTITUTE(IFERROR(INDEX(_group_[],MATCH(CONCATENATE(_SCHEDULE_[[#This Row],[CONTEST_CODE]],"_",$S$2),_group_[ИД2],0),MATCH($S$1,_group_[#Headers],0)),"---"),".",",")</f>
        <v>BANK</v>
      </c>
      <c r="T324" s="41" t="str">
        <f>SUBSTITUTE(IFERROR(INDEX(_group_[],MATCH(CONCATENATE(_SCHEDULE_[[#This Row],[CONTEST_CODE]],"_",$T$2),_group_[ИД2],0),MATCH($T$1,_group_[#Headers],0)),"---"),".",",")</f>
        <v>TB</v>
      </c>
      <c r="U324" s="41" t="str">
        <f>SUBSTITUTE(IFERROR(INDEX(_group_[],MATCH(CONCATENATE(_SCHEDULE_[[#This Row],[CONTEST_CODE]],"_",$U$2),_group_[ИД2],0),MATCH($U$1,_group_[#Headers],0)),"---"),".",",")</f>
        <v>---</v>
      </c>
      <c r="V324" s="41" t="str">
        <f>SUBSTITUTE(IFERROR(INDEX(_group_[],MATCH(CONCATENATE(_SCHEDULE_[[#This Row],[CONTEST_CODE]],"_",$V$2),_group_[ИД2],0),MATCH($V$1,_group_[#Headers],0)),"---"),".",",")</f>
        <v>---</v>
      </c>
      <c r="W324" s="41" t="str">
        <f>IFERROR(INDEX(_INDICATOR_[],MATCH(_SCHEDULE_[[#This Row],[CONTEST_CODE]],_INDICATOR_[CONTEST_CODE],0),MATCH($W$2,_INDICATOR_[#Headers],0)),"-")</f>
        <v>WAIT</v>
      </c>
      <c r="X324" s="41" t="str">
        <f>IFERROR(INDEX(_group_[],MATCH(_SCHEDULE_[[#This Row],[CONTEST_CODE]],_group_[CONTEST_CODE],0),MATCH($X$2,_group_[#Headers],0)),"-")</f>
        <v>BANK</v>
      </c>
      <c r="Y324" s="61" t="str">
        <f>IFERROR(INDEX(_DATA_[],MATCH(_SCHEDULE_[[#This Row],[CONTEST_CODE]],_DATA_[CONTEST_CODE],0),MATCH($Y$2,_DATA_[#Headers],0)),"-")</f>
        <v>Лидер по продажам продуктов IT направления</v>
      </c>
      <c r="Z324" s="41" t="str">
        <f>IFERROR(INDEX(_reward_link_[],MATCH(_SCHEDULE_[[#This Row],[CONTEST_CODE]],_reward_link_[CONTEST_CODE],0),MATCH($Z$2,_reward_link_[#Headers],0)),"-")</f>
        <v>BANK</v>
      </c>
      <c r="AA324" s="41" t="str">
        <f>IFERROR(INDEX(_report[],MATCH(_SCHEDULE_[[#This Row],[CONTEST_CODE]],_report[CONTEST_CODE],0),MATCH($AA$2,_report[#Headers],0)),"-")</f>
        <v>-</v>
      </c>
      <c r="AB324"/>
    </row>
    <row r="325" spans="1:28" hidden="1" x14ac:dyDescent="0.25">
      <c r="A325" s="14" t="s">
        <v>3255</v>
      </c>
      <c r="B325" s="14" t="s">
        <v>2533</v>
      </c>
      <c r="C325" s="14" t="s">
        <v>2508</v>
      </c>
      <c r="D325" s="14" t="s">
        <v>2534</v>
      </c>
      <c r="E325" s="14" t="s">
        <v>4152</v>
      </c>
      <c r="F325" s="14" t="s">
        <v>194</v>
      </c>
      <c r="G325" s="14" t="s">
        <v>194</v>
      </c>
      <c r="H325" s="14" t="s">
        <v>194</v>
      </c>
      <c r="I325" s="14" t="s">
        <v>194</v>
      </c>
      <c r="J325" s="14" t="s">
        <v>194</v>
      </c>
      <c r="K325" s="14" t="s">
        <v>176</v>
      </c>
      <c r="L325" s="14" t="s">
        <v>3114</v>
      </c>
      <c r="M325" s="14" t="s">
        <v>3607</v>
      </c>
      <c r="N325" s="14" t="s">
        <v>2</v>
      </c>
      <c r="O325" s="14" t="s">
        <v>3256</v>
      </c>
      <c r="P325" s="14" t="s">
        <v>1064</v>
      </c>
      <c r="R325" s="38">
        <f>IFERROR(COUNTIFS(_report[TOURNAMENT_CODE],_SCHEDULE_[[#This Row],[TOURNAMENT_CODE]],_report[CONTEST_CODE],_SCHEDULE_[[#This Row],[CONTEST_CODE]]),"-")</f>
        <v>0</v>
      </c>
      <c r="S325" s="41" t="str">
        <f>SUBSTITUTE(IFERROR(INDEX(_group_[],MATCH(CONCATENATE(_SCHEDULE_[[#This Row],[CONTEST_CODE]],"_",$S$2),_group_[ИД2],0),MATCH($S$1,_group_[#Headers],0)),"---"),".",",")</f>
        <v>BANK</v>
      </c>
      <c r="T325" s="41" t="str">
        <f>SUBSTITUTE(IFERROR(INDEX(_group_[],MATCH(CONCATENATE(_SCHEDULE_[[#This Row],[CONTEST_CODE]],"_",$T$2),_group_[ИД2],0),MATCH($T$1,_group_[#Headers],0)),"---"),".",",")</f>
        <v>TB</v>
      </c>
      <c r="U325" s="41" t="str">
        <f>SUBSTITUTE(IFERROR(INDEX(_group_[],MATCH(CONCATENATE(_SCHEDULE_[[#This Row],[CONTEST_CODE]],"_",$U$2),_group_[ИД2],0),MATCH($U$1,_group_[#Headers],0)),"---"),".",",")</f>
        <v>---</v>
      </c>
      <c r="V325" s="41" t="str">
        <f>SUBSTITUTE(IFERROR(INDEX(_group_[],MATCH(CONCATENATE(_SCHEDULE_[[#This Row],[CONTEST_CODE]],"_",$V$2),_group_[ИД2],0),MATCH($V$1,_group_[#Headers],0)),"---"),".",",")</f>
        <v>---</v>
      </c>
      <c r="W325" s="41" t="str">
        <f>IFERROR(INDEX(_INDICATOR_[],MATCH(_SCHEDULE_[[#This Row],[CONTEST_CODE]],_INDICATOR_[CONTEST_CODE],0),MATCH($W$2,_INDICATOR_[#Headers],0)),"-")</f>
        <v>WAIT</v>
      </c>
      <c r="X325" s="41" t="str">
        <f>IFERROR(INDEX(_group_[],MATCH(_SCHEDULE_[[#This Row],[CONTEST_CODE]],_group_[CONTEST_CODE],0),MATCH($X$2,_group_[#Headers],0)),"-")</f>
        <v>BANK</v>
      </c>
      <c r="Y325" s="61" t="str">
        <f>IFERROR(INDEX(_DATA_[],MATCH(_SCHEDULE_[[#This Row],[CONTEST_CODE]],_DATA_[CONTEST_CODE],0),MATCH($Y$2,_DATA_[#Headers],0)),"-")</f>
        <v>Лидер по продажам продуктов COM направления</v>
      </c>
      <c r="Z325" s="41" t="str">
        <f>IFERROR(INDEX(_reward_link_[],MATCH(_SCHEDULE_[[#This Row],[CONTEST_CODE]],_reward_link_[CONTEST_CODE],0),MATCH($Z$2,_reward_link_[#Headers],0)),"-")</f>
        <v>BANK</v>
      </c>
      <c r="AA325" s="41" t="str">
        <f>IFERROR(INDEX(_report[],MATCH(_SCHEDULE_[[#This Row],[CONTEST_CODE]],_report[CONTEST_CODE],0),MATCH($AA$2,_report[#Headers],0)),"-")</f>
        <v>-</v>
      </c>
      <c r="AB325"/>
    </row>
    <row r="326" spans="1:28" x14ac:dyDescent="0.25">
      <c r="A326" s="14" t="s">
        <v>3683</v>
      </c>
      <c r="B326" s="14" t="s">
        <v>3652</v>
      </c>
      <c r="C326" s="14" t="s">
        <v>4019</v>
      </c>
      <c r="D326" s="14" t="s">
        <v>2542</v>
      </c>
      <c r="E326" s="14" t="s">
        <v>3545</v>
      </c>
      <c r="F326" s="14" t="s">
        <v>194</v>
      </c>
      <c r="G326" s="14" t="s">
        <v>194</v>
      </c>
      <c r="H326" s="14" t="s">
        <v>194</v>
      </c>
      <c r="I326" s="14" t="s">
        <v>194</v>
      </c>
      <c r="J326" s="14" t="s">
        <v>194</v>
      </c>
      <c r="K326" s="14" t="s">
        <v>34</v>
      </c>
      <c r="L326" s="14" t="s">
        <v>3114</v>
      </c>
      <c r="M326" s="14" t="s">
        <v>3607</v>
      </c>
      <c r="N326" s="14" t="s">
        <v>2</v>
      </c>
      <c r="O326" s="14" t="s">
        <v>3684</v>
      </c>
      <c r="P326" s="14" t="s">
        <v>1064</v>
      </c>
      <c r="R326" s="38">
        <f>IFERROR(COUNTIFS(_report[TOURNAMENT_CODE],_SCHEDULE_[[#This Row],[TOURNAMENT_CODE]],_report[CONTEST_CODE],_SCHEDULE_[[#This Row],[CONTEST_CODE]]),"-")</f>
        <v>0</v>
      </c>
      <c r="S326" s="41" t="str">
        <f>SUBSTITUTE(IFERROR(INDEX(_group_[],MATCH(CONCATENATE(_SCHEDULE_[[#This Row],[CONTEST_CODE]],"_",$S$2),_group_[ИД2],0),MATCH($S$1,_group_[#Headers],0)),"---"),".",",")</f>
        <v>BANK</v>
      </c>
      <c r="T326" s="41" t="str">
        <f>SUBSTITUTE(IFERROR(INDEX(_group_[],MATCH(CONCATENATE(_SCHEDULE_[[#This Row],[CONTEST_CODE]],"_",$T$2),_group_[ИД2],0),MATCH($T$1,_group_[#Headers],0)),"---"),".",",")</f>
        <v>TB</v>
      </c>
      <c r="U326" s="41" t="str">
        <f>SUBSTITUTE(IFERROR(INDEX(_group_[],MATCH(CONCATENATE(_SCHEDULE_[[#This Row],[CONTEST_CODE]],"_",$U$2),_group_[ИД2],0),MATCH($U$1,_group_[#Headers],0)),"---"),".",",")</f>
        <v>---</v>
      </c>
      <c r="V326" s="41" t="str">
        <f>SUBSTITUTE(IFERROR(INDEX(_group_[],MATCH(CONCATENATE(_SCHEDULE_[[#This Row],[CONTEST_CODE]],"_",$V$2),_group_[ИД2],0),MATCH($V$1,_group_[#Headers],0)),"---"),".",",")</f>
        <v>---</v>
      </c>
      <c r="W326" s="41" t="str">
        <f>IFERROR(INDEX(_INDICATOR_[],MATCH(_SCHEDULE_[[#This Row],[CONTEST_CODE]],_INDICATOR_[CONTEST_CODE],0),MATCH($W$2,_INDICATOR_[#Headers],0)),"-")</f>
        <v>WAIT</v>
      </c>
      <c r="X326" s="41" t="str">
        <f>IFERROR(INDEX(_group_[],MATCH(_SCHEDULE_[[#This Row],[CONTEST_CODE]],_group_[CONTEST_CODE],0),MATCH($X$2,_group_[#Headers],0)),"-")</f>
        <v>BANK</v>
      </c>
      <c r="Y326" s="61" t="str">
        <f>IFERROR(INDEX(_DATA_[],MATCH(_SCHEDULE_[[#This Row],[CONTEST_CODE]],_DATA_[CONTEST_CODE],0),MATCH($Y$2,_DATA_[#Headers],0)),"-")</f>
        <v>Лидер по продажам продуктов COM направления</v>
      </c>
      <c r="Z326" s="41" t="str">
        <f>IFERROR(INDEX(_reward_link_[],MATCH(_SCHEDULE_[[#This Row],[CONTEST_CODE]],_reward_link_[CONTEST_CODE],0),MATCH($Z$2,_reward_link_[#Headers],0)),"-")</f>
        <v>BANK</v>
      </c>
      <c r="AA326" s="41" t="str">
        <f>IFERROR(INDEX(_report[],MATCH(_SCHEDULE_[[#This Row],[CONTEST_CODE]],_report[CONTEST_CODE],0),MATCH($AA$2,_report[#Headers],0)),"-")</f>
        <v>-</v>
      </c>
      <c r="AB326"/>
    </row>
    <row r="327" spans="1:28" x14ac:dyDescent="0.25">
      <c r="A327" s="14" t="s">
        <v>3257</v>
      </c>
      <c r="B327" s="14" t="s">
        <v>146</v>
      </c>
      <c r="C327" s="14" t="s">
        <v>2508</v>
      </c>
      <c r="D327" s="14" t="s">
        <v>2542</v>
      </c>
      <c r="E327" s="14" t="s">
        <v>3258</v>
      </c>
      <c r="F327" s="14" t="s">
        <v>194</v>
      </c>
      <c r="G327" s="14" t="s">
        <v>194</v>
      </c>
      <c r="H327" s="14" t="s">
        <v>194</v>
      </c>
      <c r="I327" s="14" t="s">
        <v>194</v>
      </c>
      <c r="J327" s="14" t="s">
        <v>194</v>
      </c>
      <c r="K327" s="14" t="s">
        <v>34</v>
      </c>
      <c r="L327" s="14" t="s">
        <v>3117</v>
      </c>
      <c r="M327" s="14" t="s">
        <v>3603</v>
      </c>
      <c r="N327" s="14" t="s">
        <v>2</v>
      </c>
      <c r="O327" s="14" t="s">
        <v>3259</v>
      </c>
      <c r="P327" s="14" t="s">
        <v>1064</v>
      </c>
      <c r="R327" s="38">
        <f>IFERROR(COUNTIFS(_report[TOURNAMENT_CODE],_SCHEDULE_[[#This Row],[TOURNAMENT_CODE]],_report[CONTEST_CODE],_SCHEDULE_[[#This Row],[CONTEST_CODE]]),"-")</f>
        <v>0</v>
      </c>
      <c r="S327" s="41" t="str">
        <f>SUBSTITUTE(IFERROR(INDEX(_group_[],MATCH(CONCATENATE(_SCHEDULE_[[#This Row],[CONTEST_CODE]],"_",$S$2),_group_[ИД2],0),MATCH($S$1,_group_[#Headers],0)),"---"),".",",")</f>
        <v>BANK</v>
      </c>
      <c r="T327" s="41" t="str">
        <f>SUBSTITUTE(IFERROR(INDEX(_group_[],MATCH(CONCATENATE(_SCHEDULE_[[#This Row],[CONTEST_CODE]],"_",$T$2),_group_[ИД2],0),MATCH($T$1,_group_[#Headers],0)),"---"),".",",")</f>
        <v>---</v>
      </c>
      <c r="U327" s="41" t="str">
        <f>SUBSTITUTE(IFERROR(INDEX(_group_[],MATCH(CONCATENATE(_SCHEDULE_[[#This Row],[CONTEST_CODE]],"_",$U$2),_group_[ИД2],0),MATCH($U$1,_group_[#Headers],0)),"---"),".",",")</f>
        <v>---</v>
      </c>
      <c r="V327" s="41" t="str">
        <f>SUBSTITUTE(IFERROR(INDEX(_group_[],MATCH(CONCATENATE(_SCHEDULE_[[#This Row],[CONTEST_CODE]],"_",$V$2),_group_[ИД2],0),MATCH($V$1,_group_[#Headers],0)),"---"),".",",")</f>
        <v>---</v>
      </c>
      <c r="W327" s="41" t="str">
        <f>IFERROR(INDEX(_INDICATOR_[],MATCH(_SCHEDULE_[[#This Row],[CONTEST_CODE]],_INDICATOR_[CONTEST_CODE],0),MATCH($W$2,_INDICATOR_[#Headers],0)),"-")</f>
        <v>WAIT</v>
      </c>
      <c r="X327" s="41" t="str">
        <f>IFERROR(INDEX(_group_[],MATCH(_SCHEDULE_[[#This Row],[CONTEST_CODE]],_group_[CONTEST_CODE],0),MATCH($X$2,_group_[#Headers],0)),"-")</f>
        <v>BANK</v>
      </c>
      <c r="Y327" s="61" t="str">
        <f>IFERROR(INDEX(_DATA_[],MATCH(_SCHEDULE_[[#This Row],[CONTEST_CODE]],_DATA_[CONTEST_CODE],0),MATCH($Y$2,_DATA_[#Headers],0)),"-")</f>
        <v>Марафон исследований</v>
      </c>
      <c r="Z327" s="41" t="str">
        <f>IFERROR(INDEX(_reward_link_[],MATCH(_SCHEDULE_[[#This Row],[CONTEST_CODE]],_reward_link_[CONTEST_CODE],0),MATCH($Z$2,_reward_link_[#Headers],0)),"-")</f>
        <v>BANK</v>
      </c>
      <c r="AA327" s="41" t="str">
        <f>IFERROR(INDEX(_report[],MATCH(_SCHEDULE_[[#This Row],[CONTEST_CODE]],_report[CONTEST_CODE],0),MATCH($AA$2,_report[#Headers],0)),"-")</f>
        <v>-</v>
      </c>
      <c r="AB327"/>
    </row>
    <row r="328" spans="1:28" x14ac:dyDescent="0.25">
      <c r="A328" s="14" t="s">
        <v>3260</v>
      </c>
      <c r="B328" s="14" t="s">
        <v>146</v>
      </c>
      <c r="C328" s="14" t="s">
        <v>2508</v>
      </c>
      <c r="D328" s="14" t="s">
        <v>3232</v>
      </c>
      <c r="E328" s="14" t="s">
        <v>3233</v>
      </c>
      <c r="F328" s="14" t="s">
        <v>194</v>
      </c>
      <c r="G328" s="14" t="s">
        <v>194</v>
      </c>
      <c r="H328" s="14" t="s">
        <v>194</v>
      </c>
      <c r="I328" s="14" t="s">
        <v>194</v>
      </c>
      <c r="J328" s="14" t="s">
        <v>194</v>
      </c>
      <c r="K328" s="14" t="s">
        <v>34</v>
      </c>
      <c r="L328" s="14" t="s">
        <v>3119</v>
      </c>
      <c r="M328" s="14" t="s">
        <v>3603</v>
      </c>
      <c r="N328" s="14" t="s">
        <v>2</v>
      </c>
      <c r="O328" s="14" t="s">
        <v>3261</v>
      </c>
      <c r="P328" s="14" t="s">
        <v>1064</v>
      </c>
      <c r="R328" s="38">
        <f>IFERROR(COUNTIFS(_report[TOURNAMENT_CODE],_SCHEDULE_[[#This Row],[TOURNAMENT_CODE]],_report[CONTEST_CODE],_SCHEDULE_[[#This Row],[CONTEST_CODE]]),"-")</f>
        <v>0</v>
      </c>
      <c r="S328" s="41" t="str">
        <f>SUBSTITUTE(IFERROR(INDEX(_group_[],MATCH(CONCATENATE(_SCHEDULE_[[#This Row],[CONTEST_CODE]],"_",$S$2),_group_[ИД2],0),MATCH($S$1,_group_[#Headers],0)),"---"),".",",")</f>
        <v>BANK</v>
      </c>
      <c r="T328" s="41" t="str">
        <f>SUBSTITUTE(IFERROR(INDEX(_group_[],MATCH(CONCATENATE(_SCHEDULE_[[#This Row],[CONTEST_CODE]],"_",$T$2),_group_[ИД2],0),MATCH($T$1,_group_[#Headers],0)),"---"),".",",")</f>
        <v>---</v>
      </c>
      <c r="U328" s="41" t="str">
        <f>SUBSTITUTE(IFERROR(INDEX(_group_[],MATCH(CONCATENATE(_SCHEDULE_[[#This Row],[CONTEST_CODE]],"_",$U$2),_group_[ИД2],0),MATCH($U$1,_group_[#Headers],0)),"---"),".",",")</f>
        <v>---</v>
      </c>
      <c r="V328" s="41" t="str">
        <f>SUBSTITUTE(IFERROR(INDEX(_group_[],MATCH(CONCATENATE(_SCHEDULE_[[#This Row],[CONTEST_CODE]],"_",$V$2),_group_[ИД2],0),MATCH($V$1,_group_[#Headers],0)),"---"),".",",")</f>
        <v>---</v>
      </c>
      <c r="W328" s="41" t="str">
        <f>IFERROR(INDEX(_INDICATOR_[],MATCH(_SCHEDULE_[[#This Row],[CONTEST_CODE]],_INDICATOR_[CONTEST_CODE],0),MATCH($W$2,_INDICATOR_[#Headers],0)),"-")</f>
        <v>WAIT</v>
      </c>
      <c r="X328" s="41" t="str">
        <f>IFERROR(INDEX(_group_[],MATCH(_SCHEDULE_[[#This Row],[CONTEST_CODE]],_group_[CONTEST_CODE],0),MATCH($X$2,_group_[#Headers],0)),"-")</f>
        <v>BANK</v>
      </c>
      <c r="Y328" s="61" t="str">
        <f>IFERROR(INDEX(_DATA_[],MATCH(_SCHEDULE_[[#This Row],[CONTEST_CODE]],_DATA_[CONTEST_CODE],0),MATCH($Y$2,_DATA_[#Headers],0)),"-")</f>
        <v>Process Mining. Максимизируй комиссию</v>
      </c>
      <c r="Z328" s="41" t="str">
        <f>IFERROR(INDEX(_reward_link_[],MATCH(_SCHEDULE_[[#This Row],[CONTEST_CODE]],_reward_link_[CONTEST_CODE],0),MATCH($Z$2,_reward_link_[#Headers],0)),"-")</f>
        <v>BANK</v>
      </c>
      <c r="AA328" s="41" t="str">
        <f>IFERROR(INDEX(_report[],MATCH(_SCHEDULE_[[#This Row],[CONTEST_CODE]],_report[CONTEST_CODE],0),MATCH($AA$2,_report[#Headers],0)),"-")</f>
        <v>-</v>
      </c>
      <c r="AB328"/>
    </row>
    <row r="329" spans="1:28" x14ac:dyDescent="0.25">
      <c r="A329" s="14" t="s">
        <v>3262</v>
      </c>
      <c r="B329" s="14" t="s">
        <v>146</v>
      </c>
      <c r="C329" s="14" t="s">
        <v>2508</v>
      </c>
      <c r="D329" s="14" t="s">
        <v>3232</v>
      </c>
      <c r="E329" s="14" t="s">
        <v>3233</v>
      </c>
      <c r="F329" s="14" t="s">
        <v>194</v>
      </c>
      <c r="G329" s="14" t="s">
        <v>194</v>
      </c>
      <c r="H329" s="14" t="s">
        <v>194</v>
      </c>
      <c r="I329" s="14" t="s">
        <v>194</v>
      </c>
      <c r="J329" s="14" t="s">
        <v>194</v>
      </c>
      <c r="K329" s="14" t="s">
        <v>34</v>
      </c>
      <c r="L329" s="14" t="s">
        <v>3121</v>
      </c>
      <c r="M329" s="14" t="s">
        <v>3603</v>
      </c>
      <c r="N329" s="14" t="s">
        <v>2</v>
      </c>
      <c r="O329" s="14" t="s">
        <v>3263</v>
      </c>
      <c r="P329" s="14" t="s">
        <v>1064</v>
      </c>
      <c r="R329" s="38">
        <f>IFERROR(COUNTIFS(_report[TOURNAMENT_CODE],_SCHEDULE_[[#This Row],[TOURNAMENT_CODE]],_report[CONTEST_CODE],_SCHEDULE_[[#This Row],[CONTEST_CODE]]),"-")</f>
        <v>0</v>
      </c>
      <c r="S329" s="41" t="str">
        <f>SUBSTITUTE(IFERROR(INDEX(_group_[],MATCH(CONCATENATE(_SCHEDULE_[[#This Row],[CONTEST_CODE]],"_",$S$2),_group_[ИД2],0),MATCH($S$1,_group_[#Headers],0)),"---"),".",",")</f>
        <v>BANK</v>
      </c>
      <c r="T329" s="41" t="str">
        <f>SUBSTITUTE(IFERROR(INDEX(_group_[],MATCH(CONCATENATE(_SCHEDULE_[[#This Row],[CONTEST_CODE]],"_",$T$2),_group_[ИД2],0),MATCH($T$1,_group_[#Headers],0)),"---"),".",",")</f>
        <v>---</v>
      </c>
      <c r="U329" s="41" t="str">
        <f>SUBSTITUTE(IFERROR(INDEX(_group_[],MATCH(CONCATENATE(_SCHEDULE_[[#This Row],[CONTEST_CODE]],"_",$U$2),_group_[ИД2],0),MATCH($U$1,_group_[#Headers],0)),"---"),".",",")</f>
        <v>---</v>
      </c>
      <c r="V329" s="41" t="str">
        <f>SUBSTITUTE(IFERROR(INDEX(_group_[],MATCH(CONCATENATE(_SCHEDULE_[[#This Row],[CONTEST_CODE]],"_",$V$2),_group_[ИД2],0),MATCH($V$1,_group_[#Headers],0)),"---"),".",",")</f>
        <v>---</v>
      </c>
      <c r="W329" s="41" t="str">
        <f>IFERROR(INDEX(_INDICATOR_[],MATCH(_SCHEDULE_[[#This Row],[CONTEST_CODE]],_INDICATOR_[CONTEST_CODE],0),MATCH($W$2,_INDICATOR_[#Headers],0)),"-")</f>
        <v>WAIT</v>
      </c>
      <c r="X329" s="41" t="str">
        <f>IFERROR(INDEX(_group_[],MATCH(_SCHEDULE_[[#This Row],[CONTEST_CODE]],_group_[CONTEST_CODE],0),MATCH($X$2,_group_[#Headers],0)),"-")</f>
        <v>BANK</v>
      </c>
      <c r="Y329" s="61" t="str">
        <f>IFERROR(INDEX(_DATA_[],MATCH(_SCHEDULE_[[#This Row],[CONTEST_CODE]],_DATA_[CONTEST_CODE],0),MATCH($Y$2,_DATA_[#Headers],0)),"-")</f>
        <v>Навигатор BI. Максимизируй комиссию</v>
      </c>
      <c r="Z329" s="41" t="str">
        <f>IFERROR(INDEX(_reward_link_[],MATCH(_SCHEDULE_[[#This Row],[CONTEST_CODE]],_reward_link_[CONTEST_CODE],0),MATCH($Z$2,_reward_link_[#Headers],0)),"-")</f>
        <v>BANK</v>
      </c>
      <c r="AA329" s="41" t="str">
        <f>IFERROR(INDEX(_report[],MATCH(_SCHEDULE_[[#This Row],[CONTEST_CODE]],_report[CONTEST_CODE],0),MATCH($AA$2,_report[#Headers],0)),"-")</f>
        <v>-</v>
      </c>
      <c r="AB329"/>
    </row>
    <row r="330" spans="1:28" x14ac:dyDescent="0.25">
      <c r="A330" s="14" t="s">
        <v>3264</v>
      </c>
      <c r="B330" s="14" t="s">
        <v>146</v>
      </c>
      <c r="C330" s="14" t="s">
        <v>2508</v>
      </c>
      <c r="D330" s="14" t="s">
        <v>3232</v>
      </c>
      <c r="E330" s="14" t="s">
        <v>3233</v>
      </c>
      <c r="F330" s="14" t="s">
        <v>194</v>
      </c>
      <c r="G330" s="14" t="s">
        <v>194</v>
      </c>
      <c r="H330" s="14" t="s">
        <v>194</v>
      </c>
      <c r="I330" s="14" t="s">
        <v>194</v>
      </c>
      <c r="J330" s="14" t="s">
        <v>194</v>
      </c>
      <c r="K330" s="14" t="s">
        <v>34</v>
      </c>
      <c r="L330" s="14" t="s">
        <v>3123</v>
      </c>
      <c r="M330" s="14" t="s">
        <v>3603</v>
      </c>
      <c r="N330" s="14" t="s">
        <v>2</v>
      </c>
      <c r="O330" s="14" t="s">
        <v>3265</v>
      </c>
      <c r="P330" s="14" t="s">
        <v>1064</v>
      </c>
      <c r="R330" s="38">
        <f>IFERROR(COUNTIFS(_report[TOURNAMENT_CODE],_SCHEDULE_[[#This Row],[TOURNAMENT_CODE]],_report[CONTEST_CODE],_SCHEDULE_[[#This Row],[CONTEST_CODE]]),"-")</f>
        <v>0</v>
      </c>
      <c r="S330" s="41" t="str">
        <f>SUBSTITUTE(IFERROR(INDEX(_group_[],MATCH(CONCATENATE(_SCHEDULE_[[#This Row],[CONTEST_CODE]],"_",$S$2),_group_[ИД2],0),MATCH($S$1,_group_[#Headers],0)),"---"),".",",")</f>
        <v>BANK</v>
      </c>
      <c r="T330" s="41" t="str">
        <f>SUBSTITUTE(IFERROR(INDEX(_group_[],MATCH(CONCATENATE(_SCHEDULE_[[#This Row],[CONTEST_CODE]],"_",$T$2),_group_[ИД2],0),MATCH($T$1,_group_[#Headers],0)),"---"),".",",")</f>
        <v>---</v>
      </c>
      <c r="U330" s="41" t="str">
        <f>SUBSTITUTE(IFERROR(INDEX(_group_[],MATCH(CONCATENATE(_SCHEDULE_[[#This Row],[CONTEST_CODE]],"_",$U$2),_group_[ИД2],0),MATCH($U$1,_group_[#Headers],0)),"---"),".",",")</f>
        <v>---</v>
      </c>
      <c r="V330" s="41" t="str">
        <f>SUBSTITUTE(IFERROR(INDEX(_group_[],MATCH(CONCATENATE(_SCHEDULE_[[#This Row],[CONTEST_CODE]],"_",$V$2),_group_[ИД2],0),MATCH($V$1,_group_[#Headers],0)),"---"),".",",")</f>
        <v>---</v>
      </c>
      <c r="W330" s="41" t="str">
        <f>IFERROR(INDEX(_INDICATOR_[],MATCH(_SCHEDULE_[[#This Row],[CONTEST_CODE]],_INDICATOR_[CONTEST_CODE],0),MATCH($W$2,_INDICATOR_[#Headers],0)),"-")</f>
        <v>WAIT</v>
      </c>
      <c r="X330" s="41" t="str">
        <f>IFERROR(INDEX(_group_[],MATCH(_SCHEDULE_[[#This Row],[CONTEST_CODE]],_group_[CONTEST_CODE],0),MATCH($X$2,_group_[#Headers],0)),"-")</f>
        <v>BANK</v>
      </c>
      <c r="Y330" s="61" t="str">
        <f>IFERROR(INDEX(_DATA_[],MATCH(_SCHEDULE_[[#This Row],[CONTEST_CODE]],_DATA_[CONTEST_CODE],0),MATCH($Y$2,_DATA_[#Headers],0)),"-")</f>
        <v>СберИндексПро. Максимизируй комиссию</v>
      </c>
      <c r="Z330" s="41" t="str">
        <f>IFERROR(INDEX(_reward_link_[],MATCH(_SCHEDULE_[[#This Row],[CONTEST_CODE]],_reward_link_[CONTEST_CODE],0),MATCH($Z$2,_reward_link_[#Headers],0)),"-")</f>
        <v>BANK</v>
      </c>
      <c r="AA330" s="41" t="str">
        <f>IFERROR(INDEX(_report[],MATCH(_SCHEDULE_[[#This Row],[CONTEST_CODE]],_report[CONTEST_CODE],0),MATCH($AA$2,_report[#Headers],0)),"-")</f>
        <v>-</v>
      </c>
      <c r="AB330"/>
    </row>
    <row r="331" spans="1:28" x14ac:dyDescent="0.25">
      <c r="A331" s="14" t="s">
        <v>3266</v>
      </c>
      <c r="B331" s="14" t="s">
        <v>146</v>
      </c>
      <c r="C331" s="14" t="s">
        <v>2508</v>
      </c>
      <c r="D331" s="14" t="s">
        <v>3232</v>
      </c>
      <c r="E331" s="14" t="s">
        <v>3233</v>
      </c>
      <c r="F331" s="14" t="s">
        <v>194</v>
      </c>
      <c r="G331" s="14" t="s">
        <v>194</v>
      </c>
      <c r="H331" s="14" t="s">
        <v>194</v>
      </c>
      <c r="I331" s="14" t="s">
        <v>194</v>
      </c>
      <c r="J331" s="14" t="s">
        <v>194</v>
      </c>
      <c r="K331" s="14" t="s">
        <v>34</v>
      </c>
      <c r="L331" s="14" t="s">
        <v>3125</v>
      </c>
      <c r="M331" s="14" t="s">
        <v>3607</v>
      </c>
      <c r="N331" s="14" t="s">
        <v>2</v>
      </c>
      <c r="O331" s="14" t="s">
        <v>3267</v>
      </c>
      <c r="P331" s="14" t="s">
        <v>1064</v>
      </c>
      <c r="R331" s="38">
        <f>IFERROR(COUNTIFS(_report[TOURNAMENT_CODE],_SCHEDULE_[[#This Row],[TOURNAMENT_CODE]],_report[CONTEST_CODE],_SCHEDULE_[[#This Row],[CONTEST_CODE]]),"-")</f>
        <v>0</v>
      </c>
      <c r="S331" s="41" t="str">
        <f>SUBSTITUTE(IFERROR(INDEX(_group_[],MATCH(CONCATENATE(_SCHEDULE_[[#This Row],[CONTEST_CODE]],"_",$S$2),_group_[ИД2],0),MATCH($S$1,_group_[#Headers],0)),"---"),".",",")</f>
        <v>BANK</v>
      </c>
      <c r="T331" s="41" t="str">
        <f>SUBSTITUTE(IFERROR(INDEX(_group_[],MATCH(CONCATENATE(_SCHEDULE_[[#This Row],[CONTEST_CODE]],"_",$T$2),_group_[ИД2],0),MATCH($T$1,_group_[#Headers],0)),"---"),".",",")</f>
        <v>---</v>
      </c>
      <c r="U331" s="41" t="str">
        <f>SUBSTITUTE(IFERROR(INDEX(_group_[],MATCH(CONCATENATE(_SCHEDULE_[[#This Row],[CONTEST_CODE]],"_",$U$2),_group_[ИД2],0),MATCH($U$1,_group_[#Headers],0)),"---"),".",",")</f>
        <v>---</v>
      </c>
      <c r="V331" s="41" t="str">
        <f>SUBSTITUTE(IFERROR(INDEX(_group_[],MATCH(CONCATENATE(_SCHEDULE_[[#This Row],[CONTEST_CODE]],"_",$V$2),_group_[ИД2],0),MATCH($V$1,_group_[#Headers],0)),"---"),".",",")</f>
        <v>---</v>
      </c>
      <c r="W331" s="41" t="str">
        <f>IFERROR(INDEX(_INDICATOR_[],MATCH(_SCHEDULE_[[#This Row],[CONTEST_CODE]],_INDICATOR_[CONTEST_CODE],0),MATCH($W$2,_INDICATOR_[#Headers],0)),"-")</f>
        <v>WAIT</v>
      </c>
      <c r="X331" s="41" t="str">
        <f>IFERROR(INDEX(_group_[],MATCH(_SCHEDULE_[[#This Row],[CONTEST_CODE]],_group_[CONTEST_CODE],0),MATCH($X$2,_group_[#Headers],0)),"-")</f>
        <v>BANK</v>
      </c>
      <c r="Y331" s="61" t="str">
        <f>IFERROR(INDEX(_DATA_[],MATCH(_SCHEDULE_[[#This Row],[CONTEST_CODE]],_DATA_[CONTEST_CODE],0),MATCH($Y$2,_DATA_[#Headers],0)),"-")</f>
        <v>Process Mining. Максимизируй комиссию</v>
      </c>
      <c r="Z331" s="41" t="str">
        <f>IFERROR(INDEX(_reward_link_[],MATCH(_SCHEDULE_[[#This Row],[CONTEST_CODE]],_reward_link_[CONTEST_CODE],0),MATCH($Z$2,_reward_link_[#Headers],0)),"-")</f>
        <v>BANK</v>
      </c>
      <c r="AA331" s="41" t="str">
        <f>IFERROR(INDEX(_report[],MATCH(_SCHEDULE_[[#This Row],[CONTEST_CODE]],_report[CONTEST_CODE],0),MATCH($AA$2,_report[#Headers],0)),"-")</f>
        <v>-</v>
      </c>
      <c r="AB331"/>
    </row>
    <row r="332" spans="1:28" x14ac:dyDescent="0.25">
      <c r="A332" s="14" t="s">
        <v>3268</v>
      </c>
      <c r="B332" s="14" t="s">
        <v>146</v>
      </c>
      <c r="C332" s="14" t="s">
        <v>2508</v>
      </c>
      <c r="D332" s="14" t="s">
        <v>3232</v>
      </c>
      <c r="E332" s="14" t="s">
        <v>3233</v>
      </c>
      <c r="F332" s="14" t="s">
        <v>194</v>
      </c>
      <c r="G332" s="14" t="s">
        <v>194</v>
      </c>
      <c r="H332" s="14" t="s">
        <v>194</v>
      </c>
      <c r="I332" s="14" t="s">
        <v>194</v>
      </c>
      <c r="J332" s="14" t="s">
        <v>194</v>
      </c>
      <c r="K332" s="14" t="s">
        <v>34</v>
      </c>
      <c r="L332" s="14" t="s">
        <v>3127</v>
      </c>
      <c r="M332" s="14" t="s">
        <v>3607</v>
      </c>
      <c r="N332" s="14" t="s">
        <v>2</v>
      </c>
      <c r="O332" s="14" t="s">
        <v>3269</v>
      </c>
      <c r="P332" s="14" t="s">
        <v>1064</v>
      </c>
      <c r="R332" s="38">
        <f>IFERROR(COUNTIFS(_report[TOURNAMENT_CODE],_SCHEDULE_[[#This Row],[TOURNAMENT_CODE]],_report[CONTEST_CODE],_SCHEDULE_[[#This Row],[CONTEST_CODE]]),"-")</f>
        <v>0</v>
      </c>
      <c r="S332" s="41" t="str">
        <f>SUBSTITUTE(IFERROR(INDEX(_group_[],MATCH(CONCATENATE(_SCHEDULE_[[#This Row],[CONTEST_CODE]],"_",$S$2),_group_[ИД2],0),MATCH($S$1,_group_[#Headers],0)),"---"),".",",")</f>
        <v>BANK</v>
      </c>
      <c r="T332" s="41" t="str">
        <f>SUBSTITUTE(IFERROR(INDEX(_group_[],MATCH(CONCATENATE(_SCHEDULE_[[#This Row],[CONTEST_CODE]],"_",$T$2),_group_[ИД2],0),MATCH($T$1,_group_[#Headers],0)),"---"),".",",")</f>
        <v>---</v>
      </c>
      <c r="U332" s="41" t="str">
        <f>SUBSTITUTE(IFERROR(INDEX(_group_[],MATCH(CONCATENATE(_SCHEDULE_[[#This Row],[CONTEST_CODE]],"_",$U$2),_group_[ИД2],0),MATCH($U$1,_group_[#Headers],0)),"---"),".",",")</f>
        <v>---</v>
      </c>
      <c r="V332" s="41" t="str">
        <f>SUBSTITUTE(IFERROR(INDEX(_group_[],MATCH(CONCATENATE(_SCHEDULE_[[#This Row],[CONTEST_CODE]],"_",$V$2),_group_[ИД2],0),MATCH($V$1,_group_[#Headers],0)),"---"),".",",")</f>
        <v>---</v>
      </c>
      <c r="W332" s="41" t="str">
        <f>IFERROR(INDEX(_INDICATOR_[],MATCH(_SCHEDULE_[[#This Row],[CONTEST_CODE]],_INDICATOR_[CONTEST_CODE],0),MATCH($W$2,_INDICATOR_[#Headers],0)),"-")</f>
        <v>WAIT</v>
      </c>
      <c r="X332" s="41" t="str">
        <f>IFERROR(INDEX(_group_[],MATCH(_SCHEDULE_[[#This Row],[CONTEST_CODE]],_group_[CONTEST_CODE],0),MATCH($X$2,_group_[#Headers],0)),"-")</f>
        <v>BANK</v>
      </c>
      <c r="Y332" s="61" t="str">
        <f>IFERROR(INDEX(_DATA_[],MATCH(_SCHEDULE_[[#This Row],[CONTEST_CODE]],_DATA_[CONTEST_CODE],0),MATCH($Y$2,_DATA_[#Headers],0)),"-")</f>
        <v>Навигатор BI. Максимизируй комиссию</v>
      </c>
      <c r="Z332" s="41" t="str">
        <f>IFERROR(INDEX(_reward_link_[],MATCH(_SCHEDULE_[[#This Row],[CONTEST_CODE]],_reward_link_[CONTEST_CODE],0),MATCH($Z$2,_reward_link_[#Headers],0)),"-")</f>
        <v>BANK</v>
      </c>
      <c r="AA332" s="41" t="str">
        <f>IFERROR(INDEX(_report[],MATCH(_SCHEDULE_[[#This Row],[CONTEST_CODE]],_report[CONTEST_CODE],0),MATCH($AA$2,_report[#Headers],0)),"-")</f>
        <v>-</v>
      </c>
      <c r="AB332"/>
    </row>
    <row r="333" spans="1:28" x14ac:dyDescent="0.25">
      <c r="A333" s="14" t="s">
        <v>3270</v>
      </c>
      <c r="B333" s="14" t="s">
        <v>146</v>
      </c>
      <c r="C333" s="14" t="s">
        <v>2508</v>
      </c>
      <c r="D333" s="14" t="s">
        <v>3232</v>
      </c>
      <c r="E333" s="14" t="s">
        <v>3233</v>
      </c>
      <c r="F333" s="14" t="s">
        <v>194</v>
      </c>
      <c r="G333" s="14" t="s">
        <v>194</v>
      </c>
      <c r="H333" s="14" t="s">
        <v>194</v>
      </c>
      <c r="I333" s="14" t="s">
        <v>194</v>
      </c>
      <c r="J333" s="14" t="s">
        <v>194</v>
      </c>
      <c r="K333" s="14" t="s">
        <v>34</v>
      </c>
      <c r="L333" s="14" t="s">
        <v>3129</v>
      </c>
      <c r="M333" s="14" t="s">
        <v>3607</v>
      </c>
      <c r="N333" s="14" t="s">
        <v>2</v>
      </c>
      <c r="O333" s="14" t="s">
        <v>3271</v>
      </c>
      <c r="P333" s="14" t="s">
        <v>1064</v>
      </c>
      <c r="R333" s="38">
        <f>IFERROR(COUNTIFS(_report[TOURNAMENT_CODE],_SCHEDULE_[[#This Row],[TOURNAMENT_CODE]],_report[CONTEST_CODE],_SCHEDULE_[[#This Row],[CONTEST_CODE]]),"-")</f>
        <v>0</v>
      </c>
      <c r="S333" s="41" t="str">
        <f>SUBSTITUTE(IFERROR(INDEX(_group_[],MATCH(CONCATENATE(_SCHEDULE_[[#This Row],[CONTEST_CODE]],"_",$S$2),_group_[ИД2],0),MATCH($S$1,_group_[#Headers],0)),"---"),".",",")</f>
        <v>BANK</v>
      </c>
      <c r="T333" s="41" t="str">
        <f>SUBSTITUTE(IFERROR(INDEX(_group_[],MATCH(CONCATENATE(_SCHEDULE_[[#This Row],[CONTEST_CODE]],"_",$T$2),_group_[ИД2],0),MATCH($T$1,_group_[#Headers],0)),"---"),".",",")</f>
        <v>---</v>
      </c>
      <c r="U333" s="41" t="str">
        <f>SUBSTITUTE(IFERROR(INDEX(_group_[],MATCH(CONCATENATE(_SCHEDULE_[[#This Row],[CONTEST_CODE]],"_",$U$2),_group_[ИД2],0),MATCH($U$1,_group_[#Headers],0)),"---"),".",",")</f>
        <v>---</v>
      </c>
      <c r="V333" s="41" t="str">
        <f>SUBSTITUTE(IFERROR(INDEX(_group_[],MATCH(CONCATENATE(_SCHEDULE_[[#This Row],[CONTEST_CODE]],"_",$V$2),_group_[ИД2],0),MATCH($V$1,_group_[#Headers],0)),"---"),".",",")</f>
        <v>---</v>
      </c>
      <c r="W333" s="41" t="str">
        <f>IFERROR(INDEX(_INDICATOR_[],MATCH(_SCHEDULE_[[#This Row],[CONTEST_CODE]],_INDICATOR_[CONTEST_CODE],0),MATCH($W$2,_INDICATOR_[#Headers],0)),"-")</f>
        <v>WAIT</v>
      </c>
      <c r="X333" s="41" t="str">
        <f>IFERROR(INDEX(_group_[],MATCH(_SCHEDULE_[[#This Row],[CONTEST_CODE]],_group_[CONTEST_CODE],0),MATCH($X$2,_group_[#Headers],0)),"-")</f>
        <v>BANK</v>
      </c>
      <c r="Y333" s="61" t="str">
        <f>IFERROR(INDEX(_DATA_[],MATCH(_SCHEDULE_[[#This Row],[CONTEST_CODE]],_DATA_[CONTEST_CODE],0),MATCH($Y$2,_DATA_[#Headers],0)),"-")</f>
        <v>СберИндексПро. Максимизируй комиссию</v>
      </c>
      <c r="Z333" s="41" t="str">
        <f>IFERROR(INDEX(_reward_link_[],MATCH(_SCHEDULE_[[#This Row],[CONTEST_CODE]],_reward_link_[CONTEST_CODE],0),MATCH($Z$2,_reward_link_[#Headers],0)),"-")</f>
        <v>BANK</v>
      </c>
      <c r="AA333" s="41" t="str">
        <f>IFERROR(INDEX(_report[],MATCH(_SCHEDULE_[[#This Row],[CONTEST_CODE]],_report[CONTEST_CODE],0),MATCH($AA$2,_report[#Headers],0)),"-")</f>
        <v>-</v>
      </c>
      <c r="AB333"/>
    </row>
    <row r="334" spans="1:28" x14ac:dyDescent="0.25">
      <c r="A334" s="14" t="s">
        <v>3272</v>
      </c>
      <c r="B334" s="14" t="s">
        <v>146</v>
      </c>
      <c r="C334" s="14" t="s">
        <v>2508</v>
      </c>
      <c r="D334" s="14" t="s">
        <v>3232</v>
      </c>
      <c r="E334" s="14" t="s">
        <v>3233</v>
      </c>
      <c r="F334" s="14" t="s">
        <v>194</v>
      </c>
      <c r="G334" s="14" t="s">
        <v>194</v>
      </c>
      <c r="H334" s="14" t="s">
        <v>194</v>
      </c>
      <c r="I334" s="14" t="s">
        <v>194</v>
      </c>
      <c r="J334" s="14" t="s">
        <v>194</v>
      </c>
      <c r="K334" s="14" t="s">
        <v>34</v>
      </c>
      <c r="L334" s="14" t="s">
        <v>3131</v>
      </c>
      <c r="M334" s="14" t="s">
        <v>3603</v>
      </c>
      <c r="N334" s="14" t="s">
        <v>2</v>
      </c>
      <c r="O334" s="14" t="s">
        <v>3273</v>
      </c>
      <c r="P334" s="14" t="s">
        <v>1064</v>
      </c>
      <c r="R334" s="38">
        <f>IFERROR(COUNTIFS(_report[TOURNAMENT_CODE],_SCHEDULE_[[#This Row],[TOURNAMENT_CODE]],_report[CONTEST_CODE],_SCHEDULE_[[#This Row],[CONTEST_CODE]]),"-")</f>
        <v>0</v>
      </c>
      <c r="S334" s="41" t="str">
        <f>SUBSTITUTE(IFERROR(INDEX(_group_[],MATCH(CONCATENATE(_SCHEDULE_[[#This Row],[CONTEST_CODE]],"_",$S$2),_group_[ИД2],0),MATCH($S$1,_group_[#Headers],0)),"---"),".",",")</f>
        <v>BANK</v>
      </c>
      <c r="T334" s="41" t="str">
        <f>SUBSTITUTE(IFERROR(INDEX(_group_[],MATCH(CONCATENATE(_SCHEDULE_[[#This Row],[CONTEST_CODE]],"_",$T$2),_group_[ИД2],0),MATCH($T$1,_group_[#Headers],0)),"---"),".",",")</f>
        <v>---</v>
      </c>
      <c r="U334" s="41" t="str">
        <f>SUBSTITUTE(IFERROR(INDEX(_group_[],MATCH(CONCATENATE(_SCHEDULE_[[#This Row],[CONTEST_CODE]],"_",$U$2),_group_[ИД2],0),MATCH($U$1,_group_[#Headers],0)),"---"),".",",")</f>
        <v>---</v>
      </c>
      <c r="V334" s="41" t="str">
        <f>SUBSTITUTE(IFERROR(INDEX(_group_[],MATCH(CONCATENATE(_SCHEDULE_[[#This Row],[CONTEST_CODE]],"_",$V$2),_group_[ИД2],0),MATCH($V$1,_group_[#Headers],0)),"---"),".",",")</f>
        <v>---</v>
      </c>
      <c r="W334" s="41" t="str">
        <f>IFERROR(INDEX(_INDICATOR_[],MATCH(_SCHEDULE_[[#This Row],[CONTEST_CODE]],_INDICATOR_[CONTEST_CODE],0),MATCH($W$2,_INDICATOR_[#Headers],0)),"-")</f>
        <v>WAIT</v>
      </c>
      <c r="X334" s="41" t="str">
        <f>IFERROR(INDEX(_group_[],MATCH(_SCHEDULE_[[#This Row],[CONTEST_CODE]],_group_[CONTEST_CODE],0),MATCH($X$2,_group_[#Headers],0)),"-")</f>
        <v>BANK</v>
      </c>
      <c r="Y334" s="61" t="str">
        <f>IFERROR(INDEX(_DATA_[],MATCH(_SCHEDULE_[[#This Row],[CONTEST_CODE]],_DATA_[CONTEST_CODE],0),MATCH($Y$2,_DATA_[#Headers],0)),"-")</f>
        <v>2 клиента по Process Mining</v>
      </c>
      <c r="Z334" s="41" t="str">
        <f>IFERROR(INDEX(_reward_link_[],MATCH(_SCHEDULE_[[#This Row],[CONTEST_CODE]],_reward_link_[CONTEST_CODE],0),MATCH($Z$2,_reward_link_[#Headers],0)),"-")</f>
        <v>BANK</v>
      </c>
      <c r="AA334" s="41" t="str">
        <f>IFERROR(INDEX(_report[],MATCH(_SCHEDULE_[[#This Row],[CONTEST_CODE]],_report[CONTEST_CODE],0),MATCH($AA$2,_report[#Headers],0)),"-")</f>
        <v>-</v>
      </c>
      <c r="AB334"/>
    </row>
    <row r="335" spans="1:28" x14ac:dyDescent="0.25">
      <c r="A335" s="14" t="s">
        <v>3274</v>
      </c>
      <c r="B335" s="14" t="s">
        <v>146</v>
      </c>
      <c r="C335" s="14" t="s">
        <v>2508</v>
      </c>
      <c r="D335" s="14" t="s">
        <v>3232</v>
      </c>
      <c r="E335" s="14" t="s">
        <v>3233</v>
      </c>
      <c r="F335" s="14" t="s">
        <v>194</v>
      </c>
      <c r="G335" s="14" t="s">
        <v>194</v>
      </c>
      <c r="H335" s="14" t="s">
        <v>194</v>
      </c>
      <c r="I335" s="14" t="s">
        <v>194</v>
      </c>
      <c r="J335" s="14" t="s">
        <v>194</v>
      </c>
      <c r="K335" s="14" t="s">
        <v>34</v>
      </c>
      <c r="L335" s="14" t="s">
        <v>3133</v>
      </c>
      <c r="M335" s="14" t="s">
        <v>3603</v>
      </c>
      <c r="N335" s="14" t="s">
        <v>2</v>
      </c>
      <c r="O335" s="14" t="s">
        <v>3275</v>
      </c>
      <c r="P335" s="14" t="s">
        <v>1064</v>
      </c>
      <c r="R335" s="38">
        <f>IFERROR(COUNTIFS(_report[TOURNAMENT_CODE],_SCHEDULE_[[#This Row],[TOURNAMENT_CODE]],_report[CONTEST_CODE],_SCHEDULE_[[#This Row],[CONTEST_CODE]]),"-")</f>
        <v>0</v>
      </c>
      <c r="S335" s="41" t="str">
        <f>SUBSTITUTE(IFERROR(INDEX(_group_[],MATCH(CONCATENATE(_SCHEDULE_[[#This Row],[CONTEST_CODE]],"_",$S$2),_group_[ИД2],0),MATCH($S$1,_group_[#Headers],0)),"---"),".",",")</f>
        <v>BANK</v>
      </c>
      <c r="T335" s="41" t="str">
        <f>SUBSTITUTE(IFERROR(INDEX(_group_[],MATCH(CONCATENATE(_SCHEDULE_[[#This Row],[CONTEST_CODE]],"_",$T$2),_group_[ИД2],0),MATCH($T$1,_group_[#Headers],0)),"---"),".",",")</f>
        <v>---</v>
      </c>
      <c r="U335" s="41" t="str">
        <f>SUBSTITUTE(IFERROR(INDEX(_group_[],MATCH(CONCATENATE(_SCHEDULE_[[#This Row],[CONTEST_CODE]],"_",$U$2),_group_[ИД2],0),MATCH($U$1,_group_[#Headers],0)),"---"),".",",")</f>
        <v>---</v>
      </c>
      <c r="V335" s="41" t="str">
        <f>SUBSTITUTE(IFERROR(INDEX(_group_[],MATCH(CONCATENATE(_SCHEDULE_[[#This Row],[CONTEST_CODE]],"_",$V$2),_group_[ИД2],0),MATCH($V$1,_group_[#Headers],0)),"---"),".",",")</f>
        <v>---</v>
      </c>
      <c r="W335" s="41" t="str">
        <f>IFERROR(INDEX(_INDICATOR_[],MATCH(_SCHEDULE_[[#This Row],[CONTEST_CODE]],_INDICATOR_[CONTEST_CODE],0),MATCH($W$2,_INDICATOR_[#Headers],0)),"-")</f>
        <v>WAIT</v>
      </c>
      <c r="X335" s="41" t="str">
        <f>IFERROR(INDEX(_group_[],MATCH(_SCHEDULE_[[#This Row],[CONTEST_CODE]],_group_[CONTEST_CODE],0),MATCH($X$2,_group_[#Headers],0)),"-")</f>
        <v>BANK</v>
      </c>
      <c r="Y335" s="61" t="str">
        <f>IFERROR(INDEX(_DATA_[],MATCH(_SCHEDULE_[[#This Row],[CONTEST_CODE]],_DATA_[CONTEST_CODE],0),MATCH($Y$2,_DATA_[#Headers],0)),"-")</f>
        <v>2 клиента по Навигатор BI</v>
      </c>
      <c r="Z335" s="41" t="str">
        <f>IFERROR(INDEX(_reward_link_[],MATCH(_SCHEDULE_[[#This Row],[CONTEST_CODE]],_reward_link_[CONTEST_CODE],0),MATCH($Z$2,_reward_link_[#Headers],0)),"-")</f>
        <v>BANK</v>
      </c>
      <c r="AA335" s="41" t="str">
        <f>IFERROR(INDEX(_report[],MATCH(_SCHEDULE_[[#This Row],[CONTEST_CODE]],_report[CONTEST_CODE],0),MATCH($AA$2,_report[#Headers],0)),"-")</f>
        <v>-</v>
      </c>
      <c r="AB335"/>
    </row>
    <row r="336" spans="1:28" x14ac:dyDescent="0.25">
      <c r="A336" s="14" t="s">
        <v>3276</v>
      </c>
      <c r="B336" s="14" t="s">
        <v>146</v>
      </c>
      <c r="C336" s="14" t="s">
        <v>2508</v>
      </c>
      <c r="D336" s="14" t="s">
        <v>3232</v>
      </c>
      <c r="E336" s="14" t="s">
        <v>3233</v>
      </c>
      <c r="F336" s="14" t="s">
        <v>194</v>
      </c>
      <c r="G336" s="14" t="s">
        <v>194</v>
      </c>
      <c r="H336" s="14" t="s">
        <v>194</v>
      </c>
      <c r="I336" s="14" t="s">
        <v>194</v>
      </c>
      <c r="J336" s="14" t="s">
        <v>194</v>
      </c>
      <c r="K336" s="14" t="s">
        <v>34</v>
      </c>
      <c r="L336" s="14" t="s">
        <v>3135</v>
      </c>
      <c r="M336" s="14" t="s">
        <v>3603</v>
      </c>
      <c r="N336" s="14" t="s">
        <v>2</v>
      </c>
      <c r="O336" s="14" t="s">
        <v>3277</v>
      </c>
      <c r="P336" s="14" t="s">
        <v>1064</v>
      </c>
      <c r="R336" s="38">
        <f>IFERROR(COUNTIFS(_report[TOURNAMENT_CODE],_SCHEDULE_[[#This Row],[TOURNAMENT_CODE]],_report[CONTEST_CODE],_SCHEDULE_[[#This Row],[CONTEST_CODE]]),"-")</f>
        <v>0</v>
      </c>
      <c r="S336" s="41" t="str">
        <f>SUBSTITUTE(IFERROR(INDEX(_group_[],MATCH(CONCATENATE(_SCHEDULE_[[#This Row],[CONTEST_CODE]],"_",$S$2),_group_[ИД2],0),MATCH($S$1,_group_[#Headers],0)),"---"),".",",")</f>
        <v>BANK</v>
      </c>
      <c r="T336" s="41" t="str">
        <f>SUBSTITUTE(IFERROR(INDEX(_group_[],MATCH(CONCATENATE(_SCHEDULE_[[#This Row],[CONTEST_CODE]],"_",$T$2),_group_[ИД2],0),MATCH($T$1,_group_[#Headers],0)),"---"),".",",")</f>
        <v>---</v>
      </c>
      <c r="U336" s="41" t="str">
        <f>SUBSTITUTE(IFERROR(INDEX(_group_[],MATCH(CONCATENATE(_SCHEDULE_[[#This Row],[CONTEST_CODE]],"_",$U$2),_group_[ИД2],0),MATCH($U$1,_group_[#Headers],0)),"---"),".",",")</f>
        <v>---</v>
      </c>
      <c r="V336" s="41" t="str">
        <f>SUBSTITUTE(IFERROR(INDEX(_group_[],MATCH(CONCATENATE(_SCHEDULE_[[#This Row],[CONTEST_CODE]],"_",$V$2),_group_[ИД2],0),MATCH($V$1,_group_[#Headers],0)),"---"),".",",")</f>
        <v>---</v>
      </c>
      <c r="W336" s="41" t="str">
        <f>IFERROR(INDEX(_INDICATOR_[],MATCH(_SCHEDULE_[[#This Row],[CONTEST_CODE]],_INDICATOR_[CONTEST_CODE],0),MATCH($W$2,_INDICATOR_[#Headers],0)),"-")</f>
        <v>WAIT</v>
      </c>
      <c r="X336" s="41" t="str">
        <f>IFERROR(INDEX(_group_[],MATCH(_SCHEDULE_[[#This Row],[CONTEST_CODE]],_group_[CONTEST_CODE],0),MATCH($X$2,_group_[#Headers],0)),"-")</f>
        <v>BANK</v>
      </c>
      <c r="Y336" s="61" t="str">
        <f>IFERROR(INDEX(_DATA_[],MATCH(_SCHEDULE_[[#This Row],[CONTEST_CODE]],_DATA_[CONTEST_CODE],0),MATCH($Y$2,_DATA_[#Headers],0)),"-")</f>
        <v>2 клиента по СберИндексПро</v>
      </c>
      <c r="Z336" s="41" t="str">
        <f>IFERROR(INDEX(_reward_link_[],MATCH(_SCHEDULE_[[#This Row],[CONTEST_CODE]],_reward_link_[CONTEST_CODE],0),MATCH($Z$2,_reward_link_[#Headers],0)),"-")</f>
        <v>BANK</v>
      </c>
      <c r="AA336" s="41" t="str">
        <f>IFERROR(INDEX(_report[],MATCH(_SCHEDULE_[[#This Row],[CONTEST_CODE]],_report[CONTEST_CODE],0),MATCH($AA$2,_report[#Headers],0)),"-")</f>
        <v>-</v>
      </c>
      <c r="AB336"/>
    </row>
    <row r="337" spans="1:28" x14ac:dyDescent="0.25">
      <c r="A337" s="14" t="s">
        <v>3278</v>
      </c>
      <c r="B337" s="14" t="s">
        <v>146</v>
      </c>
      <c r="C337" s="14" t="s">
        <v>2508</v>
      </c>
      <c r="D337" s="14" t="s">
        <v>3232</v>
      </c>
      <c r="E337" s="14" t="s">
        <v>3233</v>
      </c>
      <c r="F337" s="14" t="s">
        <v>194</v>
      </c>
      <c r="G337" s="14" t="s">
        <v>194</v>
      </c>
      <c r="H337" s="14" t="s">
        <v>194</v>
      </c>
      <c r="I337" s="14" t="s">
        <v>194</v>
      </c>
      <c r="J337" s="14" t="s">
        <v>194</v>
      </c>
      <c r="K337" s="14" t="s">
        <v>34</v>
      </c>
      <c r="L337" s="14" t="s">
        <v>3137</v>
      </c>
      <c r="M337" s="14" t="s">
        <v>3607</v>
      </c>
      <c r="N337" s="14" t="s">
        <v>2</v>
      </c>
      <c r="O337" s="14" t="s">
        <v>3279</v>
      </c>
      <c r="P337" s="14" t="s">
        <v>1064</v>
      </c>
      <c r="R337" s="38">
        <f>IFERROR(COUNTIFS(_report[TOURNAMENT_CODE],_SCHEDULE_[[#This Row],[TOURNAMENT_CODE]],_report[CONTEST_CODE],_SCHEDULE_[[#This Row],[CONTEST_CODE]]),"-")</f>
        <v>0</v>
      </c>
      <c r="S337" s="41" t="str">
        <f>SUBSTITUTE(IFERROR(INDEX(_group_[],MATCH(CONCATENATE(_SCHEDULE_[[#This Row],[CONTEST_CODE]],"_",$S$2),_group_[ИД2],0),MATCH($S$1,_group_[#Headers],0)),"---"),".",",")</f>
        <v>BANK</v>
      </c>
      <c r="T337" s="41" t="str">
        <f>SUBSTITUTE(IFERROR(INDEX(_group_[],MATCH(CONCATENATE(_SCHEDULE_[[#This Row],[CONTEST_CODE]],"_",$T$2),_group_[ИД2],0),MATCH($T$1,_group_[#Headers],0)),"---"),".",",")</f>
        <v>---</v>
      </c>
      <c r="U337" s="41" t="str">
        <f>SUBSTITUTE(IFERROR(INDEX(_group_[],MATCH(CONCATENATE(_SCHEDULE_[[#This Row],[CONTEST_CODE]],"_",$U$2),_group_[ИД2],0),MATCH($U$1,_group_[#Headers],0)),"---"),".",",")</f>
        <v>---</v>
      </c>
      <c r="V337" s="41" t="str">
        <f>SUBSTITUTE(IFERROR(INDEX(_group_[],MATCH(CONCATENATE(_SCHEDULE_[[#This Row],[CONTEST_CODE]],"_",$V$2),_group_[ИД2],0),MATCH($V$1,_group_[#Headers],0)),"---"),".",",")</f>
        <v>---</v>
      </c>
      <c r="W337" s="41" t="str">
        <f>IFERROR(INDEX(_INDICATOR_[],MATCH(_SCHEDULE_[[#This Row],[CONTEST_CODE]],_INDICATOR_[CONTEST_CODE],0),MATCH($W$2,_INDICATOR_[#Headers],0)),"-")</f>
        <v>WAIT</v>
      </c>
      <c r="X337" s="41" t="str">
        <f>IFERROR(INDEX(_group_[],MATCH(_SCHEDULE_[[#This Row],[CONTEST_CODE]],_group_[CONTEST_CODE],0),MATCH($X$2,_group_[#Headers],0)),"-")</f>
        <v>BANK</v>
      </c>
      <c r="Y337" s="61" t="str">
        <f>IFERROR(INDEX(_DATA_[],MATCH(_SCHEDULE_[[#This Row],[CONTEST_CODE]],_DATA_[CONTEST_CODE],0),MATCH($Y$2,_DATA_[#Headers],0)),"-")</f>
        <v>3 клиента по Process Mining</v>
      </c>
      <c r="Z337" s="41" t="str">
        <f>IFERROR(INDEX(_reward_link_[],MATCH(_SCHEDULE_[[#This Row],[CONTEST_CODE]],_reward_link_[CONTEST_CODE],0),MATCH($Z$2,_reward_link_[#Headers],0)),"-")</f>
        <v>BANK</v>
      </c>
      <c r="AA337" s="41" t="str">
        <f>IFERROR(INDEX(_report[],MATCH(_SCHEDULE_[[#This Row],[CONTEST_CODE]],_report[CONTEST_CODE],0),MATCH($AA$2,_report[#Headers],0)),"-")</f>
        <v>-</v>
      </c>
      <c r="AB337"/>
    </row>
    <row r="338" spans="1:28" x14ac:dyDescent="0.25">
      <c r="A338" s="14" t="s">
        <v>3280</v>
      </c>
      <c r="B338" s="14" t="s">
        <v>146</v>
      </c>
      <c r="C338" s="14" t="s">
        <v>2508</v>
      </c>
      <c r="D338" s="14" t="s">
        <v>3232</v>
      </c>
      <c r="E338" s="14" t="s">
        <v>3233</v>
      </c>
      <c r="F338" s="14" t="s">
        <v>194</v>
      </c>
      <c r="G338" s="14" t="s">
        <v>194</v>
      </c>
      <c r="H338" s="14" t="s">
        <v>194</v>
      </c>
      <c r="I338" s="14" t="s">
        <v>194</v>
      </c>
      <c r="J338" s="14" t="s">
        <v>194</v>
      </c>
      <c r="K338" s="14" t="s">
        <v>34</v>
      </c>
      <c r="L338" s="14" t="s">
        <v>3139</v>
      </c>
      <c r="M338" s="14" t="s">
        <v>3607</v>
      </c>
      <c r="N338" s="14" t="s">
        <v>2</v>
      </c>
      <c r="O338" s="14" t="s">
        <v>3281</v>
      </c>
      <c r="P338" s="14" t="s">
        <v>1064</v>
      </c>
      <c r="R338" s="38">
        <f>IFERROR(COUNTIFS(_report[TOURNAMENT_CODE],_SCHEDULE_[[#This Row],[TOURNAMENT_CODE]],_report[CONTEST_CODE],_SCHEDULE_[[#This Row],[CONTEST_CODE]]),"-")</f>
        <v>0</v>
      </c>
      <c r="S338" s="41" t="str">
        <f>SUBSTITUTE(IFERROR(INDEX(_group_[],MATCH(CONCATENATE(_SCHEDULE_[[#This Row],[CONTEST_CODE]],"_",$S$2),_group_[ИД2],0),MATCH($S$1,_group_[#Headers],0)),"---"),".",",")</f>
        <v>BANK</v>
      </c>
      <c r="T338" s="41" t="str">
        <f>SUBSTITUTE(IFERROR(INDEX(_group_[],MATCH(CONCATENATE(_SCHEDULE_[[#This Row],[CONTEST_CODE]],"_",$T$2),_group_[ИД2],0),MATCH($T$1,_group_[#Headers],0)),"---"),".",",")</f>
        <v>---</v>
      </c>
      <c r="U338" s="41" t="str">
        <f>SUBSTITUTE(IFERROR(INDEX(_group_[],MATCH(CONCATENATE(_SCHEDULE_[[#This Row],[CONTEST_CODE]],"_",$U$2),_group_[ИД2],0),MATCH($U$1,_group_[#Headers],0)),"---"),".",",")</f>
        <v>---</v>
      </c>
      <c r="V338" s="41" t="str">
        <f>SUBSTITUTE(IFERROR(INDEX(_group_[],MATCH(CONCATENATE(_SCHEDULE_[[#This Row],[CONTEST_CODE]],"_",$V$2),_group_[ИД2],0),MATCH($V$1,_group_[#Headers],0)),"---"),".",",")</f>
        <v>---</v>
      </c>
      <c r="W338" s="41" t="str">
        <f>IFERROR(INDEX(_INDICATOR_[],MATCH(_SCHEDULE_[[#This Row],[CONTEST_CODE]],_INDICATOR_[CONTEST_CODE],0),MATCH($W$2,_INDICATOR_[#Headers],0)),"-")</f>
        <v>WAIT</v>
      </c>
      <c r="X338" s="41" t="str">
        <f>IFERROR(INDEX(_group_[],MATCH(_SCHEDULE_[[#This Row],[CONTEST_CODE]],_group_[CONTEST_CODE],0),MATCH($X$2,_group_[#Headers],0)),"-")</f>
        <v>BANK</v>
      </c>
      <c r="Y338" s="61" t="str">
        <f>IFERROR(INDEX(_DATA_[],MATCH(_SCHEDULE_[[#This Row],[CONTEST_CODE]],_DATA_[CONTEST_CODE],0),MATCH($Y$2,_DATA_[#Headers],0)),"-")</f>
        <v>3 клиента по Навигатор BI</v>
      </c>
      <c r="Z338" s="41" t="str">
        <f>IFERROR(INDEX(_reward_link_[],MATCH(_SCHEDULE_[[#This Row],[CONTEST_CODE]],_reward_link_[CONTEST_CODE],0),MATCH($Z$2,_reward_link_[#Headers],0)),"-")</f>
        <v>BANK</v>
      </c>
      <c r="AA338" s="41" t="str">
        <f>IFERROR(INDEX(_report[],MATCH(_SCHEDULE_[[#This Row],[CONTEST_CODE]],_report[CONTEST_CODE],0),MATCH($AA$2,_report[#Headers],0)),"-")</f>
        <v>-</v>
      </c>
      <c r="AB338"/>
    </row>
    <row r="339" spans="1:28" x14ac:dyDescent="0.25">
      <c r="A339" s="14" t="s">
        <v>3282</v>
      </c>
      <c r="B339" s="14" t="s">
        <v>146</v>
      </c>
      <c r="C339" s="14" t="s">
        <v>2508</v>
      </c>
      <c r="D339" s="14" t="s">
        <v>3232</v>
      </c>
      <c r="E339" s="14" t="s">
        <v>3233</v>
      </c>
      <c r="F339" s="14" t="s">
        <v>194</v>
      </c>
      <c r="G339" s="14" t="s">
        <v>194</v>
      </c>
      <c r="H339" s="14" t="s">
        <v>194</v>
      </c>
      <c r="I339" s="14" t="s">
        <v>194</v>
      </c>
      <c r="J339" s="14" t="s">
        <v>194</v>
      </c>
      <c r="K339" s="14" t="s">
        <v>34</v>
      </c>
      <c r="L339" s="14" t="s">
        <v>3141</v>
      </c>
      <c r="M339" s="14" t="s">
        <v>3607</v>
      </c>
      <c r="N339" s="14" t="s">
        <v>2</v>
      </c>
      <c r="O339" s="14" t="s">
        <v>3283</v>
      </c>
      <c r="P339" s="14" t="s">
        <v>1064</v>
      </c>
      <c r="R339" s="38">
        <f>IFERROR(COUNTIFS(_report[TOURNAMENT_CODE],_SCHEDULE_[[#This Row],[TOURNAMENT_CODE]],_report[CONTEST_CODE],_SCHEDULE_[[#This Row],[CONTEST_CODE]]),"-")</f>
        <v>0</v>
      </c>
      <c r="S339" s="41" t="str">
        <f>SUBSTITUTE(IFERROR(INDEX(_group_[],MATCH(CONCATENATE(_SCHEDULE_[[#This Row],[CONTEST_CODE]],"_",$S$2),_group_[ИД2],0),MATCH($S$1,_group_[#Headers],0)),"---"),".",",")</f>
        <v>BANK</v>
      </c>
      <c r="T339" s="41" t="str">
        <f>SUBSTITUTE(IFERROR(INDEX(_group_[],MATCH(CONCATENATE(_SCHEDULE_[[#This Row],[CONTEST_CODE]],"_",$T$2),_group_[ИД2],0),MATCH($T$1,_group_[#Headers],0)),"---"),".",",")</f>
        <v>---</v>
      </c>
      <c r="U339" s="41" t="str">
        <f>SUBSTITUTE(IFERROR(INDEX(_group_[],MATCH(CONCATENATE(_SCHEDULE_[[#This Row],[CONTEST_CODE]],"_",$U$2),_group_[ИД2],0),MATCH($U$1,_group_[#Headers],0)),"---"),".",",")</f>
        <v>---</v>
      </c>
      <c r="V339" s="41" t="str">
        <f>SUBSTITUTE(IFERROR(INDEX(_group_[],MATCH(CONCATENATE(_SCHEDULE_[[#This Row],[CONTEST_CODE]],"_",$V$2),_group_[ИД2],0),MATCH($V$1,_group_[#Headers],0)),"---"),".",",")</f>
        <v>---</v>
      </c>
      <c r="W339" s="41" t="str">
        <f>IFERROR(INDEX(_INDICATOR_[],MATCH(_SCHEDULE_[[#This Row],[CONTEST_CODE]],_INDICATOR_[CONTEST_CODE],0),MATCH($W$2,_INDICATOR_[#Headers],0)),"-")</f>
        <v>WAIT</v>
      </c>
      <c r="X339" s="41" t="str">
        <f>IFERROR(INDEX(_group_[],MATCH(_SCHEDULE_[[#This Row],[CONTEST_CODE]],_group_[CONTEST_CODE],0),MATCH($X$2,_group_[#Headers],0)),"-")</f>
        <v>BANK</v>
      </c>
      <c r="Y339" s="61" t="str">
        <f>IFERROR(INDEX(_DATA_[],MATCH(_SCHEDULE_[[#This Row],[CONTEST_CODE]],_DATA_[CONTEST_CODE],0),MATCH($Y$2,_DATA_[#Headers],0)),"-")</f>
        <v>2 клиента по СберИндексПро</v>
      </c>
      <c r="Z339" s="41" t="str">
        <f>IFERROR(INDEX(_reward_link_[],MATCH(_SCHEDULE_[[#This Row],[CONTEST_CODE]],_reward_link_[CONTEST_CODE],0),MATCH($Z$2,_reward_link_[#Headers],0)),"-")</f>
        <v>BANK</v>
      </c>
      <c r="AA339" s="41" t="str">
        <f>IFERROR(INDEX(_report[],MATCH(_SCHEDULE_[[#This Row],[CONTEST_CODE]],_report[CONTEST_CODE],0),MATCH($AA$2,_report[#Headers],0)),"-")</f>
        <v>-</v>
      </c>
      <c r="AB339"/>
    </row>
    <row r="340" spans="1:28" x14ac:dyDescent="0.25">
      <c r="A340" s="14" t="s">
        <v>3408</v>
      </c>
      <c r="B340" s="14" t="s">
        <v>146</v>
      </c>
      <c r="C340" s="14" t="s">
        <v>2508</v>
      </c>
      <c r="D340" s="14" t="s">
        <v>2542</v>
      </c>
      <c r="E340" s="14" t="s">
        <v>3232</v>
      </c>
      <c r="F340" s="14" t="s">
        <v>194</v>
      </c>
      <c r="G340" s="14" t="s">
        <v>194</v>
      </c>
      <c r="H340" s="14" t="s">
        <v>194</v>
      </c>
      <c r="I340" s="14" t="s">
        <v>194</v>
      </c>
      <c r="J340" s="14" t="s">
        <v>194</v>
      </c>
      <c r="K340" s="14" t="s">
        <v>34</v>
      </c>
      <c r="L340" s="14" t="s">
        <v>3403</v>
      </c>
      <c r="M340" s="14" t="s">
        <v>3603</v>
      </c>
      <c r="N340" s="14" t="s">
        <v>2</v>
      </c>
      <c r="O340" s="14" t="s">
        <v>3409</v>
      </c>
      <c r="P340" s="14" t="s">
        <v>1064</v>
      </c>
      <c r="R340" s="38">
        <f>IFERROR(COUNTIFS(_report[TOURNAMENT_CODE],_SCHEDULE_[[#This Row],[TOURNAMENT_CODE]],_report[CONTEST_CODE],_SCHEDULE_[[#This Row],[CONTEST_CODE]]),"-")</f>
        <v>0</v>
      </c>
      <c r="S340" s="41" t="str">
        <f>SUBSTITUTE(IFERROR(INDEX(_group_[],MATCH(CONCATENATE(_SCHEDULE_[[#This Row],[CONTEST_CODE]],"_",$S$2),_group_[ИД2],0),MATCH($S$1,_group_[#Headers],0)),"---"),".",",")</f>
        <v>---</v>
      </c>
      <c r="T340" s="41" t="str">
        <f>SUBSTITUTE(IFERROR(INDEX(_group_[],MATCH(CONCATENATE(_SCHEDULE_[[#This Row],[CONTEST_CODE]],"_",$T$2),_group_[ИД2],0),MATCH($T$1,_group_[#Headers],0)),"---"),".",",")</f>
        <v>TB</v>
      </c>
      <c r="U340" s="41" t="str">
        <f>SUBSTITUTE(IFERROR(INDEX(_group_[],MATCH(CONCATENATE(_SCHEDULE_[[#This Row],[CONTEST_CODE]],"_",$U$2),_group_[ИД2],0),MATCH($U$1,_group_[#Headers],0)),"---"),".",",")</f>
        <v>---</v>
      </c>
      <c r="V340" s="41" t="str">
        <f>SUBSTITUTE(IFERROR(INDEX(_group_[],MATCH(CONCATENATE(_SCHEDULE_[[#This Row],[CONTEST_CODE]],"_",$V$2),_group_[ИД2],0),MATCH($V$1,_group_[#Headers],0)),"---"),".",",")</f>
        <v>---</v>
      </c>
      <c r="W340" s="41" t="str">
        <f>IFERROR(INDEX(_INDICATOR_[],MATCH(_SCHEDULE_[[#This Row],[CONTEST_CODE]],_INDICATOR_[CONTEST_CODE],0),MATCH($W$2,_INDICATOR_[#Headers],0)),"-")</f>
        <v>WAIT</v>
      </c>
      <c r="X340" s="41" t="str">
        <f>IFERROR(INDEX(_group_[],MATCH(_SCHEDULE_[[#This Row],[CONTEST_CODE]],_group_[CONTEST_CODE],0),MATCH($X$2,_group_[#Headers],0)),"-")</f>
        <v>TB</v>
      </c>
      <c r="Y340" s="61" t="str">
        <f>IFERROR(INDEX(_DATA_[],MATCH(_SCHEDULE_[[#This Row],[CONTEST_CODE]],_DATA_[CONTEST_CODE],0),MATCH($Y$2,_DATA_[#Headers],0)),"-")</f>
        <v>Пассивы. Зарабатывай на привлечении</v>
      </c>
      <c r="Z340" s="41" t="str">
        <f>IFERROR(INDEX(_reward_link_[],MATCH(_SCHEDULE_[[#This Row],[CONTEST_CODE]],_reward_link_[CONTEST_CODE],0),MATCH($Z$2,_reward_link_[#Headers],0)),"-")</f>
        <v>TB</v>
      </c>
      <c r="AA340" s="41" t="str">
        <f>IFERROR(INDEX(_report[],MATCH(_SCHEDULE_[[#This Row],[CONTEST_CODE]],_report[CONTEST_CODE],0),MATCH($AA$2,_report[#Headers],0)),"-")</f>
        <v>-</v>
      </c>
      <c r="AB340"/>
    </row>
    <row r="341" spans="1:28" x14ac:dyDescent="0.25">
      <c r="A341" s="14" t="s">
        <v>4123</v>
      </c>
      <c r="B341" s="14" t="s">
        <v>662</v>
      </c>
      <c r="C341" s="14" t="s">
        <v>2508</v>
      </c>
      <c r="D341" s="14" t="s">
        <v>2509</v>
      </c>
      <c r="E341" s="14" t="s">
        <v>2510</v>
      </c>
      <c r="F341" s="14" t="s">
        <v>194</v>
      </c>
      <c r="G341" s="14" t="s">
        <v>194</v>
      </c>
      <c r="H341" s="14" t="s">
        <v>194</v>
      </c>
      <c r="I341" s="14" t="s">
        <v>194</v>
      </c>
      <c r="J341" s="14" t="s">
        <v>194</v>
      </c>
      <c r="K341" s="14" t="s">
        <v>34</v>
      </c>
      <c r="L341" s="14" t="s">
        <v>4026</v>
      </c>
      <c r="M341" s="14" t="s">
        <v>3596</v>
      </c>
      <c r="N341" s="14" t="s">
        <v>2</v>
      </c>
      <c r="O341" s="14" t="s">
        <v>4127</v>
      </c>
      <c r="P341" s="14" t="s">
        <v>1064</v>
      </c>
      <c r="R341" s="38">
        <f>IFERROR(COUNTIFS(_report[TOURNAMENT_CODE],_SCHEDULE_[[#This Row],[TOURNAMENT_CODE]],_report[CONTEST_CODE],_SCHEDULE_[[#This Row],[CONTEST_CODE]]),"-")</f>
        <v>0</v>
      </c>
      <c r="S341" s="41" t="str">
        <f>SUBSTITUTE(IFERROR(INDEX(_group_[],MATCH(CONCATENATE(_SCHEDULE_[[#This Row],[CONTEST_CODE]],"_",$S$2),_group_[ИД2],0),MATCH($S$1,_group_[#Headers],0)),"---"),".",",")</f>
        <v>BANK</v>
      </c>
      <c r="T341" s="41" t="str">
        <f>SUBSTITUTE(IFERROR(INDEX(_group_[],MATCH(CONCATENATE(_SCHEDULE_[[#This Row],[CONTEST_CODE]],"_",$T$2),_group_[ИД2],0),MATCH($T$1,_group_[#Headers],0)),"---"),".",",")</f>
        <v>---</v>
      </c>
      <c r="U341" s="41" t="str">
        <f>SUBSTITUTE(IFERROR(INDEX(_group_[],MATCH(CONCATENATE(_SCHEDULE_[[#This Row],[CONTEST_CODE]],"_",$U$2),_group_[ИД2],0),MATCH($U$1,_group_[#Headers],0)),"---"),".",",")</f>
        <v>---</v>
      </c>
      <c r="V341" s="41" t="str">
        <f>SUBSTITUTE(IFERROR(INDEX(_group_[],MATCH(CONCATENATE(_SCHEDULE_[[#This Row],[CONTEST_CODE]],"_",$V$2),_group_[ИД2],0),MATCH($V$1,_group_[#Headers],0)),"---"),".",",")</f>
        <v>---</v>
      </c>
      <c r="W341" s="41" t="str">
        <f>IFERROR(INDEX(_INDICATOR_[],MATCH(_SCHEDULE_[[#This Row],[CONTEST_CODE]],_INDICATOR_[CONTEST_CODE],0),MATCH($W$2,_INDICATOR_[#Headers],0)),"-")</f>
        <v>WAIT</v>
      </c>
      <c r="X341" s="41" t="str">
        <f>IFERROR(INDEX(_group_[],MATCH(_SCHEDULE_[[#This Row],[CONTEST_CODE]],_group_[CONTEST_CODE],0),MATCH($X$2,_group_[#Headers],0)),"-")</f>
        <v>BANK</v>
      </c>
      <c r="Y341" s="61" t="str">
        <f>IFERROR(INDEX(_DATA_[],MATCH(_SCHEDULE_[[#This Row],[CONTEST_CODE]],_DATA_[CONTEST_CODE],0),MATCH($Y$2,_DATA_[#Headers],0)),"-")</f>
        <v>1 привлеченный клиент ЮЛ</v>
      </c>
      <c r="Z341" s="41" t="str">
        <f>IFERROR(INDEX(_reward_link_[],MATCH(_SCHEDULE_[[#This Row],[CONTEST_CODE]],_reward_link_[CONTEST_CODE],0),MATCH($Z$2,_reward_link_[#Headers],0)),"-")</f>
        <v>BANK</v>
      </c>
      <c r="AA341" s="41" t="str">
        <f>IFERROR(INDEX(_report[],MATCH(_SCHEDULE_[[#This Row],[CONTEST_CODE]],_report[CONTEST_CODE],0),MATCH($AA$2,_report[#Headers],0)),"-")</f>
        <v>-</v>
      </c>
      <c r="AB341"/>
    </row>
    <row r="342" spans="1:28" x14ac:dyDescent="0.25">
      <c r="A342" s="14" t="s">
        <v>4124</v>
      </c>
      <c r="B342" s="14" t="s">
        <v>662</v>
      </c>
      <c r="C342" s="14" t="s">
        <v>2508</v>
      </c>
      <c r="D342" s="14" t="s">
        <v>2509</v>
      </c>
      <c r="E342" s="14" t="s">
        <v>2510</v>
      </c>
      <c r="F342" s="14" t="s">
        <v>194</v>
      </c>
      <c r="G342" s="14" t="s">
        <v>194</v>
      </c>
      <c r="H342" s="14" t="s">
        <v>194</v>
      </c>
      <c r="I342" s="14" t="s">
        <v>194</v>
      </c>
      <c r="J342" s="14" t="s">
        <v>194</v>
      </c>
      <c r="K342" s="14" t="s">
        <v>34</v>
      </c>
      <c r="L342" s="14" t="s">
        <v>4028</v>
      </c>
      <c r="M342" s="14" t="s">
        <v>3596</v>
      </c>
      <c r="N342" s="14" t="s">
        <v>2</v>
      </c>
      <c r="O342" s="14" t="s">
        <v>4128</v>
      </c>
      <c r="P342" s="14" t="s">
        <v>1064</v>
      </c>
      <c r="R342" s="38">
        <f>IFERROR(COUNTIFS(_report[TOURNAMENT_CODE],_SCHEDULE_[[#This Row],[TOURNAMENT_CODE]],_report[CONTEST_CODE],_SCHEDULE_[[#This Row],[CONTEST_CODE]]),"-")</f>
        <v>0</v>
      </c>
      <c r="S342" s="41" t="str">
        <f>SUBSTITUTE(IFERROR(INDEX(_group_[],MATCH(CONCATENATE(_SCHEDULE_[[#This Row],[CONTEST_CODE]],"_",$S$2),_group_[ИД2],0),MATCH($S$1,_group_[#Headers],0)),"---"),".",",")</f>
        <v>BANK</v>
      </c>
      <c r="T342" s="41" t="str">
        <f>SUBSTITUTE(IFERROR(INDEX(_group_[],MATCH(CONCATENATE(_SCHEDULE_[[#This Row],[CONTEST_CODE]],"_",$T$2),_group_[ИД2],0),MATCH($T$1,_group_[#Headers],0)),"---"),".",",")</f>
        <v>---</v>
      </c>
      <c r="U342" s="41" t="str">
        <f>SUBSTITUTE(IFERROR(INDEX(_group_[],MATCH(CONCATENATE(_SCHEDULE_[[#This Row],[CONTEST_CODE]],"_",$U$2),_group_[ИД2],0),MATCH($U$1,_group_[#Headers],0)),"---"),".",",")</f>
        <v>---</v>
      </c>
      <c r="V342" s="41" t="str">
        <f>SUBSTITUTE(IFERROR(INDEX(_group_[],MATCH(CONCATENATE(_SCHEDULE_[[#This Row],[CONTEST_CODE]],"_",$V$2),_group_[ИД2],0),MATCH($V$1,_group_[#Headers],0)),"---"),".",",")</f>
        <v>---</v>
      </c>
      <c r="W342" s="41" t="str">
        <f>IFERROR(INDEX(_INDICATOR_[],MATCH(_SCHEDULE_[[#This Row],[CONTEST_CODE]],_INDICATOR_[CONTEST_CODE],0),MATCH($W$2,_INDICATOR_[#Headers],0)),"-")</f>
        <v>WAIT</v>
      </c>
      <c r="X342" s="41" t="str">
        <f>IFERROR(INDEX(_group_[],MATCH(_SCHEDULE_[[#This Row],[CONTEST_CODE]],_group_[CONTEST_CODE],0),MATCH($X$2,_group_[#Headers],0)),"-")</f>
        <v>BANK</v>
      </c>
      <c r="Y342" s="61" t="str">
        <f>IFERROR(INDEX(_DATA_[],MATCH(_SCHEDULE_[[#This Row],[CONTEST_CODE]],_DATA_[CONTEST_CODE],0),MATCH($Y$2,_DATA_[#Headers],0)),"-")</f>
        <v>3 привлеченных клиента ЮЛ</v>
      </c>
      <c r="Z342" s="41" t="str">
        <f>IFERROR(INDEX(_reward_link_[],MATCH(_SCHEDULE_[[#This Row],[CONTEST_CODE]],_reward_link_[CONTEST_CODE],0),MATCH($Z$2,_reward_link_[#Headers],0)),"-")</f>
        <v>BANK</v>
      </c>
      <c r="AA342" s="41" t="str">
        <f>IFERROR(INDEX(_report[],MATCH(_SCHEDULE_[[#This Row],[CONTEST_CODE]],_report[CONTEST_CODE],0),MATCH($AA$2,_report[#Headers],0)),"-")</f>
        <v>-</v>
      </c>
      <c r="AB342"/>
    </row>
    <row r="343" spans="1:28" x14ac:dyDescent="0.25">
      <c r="A343" s="14" t="s">
        <v>4125</v>
      </c>
      <c r="B343" s="14" t="s">
        <v>662</v>
      </c>
      <c r="C343" s="14" t="s">
        <v>2508</v>
      </c>
      <c r="D343" s="14" t="s">
        <v>2509</v>
      </c>
      <c r="E343" s="14" t="s">
        <v>2510</v>
      </c>
      <c r="F343" s="14" t="s">
        <v>194</v>
      </c>
      <c r="G343" s="14" t="s">
        <v>194</v>
      </c>
      <c r="H343" s="14" t="s">
        <v>194</v>
      </c>
      <c r="I343" s="14" t="s">
        <v>194</v>
      </c>
      <c r="J343" s="14" t="s">
        <v>194</v>
      </c>
      <c r="K343" s="14" t="s">
        <v>34</v>
      </c>
      <c r="L343" s="14" t="s">
        <v>4030</v>
      </c>
      <c r="M343" s="14" t="s">
        <v>3596</v>
      </c>
      <c r="N343" s="14" t="s">
        <v>2</v>
      </c>
      <c r="O343" s="14" t="s">
        <v>4129</v>
      </c>
      <c r="P343" s="14" t="s">
        <v>1064</v>
      </c>
      <c r="R343" s="38">
        <f>IFERROR(COUNTIFS(_report[TOURNAMENT_CODE],_SCHEDULE_[[#This Row],[TOURNAMENT_CODE]],_report[CONTEST_CODE],_SCHEDULE_[[#This Row],[CONTEST_CODE]]),"-")</f>
        <v>0</v>
      </c>
      <c r="S343" s="41" t="str">
        <f>SUBSTITUTE(IFERROR(INDEX(_group_[],MATCH(CONCATENATE(_SCHEDULE_[[#This Row],[CONTEST_CODE]],"_",$S$2),_group_[ИД2],0),MATCH($S$1,_group_[#Headers],0)),"---"),".",",")</f>
        <v>BANK</v>
      </c>
      <c r="T343" s="41" t="str">
        <f>SUBSTITUTE(IFERROR(INDEX(_group_[],MATCH(CONCATENATE(_SCHEDULE_[[#This Row],[CONTEST_CODE]],"_",$T$2),_group_[ИД2],0),MATCH($T$1,_group_[#Headers],0)),"---"),".",",")</f>
        <v>---</v>
      </c>
      <c r="U343" s="41" t="str">
        <f>SUBSTITUTE(IFERROR(INDEX(_group_[],MATCH(CONCATENATE(_SCHEDULE_[[#This Row],[CONTEST_CODE]],"_",$U$2),_group_[ИД2],0),MATCH($U$1,_group_[#Headers],0)),"---"),".",",")</f>
        <v>---</v>
      </c>
      <c r="V343" s="41" t="str">
        <f>SUBSTITUTE(IFERROR(INDEX(_group_[],MATCH(CONCATENATE(_SCHEDULE_[[#This Row],[CONTEST_CODE]],"_",$V$2),_group_[ИД2],0),MATCH($V$1,_group_[#Headers],0)),"---"),".",",")</f>
        <v>---</v>
      </c>
      <c r="W343" s="41" t="str">
        <f>IFERROR(INDEX(_INDICATOR_[],MATCH(_SCHEDULE_[[#This Row],[CONTEST_CODE]],_INDICATOR_[CONTEST_CODE],0),MATCH($W$2,_INDICATOR_[#Headers],0)),"-")</f>
        <v>WAIT</v>
      </c>
      <c r="X343" s="41" t="str">
        <f>IFERROR(INDEX(_group_[],MATCH(_SCHEDULE_[[#This Row],[CONTEST_CODE]],_group_[CONTEST_CODE],0),MATCH($X$2,_group_[#Headers],0)),"-")</f>
        <v>BANK</v>
      </c>
      <c r="Y343" s="61" t="str">
        <f>IFERROR(INDEX(_DATA_[],MATCH(_SCHEDULE_[[#This Row],[CONTEST_CODE]],_DATA_[CONTEST_CODE],0),MATCH($Y$2,_DATA_[#Headers],0)),"-")</f>
        <v>5 привлеченных клиентов ЮЛ</v>
      </c>
      <c r="Z343" s="41" t="str">
        <f>IFERROR(INDEX(_reward_link_[],MATCH(_SCHEDULE_[[#This Row],[CONTEST_CODE]],_reward_link_[CONTEST_CODE],0),MATCH($Z$2,_reward_link_[#Headers],0)),"-")</f>
        <v>BANK</v>
      </c>
      <c r="AA343" s="41" t="str">
        <f>IFERROR(INDEX(_report[],MATCH(_SCHEDULE_[[#This Row],[CONTEST_CODE]],_report[CONTEST_CODE],0),MATCH($AA$2,_report[#Headers],0)),"-")</f>
        <v>-</v>
      </c>
      <c r="AB343"/>
    </row>
    <row r="344" spans="1:28" x14ac:dyDescent="0.25">
      <c r="A344" s="14" t="s">
        <v>4126</v>
      </c>
      <c r="B344" s="14" t="s">
        <v>662</v>
      </c>
      <c r="C344" s="14" t="s">
        <v>2508</v>
      </c>
      <c r="D344" s="14" t="s">
        <v>2509</v>
      </c>
      <c r="E344" s="14" t="s">
        <v>2510</v>
      </c>
      <c r="F344" s="14" t="s">
        <v>194</v>
      </c>
      <c r="G344" s="14" t="s">
        <v>194</v>
      </c>
      <c r="H344" s="14" t="s">
        <v>194</v>
      </c>
      <c r="I344" s="14" t="s">
        <v>194</v>
      </c>
      <c r="J344" s="14" t="s">
        <v>194</v>
      </c>
      <c r="K344" s="14" t="s">
        <v>34</v>
      </c>
      <c r="L344" s="14" t="s">
        <v>4032</v>
      </c>
      <c r="M344" s="14" t="s">
        <v>3596</v>
      </c>
      <c r="N344" s="14" t="s">
        <v>2</v>
      </c>
      <c r="O344" s="14" t="s">
        <v>4130</v>
      </c>
      <c r="P344" s="14" t="s">
        <v>1064</v>
      </c>
      <c r="S344" s="41"/>
      <c r="T344" s="41"/>
      <c r="U344" s="41"/>
      <c r="V344" s="41"/>
      <c r="W344" s="41"/>
      <c r="X344" s="41"/>
      <c r="Y344" s="61"/>
      <c r="Z344" s="41"/>
      <c r="AA344" s="41"/>
      <c r="AB344"/>
    </row>
    <row r="345" spans="1:28" x14ac:dyDescent="0.25">
      <c r="A345" s="14" t="s">
        <v>4155</v>
      </c>
      <c r="B345" s="14" t="s">
        <v>662</v>
      </c>
      <c r="C345" s="14" t="s">
        <v>2508</v>
      </c>
      <c r="D345" s="14" t="s">
        <v>2509</v>
      </c>
      <c r="E345" s="14" t="s">
        <v>2510</v>
      </c>
      <c r="F345" s="14" t="s">
        <v>194</v>
      </c>
      <c r="G345" s="14" t="s">
        <v>194</v>
      </c>
      <c r="H345" s="14" t="s">
        <v>194</v>
      </c>
      <c r="I345" s="14" t="s">
        <v>194</v>
      </c>
      <c r="J345" s="14" t="s">
        <v>194</v>
      </c>
      <c r="K345" s="14" t="s">
        <v>34</v>
      </c>
      <c r="L345" s="14" t="s">
        <v>3688</v>
      </c>
      <c r="M345" s="14" t="s">
        <v>3603</v>
      </c>
      <c r="N345" s="14" t="s">
        <v>2</v>
      </c>
      <c r="O345" s="14" t="s">
        <v>4156</v>
      </c>
      <c r="P345" s="14" t="s">
        <v>1064</v>
      </c>
      <c r="W345" s="39"/>
      <c r="X345" s="39"/>
      <c r="Y345" s="39"/>
      <c r="Z345" s="39"/>
      <c r="AA345" s="39"/>
      <c r="AB345"/>
    </row>
    <row r="346" spans="1:28" x14ac:dyDescent="0.25">
      <c r="A346" s="14" t="s">
        <v>4157</v>
      </c>
      <c r="B346" s="14" t="s">
        <v>662</v>
      </c>
      <c r="C346" s="14" t="s">
        <v>2508</v>
      </c>
      <c r="D346" s="14" t="s">
        <v>2509</v>
      </c>
      <c r="E346" s="14" t="s">
        <v>2510</v>
      </c>
      <c r="F346" s="14" t="s">
        <v>194</v>
      </c>
      <c r="G346" s="14" t="s">
        <v>194</v>
      </c>
      <c r="H346" s="14" t="s">
        <v>194</v>
      </c>
      <c r="I346" s="14" t="s">
        <v>194</v>
      </c>
      <c r="J346" s="14" t="s">
        <v>194</v>
      </c>
      <c r="K346" s="14" t="s">
        <v>34</v>
      </c>
      <c r="L346" s="14" t="s">
        <v>3692</v>
      </c>
      <c r="M346" s="14" t="s">
        <v>3603</v>
      </c>
      <c r="N346" s="14" t="s">
        <v>2</v>
      </c>
      <c r="O346" s="14" t="s">
        <v>4158</v>
      </c>
      <c r="P346" s="14" t="s">
        <v>1064</v>
      </c>
      <c r="W346" s="39"/>
      <c r="X346" s="39"/>
      <c r="Y346" s="39"/>
      <c r="Z346" s="39"/>
      <c r="AA346" s="39"/>
    </row>
    <row r="347" spans="1:28" x14ac:dyDescent="0.25">
      <c r="A347" s="14" t="s">
        <v>4159</v>
      </c>
      <c r="B347" s="14" t="s">
        <v>662</v>
      </c>
      <c r="C347" s="14" t="s">
        <v>2508</v>
      </c>
      <c r="D347" s="14" t="s">
        <v>2509</v>
      </c>
      <c r="E347" s="14" t="s">
        <v>2510</v>
      </c>
      <c r="F347" s="14" t="s">
        <v>194</v>
      </c>
      <c r="G347" s="14" t="s">
        <v>194</v>
      </c>
      <c r="H347" s="14" t="s">
        <v>194</v>
      </c>
      <c r="I347" s="14" t="s">
        <v>194</v>
      </c>
      <c r="J347" s="14" t="s">
        <v>194</v>
      </c>
      <c r="K347" s="14" t="s">
        <v>34</v>
      </c>
      <c r="L347" s="14" t="s">
        <v>3696</v>
      </c>
      <c r="M347" s="14" t="s">
        <v>3603</v>
      </c>
      <c r="N347" s="14" t="s">
        <v>2</v>
      </c>
      <c r="O347" s="14" t="s">
        <v>4160</v>
      </c>
      <c r="P347" s="14" t="s">
        <v>1064</v>
      </c>
      <c r="W347" s="39"/>
      <c r="X347" s="39"/>
      <c r="Y347" s="39"/>
      <c r="Z347" s="39"/>
      <c r="AA347" s="39"/>
    </row>
    <row r="348" spans="1:28" hidden="1" x14ac:dyDescent="0.25">
      <c r="A348" s="14" t="s">
        <v>4095</v>
      </c>
      <c r="B348" s="14" t="s">
        <v>208</v>
      </c>
      <c r="C348" s="14" t="s">
        <v>2521</v>
      </c>
      <c r="D348" s="14" t="s">
        <v>2522</v>
      </c>
      <c r="E348" s="14" t="s">
        <v>3232</v>
      </c>
      <c r="F348" s="14" t="s">
        <v>194</v>
      </c>
      <c r="G348" s="14" t="s">
        <v>194</v>
      </c>
      <c r="H348" s="14" t="s">
        <v>2170</v>
      </c>
      <c r="I348" s="14" t="s">
        <v>32</v>
      </c>
      <c r="J348" s="14" t="s">
        <v>4070</v>
      </c>
      <c r="K348" s="14" t="s">
        <v>176</v>
      </c>
      <c r="L348" s="14" t="s">
        <v>4081</v>
      </c>
      <c r="M348" s="14" t="s">
        <v>3603</v>
      </c>
      <c r="N348" s="14" t="s">
        <v>32</v>
      </c>
      <c r="O348" s="14" t="s">
        <v>4096</v>
      </c>
      <c r="P348" s="14" t="s">
        <v>1064</v>
      </c>
      <c r="W348" s="39"/>
      <c r="X348" s="39"/>
      <c r="Y348" s="39"/>
      <c r="Z348" s="39"/>
      <c r="AA348" s="39"/>
    </row>
    <row r="349" spans="1:28" hidden="1" x14ac:dyDescent="0.25">
      <c r="A349" s="14" t="s">
        <v>4097</v>
      </c>
      <c r="B349" s="14" t="s">
        <v>186</v>
      </c>
      <c r="C349" s="14" t="s">
        <v>3219</v>
      </c>
      <c r="D349" s="14" t="s">
        <v>2534</v>
      </c>
      <c r="E349" s="14" t="s">
        <v>4112</v>
      </c>
      <c r="F349" s="14" t="s">
        <v>194</v>
      </c>
      <c r="G349" s="14" t="s">
        <v>194</v>
      </c>
      <c r="H349" s="14" t="s">
        <v>2170</v>
      </c>
      <c r="I349" s="14" t="s">
        <v>32</v>
      </c>
      <c r="J349" s="14" t="s">
        <v>4071</v>
      </c>
      <c r="K349" s="14" t="s">
        <v>176</v>
      </c>
      <c r="L349" s="14" t="s">
        <v>4081</v>
      </c>
      <c r="M349" s="14" t="s">
        <v>3603</v>
      </c>
      <c r="N349" s="14" t="s">
        <v>32</v>
      </c>
      <c r="O349" s="14" t="s">
        <v>4098</v>
      </c>
      <c r="P349" s="14" t="s">
        <v>1064</v>
      </c>
      <c r="W349" s="39"/>
      <c r="X349" s="39"/>
      <c r="Y349" s="39"/>
      <c r="Z349" s="39"/>
      <c r="AA349" s="39"/>
    </row>
    <row r="350" spans="1:28" x14ac:dyDescent="0.25">
      <c r="A350" s="14" t="s">
        <v>4099</v>
      </c>
      <c r="B350" s="14" t="s">
        <v>191</v>
      </c>
      <c r="C350" s="14" t="s">
        <v>4019</v>
      </c>
      <c r="D350" s="14" t="s">
        <v>3647</v>
      </c>
      <c r="E350" s="14" t="s">
        <v>4853</v>
      </c>
      <c r="F350" s="14" t="s">
        <v>194</v>
      </c>
      <c r="G350" s="14" t="s">
        <v>194</v>
      </c>
      <c r="H350" s="14" t="s">
        <v>2170</v>
      </c>
      <c r="I350" s="14" t="s">
        <v>32</v>
      </c>
      <c r="J350" s="14" t="s">
        <v>4100</v>
      </c>
      <c r="K350" s="14" t="s">
        <v>2876</v>
      </c>
      <c r="L350" s="14" t="s">
        <v>4081</v>
      </c>
      <c r="M350" s="14" t="s">
        <v>3603</v>
      </c>
      <c r="N350" s="14" t="s">
        <v>32</v>
      </c>
      <c r="O350" s="14" t="s">
        <v>4101</v>
      </c>
      <c r="P350" s="14" t="s">
        <v>1064</v>
      </c>
      <c r="W350" s="39"/>
      <c r="X350" s="39"/>
      <c r="Y350" s="39"/>
      <c r="Z350" s="39"/>
      <c r="AA350" s="39"/>
    </row>
    <row r="351" spans="1:28" x14ac:dyDescent="0.25">
      <c r="A351" s="14" t="s">
        <v>4854</v>
      </c>
      <c r="B351" s="14" t="s">
        <v>209</v>
      </c>
      <c r="C351" s="14" t="s">
        <v>2554</v>
      </c>
      <c r="D351" s="14" t="s">
        <v>4756</v>
      </c>
      <c r="E351" s="14" t="s">
        <v>4853</v>
      </c>
      <c r="F351" s="14" t="s">
        <v>194</v>
      </c>
      <c r="G351" s="14" t="s">
        <v>194</v>
      </c>
      <c r="H351" s="14" t="s">
        <v>2170</v>
      </c>
      <c r="I351" s="14" t="s">
        <v>32</v>
      </c>
      <c r="J351" s="14" t="s">
        <v>4855</v>
      </c>
      <c r="K351" s="14" t="s">
        <v>34</v>
      </c>
      <c r="L351" s="14" t="s">
        <v>4081</v>
      </c>
      <c r="M351" s="14" t="s">
        <v>3603</v>
      </c>
      <c r="N351" s="14" t="s">
        <v>32</v>
      </c>
      <c r="O351" s="14" t="s">
        <v>4856</v>
      </c>
      <c r="P351" s="14" t="s">
        <v>1064</v>
      </c>
      <c r="W351" s="39"/>
      <c r="X351" s="39"/>
      <c r="Y351" s="39"/>
      <c r="Z351" s="39"/>
      <c r="AA351" s="39"/>
    </row>
    <row r="352" spans="1:28" x14ac:dyDescent="0.25">
      <c r="A352" s="14" t="s">
        <v>4857</v>
      </c>
      <c r="B352" s="14" t="s">
        <v>186</v>
      </c>
      <c r="C352" s="14" t="s">
        <v>3219</v>
      </c>
      <c r="D352" s="14" t="s">
        <v>2534</v>
      </c>
      <c r="E352" s="14" t="s">
        <v>3232</v>
      </c>
      <c r="F352" s="14" t="s">
        <v>194</v>
      </c>
      <c r="G352" s="14" t="s">
        <v>194</v>
      </c>
      <c r="H352" s="14" t="s">
        <v>2170</v>
      </c>
      <c r="I352" s="14" t="s">
        <v>32</v>
      </c>
      <c r="J352" s="14" t="s">
        <v>4866</v>
      </c>
      <c r="K352" s="14" t="s">
        <v>2876</v>
      </c>
      <c r="L352" s="14" t="s">
        <v>4832</v>
      </c>
      <c r="M352" s="14" t="s">
        <v>3603</v>
      </c>
      <c r="N352" s="14" t="s">
        <v>32</v>
      </c>
      <c r="O352" s="14" t="s">
        <v>4858</v>
      </c>
      <c r="P352" s="14" t="s">
        <v>1064</v>
      </c>
      <c r="W352" s="39"/>
      <c r="X352" s="39"/>
      <c r="Y352" s="39"/>
      <c r="Z352" s="39"/>
      <c r="AA352" s="39"/>
    </row>
    <row r="353" spans="1:27" x14ac:dyDescent="0.25">
      <c r="A353" s="14" t="s">
        <v>4859</v>
      </c>
      <c r="B353" s="14" t="s">
        <v>191</v>
      </c>
      <c r="C353" s="14" t="s">
        <v>4019</v>
      </c>
      <c r="D353" s="14" t="s">
        <v>3647</v>
      </c>
      <c r="E353" s="14" t="s">
        <v>4112</v>
      </c>
      <c r="F353" s="14" t="s">
        <v>194</v>
      </c>
      <c r="G353" s="14" t="s">
        <v>194</v>
      </c>
      <c r="H353" s="14" t="s">
        <v>2170</v>
      </c>
      <c r="I353" s="14" t="s">
        <v>32</v>
      </c>
      <c r="J353" s="14" t="s">
        <v>4867</v>
      </c>
      <c r="K353" s="14" t="s">
        <v>2876</v>
      </c>
      <c r="L353" s="14" t="s">
        <v>4832</v>
      </c>
      <c r="M353" s="14" t="s">
        <v>3603</v>
      </c>
      <c r="N353" s="14" t="s">
        <v>32</v>
      </c>
      <c r="O353" s="14" t="s">
        <v>4860</v>
      </c>
      <c r="P353" s="14" t="s">
        <v>1064</v>
      </c>
      <c r="W353" s="39"/>
      <c r="X353" s="39"/>
      <c r="Y353" s="39"/>
      <c r="Z353" s="39"/>
      <c r="AA353" s="39"/>
    </row>
    <row r="354" spans="1:27" x14ac:dyDescent="0.25">
      <c r="A354" s="14" t="s">
        <v>4861</v>
      </c>
      <c r="B354" s="14" t="s">
        <v>209</v>
      </c>
      <c r="C354" s="14" t="s">
        <v>2554</v>
      </c>
      <c r="D354" s="14" t="s">
        <v>4756</v>
      </c>
      <c r="E354" s="14" t="s">
        <v>4853</v>
      </c>
      <c r="F354" s="14" t="s">
        <v>194</v>
      </c>
      <c r="G354" s="14" t="s">
        <v>194</v>
      </c>
      <c r="H354" s="14" t="s">
        <v>2170</v>
      </c>
      <c r="I354" s="14" t="s">
        <v>32</v>
      </c>
      <c r="J354" s="14" t="s">
        <v>4868</v>
      </c>
      <c r="K354" s="14" t="s">
        <v>34</v>
      </c>
      <c r="L354" s="14" t="s">
        <v>4832</v>
      </c>
      <c r="M354" s="14" t="s">
        <v>3603</v>
      </c>
      <c r="N354" s="14" t="s">
        <v>32</v>
      </c>
      <c r="O354" s="14" t="s">
        <v>4862</v>
      </c>
      <c r="P354" s="14" t="s">
        <v>1064</v>
      </c>
      <c r="W354" s="39"/>
      <c r="X354" s="39"/>
      <c r="Y354" s="39"/>
      <c r="Z354" s="39"/>
      <c r="AA354" s="39"/>
    </row>
    <row r="355" spans="1:27" x14ac:dyDescent="0.25">
      <c r="A355" s="14" t="s">
        <v>4644</v>
      </c>
      <c r="B355" s="14" t="s">
        <v>146</v>
      </c>
      <c r="C355" s="14" t="s">
        <v>2508</v>
      </c>
      <c r="D355" s="14" t="s">
        <v>2509</v>
      </c>
      <c r="E355" s="14" t="s">
        <v>4646</v>
      </c>
      <c r="F355" s="14" t="s">
        <v>194</v>
      </c>
      <c r="G355" s="14" t="s">
        <v>194</v>
      </c>
      <c r="H355" s="14" t="s">
        <v>194</v>
      </c>
      <c r="I355" s="14" t="s">
        <v>194</v>
      </c>
      <c r="J355" s="14" t="s">
        <v>194</v>
      </c>
      <c r="K355" s="14" t="s">
        <v>34</v>
      </c>
      <c r="L355" s="14" t="s">
        <v>4626</v>
      </c>
      <c r="M355" s="14" t="s">
        <v>3603</v>
      </c>
      <c r="N355" s="14" t="s">
        <v>2</v>
      </c>
      <c r="O355" s="14" t="s">
        <v>4648</v>
      </c>
      <c r="P355" s="14" t="s">
        <v>1064</v>
      </c>
      <c r="R355" s="38">
        <f>IFERROR(COUNTIFS(_report[TOURNAMENT_CODE],_SCHEDULE_[[#This Row],[TOURNAMENT_CODE]],_report[CONTEST_CODE],_SCHEDULE_[[#This Row],[CONTEST_CODE]]),"-")</f>
        <v>0</v>
      </c>
      <c r="S355" s="39" t="str">
        <f>SUBSTITUTE(IFERROR(INDEX(_group_[],MATCH(CONCATENATE(_SCHEDULE_[[#This Row],[CONTEST_CODE]],"_",$S$2),_group_[ИД2],0),MATCH($S$1,_group_[#Headers],0)),"---"),".",",")</f>
        <v>BANK</v>
      </c>
      <c r="T355" s="39" t="str">
        <f>SUBSTITUTE(IFERROR(INDEX(_group_[],MATCH(CONCATENATE(_SCHEDULE_[[#This Row],[CONTEST_CODE]],"_",$T$2),_group_[ИД2],0),MATCH($T$1,_group_[#Headers],0)),"---"),".",",")</f>
        <v>TB</v>
      </c>
      <c r="U355" s="39" t="str">
        <f>SUBSTITUTE(IFERROR(INDEX(_group_[],MATCH(CONCATENATE(_SCHEDULE_[[#This Row],[CONTEST_CODE]],"_",$U$2),_group_[ИД2],0),MATCH($U$1,_group_[#Headers],0)),"---"),".",",")</f>
        <v>---</v>
      </c>
      <c r="V355" s="39" t="str">
        <f>SUBSTITUTE(IFERROR(INDEX(_group_[],MATCH(CONCATENATE(_SCHEDULE_[[#This Row],[CONTEST_CODE]],"_",$V$2),_group_[ИД2],0),MATCH($V$1,_group_[#Headers],0)),"---"),".",",")</f>
        <v>---</v>
      </c>
      <c r="W355" s="39" t="str">
        <f>IFERROR(INDEX(_INDICATOR_[],MATCH(_SCHEDULE_[[#This Row],[CONTEST_CODE]],_INDICATOR_[CONTEST_CODE],0),MATCH($W$2,_INDICATOR_[#Headers],0)),"-")</f>
        <v>WAIT</v>
      </c>
      <c r="X355" s="39" t="str">
        <f>IFERROR(INDEX(_group_[],MATCH(_SCHEDULE_[[#This Row],[CONTEST_CODE]],_group_[CONTEST_CODE],0),MATCH($X$2,_group_[#Headers],0)),"-")</f>
        <v>BANK</v>
      </c>
      <c r="Y355" s="39" t="str">
        <f>IFERROR(INDEX(_DATA_[],MATCH(_SCHEDULE_[[#This Row],[CONTEST_CODE]],_DATA_[CONTEST_CODE],0),MATCH($Y$2,_DATA_[#Headers],0)),"-")</f>
        <v>Пакеты услуг. Привлекаем ЛПР на обслуживание в СберПервый</v>
      </c>
      <c r="Z355" s="39" t="str">
        <f>IFERROR(INDEX(_reward_link_[],MATCH(_SCHEDULE_[[#This Row],[CONTEST_CODE]],_reward_link_[CONTEST_CODE],0),MATCH($Z$2,_reward_link_[#Headers],0)),"-")</f>
        <v>BANK</v>
      </c>
      <c r="AA355" s="39" t="str">
        <f>IFERROR(INDEX(_report[],MATCH(_SCHEDULE_[[#This Row],[CONTEST_CODE]],_report[CONTEST_CODE],0),MATCH($AA$2,_report[#Headers],0)),"-")</f>
        <v>-</v>
      </c>
    </row>
    <row r="357" spans="1:27" x14ac:dyDescent="0.25">
      <c r="J357" s="43"/>
    </row>
    <row r="358" spans="1:27" x14ac:dyDescent="0.25">
      <c r="J358" s="43"/>
    </row>
    <row r="359" spans="1:27" x14ac:dyDescent="0.25">
      <c r="J359" s="43"/>
    </row>
  </sheetData>
  <dataValidations count="5">
    <dataValidation type="list" allowBlank="1" showInputMessage="1" showErrorMessage="1" sqref="Z2">
      <formula1>_sp_rewlink</formula1>
    </dataValidation>
    <dataValidation type="list" allowBlank="1" showInputMessage="1" showErrorMessage="1" sqref="Y2">
      <formula1>_sp_date</formula1>
    </dataValidation>
    <dataValidation type="list" allowBlank="1" showInputMessage="1" showErrorMessage="1" sqref="X2 S1:V1">
      <formula1>_sp_group</formula1>
    </dataValidation>
    <dataValidation type="list" allowBlank="1" showInputMessage="1" showErrorMessage="1" sqref="AA2:AB2">
      <formula1>_sp_report</formula1>
    </dataValidation>
    <dataValidation type="list" allowBlank="1" showInputMessage="1" showErrorMessage="1" sqref="W2">
      <formula1>_sp_indicator</formula1>
    </dataValidation>
  </dataValidations>
  <pageMargins left="0.70866141732283472" right="0.70866141732283472" top="0.74803149606299213" bottom="0.74803149606299213" header="0.31496062992125984" footer="0.31496062992125984"/>
  <pageSetup paperSize="9" scale="56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82"/>
  <sheetViews>
    <sheetView topLeftCell="G1" zoomScale="85" zoomScaleNormal="85" workbookViewId="0">
      <selection activeCell="H181" sqref="H181"/>
    </sheetView>
  </sheetViews>
  <sheetFormatPr defaultRowHeight="15" outlineLevelCol="1" x14ac:dyDescent="0.25"/>
  <cols>
    <col min="1" max="1" width="18" customWidth="1"/>
    <col min="2" max="2" width="69.5703125" customWidth="1"/>
    <col min="3" max="3" width="13.5703125" customWidth="1" outlineLevel="1"/>
    <col min="4" max="4" width="12.42578125" customWidth="1" outlineLevel="1"/>
    <col min="5" max="5" width="20" customWidth="1" outlineLevel="1"/>
    <col min="6" max="6" width="37.5703125" customWidth="1" outlineLevel="1"/>
    <col min="7" max="7" width="95.42578125" style="12" customWidth="1"/>
    <col min="8" max="8" width="95.42578125" style="12" customWidth="1" outlineLevel="1"/>
    <col min="9" max="9" width="23.85546875" customWidth="1" outlineLevel="1"/>
    <col min="10" max="10" width="25.140625" customWidth="1" outlineLevel="1"/>
    <col min="11" max="11" width="25.85546875" customWidth="1" outlineLevel="1"/>
    <col min="12" max="12" width="20" customWidth="1" outlineLevel="1"/>
    <col min="13" max="13" width="22.28515625" customWidth="1" outlineLevel="1"/>
    <col min="14" max="14" width="31.5703125" customWidth="1" outlineLevel="1"/>
    <col min="15" max="15" width="28.7109375" customWidth="1" outlineLevel="1"/>
    <col min="16" max="16" width="27.140625" customWidth="1" outlineLevel="1"/>
    <col min="17" max="17" width="21.42578125" customWidth="1" outlineLevel="1"/>
    <col min="18" max="18" width="20.7109375" customWidth="1" outlineLevel="1"/>
    <col min="19" max="19" width="18" customWidth="1" outlineLevel="1"/>
    <col min="20" max="20" width="166.85546875" customWidth="1" outlineLevel="1"/>
    <col min="21" max="21" width="15.5703125" customWidth="1" outlineLevel="1"/>
    <col min="22" max="22" width="27.42578125" customWidth="1" outlineLevel="1"/>
    <col min="23" max="23" width="13" customWidth="1" outlineLevel="1"/>
    <col min="24" max="24" width="21" customWidth="1" outlineLevel="1"/>
    <col min="25" max="25" width="255.7109375" customWidth="1"/>
    <col min="26" max="26" width="6.5703125" customWidth="1"/>
    <col min="27" max="27" width="20.5703125" customWidth="1"/>
    <col min="28" max="28" width="14" customWidth="1"/>
    <col min="29" max="29" width="12.140625" customWidth="1"/>
    <col min="30" max="30" width="11" customWidth="1"/>
    <col min="31" max="31" width="10.85546875" customWidth="1"/>
    <col min="32" max="32" width="25.140625" customWidth="1"/>
    <col min="33" max="33" width="24.28515625" customWidth="1"/>
    <col min="34" max="34" width="24.5703125" customWidth="1"/>
    <col min="35" max="35" width="30.5703125" customWidth="1"/>
    <col min="36" max="36" width="24" customWidth="1"/>
    <col min="37" max="37" width="62.7109375" customWidth="1"/>
    <col min="38" max="38" width="26.28515625" customWidth="1"/>
    <col min="39" max="39" width="13.5703125" customWidth="1"/>
    <col min="40" max="40" width="13.85546875" customWidth="1"/>
    <col min="41" max="41" width="11.28515625" customWidth="1"/>
    <col min="42" max="42" width="11.5703125" customWidth="1"/>
    <col min="43" max="43" width="15.85546875" customWidth="1"/>
    <col min="44" max="44" width="16.85546875" customWidth="1"/>
    <col min="45" max="45" width="13.85546875" customWidth="1"/>
    <col min="46" max="53" width="12.85546875" customWidth="1"/>
    <col min="54" max="54" width="21.42578125" customWidth="1"/>
    <col min="55" max="55" width="12.85546875" customWidth="1"/>
    <col min="56" max="56" width="5.7109375" customWidth="1"/>
    <col min="57" max="57" width="11" customWidth="1"/>
    <col min="58" max="65" width="14.7109375" customWidth="1"/>
  </cols>
  <sheetData>
    <row r="1" spans="1:65" x14ac:dyDescent="0.25">
      <c r="BB1" s="12"/>
    </row>
    <row r="3" spans="1:65" x14ac:dyDescent="0.25">
      <c r="A3" s="1" t="s">
        <v>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1" t="s">
        <v>16</v>
      </c>
      <c r="H3" s="11" t="s">
        <v>17</v>
      </c>
      <c r="I3" s="1" t="s">
        <v>18</v>
      </c>
      <c r="J3" s="1" t="s">
        <v>19</v>
      </c>
      <c r="K3" s="1" t="s">
        <v>20</v>
      </c>
      <c r="L3" s="1" t="s">
        <v>1326</v>
      </c>
      <c r="M3" s="1" t="s">
        <v>1327</v>
      </c>
      <c r="N3" s="1" t="s">
        <v>1328</v>
      </c>
      <c r="O3" s="1" t="s">
        <v>1333</v>
      </c>
      <c r="P3" s="1" t="s">
        <v>1334</v>
      </c>
      <c r="Q3" s="1" t="s">
        <v>1335</v>
      </c>
      <c r="R3" s="1" t="s">
        <v>1336</v>
      </c>
      <c r="S3" s="1" t="s">
        <v>1337</v>
      </c>
      <c r="T3" s="1" t="s">
        <v>1338</v>
      </c>
      <c r="U3" s="1" t="s">
        <v>21</v>
      </c>
      <c r="V3" s="1" t="s">
        <v>22</v>
      </c>
      <c r="W3" s="1" t="s">
        <v>23</v>
      </c>
      <c r="X3" s="1" t="s">
        <v>602</v>
      </c>
      <c r="Y3" s="1" t="s">
        <v>4163</v>
      </c>
      <c r="Z3" s="1" t="s">
        <v>4484</v>
      </c>
      <c r="AA3" s="1" t="s">
        <v>4485</v>
      </c>
      <c r="AB3" s="1" t="s">
        <v>4486</v>
      </c>
      <c r="AC3" s="1" t="s">
        <v>4487</v>
      </c>
      <c r="AD3" s="1" t="s">
        <v>4488</v>
      </c>
      <c r="AE3" s="1" t="s">
        <v>4489</v>
      </c>
      <c r="AF3" s="1" t="s">
        <v>4490</v>
      </c>
      <c r="AG3" s="1" t="s">
        <v>4491</v>
      </c>
      <c r="AH3" s="1" t="s">
        <v>4492</v>
      </c>
      <c r="AI3" s="1" t="s">
        <v>4493</v>
      </c>
      <c r="AJ3" s="1" t="s">
        <v>4494</v>
      </c>
      <c r="AK3" s="1" t="s">
        <v>4495</v>
      </c>
      <c r="AL3" s="1" t="s">
        <v>4496</v>
      </c>
      <c r="AM3" s="1" t="s">
        <v>4497</v>
      </c>
      <c r="AN3" s="1" t="s">
        <v>4498</v>
      </c>
      <c r="AO3" s="1" t="s">
        <v>4499</v>
      </c>
      <c r="AP3" s="1" t="s">
        <v>4500</v>
      </c>
      <c r="AQ3" s="1" t="s">
        <v>4139</v>
      </c>
      <c r="AR3" s="1" t="s">
        <v>4501</v>
      </c>
      <c r="BF3" s="1"/>
      <c r="BG3" s="1"/>
      <c r="BH3" s="1"/>
      <c r="BI3" s="1"/>
      <c r="BJ3" s="1"/>
      <c r="BK3" s="1"/>
      <c r="BL3" s="1"/>
      <c r="BM3" s="1"/>
    </row>
    <row r="4" spans="1:65" ht="150" hidden="1" x14ac:dyDescent="0.25">
      <c r="A4" s="1" t="s">
        <v>2902</v>
      </c>
      <c r="B4" s="1" t="s">
        <v>4120</v>
      </c>
      <c r="C4" s="1" t="s">
        <v>2508</v>
      </c>
      <c r="D4" s="1" t="s">
        <v>27</v>
      </c>
      <c r="E4" s="1" t="s">
        <v>34</v>
      </c>
      <c r="F4" s="1" t="s">
        <v>50</v>
      </c>
      <c r="G4" s="11" t="s">
        <v>4121</v>
      </c>
      <c r="H4" s="11" t="s">
        <v>4649</v>
      </c>
      <c r="I4" s="1" t="s">
        <v>1053</v>
      </c>
      <c r="J4" s="1" t="s">
        <v>2152</v>
      </c>
      <c r="K4" s="1" t="s">
        <v>2153</v>
      </c>
      <c r="L4" s="1" t="s">
        <v>1329</v>
      </c>
      <c r="M4" s="1" t="s">
        <v>1331</v>
      </c>
      <c r="N4" s="1" t="s">
        <v>1330</v>
      </c>
      <c r="O4" s="1" t="s">
        <v>1164</v>
      </c>
      <c r="P4" s="1" t="s">
        <v>1339</v>
      </c>
      <c r="Q4" s="1" t="s">
        <v>194</v>
      </c>
      <c r="R4" s="1" t="s">
        <v>4062</v>
      </c>
      <c r="S4" s="1" t="s">
        <v>2170</v>
      </c>
      <c r="T4" s="1" t="s">
        <v>643</v>
      </c>
      <c r="U4" s="1" t="s">
        <v>31</v>
      </c>
      <c r="V4" s="1" t="s">
        <v>90</v>
      </c>
      <c r="W4" s="1" t="s">
        <v>2</v>
      </c>
      <c r="X4" s="1" t="s">
        <v>4650</v>
      </c>
      <c r="Y4" s="1" t="s">
        <v>4502</v>
      </c>
      <c r="Z4" s="1" t="s">
        <v>31</v>
      </c>
      <c r="AA4" s="1" t="s">
        <v>4503</v>
      </c>
      <c r="AB4" s="1">
        <v>1</v>
      </c>
      <c r="AC4" s="1" t="s">
        <v>4504</v>
      </c>
      <c r="AD4" s="1">
        <v>2</v>
      </c>
      <c r="AE4" s="1" t="s">
        <v>626</v>
      </c>
      <c r="AF4" s="1" t="s">
        <v>4191</v>
      </c>
      <c r="AG4" s="1" t="s">
        <v>4191</v>
      </c>
      <c r="AH4" s="1" t="s">
        <v>4191</v>
      </c>
      <c r="AI4" s="1" t="s">
        <v>4191</v>
      </c>
      <c r="AJ4" s="1" t="s">
        <v>194</v>
      </c>
      <c r="AK4" s="1" t="s">
        <v>194</v>
      </c>
      <c r="AL4" s="1" t="s">
        <v>194</v>
      </c>
      <c r="AM4" s="1" t="s">
        <v>194</v>
      </c>
      <c r="AN4" s="1" t="s">
        <v>194</v>
      </c>
      <c r="AO4" s="1" t="s">
        <v>194</v>
      </c>
      <c r="AP4" s="1" t="s">
        <v>194</v>
      </c>
      <c r="AQ4" s="1" t="s">
        <v>2890</v>
      </c>
      <c r="AR4" s="1" t="s">
        <v>4505</v>
      </c>
      <c r="BF4" s="1"/>
      <c r="BG4" s="1"/>
      <c r="BH4" s="1"/>
      <c r="BI4" s="1"/>
      <c r="BJ4" s="1"/>
      <c r="BK4" s="1"/>
      <c r="BL4" s="1"/>
      <c r="BM4" s="1"/>
    </row>
    <row r="5" spans="1:65" ht="105" hidden="1" x14ac:dyDescent="0.25">
      <c r="A5" s="1" t="s">
        <v>2206</v>
      </c>
      <c r="B5" s="1" t="s">
        <v>2601</v>
      </c>
      <c r="C5" s="1" t="s">
        <v>2508</v>
      </c>
      <c r="D5" s="1" t="s">
        <v>27</v>
      </c>
      <c r="E5" s="1" t="s">
        <v>34</v>
      </c>
      <c r="F5" s="1" t="s">
        <v>35</v>
      </c>
      <c r="G5" s="11" t="s">
        <v>6</v>
      </c>
      <c r="H5" s="11" t="s">
        <v>4651</v>
      </c>
      <c r="I5" s="1" t="s">
        <v>1053</v>
      </c>
      <c r="J5" s="1" t="s">
        <v>2152</v>
      </c>
      <c r="K5" s="1" t="s">
        <v>2153</v>
      </c>
      <c r="L5" s="1" t="s">
        <v>1329</v>
      </c>
      <c r="M5" s="1" t="s">
        <v>562</v>
      </c>
      <c r="N5" s="1" t="s">
        <v>1330</v>
      </c>
      <c r="O5" s="1" t="s">
        <v>1164</v>
      </c>
      <c r="P5" s="1" t="s">
        <v>1339</v>
      </c>
      <c r="Q5" s="1" t="s">
        <v>194</v>
      </c>
      <c r="R5" s="1" t="s">
        <v>565</v>
      </c>
      <c r="S5" s="1" t="s">
        <v>563</v>
      </c>
      <c r="T5" s="1" t="s">
        <v>643</v>
      </c>
      <c r="U5" s="1" t="s">
        <v>31</v>
      </c>
      <c r="V5" s="1" t="s">
        <v>90</v>
      </c>
      <c r="W5" s="1" t="s">
        <v>2</v>
      </c>
      <c r="X5" s="1" t="s">
        <v>4650</v>
      </c>
      <c r="Y5" s="1" t="s">
        <v>194</v>
      </c>
      <c r="Z5" s="1" t="s">
        <v>31</v>
      </c>
      <c r="AA5" s="1" t="s">
        <v>4506</v>
      </c>
      <c r="AB5" s="1">
        <v>1</v>
      </c>
      <c r="AC5" s="1" t="s">
        <v>4504</v>
      </c>
      <c r="AD5" s="1">
        <v>0</v>
      </c>
      <c r="AE5" s="1" t="s">
        <v>626</v>
      </c>
      <c r="AF5" s="1" t="s">
        <v>626</v>
      </c>
      <c r="AG5" s="1" t="s">
        <v>626</v>
      </c>
      <c r="AH5" s="1" t="s">
        <v>4191</v>
      </c>
      <c r="AI5" s="1" t="s">
        <v>4191</v>
      </c>
      <c r="AJ5" s="1" t="s">
        <v>194</v>
      </c>
      <c r="AK5" s="1" t="s">
        <v>194</v>
      </c>
      <c r="AL5" s="1" t="s">
        <v>194</v>
      </c>
      <c r="AM5" s="1" t="s">
        <v>194</v>
      </c>
      <c r="AN5" s="1" t="s">
        <v>194</v>
      </c>
      <c r="AO5" s="1" t="s">
        <v>194</v>
      </c>
      <c r="AP5" s="1" t="s">
        <v>194</v>
      </c>
      <c r="AQ5" s="1" t="s">
        <v>2890</v>
      </c>
      <c r="AR5" s="1" t="s">
        <v>4505</v>
      </c>
      <c r="BF5" s="1"/>
      <c r="BG5" s="1"/>
      <c r="BH5" s="1"/>
      <c r="BI5" s="1"/>
      <c r="BJ5" s="1"/>
      <c r="BK5" s="1"/>
      <c r="BL5" s="1"/>
      <c r="BM5" s="1"/>
    </row>
    <row r="6" spans="1:65" ht="105" hidden="1" x14ac:dyDescent="0.25">
      <c r="A6" s="1" t="s">
        <v>2177</v>
      </c>
      <c r="B6" s="1" t="s">
        <v>670</v>
      </c>
      <c r="C6" s="1" t="s">
        <v>2508</v>
      </c>
      <c r="D6" s="1" t="s">
        <v>27</v>
      </c>
      <c r="E6" s="1" t="s">
        <v>34</v>
      </c>
      <c r="F6" s="1" t="s">
        <v>35</v>
      </c>
      <c r="G6" s="11" t="s">
        <v>6</v>
      </c>
      <c r="H6" s="11" t="s">
        <v>4651</v>
      </c>
      <c r="I6" s="1" t="s">
        <v>1053</v>
      </c>
      <c r="J6" s="1" t="s">
        <v>2135</v>
      </c>
      <c r="K6" s="1" t="s">
        <v>2136</v>
      </c>
      <c r="L6" s="1" t="s">
        <v>1329</v>
      </c>
      <c r="M6" s="1" t="s">
        <v>562</v>
      </c>
      <c r="N6" s="1" t="s">
        <v>1330</v>
      </c>
      <c r="O6" s="1" t="s">
        <v>1164</v>
      </c>
      <c r="P6" s="1" t="s">
        <v>1339</v>
      </c>
      <c r="Q6" s="1" t="s">
        <v>194</v>
      </c>
      <c r="R6" s="1" t="s">
        <v>564</v>
      </c>
      <c r="S6" s="1" t="s">
        <v>563</v>
      </c>
      <c r="T6" s="1" t="s">
        <v>643</v>
      </c>
      <c r="U6" s="1" t="s">
        <v>31</v>
      </c>
      <c r="V6" s="1" t="s">
        <v>36</v>
      </c>
      <c r="W6" s="14" t="s">
        <v>32</v>
      </c>
      <c r="X6" s="14" t="s">
        <v>4650</v>
      </c>
      <c r="Y6" s="14" t="s">
        <v>194</v>
      </c>
      <c r="Z6" s="14" t="s">
        <v>31</v>
      </c>
      <c r="AA6" s="14" t="s">
        <v>4506</v>
      </c>
      <c r="AB6" s="14">
        <v>1</v>
      </c>
      <c r="AC6" s="14" t="s">
        <v>4504</v>
      </c>
      <c r="AD6" s="14">
        <v>0</v>
      </c>
      <c r="AE6" s="14" t="s">
        <v>626</v>
      </c>
      <c r="AF6" s="14" t="s">
        <v>626</v>
      </c>
      <c r="AG6" s="14" t="s">
        <v>626</v>
      </c>
      <c r="AH6" s="14" t="s">
        <v>4191</v>
      </c>
      <c r="AI6" s="14" t="s">
        <v>4191</v>
      </c>
      <c r="AJ6" s="14" t="s">
        <v>194</v>
      </c>
      <c r="AK6" s="14" t="s">
        <v>194</v>
      </c>
      <c r="AL6" s="14" t="s">
        <v>194</v>
      </c>
      <c r="AM6" s="14" t="s">
        <v>194</v>
      </c>
      <c r="AN6" s="14" t="s">
        <v>194</v>
      </c>
      <c r="AO6" s="14" t="s">
        <v>194</v>
      </c>
      <c r="AP6" s="14" t="s">
        <v>194</v>
      </c>
      <c r="AQ6" s="14" t="s">
        <v>2890</v>
      </c>
      <c r="AR6" s="14" t="s">
        <v>4505</v>
      </c>
      <c r="BF6" s="1"/>
      <c r="BG6" s="1"/>
      <c r="BH6" s="1"/>
      <c r="BI6" s="1"/>
      <c r="BJ6" s="1"/>
      <c r="BK6" s="1"/>
      <c r="BL6" s="1"/>
      <c r="BM6" s="1"/>
    </row>
    <row r="7" spans="1:65" ht="105" hidden="1" x14ac:dyDescent="0.25">
      <c r="A7" s="1" t="s">
        <v>2179</v>
      </c>
      <c r="B7" s="1" t="s">
        <v>38</v>
      </c>
      <c r="C7" s="1" t="s">
        <v>2508</v>
      </c>
      <c r="D7" s="1" t="s">
        <v>27</v>
      </c>
      <c r="E7" s="1" t="s">
        <v>34</v>
      </c>
      <c r="F7" s="1" t="s">
        <v>35</v>
      </c>
      <c r="G7" s="11" t="s">
        <v>6</v>
      </c>
      <c r="H7" s="11" t="s">
        <v>4651</v>
      </c>
      <c r="I7" s="1" t="s">
        <v>1053</v>
      </c>
      <c r="J7" s="1" t="s">
        <v>2135</v>
      </c>
      <c r="K7" s="1" t="s">
        <v>2136</v>
      </c>
      <c r="L7" s="1" t="s">
        <v>1329</v>
      </c>
      <c r="M7" s="1" t="s">
        <v>562</v>
      </c>
      <c r="N7" s="1" t="s">
        <v>1330</v>
      </c>
      <c r="O7" s="1" t="s">
        <v>1164</v>
      </c>
      <c r="P7" s="1" t="s">
        <v>1339</v>
      </c>
      <c r="Q7" s="1" t="s">
        <v>194</v>
      </c>
      <c r="R7" s="1" t="s">
        <v>565</v>
      </c>
      <c r="S7" s="1" t="s">
        <v>563</v>
      </c>
      <c r="T7" s="1" t="s">
        <v>643</v>
      </c>
      <c r="U7" s="1" t="s">
        <v>31</v>
      </c>
      <c r="V7" s="1" t="s">
        <v>36</v>
      </c>
      <c r="W7" s="14" t="s">
        <v>32</v>
      </c>
      <c r="X7" s="14" t="s">
        <v>4650</v>
      </c>
      <c r="Y7" s="14" t="s">
        <v>194</v>
      </c>
      <c r="Z7" s="14" t="s">
        <v>31</v>
      </c>
      <c r="AA7" s="14" t="s">
        <v>4506</v>
      </c>
      <c r="AB7" s="14">
        <v>1</v>
      </c>
      <c r="AC7" s="14" t="s">
        <v>4504</v>
      </c>
      <c r="AD7" s="14">
        <v>0</v>
      </c>
      <c r="AE7" s="14" t="s">
        <v>626</v>
      </c>
      <c r="AF7" s="14" t="s">
        <v>626</v>
      </c>
      <c r="AG7" s="14" t="s">
        <v>626</v>
      </c>
      <c r="AH7" s="14" t="s">
        <v>4191</v>
      </c>
      <c r="AI7" s="14" t="s">
        <v>4191</v>
      </c>
      <c r="AJ7" s="14" t="s">
        <v>194</v>
      </c>
      <c r="AK7" s="14" t="s">
        <v>194</v>
      </c>
      <c r="AL7" s="14" t="s">
        <v>194</v>
      </c>
      <c r="AM7" s="14" t="s">
        <v>194</v>
      </c>
      <c r="AN7" s="14" t="s">
        <v>194</v>
      </c>
      <c r="AO7" s="14" t="s">
        <v>194</v>
      </c>
      <c r="AP7" s="14" t="s">
        <v>194</v>
      </c>
      <c r="AQ7" s="14" t="s">
        <v>2890</v>
      </c>
      <c r="AR7" s="14" t="s">
        <v>4505</v>
      </c>
      <c r="BF7" s="1"/>
      <c r="BG7" s="1"/>
      <c r="BH7" s="1"/>
      <c r="BI7" s="1"/>
      <c r="BJ7" s="1"/>
      <c r="BK7" s="1"/>
      <c r="BL7" s="1"/>
      <c r="BM7" s="1"/>
    </row>
    <row r="8" spans="1:65" ht="105" hidden="1" x14ac:dyDescent="0.25">
      <c r="A8" s="1" t="s">
        <v>2181</v>
      </c>
      <c r="B8" s="1" t="s">
        <v>40</v>
      </c>
      <c r="C8" s="1" t="s">
        <v>2508</v>
      </c>
      <c r="D8" s="1" t="s">
        <v>27</v>
      </c>
      <c r="E8" s="1" t="s">
        <v>34</v>
      </c>
      <c r="F8" s="1" t="s">
        <v>35</v>
      </c>
      <c r="G8" s="11" t="s">
        <v>6</v>
      </c>
      <c r="H8" s="11" t="s">
        <v>4651</v>
      </c>
      <c r="I8" s="1" t="s">
        <v>1053</v>
      </c>
      <c r="J8" s="1" t="s">
        <v>2135</v>
      </c>
      <c r="K8" s="1" t="s">
        <v>2136</v>
      </c>
      <c r="L8" s="1" t="s">
        <v>1329</v>
      </c>
      <c r="M8" s="1" t="s">
        <v>562</v>
      </c>
      <c r="N8" s="1" t="s">
        <v>1330</v>
      </c>
      <c r="O8" s="1" t="s">
        <v>1164</v>
      </c>
      <c r="P8" s="1" t="s">
        <v>1339</v>
      </c>
      <c r="Q8" s="1" t="s">
        <v>194</v>
      </c>
      <c r="R8" s="1" t="s">
        <v>566</v>
      </c>
      <c r="S8" s="1" t="s">
        <v>563</v>
      </c>
      <c r="T8" s="1" t="s">
        <v>643</v>
      </c>
      <c r="U8" s="1" t="s">
        <v>31</v>
      </c>
      <c r="V8" s="1" t="s">
        <v>36</v>
      </c>
      <c r="W8" s="14" t="s">
        <v>32</v>
      </c>
      <c r="X8" s="14" t="s">
        <v>4650</v>
      </c>
      <c r="Y8" s="14" t="s">
        <v>194</v>
      </c>
      <c r="Z8" s="14" t="s">
        <v>31</v>
      </c>
      <c r="AA8" s="14" t="s">
        <v>4506</v>
      </c>
      <c r="AB8" s="14">
        <v>1</v>
      </c>
      <c r="AC8" s="14" t="s">
        <v>4504</v>
      </c>
      <c r="AD8" s="14">
        <v>0</v>
      </c>
      <c r="AE8" s="14" t="s">
        <v>626</v>
      </c>
      <c r="AF8" s="14" t="s">
        <v>626</v>
      </c>
      <c r="AG8" s="14" t="s">
        <v>626</v>
      </c>
      <c r="AH8" s="14" t="s">
        <v>4191</v>
      </c>
      <c r="AI8" s="14" t="s">
        <v>4191</v>
      </c>
      <c r="AJ8" s="14" t="s">
        <v>194</v>
      </c>
      <c r="AK8" s="14" t="s">
        <v>194</v>
      </c>
      <c r="AL8" s="14" t="s">
        <v>194</v>
      </c>
      <c r="AM8" s="14" t="s">
        <v>194</v>
      </c>
      <c r="AN8" s="14" t="s">
        <v>194</v>
      </c>
      <c r="AO8" s="14" t="s">
        <v>194</v>
      </c>
      <c r="AP8" s="14" t="s">
        <v>194</v>
      </c>
      <c r="AQ8" s="14" t="s">
        <v>2890</v>
      </c>
      <c r="AR8" s="14" t="s">
        <v>4505</v>
      </c>
      <c r="BF8" s="1"/>
      <c r="BG8" s="1"/>
      <c r="BH8" s="1"/>
      <c r="BI8" s="1"/>
      <c r="BJ8" s="1"/>
      <c r="BK8" s="1"/>
      <c r="BL8" s="1"/>
      <c r="BM8" s="1"/>
    </row>
    <row r="9" spans="1:65" ht="105" hidden="1" x14ac:dyDescent="0.25">
      <c r="A9" s="1" t="s">
        <v>2183</v>
      </c>
      <c r="B9" s="1" t="s">
        <v>42</v>
      </c>
      <c r="C9" s="1" t="s">
        <v>2508</v>
      </c>
      <c r="D9" s="1" t="s">
        <v>27</v>
      </c>
      <c r="E9" s="1" t="s">
        <v>34</v>
      </c>
      <c r="F9" s="1" t="s">
        <v>35</v>
      </c>
      <c r="G9" s="11" t="s">
        <v>6</v>
      </c>
      <c r="H9" s="11" t="s">
        <v>4651</v>
      </c>
      <c r="I9" s="1" t="s">
        <v>1053</v>
      </c>
      <c r="J9" s="1" t="s">
        <v>2135</v>
      </c>
      <c r="K9" s="1" t="s">
        <v>2136</v>
      </c>
      <c r="L9" s="1" t="s">
        <v>1329</v>
      </c>
      <c r="M9" s="1" t="s">
        <v>562</v>
      </c>
      <c r="N9" s="1" t="s">
        <v>1330</v>
      </c>
      <c r="O9" s="1" t="s">
        <v>1164</v>
      </c>
      <c r="P9" s="1" t="s">
        <v>1339</v>
      </c>
      <c r="Q9" s="1" t="s">
        <v>194</v>
      </c>
      <c r="R9" s="1" t="s">
        <v>567</v>
      </c>
      <c r="S9" s="1" t="s">
        <v>563</v>
      </c>
      <c r="T9" s="1" t="s">
        <v>643</v>
      </c>
      <c r="U9" s="1" t="s">
        <v>31</v>
      </c>
      <c r="V9" s="1" t="s">
        <v>36</v>
      </c>
      <c r="W9" s="14" t="s">
        <v>32</v>
      </c>
      <c r="X9" s="14" t="s">
        <v>4650</v>
      </c>
      <c r="Y9" s="14" t="s">
        <v>194</v>
      </c>
      <c r="Z9" s="14" t="s">
        <v>31</v>
      </c>
      <c r="AA9" s="14" t="s">
        <v>4506</v>
      </c>
      <c r="AB9" s="14">
        <v>1</v>
      </c>
      <c r="AC9" s="14" t="s">
        <v>4504</v>
      </c>
      <c r="AD9" s="14">
        <v>0</v>
      </c>
      <c r="AE9" s="14" t="s">
        <v>626</v>
      </c>
      <c r="AF9" s="14" t="s">
        <v>626</v>
      </c>
      <c r="AG9" s="14" t="s">
        <v>626</v>
      </c>
      <c r="AH9" s="14" t="s">
        <v>4191</v>
      </c>
      <c r="AI9" s="14" t="s">
        <v>4191</v>
      </c>
      <c r="AJ9" s="14" t="s">
        <v>194</v>
      </c>
      <c r="AK9" s="14" t="s">
        <v>194</v>
      </c>
      <c r="AL9" s="14" t="s">
        <v>194</v>
      </c>
      <c r="AM9" s="14" t="s">
        <v>194</v>
      </c>
      <c r="AN9" s="14" t="s">
        <v>194</v>
      </c>
      <c r="AO9" s="14" t="s">
        <v>194</v>
      </c>
      <c r="AP9" s="14" t="s">
        <v>194</v>
      </c>
      <c r="AQ9" s="14" t="s">
        <v>2890</v>
      </c>
      <c r="AR9" s="14" t="s">
        <v>4505</v>
      </c>
      <c r="BF9" s="1"/>
      <c r="BG9" s="1"/>
      <c r="BH9" s="1"/>
      <c r="BI9" s="1"/>
      <c r="BJ9" s="1"/>
      <c r="BK9" s="1"/>
      <c r="BL9" s="1"/>
      <c r="BM9" s="1"/>
    </row>
    <row r="10" spans="1:65" ht="105" hidden="1" x14ac:dyDescent="0.25">
      <c r="A10" s="1" t="s">
        <v>2175</v>
      </c>
      <c r="B10" s="1" t="s">
        <v>2602</v>
      </c>
      <c r="C10" s="1" t="s">
        <v>2508</v>
      </c>
      <c r="D10" s="1" t="s">
        <v>27</v>
      </c>
      <c r="E10" s="1" t="s">
        <v>34</v>
      </c>
      <c r="F10" s="1" t="s">
        <v>29</v>
      </c>
      <c r="G10" s="11" t="s">
        <v>6</v>
      </c>
      <c r="H10" s="11" t="s">
        <v>4652</v>
      </c>
      <c r="I10" s="1" t="s">
        <v>30</v>
      </c>
      <c r="J10" s="1" t="s">
        <v>2603</v>
      </c>
      <c r="K10" s="1" t="s">
        <v>2604</v>
      </c>
      <c r="L10" s="1" t="s">
        <v>1329</v>
      </c>
      <c r="M10" s="1" t="s">
        <v>562</v>
      </c>
      <c r="N10" s="1" t="s">
        <v>1330</v>
      </c>
      <c r="O10" s="1" t="s">
        <v>1164</v>
      </c>
      <c r="P10" s="1" t="s">
        <v>1339</v>
      </c>
      <c r="Q10" s="1" t="s">
        <v>194</v>
      </c>
      <c r="R10" s="1" t="s">
        <v>2</v>
      </c>
      <c r="S10" s="1" t="s">
        <v>576</v>
      </c>
      <c r="T10" s="1" t="s">
        <v>643</v>
      </c>
      <c r="U10" s="1" t="s">
        <v>31</v>
      </c>
      <c r="V10" s="1" t="s">
        <v>36</v>
      </c>
      <c r="W10" s="14" t="s">
        <v>2</v>
      </c>
      <c r="X10" s="14" t="s">
        <v>4650</v>
      </c>
      <c r="Y10" s="14" t="s">
        <v>194</v>
      </c>
      <c r="Z10" s="14" t="s">
        <v>31</v>
      </c>
      <c r="AA10" s="14" t="s">
        <v>4506</v>
      </c>
      <c r="AB10" s="14">
        <v>1</v>
      </c>
      <c r="AC10" s="14" t="s">
        <v>194</v>
      </c>
      <c r="AD10" s="14">
        <v>0</v>
      </c>
      <c r="AE10" s="14" t="s">
        <v>626</v>
      </c>
      <c r="AF10" s="14" t="s">
        <v>626</v>
      </c>
      <c r="AG10" s="14" t="s">
        <v>626</v>
      </c>
      <c r="AH10" s="14" t="s">
        <v>4191</v>
      </c>
      <c r="AI10" s="14" t="s">
        <v>4191</v>
      </c>
      <c r="AJ10" s="14" t="s">
        <v>194</v>
      </c>
      <c r="AK10" s="14" t="s">
        <v>194</v>
      </c>
      <c r="AL10" s="14" t="s">
        <v>194</v>
      </c>
      <c r="AM10" s="14" t="s">
        <v>194</v>
      </c>
      <c r="AN10" s="14" t="s">
        <v>194</v>
      </c>
      <c r="AO10" s="14" t="s">
        <v>194</v>
      </c>
      <c r="AP10" s="14" t="s">
        <v>194</v>
      </c>
      <c r="AQ10" s="14" t="s">
        <v>2890</v>
      </c>
      <c r="AR10" s="14" t="s">
        <v>4505</v>
      </c>
      <c r="BF10" s="1"/>
      <c r="BG10" s="1"/>
      <c r="BH10" s="1"/>
      <c r="BI10" s="1"/>
      <c r="BJ10" s="1"/>
      <c r="BK10" s="1"/>
      <c r="BL10" s="1"/>
      <c r="BM10" s="1"/>
    </row>
    <row r="11" spans="1:65" ht="105" hidden="1" x14ac:dyDescent="0.25">
      <c r="A11" s="23" t="s">
        <v>2188</v>
      </c>
      <c r="B11" s="1" t="s">
        <v>125</v>
      </c>
      <c r="C11" s="1" t="s">
        <v>2508</v>
      </c>
      <c r="D11" s="1" t="s">
        <v>27</v>
      </c>
      <c r="E11" s="1" t="s">
        <v>34</v>
      </c>
      <c r="F11" s="1" t="s">
        <v>35</v>
      </c>
      <c r="G11" s="11" t="s">
        <v>126</v>
      </c>
      <c r="H11" s="11" t="s">
        <v>4653</v>
      </c>
      <c r="I11" s="1" t="s">
        <v>82</v>
      </c>
      <c r="J11" s="1" t="s">
        <v>2159</v>
      </c>
      <c r="K11" s="1" t="s">
        <v>2160</v>
      </c>
      <c r="L11" s="1" t="s">
        <v>1329</v>
      </c>
      <c r="M11" s="1" t="s">
        <v>562</v>
      </c>
      <c r="N11" s="1" t="s">
        <v>1330</v>
      </c>
      <c r="O11" s="1" t="s">
        <v>1164</v>
      </c>
      <c r="P11" s="1" t="s">
        <v>1339</v>
      </c>
      <c r="Q11" s="1" t="s">
        <v>194</v>
      </c>
      <c r="R11" s="1" t="s">
        <v>2</v>
      </c>
      <c r="S11" s="1" t="s">
        <v>563</v>
      </c>
      <c r="T11" s="1" t="s">
        <v>643</v>
      </c>
      <c r="U11" s="1" t="s">
        <v>31</v>
      </c>
      <c r="V11" s="1" t="s">
        <v>90</v>
      </c>
      <c r="W11" s="14" t="s">
        <v>32</v>
      </c>
      <c r="X11" s="14" t="s">
        <v>4650</v>
      </c>
      <c r="Y11" s="14" t="s">
        <v>194</v>
      </c>
      <c r="Z11" s="14" t="s">
        <v>31</v>
      </c>
      <c r="AA11" s="14" t="s">
        <v>4506</v>
      </c>
      <c r="AB11" s="14">
        <v>1</v>
      </c>
      <c r="AC11" s="14" t="s">
        <v>194</v>
      </c>
      <c r="AD11" s="14">
        <v>2</v>
      </c>
      <c r="AE11" s="14" t="s">
        <v>626</v>
      </c>
      <c r="AF11" s="14" t="s">
        <v>626</v>
      </c>
      <c r="AG11" s="14" t="s">
        <v>626</v>
      </c>
      <c r="AH11" s="14" t="s">
        <v>4191</v>
      </c>
      <c r="AI11" s="14" t="s">
        <v>4191</v>
      </c>
      <c r="AJ11" s="14" t="s">
        <v>194</v>
      </c>
      <c r="AK11" s="14" t="s">
        <v>194</v>
      </c>
      <c r="AL11" s="14" t="s">
        <v>194</v>
      </c>
      <c r="AM11" s="14" t="s">
        <v>194</v>
      </c>
      <c r="AN11" s="14" t="s">
        <v>194</v>
      </c>
      <c r="AO11" s="14" t="s">
        <v>194</v>
      </c>
      <c r="AP11" s="14" t="s">
        <v>194</v>
      </c>
      <c r="AQ11" s="14" t="s">
        <v>2890</v>
      </c>
      <c r="AR11" s="14" t="s">
        <v>4505</v>
      </c>
      <c r="BF11" s="1"/>
      <c r="BG11" s="1"/>
      <c r="BH11" s="1"/>
      <c r="BI11" s="1"/>
      <c r="BJ11" s="1"/>
      <c r="BK11" s="1"/>
      <c r="BL11" s="1"/>
      <c r="BM11" s="1"/>
    </row>
    <row r="12" spans="1:65" ht="105" hidden="1" x14ac:dyDescent="0.25">
      <c r="A12" s="23" t="s">
        <v>2190</v>
      </c>
      <c r="B12" s="1" t="s">
        <v>128</v>
      </c>
      <c r="C12" s="1" t="s">
        <v>2508</v>
      </c>
      <c r="D12" s="1" t="s">
        <v>27</v>
      </c>
      <c r="E12" s="1" t="s">
        <v>34</v>
      </c>
      <c r="F12" s="1" t="s">
        <v>35</v>
      </c>
      <c r="G12" s="11" t="s">
        <v>129</v>
      </c>
      <c r="H12" s="11" t="s">
        <v>4653</v>
      </c>
      <c r="I12" s="1" t="s">
        <v>82</v>
      </c>
      <c r="J12" s="1" t="s">
        <v>2159</v>
      </c>
      <c r="K12" s="1" t="s">
        <v>2160</v>
      </c>
      <c r="L12" s="1" t="s">
        <v>1329</v>
      </c>
      <c r="M12" s="1" t="s">
        <v>562</v>
      </c>
      <c r="N12" s="1" t="s">
        <v>1330</v>
      </c>
      <c r="O12" s="1" t="s">
        <v>1164</v>
      </c>
      <c r="P12" s="1" t="s">
        <v>1339</v>
      </c>
      <c r="Q12" s="1" t="s">
        <v>194</v>
      </c>
      <c r="R12" s="1" t="s">
        <v>314</v>
      </c>
      <c r="S12" s="1" t="s">
        <v>563</v>
      </c>
      <c r="T12" s="1" t="s">
        <v>643</v>
      </c>
      <c r="U12" s="1" t="s">
        <v>31</v>
      </c>
      <c r="V12" s="1" t="s">
        <v>90</v>
      </c>
      <c r="W12" s="14" t="s">
        <v>32</v>
      </c>
      <c r="X12" s="14" t="s">
        <v>4650</v>
      </c>
      <c r="Y12" s="14" t="s">
        <v>194</v>
      </c>
      <c r="Z12" s="14" t="s">
        <v>31</v>
      </c>
      <c r="AA12" s="14" t="s">
        <v>4506</v>
      </c>
      <c r="AB12" s="14">
        <v>1</v>
      </c>
      <c r="AC12" s="14" t="s">
        <v>194</v>
      </c>
      <c r="AD12" s="14">
        <v>2</v>
      </c>
      <c r="AE12" s="14" t="s">
        <v>626</v>
      </c>
      <c r="AF12" s="14" t="s">
        <v>626</v>
      </c>
      <c r="AG12" s="14" t="s">
        <v>626</v>
      </c>
      <c r="AH12" s="14" t="s">
        <v>4191</v>
      </c>
      <c r="AI12" s="14" t="s">
        <v>4191</v>
      </c>
      <c r="AJ12" s="14" t="s">
        <v>194</v>
      </c>
      <c r="AK12" s="14" t="s">
        <v>194</v>
      </c>
      <c r="AL12" s="14" t="s">
        <v>194</v>
      </c>
      <c r="AM12" s="14" t="s">
        <v>194</v>
      </c>
      <c r="AN12" s="14" t="s">
        <v>194</v>
      </c>
      <c r="AO12" s="14" t="s">
        <v>194</v>
      </c>
      <c r="AP12" s="14" t="s">
        <v>194</v>
      </c>
      <c r="AQ12" s="14" t="s">
        <v>2890</v>
      </c>
      <c r="AR12" s="14" t="s">
        <v>4505</v>
      </c>
      <c r="BF12" s="1"/>
      <c r="BG12" s="1"/>
      <c r="BH12" s="1"/>
      <c r="BI12" s="1"/>
      <c r="BJ12" s="1"/>
      <c r="BK12" s="1"/>
      <c r="BL12" s="1"/>
      <c r="BM12" s="1"/>
    </row>
    <row r="13" spans="1:65" ht="105" hidden="1" x14ac:dyDescent="0.25">
      <c r="A13" s="23" t="s">
        <v>2192</v>
      </c>
      <c r="B13" s="1" t="s">
        <v>131</v>
      </c>
      <c r="C13" s="1" t="s">
        <v>2508</v>
      </c>
      <c r="D13" s="1" t="s">
        <v>27</v>
      </c>
      <c r="E13" s="1" t="s">
        <v>34</v>
      </c>
      <c r="F13" s="1" t="s">
        <v>35</v>
      </c>
      <c r="G13" s="11" t="s">
        <v>132</v>
      </c>
      <c r="H13" s="11" t="s">
        <v>4653</v>
      </c>
      <c r="I13" s="1" t="s">
        <v>82</v>
      </c>
      <c r="J13" s="1" t="s">
        <v>2159</v>
      </c>
      <c r="K13" s="1" t="s">
        <v>2160</v>
      </c>
      <c r="L13" s="1" t="s">
        <v>1329</v>
      </c>
      <c r="M13" s="1" t="s">
        <v>562</v>
      </c>
      <c r="N13" s="1" t="s">
        <v>1330</v>
      </c>
      <c r="O13" s="1" t="s">
        <v>1164</v>
      </c>
      <c r="P13" s="1" t="s">
        <v>1339</v>
      </c>
      <c r="Q13" s="1" t="s">
        <v>194</v>
      </c>
      <c r="R13" s="1" t="s">
        <v>36</v>
      </c>
      <c r="S13" s="1" t="s">
        <v>563</v>
      </c>
      <c r="T13" s="1" t="s">
        <v>643</v>
      </c>
      <c r="U13" s="1" t="s">
        <v>31</v>
      </c>
      <c r="V13" s="14" t="s">
        <v>90</v>
      </c>
      <c r="W13" s="14" t="s">
        <v>32</v>
      </c>
      <c r="X13" s="14" t="s">
        <v>4650</v>
      </c>
      <c r="Y13" s="14" t="s">
        <v>194</v>
      </c>
      <c r="Z13" s="14" t="s">
        <v>31</v>
      </c>
      <c r="AA13" s="14" t="s">
        <v>4506</v>
      </c>
      <c r="AB13" s="14">
        <v>1</v>
      </c>
      <c r="AC13" s="14" t="s">
        <v>194</v>
      </c>
      <c r="AD13" s="14">
        <v>2</v>
      </c>
      <c r="AE13" s="14" t="s">
        <v>626</v>
      </c>
      <c r="AF13" s="14" t="s">
        <v>626</v>
      </c>
      <c r="AG13" s="14" t="s">
        <v>626</v>
      </c>
      <c r="AH13" s="14" t="s">
        <v>4191</v>
      </c>
      <c r="AI13" s="14" t="s">
        <v>4191</v>
      </c>
      <c r="AJ13" s="14" t="s">
        <v>194</v>
      </c>
      <c r="AK13" s="14" t="s">
        <v>194</v>
      </c>
      <c r="AL13" s="14" t="s">
        <v>194</v>
      </c>
      <c r="AM13" s="14" t="s">
        <v>194</v>
      </c>
      <c r="AN13" s="14" t="s">
        <v>194</v>
      </c>
      <c r="AO13" s="14" t="s">
        <v>194</v>
      </c>
      <c r="AP13" s="14" t="s">
        <v>194</v>
      </c>
      <c r="AQ13" s="14" t="s">
        <v>2890</v>
      </c>
      <c r="AR13" s="14" t="s">
        <v>4505</v>
      </c>
      <c r="BF13" s="1"/>
      <c r="BG13" s="1"/>
      <c r="BH13" s="1"/>
      <c r="BI13" s="1"/>
      <c r="BJ13" s="1"/>
      <c r="BK13" s="1"/>
      <c r="BL13" s="1"/>
      <c r="BM13" s="1"/>
    </row>
    <row r="14" spans="1:65" ht="120" hidden="1" x14ac:dyDescent="0.25">
      <c r="A14" s="1" t="s">
        <v>2202</v>
      </c>
      <c r="B14" s="1" t="s">
        <v>2605</v>
      </c>
      <c r="C14" s="1" t="s">
        <v>2508</v>
      </c>
      <c r="D14" s="1" t="s">
        <v>27</v>
      </c>
      <c r="E14" s="1" t="s">
        <v>34</v>
      </c>
      <c r="F14" s="1" t="s">
        <v>50</v>
      </c>
      <c r="G14" s="11" t="s">
        <v>2606</v>
      </c>
      <c r="H14" s="11" t="s">
        <v>4654</v>
      </c>
      <c r="I14" s="1" t="s">
        <v>30</v>
      </c>
      <c r="J14" s="1" t="s">
        <v>2140</v>
      </c>
      <c r="K14" s="1" t="s">
        <v>2607</v>
      </c>
      <c r="L14" s="1" t="s">
        <v>1329</v>
      </c>
      <c r="M14" s="1" t="s">
        <v>1331</v>
      </c>
      <c r="N14" s="1" t="s">
        <v>1330</v>
      </c>
      <c r="O14" s="1" t="s">
        <v>1164</v>
      </c>
      <c r="P14" s="1" t="s">
        <v>1339</v>
      </c>
      <c r="Q14" s="1" t="s">
        <v>194</v>
      </c>
      <c r="R14" s="1" t="s">
        <v>32</v>
      </c>
      <c r="S14" s="1" t="s">
        <v>2170</v>
      </c>
      <c r="T14" s="1" t="s">
        <v>643</v>
      </c>
      <c r="U14" s="1" t="s">
        <v>31</v>
      </c>
      <c r="V14" s="1" t="s">
        <v>90</v>
      </c>
      <c r="W14" s="14" t="s">
        <v>2</v>
      </c>
      <c r="X14" s="14" t="s">
        <v>4650</v>
      </c>
      <c r="Y14" s="14" t="s">
        <v>4507</v>
      </c>
      <c r="Z14" s="14" t="s">
        <v>31</v>
      </c>
      <c r="AA14" s="14" t="s">
        <v>4503</v>
      </c>
      <c r="AB14" s="14">
        <v>1</v>
      </c>
      <c r="AC14" s="14" t="s">
        <v>194</v>
      </c>
      <c r="AD14" s="14">
        <v>0</v>
      </c>
      <c r="AE14" s="14" t="s">
        <v>626</v>
      </c>
      <c r="AF14" s="14" t="s">
        <v>4191</v>
      </c>
      <c r="AG14" s="14" t="s">
        <v>4191</v>
      </c>
      <c r="AH14" s="14" t="s">
        <v>4191</v>
      </c>
      <c r="AI14" s="14" t="s">
        <v>626</v>
      </c>
      <c r="AJ14" s="14" t="s">
        <v>194</v>
      </c>
      <c r="AK14" s="14" t="s">
        <v>194</v>
      </c>
      <c r="AL14" s="14" t="s">
        <v>194</v>
      </c>
      <c r="AM14" s="14" t="s">
        <v>194</v>
      </c>
      <c r="AN14" s="14" t="s">
        <v>194</v>
      </c>
      <c r="AO14" s="14" t="s">
        <v>194</v>
      </c>
      <c r="AP14" s="14" t="s">
        <v>194</v>
      </c>
      <c r="AQ14" s="14" t="s">
        <v>2890</v>
      </c>
      <c r="AR14" s="14" t="s">
        <v>4505</v>
      </c>
      <c r="BF14" s="1"/>
      <c r="BG14" s="1"/>
      <c r="BH14" s="1"/>
      <c r="BI14" s="1"/>
      <c r="BJ14" s="1"/>
      <c r="BK14" s="1"/>
      <c r="BL14" s="1"/>
      <c r="BM14" s="1"/>
    </row>
    <row r="15" spans="1:65" ht="135" hidden="1" x14ac:dyDescent="0.25">
      <c r="A15" s="1" t="s">
        <v>2172</v>
      </c>
      <c r="B15" s="1" t="s">
        <v>95</v>
      </c>
      <c r="C15" s="1" t="s">
        <v>2508</v>
      </c>
      <c r="D15" s="1" t="s">
        <v>2542</v>
      </c>
      <c r="E15" s="1" t="s">
        <v>34</v>
      </c>
      <c r="F15" s="1" t="s">
        <v>50</v>
      </c>
      <c r="G15" s="11" t="s">
        <v>2875</v>
      </c>
      <c r="H15" s="11" t="s">
        <v>4655</v>
      </c>
      <c r="I15" s="1" t="s">
        <v>94</v>
      </c>
      <c r="J15" s="1" t="s">
        <v>2149</v>
      </c>
      <c r="K15" s="1" t="s">
        <v>2151</v>
      </c>
      <c r="L15" s="1" t="s">
        <v>1329</v>
      </c>
      <c r="M15" s="1" t="s">
        <v>1331</v>
      </c>
      <c r="N15" s="1" t="s">
        <v>1330</v>
      </c>
      <c r="O15" s="1" t="s">
        <v>1342</v>
      </c>
      <c r="P15" s="1" t="s">
        <v>1339</v>
      </c>
      <c r="Q15" s="1" t="s">
        <v>194</v>
      </c>
      <c r="R15" s="1" t="s">
        <v>32</v>
      </c>
      <c r="S15" s="1" t="s">
        <v>2170</v>
      </c>
      <c r="T15" s="1" t="s">
        <v>4656</v>
      </c>
      <c r="U15" s="1" t="s">
        <v>31</v>
      </c>
      <c r="V15" s="1" t="s">
        <v>2</v>
      </c>
      <c r="W15" s="14" t="s">
        <v>32</v>
      </c>
      <c r="X15" s="14" t="s">
        <v>4650</v>
      </c>
      <c r="Y15" s="14" t="s">
        <v>4508</v>
      </c>
      <c r="Z15" s="14" t="s">
        <v>31</v>
      </c>
      <c r="AA15" s="14" t="s">
        <v>4503</v>
      </c>
      <c r="AB15" s="14">
        <v>2</v>
      </c>
      <c r="AC15" s="14" t="s">
        <v>4509</v>
      </c>
      <c r="AD15" s="14">
        <v>2</v>
      </c>
      <c r="AE15" s="14" t="s">
        <v>626</v>
      </c>
      <c r="AF15" s="14" t="s">
        <v>4191</v>
      </c>
      <c r="AG15" s="14" t="s">
        <v>4191</v>
      </c>
      <c r="AH15" s="14" t="s">
        <v>4191</v>
      </c>
      <c r="AI15" s="14" t="s">
        <v>4191</v>
      </c>
      <c r="AJ15" s="14" t="s">
        <v>194</v>
      </c>
      <c r="AK15" s="14" t="s">
        <v>194</v>
      </c>
      <c r="AL15" s="14" t="s">
        <v>194</v>
      </c>
      <c r="AM15" s="14" t="s">
        <v>194</v>
      </c>
      <c r="AN15" s="14" t="s">
        <v>194</v>
      </c>
      <c r="AO15" s="14" t="s">
        <v>194</v>
      </c>
      <c r="AP15" s="14" t="s">
        <v>194</v>
      </c>
      <c r="AQ15" s="14" t="s">
        <v>2890</v>
      </c>
      <c r="AR15" s="14" t="s">
        <v>4505</v>
      </c>
      <c r="BF15" s="1"/>
      <c r="BG15" s="1"/>
      <c r="BH15" s="1"/>
      <c r="BI15" s="1"/>
      <c r="BJ15" s="1"/>
      <c r="BK15" s="1"/>
      <c r="BL15" s="1"/>
      <c r="BM15" s="1"/>
    </row>
    <row r="16" spans="1:65" ht="150" hidden="1" x14ac:dyDescent="0.25">
      <c r="A16" s="1" t="s">
        <v>2194</v>
      </c>
      <c r="B16" s="1" t="s">
        <v>87</v>
      </c>
      <c r="C16" s="1" t="s">
        <v>2508</v>
      </c>
      <c r="D16" s="1" t="s">
        <v>2542</v>
      </c>
      <c r="E16" s="1" t="s">
        <v>34</v>
      </c>
      <c r="F16" s="1" t="s">
        <v>50</v>
      </c>
      <c r="G16" s="11" t="s">
        <v>2608</v>
      </c>
      <c r="H16" s="11" t="s">
        <v>4657</v>
      </c>
      <c r="I16" s="1" t="s">
        <v>89</v>
      </c>
      <c r="J16" s="1" t="s">
        <v>2138</v>
      </c>
      <c r="K16" s="1" t="s">
        <v>2139</v>
      </c>
      <c r="L16" s="1" t="s">
        <v>1329</v>
      </c>
      <c r="M16" s="1" t="s">
        <v>1331</v>
      </c>
      <c r="N16" s="1" t="s">
        <v>1330</v>
      </c>
      <c r="O16" s="1" t="s">
        <v>1342</v>
      </c>
      <c r="P16" s="1" t="s">
        <v>1339</v>
      </c>
      <c r="Q16" s="1" t="s">
        <v>194</v>
      </c>
      <c r="R16" s="1" t="s">
        <v>32</v>
      </c>
      <c r="S16" s="1" t="s">
        <v>2170</v>
      </c>
      <c r="T16" s="1" t="s">
        <v>4656</v>
      </c>
      <c r="U16" s="1" t="s">
        <v>31</v>
      </c>
      <c r="V16" s="1" t="s">
        <v>90</v>
      </c>
      <c r="W16" s="14" t="s">
        <v>2</v>
      </c>
      <c r="X16" s="14" t="s">
        <v>4650</v>
      </c>
      <c r="Y16" s="14" t="s">
        <v>4510</v>
      </c>
      <c r="Z16" s="14" t="s">
        <v>31</v>
      </c>
      <c r="AA16" s="14" t="s">
        <v>4503</v>
      </c>
      <c r="AB16" s="14">
        <v>2</v>
      </c>
      <c r="AC16" s="14" t="s">
        <v>4509</v>
      </c>
      <c r="AD16" s="14">
        <v>2</v>
      </c>
      <c r="AE16" s="14" t="s">
        <v>626</v>
      </c>
      <c r="AF16" s="14" t="s">
        <v>4191</v>
      </c>
      <c r="AG16" s="14" t="s">
        <v>4191</v>
      </c>
      <c r="AH16" s="14" t="s">
        <v>4191</v>
      </c>
      <c r="AI16" s="14" t="s">
        <v>4191</v>
      </c>
      <c r="AJ16" s="14" t="s">
        <v>194</v>
      </c>
      <c r="AK16" s="14" t="s">
        <v>194</v>
      </c>
      <c r="AL16" s="14" t="s">
        <v>194</v>
      </c>
      <c r="AM16" s="14" t="s">
        <v>194</v>
      </c>
      <c r="AN16" s="14" t="s">
        <v>194</v>
      </c>
      <c r="AO16" s="14" t="s">
        <v>194</v>
      </c>
      <c r="AP16" s="14" t="s">
        <v>194</v>
      </c>
      <c r="AQ16" s="14" t="s">
        <v>2890</v>
      </c>
      <c r="AR16" s="14" t="s">
        <v>4505</v>
      </c>
      <c r="BF16" s="1"/>
      <c r="BG16" s="1"/>
      <c r="BH16" s="1"/>
      <c r="BI16" s="1"/>
      <c r="BJ16" s="1"/>
      <c r="BK16" s="1"/>
      <c r="BL16" s="1"/>
      <c r="BM16" s="1"/>
    </row>
    <row r="17" spans="1:65" ht="120" hidden="1" x14ac:dyDescent="0.25">
      <c r="A17" s="1" t="s">
        <v>2222</v>
      </c>
      <c r="B17" s="1" t="s">
        <v>2609</v>
      </c>
      <c r="C17" s="1" t="s">
        <v>2508</v>
      </c>
      <c r="D17" s="1" t="s">
        <v>2509</v>
      </c>
      <c r="E17" s="1" t="s">
        <v>34</v>
      </c>
      <c r="F17" s="1" t="s">
        <v>50</v>
      </c>
      <c r="G17" s="11" t="s">
        <v>4658</v>
      </c>
      <c r="H17" s="11" t="s">
        <v>4659</v>
      </c>
      <c r="I17" s="1" t="s">
        <v>3592</v>
      </c>
      <c r="J17" s="1" t="s">
        <v>2148</v>
      </c>
      <c r="K17" s="1" t="s">
        <v>1904</v>
      </c>
      <c r="L17" s="1" t="s">
        <v>1329</v>
      </c>
      <c r="M17" s="1" t="s">
        <v>1331</v>
      </c>
      <c r="N17" s="1" t="s">
        <v>1330</v>
      </c>
      <c r="O17" s="1" t="s">
        <v>1342</v>
      </c>
      <c r="P17" s="1" t="s">
        <v>1339</v>
      </c>
      <c r="Q17" s="1" t="s">
        <v>194</v>
      </c>
      <c r="R17" s="1" t="s">
        <v>32</v>
      </c>
      <c r="S17" s="1" t="s">
        <v>2170</v>
      </c>
      <c r="T17" s="1" t="s">
        <v>4656</v>
      </c>
      <c r="U17" s="1" t="s">
        <v>31</v>
      </c>
      <c r="V17" s="1" t="s">
        <v>90</v>
      </c>
      <c r="W17" s="14" t="s">
        <v>2</v>
      </c>
      <c r="X17" s="14" t="s">
        <v>4660</v>
      </c>
      <c r="Y17" s="14" t="s">
        <v>4511</v>
      </c>
      <c r="Z17" s="14" t="s">
        <v>31</v>
      </c>
      <c r="AA17" s="14" t="s">
        <v>4503</v>
      </c>
      <c r="AB17" s="14">
        <v>2</v>
      </c>
      <c r="AC17" s="14" t="s">
        <v>194</v>
      </c>
      <c r="AD17" s="14">
        <v>2</v>
      </c>
      <c r="AE17" s="14" t="s">
        <v>626</v>
      </c>
      <c r="AF17" s="14" t="s">
        <v>4191</v>
      </c>
      <c r="AG17" s="14" t="s">
        <v>4191</v>
      </c>
      <c r="AH17" s="14" t="s">
        <v>4191</v>
      </c>
      <c r="AI17" s="14" t="s">
        <v>4191</v>
      </c>
      <c r="AJ17" s="14" t="s">
        <v>194</v>
      </c>
      <c r="AK17" s="14" t="s">
        <v>194</v>
      </c>
      <c r="AL17" s="14" t="s">
        <v>194</v>
      </c>
      <c r="AM17" s="14" t="s">
        <v>194</v>
      </c>
      <c r="AN17" s="14" t="s">
        <v>194</v>
      </c>
      <c r="AO17" s="14" t="s">
        <v>194</v>
      </c>
      <c r="AP17" s="14" t="s">
        <v>194</v>
      </c>
      <c r="AQ17" s="14" t="s">
        <v>1918</v>
      </c>
      <c r="AR17" s="14" t="s">
        <v>4505</v>
      </c>
      <c r="BF17" s="1"/>
      <c r="BG17" s="1"/>
      <c r="BH17" s="1"/>
      <c r="BI17" s="1"/>
      <c r="BJ17" s="1"/>
      <c r="BK17" s="1"/>
      <c r="BL17" s="1"/>
      <c r="BM17" s="1"/>
    </row>
    <row r="18" spans="1:65" ht="120" hidden="1" x14ac:dyDescent="0.25">
      <c r="A18" s="1" t="s">
        <v>2224</v>
      </c>
      <c r="B18" s="1" t="s">
        <v>2610</v>
      </c>
      <c r="C18" s="1" t="s">
        <v>2508</v>
      </c>
      <c r="D18" s="1" t="s">
        <v>2509</v>
      </c>
      <c r="E18" s="1" t="s">
        <v>34</v>
      </c>
      <c r="F18" s="1" t="s">
        <v>50</v>
      </c>
      <c r="G18" s="11" t="s">
        <v>2611</v>
      </c>
      <c r="H18" s="11" t="s">
        <v>4659</v>
      </c>
      <c r="I18" s="1" t="s">
        <v>3592</v>
      </c>
      <c r="J18" s="1" t="s">
        <v>2148</v>
      </c>
      <c r="K18" s="1" t="s">
        <v>1904</v>
      </c>
      <c r="L18" s="1" t="s">
        <v>1329</v>
      </c>
      <c r="M18" s="1" t="s">
        <v>1331</v>
      </c>
      <c r="N18" s="1" t="s">
        <v>1330</v>
      </c>
      <c r="O18" s="1" t="s">
        <v>1342</v>
      </c>
      <c r="P18" s="1" t="s">
        <v>1339</v>
      </c>
      <c r="Q18" s="1" t="s">
        <v>194</v>
      </c>
      <c r="R18" s="1" t="s">
        <v>32</v>
      </c>
      <c r="S18" s="1" t="s">
        <v>2170</v>
      </c>
      <c r="T18" s="1" t="s">
        <v>4656</v>
      </c>
      <c r="U18" s="1" t="s">
        <v>31</v>
      </c>
      <c r="V18" s="1" t="s">
        <v>90</v>
      </c>
      <c r="W18" s="14" t="s">
        <v>2</v>
      </c>
      <c r="X18" s="14" t="s">
        <v>4660</v>
      </c>
      <c r="Y18" s="14" t="s">
        <v>4511</v>
      </c>
      <c r="Z18" s="14" t="s">
        <v>31</v>
      </c>
      <c r="AA18" s="14" t="s">
        <v>4503</v>
      </c>
      <c r="AB18" s="14">
        <v>2</v>
      </c>
      <c r="AC18" s="14" t="s">
        <v>194</v>
      </c>
      <c r="AD18" s="14">
        <v>2</v>
      </c>
      <c r="AE18" s="14" t="s">
        <v>626</v>
      </c>
      <c r="AF18" s="14" t="s">
        <v>4191</v>
      </c>
      <c r="AG18" s="14" t="s">
        <v>4191</v>
      </c>
      <c r="AH18" s="14" t="s">
        <v>4191</v>
      </c>
      <c r="AI18" s="14" t="s">
        <v>4191</v>
      </c>
      <c r="AJ18" s="14" t="s">
        <v>194</v>
      </c>
      <c r="AK18" s="14" t="s">
        <v>194</v>
      </c>
      <c r="AL18" s="14" t="s">
        <v>194</v>
      </c>
      <c r="AM18" s="14" t="s">
        <v>194</v>
      </c>
      <c r="AN18" s="14" t="s">
        <v>194</v>
      </c>
      <c r="AO18" s="14" t="s">
        <v>194</v>
      </c>
      <c r="AP18" s="14" t="s">
        <v>194</v>
      </c>
      <c r="AQ18" s="14" t="s">
        <v>1918</v>
      </c>
      <c r="AR18" s="14" t="s">
        <v>4505</v>
      </c>
      <c r="BF18" s="1"/>
      <c r="BG18" s="1"/>
      <c r="BH18" s="1"/>
      <c r="BI18" s="1"/>
      <c r="BJ18" s="1"/>
      <c r="BK18" s="1"/>
      <c r="BL18" s="1"/>
      <c r="BM18" s="1"/>
    </row>
    <row r="19" spans="1:65" ht="120" hidden="1" x14ac:dyDescent="0.25">
      <c r="A19" s="1" t="s">
        <v>2226</v>
      </c>
      <c r="B19" s="1" t="s">
        <v>2612</v>
      </c>
      <c r="C19" s="1" t="s">
        <v>2508</v>
      </c>
      <c r="D19" s="1" t="s">
        <v>2509</v>
      </c>
      <c r="E19" s="1" t="s">
        <v>34</v>
      </c>
      <c r="F19" s="1" t="s">
        <v>50</v>
      </c>
      <c r="G19" s="11" t="s">
        <v>2613</v>
      </c>
      <c r="H19" s="11" t="s">
        <v>4659</v>
      </c>
      <c r="I19" s="1" t="s">
        <v>3592</v>
      </c>
      <c r="J19" s="1" t="s">
        <v>2148</v>
      </c>
      <c r="K19" s="1" t="s">
        <v>1904</v>
      </c>
      <c r="L19" s="1" t="s">
        <v>1329</v>
      </c>
      <c r="M19" s="1" t="s">
        <v>1331</v>
      </c>
      <c r="N19" s="1" t="s">
        <v>1330</v>
      </c>
      <c r="O19" s="1" t="s">
        <v>1342</v>
      </c>
      <c r="P19" s="1" t="s">
        <v>1339</v>
      </c>
      <c r="Q19" s="1" t="s">
        <v>194</v>
      </c>
      <c r="R19" s="1" t="s">
        <v>32</v>
      </c>
      <c r="S19" s="1" t="s">
        <v>2170</v>
      </c>
      <c r="T19" s="1" t="s">
        <v>4656</v>
      </c>
      <c r="U19" s="1" t="s">
        <v>31</v>
      </c>
      <c r="V19" s="1" t="s">
        <v>90</v>
      </c>
      <c r="W19" s="14" t="s">
        <v>2</v>
      </c>
      <c r="X19" s="14" t="s">
        <v>4660</v>
      </c>
      <c r="Y19" s="14" t="s">
        <v>4511</v>
      </c>
      <c r="Z19" s="14" t="s">
        <v>31</v>
      </c>
      <c r="AA19" s="14" t="s">
        <v>4503</v>
      </c>
      <c r="AB19" s="14">
        <v>2</v>
      </c>
      <c r="AC19" s="14" t="s">
        <v>194</v>
      </c>
      <c r="AD19" s="14">
        <v>2</v>
      </c>
      <c r="AE19" s="14" t="s">
        <v>626</v>
      </c>
      <c r="AF19" s="14" t="s">
        <v>4191</v>
      </c>
      <c r="AG19" s="14" t="s">
        <v>4191</v>
      </c>
      <c r="AH19" s="14" t="s">
        <v>4191</v>
      </c>
      <c r="AI19" s="14" t="s">
        <v>4191</v>
      </c>
      <c r="AJ19" s="14" t="s">
        <v>194</v>
      </c>
      <c r="AK19" s="14" t="s">
        <v>194</v>
      </c>
      <c r="AL19" s="14" t="s">
        <v>194</v>
      </c>
      <c r="AM19" s="14" t="s">
        <v>194</v>
      </c>
      <c r="AN19" s="14" t="s">
        <v>194</v>
      </c>
      <c r="AO19" s="14" t="s">
        <v>194</v>
      </c>
      <c r="AP19" s="14" t="s">
        <v>194</v>
      </c>
      <c r="AQ19" s="14" t="s">
        <v>1918</v>
      </c>
      <c r="AR19" s="14" t="s">
        <v>4505</v>
      </c>
      <c r="BF19" s="1"/>
      <c r="BG19" s="1"/>
      <c r="BH19" s="1"/>
      <c r="BI19" s="1"/>
      <c r="BJ19" s="1"/>
      <c r="BK19" s="1"/>
      <c r="BL19" s="1"/>
      <c r="BM19" s="1"/>
    </row>
    <row r="20" spans="1:65" ht="135" hidden="1" x14ac:dyDescent="0.25">
      <c r="A20" s="1" t="s">
        <v>2216</v>
      </c>
      <c r="B20" s="1" t="s">
        <v>2614</v>
      </c>
      <c r="C20" s="1" t="s">
        <v>2508</v>
      </c>
      <c r="D20" s="1" t="s">
        <v>2509</v>
      </c>
      <c r="E20" s="1" t="s">
        <v>34</v>
      </c>
      <c r="F20" s="1" t="s">
        <v>50</v>
      </c>
      <c r="G20" s="11" t="s">
        <v>2615</v>
      </c>
      <c r="H20" s="11" t="s">
        <v>4661</v>
      </c>
      <c r="I20" s="1" t="s">
        <v>659</v>
      </c>
      <c r="J20" s="1" t="s">
        <v>2148</v>
      </c>
      <c r="K20" s="1" t="s">
        <v>2148</v>
      </c>
      <c r="L20" s="1" t="s">
        <v>1329</v>
      </c>
      <c r="M20" s="1" t="s">
        <v>1331</v>
      </c>
      <c r="N20" s="1" t="s">
        <v>1330</v>
      </c>
      <c r="O20" s="1" t="s">
        <v>1342</v>
      </c>
      <c r="P20" s="1" t="s">
        <v>1339</v>
      </c>
      <c r="Q20" s="1" t="s">
        <v>194</v>
      </c>
      <c r="R20" s="1" t="s">
        <v>32</v>
      </c>
      <c r="S20" s="1" t="s">
        <v>2170</v>
      </c>
      <c r="T20" s="1" t="s">
        <v>4656</v>
      </c>
      <c r="U20" s="1" t="s">
        <v>31</v>
      </c>
      <c r="V20" s="1" t="s">
        <v>90</v>
      </c>
      <c r="W20" s="14" t="s">
        <v>2</v>
      </c>
      <c r="X20" s="14" t="s">
        <v>4660</v>
      </c>
      <c r="Y20" s="14" t="s">
        <v>4511</v>
      </c>
      <c r="Z20" s="14" t="s">
        <v>31</v>
      </c>
      <c r="AA20" s="14" t="s">
        <v>4503</v>
      </c>
      <c r="AB20" s="14">
        <v>2</v>
      </c>
      <c r="AC20" s="14" t="s">
        <v>4509</v>
      </c>
      <c r="AD20" s="14">
        <v>2</v>
      </c>
      <c r="AE20" s="14" t="s">
        <v>626</v>
      </c>
      <c r="AF20" s="14" t="s">
        <v>4191</v>
      </c>
      <c r="AG20" s="14" t="s">
        <v>4191</v>
      </c>
      <c r="AH20" s="14" t="s">
        <v>4191</v>
      </c>
      <c r="AI20" s="14" t="s">
        <v>4191</v>
      </c>
      <c r="AJ20" s="14" t="s">
        <v>194</v>
      </c>
      <c r="AK20" s="14" t="s">
        <v>194</v>
      </c>
      <c r="AL20" s="14" t="s">
        <v>194</v>
      </c>
      <c r="AM20" s="14" t="s">
        <v>194</v>
      </c>
      <c r="AN20" s="14" t="s">
        <v>194</v>
      </c>
      <c r="AO20" s="14" t="s">
        <v>194</v>
      </c>
      <c r="AP20" s="14" t="s">
        <v>194</v>
      </c>
      <c r="AQ20" s="14" t="s">
        <v>1918</v>
      </c>
      <c r="AR20" s="14" t="s">
        <v>4505</v>
      </c>
      <c r="BF20" s="1"/>
      <c r="BG20" s="1"/>
      <c r="BH20" s="1"/>
      <c r="BI20" s="1"/>
      <c r="BJ20" s="1"/>
      <c r="BK20" s="1"/>
      <c r="BL20" s="1"/>
      <c r="BM20" s="1"/>
    </row>
    <row r="21" spans="1:65" ht="135" hidden="1" x14ac:dyDescent="0.25">
      <c r="A21" s="1" t="s">
        <v>2218</v>
      </c>
      <c r="B21" s="1" t="s">
        <v>2616</v>
      </c>
      <c r="C21" s="1" t="s">
        <v>2508</v>
      </c>
      <c r="D21" s="1" t="s">
        <v>2509</v>
      </c>
      <c r="E21" s="1" t="s">
        <v>34</v>
      </c>
      <c r="F21" s="1" t="s">
        <v>50</v>
      </c>
      <c r="G21" s="11" t="s">
        <v>2617</v>
      </c>
      <c r="H21" s="11" t="s">
        <v>4661</v>
      </c>
      <c r="I21" s="1" t="s">
        <v>659</v>
      </c>
      <c r="J21" s="1" t="s">
        <v>2148</v>
      </c>
      <c r="K21" s="1" t="s">
        <v>2148</v>
      </c>
      <c r="L21" s="1" t="s">
        <v>1329</v>
      </c>
      <c r="M21" s="1" t="s">
        <v>1331</v>
      </c>
      <c r="N21" s="1" t="s">
        <v>1330</v>
      </c>
      <c r="O21" s="1" t="s">
        <v>1342</v>
      </c>
      <c r="P21" s="1" t="s">
        <v>1339</v>
      </c>
      <c r="Q21" s="1" t="s">
        <v>194</v>
      </c>
      <c r="R21" s="1" t="s">
        <v>32</v>
      </c>
      <c r="S21" s="1" t="s">
        <v>2170</v>
      </c>
      <c r="T21" s="1" t="s">
        <v>4656</v>
      </c>
      <c r="U21" s="1" t="s">
        <v>31</v>
      </c>
      <c r="V21" s="1" t="s">
        <v>90</v>
      </c>
      <c r="W21" s="14" t="s">
        <v>2</v>
      </c>
      <c r="X21" s="14" t="s">
        <v>4660</v>
      </c>
      <c r="Y21" s="14" t="s">
        <v>4511</v>
      </c>
      <c r="Z21" s="14" t="s">
        <v>31</v>
      </c>
      <c r="AA21" s="14" t="s">
        <v>4503</v>
      </c>
      <c r="AB21" s="14">
        <v>2</v>
      </c>
      <c r="AC21" s="14" t="s">
        <v>4509</v>
      </c>
      <c r="AD21" s="14">
        <v>2</v>
      </c>
      <c r="AE21" s="14" t="s">
        <v>626</v>
      </c>
      <c r="AF21" s="14" t="s">
        <v>4191</v>
      </c>
      <c r="AG21" s="14" t="s">
        <v>4191</v>
      </c>
      <c r="AH21" s="14" t="s">
        <v>4191</v>
      </c>
      <c r="AI21" s="14" t="s">
        <v>4191</v>
      </c>
      <c r="AJ21" s="14" t="s">
        <v>194</v>
      </c>
      <c r="AK21" s="14" t="s">
        <v>194</v>
      </c>
      <c r="AL21" s="14" t="s">
        <v>194</v>
      </c>
      <c r="AM21" s="14" t="s">
        <v>194</v>
      </c>
      <c r="AN21" s="14" t="s">
        <v>194</v>
      </c>
      <c r="AO21" s="14" t="s">
        <v>194</v>
      </c>
      <c r="AP21" s="14" t="s">
        <v>194</v>
      </c>
      <c r="AQ21" s="14" t="s">
        <v>1918</v>
      </c>
      <c r="AR21" s="14" t="s">
        <v>4505</v>
      </c>
      <c r="BF21" s="1"/>
      <c r="BG21" s="1"/>
      <c r="BH21" s="1"/>
      <c r="BI21" s="1"/>
      <c r="BJ21" s="1"/>
      <c r="BK21" s="1"/>
      <c r="BL21" s="1"/>
      <c r="BM21" s="1"/>
    </row>
    <row r="22" spans="1:65" ht="135" hidden="1" x14ac:dyDescent="0.25">
      <c r="A22" s="1" t="s">
        <v>2220</v>
      </c>
      <c r="B22" s="1" t="s">
        <v>2618</v>
      </c>
      <c r="C22" s="1" t="s">
        <v>2508</v>
      </c>
      <c r="D22" s="1" t="s">
        <v>2509</v>
      </c>
      <c r="E22" s="1" t="s">
        <v>34</v>
      </c>
      <c r="F22" s="1" t="s">
        <v>50</v>
      </c>
      <c r="G22" s="11" t="s">
        <v>2619</v>
      </c>
      <c r="H22" s="11" t="s">
        <v>4661</v>
      </c>
      <c r="I22" s="1" t="s">
        <v>659</v>
      </c>
      <c r="J22" s="1" t="s">
        <v>2148</v>
      </c>
      <c r="K22" s="1" t="s">
        <v>2148</v>
      </c>
      <c r="L22" s="1" t="s">
        <v>1329</v>
      </c>
      <c r="M22" s="1" t="s">
        <v>1331</v>
      </c>
      <c r="N22" s="1" t="s">
        <v>1330</v>
      </c>
      <c r="O22" s="1" t="s">
        <v>1342</v>
      </c>
      <c r="P22" s="1" t="s">
        <v>1339</v>
      </c>
      <c r="Q22" s="1" t="s">
        <v>194</v>
      </c>
      <c r="R22" s="1" t="s">
        <v>32</v>
      </c>
      <c r="S22" s="1" t="s">
        <v>2170</v>
      </c>
      <c r="T22" s="1" t="s">
        <v>4656</v>
      </c>
      <c r="U22" s="1" t="s">
        <v>31</v>
      </c>
      <c r="V22" s="1" t="s">
        <v>90</v>
      </c>
      <c r="W22" s="14" t="s">
        <v>2</v>
      </c>
      <c r="X22" s="14" t="s">
        <v>4660</v>
      </c>
      <c r="Y22" s="14" t="s">
        <v>4511</v>
      </c>
      <c r="Z22" s="14" t="s">
        <v>31</v>
      </c>
      <c r="AA22" s="14" t="s">
        <v>4503</v>
      </c>
      <c r="AB22" s="14">
        <v>2</v>
      </c>
      <c r="AC22" s="14" t="s">
        <v>4509</v>
      </c>
      <c r="AD22" s="14">
        <v>2</v>
      </c>
      <c r="AE22" s="14" t="s">
        <v>626</v>
      </c>
      <c r="AF22" s="14" t="s">
        <v>4191</v>
      </c>
      <c r="AG22" s="14" t="s">
        <v>4191</v>
      </c>
      <c r="AH22" s="14" t="s">
        <v>4191</v>
      </c>
      <c r="AI22" s="14" t="s">
        <v>4191</v>
      </c>
      <c r="AJ22" s="14" t="s">
        <v>194</v>
      </c>
      <c r="AK22" s="14" t="s">
        <v>194</v>
      </c>
      <c r="AL22" s="14" t="s">
        <v>194</v>
      </c>
      <c r="AM22" s="14" t="s">
        <v>194</v>
      </c>
      <c r="AN22" s="14" t="s">
        <v>194</v>
      </c>
      <c r="AO22" s="14" t="s">
        <v>194</v>
      </c>
      <c r="AP22" s="14" t="s">
        <v>194</v>
      </c>
      <c r="AQ22" s="14" t="s">
        <v>1918</v>
      </c>
      <c r="AR22" s="14" t="s">
        <v>4505</v>
      </c>
      <c r="BF22" s="1"/>
      <c r="BG22" s="1"/>
      <c r="BH22" s="1"/>
      <c r="BI22" s="1"/>
      <c r="BJ22" s="1"/>
      <c r="BK22" s="1"/>
      <c r="BL22" s="1"/>
      <c r="BM22" s="1"/>
    </row>
    <row r="23" spans="1:65" ht="105" hidden="1" x14ac:dyDescent="0.25">
      <c r="A23" s="1" t="s">
        <v>2204</v>
      </c>
      <c r="B23" s="1" t="s">
        <v>2620</v>
      </c>
      <c r="C23" s="1" t="s">
        <v>2508</v>
      </c>
      <c r="D23" s="1" t="s">
        <v>27</v>
      </c>
      <c r="E23" s="1" t="s">
        <v>34</v>
      </c>
      <c r="F23" s="1" t="s">
        <v>50</v>
      </c>
      <c r="G23" s="11" t="s">
        <v>2606</v>
      </c>
      <c r="H23" s="11" t="s">
        <v>4662</v>
      </c>
      <c r="I23" s="1" t="s">
        <v>30</v>
      </c>
      <c r="J23" s="1" t="s">
        <v>2140</v>
      </c>
      <c r="K23" s="1" t="s">
        <v>2607</v>
      </c>
      <c r="L23" s="1" t="s">
        <v>1329</v>
      </c>
      <c r="M23" s="1" t="s">
        <v>1331</v>
      </c>
      <c r="N23" s="1" t="s">
        <v>1330</v>
      </c>
      <c r="O23" s="1" t="s">
        <v>1164</v>
      </c>
      <c r="P23" s="1" t="s">
        <v>1339</v>
      </c>
      <c r="Q23" s="1" t="s">
        <v>194</v>
      </c>
      <c r="R23" s="1" t="s">
        <v>32</v>
      </c>
      <c r="S23" s="1" t="s">
        <v>2170</v>
      </c>
      <c r="T23" s="1" t="s">
        <v>643</v>
      </c>
      <c r="U23" s="1" t="s">
        <v>31</v>
      </c>
      <c r="V23" s="1" t="s">
        <v>90</v>
      </c>
      <c r="W23" s="14" t="s">
        <v>2</v>
      </c>
      <c r="X23" s="14" t="s">
        <v>4663</v>
      </c>
      <c r="Y23" s="14" t="s">
        <v>194</v>
      </c>
      <c r="Z23" s="14" t="s">
        <v>31</v>
      </c>
      <c r="AA23" s="14" t="s">
        <v>4503</v>
      </c>
      <c r="AB23" s="14">
        <v>1</v>
      </c>
      <c r="AC23" s="14" t="s">
        <v>194</v>
      </c>
      <c r="AD23" s="14">
        <v>0</v>
      </c>
      <c r="AE23" s="14" t="s">
        <v>626</v>
      </c>
      <c r="AF23" s="14" t="s">
        <v>4191</v>
      </c>
      <c r="AG23" s="14" t="s">
        <v>4191</v>
      </c>
      <c r="AH23" s="14" t="s">
        <v>4191</v>
      </c>
      <c r="AI23" s="14" t="s">
        <v>626</v>
      </c>
      <c r="AJ23" s="14" t="s">
        <v>194</v>
      </c>
      <c r="AK23" s="14" t="s">
        <v>194</v>
      </c>
      <c r="AL23" s="14" t="s">
        <v>194</v>
      </c>
      <c r="AM23" s="14" t="s">
        <v>194</v>
      </c>
      <c r="AN23" s="14" t="s">
        <v>194</v>
      </c>
      <c r="AO23" s="14" t="s">
        <v>194</v>
      </c>
      <c r="AP23" s="14" t="s">
        <v>194</v>
      </c>
      <c r="AQ23" s="14" t="s">
        <v>606</v>
      </c>
      <c r="AR23" s="14" t="s">
        <v>4505</v>
      </c>
      <c r="BF23" s="1"/>
      <c r="BG23" s="1"/>
      <c r="BH23" s="1"/>
      <c r="BI23" s="1"/>
      <c r="BJ23" s="1"/>
      <c r="BK23" s="1"/>
      <c r="BL23" s="1"/>
      <c r="BM23" s="1"/>
    </row>
    <row r="24" spans="1:65" ht="105" hidden="1" x14ac:dyDescent="0.25">
      <c r="A24" s="1" t="s">
        <v>2236</v>
      </c>
      <c r="B24" s="1" t="s">
        <v>2621</v>
      </c>
      <c r="C24" s="1" t="s">
        <v>2508</v>
      </c>
      <c r="D24" s="1" t="s">
        <v>27</v>
      </c>
      <c r="E24" s="1" t="s">
        <v>34</v>
      </c>
      <c r="F24" s="1" t="s">
        <v>50</v>
      </c>
      <c r="G24" s="11" t="s">
        <v>2622</v>
      </c>
      <c r="H24" s="11" t="s">
        <v>4664</v>
      </c>
      <c r="I24" s="1" t="s">
        <v>30</v>
      </c>
      <c r="J24" s="1" t="s">
        <v>2140</v>
      </c>
      <c r="K24" s="1" t="s">
        <v>2607</v>
      </c>
      <c r="L24" s="1" t="s">
        <v>1329</v>
      </c>
      <c r="M24" s="1" t="s">
        <v>1331</v>
      </c>
      <c r="N24" s="1" t="s">
        <v>1330</v>
      </c>
      <c r="O24" s="1" t="s">
        <v>1164</v>
      </c>
      <c r="P24" s="1" t="s">
        <v>1339</v>
      </c>
      <c r="Q24" s="1" t="s">
        <v>194</v>
      </c>
      <c r="R24" s="1" t="s">
        <v>32</v>
      </c>
      <c r="S24" s="1" t="s">
        <v>2170</v>
      </c>
      <c r="T24" s="1" t="s">
        <v>643</v>
      </c>
      <c r="U24" s="1" t="s">
        <v>31</v>
      </c>
      <c r="V24" s="1" t="s">
        <v>90</v>
      </c>
      <c r="W24" s="14" t="s">
        <v>2</v>
      </c>
      <c r="X24" s="14" t="s">
        <v>4665</v>
      </c>
      <c r="Y24" s="14" t="s">
        <v>194</v>
      </c>
      <c r="Z24" s="14" t="s">
        <v>31</v>
      </c>
      <c r="AA24" s="14" t="s">
        <v>4503</v>
      </c>
      <c r="AB24" s="14">
        <v>1</v>
      </c>
      <c r="AC24" s="14" t="s">
        <v>194</v>
      </c>
      <c r="AD24" s="14">
        <v>0</v>
      </c>
      <c r="AE24" s="14" t="s">
        <v>626</v>
      </c>
      <c r="AF24" s="14" t="s">
        <v>4191</v>
      </c>
      <c r="AG24" s="14" t="s">
        <v>4191</v>
      </c>
      <c r="AH24" s="14" t="s">
        <v>4191</v>
      </c>
      <c r="AI24" s="14" t="s">
        <v>626</v>
      </c>
      <c r="AJ24" s="14" t="s">
        <v>194</v>
      </c>
      <c r="AK24" s="14" t="s">
        <v>194</v>
      </c>
      <c r="AL24" s="14" t="s">
        <v>194</v>
      </c>
      <c r="AM24" s="14" t="s">
        <v>194</v>
      </c>
      <c r="AN24" s="14" t="s">
        <v>194</v>
      </c>
      <c r="AO24" s="14" t="s">
        <v>194</v>
      </c>
      <c r="AP24" s="14" t="s">
        <v>194</v>
      </c>
      <c r="AQ24" s="14" t="s">
        <v>1082</v>
      </c>
      <c r="AR24" s="14" t="s">
        <v>4505</v>
      </c>
      <c r="BF24" s="1"/>
      <c r="BG24" s="1"/>
      <c r="BH24" s="1"/>
      <c r="BI24" s="1"/>
      <c r="BJ24" s="1"/>
      <c r="BK24" s="1"/>
      <c r="BL24" s="1"/>
      <c r="BM24" s="1"/>
    </row>
    <row r="25" spans="1:65" ht="105" hidden="1" x14ac:dyDescent="0.25">
      <c r="A25" s="1" t="s">
        <v>2238</v>
      </c>
      <c r="B25" s="1" t="s">
        <v>2623</v>
      </c>
      <c r="C25" s="1" t="s">
        <v>2508</v>
      </c>
      <c r="D25" s="1" t="s">
        <v>27</v>
      </c>
      <c r="E25" s="1" t="s">
        <v>34</v>
      </c>
      <c r="F25" s="1" t="s">
        <v>50</v>
      </c>
      <c r="G25" s="11" t="s">
        <v>2622</v>
      </c>
      <c r="H25" s="11" t="s">
        <v>4666</v>
      </c>
      <c r="I25" s="1" t="s">
        <v>30</v>
      </c>
      <c r="J25" s="1" t="s">
        <v>2140</v>
      </c>
      <c r="K25" s="1" t="s">
        <v>2607</v>
      </c>
      <c r="L25" s="1" t="s">
        <v>1329</v>
      </c>
      <c r="M25" s="1" t="s">
        <v>1331</v>
      </c>
      <c r="N25" s="1" t="s">
        <v>1330</v>
      </c>
      <c r="O25" s="1" t="s">
        <v>1164</v>
      </c>
      <c r="P25" s="1" t="s">
        <v>1339</v>
      </c>
      <c r="Q25" s="1" t="s">
        <v>194</v>
      </c>
      <c r="R25" s="1" t="s">
        <v>32</v>
      </c>
      <c r="S25" s="1" t="s">
        <v>2170</v>
      </c>
      <c r="T25" s="1" t="s">
        <v>643</v>
      </c>
      <c r="U25" s="1" t="s">
        <v>31</v>
      </c>
      <c r="V25" s="1" t="s">
        <v>90</v>
      </c>
      <c r="W25" s="14" t="s">
        <v>2</v>
      </c>
      <c r="X25" s="14" t="s">
        <v>4660</v>
      </c>
      <c r="Y25" s="14" t="s">
        <v>194</v>
      </c>
      <c r="Z25" s="14" t="s">
        <v>31</v>
      </c>
      <c r="AA25" s="14" t="s">
        <v>4503</v>
      </c>
      <c r="AB25" s="14">
        <v>1</v>
      </c>
      <c r="AC25" s="14" t="s">
        <v>194</v>
      </c>
      <c r="AD25" s="14">
        <v>0</v>
      </c>
      <c r="AE25" s="14" t="s">
        <v>626</v>
      </c>
      <c r="AF25" s="14" t="s">
        <v>4191</v>
      </c>
      <c r="AG25" s="14" t="s">
        <v>4191</v>
      </c>
      <c r="AH25" s="14" t="s">
        <v>4191</v>
      </c>
      <c r="AI25" s="14" t="s">
        <v>626</v>
      </c>
      <c r="AJ25" s="14" t="s">
        <v>194</v>
      </c>
      <c r="AK25" s="14" t="s">
        <v>194</v>
      </c>
      <c r="AL25" s="14" t="s">
        <v>194</v>
      </c>
      <c r="AM25" s="14" t="s">
        <v>194</v>
      </c>
      <c r="AN25" s="14" t="s">
        <v>194</v>
      </c>
      <c r="AO25" s="14" t="s">
        <v>194</v>
      </c>
      <c r="AP25" s="14" t="s">
        <v>194</v>
      </c>
      <c r="AQ25" s="14" t="s">
        <v>1918</v>
      </c>
      <c r="AR25" s="14" t="s">
        <v>4505</v>
      </c>
      <c r="BF25" s="1"/>
      <c r="BG25" s="1"/>
      <c r="BH25" s="1"/>
      <c r="BI25" s="1"/>
      <c r="BJ25" s="1"/>
      <c r="BK25" s="1"/>
      <c r="BL25" s="1"/>
      <c r="BM25" s="1"/>
    </row>
    <row r="26" spans="1:65" ht="105" hidden="1" x14ac:dyDescent="0.25">
      <c r="A26" s="1" t="s">
        <v>2240</v>
      </c>
      <c r="B26" s="1" t="s">
        <v>2624</v>
      </c>
      <c r="C26" s="1" t="s">
        <v>2508</v>
      </c>
      <c r="D26" s="1" t="s">
        <v>27</v>
      </c>
      <c r="E26" s="1" t="s">
        <v>34</v>
      </c>
      <c r="F26" s="1" t="s">
        <v>50</v>
      </c>
      <c r="G26" s="11" t="s">
        <v>2622</v>
      </c>
      <c r="H26" s="11" t="s">
        <v>4667</v>
      </c>
      <c r="I26" s="1" t="s">
        <v>30</v>
      </c>
      <c r="J26" s="1" t="s">
        <v>2140</v>
      </c>
      <c r="K26" s="1" t="s">
        <v>2607</v>
      </c>
      <c r="L26" s="1" t="s">
        <v>1329</v>
      </c>
      <c r="M26" s="1" t="s">
        <v>1331</v>
      </c>
      <c r="N26" s="1" t="s">
        <v>1330</v>
      </c>
      <c r="O26" s="1" t="s">
        <v>1164</v>
      </c>
      <c r="P26" s="1" t="s">
        <v>1339</v>
      </c>
      <c r="Q26" s="1" t="s">
        <v>194</v>
      </c>
      <c r="R26" s="1" t="s">
        <v>32</v>
      </c>
      <c r="S26" s="1" t="s">
        <v>2170</v>
      </c>
      <c r="T26" s="1" t="s">
        <v>643</v>
      </c>
      <c r="U26" s="1" t="s">
        <v>31</v>
      </c>
      <c r="V26" s="1" t="s">
        <v>90</v>
      </c>
      <c r="W26" s="14" t="s">
        <v>2</v>
      </c>
      <c r="X26" s="14" t="s">
        <v>4668</v>
      </c>
      <c r="Y26" s="14" t="s">
        <v>194</v>
      </c>
      <c r="Z26" s="14" t="s">
        <v>31</v>
      </c>
      <c r="AA26" s="14" t="s">
        <v>4503</v>
      </c>
      <c r="AB26" s="14">
        <v>1</v>
      </c>
      <c r="AC26" s="14" t="s">
        <v>194</v>
      </c>
      <c r="AD26" s="14">
        <v>0</v>
      </c>
      <c r="AE26" s="14" t="s">
        <v>626</v>
      </c>
      <c r="AF26" s="14" t="s">
        <v>4191</v>
      </c>
      <c r="AG26" s="14" t="s">
        <v>4191</v>
      </c>
      <c r="AH26" s="14" t="s">
        <v>4191</v>
      </c>
      <c r="AI26" s="14" t="s">
        <v>626</v>
      </c>
      <c r="AJ26" s="14" t="s">
        <v>194</v>
      </c>
      <c r="AK26" s="14" t="s">
        <v>194</v>
      </c>
      <c r="AL26" s="14" t="s">
        <v>194</v>
      </c>
      <c r="AM26" s="14" t="s">
        <v>194</v>
      </c>
      <c r="AN26" s="14" t="s">
        <v>194</v>
      </c>
      <c r="AO26" s="14" t="s">
        <v>194</v>
      </c>
      <c r="AP26" s="14" t="s">
        <v>194</v>
      </c>
      <c r="AQ26" s="14" t="s">
        <v>2873</v>
      </c>
      <c r="AR26" s="14" t="s">
        <v>4505</v>
      </c>
      <c r="BF26" s="1"/>
      <c r="BG26" s="1"/>
      <c r="BH26" s="1"/>
      <c r="BI26" s="1"/>
      <c r="BJ26" s="1"/>
      <c r="BK26" s="1"/>
      <c r="BL26" s="1"/>
      <c r="BM26" s="1"/>
    </row>
    <row r="27" spans="1:65" ht="105" hidden="1" x14ac:dyDescent="0.25">
      <c r="A27" s="1" t="s">
        <v>2242</v>
      </c>
      <c r="B27" s="1" t="s">
        <v>2625</v>
      </c>
      <c r="C27" s="1" t="s">
        <v>2508</v>
      </c>
      <c r="D27" s="1" t="s">
        <v>27</v>
      </c>
      <c r="E27" s="1" t="s">
        <v>34</v>
      </c>
      <c r="F27" s="1" t="s">
        <v>50</v>
      </c>
      <c r="G27" s="11" t="s">
        <v>2622</v>
      </c>
      <c r="H27" s="11" t="s">
        <v>4669</v>
      </c>
      <c r="I27" s="1" t="s">
        <v>30</v>
      </c>
      <c r="J27" s="1" t="s">
        <v>2140</v>
      </c>
      <c r="K27" s="1" t="s">
        <v>2607</v>
      </c>
      <c r="L27" s="1" t="s">
        <v>1329</v>
      </c>
      <c r="M27" s="1" t="s">
        <v>1331</v>
      </c>
      <c r="N27" s="1" t="s">
        <v>1330</v>
      </c>
      <c r="O27" s="1" t="s">
        <v>1164</v>
      </c>
      <c r="P27" s="1" t="s">
        <v>1339</v>
      </c>
      <c r="Q27" s="1" t="s">
        <v>194</v>
      </c>
      <c r="R27" s="1" t="s">
        <v>32</v>
      </c>
      <c r="S27" s="1" t="s">
        <v>2170</v>
      </c>
      <c r="T27" s="1" t="s">
        <v>643</v>
      </c>
      <c r="U27" s="1" t="s">
        <v>31</v>
      </c>
      <c r="V27" s="1" t="s">
        <v>90</v>
      </c>
      <c r="W27" s="14" t="s">
        <v>2</v>
      </c>
      <c r="X27" s="14" t="s">
        <v>4670</v>
      </c>
      <c r="Y27" s="14" t="s">
        <v>194</v>
      </c>
      <c r="Z27" s="14" t="s">
        <v>31</v>
      </c>
      <c r="AA27" s="14" t="s">
        <v>4503</v>
      </c>
      <c r="AB27" s="14">
        <v>1</v>
      </c>
      <c r="AC27" s="14" t="s">
        <v>194</v>
      </c>
      <c r="AD27" s="14">
        <v>0</v>
      </c>
      <c r="AE27" s="14" t="s">
        <v>626</v>
      </c>
      <c r="AF27" s="14" t="s">
        <v>4191</v>
      </c>
      <c r="AG27" s="14" t="s">
        <v>4191</v>
      </c>
      <c r="AH27" s="14" t="s">
        <v>4191</v>
      </c>
      <c r="AI27" s="14" t="s">
        <v>626</v>
      </c>
      <c r="AJ27" s="14" t="s">
        <v>194</v>
      </c>
      <c r="AK27" s="14" t="s">
        <v>194</v>
      </c>
      <c r="AL27" s="14" t="s">
        <v>194</v>
      </c>
      <c r="AM27" s="14" t="s">
        <v>194</v>
      </c>
      <c r="AN27" s="14" t="s">
        <v>194</v>
      </c>
      <c r="AO27" s="14" t="s">
        <v>194</v>
      </c>
      <c r="AP27" s="14" t="s">
        <v>194</v>
      </c>
      <c r="AQ27" s="14" t="s">
        <v>2871</v>
      </c>
      <c r="AR27" s="14" t="s">
        <v>4505</v>
      </c>
      <c r="BF27" s="1"/>
      <c r="BG27" s="1"/>
      <c r="BH27" s="1"/>
      <c r="BI27" s="1"/>
      <c r="BJ27" s="1"/>
      <c r="BK27" s="1"/>
      <c r="BL27" s="1"/>
      <c r="BM27" s="1"/>
    </row>
    <row r="28" spans="1:65" ht="105" hidden="1" x14ac:dyDescent="0.25">
      <c r="A28" s="1" t="s">
        <v>2244</v>
      </c>
      <c r="B28" s="1" t="s">
        <v>2626</v>
      </c>
      <c r="C28" s="1" t="s">
        <v>2508</v>
      </c>
      <c r="D28" s="1" t="s">
        <v>27</v>
      </c>
      <c r="E28" s="1" t="s">
        <v>34</v>
      </c>
      <c r="F28" s="1" t="s">
        <v>50</v>
      </c>
      <c r="G28" s="11" t="s">
        <v>2622</v>
      </c>
      <c r="H28" s="11" t="s">
        <v>4671</v>
      </c>
      <c r="I28" s="1" t="s">
        <v>30</v>
      </c>
      <c r="J28" s="1" t="s">
        <v>2140</v>
      </c>
      <c r="K28" s="1" t="s">
        <v>2607</v>
      </c>
      <c r="L28" s="1" t="s">
        <v>1329</v>
      </c>
      <c r="M28" s="1" t="s">
        <v>1331</v>
      </c>
      <c r="N28" s="1" t="s">
        <v>1330</v>
      </c>
      <c r="O28" s="1" t="s">
        <v>1164</v>
      </c>
      <c r="P28" s="1" t="s">
        <v>1339</v>
      </c>
      <c r="Q28" s="1" t="s">
        <v>194</v>
      </c>
      <c r="R28" s="1" t="s">
        <v>32</v>
      </c>
      <c r="S28" s="1" t="s">
        <v>2170</v>
      </c>
      <c r="T28" s="1" t="s">
        <v>643</v>
      </c>
      <c r="U28" s="1" t="s">
        <v>31</v>
      </c>
      <c r="V28" s="1" t="s">
        <v>90</v>
      </c>
      <c r="W28" s="14" t="s">
        <v>2</v>
      </c>
      <c r="X28" s="14" t="s">
        <v>4672</v>
      </c>
      <c r="Y28" s="14" t="s">
        <v>194</v>
      </c>
      <c r="Z28" s="14" t="s">
        <v>31</v>
      </c>
      <c r="AA28" s="14" t="s">
        <v>4503</v>
      </c>
      <c r="AB28" s="14">
        <v>1</v>
      </c>
      <c r="AC28" s="14" t="s">
        <v>194</v>
      </c>
      <c r="AD28" s="14">
        <v>0</v>
      </c>
      <c r="AE28" s="14" t="s">
        <v>626</v>
      </c>
      <c r="AF28" s="14" t="s">
        <v>4191</v>
      </c>
      <c r="AG28" s="14" t="s">
        <v>4191</v>
      </c>
      <c r="AH28" s="14" t="s">
        <v>4191</v>
      </c>
      <c r="AI28" s="14" t="s">
        <v>626</v>
      </c>
      <c r="AJ28" s="14" t="s">
        <v>194</v>
      </c>
      <c r="AK28" s="14" t="s">
        <v>194</v>
      </c>
      <c r="AL28" s="14" t="s">
        <v>194</v>
      </c>
      <c r="AM28" s="14" t="s">
        <v>194</v>
      </c>
      <c r="AN28" s="14" t="s">
        <v>194</v>
      </c>
      <c r="AO28" s="14" t="s">
        <v>194</v>
      </c>
      <c r="AP28" s="14" t="s">
        <v>194</v>
      </c>
      <c r="AQ28" s="14" t="s">
        <v>2870</v>
      </c>
      <c r="AR28" s="14" t="s">
        <v>4505</v>
      </c>
      <c r="BF28" s="1"/>
      <c r="BG28" s="1"/>
      <c r="BH28" s="1"/>
      <c r="BI28" s="1"/>
      <c r="BJ28" s="1"/>
      <c r="BK28" s="1"/>
      <c r="BL28" s="1"/>
      <c r="BM28" s="1"/>
    </row>
    <row r="29" spans="1:65" ht="105" hidden="1" x14ac:dyDescent="0.25">
      <c r="A29" s="1" t="s">
        <v>2246</v>
      </c>
      <c r="B29" s="1" t="s">
        <v>2627</v>
      </c>
      <c r="C29" s="1" t="s">
        <v>2508</v>
      </c>
      <c r="D29" s="1" t="s">
        <v>27</v>
      </c>
      <c r="E29" s="1" t="s">
        <v>34</v>
      </c>
      <c r="F29" s="1" t="s">
        <v>50</v>
      </c>
      <c r="G29" s="11" t="s">
        <v>2622</v>
      </c>
      <c r="H29" s="11" t="s">
        <v>4673</v>
      </c>
      <c r="I29" s="1" t="s">
        <v>30</v>
      </c>
      <c r="J29" s="1" t="s">
        <v>2140</v>
      </c>
      <c r="K29" s="1" t="s">
        <v>2607</v>
      </c>
      <c r="L29" s="1" t="s">
        <v>1329</v>
      </c>
      <c r="M29" s="1" t="s">
        <v>1331</v>
      </c>
      <c r="N29" s="1" t="s">
        <v>1330</v>
      </c>
      <c r="O29" s="1" t="s">
        <v>1164</v>
      </c>
      <c r="P29" s="1" t="s">
        <v>1339</v>
      </c>
      <c r="Q29" s="1" t="s">
        <v>194</v>
      </c>
      <c r="R29" s="1" t="s">
        <v>32</v>
      </c>
      <c r="S29" s="1" t="s">
        <v>2170</v>
      </c>
      <c r="T29" s="1" t="s">
        <v>643</v>
      </c>
      <c r="U29" s="1" t="s">
        <v>31</v>
      </c>
      <c r="V29" s="1" t="s">
        <v>90</v>
      </c>
      <c r="W29" s="14" t="s">
        <v>2</v>
      </c>
      <c r="X29" s="14" t="s">
        <v>4674</v>
      </c>
      <c r="Y29" s="14" t="s">
        <v>194</v>
      </c>
      <c r="Z29" s="14" t="s">
        <v>31</v>
      </c>
      <c r="AA29" s="14" t="s">
        <v>4503</v>
      </c>
      <c r="AB29" s="14">
        <v>1</v>
      </c>
      <c r="AC29" s="14" t="s">
        <v>194</v>
      </c>
      <c r="AD29" s="14">
        <v>0</v>
      </c>
      <c r="AE29" s="14" t="s">
        <v>626</v>
      </c>
      <c r="AF29" s="14" t="s">
        <v>4191</v>
      </c>
      <c r="AG29" s="14" t="s">
        <v>4191</v>
      </c>
      <c r="AH29" s="14" t="s">
        <v>4191</v>
      </c>
      <c r="AI29" s="14" t="s">
        <v>626</v>
      </c>
      <c r="AJ29" s="14" t="s">
        <v>194</v>
      </c>
      <c r="AK29" s="14" t="s">
        <v>194</v>
      </c>
      <c r="AL29" s="14" t="s">
        <v>194</v>
      </c>
      <c r="AM29" s="14" t="s">
        <v>194</v>
      </c>
      <c r="AN29" s="14" t="s">
        <v>194</v>
      </c>
      <c r="AO29" s="14" t="s">
        <v>194</v>
      </c>
      <c r="AP29" s="14" t="s">
        <v>194</v>
      </c>
      <c r="AQ29" s="14" t="s">
        <v>2872</v>
      </c>
      <c r="AR29" s="14" t="s">
        <v>4505</v>
      </c>
      <c r="BF29" s="1"/>
      <c r="BG29" s="1"/>
      <c r="BH29" s="1"/>
      <c r="BI29" s="1"/>
      <c r="BJ29" s="1"/>
      <c r="BK29" s="1"/>
      <c r="BL29" s="1"/>
      <c r="BM29" s="1"/>
    </row>
    <row r="30" spans="1:65" ht="105" hidden="1" x14ac:dyDescent="0.25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29</v>
      </c>
      <c r="G30" s="11" t="s">
        <v>6</v>
      </c>
      <c r="H30" s="11" t="s">
        <v>4675</v>
      </c>
      <c r="I30" s="1" t="s">
        <v>30</v>
      </c>
      <c r="J30" s="1" t="s">
        <v>2133</v>
      </c>
      <c r="K30" s="1" t="s">
        <v>2134</v>
      </c>
      <c r="L30" s="1" t="s">
        <v>1329</v>
      </c>
      <c r="M30" s="1" t="s">
        <v>562</v>
      </c>
      <c r="N30" s="1" t="s">
        <v>1330</v>
      </c>
      <c r="O30" s="1" t="s">
        <v>1164</v>
      </c>
      <c r="P30" s="1" t="s">
        <v>1339</v>
      </c>
      <c r="Q30" s="1" t="s">
        <v>194</v>
      </c>
      <c r="R30" s="1" t="s">
        <v>32</v>
      </c>
      <c r="S30" s="1" t="s">
        <v>2170</v>
      </c>
      <c r="T30" s="1" t="s">
        <v>643</v>
      </c>
      <c r="U30" s="1" t="s">
        <v>31</v>
      </c>
      <c r="V30" s="1" t="s">
        <v>2</v>
      </c>
      <c r="W30" s="14" t="s">
        <v>2</v>
      </c>
      <c r="X30" s="14" t="s">
        <v>4650</v>
      </c>
      <c r="Y30" s="14" t="s">
        <v>194</v>
      </c>
      <c r="Z30" s="14" t="s">
        <v>31</v>
      </c>
      <c r="AA30" s="14" t="s">
        <v>4503</v>
      </c>
      <c r="AB30" s="14">
        <v>1</v>
      </c>
      <c r="AC30" s="14" t="s">
        <v>194</v>
      </c>
      <c r="AD30" s="14">
        <v>0</v>
      </c>
      <c r="AE30" s="14" t="s">
        <v>626</v>
      </c>
      <c r="AF30" s="14" t="s">
        <v>626</v>
      </c>
      <c r="AG30" s="14" t="s">
        <v>626</v>
      </c>
      <c r="AH30" s="14" t="s">
        <v>4191</v>
      </c>
      <c r="AI30" s="14" t="s">
        <v>626</v>
      </c>
      <c r="AJ30" s="14" t="s">
        <v>194</v>
      </c>
      <c r="AK30" s="14" t="s">
        <v>194</v>
      </c>
      <c r="AL30" s="14" t="s">
        <v>194</v>
      </c>
      <c r="AM30" s="14" t="s">
        <v>194</v>
      </c>
      <c r="AN30" s="14" t="s">
        <v>194</v>
      </c>
      <c r="AO30" s="14" t="s">
        <v>194</v>
      </c>
      <c r="AP30" s="14" t="s">
        <v>194</v>
      </c>
      <c r="AQ30" s="14" t="s">
        <v>194</v>
      </c>
      <c r="AR30" s="14" t="s">
        <v>4512</v>
      </c>
      <c r="BF30" s="1"/>
      <c r="BG30" s="1"/>
      <c r="BH30" s="1"/>
      <c r="BI30" s="1"/>
      <c r="BJ30" s="1"/>
      <c r="BK30" s="1"/>
      <c r="BL30" s="1"/>
      <c r="BM30" s="1"/>
    </row>
    <row r="31" spans="1:65" ht="105" hidden="1" x14ac:dyDescent="0.25">
      <c r="A31" s="1" t="s">
        <v>33</v>
      </c>
      <c r="B31" s="1" t="s">
        <v>670</v>
      </c>
      <c r="C31" s="1" t="s">
        <v>26</v>
      </c>
      <c r="D31" s="1" t="s">
        <v>27</v>
      </c>
      <c r="E31" s="1" t="s">
        <v>28</v>
      </c>
      <c r="F31" s="1" t="s">
        <v>35</v>
      </c>
      <c r="G31" s="11" t="s">
        <v>6</v>
      </c>
      <c r="H31" s="11" t="s">
        <v>4676</v>
      </c>
      <c r="I31" s="1" t="s">
        <v>1053</v>
      </c>
      <c r="J31" s="1" t="s">
        <v>2135</v>
      </c>
      <c r="K31" s="1" t="s">
        <v>2136</v>
      </c>
      <c r="L31" s="1" t="s">
        <v>1329</v>
      </c>
      <c r="M31" s="1" t="s">
        <v>562</v>
      </c>
      <c r="N31" s="1" t="s">
        <v>1330</v>
      </c>
      <c r="O31" s="1" t="s">
        <v>1164</v>
      </c>
      <c r="P31" s="1" t="s">
        <v>1339</v>
      </c>
      <c r="Q31" s="1" t="s">
        <v>194</v>
      </c>
      <c r="R31" s="1" t="s">
        <v>564</v>
      </c>
      <c r="S31" s="1" t="s">
        <v>563</v>
      </c>
      <c r="T31" s="1" t="s">
        <v>643</v>
      </c>
      <c r="U31" s="1" t="s">
        <v>31</v>
      </c>
      <c r="V31" s="1" t="s">
        <v>36</v>
      </c>
      <c r="W31" s="14" t="s">
        <v>32</v>
      </c>
      <c r="X31" s="14" t="s">
        <v>4650</v>
      </c>
      <c r="Y31" s="14" t="s">
        <v>194</v>
      </c>
      <c r="Z31" s="14" t="s">
        <v>31</v>
      </c>
      <c r="AA31" s="14" t="s">
        <v>4506</v>
      </c>
      <c r="AB31" s="14">
        <v>1</v>
      </c>
      <c r="AC31" s="14" t="s">
        <v>4504</v>
      </c>
      <c r="AD31" s="14">
        <v>0</v>
      </c>
      <c r="AE31" s="14" t="s">
        <v>626</v>
      </c>
      <c r="AF31" s="14" t="s">
        <v>626</v>
      </c>
      <c r="AG31" s="14" t="s">
        <v>626</v>
      </c>
      <c r="AH31" s="14" t="s">
        <v>4191</v>
      </c>
      <c r="AI31" s="14" t="s">
        <v>4191</v>
      </c>
      <c r="AJ31" s="14" t="s">
        <v>194</v>
      </c>
      <c r="AK31" s="14" t="s">
        <v>194</v>
      </c>
      <c r="AL31" s="14" t="s">
        <v>194</v>
      </c>
      <c r="AM31" s="14" t="s">
        <v>194</v>
      </c>
      <c r="AN31" s="14" t="s">
        <v>194</v>
      </c>
      <c r="AO31" s="14" t="s">
        <v>194</v>
      </c>
      <c r="AP31" s="14" t="s">
        <v>194</v>
      </c>
      <c r="AQ31" s="14" t="s">
        <v>2890</v>
      </c>
      <c r="AR31" s="14" t="s">
        <v>4512</v>
      </c>
      <c r="BF31" s="1"/>
      <c r="BG31" s="1"/>
      <c r="BH31" s="1"/>
      <c r="BI31" s="1"/>
      <c r="BJ31" s="1"/>
      <c r="BK31" s="1"/>
      <c r="BL31" s="1"/>
      <c r="BM31" s="1"/>
    </row>
    <row r="32" spans="1:65" ht="105" hidden="1" x14ac:dyDescent="0.25">
      <c r="A32" s="1" t="s">
        <v>37</v>
      </c>
      <c r="B32" s="1" t="s">
        <v>38</v>
      </c>
      <c r="C32" s="1" t="s">
        <v>26</v>
      </c>
      <c r="D32" s="1" t="s">
        <v>27</v>
      </c>
      <c r="E32" s="1" t="s">
        <v>28</v>
      </c>
      <c r="F32" s="1" t="s">
        <v>35</v>
      </c>
      <c r="G32" s="11" t="s">
        <v>6</v>
      </c>
      <c r="H32" s="11" t="s">
        <v>4676</v>
      </c>
      <c r="I32" s="1" t="s">
        <v>1053</v>
      </c>
      <c r="J32" s="1" t="s">
        <v>2135</v>
      </c>
      <c r="K32" s="1" t="s">
        <v>2136</v>
      </c>
      <c r="L32" s="1" t="s">
        <v>1329</v>
      </c>
      <c r="M32" s="1" t="s">
        <v>562</v>
      </c>
      <c r="N32" s="1" t="s">
        <v>1330</v>
      </c>
      <c r="O32" s="1" t="s">
        <v>1164</v>
      </c>
      <c r="P32" s="1" t="s">
        <v>1339</v>
      </c>
      <c r="Q32" s="1" t="s">
        <v>194</v>
      </c>
      <c r="R32" s="1" t="s">
        <v>565</v>
      </c>
      <c r="S32" s="1" t="s">
        <v>563</v>
      </c>
      <c r="T32" s="1" t="s">
        <v>643</v>
      </c>
      <c r="U32" s="1" t="s">
        <v>31</v>
      </c>
      <c r="V32" s="1" t="s">
        <v>36</v>
      </c>
      <c r="W32" s="14" t="s">
        <v>32</v>
      </c>
      <c r="X32" s="14" t="s">
        <v>4650</v>
      </c>
      <c r="Y32" s="14" t="s">
        <v>194</v>
      </c>
      <c r="Z32" s="14" t="s">
        <v>31</v>
      </c>
      <c r="AA32" s="14" t="s">
        <v>4506</v>
      </c>
      <c r="AB32" s="14">
        <v>1</v>
      </c>
      <c r="AC32" s="14" t="s">
        <v>4504</v>
      </c>
      <c r="AD32" s="14">
        <v>0</v>
      </c>
      <c r="AE32" s="14" t="s">
        <v>626</v>
      </c>
      <c r="AF32" s="14" t="s">
        <v>626</v>
      </c>
      <c r="AG32" s="14" t="s">
        <v>626</v>
      </c>
      <c r="AH32" s="14" t="s">
        <v>4191</v>
      </c>
      <c r="AI32" s="14" t="s">
        <v>4191</v>
      </c>
      <c r="AJ32" s="14" t="s">
        <v>194</v>
      </c>
      <c r="AK32" s="14" t="s">
        <v>194</v>
      </c>
      <c r="AL32" s="14" t="s">
        <v>194</v>
      </c>
      <c r="AM32" s="14" t="s">
        <v>194</v>
      </c>
      <c r="AN32" s="14" t="s">
        <v>194</v>
      </c>
      <c r="AO32" s="14" t="s">
        <v>194</v>
      </c>
      <c r="AP32" s="14" t="s">
        <v>194</v>
      </c>
      <c r="AQ32" s="14" t="s">
        <v>2890</v>
      </c>
      <c r="AR32" s="14" t="s">
        <v>4512</v>
      </c>
      <c r="BF32" s="1"/>
      <c r="BG32" s="1"/>
      <c r="BH32" s="1"/>
      <c r="BI32" s="1"/>
      <c r="BJ32" s="1"/>
      <c r="BK32" s="1"/>
      <c r="BL32" s="1"/>
      <c r="BM32" s="1"/>
    </row>
    <row r="33" spans="1:65" ht="105" hidden="1" x14ac:dyDescent="0.25">
      <c r="A33" s="1" t="s">
        <v>39</v>
      </c>
      <c r="B33" s="1" t="s">
        <v>40</v>
      </c>
      <c r="C33" s="1" t="s">
        <v>26</v>
      </c>
      <c r="D33" s="1" t="s">
        <v>27</v>
      </c>
      <c r="E33" s="1" t="s">
        <v>28</v>
      </c>
      <c r="F33" s="1" t="s">
        <v>35</v>
      </c>
      <c r="G33" s="11" t="s">
        <v>6</v>
      </c>
      <c r="H33" s="11" t="s">
        <v>4676</v>
      </c>
      <c r="I33" s="1" t="s">
        <v>1053</v>
      </c>
      <c r="J33" s="1" t="s">
        <v>2135</v>
      </c>
      <c r="K33" s="1" t="s">
        <v>2136</v>
      </c>
      <c r="L33" s="1" t="s">
        <v>1329</v>
      </c>
      <c r="M33" s="1" t="s">
        <v>562</v>
      </c>
      <c r="N33" s="1" t="s">
        <v>1330</v>
      </c>
      <c r="O33" s="1" t="s">
        <v>1164</v>
      </c>
      <c r="P33" s="1" t="s">
        <v>1339</v>
      </c>
      <c r="Q33" s="1" t="s">
        <v>194</v>
      </c>
      <c r="R33" s="1" t="s">
        <v>566</v>
      </c>
      <c r="S33" s="1" t="s">
        <v>563</v>
      </c>
      <c r="T33" s="1" t="s">
        <v>643</v>
      </c>
      <c r="U33" s="1" t="s">
        <v>31</v>
      </c>
      <c r="V33" s="1" t="s">
        <v>36</v>
      </c>
      <c r="W33" s="14" t="s">
        <v>32</v>
      </c>
      <c r="X33" s="14" t="s">
        <v>4650</v>
      </c>
      <c r="Y33" s="14" t="s">
        <v>194</v>
      </c>
      <c r="Z33" s="14" t="s">
        <v>31</v>
      </c>
      <c r="AA33" s="14" t="s">
        <v>4506</v>
      </c>
      <c r="AB33" s="14">
        <v>1</v>
      </c>
      <c r="AC33" s="14" t="s">
        <v>4504</v>
      </c>
      <c r="AD33" s="14">
        <v>0</v>
      </c>
      <c r="AE33" s="14" t="s">
        <v>626</v>
      </c>
      <c r="AF33" s="14" t="s">
        <v>626</v>
      </c>
      <c r="AG33" s="14" t="s">
        <v>626</v>
      </c>
      <c r="AH33" s="14" t="s">
        <v>4191</v>
      </c>
      <c r="AI33" s="14" t="s">
        <v>4191</v>
      </c>
      <c r="AJ33" s="14" t="s">
        <v>194</v>
      </c>
      <c r="AK33" s="14" t="s">
        <v>194</v>
      </c>
      <c r="AL33" s="14" t="s">
        <v>194</v>
      </c>
      <c r="AM33" s="14" t="s">
        <v>194</v>
      </c>
      <c r="AN33" s="14" t="s">
        <v>194</v>
      </c>
      <c r="AO33" s="14" t="s">
        <v>194</v>
      </c>
      <c r="AP33" s="14" t="s">
        <v>194</v>
      </c>
      <c r="AQ33" s="14" t="s">
        <v>2890</v>
      </c>
      <c r="AR33" s="14" t="s">
        <v>4512</v>
      </c>
      <c r="BF33" s="1"/>
      <c r="BG33" s="1"/>
      <c r="BH33" s="1"/>
      <c r="BI33" s="1"/>
      <c r="BJ33" s="1"/>
      <c r="BK33" s="1"/>
      <c r="BL33" s="1"/>
      <c r="BM33" s="1"/>
    </row>
    <row r="34" spans="1:65" ht="105" hidden="1" x14ac:dyDescent="0.25">
      <c r="A34" s="1" t="s">
        <v>41</v>
      </c>
      <c r="B34" s="1" t="s">
        <v>42</v>
      </c>
      <c r="C34" s="1" t="s">
        <v>26</v>
      </c>
      <c r="D34" s="1" t="s">
        <v>27</v>
      </c>
      <c r="E34" s="1" t="s">
        <v>28</v>
      </c>
      <c r="F34" s="1" t="s">
        <v>35</v>
      </c>
      <c r="G34" s="11" t="s">
        <v>6</v>
      </c>
      <c r="H34" s="11" t="s">
        <v>4676</v>
      </c>
      <c r="I34" s="1" t="s">
        <v>1053</v>
      </c>
      <c r="J34" s="1" t="s">
        <v>2135</v>
      </c>
      <c r="K34" s="1" t="s">
        <v>2136</v>
      </c>
      <c r="L34" s="1" t="s">
        <v>1329</v>
      </c>
      <c r="M34" s="1" t="s">
        <v>562</v>
      </c>
      <c r="N34" s="1" t="s">
        <v>1330</v>
      </c>
      <c r="O34" s="1" t="s">
        <v>1164</v>
      </c>
      <c r="P34" s="1" t="s">
        <v>1339</v>
      </c>
      <c r="Q34" s="1" t="s">
        <v>194</v>
      </c>
      <c r="R34" s="1" t="s">
        <v>567</v>
      </c>
      <c r="S34" s="1" t="s">
        <v>563</v>
      </c>
      <c r="T34" s="1" t="s">
        <v>643</v>
      </c>
      <c r="U34" s="1" t="s">
        <v>31</v>
      </c>
      <c r="V34" s="1" t="s">
        <v>36</v>
      </c>
      <c r="W34" s="14" t="s">
        <v>32</v>
      </c>
      <c r="X34" s="14" t="s">
        <v>4650</v>
      </c>
      <c r="Y34" s="14" t="s">
        <v>194</v>
      </c>
      <c r="Z34" s="14" t="s">
        <v>31</v>
      </c>
      <c r="AA34" s="14" t="s">
        <v>4506</v>
      </c>
      <c r="AB34" s="14">
        <v>1</v>
      </c>
      <c r="AC34" s="14" t="s">
        <v>4504</v>
      </c>
      <c r="AD34" s="14">
        <v>0</v>
      </c>
      <c r="AE34" s="14" t="s">
        <v>626</v>
      </c>
      <c r="AF34" s="14" t="s">
        <v>626</v>
      </c>
      <c r="AG34" s="14" t="s">
        <v>626</v>
      </c>
      <c r="AH34" s="14" t="s">
        <v>4191</v>
      </c>
      <c r="AI34" s="14" t="s">
        <v>4191</v>
      </c>
      <c r="AJ34" s="14" t="s">
        <v>194</v>
      </c>
      <c r="AK34" s="14" t="s">
        <v>194</v>
      </c>
      <c r="AL34" s="14" t="s">
        <v>194</v>
      </c>
      <c r="AM34" s="14" t="s">
        <v>194</v>
      </c>
      <c r="AN34" s="14" t="s">
        <v>194</v>
      </c>
      <c r="AO34" s="14" t="s">
        <v>194</v>
      </c>
      <c r="AP34" s="14" t="s">
        <v>194</v>
      </c>
      <c r="AQ34" s="14" t="s">
        <v>2890</v>
      </c>
      <c r="AR34" s="14" t="s">
        <v>4512</v>
      </c>
      <c r="BF34" s="1"/>
      <c r="BG34" s="1"/>
      <c r="BH34" s="1"/>
      <c r="BI34" s="1"/>
      <c r="BJ34" s="1"/>
      <c r="BK34" s="1"/>
      <c r="BL34" s="1"/>
      <c r="BM34" s="1"/>
    </row>
    <row r="35" spans="1:65" ht="105" hidden="1" x14ac:dyDescent="0.25">
      <c r="A35" s="1" t="s">
        <v>43</v>
      </c>
      <c r="B35" s="1" t="s">
        <v>44</v>
      </c>
      <c r="C35" s="1" t="s">
        <v>26</v>
      </c>
      <c r="D35" s="1" t="s">
        <v>27</v>
      </c>
      <c r="E35" s="1" t="s">
        <v>28</v>
      </c>
      <c r="F35" s="1" t="s">
        <v>35</v>
      </c>
      <c r="G35" s="11" t="s">
        <v>6</v>
      </c>
      <c r="H35" s="11" t="s">
        <v>4677</v>
      </c>
      <c r="I35" s="1" t="s">
        <v>1053</v>
      </c>
      <c r="J35" s="1" t="s">
        <v>2135</v>
      </c>
      <c r="K35" s="1" t="s">
        <v>2136</v>
      </c>
      <c r="L35" s="1" t="s">
        <v>1329</v>
      </c>
      <c r="M35" s="1" t="s">
        <v>562</v>
      </c>
      <c r="N35" s="1" t="s">
        <v>1330</v>
      </c>
      <c r="O35" s="1" t="s">
        <v>1164</v>
      </c>
      <c r="P35" s="1" t="s">
        <v>1340</v>
      </c>
      <c r="Q35" s="1" t="s">
        <v>1341</v>
      </c>
      <c r="R35" s="1" t="s">
        <v>308</v>
      </c>
      <c r="S35" s="1" t="s">
        <v>563</v>
      </c>
      <c r="T35" s="1" t="s">
        <v>4678</v>
      </c>
      <c r="U35" s="1" t="s">
        <v>31</v>
      </c>
      <c r="V35" s="1" t="s">
        <v>36</v>
      </c>
      <c r="W35" s="14" t="s">
        <v>32</v>
      </c>
      <c r="X35" s="14" t="s">
        <v>4650</v>
      </c>
      <c r="Y35" s="14" t="s">
        <v>194</v>
      </c>
      <c r="Z35" s="14" t="s">
        <v>31</v>
      </c>
      <c r="AA35" s="14" t="s">
        <v>4503</v>
      </c>
      <c r="AB35" s="14">
        <v>1</v>
      </c>
      <c r="AC35" s="14" t="s">
        <v>4504</v>
      </c>
      <c r="AD35" s="14">
        <v>0</v>
      </c>
      <c r="AE35" s="14" t="s">
        <v>626</v>
      </c>
      <c r="AF35" s="14" t="s">
        <v>626</v>
      </c>
      <c r="AG35" s="14" t="s">
        <v>626</v>
      </c>
      <c r="AH35" s="14" t="s">
        <v>4191</v>
      </c>
      <c r="AI35" s="14" t="s">
        <v>4191</v>
      </c>
      <c r="AJ35" s="14" t="s">
        <v>194</v>
      </c>
      <c r="AK35" s="14" t="s">
        <v>194</v>
      </c>
      <c r="AL35" s="14" t="s">
        <v>194</v>
      </c>
      <c r="AM35" s="14" t="s">
        <v>194</v>
      </c>
      <c r="AN35" s="14" t="s">
        <v>194</v>
      </c>
      <c r="AO35" s="14" t="s">
        <v>194</v>
      </c>
      <c r="AP35" s="14" t="s">
        <v>194</v>
      </c>
      <c r="AQ35" s="14" t="s">
        <v>2890</v>
      </c>
      <c r="AR35" s="14" t="s">
        <v>4512</v>
      </c>
      <c r="BF35" s="1"/>
      <c r="BG35" s="1"/>
      <c r="BH35" s="1"/>
      <c r="BI35" s="1"/>
      <c r="BJ35" s="1"/>
      <c r="BK35" s="1"/>
      <c r="BL35" s="1"/>
      <c r="BM35" s="1"/>
    </row>
    <row r="36" spans="1:65" ht="105" hidden="1" x14ac:dyDescent="0.25">
      <c r="A36" s="1" t="s">
        <v>45</v>
      </c>
      <c r="B36" s="1" t="s">
        <v>46</v>
      </c>
      <c r="C36" s="1" t="s">
        <v>26</v>
      </c>
      <c r="D36" s="1" t="s">
        <v>27</v>
      </c>
      <c r="E36" s="1" t="s">
        <v>28</v>
      </c>
      <c r="F36" s="1" t="s">
        <v>35</v>
      </c>
      <c r="G36" s="11" t="s">
        <v>6</v>
      </c>
      <c r="H36" s="11" t="s">
        <v>4677</v>
      </c>
      <c r="I36" s="1" t="s">
        <v>1053</v>
      </c>
      <c r="J36" s="1" t="s">
        <v>2135</v>
      </c>
      <c r="K36" s="1" t="s">
        <v>2136</v>
      </c>
      <c r="L36" s="1" t="s">
        <v>1329</v>
      </c>
      <c r="M36" s="1" t="s">
        <v>562</v>
      </c>
      <c r="N36" s="1" t="s">
        <v>1330</v>
      </c>
      <c r="O36" s="1" t="s">
        <v>1164</v>
      </c>
      <c r="P36" s="1" t="s">
        <v>1340</v>
      </c>
      <c r="Q36" s="1" t="s">
        <v>1341</v>
      </c>
      <c r="R36" s="1" t="s">
        <v>314</v>
      </c>
      <c r="S36" s="1" t="s">
        <v>563</v>
      </c>
      <c r="T36" s="1" t="s">
        <v>4678</v>
      </c>
      <c r="U36" s="1" t="s">
        <v>31</v>
      </c>
      <c r="V36" s="1" t="s">
        <v>36</v>
      </c>
      <c r="W36" s="14" t="s">
        <v>32</v>
      </c>
      <c r="X36" s="14" t="s">
        <v>4650</v>
      </c>
      <c r="Y36" s="14" t="s">
        <v>194</v>
      </c>
      <c r="Z36" s="14" t="s">
        <v>31</v>
      </c>
      <c r="AA36" s="14" t="s">
        <v>4503</v>
      </c>
      <c r="AB36" s="14">
        <v>1</v>
      </c>
      <c r="AC36" s="14" t="s">
        <v>4504</v>
      </c>
      <c r="AD36" s="14">
        <v>0</v>
      </c>
      <c r="AE36" s="14" t="s">
        <v>626</v>
      </c>
      <c r="AF36" s="14" t="s">
        <v>626</v>
      </c>
      <c r="AG36" s="14" t="s">
        <v>626</v>
      </c>
      <c r="AH36" s="14" t="s">
        <v>4191</v>
      </c>
      <c r="AI36" s="14" t="s">
        <v>4191</v>
      </c>
      <c r="AJ36" s="14" t="s">
        <v>194</v>
      </c>
      <c r="AK36" s="14" t="s">
        <v>194</v>
      </c>
      <c r="AL36" s="14" t="s">
        <v>194</v>
      </c>
      <c r="AM36" s="14" t="s">
        <v>194</v>
      </c>
      <c r="AN36" s="14" t="s">
        <v>194</v>
      </c>
      <c r="AO36" s="14" t="s">
        <v>194</v>
      </c>
      <c r="AP36" s="14" t="s">
        <v>194</v>
      </c>
      <c r="AQ36" s="14" t="s">
        <v>2890</v>
      </c>
      <c r="AR36" s="14" t="s">
        <v>4512</v>
      </c>
      <c r="BF36" s="1"/>
      <c r="BG36" s="1"/>
      <c r="BH36" s="1"/>
      <c r="BI36" s="1"/>
      <c r="BJ36" s="1"/>
      <c r="BK36" s="1"/>
      <c r="BL36" s="1"/>
      <c r="BM36" s="1"/>
    </row>
    <row r="37" spans="1:65" ht="105" hidden="1" x14ac:dyDescent="0.25">
      <c r="A37" s="1" t="s">
        <v>47</v>
      </c>
      <c r="B37" s="1" t="s">
        <v>48</v>
      </c>
      <c r="C37" s="1" t="s">
        <v>26</v>
      </c>
      <c r="D37" s="1" t="s">
        <v>27</v>
      </c>
      <c r="E37" s="1" t="s">
        <v>28</v>
      </c>
      <c r="F37" s="1" t="s">
        <v>35</v>
      </c>
      <c r="G37" s="11" t="s">
        <v>6</v>
      </c>
      <c r="H37" s="11" t="s">
        <v>4677</v>
      </c>
      <c r="I37" s="1" t="s">
        <v>1053</v>
      </c>
      <c r="J37" s="1" t="s">
        <v>2135</v>
      </c>
      <c r="K37" s="1" t="s">
        <v>2136</v>
      </c>
      <c r="L37" s="1" t="s">
        <v>1329</v>
      </c>
      <c r="M37" s="1" t="s">
        <v>562</v>
      </c>
      <c r="N37" s="1" t="s">
        <v>1330</v>
      </c>
      <c r="O37" s="1" t="s">
        <v>1164</v>
      </c>
      <c r="P37" s="1" t="s">
        <v>1340</v>
      </c>
      <c r="Q37" s="1" t="s">
        <v>1341</v>
      </c>
      <c r="R37" s="1" t="s">
        <v>549</v>
      </c>
      <c r="S37" s="1" t="s">
        <v>563</v>
      </c>
      <c r="T37" s="1" t="s">
        <v>4678</v>
      </c>
      <c r="U37" s="1" t="s">
        <v>31</v>
      </c>
      <c r="V37" s="1" t="s">
        <v>36</v>
      </c>
      <c r="W37" s="14" t="s">
        <v>32</v>
      </c>
      <c r="X37" s="14" t="s">
        <v>4650</v>
      </c>
      <c r="Y37" s="14" t="s">
        <v>194</v>
      </c>
      <c r="Z37" s="14" t="s">
        <v>31</v>
      </c>
      <c r="AA37" s="14" t="s">
        <v>4503</v>
      </c>
      <c r="AB37" s="14">
        <v>1</v>
      </c>
      <c r="AC37" s="14" t="s">
        <v>4504</v>
      </c>
      <c r="AD37" s="14">
        <v>0</v>
      </c>
      <c r="AE37" s="14" t="s">
        <v>626</v>
      </c>
      <c r="AF37" s="14" t="s">
        <v>626</v>
      </c>
      <c r="AG37" s="14" t="s">
        <v>626</v>
      </c>
      <c r="AH37" s="14" t="s">
        <v>4191</v>
      </c>
      <c r="AI37" s="14" t="s">
        <v>4191</v>
      </c>
      <c r="AJ37" s="14" t="s">
        <v>194</v>
      </c>
      <c r="AK37" s="14" t="s">
        <v>194</v>
      </c>
      <c r="AL37" s="14" t="s">
        <v>194</v>
      </c>
      <c r="AM37" s="14" t="s">
        <v>194</v>
      </c>
      <c r="AN37" s="14" t="s">
        <v>194</v>
      </c>
      <c r="AO37" s="14" t="s">
        <v>194</v>
      </c>
      <c r="AP37" s="14" t="s">
        <v>194</v>
      </c>
      <c r="AQ37" s="14" t="s">
        <v>2890</v>
      </c>
      <c r="AR37" s="14" t="s">
        <v>4512</v>
      </c>
      <c r="BF37" s="1"/>
      <c r="BG37" s="1"/>
      <c r="BH37" s="1"/>
      <c r="BI37" s="1"/>
      <c r="BJ37" s="1"/>
      <c r="BK37" s="1"/>
      <c r="BL37" s="1"/>
      <c r="BM37" s="1"/>
    </row>
    <row r="38" spans="1:65" ht="150" hidden="1" x14ac:dyDescent="0.25">
      <c r="A38" s="1" t="s">
        <v>78</v>
      </c>
      <c r="B38" s="1" t="s">
        <v>49</v>
      </c>
      <c r="C38" s="1" t="s">
        <v>62</v>
      </c>
      <c r="D38" s="1" t="s">
        <v>27</v>
      </c>
      <c r="E38" s="1" t="s">
        <v>28</v>
      </c>
      <c r="F38" s="1" t="s">
        <v>50</v>
      </c>
      <c r="G38" s="11" t="s">
        <v>51</v>
      </c>
      <c r="H38" s="11" t="s">
        <v>4679</v>
      </c>
      <c r="I38" s="1" t="s">
        <v>52</v>
      </c>
      <c r="J38" s="1" t="s">
        <v>1904</v>
      </c>
      <c r="K38" s="1" t="s">
        <v>2137</v>
      </c>
      <c r="L38" s="1" t="s">
        <v>1329</v>
      </c>
      <c r="M38" s="1" t="s">
        <v>1331</v>
      </c>
      <c r="N38" s="1" t="s">
        <v>1330</v>
      </c>
      <c r="O38" s="1" t="s">
        <v>1164</v>
      </c>
      <c r="P38" s="1" t="s">
        <v>1339</v>
      </c>
      <c r="Q38" s="1" t="s">
        <v>194</v>
      </c>
      <c r="R38" s="1" t="s">
        <v>32</v>
      </c>
      <c r="S38" s="1" t="s">
        <v>2170</v>
      </c>
      <c r="T38" s="1" t="s">
        <v>643</v>
      </c>
      <c r="U38" s="1" t="s">
        <v>31</v>
      </c>
      <c r="V38" s="1" t="s">
        <v>2</v>
      </c>
      <c r="W38" s="14" t="s">
        <v>32</v>
      </c>
      <c r="X38" s="14" t="s">
        <v>4650</v>
      </c>
      <c r="Y38" s="14" t="s">
        <v>4513</v>
      </c>
      <c r="Z38" s="14" t="s">
        <v>31</v>
      </c>
      <c r="AA38" s="14" t="s">
        <v>4503</v>
      </c>
      <c r="AB38" s="14">
        <v>1</v>
      </c>
      <c r="AC38" s="14" t="s">
        <v>194</v>
      </c>
      <c r="AD38" s="14">
        <v>3</v>
      </c>
      <c r="AE38" s="14" t="s">
        <v>626</v>
      </c>
      <c r="AF38" s="14" t="s">
        <v>4191</v>
      </c>
      <c r="AG38" s="14" t="s">
        <v>626</v>
      </c>
      <c r="AH38" s="14" t="s">
        <v>4191</v>
      </c>
      <c r="AI38" s="14" t="s">
        <v>4191</v>
      </c>
      <c r="AJ38" s="14" t="s">
        <v>194</v>
      </c>
      <c r="AK38" s="14" t="s">
        <v>194</v>
      </c>
      <c r="AL38" s="14" t="s">
        <v>194</v>
      </c>
      <c r="AM38" s="14" t="s">
        <v>194</v>
      </c>
      <c r="AN38" s="14" t="s">
        <v>194</v>
      </c>
      <c r="AO38" s="14" t="s">
        <v>194</v>
      </c>
      <c r="AP38" s="14" t="s">
        <v>194</v>
      </c>
      <c r="AQ38" s="14" t="s">
        <v>2890</v>
      </c>
      <c r="AR38" s="14" t="s">
        <v>4512</v>
      </c>
      <c r="BF38" s="1"/>
      <c r="BG38" s="1"/>
      <c r="BH38" s="1"/>
      <c r="BI38" s="1"/>
      <c r="BJ38" s="1"/>
      <c r="BK38" s="1"/>
      <c r="BL38" s="1"/>
      <c r="BM38" s="1"/>
    </row>
    <row r="39" spans="1:65" ht="120" hidden="1" x14ac:dyDescent="0.25">
      <c r="A39" s="1" t="s">
        <v>53</v>
      </c>
      <c r="B39" s="1" t="s">
        <v>54</v>
      </c>
      <c r="C39" s="1" t="s">
        <v>26</v>
      </c>
      <c r="D39" s="1" t="s">
        <v>27</v>
      </c>
      <c r="E39" s="1" t="s">
        <v>28</v>
      </c>
      <c r="F39" s="1" t="s">
        <v>50</v>
      </c>
      <c r="G39" s="11" t="s">
        <v>55</v>
      </c>
      <c r="H39" s="11" t="s">
        <v>4680</v>
      </c>
      <c r="I39" s="1" t="s">
        <v>52</v>
      </c>
      <c r="J39" s="1" t="s">
        <v>2138</v>
      </c>
      <c r="K39" s="1" t="s">
        <v>2137</v>
      </c>
      <c r="L39" s="1" t="s">
        <v>1329</v>
      </c>
      <c r="M39" s="1" t="s">
        <v>1331</v>
      </c>
      <c r="N39" s="1" t="s">
        <v>1330</v>
      </c>
      <c r="O39" s="1" t="s">
        <v>1164</v>
      </c>
      <c r="P39" s="1" t="s">
        <v>1339</v>
      </c>
      <c r="Q39" s="1" t="s">
        <v>194</v>
      </c>
      <c r="R39" s="1" t="s">
        <v>32</v>
      </c>
      <c r="S39" s="1" t="s">
        <v>2170</v>
      </c>
      <c r="T39" s="1" t="s">
        <v>643</v>
      </c>
      <c r="U39" s="1" t="s">
        <v>31</v>
      </c>
      <c r="V39" s="1" t="s">
        <v>2</v>
      </c>
      <c r="W39" s="14" t="s">
        <v>2</v>
      </c>
      <c r="X39" s="14" t="s">
        <v>4650</v>
      </c>
      <c r="Y39" s="14" t="s">
        <v>4514</v>
      </c>
      <c r="Z39" s="14" t="s">
        <v>31</v>
      </c>
      <c r="AA39" s="14" t="s">
        <v>4503</v>
      </c>
      <c r="AB39" s="14">
        <v>1</v>
      </c>
      <c r="AC39" s="14" t="s">
        <v>194</v>
      </c>
      <c r="AD39" s="14">
        <v>3</v>
      </c>
      <c r="AE39" s="14" t="s">
        <v>626</v>
      </c>
      <c r="AF39" s="14" t="s">
        <v>4191</v>
      </c>
      <c r="AG39" s="14" t="s">
        <v>626</v>
      </c>
      <c r="AH39" s="14" t="s">
        <v>4191</v>
      </c>
      <c r="AI39" s="14" t="s">
        <v>4191</v>
      </c>
      <c r="AJ39" s="14" t="s">
        <v>194</v>
      </c>
      <c r="AK39" s="14" t="s">
        <v>194</v>
      </c>
      <c r="AL39" s="14" t="s">
        <v>194</v>
      </c>
      <c r="AM39" s="14" t="s">
        <v>194</v>
      </c>
      <c r="AN39" s="14" t="s">
        <v>194</v>
      </c>
      <c r="AO39" s="14" t="s">
        <v>194</v>
      </c>
      <c r="AP39" s="14" t="s">
        <v>194</v>
      </c>
      <c r="AQ39" s="14" t="s">
        <v>2890</v>
      </c>
      <c r="AR39" s="14" t="s">
        <v>4512</v>
      </c>
      <c r="BF39" s="1"/>
      <c r="BG39" s="1"/>
      <c r="BH39" s="1"/>
      <c r="BI39" s="1"/>
      <c r="BJ39" s="1"/>
      <c r="BK39" s="1"/>
      <c r="BL39" s="1"/>
      <c r="BM39" s="1"/>
    </row>
    <row r="40" spans="1:65" ht="105" hidden="1" x14ac:dyDescent="0.25">
      <c r="A40" s="1" t="s">
        <v>114</v>
      </c>
      <c r="B40" s="1" t="s">
        <v>115</v>
      </c>
      <c r="C40" s="1" t="s">
        <v>26</v>
      </c>
      <c r="D40" s="1" t="s">
        <v>27</v>
      </c>
      <c r="E40" s="1" t="s">
        <v>34</v>
      </c>
      <c r="F40" s="1" t="s">
        <v>29</v>
      </c>
      <c r="G40" s="11" t="s">
        <v>6</v>
      </c>
      <c r="H40" s="11" t="s">
        <v>4681</v>
      </c>
      <c r="I40" s="1" t="s">
        <v>82</v>
      </c>
      <c r="J40" s="1" t="s">
        <v>2140</v>
      </c>
      <c r="K40" s="1" t="s">
        <v>115</v>
      </c>
      <c r="L40" s="1" t="s">
        <v>1329</v>
      </c>
      <c r="M40" s="1" t="s">
        <v>562</v>
      </c>
      <c r="N40" s="1" t="s">
        <v>1330</v>
      </c>
      <c r="O40" s="1" t="s">
        <v>1164</v>
      </c>
      <c r="P40" s="1" t="s">
        <v>1339</v>
      </c>
      <c r="Q40" s="1" t="s">
        <v>194</v>
      </c>
      <c r="R40" s="1" t="s">
        <v>2</v>
      </c>
      <c r="S40" s="1" t="s">
        <v>576</v>
      </c>
      <c r="T40" s="1" t="s">
        <v>643</v>
      </c>
      <c r="U40" s="1" t="s">
        <v>31</v>
      </c>
      <c r="V40" s="1" t="s">
        <v>2</v>
      </c>
      <c r="W40" s="14" t="s">
        <v>2</v>
      </c>
      <c r="X40" s="14" t="s">
        <v>643</v>
      </c>
      <c r="Y40" s="14" t="s">
        <v>194</v>
      </c>
      <c r="Z40" s="14" t="s">
        <v>31</v>
      </c>
      <c r="AA40" s="14" t="s">
        <v>4503</v>
      </c>
      <c r="AB40" s="14">
        <v>1</v>
      </c>
      <c r="AC40" s="14" t="s">
        <v>194</v>
      </c>
      <c r="AD40" s="14">
        <v>0</v>
      </c>
      <c r="AE40" s="14" t="s">
        <v>626</v>
      </c>
      <c r="AF40" s="14" t="s">
        <v>626</v>
      </c>
      <c r="AG40" s="14" t="s">
        <v>626</v>
      </c>
      <c r="AH40" s="14" t="s">
        <v>4191</v>
      </c>
      <c r="AI40" s="14" t="s">
        <v>626</v>
      </c>
      <c r="AJ40" s="14" t="s">
        <v>194</v>
      </c>
      <c r="AK40" s="14" t="s">
        <v>4515</v>
      </c>
      <c r="AL40" s="14" t="s">
        <v>194</v>
      </c>
      <c r="AM40" s="14" t="s">
        <v>194</v>
      </c>
      <c r="AN40" s="14" t="s">
        <v>194</v>
      </c>
      <c r="AO40" s="14" t="s">
        <v>194</v>
      </c>
      <c r="AP40" s="14" t="s">
        <v>194</v>
      </c>
      <c r="AQ40" s="14" t="s">
        <v>194</v>
      </c>
      <c r="AR40" s="14" t="s">
        <v>4512</v>
      </c>
      <c r="BF40" s="1"/>
      <c r="BG40" s="1"/>
      <c r="BH40" s="1"/>
      <c r="BI40" s="1"/>
      <c r="BJ40" s="1"/>
      <c r="BK40" s="1"/>
      <c r="BL40" s="1"/>
      <c r="BM40" s="1"/>
    </row>
    <row r="41" spans="1:65" ht="105" hidden="1" x14ac:dyDescent="0.25">
      <c r="A41" s="1" t="s">
        <v>56</v>
      </c>
      <c r="B41" s="1" t="s">
        <v>57</v>
      </c>
      <c r="C41" s="1" t="s">
        <v>26</v>
      </c>
      <c r="D41" s="1" t="s">
        <v>27</v>
      </c>
      <c r="E41" s="1" t="s">
        <v>28</v>
      </c>
      <c r="F41" s="1" t="s">
        <v>29</v>
      </c>
      <c r="G41" s="11" t="s">
        <v>6</v>
      </c>
      <c r="H41" s="11" t="s">
        <v>4682</v>
      </c>
      <c r="I41" s="1" t="s">
        <v>30</v>
      </c>
      <c r="J41" s="1" t="s">
        <v>2141</v>
      </c>
      <c r="K41" s="1" t="s">
        <v>2142</v>
      </c>
      <c r="L41" s="1" t="s">
        <v>1329</v>
      </c>
      <c r="M41" s="1" t="s">
        <v>562</v>
      </c>
      <c r="N41" s="1" t="s">
        <v>1330</v>
      </c>
      <c r="O41" s="1" t="s">
        <v>1164</v>
      </c>
      <c r="P41" s="1" t="s">
        <v>1339</v>
      </c>
      <c r="Q41" s="1" t="s">
        <v>194</v>
      </c>
      <c r="R41" s="1" t="s">
        <v>2</v>
      </c>
      <c r="S41" s="1" t="s">
        <v>576</v>
      </c>
      <c r="T41" s="1" t="s">
        <v>643</v>
      </c>
      <c r="U41" s="1" t="s">
        <v>31</v>
      </c>
      <c r="V41" s="1" t="s">
        <v>2</v>
      </c>
      <c r="W41" s="14" t="s">
        <v>32</v>
      </c>
      <c r="X41" s="14" t="s">
        <v>4650</v>
      </c>
      <c r="Y41" s="14" t="s">
        <v>194</v>
      </c>
      <c r="Z41" s="14" t="s">
        <v>31</v>
      </c>
      <c r="AA41" s="14" t="s">
        <v>4503</v>
      </c>
      <c r="AB41" s="14">
        <v>1</v>
      </c>
      <c r="AC41" s="14" t="s">
        <v>194</v>
      </c>
      <c r="AD41" s="14">
        <v>0</v>
      </c>
      <c r="AE41" s="14" t="s">
        <v>626</v>
      </c>
      <c r="AF41" s="14" t="s">
        <v>626</v>
      </c>
      <c r="AG41" s="14" t="s">
        <v>626</v>
      </c>
      <c r="AH41" s="14" t="s">
        <v>4191</v>
      </c>
      <c r="AI41" s="14" t="s">
        <v>626</v>
      </c>
      <c r="AJ41" s="14" t="s">
        <v>194</v>
      </c>
      <c r="AK41" s="14" t="s">
        <v>194</v>
      </c>
      <c r="AL41" s="14" t="s">
        <v>194</v>
      </c>
      <c r="AM41" s="14" t="s">
        <v>194</v>
      </c>
      <c r="AN41" s="14" t="s">
        <v>194</v>
      </c>
      <c r="AO41" s="14" t="s">
        <v>194</v>
      </c>
      <c r="AP41" s="14" t="s">
        <v>194</v>
      </c>
      <c r="AQ41" s="14" t="s">
        <v>2890</v>
      </c>
      <c r="AR41" s="14" t="s">
        <v>4512</v>
      </c>
      <c r="BF41" s="1"/>
      <c r="BG41" s="1"/>
      <c r="BH41" s="1"/>
      <c r="BI41" s="1"/>
      <c r="BJ41" s="1"/>
      <c r="BK41" s="1"/>
      <c r="BL41" s="1"/>
      <c r="BM41" s="1"/>
    </row>
    <row r="42" spans="1:65" ht="105" hidden="1" x14ac:dyDescent="0.25">
      <c r="A42" s="1" t="s">
        <v>58</v>
      </c>
      <c r="B42" s="1" t="s">
        <v>59</v>
      </c>
      <c r="C42" s="1" t="s">
        <v>26</v>
      </c>
      <c r="D42" s="1" t="s">
        <v>27</v>
      </c>
      <c r="E42" s="1" t="s">
        <v>28</v>
      </c>
      <c r="F42" s="1" t="s">
        <v>29</v>
      </c>
      <c r="G42" s="11" t="s">
        <v>6</v>
      </c>
      <c r="H42" s="11" t="s">
        <v>4683</v>
      </c>
      <c r="I42" s="1" t="s">
        <v>30</v>
      </c>
      <c r="J42" s="1" t="s">
        <v>2141</v>
      </c>
      <c r="K42" s="1" t="s">
        <v>2142</v>
      </c>
      <c r="L42" s="1" t="s">
        <v>1329</v>
      </c>
      <c r="M42" s="1" t="s">
        <v>562</v>
      </c>
      <c r="N42" s="1" t="s">
        <v>1330</v>
      </c>
      <c r="O42" s="1" t="s">
        <v>1164</v>
      </c>
      <c r="P42" s="1" t="s">
        <v>1339</v>
      </c>
      <c r="Q42" s="1" t="s">
        <v>194</v>
      </c>
      <c r="R42" s="1" t="s">
        <v>2</v>
      </c>
      <c r="S42" s="1" t="s">
        <v>576</v>
      </c>
      <c r="T42" s="1" t="s">
        <v>643</v>
      </c>
      <c r="U42" s="1" t="s">
        <v>31</v>
      </c>
      <c r="V42" s="1" t="s">
        <v>2</v>
      </c>
      <c r="W42" s="14" t="s">
        <v>32</v>
      </c>
      <c r="X42" s="14" t="s">
        <v>4650</v>
      </c>
      <c r="Y42" s="14" t="s">
        <v>194</v>
      </c>
      <c r="Z42" s="14" t="s">
        <v>31</v>
      </c>
      <c r="AA42" s="14" t="s">
        <v>4503</v>
      </c>
      <c r="AB42" s="14">
        <v>1</v>
      </c>
      <c r="AC42" s="14" t="s">
        <v>194</v>
      </c>
      <c r="AD42" s="14">
        <v>0</v>
      </c>
      <c r="AE42" s="14" t="s">
        <v>626</v>
      </c>
      <c r="AF42" s="14" t="s">
        <v>626</v>
      </c>
      <c r="AG42" s="14" t="s">
        <v>626</v>
      </c>
      <c r="AH42" s="14" t="s">
        <v>4191</v>
      </c>
      <c r="AI42" s="14" t="s">
        <v>4191</v>
      </c>
      <c r="AJ42" s="14" t="s">
        <v>194</v>
      </c>
      <c r="AK42" s="14" t="s">
        <v>194</v>
      </c>
      <c r="AL42" s="14" t="s">
        <v>194</v>
      </c>
      <c r="AM42" s="14" t="s">
        <v>194</v>
      </c>
      <c r="AN42" s="14" t="s">
        <v>194</v>
      </c>
      <c r="AO42" s="14" t="s">
        <v>194</v>
      </c>
      <c r="AP42" s="14" t="s">
        <v>194</v>
      </c>
      <c r="AQ42" s="14" t="s">
        <v>2890</v>
      </c>
      <c r="AR42" s="14" t="s">
        <v>4512</v>
      </c>
      <c r="BF42" s="1"/>
      <c r="BG42" s="1"/>
      <c r="BH42" s="1"/>
      <c r="BI42" s="1"/>
      <c r="BJ42" s="1"/>
      <c r="BK42" s="1"/>
      <c r="BL42" s="1"/>
      <c r="BM42" s="1"/>
    </row>
    <row r="43" spans="1:65" ht="105" hidden="1" x14ac:dyDescent="0.25">
      <c r="A43" s="1" t="s">
        <v>60</v>
      </c>
      <c r="B43" s="1" t="s">
        <v>61</v>
      </c>
      <c r="C43" s="1" t="s">
        <v>62</v>
      </c>
      <c r="D43" s="1" t="s">
        <v>27</v>
      </c>
      <c r="E43" s="1" t="s">
        <v>28</v>
      </c>
      <c r="F43" s="1" t="s">
        <v>29</v>
      </c>
      <c r="G43" s="11" t="s">
        <v>6</v>
      </c>
      <c r="H43" s="11" t="s">
        <v>4683</v>
      </c>
      <c r="I43" s="1" t="s">
        <v>30</v>
      </c>
      <c r="J43" s="1" t="s">
        <v>2141</v>
      </c>
      <c r="K43" s="1" t="s">
        <v>2142</v>
      </c>
      <c r="L43" s="1" t="s">
        <v>1329</v>
      </c>
      <c r="M43" s="1" t="s">
        <v>562</v>
      </c>
      <c r="N43" s="1" t="s">
        <v>1330</v>
      </c>
      <c r="O43" s="1" t="s">
        <v>1164</v>
      </c>
      <c r="P43" s="1" t="s">
        <v>1339</v>
      </c>
      <c r="Q43" s="1" t="s">
        <v>194</v>
      </c>
      <c r="R43" s="1" t="s">
        <v>2</v>
      </c>
      <c r="S43" s="1" t="s">
        <v>576</v>
      </c>
      <c r="T43" s="1" t="s">
        <v>643</v>
      </c>
      <c r="U43" s="1" t="s">
        <v>31</v>
      </c>
      <c r="V43" s="1" t="s">
        <v>2</v>
      </c>
      <c r="W43" s="14" t="s">
        <v>32</v>
      </c>
      <c r="X43" s="14" t="s">
        <v>4650</v>
      </c>
      <c r="Y43" s="14" t="s">
        <v>194</v>
      </c>
      <c r="Z43" s="14" t="s">
        <v>31</v>
      </c>
      <c r="AA43" s="14" t="s">
        <v>4503</v>
      </c>
      <c r="AB43" s="14">
        <v>1</v>
      </c>
      <c r="AC43" s="14" t="s">
        <v>194</v>
      </c>
      <c r="AD43" s="14">
        <v>0</v>
      </c>
      <c r="AE43" s="14" t="s">
        <v>626</v>
      </c>
      <c r="AF43" s="14" t="s">
        <v>626</v>
      </c>
      <c r="AG43" s="14" t="s">
        <v>626</v>
      </c>
      <c r="AH43" s="14" t="s">
        <v>4191</v>
      </c>
      <c r="AI43" s="14" t="s">
        <v>4191</v>
      </c>
      <c r="AJ43" s="14" t="s">
        <v>194</v>
      </c>
      <c r="AK43" s="14" t="s">
        <v>194</v>
      </c>
      <c r="AL43" s="14" t="s">
        <v>194</v>
      </c>
      <c r="AM43" s="14" t="s">
        <v>194</v>
      </c>
      <c r="AN43" s="14" t="s">
        <v>194</v>
      </c>
      <c r="AO43" s="14" t="s">
        <v>194</v>
      </c>
      <c r="AP43" s="14" t="s">
        <v>194</v>
      </c>
      <c r="AQ43" s="14" t="s">
        <v>2890</v>
      </c>
      <c r="AR43" s="14" t="s">
        <v>4512</v>
      </c>
      <c r="BF43" s="1"/>
      <c r="BG43" s="1"/>
      <c r="BH43" s="1"/>
      <c r="BI43" s="1"/>
      <c r="BJ43" s="1"/>
      <c r="BK43" s="1"/>
      <c r="BL43" s="1"/>
      <c r="BM43" s="1"/>
    </row>
    <row r="44" spans="1:65" ht="105" hidden="1" x14ac:dyDescent="0.25">
      <c r="A44" s="1" t="s">
        <v>63</v>
      </c>
      <c r="B44" s="1" t="s">
        <v>64</v>
      </c>
      <c r="C44" s="1" t="s">
        <v>26</v>
      </c>
      <c r="D44" s="1" t="s">
        <v>27</v>
      </c>
      <c r="E44" s="1" t="s">
        <v>28</v>
      </c>
      <c r="F44" s="1" t="s">
        <v>29</v>
      </c>
      <c r="G44" s="11" t="s">
        <v>6</v>
      </c>
      <c r="H44" s="11" t="s">
        <v>4683</v>
      </c>
      <c r="I44" s="1" t="s">
        <v>30</v>
      </c>
      <c r="J44" s="1" t="s">
        <v>2141</v>
      </c>
      <c r="K44" s="1" t="s">
        <v>2143</v>
      </c>
      <c r="L44" s="1" t="s">
        <v>1329</v>
      </c>
      <c r="M44" s="1" t="s">
        <v>562</v>
      </c>
      <c r="N44" s="1" t="s">
        <v>1330</v>
      </c>
      <c r="O44" s="1" t="s">
        <v>1164</v>
      </c>
      <c r="P44" s="1" t="s">
        <v>1339</v>
      </c>
      <c r="Q44" s="1" t="s">
        <v>194</v>
      </c>
      <c r="R44" s="1" t="s">
        <v>2</v>
      </c>
      <c r="S44" s="1" t="s">
        <v>576</v>
      </c>
      <c r="T44" s="1" t="s">
        <v>643</v>
      </c>
      <c r="U44" s="1" t="s">
        <v>31</v>
      </c>
      <c r="V44" s="1" t="s">
        <v>2</v>
      </c>
      <c r="W44" s="14" t="s">
        <v>2</v>
      </c>
      <c r="X44" s="14" t="s">
        <v>4650</v>
      </c>
      <c r="Y44" s="14" t="s">
        <v>194</v>
      </c>
      <c r="Z44" s="14" t="s">
        <v>31</v>
      </c>
      <c r="AA44" s="14" t="s">
        <v>4503</v>
      </c>
      <c r="AB44" s="14">
        <v>1</v>
      </c>
      <c r="AC44" s="14" t="s">
        <v>194</v>
      </c>
      <c r="AD44" s="14">
        <v>0</v>
      </c>
      <c r="AE44" s="14" t="s">
        <v>626</v>
      </c>
      <c r="AF44" s="14" t="s">
        <v>626</v>
      </c>
      <c r="AG44" s="14" t="s">
        <v>626</v>
      </c>
      <c r="AH44" s="14" t="s">
        <v>4191</v>
      </c>
      <c r="AI44" s="14" t="s">
        <v>4191</v>
      </c>
      <c r="AJ44" s="14" t="s">
        <v>194</v>
      </c>
      <c r="AK44" s="14" t="s">
        <v>194</v>
      </c>
      <c r="AL44" s="14" t="s">
        <v>194</v>
      </c>
      <c r="AM44" s="14" t="s">
        <v>194</v>
      </c>
      <c r="AN44" s="14" t="s">
        <v>194</v>
      </c>
      <c r="AO44" s="14" t="s">
        <v>194</v>
      </c>
      <c r="AP44" s="14" t="s">
        <v>194</v>
      </c>
      <c r="AQ44" s="14" t="s">
        <v>2890</v>
      </c>
      <c r="AR44" s="14" t="s">
        <v>4512</v>
      </c>
      <c r="BF44" s="1"/>
      <c r="BG44" s="1"/>
      <c r="BH44" s="1"/>
      <c r="BI44" s="1"/>
      <c r="BJ44" s="1"/>
      <c r="BK44" s="1"/>
      <c r="BL44" s="1"/>
      <c r="BM44" s="1"/>
    </row>
    <row r="45" spans="1:65" ht="105" hidden="1" x14ac:dyDescent="0.25">
      <c r="A45" s="1" t="s">
        <v>65</v>
      </c>
      <c r="B45" s="1" t="s">
        <v>66</v>
      </c>
      <c r="C45" s="1" t="s">
        <v>26</v>
      </c>
      <c r="D45" s="1" t="s">
        <v>27</v>
      </c>
      <c r="E45" s="1" t="s">
        <v>28</v>
      </c>
      <c r="F45" s="1" t="s">
        <v>29</v>
      </c>
      <c r="G45" s="11" t="s">
        <v>6</v>
      </c>
      <c r="H45" s="11" t="s">
        <v>4683</v>
      </c>
      <c r="I45" s="1" t="s">
        <v>30</v>
      </c>
      <c r="J45" s="1" t="s">
        <v>2141</v>
      </c>
      <c r="K45" s="1" t="s">
        <v>2143</v>
      </c>
      <c r="L45" s="1" t="s">
        <v>1329</v>
      </c>
      <c r="M45" s="1" t="s">
        <v>562</v>
      </c>
      <c r="N45" s="1" t="s">
        <v>1330</v>
      </c>
      <c r="O45" s="1" t="s">
        <v>1164</v>
      </c>
      <c r="P45" s="1" t="s">
        <v>1339</v>
      </c>
      <c r="Q45" s="1" t="s">
        <v>194</v>
      </c>
      <c r="R45" s="1" t="s">
        <v>2</v>
      </c>
      <c r="S45" s="1" t="s">
        <v>576</v>
      </c>
      <c r="T45" s="1" t="s">
        <v>643</v>
      </c>
      <c r="U45" s="1" t="s">
        <v>31</v>
      </c>
      <c r="V45" s="1" t="s">
        <v>2</v>
      </c>
      <c r="W45" s="14" t="s">
        <v>2</v>
      </c>
      <c r="X45" s="14" t="s">
        <v>4650</v>
      </c>
      <c r="Y45" s="14" t="s">
        <v>194</v>
      </c>
      <c r="Z45" s="14" t="s">
        <v>31</v>
      </c>
      <c r="AA45" s="14" t="s">
        <v>4503</v>
      </c>
      <c r="AB45" s="14">
        <v>1</v>
      </c>
      <c r="AC45" s="14" t="s">
        <v>194</v>
      </c>
      <c r="AD45" s="14">
        <v>0</v>
      </c>
      <c r="AE45" s="14" t="s">
        <v>626</v>
      </c>
      <c r="AF45" s="14" t="s">
        <v>626</v>
      </c>
      <c r="AG45" s="14" t="s">
        <v>626</v>
      </c>
      <c r="AH45" s="14" t="s">
        <v>4191</v>
      </c>
      <c r="AI45" s="14" t="s">
        <v>4191</v>
      </c>
      <c r="AJ45" s="14" t="s">
        <v>194</v>
      </c>
      <c r="AK45" s="14" t="s">
        <v>194</v>
      </c>
      <c r="AL45" s="14" t="s">
        <v>194</v>
      </c>
      <c r="AM45" s="14" t="s">
        <v>194</v>
      </c>
      <c r="AN45" s="14" t="s">
        <v>194</v>
      </c>
      <c r="AO45" s="14" t="s">
        <v>194</v>
      </c>
      <c r="AP45" s="14" t="s">
        <v>194</v>
      </c>
      <c r="AQ45" s="14" t="s">
        <v>2890</v>
      </c>
      <c r="AR45" s="14" t="s">
        <v>4512</v>
      </c>
      <c r="BF45" s="1"/>
      <c r="BG45" s="1"/>
      <c r="BH45" s="1"/>
      <c r="BI45" s="1"/>
      <c r="BJ45" s="1"/>
      <c r="BK45" s="1"/>
      <c r="BL45" s="1"/>
      <c r="BM45" s="1"/>
    </row>
    <row r="46" spans="1:65" ht="105" hidden="1" x14ac:dyDescent="0.25">
      <c r="A46" s="1" t="s">
        <v>67</v>
      </c>
      <c r="B46" s="1" t="s">
        <v>68</v>
      </c>
      <c r="C46" s="1" t="s">
        <v>26</v>
      </c>
      <c r="D46" s="1" t="s">
        <v>27</v>
      </c>
      <c r="E46" s="1" t="s">
        <v>28</v>
      </c>
      <c r="F46" s="1" t="s">
        <v>29</v>
      </c>
      <c r="G46" s="11" t="s">
        <v>6</v>
      </c>
      <c r="H46" s="11" t="s">
        <v>4683</v>
      </c>
      <c r="I46" s="1" t="s">
        <v>30</v>
      </c>
      <c r="J46" s="1" t="s">
        <v>2141</v>
      </c>
      <c r="K46" s="1" t="s">
        <v>2143</v>
      </c>
      <c r="L46" s="1" t="s">
        <v>1329</v>
      </c>
      <c r="M46" s="1" t="s">
        <v>562</v>
      </c>
      <c r="N46" s="1" t="s">
        <v>1330</v>
      </c>
      <c r="O46" s="1" t="s">
        <v>1164</v>
      </c>
      <c r="P46" s="1" t="s">
        <v>1339</v>
      </c>
      <c r="Q46" s="1" t="s">
        <v>194</v>
      </c>
      <c r="R46" s="1" t="s">
        <v>2</v>
      </c>
      <c r="S46" s="1" t="s">
        <v>576</v>
      </c>
      <c r="T46" s="1" t="s">
        <v>643</v>
      </c>
      <c r="U46" s="1" t="s">
        <v>31</v>
      </c>
      <c r="V46" s="1" t="s">
        <v>2</v>
      </c>
      <c r="W46" s="14" t="s">
        <v>2</v>
      </c>
      <c r="X46" s="14" t="s">
        <v>4650</v>
      </c>
      <c r="Y46" s="14" t="s">
        <v>194</v>
      </c>
      <c r="Z46" s="14" t="s">
        <v>31</v>
      </c>
      <c r="AA46" s="14" t="s">
        <v>4503</v>
      </c>
      <c r="AB46" s="14">
        <v>1</v>
      </c>
      <c r="AC46" s="14" t="s">
        <v>194</v>
      </c>
      <c r="AD46" s="14">
        <v>0</v>
      </c>
      <c r="AE46" s="14" t="s">
        <v>626</v>
      </c>
      <c r="AF46" s="14" t="s">
        <v>626</v>
      </c>
      <c r="AG46" s="14" t="s">
        <v>626</v>
      </c>
      <c r="AH46" s="14" t="s">
        <v>4191</v>
      </c>
      <c r="AI46" s="14" t="s">
        <v>4191</v>
      </c>
      <c r="AJ46" s="14" t="s">
        <v>194</v>
      </c>
      <c r="AK46" s="14" t="s">
        <v>194</v>
      </c>
      <c r="AL46" s="14" t="s">
        <v>194</v>
      </c>
      <c r="AM46" s="14" t="s">
        <v>194</v>
      </c>
      <c r="AN46" s="14" t="s">
        <v>194</v>
      </c>
      <c r="AO46" s="14" t="s">
        <v>194</v>
      </c>
      <c r="AP46" s="14" t="s">
        <v>194</v>
      </c>
      <c r="AQ46" s="14" t="s">
        <v>2890</v>
      </c>
      <c r="AR46" s="14" t="s">
        <v>4512</v>
      </c>
      <c r="BF46" s="1"/>
      <c r="BG46" s="1"/>
      <c r="BH46" s="1"/>
      <c r="BI46" s="1"/>
      <c r="BJ46" s="1"/>
      <c r="BK46" s="1"/>
      <c r="BL46" s="1"/>
      <c r="BM46" s="1"/>
    </row>
    <row r="47" spans="1:65" ht="105" hidden="1" x14ac:dyDescent="0.25">
      <c r="A47" s="1" t="s">
        <v>69</v>
      </c>
      <c r="B47" s="1" t="s">
        <v>70</v>
      </c>
      <c r="C47" s="1" t="s">
        <v>26</v>
      </c>
      <c r="D47" s="1" t="s">
        <v>27</v>
      </c>
      <c r="E47" s="1" t="s">
        <v>28</v>
      </c>
      <c r="F47" s="1" t="s">
        <v>29</v>
      </c>
      <c r="G47" s="11" t="s">
        <v>6</v>
      </c>
      <c r="H47" s="11" t="s">
        <v>4683</v>
      </c>
      <c r="I47" s="1" t="s">
        <v>30</v>
      </c>
      <c r="J47" s="1" t="s">
        <v>2141</v>
      </c>
      <c r="K47" s="1" t="s">
        <v>2143</v>
      </c>
      <c r="L47" s="1" t="s">
        <v>1329</v>
      </c>
      <c r="M47" s="1" t="s">
        <v>562</v>
      </c>
      <c r="N47" s="1" t="s">
        <v>1330</v>
      </c>
      <c r="O47" s="1" t="s">
        <v>1164</v>
      </c>
      <c r="P47" s="1" t="s">
        <v>1339</v>
      </c>
      <c r="Q47" s="1" t="s">
        <v>194</v>
      </c>
      <c r="R47" s="1" t="s">
        <v>2</v>
      </c>
      <c r="S47" s="1" t="s">
        <v>576</v>
      </c>
      <c r="T47" s="1" t="s">
        <v>643</v>
      </c>
      <c r="U47" s="1" t="s">
        <v>31</v>
      </c>
      <c r="V47" s="1" t="s">
        <v>2</v>
      </c>
      <c r="W47" s="14" t="s">
        <v>2</v>
      </c>
      <c r="X47" s="14" t="s">
        <v>4650</v>
      </c>
      <c r="Y47" s="14" t="s">
        <v>194</v>
      </c>
      <c r="Z47" s="14" t="s">
        <v>31</v>
      </c>
      <c r="AA47" s="14" t="s">
        <v>4503</v>
      </c>
      <c r="AB47" s="14">
        <v>1</v>
      </c>
      <c r="AC47" s="14" t="s">
        <v>194</v>
      </c>
      <c r="AD47" s="14">
        <v>0</v>
      </c>
      <c r="AE47" s="14" t="s">
        <v>626</v>
      </c>
      <c r="AF47" s="14" t="s">
        <v>626</v>
      </c>
      <c r="AG47" s="14" t="s">
        <v>626</v>
      </c>
      <c r="AH47" s="14" t="s">
        <v>4191</v>
      </c>
      <c r="AI47" s="14" t="s">
        <v>4191</v>
      </c>
      <c r="AJ47" s="14" t="s">
        <v>194</v>
      </c>
      <c r="AK47" s="14" t="s">
        <v>194</v>
      </c>
      <c r="AL47" s="14" t="s">
        <v>194</v>
      </c>
      <c r="AM47" s="14" t="s">
        <v>194</v>
      </c>
      <c r="AN47" s="14" t="s">
        <v>194</v>
      </c>
      <c r="AO47" s="14" t="s">
        <v>194</v>
      </c>
      <c r="AP47" s="14" t="s">
        <v>194</v>
      </c>
      <c r="AQ47" s="14" t="s">
        <v>2890</v>
      </c>
      <c r="AR47" s="14" t="s">
        <v>4512</v>
      </c>
      <c r="BF47" s="1"/>
      <c r="BG47" s="1"/>
      <c r="BH47" s="1"/>
      <c r="BI47" s="1"/>
      <c r="BJ47" s="1"/>
      <c r="BK47" s="1"/>
      <c r="BL47" s="1"/>
      <c r="BM47" s="1"/>
    </row>
    <row r="48" spans="1:65" ht="105" hidden="1" x14ac:dyDescent="0.25">
      <c r="A48" s="1" t="s">
        <v>72</v>
      </c>
      <c r="B48" s="1" t="s">
        <v>73</v>
      </c>
      <c r="C48" s="1" t="s">
        <v>26</v>
      </c>
      <c r="D48" s="1" t="s">
        <v>27</v>
      </c>
      <c r="E48" s="1" t="s">
        <v>28</v>
      </c>
      <c r="F48" s="1" t="s">
        <v>29</v>
      </c>
      <c r="G48" s="11" t="s">
        <v>6</v>
      </c>
      <c r="H48" s="11" t="s">
        <v>4684</v>
      </c>
      <c r="I48" s="1" t="s">
        <v>30</v>
      </c>
      <c r="J48" s="1" t="s">
        <v>2133</v>
      </c>
      <c r="K48" s="1" t="s">
        <v>2144</v>
      </c>
      <c r="L48" s="1" t="s">
        <v>1329</v>
      </c>
      <c r="M48" s="1" t="s">
        <v>562</v>
      </c>
      <c r="N48" s="1" t="s">
        <v>1330</v>
      </c>
      <c r="O48" s="1" t="s">
        <v>1164</v>
      </c>
      <c r="P48" s="1" t="s">
        <v>1339</v>
      </c>
      <c r="Q48" s="1" t="s">
        <v>194</v>
      </c>
      <c r="R48" s="1" t="s">
        <v>2</v>
      </c>
      <c r="S48" s="1" t="s">
        <v>576</v>
      </c>
      <c r="T48" s="1" t="s">
        <v>643</v>
      </c>
      <c r="U48" s="1" t="s">
        <v>31</v>
      </c>
      <c r="V48" s="1" t="s">
        <v>2</v>
      </c>
      <c r="W48" s="14" t="s">
        <v>2</v>
      </c>
      <c r="X48" s="14" t="s">
        <v>4650</v>
      </c>
      <c r="Y48" s="14" t="s">
        <v>194</v>
      </c>
      <c r="Z48" s="14" t="s">
        <v>31</v>
      </c>
      <c r="AA48" s="14" t="s">
        <v>4506</v>
      </c>
      <c r="AB48" s="14">
        <v>1</v>
      </c>
      <c r="AC48" s="14" t="s">
        <v>194</v>
      </c>
      <c r="AD48" s="14">
        <v>0</v>
      </c>
      <c r="AE48" s="14" t="s">
        <v>626</v>
      </c>
      <c r="AF48" s="14" t="s">
        <v>626</v>
      </c>
      <c r="AG48" s="14" t="s">
        <v>626</v>
      </c>
      <c r="AH48" s="14" t="s">
        <v>4191</v>
      </c>
      <c r="AI48" s="14" t="s">
        <v>4191</v>
      </c>
      <c r="AJ48" s="14" t="s">
        <v>194</v>
      </c>
      <c r="AK48" s="14" t="s">
        <v>194</v>
      </c>
      <c r="AL48" s="14" t="s">
        <v>194</v>
      </c>
      <c r="AM48" s="14" t="s">
        <v>194</v>
      </c>
      <c r="AN48" s="14" t="s">
        <v>194</v>
      </c>
      <c r="AO48" s="14" t="s">
        <v>194</v>
      </c>
      <c r="AP48" s="14" t="s">
        <v>194</v>
      </c>
      <c r="AQ48" s="14" t="s">
        <v>2890</v>
      </c>
      <c r="AR48" s="14" t="s">
        <v>4512</v>
      </c>
      <c r="BF48" s="1"/>
      <c r="BG48" s="1"/>
      <c r="BH48" s="1"/>
      <c r="BI48" s="1"/>
      <c r="BJ48" s="1"/>
      <c r="BK48" s="1"/>
      <c r="BL48" s="1"/>
      <c r="BM48" s="1"/>
    </row>
    <row r="49" spans="1:65" ht="105" hidden="1" x14ac:dyDescent="0.25">
      <c r="A49" s="1" t="s">
        <v>1344</v>
      </c>
      <c r="B49" s="1" t="s">
        <v>1870</v>
      </c>
      <c r="C49" s="1" t="s">
        <v>26</v>
      </c>
      <c r="D49" s="1" t="s">
        <v>27</v>
      </c>
      <c r="E49" s="1" t="s">
        <v>34</v>
      </c>
      <c r="F49" s="1" t="s">
        <v>50</v>
      </c>
      <c r="G49" s="11" t="s">
        <v>1417</v>
      </c>
      <c r="H49" s="11" t="s">
        <v>4685</v>
      </c>
      <c r="I49" s="1" t="s">
        <v>82</v>
      </c>
      <c r="J49" s="1" t="s">
        <v>2135</v>
      </c>
      <c r="K49" s="1" t="s">
        <v>2145</v>
      </c>
      <c r="L49" s="1" t="s">
        <v>1329</v>
      </c>
      <c r="M49" s="1" t="s">
        <v>1331</v>
      </c>
      <c r="N49" s="1" t="s">
        <v>1330</v>
      </c>
      <c r="O49" s="1" t="s">
        <v>1164</v>
      </c>
      <c r="P49" s="1" t="s">
        <v>1339</v>
      </c>
      <c r="Q49" s="1" t="s">
        <v>194</v>
      </c>
      <c r="R49" s="1" t="s">
        <v>32</v>
      </c>
      <c r="S49" s="1" t="s">
        <v>2170</v>
      </c>
      <c r="T49" s="1" t="s">
        <v>643</v>
      </c>
      <c r="U49" s="1" t="s">
        <v>31</v>
      </c>
      <c r="V49" s="1" t="s">
        <v>90</v>
      </c>
      <c r="W49" s="14" t="s">
        <v>2</v>
      </c>
      <c r="X49" s="14" t="s">
        <v>4650</v>
      </c>
      <c r="Y49" s="14" t="s">
        <v>194</v>
      </c>
      <c r="Z49" s="14" t="s">
        <v>31</v>
      </c>
      <c r="AA49" s="14" t="s">
        <v>4503</v>
      </c>
      <c r="AB49" s="14">
        <v>1</v>
      </c>
      <c r="AC49" s="14" t="s">
        <v>194</v>
      </c>
      <c r="AD49" s="14">
        <v>0</v>
      </c>
      <c r="AE49" s="14" t="s">
        <v>626</v>
      </c>
      <c r="AF49" s="14" t="s">
        <v>4191</v>
      </c>
      <c r="AG49" s="14" t="s">
        <v>4191</v>
      </c>
      <c r="AH49" s="14" t="s">
        <v>4191</v>
      </c>
      <c r="AI49" s="14" t="s">
        <v>4191</v>
      </c>
      <c r="AJ49" s="14" t="s">
        <v>194</v>
      </c>
      <c r="AK49" s="14" t="s">
        <v>194</v>
      </c>
      <c r="AL49" s="14" t="s">
        <v>194</v>
      </c>
      <c r="AM49" s="14" t="s">
        <v>194</v>
      </c>
      <c r="AN49" s="14" t="s">
        <v>194</v>
      </c>
      <c r="AO49" s="14" t="s">
        <v>194</v>
      </c>
      <c r="AP49" s="14" t="s">
        <v>194</v>
      </c>
      <c r="AQ49" s="14" t="s">
        <v>2890</v>
      </c>
      <c r="AR49" s="14" t="s">
        <v>4512</v>
      </c>
      <c r="BF49" s="1"/>
      <c r="BG49" s="1"/>
      <c r="BH49" s="1"/>
      <c r="BI49" s="1"/>
      <c r="BJ49" s="1"/>
      <c r="BK49" s="1"/>
      <c r="BL49" s="1"/>
      <c r="BM49" s="1"/>
    </row>
    <row r="50" spans="1:65" ht="105" hidden="1" x14ac:dyDescent="0.25">
      <c r="A50" s="1" t="s">
        <v>74</v>
      </c>
      <c r="B50" s="1" t="s">
        <v>75</v>
      </c>
      <c r="C50" s="1" t="s">
        <v>76</v>
      </c>
      <c r="D50" s="1" t="s">
        <v>27</v>
      </c>
      <c r="E50" s="1" t="s">
        <v>34</v>
      </c>
      <c r="F50" s="1" t="s">
        <v>50</v>
      </c>
      <c r="G50" s="11" t="s">
        <v>1228</v>
      </c>
      <c r="H50" s="11" t="s">
        <v>4686</v>
      </c>
      <c r="I50" s="1" t="s">
        <v>77</v>
      </c>
      <c r="J50" s="1" t="s">
        <v>2146</v>
      </c>
      <c r="K50" s="1" t="s">
        <v>2147</v>
      </c>
      <c r="L50" s="1" t="s">
        <v>1329</v>
      </c>
      <c r="M50" s="1" t="s">
        <v>1331</v>
      </c>
      <c r="N50" s="1" t="s">
        <v>1330</v>
      </c>
      <c r="O50" s="1" t="s">
        <v>1164</v>
      </c>
      <c r="P50" s="1" t="s">
        <v>1339</v>
      </c>
      <c r="Q50" s="1" t="s">
        <v>194</v>
      </c>
      <c r="R50" s="1" t="s">
        <v>32</v>
      </c>
      <c r="S50" s="1" t="s">
        <v>2170</v>
      </c>
      <c r="T50" s="1" t="s">
        <v>643</v>
      </c>
      <c r="U50" s="1" t="s">
        <v>31</v>
      </c>
      <c r="V50" s="1" t="s">
        <v>36</v>
      </c>
      <c r="W50" s="14" t="s">
        <v>2</v>
      </c>
      <c r="X50" s="14" t="s">
        <v>4663</v>
      </c>
      <c r="Y50" s="14" t="s">
        <v>194</v>
      </c>
      <c r="Z50" s="14" t="s">
        <v>31</v>
      </c>
      <c r="AA50" s="14" t="s">
        <v>4503</v>
      </c>
      <c r="AB50" s="14">
        <v>1</v>
      </c>
      <c r="AC50" s="14" t="s">
        <v>4504</v>
      </c>
      <c r="AD50" s="14">
        <v>2</v>
      </c>
      <c r="AE50" s="14" t="s">
        <v>626</v>
      </c>
      <c r="AF50" s="14" t="s">
        <v>626</v>
      </c>
      <c r="AG50" s="14" t="s">
        <v>626</v>
      </c>
      <c r="AH50" s="14" t="s">
        <v>4191</v>
      </c>
      <c r="AI50" s="14" t="s">
        <v>4191</v>
      </c>
      <c r="AJ50" s="14" t="s">
        <v>194</v>
      </c>
      <c r="AK50" s="14" t="s">
        <v>194</v>
      </c>
      <c r="AL50" s="14" t="s">
        <v>194</v>
      </c>
      <c r="AM50" s="14" t="s">
        <v>194</v>
      </c>
      <c r="AN50" s="14" t="s">
        <v>194</v>
      </c>
      <c r="AO50" s="14" t="s">
        <v>194</v>
      </c>
      <c r="AP50" s="14" t="s">
        <v>194</v>
      </c>
      <c r="AQ50" s="14" t="s">
        <v>606</v>
      </c>
      <c r="AR50" s="14" t="s">
        <v>4512</v>
      </c>
      <c r="BF50" s="1"/>
      <c r="BG50" s="1"/>
      <c r="BH50" s="1"/>
      <c r="BI50" s="1"/>
      <c r="BJ50" s="1"/>
      <c r="BK50" s="1"/>
      <c r="BL50" s="1"/>
      <c r="BM50" s="1"/>
    </row>
    <row r="51" spans="1:65" ht="105" hidden="1" x14ac:dyDescent="0.25">
      <c r="A51" s="1" t="s">
        <v>79</v>
      </c>
      <c r="B51" s="1" t="s">
        <v>80</v>
      </c>
      <c r="C51" s="1" t="s">
        <v>76</v>
      </c>
      <c r="D51" s="1" t="s">
        <v>27</v>
      </c>
      <c r="E51" s="1" t="s">
        <v>34</v>
      </c>
      <c r="F51" s="1" t="s">
        <v>50</v>
      </c>
      <c r="G51" s="11" t="s">
        <v>81</v>
      </c>
      <c r="H51" s="11" t="s">
        <v>4685</v>
      </c>
      <c r="I51" s="1" t="s">
        <v>82</v>
      </c>
      <c r="J51" s="1" t="s">
        <v>2148</v>
      </c>
      <c r="K51" s="1" t="s">
        <v>2148</v>
      </c>
      <c r="L51" s="1" t="s">
        <v>1329</v>
      </c>
      <c r="M51" s="1" t="s">
        <v>1331</v>
      </c>
      <c r="N51" s="1" t="s">
        <v>1330</v>
      </c>
      <c r="O51" s="1" t="s">
        <v>1164</v>
      </c>
      <c r="P51" s="1" t="s">
        <v>1339</v>
      </c>
      <c r="Q51" s="1" t="s">
        <v>194</v>
      </c>
      <c r="R51" s="1" t="s">
        <v>32</v>
      </c>
      <c r="S51" s="1" t="s">
        <v>2170</v>
      </c>
      <c r="T51" s="1" t="s">
        <v>643</v>
      </c>
      <c r="U51" s="1" t="s">
        <v>31</v>
      </c>
      <c r="V51" s="1" t="s">
        <v>36</v>
      </c>
      <c r="W51" s="14" t="s">
        <v>2</v>
      </c>
      <c r="X51" s="14" t="s">
        <v>4650</v>
      </c>
      <c r="Y51" s="14" t="s">
        <v>194</v>
      </c>
      <c r="Z51" s="14" t="s">
        <v>31</v>
      </c>
      <c r="AA51" s="14" t="s">
        <v>4503</v>
      </c>
      <c r="AB51" s="14">
        <v>1</v>
      </c>
      <c r="AC51" s="14" t="s">
        <v>194</v>
      </c>
      <c r="AD51" s="14">
        <v>0</v>
      </c>
      <c r="AE51" s="14" t="s">
        <v>626</v>
      </c>
      <c r="AF51" s="14" t="s">
        <v>4191</v>
      </c>
      <c r="AG51" s="14" t="s">
        <v>4191</v>
      </c>
      <c r="AH51" s="14" t="s">
        <v>4191</v>
      </c>
      <c r="AI51" s="14" t="s">
        <v>4191</v>
      </c>
      <c r="AJ51" s="14" t="s">
        <v>194</v>
      </c>
      <c r="AK51" s="14" t="s">
        <v>194</v>
      </c>
      <c r="AL51" s="14" t="s">
        <v>194</v>
      </c>
      <c r="AM51" s="14" t="s">
        <v>194</v>
      </c>
      <c r="AN51" s="14" t="s">
        <v>194</v>
      </c>
      <c r="AO51" s="14" t="s">
        <v>194</v>
      </c>
      <c r="AP51" s="14" t="s">
        <v>194</v>
      </c>
      <c r="AQ51" s="14" t="s">
        <v>2890</v>
      </c>
      <c r="AR51" s="14" t="s">
        <v>4512</v>
      </c>
      <c r="BF51" s="1"/>
      <c r="BG51" s="1"/>
      <c r="BH51" s="1"/>
      <c r="BI51" s="1"/>
      <c r="BJ51" s="1"/>
      <c r="BK51" s="1"/>
      <c r="BL51" s="1"/>
      <c r="BM51" s="1"/>
    </row>
    <row r="52" spans="1:65" ht="105" hidden="1" x14ac:dyDescent="0.25">
      <c r="A52" s="1" t="s">
        <v>83</v>
      </c>
      <c r="B52" s="1" t="s">
        <v>84</v>
      </c>
      <c r="C52" s="1" t="s">
        <v>76</v>
      </c>
      <c r="D52" s="1" t="s">
        <v>27</v>
      </c>
      <c r="E52" s="1" t="s">
        <v>28</v>
      </c>
      <c r="F52" s="1" t="s">
        <v>50</v>
      </c>
      <c r="G52" s="11" t="s">
        <v>85</v>
      </c>
      <c r="H52" s="11" t="s">
        <v>4687</v>
      </c>
      <c r="I52" s="1" t="s">
        <v>71</v>
      </c>
      <c r="J52" s="1" t="s">
        <v>2148</v>
      </c>
      <c r="K52" s="1" t="s">
        <v>2148</v>
      </c>
      <c r="L52" s="1" t="s">
        <v>1329</v>
      </c>
      <c r="M52" s="1" t="s">
        <v>1331</v>
      </c>
      <c r="N52" s="1" t="s">
        <v>1330</v>
      </c>
      <c r="O52" s="1" t="s">
        <v>1164</v>
      </c>
      <c r="P52" s="1" t="s">
        <v>1339</v>
      </c>
      <c r="Q52" s="1" t="s">
        <v>194</v>
      </c>
      <c r="R52" s="1" t="s">
        <v>32</v>
      </c>
      <c r="S52" s="1" t="s">
        <v>2170</v>
      </c>
      <c r="T52" s="1" t="s">
        <v>643</v>
      </c>
      <c r="U52" s="1" t="s">
        <v>31</v>
      </c>
      <c r="V52" s="1" t="s">
        <v>36</v>
      </c>
      <c r="W52" s="14" t="s">
        <v>2</v>
      </c>
      <c r="X52" s="14" t="s">
        <v>4650</v>
      </c>
      <c r="Y52" s="14" t="s">
        <v>194</v>
      </c>
      <c r="Z52" s="14" t="s">
        <v>31</v>
      </c>
      <c r="AA52" s="14" t="s">
        <v>4503</v>
      </c>
      <c r="AB52" s="14">
        <v>1</v>
      </c>
      <c r="AC52" s="14" t="s">
        <v>4509</v>
      </c>
      <c r="AD52" s="14">
        <v>3</v>
      </c>
      <c r="AE52" s="14" t="s">
        <v>626</v>
      </c>
      <c r="AF52" s="14" t="s">
        <v>4191</v>
      </c>
      <c r="AG52" s="14" t="s">
        <v>626</v>
      </c>
      <c r="AH52" s="14" t="s">
        <v>4191</v>
      </c>
      <c r="AI52" s="14" t="s">
        <v>4191</v>
      </c>
      <c r="AJ52" s="14" t="s">
        <v>194</v>
      </c>
      <c r="AK52" s="14" t="s">
        <v>194</v>
      </c>
      <c r="AL52" s="14" t="s">
        <v>194</v>
      </c>
      <c r="AM52" s="14" t="s">
        <v>194</v>
      </c>
      <c r="AN52" s="14" t="s">
        <v>194</v>
      </c>
      <c r="AO52" s="14" t="s">
        <v>194</v>
      </c>
      <c r="AP52" s="14" t="s">
        <v>194</v>
      </c>
      <c r="AQ52" s="14" t="s">
        <v>2890</v>
      </c>
      <c r="AR52" s="14" t="s">
        <v>4512</v>
      </c>
      <c r="BF52" s="1"/>
      <c r="BG52" s="1"/>
      <c r="BH52" s="1"/>
      <c r="BI52" s="1"/>
      <c r="BJ52" s="1"/>
      <c r="BK52" s="1"/>
      <c r="BL52" s="1"/>
      <c r="BM52" s="1"/>
    </row>
    <row r="53" spans="1:65" ht="135" hidden="1" x14ac:dyDescent="0.25">
      <c r="A53" s="1" t="s">
        <v>86</v>
      </c>
      <c r="B53" s="1" t="s">
        <v>87</v>
      </c>
      <c r="C53" s="1" t="s">
        <v>26</v>
      </c>
      <c r="D53" s="1" t="s">
        <v>27</v>
      </c>
      <c r="E53" s="1" t="s">
        <v>28</v>
      </c>
      <c r="F53" s="1" t="s">
        <v>50</v>
      </c>
      <c r="G53" s="11" t="s">
        <v>88</v>
      </c>
      <c r="H53" s="11" t="s">
        <v>4688</v>
      </c>
      <c r="I53" s="1" t="s">
        <v>89</v>
      </c>
      <c r="J53" s="1" t="s">
        <v>2138</v>
      </c>
      <c r="K53" s="1" t="s">
        <v>2139</v>
      </c>
      <c r="L53" s="1" t="s">
        <v>1329</v>
      </c>
      <c r="M53" s="1" t="s">
        <v>1331</v>
      </c>
      <c r="N53" s="1" t="s">
        <v>1330</v>
      </c>
      <c r="O53" s="1" t="s">
        <v>1342</v>
      </c>
      <c r="P53" s="1" t="s">
        <v>1339</v>
      </c>
      <c r="Q53" s="1" t="s">
        <v>194</v>
      </c>
      <c r="R53" s="1" t="s">
        <v>32</v>
      </c>
      <c r="S53" s="1" t="s">
        <v>2170</v>
      </c>
      <c r="T53" s="1" t="s">
        <v>4656</v>
      </c>
      <c r="U53" s="1" t="s">
        <v>31</v>
      </c>
      <c r="V53" s="1" t="s">
        <v>90</v>
      </c>
      <c r="W53" s="14" t="s">
        <v>2</v>
      </c>
      <c r="X53" s="14" t="s">
        <v>4650</v>
      </c>
      <c r="Y53" s="14" t="s">
        <v>4516</v>
      </c>
      <c r="Z53" s="14" t="s">
        <v>31</v>
      </c>
      <c r="AA53" s="14" t="s">
        <v>4503</v>
      </c>
      <c r="AB53" s="14">
        <v>2</v>
      </c>
      <c r="AC53" s="14" t="s">
        <v>4509</v>
      </c>
      <c r="AD53" s="14">
        <v>2</v>
      </c>
      <c r="AE53" s="14" t="s">
        <v>626</v>
      </c>
      <c r="AF53" s="14" t="s">
        <v>4191</v>
      </c>
      <c r="AG53" s="14" t="s">
        <v>4191</v>
      </c>
      <c r="AH53" s="14" t="s">
        <v>4191</v>
      </c>
      <c r="AI53" s="14" t="s">
        <v>4191</v>
      </c>
      <c r="AJ53" s="14" t="s">
        <v>194</v>
      </c>
      <c r="AK53" s="14" t="s">
        <v>194</v>
      </c>
      <c r="AL53" s="14" t="s">
        <v>194</v>
      </c>
      <c r="AM53" s="14" t="s">
        <v>194</v>
      </c>
      <c r="AN53" s="14" t="s">
        <v>194</v>
      </c>
      <c r="AO53" s="14" t="s">
        <v>194</v>
      </c>
      <c r="AP53" s="14" t="s">
        <v>194</v>
      </c>
      <c r="AQ53" s="14" t="s">
        <v>2890</v>
      </c>
      <c r="AR53" s="14" t="s">
        <v>4512</v>
      </c>
      <c r="BF53" s="1"/>
      <c r="BG53" s="1"/>
      <c r="BH53" s="1"/>
      <c r="BI53" s="1"/>
      <c r="BJ53" s="1"/>
      <c r="BK53" s="1"/>
      <c r="BL53" s="1"/>
      <c r="BM53" s="1"/>
    </row>
    <row r="54" spans="1:65" ht="120" hidden="1" x14ac:dyDescent="0.25">
      <c r="A54" s="1" t="s">
        <v>91</v>
      </c>
      <c r="B54" s="1" t="s">
        <v>92</v>
      </c>
      <c r="C54" s="1" t="s">
        <v>26</v>
      </c>
      <c r="D54" s="1" t="s">
        <v>27</v>
      </c>
      <c r="E54" s="1" t="s">
        <v>28</v>
      </c>
      <c r="F54" s="1" t="s">
        <v>50</v>
      </c>
      <c r="G54" s="11" t="s">
        <v>93</v>
      </c>
      <c r="H54" s="11" t="s">
        <v>4689</v>
      </c>
      <c r="I54" s="1" t="s">
        <v>94</v>
      </c>
      <c r="J54" s="1" t="s">
        <v>2149</v>
      </c>
      <c r="K54" s="1" t="s">
        <v>2150</v>
      </c>
      <c r="L54" s="1" t="s">
        <v>1329</v>
      </c>
      <c r="M54" s="1" t="s">
        <v>1331</v>
      </c>
      <c r="N54" s="1" t="s">
        <v>1330</v>
      </c>
      <c r="O54" s="1" t="s">
        <v>1342</v>
      </c>
      <c r="P54" s="1" t="s">
        <v>1339</v>
      </c>
      <c r="Q54" s="1" t="s">
        <v>194</v>
      </c>
      <c r="R54" s="1" t="s">
        <v>32</v>
      </c>
      <c r="S54" s="1" t="s">
        <v>2170</v>
      </c>
      <c r="T54" s="1" t="s">
        <v>4656</v>
      </c>
      <c r="U54" s="1" t="s">
        <v>31</v>
      </c>
      <c r="V54" s="1" t="s">
        <v>2</v>
      </c>
      <c r="W54" s="14" t="s">
        <v>2</v>
      </c>
      <c r="X54" s="14" t="s">
        <v>4650</v>
      </c>
      <c r="Y54" s="14" t="s">
        <v>4517</v>
      </c>
      <c r="Z54" s="14" t="s">
        <v>31</v>
      </c>
      <c r="AA54" s="14" t="s">
        <v>4503</v>
      </c>
      <c r="AB54" s="14">
        <v>2</v>
      </c>
      <c r="AC54" s="14" t="s">
        <v>4509</v>
      </c>
      <c r="AD54" s="14">
        <v>2</v>
      </c>
      <c r="AE54" s="14" t="s">
        <v>626</v>
      </c>
      <c r="AF54" s="14" t="s">
        <v>4191</v>
      </c>
      <c r="AG54" s="14" t="s">
        <v>4191</v>
      </c>
      <c r="AH54" s="14" t="s">
        <v>4191</v>
      </c>
      <c r="AI54" s="14" t="s">
        <v>4191</v>
      </c>
      <c r="AJ54" s="14" t="s">
        <v>194</v>
      </c>
      <c r="AK54" s="14" t="s">
        <v>194</v>
      </c>
      <c r="AL54" s="14" t="s">
        <v>194</v>
      </c>
      <c r="AM54" s="14" t="s">
        <v>194</v>
      </c>
      <c r="AN54" s="14" t="s">
        <v>194</v>
      </c>
      <c r="AO54" s="14" t="s">
        <v>194</v>
      </c>
      <c r="AP54" s="14" t="s">
        <v>194</v>
      </c>
      <c r="AQ54" s="14" t="s">
        <v>2890</v>
      </c>
      <c r="AR54" s="14" t="s">
        <v>4512</v>
      </c>
      <c r="BF54" s="1"/>
      <c r="BG54" s="1"/>
      <c r="BH54" s="1"/>
      <c r="BI54" s="1"/>
      <c r="BJ54" s="1"/>
      <c r="BK54" s="1"/>
      <c r="BL54" s="1"/>
      <c r="BM54" s="1"/>
    </row>
    <row r="55" spans="1:65" ht="135" hidden="1" x14ac:dyDescent="0.25">
      <c r="A55" s="1" t="s">
        <v>8</v>
      </c>
      <c r="B55" s="1" t="s">
        <v>95</v>
      </c>
      <c r="C55" s="1" t="s">
        <v>26</v>
      </c>
      <c r="D55" s="1" t="s">
        <v>27</v>
      </c>
      <c r="E55" s="1" t="s">
        <v>28</v>
      </c>
      <c r="F55" s="1" t="s">
        <v>50</v>
      </c>
      <c r="G55" s="11" t="s">
        <v>96</v>
      </c>
      <c r="H55" s="11" t="s">
        <v>4688</v>
      </c>
      <c r="I55" s="1" t="s">
        <v>94</v>
      </c>
      <c r="J55" s="1" t="s">
        <v>2149</v>
      </c>
      <c r="K55" s="1" t="s">
        <v>2151</v>
      </c>
      <c r="L55" s="1" t="s">
        <v>1329</v>
      </c>
      <c r="M55" s="1" t="s">
        <v>1331</v>
      </c>
      <c r="N55" s="1" t="s">
        <v>1330</v>
      </c>
      <c r="O55" s="1" t="s">
        <v>1342</v>
      </c>
      <c r="P55" s="1" t="s">
        <v>1339</v>
      </c>
      <c r="Q55" s="1" t="s">
        <v>194</v>
      </c>
      <c r="R55" s="1" t="s">
        <v>32</v>
      </c>
      <c r="S55" s="1" t="s">
        <v>2170</v>
      </c>
      <c r="T55" s="1" t="s">
        <v>4656</v>
      </c>
      <c r="U55" s="1" t="s">
        <v>31</v>
      </c>
      <c r="V55" s="1" t="s">
        <v>2</v>
      </c>
      <c r="W55" s="14" t="s">
        <v>2</v>
      </c>
      <c r="X55" s="14" t="s">
        <v>4650</v>
      </c>
      <c r="Y55" s="14" t="s">
        <v>4516</v>
      </c>
      <c r="Z55" s="14" t="s">
        <v>31</v>
      </c>
      <c r="AA55" s="14" t="s">
        <v>4503</v>
      </c>
      <c r="AB55" s="14">
        <v>2</v>
      </c>
      <c r="AC55" s="14" t="s">
        <v>4509</v>
      </c>
      <c r="AD55" s="14">
        <v>2</v>
      </c>
      <c r="AE55" s="14" t="s">
        <v>626</v>
      </c>
      <c r="AF55" s="14" t="s">
        <v>4191</v>
      </c>
      <c r="AG55" s="14" t="s">
        <v>4191</v>
      </c>
      <c r="AH55" s="14" t="s">
        <v>4191</v>
      </c>
      <c r="AI55" s="14" t="s">
        <v>4191</v>
      </c>
      <c r="AJ55" s="14" t="s">
        <v>194</v>
      </c>
      <c r="AK55" s="14" t="s">
        <v>194</v>
      </c>
      <c r="AL55" s="14" t="s">
        <v>194</v>
      </c>
      <c r="AM55" s="14" t="s">
        <v>194</v>
      </c>
      <c r="AN55" s="14" t="s">
        <v>194</v>
      </c>
      <c r="AO55" s="14" t="s">
        <v>194</v>
      </c>
      <c r="AP55" s="14" t="s">
        <v>194</v>
      </c>
      <c r="AQ55" s="14" t="s">
        <v>2890</v>
      </c>
      <c r="AR55" s="14" t="s">
        <v>4512</v>
      </c>
      <c r="BF55" s="1"/>
      <c r="BG55" s="1"/>
      <c r="BH55" s="1"/>
      <c r="BI55" s="1"/>
      <c r="BJ55" s="1"/>
      <c r="BK55" s="1"/>
      <c r="BL55" s="1"/>
      <c r="BM55" s="1"/>
    </row>
    <row r="56" spans="1:65" ht="105" hidden="1" x14ac:dyDescent="0.25">
      <c r="A56" s="1" t="s">
        <v>97</v>
      </c>
      <c r="B56" s="1" t="s">
        <v>98</v>
      </c>
      <c r="C56" s="1" t="s">
        <v>26</v>
      </c>
      <c r="D56" s="1" t="s">
        <v>27</v>
      </c>
      <c r="E56" s="1" t="s">
        <v>28</v>
      </c>
      <c r="F56" s="1" t="s">
        <v>29</v>
      </c>
      <c r="G56" s="11" t="s">
        <v>6</v>
      </c>
      <c r="H56" s="11" t="s">
        <v>4684</v>
      </c>
      <c r="I56" s="1" t="s">
        <v>30</v>
      </c>
      <c r="J56" s="1" t="s">
        <v>2152</v>
      </c>
      <c r="K56" s="1" t="s">
        <v>2153</v>
      </c>
      <c r="L56" s="1" t="s">
        <v>1329</v>
      </c>
      <c r="M56" s="1" t="s">
        <v>562</v>
      </c>
      <c r="N56" s="1" t="s">
        <v>1330</v>
      </c>
      <c r="O56" s="1" t="s">
        <v>1164</v>
      </c>
      <c r="P56" s="1" t="s">
        <v>1339</v>
      </c>
      <c r="Q56" s="1" t="s">
        <v>194</v>
      </c>
      <c r="R56" s="1" t="s">
        <v>2</v>
      </c>
      <c r="S56" s="1" t="s">
        <v>576</v>
      </c>
      <c r="T56" s="1" t="s">
        <v>643</v>
      </c>
      <c r="U56" s="1" t="s">
        <v>31</v>
      </c>
      <c r="V56" s="1" t="s">
        <v>90</v>
      </c>
      <c r="W56" s="14" t="s">
        <v>2</v>
      </c>
      <c r="X56" s="14" t="s">
        <v>4650</v>
      </c>
      <c r="Y56" s="14" t="s">
        <v>194</v>
      </c>
      <c r="Z56" s="14" t="s">
        <v>31</v>
      </c>
      <c r="AA56" s="14" t="s">
        <v>4506</v>
      </c>
      <c r="AB56" s="14">
        <v>1</v>
      </c>
      <c r="AC56" s="14" t="s">
        <v>194</v>
      </c>
      <c r="AD56" s="14">
        <v>0</v>
      </c>
      <c r="AE56" s="14" t="s">
        <v>626</v>
      </c>
      <c r="AF56" s="14" t="s">
        <v>626</v>
      </c>
      <c r="AG56" s="14" t="s">
        <v>626</v>
      </c>
      <c r="AH56" s="14" t="s">
        <v>4191</v>
      </c>
      <c r="AI56" s="14" t="s">
        <v>4191</v>
      </c>
      <c r="AJ56" s="14" t="s">
        <v>194</v>
      </c>
      <c r="AK56" s="14" t="s">
        <v>194</v>
      </c>
      <c r="AL56" s="14" t="s">
        <v>194</v>
      </c>
      <c r="AM56" s="14" t="s">
        <v>194</v>
      </c>
      <c r="AN56" s="14" t="s">
        <v>194</v>
      </c>
      <c r="AO56" s="14" t="s">
        <v>194</v>
      </c>
      <c r="AP56" s="14" t="s">
        <v>194</v>
      </c>
      <c r="AQ56" s="14" t="s">
        <v>2890</v>
      </c>
      <c r="AR56" s="14" t="s">
        <v>4512</v>
      </c>
      <c r="BF56" s="1"/>
      <c r="BG56" s="1"/>
      <c r="BH56" s="1"/>
      <c r="BI56" s="1"/>
      <c r="BJ56" s="1"/>
      <c r="BK56" s="1"/>
      <c r="BL56" s="1"/>
      <c r="BM56" s="1"/>
    </row>
    <row r="57" spans="1:65" ht="135" hidden="1" x14ac:dyDescent="0.25">
      <c r="A57" s="1" t="s">
        <v>99</v>
      </c>
      <c r="B57" s="1" t="s">
        <v>100</v>
      </c>
      <c r="C57" s="1" t="s">
        <v>26</v>
      </c>
      <c r="D57" s="1" t="s">
        <v>27</v>
      </c>
      <c r="E57" s="1" t="s">
        <v>28</v>
      </c>
      <c r="F57" s="1" t="s">
        <v>50</v>
      </c>
      <c r="G57" s="11" t="s">
        <v>101</v>
      </c>
      <c r="H57" s="11" t="s">
        <v>4690</v>
      </c>
      <c r="I57" s="1" t="s">
        <v>77</v>
      </c>
      <c r="J57" s="1" t="s">
        <v>2152</v>
      </c>
      <c r="K57" s="1" t="s">
        <v>2154</v>
      </c>
      <c r="L57" s="1" t="s">
        <v>1329</v>
      </c>
      <c r="M57" s="1" t="s">
        <v>1331</v>
      </c>
      <c r="N57" s="1" t="s">
        <v>1330</v>
      </c>
      <c r="O57" s="1" t="s">
        <v>1164</v>
      </c>
      <c r="P57" s="1" t="s">
        <v>1339</v>
      </c>
      <c r="Q57" s="1" t="s">
        <v>194</v>
      </c>
      <c r="R57" s="1" t="s">
        <v>32</v>
      </c>
      <c r="S57" s="1" t="s">
        <v>2170</v>
      </c>
      <c r="T57" s="1" t="s">
        <v>643</v>
      </c>
      <c r="U57" s="1" t="s">
        <v>31</v>
      </c>
      <c r="V57" s="1" t="s">
        <v>90</v>
      </c>
      <c r="W57" s="14" t="s">
        <v>2</v>
      </c>
      <c r="X57" s="14" t="s">
        <v>4650</v>
      </c>
      <c r="Y57" s="14" t="s">
        <v>4518</v>
      </c>
      <c r="Z57" s="14" t="s">
        <v>31</v>
      </c>
      <c r="AA57" s="14" t="s">
        <v>4503</v>
      </c>
      <c r="AB57" s="14">
        <v>2</v>
      </c>
      <c r="AC57" s="14" t="s">
        <v>4504</v>
      </c>
      <c r="AD57" s="14">
        <v>2</v>
      </c>
      <c r="AE57" s="14" t="s">
        <v>626</v>
      </c>
      <c r="AF57" s="14" t="s">
        <v>4191</v>
      </c>
      <c r="AG57" s="14" t="s">
        <v>4191</v>
      </c>
      <c r="AH57" s="14" t="s">
        <v>4191</v>
      </c>
      <c r="AI57" s="14" t="s">
        <v>4191</v>
      </c>
      <c r="AJ57" s="14" t="s">
        <v>194</v>
      </c>
      <c r="AK57" s="14" t="s">
        <v>194</v>
      </c>
      <c r="AL57" s="14" t="s">
        <v>194</v>
      </c>
      <c r="AM57" s="14" t="s">
        <v>194</v>
      </c>
      <c r="AN57" s="14" t="s">
        <v>194</v>
      </c>
      <c r="AO57" s="14" t="s">
        <v>194</v>
      </c>
      <c r="AP57" s="14" t="s">
        <v>194</v>
      </c>
      <c r="AQ57" s="14" t="s">
        <v>2890</v>
      </c>
      <c r="AR57" s="14" t="s">
        <v>4512</v>
      </c>
      <c r="BF57" s="1"/>
      <c r="BG57" s="1"/>
      <c r="BH57" s="1"/>
      <c r="BI57" s="1"/>
      <c r="BJ57" s="1"/>
      <c r="BK57" s="1"/>
      <c r="BL57" s="1"/>
      <c r="BM57" s="1"/>
    </row>
    <row r="58" spans="1:65" ht="120" hidden="1" x14ac:dyDescent="0.25">
      <c r="A58" s="1" t="s">
        <v>102</v>
      </c>
      <c r="B58" s="1" t="s">
        <v>103</v>
      </c>
      <c r="C58" s="1" t="s">
        <v>26</v>
      </c>
      <c r="D58" s="1" t="s">
        <v>27</v>
      </c>
      <c r="E58" s="1" t="s">
        <v>28</v>
      </c>
      <c r="F58" s="1" t="s">
        <v>50</v>
      </c>
      <c r="G58" s="11" t="s">
        <v>104</v>
      </c>
      <c r="H58" s="11" t="s">
        <v>4691</v>
      </c>
      <c r="I58" s="1" t="s">
        <v>77</v>
      </c>
      <c r="J58" s="1" t="s">
        <v>2155</v>
      </c>
      <c r="K58" s="1" t="s">
        <v>2155</v>
      </c>
      <c r="L58" s="1" t="s">
        <v>1329</v>
      </c>
      <c r="M58" s="1" t="s">
        <v>1331</v>
      </c>
      <c r="N58" s="1" t="s">
        <v>1330</v>
      </c>
      <c r="O58" s="1" t="s">
        <v>1342</v>
      </c>
      <c r="P58" s="1" t="s">
        <v>1339</v>
      </c>
      <c r="Q58" s="1" t="s">
        <v>194</v>
      </c>
      <c r="R58" s="1" t="s">
        <v>32</v>
      </c>
      <c r="S58" s="1" t="s">
        <v>2170</v>
      </c>
      <c r="T58" s="1" t="s">
        <v>4656</v>
      </c>
      <c r="U58" s="1" t="s">
        <v>31</v>
      </c>
      <c r="V58" s="1" t="s">
        <v>90</v>
      </c>
      <c r="W58" s="14" t="s">
        <v>2</v>
      </c>
      <c r="X58" s="14" t="s">
        <v>4650</v>
      </c>
      <c r="Y58" s="14" t="s">
        <v>4519</v>
      </c>
      <c r="Z58" s="14" t="s">
        <v>31</v>
      </c>
      <c r="AA58" s="14" t="s">
        <v>4503</v>
      </c>
      <c r="AB58" s="14">
        <v>2</v>
      </c>
      <c r="AC58" s="14" t="s">
        <v>4504</v>
      </c>
      <c r="AD58" s="14">
        <v>2</v>
      </c>
      <c r="AE58" s="14" t="s">
        <v>626</v>
      </c>
      <c r="AF58" s="14" t="s">
        <v>4191</v>
      </c>
      <c r="AG58" s="14" t="s">
        <v>4191</v>
      </c>
      <c r="AH58" s="14" t="s">
        <v>4191</v>
      </c>
      <c r="AI58" s="14" t="s">
        <v>4191</v>
      </c>
      <c r="AJ58" s="14" t="s">
        <v>194</v>
      </c>
      <c r="AK58" s="14" t="s">
        <v>194</v>
      </c>
      <c r="AL58" s="14" t="s">
        <v>194</v>
      </c>
      <c r="AM58" s="14" t="s">
        <v>194</v>
      </c>
      <c r="AN58" s="14" t="s">
        <v>194</v>
      </c>
      <c r="AO58" s="14" t="s">
        <v>194</v>
      </c>
      <c r="AP58" s="14" t="s">
        <v>194</v>
      </c>
      <c r="AQ58" s="14" t="s">
        <v>2890</v>
      </c>
      <c r="AR58" s="14" t="s">
        <v>4512</v>
      </c>
      <c r="BF58" s="1"/>
      <c r="BG58" s="1"/>
      <c r="BH58" s="1"/>
      <c r="BI58" s="1"/>
      <c r="BJ58" s="1"/>
      <c r="BK58" s="1"/>
      <c r="BL58" s="1"/>
      <c r="BM58" s="1"/>
    </row>
    <row r="59" spans="1:65" ht="120" hidden="1" x14ac:dyDescent="0.25">
      <c r="A59" s="1" t="s">
        <v>105</v>
      </c>
      <c r="B59" s="1" t="s">
        <v>106</v>
      </c>
      <c r="C59" s="1" t="s">
        <v>26</v>
      </c>
      <c r="D59" s="1" t="s">
        <v>27</v>
      </c>
      <c r="E59" s="1" t="s">
        <v>28</v>
      </c>
      <c r="F59" s="1" t="s">
        <v>50</v>
      </c>
      <c r="G59" s="11" t="s">
        <v>107</v>
      </c>
      <c r="H59" s="11" t="s">
        <v>4692</v>
      </c>
      <c r="I59" s="1" t="s">
        <v>94</v>
      </c>
      <c r="J59" s="1" t="s">
        <v>108</v>
      </c>
      <c r="K59" s="1" t="s">
        <v>108</v>
      </c>
      <c r="L59" s="1" t="s">
        <v>1329</v>
      </c>
      <c r="M59" s="1" t="s">
        <v>1331</v>
      </c>
      <c r="N59" s="1" t="s">
        <v>1330</v>
      </c>
      <c r="O59" s="1" t="s">
        <v>1343</v>
      </c>
      <c r="P59" s="1" t="s">
        <v>1339</v>
      </c>
      <c r="Q59" s="1" t="s">
        <v>194</v>
      </c>
      <c r="R59" s="1" t="s">
        <v>32</v>
      </c>
      <c r="S59" s="1" t="s">
        <v>2170</v>
      </c>
      <c r="T59" s="1" t="s">
        <v>4656</v>
      </c>
      <c r="U59" s="1" t="s">
        <v>31</v>
      </c>
      <c r="V59" s="1" t="s">
        <v>90</v>
      </c>
      <c r="W59" s="14" t="s">
        <v>2</v>
      </c>
      <c r="X59" s="14" t="s">
        <v>4650</v>
      </c>
      <c r="Y59" s="14" t="s">
        <v>4519</v>
      </c>
      <c r="Z59" s="14" t="s">
        <v>31</v>
      </c>
      <c r="AA59" s="14" t="s">
        <v>4503</v>
      </c>
      <c r="AB59" s="14">
        <v>2</v>
      </c>
      <c r="AC59" s="14" t="s">
        <v>4509</v>
      </c>
      <c r="AD59" s="14">
        <v>2</v>
      </c>
      <c r="AE59" s="14" t="s">
        <v>626</v>
      </c>
      <c r="AF59" s="14" t="s">
        <v>4191</v>
      </c>
      <c r="AG59" s="14" t="s">
        <v>4191</v>
      </c>
      <c r="AH59" s="14" t="s">
        <v>4191</v>
      </c>
      <c r="AI59" s="14" t="s">
        <v>4191</v>
      </c>
      <c r="AJ59" s="14" t="s">
        <v>194</v>
      </c>
      <c r="AK59" s="14" t="s">
        <v>194</v>
      </c>
      <c r="AL59" s="14" t="s">
        <v>194</v>
      </c>
      <c r="AM59" s="14" t="s">
        <v>194</v>
      </c>
      <c r="AN59" s="14" t="s">
        <v>194</v>
      </c>
      <c r="AO59" s="14" t="s">
        <v>194</v>
      </c>
      <c r="AP59" s="14" t="s">
        <v>194</v>
      </c>
      <c r="AQ59" s="14" t="s">
        <v>2890</v>
      </c>
      <c r="AR59" s="14" t="s">
        <v>4512</v>
      </c>
      <c r="BF59" s="1"/>
      <c r="BG59" s="1"/>
      <c r="BH59" s="1"/>
      <c r="BI59" s="1"/>
      <c r="BJ59" s="1"/>
      <c r="BK59" s="1"/>
      <c r="BL59" s="1"/>
      <c r="BM59" s="1"/>
    </row>
    <row r="60" spans="1:65" ht="120" hidden="1" x14ac:dyDescent="0.25">
      <c r="A60" s="1" t="s">
        <v>109</v>
      </c>
      <c r="B60" s="1" t="s">
        <v>110</v>
      </c>
      <c r="C60" s="1" t="s">
        <v>26</v>
      </c>
      <c r="D60" s="1" t="s">
        <v>27</v>
      </c>
      <c r="E60" s="1" t="s">
        <v>28</v>
      </c>
      <c r="F60" s="1" t="s">
        <v>50</v>
      </c>
      <c r="G60" s="11" t="s">
        <v>111</v>
      </c>
      <c r="H60" s="11" t="s">
        <v>4693</v>
      </c>
      <c r="I60" s="1" t="s">
        <v>71</v>
      </c>
      <c r="J60" s="1" t="s">
        <v>2156</v>
      </c>
      <c r="K60" s="1" t="s">
        <v>2156</v>
      </c>
      <c r="L60" s="1" t="s">
        <v>1329</v>
      </c>
      <c r="M60" s="1" t="s">
        <v>1331</v>
      </c>
      <c r="N60" s="1" t="s">
        <v>1330</v>
      </c>
      <c r="O60" s="1" t="s">
        <v>1164</v>
      </c>
      <c r="P60" s="1" t="s">
        <v>1339</v>
      </c>
      <c r="Q60" s="1" t="s">
        <v>194</v>
      </c>
      <c r="R60" s="1" t="s">
        <v>32</v>
      </c>
      <c r="S60" s="1" t="s">
        <v>2170</v>
      </c>
      <c r="T60" s="1" t="s">
        <v>643</v>
      </c>
      <c r="U60" s="1" t="s">
        <v>31</v>
      </c>
      <c r="V60" s="1" t="s">
        <v>90</v>
      </c>
      <c r="W60" s="14" t="s">
        <v>2</v>
      </c>
      <c r="X60" s="14" t="s">
        <v>4650</v>
      </c>
      <c r="Y60" s="14" t="s">
        <v>4520</v>
      </c>
      <c r="Z60" s="14" t="s">
        <v>31</v>
      </c>
      <c r="AA60" s="14" t="s">
        <v>4503</v>
      </c>
      <c r="AB60" s="14">
        <v>2</v>
      </c>
      <c r="AC60" s="14" t="s">
        <v>4509</v>
      </c>
      <c r="AD60" s="14">
        <v>2</v>
      </c>
      <c r="AE60" s="14" t="s">
        <v>626</v>
      </c>
      <c r="AF60" s="14" t="s">
        <v>4191</v>
      </c>
      <c r="AG60" s="14" t="s">
        <v>4191</v>
      </c>
      <c r="AH60" s="14" t="s">
        <v>4191</v>
      </c>
      <c r="AI60" s="14" t="s">
        <v>4191</v>
      </c>
      <c r="AJ60" s="14" t="s">
        <v>194</v>
      </c>
      <c r="AK60" s="14" t="s">
        <v>194</v>
      </c>
      <c r="AL60" s="14" t="s">
        <v>194</v>
      </c>
      <c r="AM60" s="14" t="s">
        <v>194</v>
      </c>
      <c r="AN60" s="14" t="s">
        <v>194</v>
      </c>
      <c r="AO60" s="14" t="s">
        <v>194</v>
      </c>
      <c r="AP60" s="14" t="s">
        <v>194</v>
      </c>
      <c r="AQ60" s="14" t="s">
        <v>2890</v>
      </c>
      <c r="AR60" s="14" t="s">
        <v>4512</v>
      </c>
      <c r="BF60" s="1"/>
      <c r="BG60" s="1"/>
      <c r="BH60" s="1"/>
      <c r="BI60" s="1"/>
      <c r="BJ60" s="1"/>
      <c r="BK60" s="1"/>
      <c r="BL60" s="1"/>
      <c r="BM60" s="1"/>
    </row>
    <row r="61" spans="1:65" ht="120" hidden="1" x14ac:dyDescent="0.25">
      <c r="A61" s="1" t="s">
        <v>116</v>
      </c>
      <c r="B61" s="1" t="s">
        <v>117</v>
      </c>
      <c r="C61" s="1" t="s">
        <v>26</v>
      </c>
      <c r="D61" s="1" t="s">
        <v>27</v>
      </c>
      <c r="E61" s="1" t="s">
        <v>34</v>
      </c>
      <c r="F61" s="1" t="s">
        <v>50</v>
      </c>
      <c r="G61" s="11" t="s">
        <v>118</v>
      </c>
      <c r="H61" s="11" t="s">
        <v>4694</v>
      </c>
      <c r="I61" s="1" t="s">
        <v>71</v>
      </c>
      <c r="J61" s="1" t="s">
        <v>2157</v>
      </c>
      <c r="K61" s="1" t="s">
        <v>2157</v>
      </c>
      <c r="L61" s="1" t="s">
        <v>1329</v>
      </c>
      <c r="M61" s="1" t="s">
        <v>1331</v>
      </c>
      <c r="N61" s="1" t="s">
        <v>1330</v>
      </c>
      <c r="O61" s="1" t="s">
        <v>1164</v>
      </c>
      <c r="P61" s="1" t="s">
        <v>1339</v>
      </c>
      <c r="Q61" s="1" t="s">
        <v>194</v>
      </c>
      <c r="R61" s="1" t="s">
        <v>32</v>
      </c>
      <c r="S61" s="1" t="s">
        <v>2170</v>
      </c>
      <c r="T61" s="1" t="s">
        <v>643</v>
      </c>
      <c r="U61" s="1" t="s">
        <v>31</v>
      </c>
      <c r="V61" s="1" t="s">
        <v>90</v>
      </c>
      <c r="W61" s="14" t="s">
        <v>2</v>
      </c>
      <c r="X61" s="14" t="s">
        <v>4650</v>
      </c>
      <c r="Y61" s="14" t="s">
        <v>4521</v>
      </c>
      <c r="Z61" s="14" t="s">
        <v>31</v>
      </c>
      <c r="AA61" s="14" t="s">
        <v>4503</v>
      </c>
      <c r="AB61" s="14">
        <v>0</v>
      </c>
      <c r="AC61" s="14" t="s">
        <v>4509</v>
      </c>
      <c r="AD61" s="14">
        <v>3</v>
      </c>
      <c r="AE61" s="14" t="s">
        <v>626</v>
      </c>
      <c r="AF61" s="14" t="s">
        <v>4191</v>
      </c>
      <c r="AG61" s="14" t="s">
        <v>626</v>
      </c>
      <c r="AH61" s="14" t="s">
        <v>4191</v>
      </c>
      <c r="AI61" s="14" t="s">
        <v>4191</v>
      </c>
      <c r="AJ61" s="14" t="s">
        <v>194</v>
      </c>
      <c r="AK61" s="14" t="s">
        <v>194</v>
      </c>
      <c r="AL61" s="14" t="s">
        <v>194</v>
      </c>
      <c r="AM61" s="14" t="s">
        <v>194</v>
      </c>
      <c r="AN61" s="14" t="s">
        <v>194</v>
      </c>
      <c r="AO61" s="14" t="s">
        <v>194</v>
      </c>
      <c r="AP61" s="14" t="s">
        <v>194</v>
      </c>
      <c r="AQ61" s="14" t="s">
        <v>2890</v>
      </c>
      <c r="AR61" s="14" t="s">
        <v>4512</v>
      </c>
      <c r="BF61" s="1"/>
      <c r="BG61" s="1"/>
      <c r="BH61" s="1"/>
      <c r="BI61" s="1"/>
      <c r="BJ61" s="1"/>
      <c r="BK61" s="1"/>
      <c r="BL61" s="1"/>
      <c r="BM61" s="1"/>
    </row>
    <row r="62" spans="1:65" ht="120" hidden="1" x14ac:dyDescent="0.25">
      <c r="A62" s="1" t="s">
        <v>119</v>
      </c>
      <c r="B62" s="1" t="s">
        <v>120</v>
      </c>
      <c r="C62" s="1" t="s">
        <v>26</v>
      </c>
      <c r="D62" s="1" t="s">
        <v>27</v>
      </c>
      <c r="E62" s="1" t="s">
        <v>34</v>
      </c>
      <c r="F62" s="1" t="s">
        <v>50</v>
      </c>
      <c r="G62" s="11" t="s">
        <v>121</v>
      </c>
      <c r="H62" s="11" t="s">
        <v>4695</v>
      </c>
      <c r="I62" s="1" t="s">
        <v>82</v>
      </c>
      <c r="J62" s="1" t="s">
        <v>2157</v>
      </c>
      <c r="K62" s="1" t="s">
        <v>2157</v>
      </c>
      <c r="L62" s="1" t="s">
        <v>1329</v>
      </c>
      <c r="M62" s="1" t="s">
        <v>1331</v>
      </c>
      <c r="N62" s="1" t="s">
        <v>1330</v>
      </c>
      <c r="O62" s="1" t="s">
        <v>1164</v>
      </c>
      <c r="P62" s="1" t="s">
        <v>1339</v>
      </c>
      <c r="Q62" s="1" t="s">
        <v>194</v>
      </c>
      <c r="R62" s="1" t="s">
        <v>32</v>
      </c>
      <c r="S62" s="1" t="s">
        <v>2170</v>
      </c>
      <c r="T62" s="1" t="s">
        <v>643</v>
      </c>
      <c r="U62" s="1" t="s">
        <v>31</v>
      </c>
      <c r="V62" s="1" t="s">
        <v>90</v>
      </c>
      <c r="W62" s="14" t="s">
        <v>2</v>
      </c>
      <c r="X62" s="14" t="s">
        <v>4650</v>
      </c>
      <c r="Y62" s="14" t="s">
        <v>4522</v>
      </c>
      <c r="Z62" s="14" t="s">
        <v>31</v>
      </c>
      <c r="AA62" s="14" t="s">
        <v>4503</v>
      </c>
      <c r="AB62" s="14">
        <v>1</v>
      </c>
      <c r="AC62" s="14" t="s">
        <v>194</v>
      </c>
      <c r="AD62" s="14">
        <v>0</v>
      </c>
      <c r="AE62" s="14" t="s">
        <v>626</v>
      </c>
      <c r="AF62" s="14" t="s">
        <v>4191</v>
      </c>
      <c r="AG62" s="14" t="s">
        <v>626</v>
      </c>
      <c r="AH62" s="14" t="s">
        <v>4191</v>
      </c>
      <c r="AI62" s="14" t="s">
        <v>4191</v>
      </c>
      <c r="AJ62" s="14" t="s">
        <v>194</v>
      </c>
      <c r="AK62" s="14" t="s">
        <v>194</v>
      </c>
      <c r="AL62" s="14" t="s">
        <v>194</v>
      </c>
      <c r="AM62" s="14" t="s">
        <v>194</v>
      </c>
      <c r="AN62" s="14" t="s">
        <v>194</v>
      </c>
      <c r="AO62" s="14" t="s">
        <v>194</v>
      </c>
      <c r="AP62" s="14" t="s">
        <v>194</v>
      </c>
      <c r="AQ62" s="14" t="s">
        <v>2890</v>
      </c>
      <c r="AR62" s="14" t="s">
        <v>4512</v>
      </c>
      <c r="BF62" s="1"/>
      <c r="BG62" s="1"/>
      <c r="BH62" s="1"/>
      <c r="BI62" s="1"/>
      <c r="BJ62" s="1"/>
      <c r="BK62" s="1"/>
      <c r="BL62" s="1"/>
      <c r="BM62" s="1"/>
    </row>
    <row r="63" spans="1:65" ht="120" hidden="1" x14ac:dyDescent="0.25">
      <c r="A63" s="1" t="s">
        <v>122</v>
      </c>
      <c r="B63" s="1" t="s">
        <v>123</v>
      </c>
      <c r="C63" s="1" t="s">
        <v>26</v>
      </c>
      <c r="D63" s="1" t="s">
        <v>27</v>
      </c>
      <c r="E63" s="1" t="s">
        <v>28</v>
      </c>
      <c r="F63" s="1" t="s">
        <v>50</v>
      </c>
      <c r="G63" s="11" t="s">
        <v>2628</v>
      </c>
      <c r="H63" s="11" t="s">
        <v>4696</v>
      </c>
      <c r="I63" s="1" t="s">
        <v>135</v>
      </c>
      <c r="J63" s="1" t="s">
        <v>2149</v>
      </c>
      <c r="K63" s="1" t="s">
        <v>2158</v>
      </c>
      <c r="L63" s="1" t="s">
        <v>1329</v>
      </c>
      <c r="M63" s="1" t="s">
        <v>1331</v>
      </c>
      <c r="N63" s="1" t="s">
        <v>1332</v>
      </c>
      <c r="O63" s="1" t="s">
        <v>1342</v>
      </c>
      <c r="P63" s="1" t="s">
        <v>1339</v>
      </c>
      <c r="Q63" s="1" t="s">
        <v>194</v>
      </c>
      <c r="R63" s="1" t="s">
        <v>32</v>
      </c>
      <c r="S63" s="1" t="s">
        <v>2170</v>
      </c>
      <c r="T63" s="1" t="s">
        <v>4656</v>
      </c>
      <c r="U63" s="1" t="s">
        <v>31</v>
      </c>
      <c r="V63" s="1" t="s">
        <v>90</v>
      </c>
      <c r="W63" s="14" t="s">
        <v>2</v>
      </c>
      <c r="X63" s="14" t="s">
        <v>4650</v>
      </c>
      <c r="Y63" s="14" t="s">
        <v>4523</v>
      </c>
      <c r="Z63" s="14" t="s">
        <v>31</v>
      </c>
      <c r="AA63" s="14" t="s">
        <v>4503</v>
      </c>
      <c r="AB63" s="14">
        <v>2</v>
      </c>
      <c r="AC63" s="14" t="s">
        <v>194</v>
      </c>
      <c r="AD63" s="14">
        <v>2</v>
      </c>
      <c r="AE63" s="14" t="s">
        <v>626</v>
      </c>
      <c r="AF63" s="14" t="s">
        <v>4191</v>
      </c>
      <c r="AG63" s="14" t="s">
        <v>4191</v>
      </c>
      <c r="AH63" s="14" t="s">
        <v>4191</v>
      </c>
      <c r="AI63" s="14" t="s">
        <v>4191</v>
      </c>
      <c r="AJ63" s="14" t="s">
        <v>194</v>
      </c>
      <c r="AK63" s="14" t="s">
        <v>194</v>
      </c>
      <c r="AL63" s="14" t="s">
        <v>194</v>
      </c>
      <c r="AM63" s="14" t="s">
        <v>194</v>
      </c>
      <c r="AN63" s="14" t="s">
        <v>194</v>
      </c>
      <c r="AO63" s="14" t="s">
        <v>194</v>
      </c>
      <c r="AP63" s="14" t="s">
        <v>194</v>
      </c>
      <c r="AQ63" s="14" t="s">
        <v>2890</v>
      </c>
      <c r="AR63" s="14" t="s">
        <v>4512</v>
      </c>
      <c r="BF63" s="1"/>
      <c r="BG63" s="1"/>
      <c r="BH63" s="1"/>
      <c r="BI63" s="1"/>
      <c r="BJ63" s="1"/>
      <c r="BK63" s="1"/>
      <c r="BL63" s="1"/>
      <c r="BM63" s="1"/>
    </row>
    <row r="64" spans="1:65" ht="105" hidden="1" x14ac:dyDescent="0.25">
      <c r="A64" s="1" t="s">
        <v>124</v>
      </c>
      <c r="B64" s="1" t="s">
        <v>125</v>
      </c>
      <c r="C64" s="1" t="s">
        <v>26</v>
      </c>
      <c r="D64" s="1" t="s">
        <v>27</v>
      </c>
      <c r="E64" s="1" t="s">
        <v>28</v>
      </c>
      <c r="F64" s="1" t="s">
        <v>35</v>
      </c>
      <c r="G64" s="11" t="s">
        <v>126</v>
      </c>
      <c r="H64" s="11" t="s">
        <v>4697</v>
      </c>
      <c r="I64" s="1" t="s">
        <v>82</v>
      </c>
      <c r="J64" s="1" t="s">
        <v>2159</v>
      </c>
      <c r="K64" s="1" t="s">
        <v>2160</v>
      </c>
      <c r="L64" s="1" t="s">
        <v>1329</v>
      </c>
      <c r="M64" s="1" t="s">
        <v>562</v>
      </c>
      <c r="N64" s="1" t="s">
        <v>1330</v>
      </c>
      <c r="O64" s="1" t="s">
        <v>1164</v>
      </c>
      <c r="P64" s="1" t="s">
        <v>1339</v>
      </c>
      <c r="Q64" s="1" t="s">
        <v>194</v>
      </c>
      <c r="R64" s="1" t="s">
        <v>2</v>
      </c>
      <c r="S64" s="1" t="s">
        <v>563</v>
      </c>
      <c r="T64" s="1" t="s">
        <v>643</v>
      </c>
      <c r="U64" s="1" t="s">
        <v>31</v>
      </c>
      <c r="V64" s="1" t="s">
        <v>90</v>
      </c>
      <c r="W64" s="14" t="s">
        <v>2</v>
      </c>
      <c r="X64" s="14" t="s">
        <v>4650</v>
      </c>
      <c r="Y64" s="14" t="s">
        <v>194</v>
      </c>
      <c r="Z64" s="14" t="s">
        <v>31</v>
      </c>
      <c r="AA64" s="14" t="s">
        <v>4506</v>
      </c>
      <c r="AB64" s="14">
        <v>1</v>
      </c>
      <c r="AC64" s="14" t="s">
        <v>194</v>
      </c>
      <c r="AD64" s="14">
        <v>2</v>
      </c>
      <c r="AE64" s="14" t="s">
        <v>626</v>
      </c>
      <c r="AF64" s="14" t="s">
        <v>626</v>
      </c>
      <c r="AG64" s="14" t="s">
        <v>626</v>
      </c>
      <c r="AH64" s="14" t="s">
        <v>4191</v>
      </c>
      <c r="AI64" s="14" t="s">
        <v>4191</v>
      </c>
      <c r="AJ64" s="14" t="s">
        <v>194</v>
      </c>
      <c r="AK64" s="14" t="s">
        <v>194</v>
      </c>
      <c r="AL64" s="14" t="s">
        <v>194</v>
      </c>
      <c r="AM64" s="14" t="s">
        <v>194</v>
      </c>
      <c r="AN64" s="14" t="s">
        <v>194</v>
      </c>
      <c r="AO64" s="14" t="s">
        <v>194</v>
      </c>
      <c r="AP64" s="14" t="s">
        <v>194</v>
      </c>
      <c r="AQ64" s="14" t="s">
        <v>2890</v>
      </c>
      <c r="AR64" s="14" t="s">
        <v>4512</v>
      </c>
      <c r="BF64" s="1"/>
      <c r="BG64" s="1"/>
      <c r="BH64" s="1"/>
      <c r="BI64" s="1"/>
      <c r="BJ64" s="1"/>
      <c r="BK64" s="1"/>
      <c r="BL64" s="1"/>
      <c r="BM64" s="1"/>
    </row>
    <row r="65" spans="1:65" ht="105" hidden="1" x14ac:dyDescent="0.25">
      <c r="A65" s="1" t="s">
        <v>127</v>
      </c>
      <c r="B65" s="1" t="s">
        <v>128</v>
      </c>
      <c r="C65" s="1" t="s">
        <v>26</v>
      </c>
      <c r="D65" s="1" t="s">
        <v>27</v>
      </c>
      <c r="E65" s="1" t="s">
        <v>28</v>
      </c>
      <c r="F65" s="1" t="s">
        <v>35</v>
      </c>
      <c r="G65" s="11" t="s">
        <v>129</v>
      </c>
      <c r="H65" s="11" t="s">
        <v>4697</v>
      </c>
      <c r="I65" s="1" t="s">
        <v>82</v>
      </c>
      <c r="J65" s="1" t="s">
        <v>2159</v>
      </c>
      <c r="K65" s="1" t="s">
        <v>2160</v>
      </c>
      <c r="L65" s="1" t="s">
        <v>1329</v>
      </c>
      <c r="M65" s="1" t="s">
        <v>562</v>
      </c>
      <c r="N65" s="1" t="s">
        <v>1330</v>
      </c>
      <c r="O65" s="1" t="s">
        <v>1164</v>
      </c>
      <c r="P65" s="1" t="s">
        <v>1339</v>
      </c>
      <c r="Q65" s="1" t="s">
        <v>194</v>
      </c>
      <c r="R65" s="1" t="s">
        <v>314</v>
      </c>
      <c r="S65" s="1" t="s">
        <v>563</v>
      </c>
      <c r="T65" s="1" t="s">
        <v>643</v>
      </c>
      <c r="U65" s="1" t="s">
        <v>31</v>
      </c>
      <c r="V65" s="1" t="s">
        <v>90</v>
      </c>
      <c r="W65" s="14" t="s">
        <v>2</v>
      </c>
      <c r="X65" s="14" t="s">
        <v>4650</v>
      </c>
      <c r="Y65" s="14" t="s">
        <v>194</v>
      </c>
      <c r="Z65" s="14" t="s">
        <v>31</v>
      </c>
      <c r="AA65" s="14" t="s">
        <v>4506</v>
      </c>
      <c r="AB65" s="14">
        <v>1</v>
      </c>
      <c r="AC65" s="14" t="s">
        <v>194</v>
      </c>
      <c r="AD65" s="14">
        <v>2</v>
      </c>
      <c r="AE65" s="14" t="s">
        <v>626</v>
      </c>
      <c r="AF65" s="14" t="s">
        <v>626</v>
      </c>
      <c r="AG65" s="14" t="s">
        <v>626</v>
      </c>
      <c r="AH65" s="14" t="s">
        <v>4191</v>
      </c>
      <c r="AI65" s="14" t="s">
        <v>4191</v>
      </c>
      <c r="AJ65" s="14" t="s">
        <v>194</v>
      </c>
      <c r="AK65" s="14" t="s">
        <v>194</v>
      </c>
      <c r="AL65" s="14" t="s">
        <v>194</v>
      </c>
      <c r="AM65" s="14" t="s">
        <v>194</v>
      </c>
      <c r="AN65" s="14" t="s">
        <v>194</v>
      </c>
      <c r="AO65" s="14" t="s">
        <v>194</v>
      </c>
      <c r="AP65" s="14" t="s">
        <v>194</v>
      </c>
      <c r="AQ65" s="14" t="s">
        <v>2890</v>
      </c>
      <c r="AR65" s="14" t="s">
        <v>4512</v>
      </c>
      <c r="BF65" s="1"/>
      <c r="BG65" s="1"/>
      <c r="BH65" s="1"/>
      <c r="BI65" s="1"/>
      <c r="BJ65" s="1"/>
      <c r="BK65" s="1"/>
      <c r="BL65" s="1"/>
      <c r="BM65" s="1"/>
    </row>
    <row r="66" spans="1:65" ht="105" hidden="1" x14ac:dyDescent="0.25">
      <c r="A66" s="1" t="s">
        <v>130</v>
      </c>
      <c r="B66" s="1" t="s">
        <v>131</v>
      </c>
      <c r="C66" s="1" t="s">
        <v>26</v>
      </c>
      <c r="D66" s="1" t="s">
        <v>27</v>
      </c>
      <c r="E66" s="1" t="s">
        <v>28</v>
      </c>
      <c r="F66" s="1" t="s">
        <v>35</v>
      </c>
      <c r="G66" s="11" t="s">
        <v>132</v>
      </c>
      <c r="H66" s="11" t="s">
        <v>4697</v>
      </c>
      <c r="I66" s="1" t="s">
        <v>82</v>
      </c>
      <c r="J66" s="1" t="s">
        <v>2159</v>
      </c>
      <c r="K66" s="1" t="s">
        <v>2160</v>
      </c>
      <c r="L66" s="1" t="s">
        <v>1329</v>
      </c>
      <c r="M66" s="1" t="s">
        <v>562</v>
      </c>
      <c r="N66" s="1" t="s">
        <v>1330</v>
      </c>
      <c r="O66" s="1" t="s">
        <v>1164</v>
      </c>
      <c r="P66" s="1" t="s">
        <v>1339</v>
      </c>
      <c r="Q66" s="1" t="s">
        <v>194</v>
      </c>
      <c r="R66" s="1" t="s">
        <v>36</v>
      </c>
      <c r="S66" s="1" t="s">
        <v>563</v>
      </c>
      <c r="T66" s="1" t="s">
        <v>643</v>
      </c>
      <c r="U66" s="1" t="s">
        <v>31</v>
      </c>
      <c r="V66" s="1" t="s">
        <v>90</v>
      </c>
      <c r="W66" s="14" t="s">
        <v>2</v>
      </c>
      <c r="X66" s="14" t="s">
        <v>4650</v>
      </c>
      <c r="Y66" s="14" t="s">
        <v>194</v>
      </c>
      <c r="Z66" s="14" t="s">
        <v>31</v>
      </c>
      <c r="AA66" s="14" t="s">
        <v>4506</v>
      </c>
      <c r="AB66" s="14">
        <v>1</v>
      </c>
      <c r="AC66" s="14" t="s">
        <v>194</v>
      </c>
      <c r="AD66" s="14">
        <v>2</v>
      </c>
      <c r="AE66" s="14" t="s">
        <v>626</v>
      </c>
      <c r="AF66" s="14" t="s">
        <v>626</v>
      </c>
      <c r="AG66" s="14" t="s">
        <v>626</v>
      </c>
      <c r="AH66" s="14" t="s">
        <v>4191</v>
      </c>
      <c r="AI66" s="14" t="s">
        <v>4191</v>
      </c>
      <c r="AJ66" s="14" t="s">
        <v>194</v>
      </c>
      <c r="AK66" s="14" t="s">
        <v>194</v>
      </c>
      <c r="AL66" s="14" t="s">
        <v>194</v>
      </c>
      <c r="AM66" s="14" t="s">
        <v>194</v>
      </c>
      <c r="AN66" s="14" t="s">
        <v>194</v>
      </c>
      <c r="AO66" s="14" t="s">
        <v>194</v>
      </c>
      <c r="AP66" s="14" t="s">
        <v>194</v>
      </c>
      <c r="AQ66" s="14" t="s">
        <v>2890</v>
      </c>
      <c r="AR66" s="14" t="s">
        <v>4512</v>
      </c>
      <c r="BF66" s="1"/>
      <c r="BG66" s="1"/>
      <c r="BH66" s="1"/>
      <c r="BI66" s="1"/>
      <c r="BJ66" s="1"/>
      <c r="BK66" s="1"/>
      <c r="BL66" s="1"/>
      <c r="BM66" s="1"/>
    </row>
    <row r="67" spans="1:65" ht="105" hidden="1" x14ac:dyDescent="0.25">
      <c r="A67" s="1" t="s">
        <v>1229</v>
      </c>
      <c r="B67" s="1" t="s">
        <v>1230</v>
      </c>
      <c r="C67" s="1" t="s">
        <v>26</v>
      </c>
      <c r="D67" s="1" t="s">
        <v>27</v>
      </c>
      <c r="E67" s="1" t="s">
        <v>28</v>
      </c>
      <c r="F67" s="1" t="s">
        <v>50</v>
      </c>
      <c r="G67" s="11" t="s">
        <v>6</v>
      </c>
      <c r="H67" s="11" t="s">
        <v>4698</v>
      </c>
      <c r="I67" s="1" t="s">
        <v>82</v>
      </c>
      <c r="J67" s="1" t="s">
        <v>2149</v>
      </c>
      <c r="K67" s="1" t="s">
        <v>2158</v>
      </c>
      <c r="L67" s="1" t="s">
        <v>1329</v>
      </c>
      <c r="M67" s="1" t="s">
        <v>1331</v>
      </c>
      <c r="N67" s="1" t="s">
        <v>1330</v>
      </c>
      <c r="O67" s="1" t="s">
        <v>1164</v>
      </c>
      <c r="P67" s="1" t="s">
        <v>1339</v>
      </c>
      <c r="Q67" s="1" t="s">
        <v>194</v>
      </c>
      <c r="R67" s="1" t="s">
        <v>32</v>
      </c>
      <c r="S67" s="1" t="s">
        <v>2170</v>
      </c>
      <c r="T67" s="1" t="s">
        <v>643</v>
      </c>
      <c r="U67" s="1" t="s">
        <v>31</v>
      </c>
      <c r="V67" s="1" t="s">
        <v>90</v>
      </c>
      <c r="W67" s="14" t="s">
        <v>2</v>
      </c>
      <c r="X67" s="14" t="s">
        <v>4650</v>
      </c>
      <c r="Y67" s="14" t="s">
        <v>194</v>
      </c>
      <c r="Z67" s="14" t="s">
        <v>31</v>
      </c>
      <c r="AA67" s="14" t="s">
        <v>4503</v>
      </c>
      <c r="AB67" s="14">
        <v>2</v>
      </c>
      <c r="AC67" s="14" t="s">
        <v>194</v>
      </c>
      <c r="AD67" s="14">
        <v>0</v>
      </c>
      <c r="AE67" s="14" t="s">
        <v>626</v>
      </c>
      <c r="AF67" s="14" t="s">
        <v>626</v>
      </c>
      <c r="AG67" s="14" t="s">
        <v>626</v>
      </c>
      <c r="AH67" s="14" t="s">
        <v>4191</v>
      </c>
      <c r="AI67" s="14" t="s">
        <v>4191</v>
      </c>
      <c r="AJ67" s="14" t="s">
        <v>194</v>
      </c>
      <c r="AK67" s="14" t="s">
        <v>4524</v>
      </c>
      <c r="AL67" s="14" t="s">
        <v>194</v>
      </c>
      <c r="AM67" s="14" t="s">
        <v>194</v>
      </c>
      <c r="AN67" s="14" t="s">
        <v>194</v>
      </c>
      <c r="AO67" s="14" t="s">
        <v>194</v>
      </c>
      <c r="AP67" s="14" t="s">
        <v>194</v>
      </c>
      <c r="AQ67" s="14" t="s">
        <v>2890</v>
      </c>
      <c r="AR67" s="14" t="s">
        <v>4512</v>
      </c>
      <c r="BF67" s="1"/>
      <c r="BG67" s="1"/>
      <c r="BH67" s="1"/>
      <c r="BI67" s="1"/>
      <c r="BJ67" s="1"/>
      <c r="BK67" s="1"/>
      <c r="BL67" s="1"/>
      <c r="BM67" s="1"/>
    </row>
    <row r="68" spans="1:65" ht="135" hidden="1" x14ac:dyDescent="0.25">
      <c r="A68" s="1" t="s">
        <v>1227</v>
      </c>
      <c r="B68" s="1" t="s">
        <v>1841</v>
      </c>
      <c r="C68" s="1" t="s">
        <v>26</v>
      </c>
      <c r="D68" s="1" t="s">
        <v>27</v>
      </c>
      <c r="E68" s="1" t="s">
        <v>34</v>
      </c>
      <c r="F68" s="1" t="s">
        <v>50</v>
      </c>
      <c r="G68" s="11" t="s">
        <v>1287</v>
      </c>
      <c r="H68" s="11" t="s">
        <v>4699</v>
      </c>
      <c r="I68" s="1" t="s">
        <v>82</v>
      </c>
      <c r="J68" s="1" t="s">
        <v>2138</v>
      </c>
      <c r="K68" s="1" t="s">
        <v>139</v>
      </c>
      <c r="L68" s="1" t="s">
        <v>1329</v>
      </c>
      <c r="M68" s="1" t="s">
        <v>1331</v>
      </c>
      <c r="N68" s="1" t="s">
        <v>1330</v>
      </c>
      <c r="O68" s="1" t="s">
        <v>1164</v>
      </c>
      <c r="P68" s="1" t="s">
        <v>1339</v>
      </c>
      <c r="Q68" s="1" t="s">
        <v>194</v>
      </c>
      <c r="R68" s="1" t="s">
        <v>32</v>
      </c>
      <c r="S68" s="1" t="s">
        <v>2170</v>
      </c>
      <c r="T68" s="1" t="s">
        <v>643</v>
      </c>
      <c r="U68" s="1" t="s">
        <v>31</v>
      </c>
      <c r="V68" s="1" t="s">
        <v>90</v>
      </c>
      <c r="W68" s="14" t="s">
        <v>2</v>
      </c>
      <c r="X68" s="14" t="s">
        <v>4650</v>
      </c>
      <c r="Y68" s="14" t="s">
        <v>4525</v>
      </c>
      <c r="Z68" s="14" t="s">
        <v>31</v>
      </c>
      <c r="AA68" s="14" t="s">
        <v>4503</v>
      </c>
      <c r="AB68" s="14">
        <v>2</v>
      </c>
      <c r="AC68" s="14" t="s">
        <v>194</v>
      </c>
      <c r="AD68" s="14">
        <v>0</v>
      </c>
      <c r="AE68" s="14" t="s">
        <v>626</v>
      </c>
      <c r="AF68" s="14" t="s">
        <v>4191</v>
      </c>
      <c r="AG68" s="14" t="s">
        <v>4191</v>
      </c>
      <c r="AH68" s="14" t="s">
        <v>4191</v>
      </c>
      <c r="AI68" s="14" t="s">
        <v>4191</v>
      </c>
      <c r="AJ68" s="14" t="s">
        <v>194</v>
      </c>
      <c r="AK68" s="14" t="s">
        <v>194</v>
      </c>
      <c r="AL68" s="14" t="s">
        <v>194</v>
      </c>
      <c r="AM68" s="14" t="s">
        <v>194</v>
      </c>
      <c r="AN68" s="14" t="s">
        <v>194</v>
      </c>
      <c r="AO68" s="14" t="s">
        <v>194</v>
      </c>
      <c r="AP68" s="14" t="s">
        <v>194</v>
      </c>
      <c r="AQ68" s="14" t="s">
        <v>2890</v>
      </c>
      <c r="AR68" s="14" t="s">
        <v>4512</v>
      </c>
      <c r="BF68" s="1"/>
      <c r="BG68" s="1"/>
      <c r="BH68" s="1"/>
      <c r="BI68" s="1"/>
      <c r="BJ68" s="1"/>
      <c r="BK68" s="1"/>
      <c r="BL68" s="1"/>
      <c r="BM68" s="1"/>
    </row>
    <row r="69" spans="1:65" ht="105" hidden="1" x14ac:dyDescent="0.25">
      <c r="A69" s="1" t="s">
        <v>138</v>
      </c>
      <c r="B69" s="1" t="s">
        <v>552</v>
      </c>
      <c r="C69" s="1" t="s">
        <v>26</v>
      </c>
      <c r="D69" s="1" t="s">
        <v>27</v>
      </c>
      <c r="E69" s="1" t="s">
        <v>28</v>
      </c>
      <c r="F69" s="1" t="s">
        <v>29</v>
      </c>
      <c r="G69" s="11" t="s">
        <v>6</v>
      </c>
      <c r="H69" s="11" t="s">
        <v>4684</v>
      </c>
      <c r="I69" s="1" t="s">
        <v>82</v>
      </c>
      <c r="J69" s="1" t="s">
        <v>2138</v>
      </c>
      <c r="K69" s="1" t="s">
        <v>139</v>
      </c>
      <c r="L69" s="1" t="s">
        <v>1329</v>
      </c>
      <c r="M69" s="1" t="s">
        <v>562</v>
      </c>
      <c r="N69" s="1" t="s">
        <v>1330</v>
      </c>
      <c r="O69" s="1" t="s">
        <v>1164</v>
      </c>
      <c r="P69" s="1" t="s">
        <v>1339</v>
      </c>
      <c r="Q69" s="1" t="s">
        <v>194</v>
      </c>
      <c r="R69" s="1" t="s">
        <v>2</v>
      </c>
      <c r="S69" s="1" t="s">
        <v>576</v>
      </c>
      <c r="T69" s="1" t="s">
        <v>643</v>
      </c>
      <c r="U69" s="1" t="s">
        <v>31</v>
      </c>
      <c r="V69" s="1" t="s">
        <v>90</v>
      </c>
      <c r="W69" s="14" t="s">
        <v>2</v>
      </c>
      <c r="X69" s="14" t="s">
        <v>4650</v>
      </c>
      <c r="Y69" s="14" t="s">
        <v>194</v>
      </c>
      <c r="Z69" s="14" t="s">
        <v>31</v>
      </c>
      <c r="AA69" s="14" t="s">
        <v>4506</v>
      </c>
      <c r="AB69" s="14">
        <v>1</v>
      </c>
      <c r="AC69" s="14" t="s">
        <v>194</v>
      </c>
      <c r="AD69" s="14">
        <v>0</v>
      </c>
      <c r="AE69" s="14" t="s">
        <v>626</v>
      </c>
      <c r="AF69" s="14" t="s">
        <v>626</v>
      </c>
      <c r="AG69" s="14" t="s">
        <v>626</v>
      </c>
      <c r="AH69" s="14" t="s">
        <v>4191</v>
      </c>
      <c r="AI69" s="14" t="s">
        <v>4191</v>
      </c>
      <c r="AJ69" s="14" t="s">
        <v>194</v>
      </c>
      <c r="AK69" s="14" t="s">
        <v>194</v>
      </c>
      <c r="AL69" s="14" t="s">
        <v>194</v>
      </c>
      <c r="AM69" s="14" t="s">
        <v>194</v>
      </c>
      <c r="AN69" s="14" t="s">
        <v>194</v>
      </c>
      <c r="AO69" s="14" t="s">
        <v>194</v>
      </c>
      <c r="AP69" s="14" t="s">
        <v>194</v>
      </c>
      <c r="AQ69" s="14" t="s">
        <v>2890</v>
      </c>
      <c r="AR69" s="14" t="s">
        <v>4512</v>
      </c>
      <c r="BF69" s="1"/>
      <c r="BG69" s="1"/>
      <c r="BH69" s="1"/>
      <c r="BI69" s="1"/>
      <c r="BJ69" s="1"/>
      <c r="BK69" s="1"/>
      <c r="BL69" s="1"/>
      <c r="BM69" s="1"/>
    </row>
    <row r="70" spans="1:65" ht="105" hidden="1" x14ac:dyDescent="0.25">
      <c r="A70" s="1" t="s">
        <v>647</v>
      </c>
      <c r="B70" s="1" t="s">
        <v>658</v>
      </c>
      <c r="C70" s="1" t="s">
        <v>26</v>
      </c>
      <c r="D70" s="1" t="s">
        <v>27</v>
      </c>
      <c r="E70" s="1" t="s">
        <v>34</v>
      </c>
      <c r="F70" s="1" t="s">
        <v>35</v>
      </c>
      <c r="G70" s="11" t="s">
        <v>6</v>
      </c>
      <c r="H70" s="11" t="s">
        <v>4824</v>
      </c>
      <c r="I70" s="1" t="s">
        <v>659</v>
      </c>
      <c r="J70" s="1" t="s">
        <v>2157</v>
      </c>
      <c r="K70" s="1" t="s">
        <v>2157</v>
      </c>
      <c r="L70" s="1" t="s">
        <v>1329</v>
      </c>
      <c r="M70" s="1" t="s">
        <v>562</v>
      </c>
      <c r="N70" s="1" t="s">
        <v>1330</v>
      </c>
      <c r="O70" s="1" t="s">
        <v>1164</v>
      </c>
      <c r="P70" s="1" t="s">
        <v>1339</v>
      </c>
      <c r="Q70" s="1" t="s">
        <v>194</v>
      </c>
      <c r="R70" s="1" t="s">
        <v>1234</v>
      </c>
      <c r="S70" s="1" t="s">
        <v>563</v>
      </c>
      <c r="T70" s="1" t="s">
        <v>643</v>
      </c>
      <c r="U70" s="1" t="s">
        <v>31</v>
      </c>
      <c r="V70" s="1" t="s">
        <v>90</v>
      </c>
      <c r="W70" s="14" t="s">
        <v>2</v>
      </c>
      <c r="X70" s="14" t="s">
        <v>4650</v>
      </c>
      <c r="Y70" s="14" t="s">
        <v>194</v>
      </c>
      <c r="Z70" s="14" t="s">
        <v>31</v>
      </c>
      <c r="AA70" s="14" t="s">
        <v>4506</v>
      </c>
      <c r="AB70" s="14">
        <v>1</v>
      </c>
      <c r="AC70" s="14" t="s">
        <v>4509</v>
      </c>
      <c r="AD70" s="14">
        <v>2</v>
      </c>
      <c r="AE70" s="14" t="s">
        <v>626</v>
      </c>
      <c r="AF70" s="14" t="s">
        <v>626</v>
      </c>
      <c r="AG70" s="14" t="s">
        <v>626</v>
      </c>
      <c r="AH70" s="14" t="s">
        <v>4191</v>
      </c>
      <c r="AI70" s="14" t="s">
        <v>4191</v>
      </c>
      <c r="AJ70" s="14" t="s">
        <v>194</v>
      </c>
      <c r="AK70" s="14" t="s">
        <v>194</v>
      </c>
      <c r="AL70" s="14" t="s">
        <v>194</v>
      </c>
      <c r="AM70" s="14" t="s">
        <v>194</v>
      </c>
      <c r="AN70" s="14" t="s">
        <v>194</v>
      </c>
      <c r="AO70" s="14" t="s">
        <v>194</v>
      </c>
      <c r="AP70" s="14" t="s">
        <v>194</v>
      </c>
      <c r="AQ70" s="14" t="s">
        <v>2890</v>
      </c>
      <c r="AR70" s="14" t="s">
        <v>4512</v>
      </c>
      <c r="BF70" s="1"/>
      <c r="BG70" s="1"/>
      <c r="BH70" s="1"/>
      <c r="BI70" s="1"/>
      <c r="BJ70" s="1"/>
      <c r="BK70" s="1"/>
      <c r="BL70" s="1"/>
      <c r="BM70" s="1"/>
    </row>
    <row r="71" spans="1:65" ht="120" hidden="1" x14ac:dyDescent="0.25">
      <c r="A71" s="1" t="s">
        <v>1171</v>
      </c>
      <c r="B71" s="1" t="s">
        <v>1176</v>
      </c>
      <c r="C71" s="1" t="s">
        <v>26</v>
      </c>
      <c r="D71" s="1" t="s">
        <v>27</v>
      </c>
      <c r="E71" s="1" t="s">
        <v>34</v>
      </c>
      <c r="F71" s="1" t="s">
        <v>50</v>
      </c>
      <c r="G71" s="11" t="s">
        <v>1264</v>
      </c>
      <c r="H71" s="11" t="s">
        <v>4700</v>
      </c>
      <c r="I71" s="1" t="s">
        <v>77</v>
      </c>
      <c r="J71" s="1" t="s">
        <v>2152</v>
      </c>
      <c r="K71" s="1" t="s">
        <v>1177</v>
      </c>
      <c r="L71" s="1" t="s">
        <v>1329</v>
      </c>
      <c r="M71" s="1" t="s">
        <v>1331</v>
      </c>
      <c r="N71" s="1" t="s">
        <v>1330</v>
      </c>
      <c r="O71" s="1" t="s">
        <v>1164</v>
      </c>
      <c r="P71" s="1" t="s">
        <v>1339</v>
      </c>
      <c r="Q71" s="1" t="s">
        <v>194</v>
      </c>
      <c r="R71" s="1" t="s">
        <v>32</v>
      </c>
      <c r="S71" s="1" t="s">
        <v>2170</v>
      </c>
      <c r="T71" s="1" t="s">
        <v>643</v>
      </c>
      <c r="U71" s="1" t="s">
        <v>31</v>
      </c>
      <c r="V71" s="1" t="s">
        <v>90</v>
      </c>
      <c r="W71" s="14" t="s">
        <v>2</v>
      </c>
      <c r="X71" s="14" t="s">
        <v>4650</v>
      </c>
      <c r="Y71" s="14" t="s">
        <v>4526</v>
      </c>
      <c r="Z71" s="14" t="s">
        <v>31</v>
      </c>
      <c r="AA71" s="14" t="s">
        <v>4503</v>
      </c>
      <c r="AB71" s="14">
        <v>2</v>
      </c>
      <c r="AC71" s="14" t="s">
        <v>4504</v>
      </c>
      <c r="AD71" s="14">
        <v>2</v>
      </c>
      <c r="AE71" s="14" t="s">
        <v>626</v>
      </c>
      <c r="AF71" s="14" t="s">
        <v>4191</v>
      </c>
      <c r="AG71" s="14" t="s">
        <v>626</v>
      </c>
      <c r="AH71" s="14" t="s">
        <v>4191</v>
      </c>
      <c r="AI71" s="14" t="s">
        <v>4191</v>
      </c>
      <c r="AJ71" s="14" t="s">
        <v>194</v>
      </c>
      <c r="AK71" s="14" t="s">
        <v>194</v>
      </c>
      <c r="AL71" s="14" t="s">
        <v>194</v>
      </c>
      <c r="AM71" s="14" t="s">
        <v>194</v>
      </c>
      <c r="AN71" s="14" t="s">
        <v>194</v>
      </c>
      <c r="AO71" s="14" t="s">
        <v>194</v>
      </c>
      <c r="AP71" s="14" t="s">
        <v>194</v>
      </c>
      <c r="AQ71" s="14" t="s">
        <v>2890</v>
      </c>
      <c r="AR71" s="14" t="s">
        <v>4512</v>
      </c>
      <c r="BF71" s="1"/>
      <c r="BG71" s="1"/>
      <c r="BH71" s="1"/>
      <c r="BI71" s="1"/>
      <c r="BJ71" s="1"/>
      <c r="BK71" s="1"/>
      <c r="BL71" s="1"/>
      <c r="BM71" s="1"/>
    </row>
    <row r="72" spans="1:65" ht="135" hidden="1" x14ac:dyDescent="0.25">
      <c r="A72" s="1" t="s">
        <v>1172</v>
      </c>
      <c r="B72" s="1" t="s">
        <v>1178</v>
      </c>
      <c r="C72" s="1" t="s">
        <v>26</v>
      </c>
      <c r="D72" s="1" t="s">
        <v>27</v>
      </c>
      <c r="E72" s="1" t="s">
        <v>34</v>
      </c>
      <c r="F72" s="1" t="s">
        <v>50</v>
      </c>
      <c r="G72" s="11" t="s">
        <v>1265</v>
      </c>
      <c r="H72" s="11" t="s">
        <v>4701</v>
      </c>
      <c r="I72" s="1" t="s">
        <v>77</v>
      </c>
      <c r="J72" s="1" t="s">
        <v>2152</v>
      </c>
      <c r="K72" s="1" t="s">
        <v>1179</v>
      </c>
      <c r="L72" s="1" t="s">
        <v>1329</v>
      </c>
      <c r="M72" s="1" t="s">
        <v>1331</v>
      </c>
      <c r="N72" s="1" t="s">
        <v>1330</v>
      </c>
      <c r="O72" s="1" t="s">
        <v>1164</v>
      </c>
      <c r="P72" s="1" t="s">
        <v>1339</v>
      </c>
      <c r="Q72" s="1" t="s">
        <v>194</v>
      </c>
      <c r="R72" s="1" t="s">
        <v>32</v>
      </c>
      <c r="S72" s="1" t="s">
        <v>2170</v>
      </c>
      <c r="T72" s="1" t="s">
        <v>643</v>
      </c>
      <c r="U72" s="1" t="s">
        <v>31</v>
      </c>
      <c r="V72" s="1" t="s">
        <v>90</v>
      </c>
      <c r="W72" s="14" t="s">
        <v>2</v>
      </c>
      <c r="X72" s="14" t="s">
        <v>4650</v>
      </c>
      <c r="Y72" s="14" t="s">
        <v>4527</v>
      </c>
      <c r="Z72" s="14" t="s">
        <v>31</v>
      </c>
      <c r="AA72" s="14" t="s">
        <v>4503</v>
      </c>
      <c r="AB72" s="14">
        <v>2</v>
      </c>
      <c r="AC72" s="14" t="s">
        <v>4504</v>
      </c>
      <c r="AD72" s="14">
        <v>2</v>
      </c>
      <c r="AE72" s="14" t="s">
        <v>626</v>
      </c>
      <c r="AF72" s="14" t="s">
        <v>4191</v>
      </c>
      <c r="AG72" s="14" t="s">
        <v>626</v>
      </c>
      <c r="AH72" s="14" t="s">
        <v>4191</v>
      </c>
      <c r="AI72" s="14" t="s">
        <v>4191</v>
      </c>
      <c r="AJ72" s="14" t="s">
        <v>194</v>
      </c>
      <c r="AK72" s="14" t="s">
        <v>194</v>
      </c>
      <c r="AL72" s="14" t="s">
        <v>194</v>
      </c>
      <c r="AM72" s="14" t="s">
        <v>194</v>
      </c>
      <c r="AN72" s="14" t="s">
        <v>194</v>
      </c>
      <c r="AO72" s="14" t="s">
        <v>194</v>
      </c>
      <c r="AP72" s="14" t="s">
        <v>194</v>
      </c>
      <c r="AQ72" s="14" t="s">
        <v>2890</v>
      </c>
      <c r="AR72" s="14" t="s">
        <v>4512</v>
      </c>
      <c r="BF72" s="1"/>
      <c r="BG72" s="1"/>
      <c r="BH72" s="1"/>
      <c r="BI72" s="1"/>
      <c r="BJ72" s="1"/>
      <c r="BK72" s="1"/>
      <c r="BL72" s="1"/>
      <c r="BM72" s="1"/>
    </row>
    <row r="73" spans="1:65" ht="120" hidden="1" x14ac:dyDescent="0.25">
      <c r="A73" s="1" t="s">
        <v>1231</v>
      </c>
      <c r="B73" s="1" t="s">
        <v>1232</v>
      </c>
      <c r="C73" s="1" t="s">
        <v>26</v>
      </c>
      <c r="D73" s="1" t="s">
        <v>27</v>
      </c>
      <c r="E73" s="1" t="s">
        <v>34</v>
      </c>
      <c r="F73" s="1" t="s">
        <v>50</v>
      </c>
      <c r="G73" s="11" t="s">
        <v>1266</v>
      </c>
      <c r="H73" s="11" t="s">
        <v>4702</v>
      </c>
      <c r="I73" s="1" t="s">
        <v>77</v>
      </c>
      <c r="J73" s="1" t="s">
        <v>2152</v>
      </c>
      <c r="K73" s="1" t="s">
        <v>1233</v>
      </c>
      <c r="L73" s="1" t="s">
        <v>1329</v>
      </c>
      <c r="M73" s="1" t="s">
        <v>1331</v>
      </c>
      <c r="N73" s="1" t="s">
        <v>1330</v>
      </c>
      <c r="O73" s="1" t="s">
        <v>1164</v>
      </c>
      <c r="P73" s="1" t="s">
        <v>1339</v>
      </c>
      <c r="Q73" s="1" t="s">
        <v>194</v>
      </c>
      <c r="R73" s="1" t="s">
        <v>32</v>
      </c>
      <c r="S73" s="1" t="s">
        <v>2170</v>
      </c>
      <c r="T73" s="1" t="s">
        <v>643</v>
      </c>
      <c r="U73" s="1" t="s">
        <v>31</v>
      </c>
      <c r="V73" s="1" t="s">
        <v>90</v>
      </c>
      <c r="W73" s="14" t="s">
        <v>2</v>
      </c>
      <c r="X73" s="14" t="s">
        <v>4650</v>
      </c>
      <c r="Y73" s="14" t="s">
        <v>4528</v>
      </c>
      <c r="Z73" s="14" t="s">
        <v>31</v>
      </c>
      <c r="AA73" s="14" t="s">
        <v>4503</v>
      </c>
      <c r="AB73" s="14">
        <v>2</v>
      </c>
      <c r="AC73" s="14" t="s">
        <v>4504</v>
      </c>
      <c r="AD73" s="14">
        <v>2</v>
      </c>
      <c r="AE73" s="14" t="s">
        <v>626</v>
      </c>
      <c r="AF73" s="14" t="s">
        <v>4191</v>
      </c>
      <c r="AG73" s="14" t="s">
        <v>4191</v>
      </c>
      <c r="AH73" s="14" t="s">
        <v>4191</v>
      </c>
      <c r="AI73" s="14" t="s">
        <v>4191</v>
      </c>
      <c r="AJ73" s="14" t="s">
        <v>194</v>
      </c>
      <c r="AK73" s="14" t="s">
        <v>194</v>
      </c>
      <c r="AL73" s="14" t="s">
        <v>194</v>
      </c>
      <c r="AM73" s="14" t="s">
        <v>194</v>
      </c>
      <c r="AN73" s="14" t="s">
        <v>194</v>
      </c>
      <c r="AO73" s="14" t="s">
        <v>194</v>
      </c>
      <c r="AP73" s="14" t="s">
        <v>194</v>
      </c>
      <c r="AQ73" s="14" t="s">
        <v>2890</v>
      </c>
      <c r="AR73" s="14" t="s">
        <v>4512</v>
      </c>
      <c r="BF73" s="1"/>
      <c r="BG73" s="1"/>
      <c r="BH73" s="1"/>
      <c r="BI73" s="1"/>
      <c r="BJ73" s="1"/>
      <c r="BK73" s="1"/>
      <c r="BL73" s="1"/>
      <c r="BM73" s="1"/>
    </row>
    <row r="74" spans="1:65" ht="105" hidden="1" x14ac:dyDescent="0.25">
      <c r="A74" s="1" t="s">
        <v>1348</v>
      </c>
      <c r="B74" s="1" t="s">
        <v>1418</v>
      </c>
      <c r="C74" s="1" t="s">
        <v>26</v>
      </c>
      <c r="D74" s="1" t="s">
        <v>27</v>
      </c>
      <c r="E74" s="1" t="s">
        <v>28</v>
      </c>
      <c r="F74" s="1" t="s">
        <v>35</v>
      </c>
      <c r="G74" s="11" t="s">
        <v>6</v>
      </c>
      <c r="H74" s="11" t="s">
        <v>4684</v>
      </c>
      <c r="I74" s="1" t="s">
        <v>82</v>
      </c>
      <c r="J74" s="1" t="s">
        <v>2152</v>
      </c>
      <c r="K74" s="1" t="s">
        <v>2153</v>
      </c>
      <c r="L74" s="1" t="s">
        <v>1329</v>
      </c>
      <c r="M74" s="1" t="s">
        <v>562</v>
      </c>
      <c r="N74" s="1" t="s">
        <v>1330</v>
      </c>
      <c r="O74" s="1" t="s">
        <v>1164</v>
      </c>
      <c r="P74" s="1" t="s">
        <v>1339</v>
      </c>
      <c r="Q74" s="1" t="s">
        <v>194</v>
      </c>
      <c r="R74" s="1" t="s">
        <v>308</v>
      </c>
      <c r="S74" s="1" t="s">
        <v>563</v>
      </c>
      <c r="T74" s="1" t="s">
        <v>643</v>
      </c>
      <c r="U74" s="1" t="s">
        <v>31</v>
      </c>
      <c r="V74" s="1" t="s">
        <v>90</v>
      </c>
      <c r="W74" s="14" t="s">
        <v>2</v>
      </c>
      <c r="X74" s="14" t="s">
        <v>4650</v>
      </c>
      <c r="Y74" s="14" t="s">
        <v>194</v>
      </c>
      <c r="Z74" s="14" t="s">
        <v>31</v>
      </c>
      <c r="AA74" s="14" t="s">
        <v>4506</v>
      </c>
      <c r="AB74" s="14">
        <v>1</v>
      </c>
      <c r="AC74" s="14" t="s">
        <v>194</v>
      </c>
      <c r="AD74" s="14">
        <v>0</v>
      </c>
      <c r="AE74" s="14" t="s">
        <v>626</v>
      </c>
      <c r="AF74" s="14" t="s">
        <v>626</v>
      </c>
      <c r="AG74" s="14" t="s">
        <v>626</v>
      </c>
      <c r="AH74" s="14" t="s">
        <v>4191</v>
      </c>
      <c r="AI74" s="14" t="s">
        <v>4191</v>
      </c>
      <c r="AJ74" s="14" t="s">
        <v>194</v>
      </c>
      <c r="AK74" s="14" t="s">
        <v>194</v>
      </c>
      <c r="AL74" s="14" t="s">
        <v>194</v>
      </c>
      <c r="AM74" s="14" t="s">
        <v>194</v>
      </c>
      <c r="AN74" s="14" t="s">
        <v>194</v>
      </c>
      <c r="AO74" s="14" t="s">
        <v>194</v>
      </c>
      <c r="AP74" s="14" t="s">
        <v>194</v>
      </c>
      <c r="AQ74" s="14" t="s">
        <v>2890</v>
      </c>
      <c r="AR74" s="14" t="s">
        <v>4512</v>
      </c>
      <c r="BF74" s="1"/>
      <c r="BG74" s="1"/>
      <c r="BH74" s="1"/>
      <c r="BI74" s="1"/>
      <c r="BJ74" s="1"/>
      <c r="BK74" s="1"/>
      <c r="BL74" s="1"/>
      <c r="BM74" s="1"/>
    </row>
    <row r="75" spans="1:65" ht="105" hidden="1" x14ac:dyDescent="0.25">
      <c r="A75" s="1" t="s">
        <v>112</v>
      </c>
      <c r="B75" s="1" t="s">
        <v>653</v>
      </c>
      <c r="C75" s="1" t="s">
        <v>26</v>
      </c>
      <c r="D75" s="1" t="s">
        <v>27</v>
      </c>
      <c r="E75" s="1" t="s">
        <v>34</v>
      </c>
      <c r="F75" s="1" t="s">
        <v>29</v>
      </c>
      <c r="G75" s="11" t="s">
        <v>6</v>
      </c>
      <c r="H75" s="11" t="s">
        <v>4703</v>
      </c>
      <c r="I75" s="1" t="s">
        <v>82</v>
      </c>
      <c r="J75" s="1" t="s">
        <v>2140</v>
      </c>
      <c r="K75" s="1" t="s">
        <v>2161</v>
      </c>
      <c r="L75" s="1" t="s">
        <v>1329</v>
      </c>
      <c r="M75" s="1" t="s">
        <v>562</v>
      </c>
      <c r="N75" s="1" t="s">
        <v>1330</v>
      </c>
      <c r="O75" s="1" t="s">
        <v>1164</v>
      </c>
      <c r="P75" s="1" t="s">
        <v>1339</v>
      </c>
      <c r="Q75" s="1" t="s">
        <v>194</v>
      </c>
      <c r="R75" s="1" t="s">
        <v>2</v>
      </c>
      <c r="S75" s="1" t="s">
        <v>576</v>
      </c>
      <c r="T75" s="1" t="s">
        <v>643</v>
      </c>
      <c r="U75" s="1" t="s">
        <v>31</v>
      </c>
      <c r="V75" s="1" t="s">
        <v>2</v>
      </c>
      <c r="W75" s="14" t="s">
        <v>2</v>
      </c>
      <c r="X75" s="14" t="s">
        <v>4650</v>
      </c>
      <c r="Y75" s="14" t="s">
        <v>194</v>
      </c>
      <c r="Z75" s="14" t="s">
        <v>31</v>
      </c>
      <c r="AA75" s="14" t="s">
        <v>4506</v>
      </c>
      <c r="AB75" s="14">
        <v>1</v>
      </c>
      <c r="AC75" s="14" t="s">
        <v>194</v>
      </c>
      <c r="AD75" s="14">
        <v>0</v>
      </c>
      <c r="AE75" s="14" t="s">
        <v>626</v>
      </c>
      <c r="AF75" s="14" t="s">
        <v>626</v>
      </c>
      <c r="AG75" s="14" t="s">
        <v>626</v>
      </c>
      <c r="AH75" s="14" t="s">
        <v>4191</v>
      </c>
      <c r="AI75" s="14" t="s">
        <v>626</v>
      </c>
      <c r="AJ75" s="14" t="s">
        <v>194</v>
      </c>
      <c r="AK75" s="14" t="s">
        <v>194</v>
      </c>
      <c r="AL75" s="14" t="s">
        <v>194</v>
      </c>
      <c r="AM75" s="14" t="s">
        <v>194</v>
      </c>
      <c r="AN75" s="14" t="s">
        <v>194</v>
      </c>
      <c r="AO75" s="14" t="s">
        <v>194</v>
      </c>
      <c r="AP75" s="14" t="s">
        <v>194</v>
      </c>
      <c r="AQ75" s="14" t="s">
        <v>2890</v>
      </c>
      <c r="AR75" s="14" t="s">
        <v>4512</v>
      </c>
      <c r="BF75" s="1"/>
      <c r="BG75" s="1"/>
      <c r="BH75" s="1"/>
      <c r="BI75" s="1"/>
      <c r="BJ75" s="1"/>
      <c r="BK75" s="1"/>
      <c r="BL75" s="1"/>
      <c r="BM75" s="1"/>
    </row>
    <row r="76" spans="1:65" ht="105" hidden="1" x14ac:dyDescent="0.25">
      <c r="A76" s="1" t="s">
        <v>648</v>
      </c>
      <c r="B76" s="1" t="s">
        <v>113</v>
      </c>
      <c r="C76" s="1" t="s">
        <v>26</v>
      </c>
      <c r="D76" s="1" t="s">
        <v>27</v>
      </c>
      <c r="E76" s="1" t="s">
        <v>34</v>
      </c>
      <c r="F76" s="1" t="s">
        <v>29</v>
      </c>
      <c r="G76" s="11" t="s">
        <v>528</v>
      </c>
      <c r="H76" s="11" t="s">
        <v>4703</v>
      </c>
      <c r="I76" s="1" t="s">
        <v>82</v>
      </c>
      <c r="J76" s="1" t="s">
        <v>2140</v>
      </c>
      <c r="K76" s="1" t="s">
        <v>2161</v>
      </c>
      <c r="L76" s="1" t="s">
        <v>1329</v>
      </c>
      <c r="M76" s="1" t="s">
        <v>562</v>
      </c>
      <c r="N76" s="1" t="s">
        <v>1330</v>
      </c>
      <c r="O76" s="1" t="s">
        <v>1164</v>
      </c>
      <c r="P76" s="1" t="s">
        <v>1339</v>
      </c>
      <c r="Q76" s="1" t="s">
        <v>194</v>
      </c>
      <c r="R76" s="1" t="s">
        <v>2</v>
      </c>
      <c r="S76" s="1" t="s">
        <v>576</v>
      </c>
      <c r="T76" s="1" t="s">
        <v>643</v>
      </c>
      <c r="U76" s="1" t="s">
        <v>31</v>
      </c>
      <c r="V76" s="1" t="s">
        <v>2</v>
      </c>
      <c r="W76" s="14" t="s">
        <v>2</v>
      </c>
      <c r="X76" s="14" t="s">
        <v>4650</v>
      </c>
      <c r="Y76" s="14" t="s">
        <v>194</v>
      </c>
      <c r="Z76" s="14" t="s">
        <v>31</v>
      </c>
      <c r="AA76" s="14" t="s">
        <v>4506</v>
      </c>
      <c r="AB76" s="14">
        <v>1</v>
      </c>
      <c r="AC76" s="14" t="s">
        <v>194</v>
      </c>
      <c r="AD76" s="14">
        <v>0</v>
      </c>
      <c r="AE76" s="14" t="s">
        <v>626</v>
      </c>
      <c r="AF76" s="14" t="s">
        <v>626</v>
      </c>
      <c r="AG76" s="14" t="s">
        <v>626</v>
      </c>
      <c r="AH76" s="14" t="s">
        <v>4191</v>
      </c>
      <c r="AI76" s="14" t="s">
        <v>626</v>
      </c>
      <c r="AJ76" s="14" t="s">
        <v>194</v>
      </c>
      <c r="AK76" s="14" t="s">
        <v>194</v>
      </c>
      <c r="AL76" s="14" t="s">
        <v>194</v>
      </c>
      <c r="AM76" s="14" t="s">
        <v>194</v>
      </c>
      <c r="AN76" s="14" t="s">
        <v>194</v>
      </c>
      <c r="AO76" s="14" t="s">
        <v>194</v>
      </c>
      <c r="AP76" s="14" t="s">
        <v>194</v>
      </c>
      <c r="AQ76" s="14" t="s">
        <v>2890</v>
      </c>
      <c r="AR76" s="14" t="s">
        <v>4512</v>
      </c>
      <c r="BF76" s="1"/>
      <c r="BG76" s="1"/>
      <c r="BH76" s="1"/>
      <c r="BI76" s="1"/>
      <c r="BJ76" s="1"/>
      <c r="BK76" s="1"/>
      <c r="BL76" s="1"/>
      <c r="BM76" s="1"/>
    </row>
    <row r="77" spans="1:65" ht="105" hidden="1" x14ac:dyDescent="0.25">
      <c r="A77" s="1" t="s">
        <v>692</v>
      </c>
      <c r="B77" s="1" t="s">
        <v>679</v>
      </c>
      <c r="C77" s="1" t="s">
        <v>26</v>
      </c>
      <c r="D77" s="1" t="s">
        <v>27</v>
      </c>
      <c r="E77" s="1" t="s">
        <v>34</v>
      </c>
      <c r="F77" s="1" t="s">
        <v>29</v>
      </c>
      <c r="G77" s="11" t="s">
        <v>680</v>
      </c>
      <c r="H77" s="11" t="s">
        <v>4703</v>
      </c>
      <c r="I77" s="1" t="s">
        <v>82</v>
      </c>
      <c r="J77" s="1" t="s">
        <v>2140</v>
      </c>
      <c r="K77" s="1" t="s">
        <v>2161</v>
      </c>
      <c r="L77" s="1" t="s">
        <v>1329</v>
      </c>
      <c r="M77" s="1" t="s">
        <v>562</v>
      </c>
      <c r="N77" s="1" t="s">
        <v>1330</v>
      </c>
      <c r="O77" s="1" t="s">
        <v>1164</v>
      </c>
      <c r="P77" s="1" t="s">
        <v>1339</v>
      </c>
      <c r="Q77" s="1" t="s">
        <v>194</v>
      </c>
      <c r="R77" s="1" t="s">
        <v>2</v>
      </c>
      <c r="S77" s="1" t="s">
        <v>576</v>
      </c>
      <c r="T77" s="1" t="s">
        <v>643</v>
      </c>
      <c r="U77" s="1" t="s">
        <v>31</v>
      </c>
      <c r="V77" s="1" t="s">
        <v>2</v>
      </c>
      <c r="W77" s="14" t="s">
        <v>2</v>
      </c>
      <c r="X77" s="14" t="s">
        <v>4650</v>
      </c>
      <c r="Y77" s="14" t="s">
        <v>194</v>
      </c>
      <c r="Z77" s="14" t="s">
        <v>31</v>
      </c>
      <c r="AA77" s="14" t="s">
        <v>4506</v>
      </c>
      <c r="AB77" s="14">
        <v>1</v>
      </c>
      <c r="AC77" s="14" t="s">
        <v>194</v>
      </c>
      <c r="AD77" s="14">
        <v>0</v>
      </c>
      <c r="AE77" s="14" t="s">
        <v>626</v>
      </c>
      <c r="AF77" s="14" t="s">
        <v>626</v>
      </c>
      <c r="AG77" s="14" t="s">
        <v>626</v>
      </c>
      <c r="AH77" s="14" t="s">
        <v>4191</v>
      </c>
      <c r="AI77" s="14" t="s">
        <v>626</v>
      </c>
      <c r="AJ77" s="14" t="s">
        <v>194</v>
      </c>
      <c r="AK77" s="14" t="s">
        <v>194</v>
      </c>
      <c r="AL77" s="14" t="s">
        <v>194</v>
      </c>
      <c r="AM77" s="14" t="s">
        <v>194</v>
      </c>
      <c r="AN77" s="14" t="s">
        <v>194</v>
      </c>
      <c r="AO77" s="14" t="s">
        <v>194</v>
      </c>
      <c r="AP77" s="14" t="s">
        <v>194</v>
      </c>
      <c r="AQ77" s="14" t="s">
        <v>2890</v>
      </c>
      <c r="AR77" s="14" t="s">
        <v>4512</v>
      </c>
      <c r="BF77" s="1"/>
      <c r="BG77" s="1"/>
      <c r="BH77" s="1"/>
      <c r="BI77" s="1"/>
      <c r="BJ77" s="1"/>
      <c r="BK77" s="1"/>
      <c r="BL77" s="1"/>
      <c r="BM77" s="1"/>
    </row>
    <row r="78" spans="1:65" ht="105" hidden="1" x14ac:dyDescent="0.25">
      <c r="A78" s="1" t="s">
        <v>1216</v>
      </c>
      <c r="B78" s="1" t="s">
        <v>1217</v>
      </c>
      <c r="C78" s="1" t="s">
        <v>26</v>
      </c>
      <c r="D78" s="1" t="s">
        <v>27</v>
      </c>
      <c r="E78" s="1" t="s">
        <v>34</v>
      </c>
      <c r="F78" s="1" t="s">
        <v>29</v>
      </c>
      <c r="G78" s="11" t="s">
        <v>1218</v>
      </c>
      <c r="H78" s="11" t="s">
        <v>4703</v>
      </c>
      <c r="I78" s="1" t="s">
        <v>82</v>
      </c>
      <c r="J78" s="1" t="s">
        <v>2140</v>
      </c>
      <c r="K78" s="1" t="s">
        <v>2161</v>
      </c>
      <c r="L78" s="1" t="s">
        <v>1329</v>
      </c>
      <c r="M78" s="1" t="s">
        <v>562</v>
      </c>
      <c r="N78" s="1" t="s">
        <v>1330</v>
      </c>
      <c r="O78" s="1" t="s">
        <v>1164</v>
      </c>
      <c r="P78" s="1" t="s">
        <v>1339</v>
      </c>
      <c r="Q78" s="1" t="s">
        <v>194</v>
      </c>
      <c r="R78" s="1" t="s">
        <v>2</v>
      </c>
      <c r="S78" s="1" t="s">
        <v>576</v>
      </c>
      <c r="T78" s="1" t="s">
        <v>643</v>
      </c>
      <c r="U78" s="1" t="s">
        <v>31</v>
      </c>
      <c r="V78" s="1" t="s">
        <v>2</v>
      </c>
      <c r="W78" s="14" t="s">
        <v>2</v>
      </c>
      <c r="X78" s="14" t="s">
        <v>4650</v>
      </c>
      <c r="Y78" s="14" t="s">
        <v>194</v>
      </c>
      <c r="Z78" s="14" t="s">
        <v>31</v>
      </c>
      <c r="AA78" s="14" t="s">
        <v>4506</v>
      </c>
      <c r="AB78" s="14">
        <v>1</v>
      </c>
      <c r="AC78" s="14" t="s">
        <v>194</v>
      </c>
      <c r="AD78" s="14">
        <v>0</v>
      </c>
      <c r="AE78" s="14" t="s">
        <v>626</v>
      </c>
      <c r="AF78" s="14" t="s">
        <v>626</v>
      </c>
      <c r="AG78" s="14" t="s">
        <v>626</v>
      </c>
      <c r="AH78" s="14" t="s">
        <v>4191</v>
      </c>
      <c r="AI78" s="14" t="s">
        <v>626</v>
      </c>
      <c r="AJ78" s="14" t="s">
        <v>194</v>
      </c>
      <c r="AK78" s="14" t="s">
        <v>194</v>
      </c>
      <c r="AL78" s="14" t="s">
        <v>194</v>
      </c>
      <c r="AM78" s="14" t="s">
        <v>194</v>
      </c>
      <c r="AN78" s="14" t="s">
        <v>194</v>
      </c>
      <c r="AO78" s="14" t="s">
        <v>194</v>
      </c>
      <c r="AP78" s="14" t="s">
        <v>194</v>
      </c>
      <c r="AQ78" s="14" t="s">
        <v>2890</v>
      </c>
      <c r="AR78" s="14" t="s">
        <v>4512</v>
      </c>
      <c r="BF78" s="1"/>
      <c r="BG78" s="1"/>
      <c r="BH78" s="1"/>
      <c r="BI78" s="1"/>
      <c r="BJ78" s="1"/>
      <c r="BK78" s="1"/>
      <c r="BL78" s="1"/>
      <c r="BM78" s="1"/>
    </row>
    <row r="79" spans="1:65" ht="105" hidden="1" x14ac:dyDescent="0.25">
      <c r="A79" s="1" t="s">
        <v>1669</v>
      </c>
      <c r="B79" s="1" t="s">
        <v>1435</v>
      </c>
      <c r="C79" s="1" t="s">
        <v>26</v>
      </c>
      <c r="D79" s="1" t="s">
        <v>27</v>
      </c>
      <c r="E79" s="1" t="s">
        <v>28</v>
      </c>
      <c r="F79" s="1" t="s">
        <v>29</v>
      </c>
      <c r="G79" s="11" t="s">
        <v>1707</v>
      </c>
      <c r="H79" s="11" t="s">
        <v>4684</v>
      </c>
      <c r="I79" s="1" t="s">
        <v>30</v>
      </c>
      <c r="J79" s="1" t="s">
        <v>2133</v>
      </c>
      <c r="K79" s="1" t="s">
        <v>2162</v>
      </c>
      <c r="L79" s="1" t="s">
        <v>1329</v>
      </c>
      <c r="M79" s="1" t="s">
        <v>562</v>
      </c>
      <c r="N79" s="1" t="s">
        <v>1330</v>
      </c>
      <c r="O79" s="1" t="s">
        <v>1164</v>
      </c>
      <c r="P79" s="1" t="s">
        <v>1339</v>
      </c>
      <c r="Q79" s="1" t="s">
        <v>194</v>
      </c>
      <c r="R79" s="1" t="s">
        <v>2</v>
      </c>
      <c r="S79" s="1" t="s">
        <v>576</v>
      </c>
      <c r="T79" s="1" t="s">
        <v>643</v>
      </c>
      <c r="U79" s="1" t="s">
        <v>31</v>
      </c>
      <c r="V79" s="1" t="s">
        <v>90</v>
      </c>
      <c r="W79" s="14" t="s">
        <v>2</v>
      </c>
      <c r="X79" s="14" t="s">
        <v>4650</v>
      </c>
      <c r="Y79" s="14" t="s">
        <v>194</v>
      </c>
      <c r="Z79" s="14" t="s">
        <v>31</v>
      </c>
      <c r="AA79" s="14" t="s">
        <v>4506</v>
      </c>
      <c r="AB79" s="14">
        <v>1</v>
      </c>
      <c r="AC79" s="14" t="s">
        <v>194</v>
      </c>
      <c r="AD79" s="14">
        <v>0</v>
      </c>
      <c r="AE79" s="14" t="s">
        <v>626</v>
      </c>
      <c r="AF79" s="14" t="s">
        <v>626</v>
      </c>
      <c r="AG79" s="14" t="s">
        <v>626</v>
      </c>
      <c r="AH79" s="14" t="s">
        <v>4191</v>
      </c>
      <c r="AI79" s="14" t="s">
        <v>4191</v>
      </c>
      <c r="AJ79" s="14" t="s">
        <v>194</v>
      </c>
      <c r="AK79" s="14" t="s">
        <v>194</v>
      </c>
      <c r="AL79" s="14" t="s">
        <v>194</v>
      </c>
      <c r="AM79" s="14" t="s">
        <v>194</v>
      </c>
      <c r="AN79" s="14" t="s">
        <v>194</v>
      </c>
      <c r="AO79" s="14" t="s">
        <v>194</v>
      </c>
      <c r="AP79" s="14" t="s">
        <v>194</v>
      </c>
      <c r="AQ79" s="14" t="s">
        <v>2890</v>
      </c>
      <c r="AR79" s="14" t="s">
        <v>4512</v>
      </c>
      <c r="BF79" s="1"/>
      <c r="BG79" s="1"/>
      <c r="BH79" s="1"/>
      <c r="BI79" s="1"/>
      <c r="BJ79" s="1"/>
      <c r="BK79" s="1"/>
      <c r="BL79" s="1"/>
      <c r="BM79" s="1"/>
    </row>
    <row r="80" spans="1:65" ht="105" hidden="1" x14ac:dyDescent="0.25">
      <c r="A80" s="1" t="s">
        <v>1671</v>
      </c>
      <c r="B80" s="1" t="s">
        <v>1436</v>
      </c>
      <c r="C80" s="1" t="s">
        <v>26</v>
      </c>
      <c r="D80" s="1" t="s">
        <v>27</v>
      </c>
      <c r="E80" s="1" t="s">
        <v>28</v>
      </c>
      <c r="F80" s="1" t="s">
        <v>29</v>
      </c>
      <c r="G80" s="11" t="s">
        <v>1708</v>
      </c>
      <c r="H80" s="11" t="s">
        <v>4684</v>
      </c>
      <c r="I80" s="1" t="s">
        <v>30</v>
      </c>
      <c r="J80" s="1" t="s">
        <v>2133</v>
      </c>
      <c r="K80" s="1" t="s">
        <v>2162</v>
      </c>
      <c r="L80" s="1" t="s">
        <v>1329</v>
      </c>
      <c r="M80" s="1" t="s">
        <v>562</v>
      </c>
      <c r="N80" s="1" t="s">
        <v>1330</v>
      </c>
      <c r="O80" s="1" t="s">
        <v>1164</v>
      </c>
      <c r="P80" s="1" t="s">
        <v>1339</v>
      </c>
      <c r="Q80" s="1" t="s">
        <v>194</v>
      </c>
      <c r="R80" s="1" t="s">
        <v>2</v>
      </c>
      <c r="S80" s="1" t="s">
        <v>576</v>
      </c>
      <c r="T80" s="1" t="s">
        <v>643</v>
      </c>
      <c r="U80" s="1" t="s">
        <v>31</v>
      </c>
      <c r="V80" s="1" t="s">
        <v>90</v>
      </c>
      <c r="W80" s="14" t="s">
        <v>2</v>
      </c>
      <c r="X80" s="14" t="s">
        <v>4650</v>
      </c>
      <c r="Y80" s="14" t="s">
        <v>194</v>
      </c>
      <c r="Z80" s="14" t="s">
        <v>31</v>
      </c>
      <c r="AA80" s="14" t="s">
        <v>4506</v>
      </c>
      <c r="AB80" s="14">
        <v>1</v>
      </c>
      <c r="AC80" s="14" t="s">
        <v>194</v>
      </c>
      <c r="AD80" s="14">
        <v>0</v>
      </c>
      <c r="AE80" s="14" t="s">
        <v>626</v>
      </c>
      <c r="AF80" s="14" t="s">
        <v>626</v>
      </c>
      <c r="AG80" s="14" t="s">
        <v>626</v>
      </c>
      <c r="AH80" s="14" t="s">
        <v>4191</v>
      </c>
      <c r="AI80" s="14" t="s">
        <v>4191</v>
      </c>
      <c r="AJ80" s="14" t="s">
        <v>194</v>
      </c>
      <c r="AK80" s="14" t="s">
        <v>194</v>
      </c>
      <c r="AL80" s="14" t="s">
        <v>194</v>
      </c>
      <c r="AM80" s="14" t="s">
        <v>194</v>
      </c>
      <c r="AN80" s="14" t="s">
        <v>194</v>
      </c>
      <c r="AO80" s="14" t="s">
        <v>194</v>
      </c>
      <c r="AP80" s="14" t="s">
        <v>194</v>
      </c>
      <c r="AQ80" s="14" t="s">
        <v>2890</v>
      </c>
      <c r="AR80" s="14" t="s">
        <v>4512</v>
      </c>
      <c r="BF80" s="1"/>
      <c r="BG80" s="1"/>
      <c r="BH80" s="1"/>
      <c r="BI80" s="1"/>
      <c r="BJ80" s="1"/>
      <c r="BK80" s="1"/>
      <c r="BL80" s="1"/>
      <c r="BM80" s="1"/>
    </row>
    <row r="81" spans="1:65" ht="105" hidden="1" x14ac:dyDescent="0.25">
      <c r="A81" s="1" t="s">
        <v>1673</v>
      </c>
      <c r="B81" s="1" t="s">
        <v>1437</v>
      </c>
      <c r="C81" s="1" t="s">
        <v>26</v>
      </c>
      <c r="D81" s="1" t="s">
        <v>27</v>
      </c>
      <c r="E81" s="1" t="s">
        <v>28</v>
      </c>
      <c r="F81" s="1" t="s">
        <v>29</v>
      </c>
      <c r="G81" s="11" t="s">
        <v>1709</v>
      </c>
      <c r="H81" s="11" t="s">
        <v>4684</v>
      </c>
      <c r="I81" s="1" t="s">
        <v>30</v>
      </c>
      <c r="J81" s="1" t="s">
        <v>2133</v>
      </c>
      <c r="K81" s="1" t="s">
        <v>2162</v>
      </c>
      <c r="L81" s="1" t="s">
        <v>1329</v>
      </c>
      <c r="M81" s="1" t="s">
        <v>562</v>
      </c>
      <c r="N81" s="1" t="s">
        <v>1330</v>
      </c>
      <c r="O81" s="1" t="s">
        <v>1164</v>
      </c>
      <c r="P81" s="1" t="s">
        <v>1339</v>
      </c>
      <c r="Q81" s="1" t="s">
        <v>194</v>
      </c>
      <c r="R81" s="1" t="s">
        <v>2</v>
      </c>
      <c r="S81" s="1" t="s">
        <v>576</v>
      </c>
      <c r="T81" s="1" t="s">
        <v>643</v>
      </c>
      <c r="U81" s="1" t="s">
        <v>31</v>
      </c>
      <c r="V81" s="1" t="s">
        <v>90</v>
      </c>
      <c r="W81" s="14" t="s">
        <v>2</v>
      </c>
      <c r="X81" s="14" t="s">
        <v>4650</v>
      </c>
      <c r="Y81" s="14" t="s">
        <v>194</v>
      </c>
      <c r="Z81" s="14" t="s">
        <v>31</v>
      </c>
      <c r="AA81" s="14" t="s">
        <v>4506</v>
      </c>
      <c r="AB81" s="14">
        <v>1</v>
      </c>
      <c r="AC81" s="14" t="s">
        <v>194</v>
      </c>
      <c r="AD81" s="14">
        <v>0</v>
      </c>
      <c r="AE81" s="14" t="s">
        <v>626</v>
      </c>
      <c r="AF81" s="14" t="s">
        <v>626</v>
      </c>
      <c r="AG81" s="14" t="s">
        <v>626</v>
      </c>
      <c r="AH81" s="14" t="s">
        <v>4191</v>
      </c>
      <c r="AI81" s="14" t="s">
        <v>4191</v>
      </c>
      <c r="AJ81" s="14" t="s">
        <v>194</v>
      </c>
      <c r="AK81" s="14" t="s">
        <v>194</v>
      </c>
      <c r="AL81" s="14" t="s">
        <v>194</v>
      </c>
      <c r="AM81" s="14" t="s">
        <v>194</v>
      </c>
      <c r="AN81" s="14" t="s">
        <v>194</v>
      </c>
      <c r="AO81" s="14" t="s">
        <v>194</v>
      </c>
      <c r="AP81" s="14" t="s">
        <v>194</v>
      </c>
      <c r="AQ81" s="14" t="s">
        <v>2890</v>
      </c>
      <c r="AR81" s="14" t="s">
        <v>4512</v>
      </c>
      <c r="BF81" s="1"/>
      <c r="BG81" s="1"/>
      <c r="BH81" s="1"/>
      <c r="BI81" s="1"/>
      <c r="BJ81" s="1"/>
      <c r="BK81" s="1"/>
      <c r="BL81" s="1"/>
      <c r="BM81" s="1"/>
    </row>
    <row r="82" spans="1:65" ht="105" hidden="1" x14ac:dyDescent="0.25">
      <c r="A82" s="1" t="s">
        <v>1848</v>
      </c>
      <c r="B82" s="1" t="s">
        <v>1871</v>
      </c>
      <c r="C82" s="1" t="s">
        <v>26</v>
      </c>
      <c r="D82" s="1" t="s">
        <v>27</v>
      </c>
      <c r="E82" s="1" t="s">
        <v>28</v>
      </c>
      <c r="F82" s="1" t="s">
        <v>29</v>
      </c>
      <c r="G82" s="11" t="s">
        <v>6</v>
      </c>
      <c r="H82" s="11" t="s">
        <v>4683</v>
      </c>
      <c r="I82" s="1" t="s">
        <v>30</v>
      </c>
      <c r="J82" s="1" t="s">
        <v>2141</v>
      </c>
      <c r="K82" s="1" t="s">
        <v>2142</v>
      </c>
      <c r="L82" s="1" t="s">
        <v>1329</v>
      </c>
      <c r="M82" s="1" t="s">
        <v>562</v>
      </c>
      <c r="N82" s="1" t="s">
        <v>1330</v>
      </c>
      <c r="O82" s="1" t="s">
        <v>1164</v>
      </c>
      <c r="P82" s="1" t="s">
        <v>1339</v>
      </c>
      <c r="Q82" s="1" t="s">
        <v>194</v>
      </c>
      <c r="R82" s="1" t="s">
        <v>2</v>
      </c>
      <c r="S82" s="1" t="s">
        <v>576</v>
      </c>
      <c r="T82" s="1" t="s">
        <v>643</v>
      </c>
      <c r="U82" s="1" t="s">
        <v>31</v>
      </c>
      <c r="V82" s="1" t="s">
        <v>90</v>
      </c>
      <c r="W82" s="14" t="s">
        <v>32</v>
      </c>
      <c r="X82" s="14" t="s">
        <v>4650</v>
      </c>
      <c r="Y82" s="14" t="s">
        <v>194</v>
      </c>
      <c r="Z82" s="14" t="s">
        <v>31</v>
      </c>
      <c r="AA82" s="14" t="s">
        <v>4503</v>
      </c>
      <c r="AB82" s="14">
        <v>1</v>
      </c>
      <c r="AC82" s="14" t="s">
        <v>194</v>
      </c>
      <c r="AD82" s="14">
        <v>0</v>
      </c>
      <c r="AE82" s="14" t="s">
        <v>626</v>
      </c>
      <c r="AF82" s="14" t="s">
        <v>626</v>
      </c>
      <c r="AG82" s="14" t="s">
        <v>626</v>
      </c>
      <c r="AH82" s="14" t="s">
        <v>4191</v>
      </c>
      <c r="AI82" s="14" t="s">
        <v>4191</v>
      </c>
      <c r="AJ82" s="14" t="s">
        <v>194</v>
      </c>
      <c r="AK82" s="14" t="s">
        <v>194</v>
      </c>
      <c r="AL82" s="14" t="s">
        <v>194</v>
      </c>
      <c r="AM82" s="14" t="s">
        <v>194</v>
      </c>
      <c r="AN82" s="14" t="s">
        <v>194</v>
      </c>
      <c r="AO82" s="14" t="s">
        <v>194</v>
      </c>
      <c r="AP82" s="14" t="s">
        <v>194</v>
      </c>
      <c r="AQ82" s="14" t="s">
        <v>2890</v>
      </c>
      <c r="AR82" s="14" t="s">
        <v>4512</v>
      </c>
      <c r="BF82" s="1"/>
      <c r="BG82" s="1"/>
      <c r="BH82" s="1"/>
      <c r="BI82" s="1"/>
      <c r="BJ82" s="1"/>
      <c r="BK82" s="1"/>
      <c r="BL82" s="1"/>
      <c r="BM82" s="1"/>
    </row>
    <row r="83" spans="1:65" ht="105" hidden="1" x14ac:dyDescent="0.25">
      <c r="A83" s="1" t="s">
        <v>1850</v>
      </c>
      <c r="B83" s="1" t="s">
        <v>1872</v>
      </c>
      <c r="C83" s="1" t="s">
        <v>26</v>
      </c>
      <c r="D83" s="1" t="s">
        <v>27</v>
      </c>
      <c r="E83" s="1" t="s">
        <v>34</v>
      </c>
      <c r="F83" s="1" t="s">
        <v>29</v>
      </c>
      <c r="G83" s="11" t="s">
        <v>6</v>
      </c>
      <c r="H83" s="11" t="s">
        <v>4683</v>
      </c>
      <c r="I83" s="1" t="s">
        <v>30</v>
      </c>
      <c r="J83" s="1" t="s">
        <v>2141</v>
      </c>
      <c r="K83" s="1" t="s">
        <v>2142</v>
      </c>
      <c r="L83" s="1" t="s">
        <v>1329</v>
      </c>
      <c r="M83" s="1" t="s">
        <v>562</v>
      </c>
      <c r="N83" s="1" t="s">
        <v>1330</v>
      </c>
      <c r="O83" s="1" t="s">
        <v>1164</v>
      </c>
      <c r="P83" s="1" t="s">
        <v>1339</v>
      </c>
      <c r="Q83" s="1" t="s">
        <v>194</v>
      </c>
      <c r="R83" s="1" t="s">
        <v>2</v>
      </c>
      <c r="S83" s="1" t="s">
        <v>576</v>
      </c>
      <c r="T83" s="1" t="s">
        <v>643</v>
      </c>
      <c r="U83" s="1" t="s">
        <v>31</v>
      </c>
      <c r="V83" s="1" t="s">
        <v>90</v>
      </c>
      <c r="W83" s="14" t="s">
        <v>32</v>
      </c>
      <c r="X83" s="14" t="s">
        <v>4650</v>
      </c>
      <c r="Y83" s="14" t="s">
        <v>194</v>
      </c>
      <c r="Z83" s="14" t="s">
        <v>31</v>
      </c>
      <c r="AA83" s="14" t="s">
        <v>4503</v>
      </c>
      <c r="AB83" s="14">
        <v>1</v>
      </c>
      <c r="AC83" s="14" t="s">
        <v>194</v>
      </c>
      <c r="AD83" s="14">
        <v>0</v>
      </c>
      <c r="AE83" s="14" t="s">
        <v>626</v>
      </c>
      <c r="AF83" s="14" t="s">
        <v>626</v>
      </c>
      <c r="AG83" s="14" t="s">
        <v>626</v>
      </c>
      <c r="AH83" s="14" t="s">
        <v>4191</v>
      </c>
      <c r="AI83" s="14" t="s">
        <v>4191</v>
      </c>
      <c r="AJ83" s="14" t="s">
        <v>194</v>
      </c>
      <c r="AK83" s="14" t="s">
        <v>194</v>
      </c>
      <c r="AL83" s="14" t="s">
        <v>194</v>
      </c>
      <c r="AM83" s="14" t="s">
        <v>194</v>
      </c>
      <c r="AN83" s="14" t="s">
        <v>194</v>
      </c>
      <c r="AO83" s="14" t="s">
        <v>194</v>
      </c>
      <c r="AP83" s="14" t="s">
        <v>194</v>
      </c>
      <c r="AQ83" s="14" t="s">
        <v>2890</v>
      </c>
      <c r="AR83" s="14" t="s">
        <v>4512</v>
      </c>
      <c r="BF83" s="1"/>
      <c r="BG83" s="1"/>
      <c r="BH83" s="1"/>
      <c r="BI83" s="1"/>
      <c r="BJ83" s="1"/>
      <c r="BK83" s="1"/>
      <c r="BL83" s="1"/>
      <c r="BM83" s="1"/>
    </row>
    <row r="84" spans="1:65" ht="105" hidden="1" x14ac:dyDescent="0.25">
      <c r="A84" s="1" t="s">
        <v>1852</v>
      </c>
      <c r="B84" s="1" t="s">
        <v>1873</v>
      </c>
      <c r="C84" s="1" t="s">
        <v>62</v>
      </c>
      <c r="D84" s="1" t="s">
        <v>27</v>
      </c>
      <c r="E84" s="1" t="s">
        <v>34</v>
      </c>
      <c r="F84" s="1" t="s">
        <v>29</v>
      </c>
      <c r="G84" s="11" t="s">
        <v>6</v>
      </c>
      <c r="H84" s="11" t="s">
        <v>4683</v>
      </c>
      <c r="I84" s="1" t="s">
        <v>30</v>
      </c>
      <c r="J84" s="1" t="s">
        <v>2141</v>
      </c>
      <c r="K84" s="1" t="s">
        <v>2142</v>
      </c>
      <c r="L84" s="1" t="s">
        <v>1329</v>
      </c>
      <c r="M84" s="1" t="s">
        <v>562</v>
      </c>
      <c r="N84" s="1" t="s">
        <v>1330</v>
      </c>
      <c r="O84" s="1" t="s">
        <v>1164</v>
      </c>
      <c r="P84" s="1" t="s">
        <v>1339</v>
      </c>
      <c r="Q84" s="1" t="s">
        <v>194</v>
      </c>
      <c r="R84" s="1" t="s">
        <v>2</v>
      </c>
      <c r="S84" s="1" t="s">
        <v>576</v>
      </c>
      <c r="T84" s="1" t="s">
        <v>643</v>
      </c>
      <c r="U84" s="1" t="s">
        <v>31</v>
      </c>
      <c r="V84" s="1" t="s">
        <v>90</v>
      </c>
      <c r="W84" s="14" t="s">
        <v>2</v>
      </c>
      <c r="X84" s="14" t="s">
        <v>4650</v>
      </c>
      <c r="Y84" s="14" t="s">
        <v>194</v>
      </c>
      <c r="Z84" s="14" t="s">
        <v>31</v>
      </c>
      <c r="AA84" s="14" t="s">
        <v>4503</v>
      </c>
      <c r="AB84" s="14">
        <v>1</v>
      </c>
      <c r="AC84" s="14" t="s">
        <v>194</v>
      </c>
      <c r="AD84" s="14">
        <v>0</v>
      </c>
      <c r="AE84" s="14" t="s">
        <v>626</v>
      </c>
      <c r="AF84" s="14" t="s">
        <v>626</v>
      </c>
      <c r="AG84" s="14" t="s">
        <v>626</v>
      </c>
      <c r="AH84" s="14" t="s">
        <v>4191</v>
      </c>
      <c r="AI84" s="14" t="s">
        <v>4191</v>
      </c>
      <c r="AJ84" s="14" t="s">
        <v>194</v>
      </c>
      <c r="AK84" s="14" t="s">
        <v>194</v>
      </c>
      <c r="AL84" s="14" t="s">
        <v>194</v>
      </c>
      <c r="AM84" s="14" t="s">
        <v>194</v>
      </c>
      <c r="AN84" s="14" t="s">
        <v>194</v>
      </c>
      <c r="AO84" s="14" t="s">
        <v>194</v>
      </c>
      <c r="AP84" s="14" t="s">
        <v>194</v>
      </c>
      <c r="AQ84" s="14" t="s">
        <v>2890</v>
      </c>
      <c r="AR84" s="14" t="s">
        <v>4512</v>
      </c>
      <c r="BF84" s="1"/>
      <c r="BG84" s="1"/>
      <c r="BH84" s="1"/>
      <c r="BI84" s="1"/>
      <c r="BJ84" s="1"/>
      <c r="BK84" s="1"/>
      <c r="BL84" s="1"/>
      <c r="BM84" s="1"/>
    </row>
    <row r="85" spans="1:65" ht="105" hidden="1" x14ac:dyDescent="0.25">
      <c r="A85" s="1" t="s">
        <v>1854</v>
      </c>
      <c r="B85" s="1" t="s">
        <v>1962</v>
      </c>
      <c r="C85" s="1" t="s">
        <v>26</v>
      </c>
      <c r="D85" s="1" t="s">
        <v>27</v>
      </c>
      <c r="E85" s="1" t="s">
        <v>28</v>
      </c>
      <c r="F85" s="1" t="s">
        <v>29</v>
      </c>
      <c r="G85" s="11" t="s">
        <v>6</v>
      </c>
      <c r="H85" s="11" t="s">
        <v>4683</v>
      </c>
      <c r="I85" s="1" t="s">
        <v>30</v>
      </c>
      <c r="J85" s="1" t="s">
        <v>2133</v>
      </c>
      <c r="K85" s="1" t="s">
        <v>2163</v>
      </c>
      <c r="L85" s="1" t="s">
        <v>1329</v>
      </c>
      <c r="M85" s="1" t="s">
        <v>562</v>
      </c>
      <c r="N85" s="1" t="s">
        <v>1330</v>
      </c>
      <c r="O85" s="1" t="s">
        <v>1164</v>
      </c>
      <c r="P85" s="1" t="s">
        <v>1339</v>
      </c>
      <c r="Q85" s="1" t="s">
        <v>194</v>
      </c>
      <c r="R85" s="1" t="s">
        <v>2</v>
      </c>
      <c r="S85" s="1" t="s">
        <v>576</v>
      </c>
      <c r="T85" s="1" t="s">
        <v>643</v>
      </c>
      <c r="U85" s="1" t="s">
        <v>31</v>
      </c>
      <c r="V85" s="1" t="s">
        <v>90</v>
      </c>
      <c r="W85" s="14" t="s">
        <v>2</v>
      </c>
      <c r="X85" s="14" t="s">
        <v>4650</v>
      </c>
      <c r="Y85" s="14" t="s">
        <v>194</v>
      </c>
      <c r="Z85" s="14" t="s">
        <v>31</v>
      </c>
      <c r="AA85" s="14" t="s">
        <v>4503</v>
      </c>
      <c r="AB85" s="14">
        <v>1</v>
      </c>
      <c r="AC85" s="14" t="s">
        <v>194</v>
      </c>
      <c r="AD85" s="14">
        <v>0</v>
      </c>
      <c r="AE85" s="14" t="s">
        <v>626</v>
      </c>
      <c r="AF85" s="14" t="s">
        <v>626</v>
      </c>
      <c r="AG85" s="14" t="s">
        <v>626</v>
      </c>
      <c r="AH85" s="14" t="s">
        <v>4191</v>
      </c>
      <c r="AI85" s="14" t="s">
        <v>4191</v>
      </c>
      <c r="AJ85" s="14" t="s">
        <v>194</v>
      </c>
      <c r="AK85" s="14" t="s">
        <v>194</v>
      </c>
      <c r="AL85" s="14" t="s">
        <v>194</v>
      </c>
      <c r="AM85" s="14" t="s">
        <v>194</v>
      </c>
      <c r="AN85" s="14" t="s">
        <v>194</v>
      </c>
      <c r="AO85" s="14" t="s">
        <v>194</v>
      </c>
      <c r="AP85" s="14" t="s">
        <v>194</v>
      </c>
      <c r="AQ85" s="14" t="s">
        <v>2890</v>
      </c>
      <c r="AR85" s="14" t="s">
        <v>4512</v>
      </c>
      <c r="BF85" s="1"/>
      <c r="BG85" s="1"/>
      <c r="BH85" s="1"/>
      <c r="BI85" s="1"/>
      <c r="BJ85" s="1"/>
      <c r="BK85" s="1"/>
      <c r="BL85" s="1"/>
      <c r="BM85" s="1"/>
    </row>
    <row r="86" spans="1:65" ht="105" hidden="1" x14ac:dyDescent="0.25">
      <c r="A86" s="1" t="s">
        <v>1856</v>
      </c>
      <c r="B86" s="1" t="s">
        <v>1874</v>
      </c>
      <c r="C86" s="1" t="s">
        <v>62</v>
      </c>
      <c r="D86" s="1" t="s">
        <v>27</v>
      </c>
      <c r="E86" s="1" t="s">
        <v>28</v>
      </c>
      <c r="F86" s="1" t="s">
        <v>29</v>
      </c>
      <c r="G86" s="11" t="s">
        <v>6</v>
      </c>
      <c r="H86" s="11" t="s">
        <v>4683</v>
      </c>
      <c r="I86" s="1" t="s">
        <v>30</v>
      </c>
      <c r="J86" s="1" t="s">
        <v>2133</v>
      </c>
      <c r="K86" s="1" t="s">
        <v>2164</v>
      </c>
      <c r="L86" s="1" t="s">
        <v>1329</v>
      </c>
      <c r="M86" s="1" t="s">
        <v>562</v>
      </c>
      <c r="N86" s="1" t="s">
        <v>1330</v>
      </c>
      <c r="O86" s="1" t="s">
        <v>1164</v>
      </c>
      <c r="P86" s="1" t="s">
        <v>1339</v>
      </c>
      <c r="Q86" s="1" t="s">
        <v>194</v>
      </c>
      <c r="R86" s="1" t="s">
        <v>2</v>
      </c>
      <c r="S86" s="1" t="s">
        <v>576</v>
      </c>
      <c r="T86" s="1" t="s">
        <v>643</v>
      </c>
      <c r="U86" s="1" t="s">
        <v>31</v>
      </c>
      <c r="V86" s="1" t="s">
        <v>90</v>
      </c>
      <c r="W86" s="14" t="s">
        <v>2</v>
      </c>
      <c r="X86" s="14" t="s">
        <v>4650</v>
      </c>
      <c r="Y86" s="14" t="s">
        <v>194</v>
      </c>
      <c r="Z86" s="14" t="s">
        <v>31</v>
      </c>
      <c r="AA86" s="14" t="s">
        <v>4503</v>
      </c>
      <c r="AB86" s="14">
        <v>1</v>
      </c>
      <c r="AC86" s="14" t="s">
        <v>194</v>
      </c>
      <c r="AD86" s="14">
        <v>0</v>
      </c>
      <c r="AE86" s="14" t="s">
        <v>626</v>
      </c>
      <c r="AF86" s="14" t="s">
        <v>626</v>
      </c>
      <c r="AG86" s="14" t="s">
        <v>626</v>
      </c>
      <c r="AH86" s="14" t="s">
        <v>4191</v>
      </c>
      <c r="AI86" s="14" t="s">
        <v>4191</v>
      </c>
      <c r="AJ86" s="14" t="s">
        <v>194</v>
      </c>
      <c r="AK86" s="14" t="s">
        <v>194</v>
      </c>
      <c r="AL86" s="14" t="s">
        <v>194</v>
      </c>
      <c r="AM86" s="14" t="s">
        <v>194</v>
      </c>
      <c r="AN86" s="14" t="s">
        <v>194</v>
      </c>
      <c r="AO86" s="14" t="s">
        <v>194</v>
      </c>
      <c r="AP86" s="14" t="s">
        <v>194</v>
      </c>
      <c r="AQ86" s="14" t="s">
        <v>2890</v>
      </c>
      <c r="AR86" s="14" t="s">
        <v>4512</v>
      </c>
      <c r="BF86" s="1"/>
      <c r="BG86" s="1"/>
      <c r="BH86" s="1"/>
      <c r="BI86" s="1"/>
      <c r="BJ86" s="1"/>
      <c r="BK86" s="1"/>
      <c r="BL86" s="1"/>
      <c r="BM86" s="1"/>
    </row>
    <row r="87" spans="1:65" ht="105" hidden="1" x14ac:dyDescent="0.25">
      <c r="A87" s="1" t="s">
        <v>1858</v>
      </c>
      <c r="B87" s="1" t="s">
        <v>4765</v>
      </c>
      <c r="C87" s="1" t="s">
        <v>62</v>
      </c>
      <c r="D87" s="1" t="s">
        <v>27</v>
      </c>
      <c r="E87" s="1" t="s">
        <v>34</v>
      </c>
      <c r="F87" s="1" t="s">
        <v>50</v>
      </c>
      <c r="G87" s="11" t="s">
        <v>6</v>
      </c>
      <c r="H87" s="11" t="s">
        <v>4704</v>
      </c>
      <c r="I87" s="1" t="s">
        <v>30</v>
      </c>
      <c r="J87" s="1" t="s">
        <v>2140</v>
      </c>
      <c r="K87" s="1" t="s">
        <v>2165</v>
      </c>
      <c r="L87" s="1" t="s">
        <v>1329</v>
      </c>
      <c r="M87" s="1" t="s">
        <v>1331</v>
      </c>
      <c r="N87" s="1" t="s">
        <v>1330</v>
      </c>
      <c r="O87" s="1" t="s">
        <v>1164</v>
      </c>
      <c r="P87" s="1" t="s">
        <v>1339</v>
      </c>
      <c r="Q87" s="1" t="s">
        <v>194</v>
      </c>
      <c r="R87" s="1" t="s">
        <v>32</v>
      </c>
      <c r="S87" s="1" t="s">
        <v>2170</v>
      </c>
      <c r="T87" s="1" t="s">
        <v>643</v>
      </c>
      <c r="U87" s="1" t="s">
        <v>31</v>
      </c>
      <c r="V87" s="1" t="s">
        <v>90</v>
      </c>
      <c r="W87" s="14" t="s">
        <v>2</v>
      </c>
      <c r="X87" s="14" t="s">
        <v>4650</v>
      </c>
      <c r="Y87" s="14" t="s">
        <v>194</v>
      </c>
      <c r="Z87" s="14" t="s">
        <v>31</v>
      </c>
      <c r="AA87" s="14" t="s">
        <v>4503</v>
      </c>
      <c r="AB87" s="14">
        <v>1</v>
      </c>
      <c r="AC87" s="14" t="s">
        <v>194</v>
      </c>
      <c r="AD87" s="14">
        <v>0</v>
      </c>
      <c r="AE87" s="14" t="s">
        <v>626</v>
      </c>
      <c r="AF87" s="14" t="s">
        <v>626</v>
      </c>
      <c r="AG87" s="14" t="s">
        <v>626</v>
      </c>
      <c r="AH87" s="14" t="s">
        <v>4191</v>
      </c>
      <c r="AI87" s="14" t="s">
        <v>626</v>
      </c>
      <c r="AJ87" s="14" t="s">
        <v>194</v>
      </c>
      <c r="AK87" s="14" t="s">
        <v>4529</v>
      </c>
      <c r="AL87" s="14" t="s">
        <v>194</v>
      </c>
      <c r="AM87" s="14" t="s">
        <v>194</v>
      </c>
      <c r="AN87" s="14" t="s">
        <v>194</v>
      </c>
      <c r="AO87" s="14" t="s">
        <v>194</v>
      </c>
      <c r="AP87" s="14" t="s">
        <v>194</v>
      </c>
      <c r="AQ87" s="14" t="s">
        <v>2890</v>
      </c>
      <c r="AR87" s="14" t="s">
        <v>4512</v>
      </c>
      <c r="BF87" s="1"/>
      <c r="BG87" s="1"/>
      <c r="BH87" s="1"/>
      <c r="BI87" s="1"/>
      <c r="BJ87" s="1"/>
      <c r="BK87" s="1"/>
      <c r="BL87" s="1"/>
      <c r="BM87" s="1"/>
    </row>
    <row r="88" spans="1:65" ht="105" hidden="1" x14ac:dyDescent="0.25">
      <c r="A88" s="1" t="s">
        <v>1860</v>
      </c>
      <c r="B88" s="1" t="s">
        <v>4148</v>
      </c>
      <c r="C88" s="1" t="s">
        <v>62</v>
      </c>
      <c r="D88" s="1" t="s">
        <v>27</v>
      </c>
      <c r="E88" s="1" t="s">
        <v>34</v>
      </c>
      <c r="F88" s="1" t="s">
        <v>50</v>
      </c>
      <c r="G88" s="11" t="s">
        <v>6</v>
      </c>
      <c r="H88" s="11" t="s">
        <v>4704</v>
      </c>
      <c r="I88" s="1" t="s">
        <v>30</v>
      </c>
      <c r="J88" s="1" t="s">
        <v>2140</v>
      </c>
      <c r="K88" s="1" t="s">
        <v>2165</v>
      </c>
      <c r="L88" s="1" t="s">
        <v>1329</v>
      </c>
      <c r="M88" s="1" t="s">
        <v>1331</v>
      </c>
      <c r="N88" s="1" t="s">
        <v>1330</v>
      </c>
      <c r="O88" s="1" t="s">
        <v>1164</v>
      </c>
      <c r="P88" s="1" t="s">
        <v>1339</v>
      </c>
      <c r="Q88" s="1" t="s">
        <v>194</v>
      </c>
      <c r="R88" s="1" t="s">
        <v>32</v>
      </c>
      <c r="S88" s="1" t="s">
        <v>2170</v>
      </c>
      <c r="T88" s="1" t="s">
        <v>643</v>
      </c>
      <c r="U88" s="1" t="s">
        <v>31</v>
      </c>
      <c r="V88" s="1" t="s">
        <v>90</v>
      </c>
      <c r="W88" s="14" t="s">
        <v>2</v>
      </c>
      <c r="X88" s="14" t="s">
        <v>4650</v>
      </c>
      <c r="Y88" s="14" t="s">
        <v>194</v>
      </c>
      <c r="Z88" s="14" t="s">
        <v>31</v>
      </c>
      <c r="AA88" s="14" t="s">
        <v>4503</v>
      </c>
      <c r="AB88" s="14">
        <v>1</v>
      </c>
      <c r="AC88" s="14" t="s">
        <v>194</v>
      </c>
      <c r="AD88" s="14">
        <v>0</v>
      </c>
      <c r="AE88" s="14" t="s">
        <v>626</v>
      </c>
      <c r="AF88" s="14" t="s">
        <v>626</v>
      </c>
      <c r="AG88" s="14" t="s">
        <v>626</v>
      </c>
      <c r="AH88" s="14" t="s">
        <v>4191</v>
      </c>
      <c r="AI88" s="14" t="s">
        <v>626</v>
      </c>
      <c r="AJ88" s="14" t="s">
        <v>194</v>
      </c>
      <c r="AK88" s="14" t="s">
        <v>4529</v>
      </c>
      <c r="AL88" s="14" t="s">
        <v>194</v>
      </c>
      <c r="AM88" s="14" t="s">
        <v>194</v>
      </c>
      <c r="AN88" s="14" t="s">
        <v>194</v>
      </c>
      <c r="AO88" s="14" t="s">
        <v>194</v>
      </c>
      <c r="AP88" s="14" t="s">
        <v>194</v>
      </c>
      <c r="AQ88" s="14" t="s">
        <v>2890</v>
      </c>
      <c r="AR88" s="14" t="s">
        <v>4512</v>
      </c>
      <c r="BF88" s="1"/>
      <c r="BG88" s="1"/>
      <c r="BH88" s="1"/>
      <c r="BI88" s="1"/>
      <c r="BJ88" s="1"/>
      <c r="BK88" s="1"/>
      <c r="BL88" s="1"/>
      <c r="BM88" s="1"/>
    </row>
    <row r="89" spans="1:65" ht="105" hidden="1" x14ac:dyDescent="0.25">
      <c r="A89" s="1" t="s">
        <v>1862</v>
      </c>
      <c r="B89" s="1" t="s">
        <v>1875</v>
      </c>
      <c r="C89" s="1" t="s">
        <v>62</v>
      </c>
      <c r="D89" s="1" t="s">
        <v>27</v>
      </c>
      <c r="E89" s="1" t="s">
        <v>34</v>
      </c>
      <c r="F89" s="1" t="s">
        <v>50</v>
      </c>
      <c r="G89" s="11" t="s">
        <v>6</v>
      </c>
      <c r="H89" s="11" t="s">
        <v>4704</v>
      </c>
      <c r="I89" s="1" t="s">
        <v>30</v>
      </c>
      <c r="J89" s="1" t="s">
        <v>2140</v>
      </c>
      <c r="K89" s="1" t="s">
        <v>2165</v>
      </c>
      <c r="L89" s="1" t="s">
        <v>1329</v>
      </c>
      <c r="M89" s="1" t="s">
        <v>1331</v>
      </c>
      <c r="N89" s="1" t="s">
        <v>1330</v>
      </c>
      <c r="O89" s="1" t="s">
        <v>1164</v>
      </c>
      <c r="P89" s="1" t="s">
        <v>1339</v>
      </c>
      <c r="Q89" s="1" t="s">
        <v>194</v>
      </c>
      <c r="R89" s="1" t="s">
        <v>32</v>
      </c>
      <c r="S89" s="1" t="s">
        <v>2170</v>
      </c>
      <c r="T89" s="1" t="s">
        <v>643</v>
      </c>
      <c r="U89" s="1" t="s">
        <v>31</v>
      </c>
      <c r="V89" s="1" t="s">
        <v>90</v>
      </c>
      <c r="W89" s="14" t="s">
        <v>2</v>
      </c>
      <c r="X89" s="14" t="s">
        <v>4650</v>
      </c>
      <c r="Y89" s="14" t="s">
        <v>194</v>
      </c>
      <c r="Z89" s="14" t="s">
        <v>31</v>
      </c>
      <c r="AA89" s="14" t="s">
        <v>4503</v>
      </c>
      <c r="AB89" s="14">
        <v>1</v>
      </c>
      <c r="AC89" s="14" t="s">
        <v>194</v>
      </c>
      <c r="AD89" s="14">
        <v>0</v>
      </c>
      <c r="AE89" s="14" t="s">
        <v>626</v>
      </c>
      <c r="AF89" s="14" t="s">
        <v>626</v>
      </c>
      <c r="AG89" s="14" t="s">
        <v>626</v>
      </c>
      <c r="AH89" s="14" t="s">
        <v>4191</v>
      </c>
      <c r="AI89" s="14" t="s">
        <v>626</v>
      </c>
      <c r="AJ89" s="14" t="s">
        <v>194</v>
      </c>
      <c r="AK89" s="14" t="s">
        <v>4529</v>
      </c>
      <c r="AL89" s="14" t="s">
        <v>194</v>
      </c>
      <c r="AM89" s="14" t="s">
        <v>194</v>
      </c>
      <c r="AN89" s="14" t="s">
        <v>194</v>
      </c>
      <c r="AO89" s="14" t="s">
        <v>194</v>
      </c>
      <c r="AP89" s="14" t="s">
        <v>194</v>
      </c>
      <c r="AQ89" s="14" t="s">
        <v>2890</v>
      </c>
      <c r="AR89" s="14" t="s">
        <v>4512</v>
      </c>
      <c r="BF89" s="1"/>
      <c r="BG89" s="1"/>
      <c r="BH89" s="1"/>
      <c r="BI89" s="1"/>
      <c r="BJ89" s="1"/>
      <c r="BK89" s="1"/>
      <c r="BL89" s="1"/>
      <c r="BM89" s="1"/>
    </row>
    <row r="90" spans="1:65" ht="105" hidden="1" x14ac:dyDescent="0.25">
      <c r="A90" s="1" t="s">
        <v>1864</v>
      </c>
      <c r="B90" s="1" t="s">
        <v>1876</v>
      </c>
      <c r="C90" s="1" t="s">
        <v>62</v>
      </c>
      <c r="D90" s="1" t="s">
        <v>27</v>
      </c>
      <c r="E90" s="1" t="s">
        <v>34</v>
      </c>
      <c r="F90" s="1" t="s">
        <v>50</v>
      </c>
      <c r="G90" s="11" t="s">
        <v>6</v>
      </c>
      <c r="H90" s="11" t="s">
        <v>4704</v>
      </c>
      <c r="I90" s="1" t="s">
        <v>30</v>
      </c>
      <c r="J90" s="1" t="s">
        <v>2140</v>
      </c>
      <c r="K90" s="1" t="s">
        <v>2165</v>
      </c>
      <c r="L90" s="1" t="s">
        <v>1329</v>
      </c>
      <c r="M90" s="1" t="s">
        <v>1331</v>
      </c>
      <c r="N90" s="1" t="s">
        <v>1330</v>
      </c>
      <c r="O90" s="1" t="s">
        <v>1164</v>
      </c>
      <c r="P90" s="1" t="s">
        <v>1339</v>
      </c>
      <c r="Q90" s="1" t="s">
        <v>194</v>
      </c>
      <c r="R90" s="1" t="s">
        <v>32</v>
      </c>
      <c r="S90" s="1" t="s">
        <v>2170</v>
      </c>
      <c r="T90" s="1" t="s">
        <v>643</v>
      </c>
      <c r="U90" s="1" t="s">
        <v>31</v>
      </c>
      <c r="V90" s="1" t="s">
        <v>90</v>
      </c>
      <c r="W90" s="14" t="s">
        <v>2</v>
      </c>
      <c r="X90" s="14" t="s">
        <v>4650</v>
      </c>
      <c r="Y90" s="14" t="s">
        <v>194</v>
      </c>
      <c r="Z90" s="14" t="s">
        <v>31</v>
      </c>
      <c r="AA90" s="14" t="s">
        <v>4503</v>
      </c>
      <c r="AB90" s="14">
        <v>1</v>
      </c>
      <c r="AC90" s="14" t="s">
        <v>194</v>
      </c>
      <c r="AD90" s="14">
        <v>0</v>
      </c>
      <c r="AE90" s="14" t="s">
        <v>626</v>
      </c>
      <c r="AF90" s="14" t="s">
        <v>626</v>
      </c>
      <c r="AG90" s="14" t="s">
        <v>626</v>
      </c>
      <c r="AH90" s="14" t="s">
        <v>4191</v>
      </c>
      <c r="AI90" s="14" t="s">
        <v>626</v>
      </c>
      <c r="AJ90" s="14" t="s">
        <v>194</v>
      </c>
      <c r="AK90" s="14" t="s">
        <v>4529</v>
      </c>
      <c r="AL90" s="14" t="s">
        <v>194</v>
      </c>
      <c r="AM90" s="14" t="s">
        <v>194</v>
      </c>
      <c r="AN90" s="14" t="s">
        <v>194</v>
      </c>
      <c r="AO90" s="14" t="s">
        <v>194</v>
      </c>
      <c r="AP90" s="14" t="s">
        <v>194</v>
      </c>
      <c r="AQ90" s="14" t="s">
        <v>2890</v>
      </c>
      <c r="AR90" s="14" t="s">
        <v>4512</v>
      </c>
      <c r="BF90" s="1"/>
      <c r="BG90" s="1"/>
      <c r="BH90" s="1"/>
      <c r="BI90" s="1"/>
      <c r="BJ90" s="1"/>
      <c r="BK90" s="1"/>
      <c r="BL90" s="1"/>
      <c r="BM90" s="1"/>
    </row>
    <row r="91" spans="1:65" ht="105" hidden="1" x14ac:dyDescent="0.25">
      <c r="A91" s="1" t="s">
        <v>1866</v>
      </c>
      <c r="B91" s="1" t="s">
        <v>4149</v>
      </c>
      <c r="C91" s="1" t="s">
        <v>62</v>
      </c>
      <c r="D91" s="1" t="s">
        <v>27</v>
      </c>
      <c r="E91" s="1" t="s">
        <v>34</v>
      </c>
      <c r="F91" s="1" t="s">
        <v>50</v>
      </c>
      <c r="G91" s="11" t="s">
        <v>6</v>
      </c>
      <c r="H91" s="11" t="s">
        <v>4704</v>
      </c>
      <c r="I91" s="1" t="s">
        <v>30</v>
      </c>
      <c r="J91" s="1" t="s">
        <v>2140</v>
      </c>
      <c r="K91" s="1" t="s">
        <v>2165</v>
      </c>
      <c r="L91" s="1" t="s">
        <v>1329</v>
      </c>
      <c r="M91" s="1" t="s">
        <v>1331</v>
      </c>
      <c r="N91" s="1" t="s">
        <v>1330</v>
      </c>
      <c r="O91" s="1" t="s">
        <v>1164</v>
      </c>
      <c r="P91" s="1" t="s">
        <v>1339</v>
      </c>
      <c r="Q91" s="1" t="s">
        <v>194</v>
      </c>
      <c r="R91" s="1" t="s">
        <v>32</v>
      </c>
      <c r="S91" s="1" t="s">
        <v>2170</v>
      </c>
      <c r="T91" s="1" t="s">
        <v>643</v>
      </c>
      <c r="U91" s="1" t="s">
        <v>31</v>
      </c>
      <c r="V91" s="1" t="s">
        <v>90</v>
      </c>
      <c r="W91" s="14" t="s">
        <v>2</v>
      </c>
      <c r="X91" s="14" t="s">
        <v>4650</v>
      </c>
      <c r="Y91" s="14" t="s">
        <v>194</v>
      </c>
      <c r="Z91" s="14" t="s">
        <v>31</v>
      </c>
      <c r="AA91" s="14" t="s">
        <v>4503</v>
      </c>
      <c r="AB91" s="14">
        <v>1</v>
      </c>
      <c r="AC91" s="14" t="s">
        <v>194</v>
      </c>
      <c r="AD91" s="14">
        <v>0</v>
      </c>
      <c r="AE91" s="14" t="s">
        <v>626</v>
      </c>
      <c r="AF91" s="14" t="s">
        <v>626</v>
      </c>
      <c r="AG91" s="14" t="s">
        <v>626</v>
      </c>
      <c r="AH91" s="14" t="s">
        <v>4191</v>
      </c>
      <c r="AI91" s="14" t="s">
        <v>626</v>
      </c>
      <c r="AJ91" s="14" t="s">
        <v>194</v>
      </c>
      <c r="AK91" s="14" t="s">
        <v>4529</v>
      </c>
      <c r="AL91" s="14" t="s">
        <v>194</v>
      </c>
      <c r="AM91" s="14" t="s">
        <v>194</v>
      </c>
      <c r="AN91" s="14" t="s">
        <v>194</v>
      </c>
      <c r="AO91" s="14" t="s">
        <v>194</v>
      </c>
      <c r="AP91" s="14" t="s">
        <v>194</v>
      </c>
      <c r="AQ91" s="14" t="s">
        <v>2890</v>
      </c>
      <c r="AR91" s="14" t="s">
        <v>4512</v>
      </c>
    </row>
    <row r="92" spans="1:65" ht="105" hidden="1" x14ac:dyDescent="0.25">
      <c r="A92" s="1" t="s">
        <v>1868</v>
      </c>
      <c r="B92" s="1" t="s">
        <v>1877</v>
      </c>
      <c r="C92" s="1" t="s">
        <v>62</v>
      </c>
      <c r="D92" s="1" t="s">
        <v>27</v>
      </c>
      <c r="E92" s="1" t="s">
        <v>34</v>
      </c>
      <c r="F92" s="1" t="s">
        <v>50</v>
      </c>
      <c r="G92" s="11" t="s">
        <v>6</v>
      </c>
      <c r="H92" s="11" t="s">
        <v>4704</v>
      </c>
      <c r="I92" s="1" t="s">
        <v>30</v>
      </c>
      <c r="J92" s="1" t="s">
        <v>2140</v>
      </c>
      <c r="K92" s="1" t="s">
        <v>2165</v>
      </c>
      <c r="L92" s="1" t="s">
        <v>1329</v>
      </c>
      <c r="M92" s="1" t="s">
        <v>1331</v>
      </c>
      <c r="N92" s="1" t="s">
        <v>1330</v>
      </c>
      <c r="O92" s="1" t="s">
        <v>1164</v>
      </c>
      <c r="P92" s="1" t="s">
        <v>1339</v>
      </c>
      <c r="Q92" s="1" t="s">
        <v>194</v>
      </c>
      <c r="R92" s="1" t="s">
        <v>32</v>
      </c>
      <c r="S92" s="1" t="s">
        <v>2170</v>
      </c>
      <c r="T92" s="1" t="s">
        <v>643</v>
      </c>
      <c r="U92" s="1" t="s">
        <v>31</v>
      </c>
      <c r="V92" s="1" t="s">
        <v>90</v>
      </c>
      <c r="W92" s="14" t="s">
        <v>2</v>
      </c>
      <c r="X92" s="14" t="s">
        <v>4650</v>
      </c>
      <c r="Y92" s="14" t="s">
        <v>194</v>
      </c>
      <c r="Z92" s="14" t="s">
        <v>31</v>
      </c>
      <c r="AA92" s="14" t="s">
        <v>4503</v>
      </c>
      <c r="AB92" s="14">
        <v>1</v>
      </c>
      <c r="AC92" s="14" t="s">
        <v>194</v>
      </c>
      <c r="AD92" s="14">
        <v>0</v>
      </c>
      <c r="AE92" s="14" t="s">
        <v>626</v>
      </c>
      <c r="AF92" s="14" t="s">
        <v>626</v>
      </c>
      <c r="AG92" s="14" t="s">
        <v>626</v>
      </c>
      <c r="AH92" s="14" t="s">
        <v>4191</v>
      </c>
      <c r="AI92" s="14" t="s">
        <v>626</v>
      </c>
      <c r="AJ92" s="14" t="s">
        <v>194</v>
      </c>
      <c r="AK92" s="14" t="s">
        <v>4529</v>
      </c>
      <c r="AL92" s="14" t="s">
        <v>194</v>
      </c>
      <c r="AM92" s="14" t="s">
        <v>194</v>
      </c>
      <c r="AN92" s="14" t="s">
        <v>194</v>
      </c>
      <c r="AO92" s="14" t="s">
        <v>194</v>
      </c>
      <c r="AP92" s="14" t="s">
        <v>194</v>
      </c>
      <c r="AQ92" s="14" t="s">
        <v>2890</v>
      </c>
      <c r="AR92" s="14" t="s">
        <v>4512</v>
      </c>
    </row>
    <row r="93" spans="1:65" ht="105" hidden="1" x14ac:dyDescent="0.25">
      <c r="A93" s="1" t="s">
        <v>1702</v>
      </c>
      <c r="B93" s="1" t="s">
        <v>1703</v>
      </c>
      <c r="C93" s="1" t="s">
        <v>26</v>
      </c>
      <c r="D93" s="1" t="s">
        <v>27</v>
      </c>
      <c r="E93" s="1" t="s">
        <v>34</v>
      </c>
      <c r="F93" s="1" t="s">
        <v>29</v>
      </c>
      <c r="G93" s="11" t="s">
        <v>1704</v>
      </c>
      <c r="H93" s="11" t="s">
        <v>4683</v>
      </c>
      <c r="I93" s="1" t="s">
        <v>30</v>
      </c>
      <c r="J93" s="1" t="s">
        <v>2140</v>
      </c>
      <c r="K93" s="1" t="s">
        <v>1705</v>
      </c>
      <c r="L93" s="1" t="s">
        <v>1329</v>
      </c>
      <c r="M93" s="1" t="s">
        <v>562</v>
      </c>
      <c r="N93" s="1" t="s">
        <v>1330</v>
      </c>
      <c r="O93" s="1" t="s">
        <v>1164</v>
      </c>
      <c r="P93" s="1" t="s">
        <v>1339</v>
      </c>
      <c r="Q93" s="1" t="s">
        <v>194</v>
      </c>
      <c r="R93" s="1" t="s">
        <v>2</v>
      </c>
      <c r="S93" s="1" t="s">
        <v>576</v>
      </c>
      <c r="T93" s="1" t="s">
        <v>643</v>
      </c>
      <c r="U93" s="1" t="s">
        <v>31</v>
      </c>
      <c r="V93" s="1" t="s">
        <v>90</v>
      </c>
      <c r="W93" s="14" t="s">
        <v>2</v>
      </c>
      <c r="X93" s="14" t="s">
        <v>4650</v>
      </c>
      <c r="Y93" s="14" t="s">
        <v>194</v>
      </c>
      <c r="Z93" s="14" t="s">
        <v>31</v>
      </c>
      <c r="AA93" s="14" t="s">
        <v>4503</v>
      </c>
      <c r="AB93" s="14">
        <v>1</v>
      </c>
      <c r="AC93" s="14" t="s">
        <v>194</v>
      </c>
      <c r="AD93" s="14">
        <v>0</v>
      </c>
      <c r="AE93" s="14" t="s">
        <v>626</v>
      </c>
      <c r="AF93" s="14" t="s">
        <v>626</v>
      </c>
      <c r="AG93" s="14" t="s">
        <v>626</v>
      </c>
      <c r="AH93" s="14" t="s">
        <v>4191</v>
      </c>
      <c r="AI93" s="14" t="s">
        <v>4191</v>
      </c>
      <c r="AJ93" s="14" t="s">
        <v>194</v>
      </c>
      <c r="AK93" s="14" t="s">
        <v>194</v>
      </c>
      <c r="AL93" s="14" t="s">
        <v>194</v>
      </c>
      <c r="AM93" s="14" t="s">
        <v>194</v>
      </c>
      <c r="AN93" s="14" t="s">
        <v>194</v>
      </c>
      <c r="AO93" s="14" t="s">
        <v>194</v>
      </c>
      <c r="AP93" s="14" t="s">
        <v>194</v>
      </c>
      <c r="AQ93" s="14" t="s">
        <v>2890</v>
      </c>
      <c r="AR93" s="14" t="s">
        <v>4512</v>
      </c>
    </row>
    <row r="94" spans="1:65" ht="120" hidden="1" x14ac:dyDescent="0.25">
      <c r="A94" s="1" t="s">
        <v>645</v>
      </c>
      <c r="B94" s="1" t="s">
        <v>133</v>
      </c>
      <c r="C94" s="1" t="s">
        <v>26</v>
      </c>
      <c r="D94" s="1" t="s">
        <v>27</v>
      </c>
      <c r="E94" s="1" t="s">
        <v>34</v>
      </c>
      <c r="F94" s="1" t="s">
        <v>50</v>
      </c>
      <c r="G94" s="11" t="s">
        <v>134</v>
      </c>
      <c r="H94" s="11" t="s">
        <v>4705</v>
      </c>
      <c r="I94" s="1" t="s">
        <v>135</v>
      </c>
      <c r="J94" s="1" t="s">
        <v>2146</v>
      </c>
      <c r="K94" s="1" t="s">
        <v>2166</v>
      </c>
      <c r="L94" s="1" t="s">
        <v>1329</v>
      </c>
      <c r="M94" s="1" t="s">
        <v>1331</v>
      </c>
      <c r="N94" s="1" t="s">
        <v>1330</v>
      </c>
      <c r="O94" s="1" t="s">
        <v>1164</v>
      </c>
      <c r="P94" s="1" t="s">
        <v>1339</v>
      </c>
      <c r="Q94" s="1" t="s">
        <v>194</v>
      </c>
      <c r="R94" s="1" t="s">
        <v>32</v>
      </c>
      <c r="S94" s="1" t="s">
        <v>2170</v>
      </c>
      <c r="T94" s="1" t="s">
        <v>643</v>
      </c>
      <c r="U94" s="1" t="s">
        <v>31</v>
      </c>
      <c r="V94" s="1" t="s">
        <v>90</v>
      </c>
      <c r="W94" s="14" t="s">
        <v>2</v>
      </c>
      <c r="X94" s="14" t="s">
        <v>4663</v>
      </c>
      <c r="Y94" s="14" t="s">
        <v>4530</v>
      </c>
      <c r="Z94" s="14" t="s">
        <v>31</v>
      </c>
      <c r="AA94" s="14" t="s">
        <v>4503</v>
      </c>
      <c r="AB94" s="14">
        <v>1</v>
      </c>
      <c r="AC94" s="14" t="s">
        <v>194</v>
      </c>
      <c r="AD94" s="14">
        <v>2</v>
      </c>
      <c r="AE94" s="14" t="s">
        <v>626</v>
      </c>
      <c r="AF94" s="14" t="s">
        <v>626</v>
      </c>
      <c r="AG94" s="14" t="s">
        <v>4191</v>
      </c>
      <c r="AH94" s="14" t="s">
        <v>4191</v>
      </c>
      <c r="AI94" s="14" t="s">
        <v>626</v>
      </c>
      <c r="AJ94" s="14" t="s">
        <v>194</v>
      </c>
      <c r="AK94" s="14" t="s">
        <v>194</v>
      </c>
      <c r="AL94" s="14" t="s">
        <v>194</v>
      </c>
      <c r="AM94" s="14" t="s">
        <v>194</v>
      </c>
      <c r="AN94" s="14" t="s">
        <v>194</v>
      </c>
      <c r="AO94" s="14" t="s">
        <v>194</v>
      </c>
      <c r="AP94" s="14" t="s">
        <v>194</v>
      </c>
      <c r="AQ94" s="14" t="s">
        <v>606</v>
      </c>
      <c r="AR94" s="14" t="s">
        <v>4512</v>
      </c>
    </row>
    <row r="95" spans="1:65" ht="105" hidden="1" x14ac:dyDescent="0.25">
      <c r="A95" s="1" t="s">
        <v>646</v>
      </c>
      <c r="B95" s="1" t="s">
        <v>136</v>
      </c>
      <c r="C95" s="1" t="s">
        <v>26</v>
      </c>
      <c r="D95" s="1" t="s">
        <v>27</v>
      </c>
      <c r="E95" s="1" t="s">
        <v>28</v>
      </c>
      <c r="F95" s="1" t="s">
        <v>50</v>
      </c>
      <c r="G95" s="11" t="s">
        <v>137</v>
      </c>
      <c r="H95" s="11" t="s">
        <v>4706</v>
      </c>
      <c r="I95" s="1" t="s">
        <v>135</v>
      </c>
      <c r="J95" s="1" t="s">
        <v>2146</v>
      </c>
      <c r="K95" s="1" t="s">
        <v>2166</v>
      </c>
      <c r="L95" s="1" t="s">
        <v>1329</v>
      </c>
      <c r="M95" s="1" t="s">
        <v>1331</v>
      </c>
      <c r="N95" s="1" t="s">
        <v>1330</v>
      </c>
      <c r="O95" s="1" t="s">
        <v>1164</v>
      </c>
      <c r="P95" s="1" t="s">
        <v>1339</v>
      </c>
      <c r="Q95" s="1" t="s">
        <v>194</v>
      </c>
      <c r="R95" s="1" t="s">
        <v>32</v>
      </c>
      <c r="S95" s="1" t="s">
        <v>2170</v>
      </c>
      <c r="T95" s="1" t="s">
        <v>643</v>
      </c>
      <c r="U95" s="1" t="s">
        <v>31</v>
      </c>
      <c r="V95" s="1" t="s">
        <v>90</v>
      </c>
      <c r="W95" s="14" t="s">
        <v>2</v>
      </c>
      <c r="X95" s="14" t="s">
        <v>4663</v>
      </c>
      <c r="Y95" s="14" t="s">
        <v>4530</v>
      </c>
      <c r="Z95" s="14" t="s">
        <v>31</v>
      </c>
      <c r="AA95" s="14" t="s">
        <v>4503</v>
      </c>
      <c r="AB95" s="14">
        <v>1</v>
      </c>
      <c r="AC95" s="14" t="s">
        <v>194</v>
      </c>
      <c r="AD95" s="14">
        <v>2</v>
      </c>
      <c r="AE95" s="14" t="s">
        <v>626</v>
      </c>
      <c r="AF95" s="14" t="s">
        <v>4191</v>
      </c>
      <c r="AG95" s="14" t="s">
        <v>626</v>
      </c>
      <c r="AH95" s="14" t="s">
        <v>4191</v>
      </c>
      <c r="AI95" s="14" t="s">
        <v>4191</v>
      </c>
      <c r="AJ95" s="14" t="s">
        <v>194</v>
      </c>
      <c r="AK95" s="14" t="s">
        <v>194</v>
      </c>
      <c r="AL95" s="14" t="s">
        <v>194</v>
      </c>
      <c r="AM95" s="14" t="s">
        <v>194</v>
      </c>
      <c r="AN95" s="14" t="s">
        <v>194</v>
      </c>
      <c r="AO95" s="14" t="s">
        <v>194</v>
      </c>
      <c r="AP95" s="14" t="s">
        <v>194</v>
      </c>
      <c r="AQ95" s="14" t="s">
        <v>606</v>
      </c>
      <c r="AR95" s="14" t="s">
        <v>4512</v>
      </c>
    </row>
    <row r="96" spans="1:65" ht="105" hidden="1" x14ac:dyDescent="0.25">
      <c r="A96" s="1" t="s">
        <v>1352</v>
      </c>
      <c r="B96" s="1" t="s">
        <v>1419</v>
      </c>
      <c r="C96" s="1" t="s">
        <v>26</v>
      </c>
      <c r="D96" s="1" t="s">
        <v>27</v>
      </c>
      <c r="E96" s="1" t="s">
        <v>34</v>
      </c>
      <c r="F96" s="1" t="s">
        <v>50</v>
      </c>
      <c r="G96" s="11" t="s">
        <v>1420</v>
      </c>
      <c r="H96" s="11" t="s">
        <v>4707</v>
      </c>
      <c r="I96" s="1" t="s">
        <v>82</v>
      </c>
      <c r="J96" s="1" t="s">
        <v>2146</v>
      </c>
      <c r="K96" s="1" t="s">
        <v>2166</v>
      </c>
      <c r="L96" s="1" t="s">
        <v>1329</v>
      </c>
      <c r="M96" s="1" t="s">
        <v>1331</v>
      </c>
      <c r="N96" s="1" t="s">
        <v>1330</v>
      </c>
      <c r="O96" s="1" t="s">
        <v>1164</v>
      </c>
      <c r="P96" s="1" t="s">
        <v>1339</v>
      </c>
      <c r="Q96" s="1" t="s">
        <v>194</v>
      </c>
      <c r="R96" s="1" t="s">
        <v>32</v>
      </c>
      <c r="S96" s="1" t="s">
        <v>2170</v>
      </c>
      <c r="T96" s="1" t="s">
        <v>643</v>
      </c>
      <c r="U96" s="1" t="s">
        <v>31</v>
      </c>
      <c r="V96" s="1" t="s">
        <v>90</v>
      </c>
      <c r="W96" s="14" t="s">
        <v>2</v>
      </c>
      <c r="X96" s="14" t="s">
        <v>4663</v>
      </c>
      <c r="Y96" s="14" t="s">
        <v>4530</v>
      </c>
      <c r="Z96" s="14" t="s">
        <v>31</v>
      </c>
      <c r="AA96" s="14" t="s">
        <v>4503</v>
      </c>
      <c r="AB96" s="14">
        <v>1</v>
      </c>
      <c r="AC96" s="14" t="s">
        <v>194</v>
      </c>
      <c r="AD96" s="14">
        <v>0</v>
      </c>
      <c r="AE96" s="14" t="s">
        <v>626</v>
      </c>
      <c r="AF96" s="14" t="s">
        <v>4191</v>
      </c>
      <c r="AG96" s="14" t="s">
        <v>4191</v>
      </c>
      <c r="AH96" s="14" t="s">
        <v>4191</v>
      </c>
      <c r="AI96" s="14" t="s">
        <v>4191</v>
      </c>
      <c r="AJ96" s="14" t="s">
        <v>194</v>
      </c>
      <c r="AK96" s="14" t="s">
        <v>194</v>
      </c>
      <c r="AL96" s="14" t="s">
        <v>194</v>
      </c>
      <c r="AM96" s="14" t="s">
        <v>194</v>
      </c>
      <c r="AN96" s="14" t="s">
        <v>194</v>
      </c>
      <c r="AO96" s="14" t="s">
        <v>194</v>
      </c>
      <c r="AP96" s="14" t="s">
        <v>194</v>
      </c>
      <c r="AQ96" s="14" t="s">
        <v>606</v>
      </c>
      <c r="AR96" s="14" t="s">
        <v>4512</v>
      </c>
    </row>
    <row r="97" spans="1:44" ht="120" hidden="1" x14ac:dyDescent="0.25">
      <c r="A97" s="1" t="s">
        <v>1359</v>
      </c>
      <c r="B97" s="1" t="s">
        <v>1421</v>
      </c>
      <c r="C97" s="1" t="s">
        <v>26</v>
      </c>
      <c r="D97" s="1" t="s">
        <v>27</v>
      </c>
      <c r="E97" s="1" t="s">
        <v>34</v>
      </c>
      <c r="F97" s="1" t="s">
        <v>50</v>
      </c>
      <c r="G97" s="11" t="s">
        <v>1422</v>
      </c>
      <c r="H97" s="11" t="s">
        <v>4708</v>
      </c>
      <c r="I97" s="1" t="s">
        <v>77</v>
      </c>
      <c r="J97" s="1" t="s">
        <v>2146</v>
      </c>
      <c r="K97" s="1" t="s">
        <v>2167</v>
      </c>
      <c r="L97" s="1" t="s">
        <v>1329</v>
      </c>
      <c r="M97" s="1" t="s">
        <v>1331</v>
      </c>
      <c r="N97" s="1" t="s">
        <v>1330</v>
      </c>
      <c r="O97" s="1" t="s">
        <v>1164</v>
      </c>
      <c r="P97" s="1" t="s">
        <v>1339</v>
      </c>
      <c r="Q97" s="1" t="s">
        <v>194</v>
      </c>
      <c r="R97" s="1" t="s">
        <v>32</v>
      </c>
      <c r="S97" s="1" t="s">
        <v>2170</v>
      </c>
      <c r="T97" s="1" t="s">
        <v>643</v>
      </c>
      <c r="U97" s="1" t="s">
        <v>31</v>
      </c>
      <c r="V97" s="1" t="s">
        <v>90</v>
      </c>
      <c r="W97" s="14" t="s">
        <v>2</v>
      </c>
      <c r="X97" s="14" t="s">
        <v>4663</v>
      </c>
      <c r="Y97" s="14" t="s">
        <v>4530</v>
      </c>
      <c r="Z97" s="14" t="s">
        <v>31</v>
      </c>
      <c r="AA97" s="14" t="s">
        <v>4503</v>
      </c>
      <c r="AB97" s="14">
        <v>1</v>
      </c>
      <c r="AC97" s="14" t="s">
        <v>4504</v>
      </c>
      <c r="AD97" s="14">
        <v>2</v>
      </c>
      <c r="AE97" s="14" t="s">
        <v>626</v>
      </c>
      <c r="AF97" s="14" t="s">
        <v>4191</v>
      </c>
      <c r="AG97" s="14" t="s">
        <v>4191</v>
      </c>
      <c r="AH97" s="14" t="s">
        <v>4191</v>
      </c>
      <c r="AI97" s="14" t="s">
        <v>4191</v>
      </c>
      <c r="AJ97" s="14" t="s">
        <v>194</v>
      </c>
      <c r="AK97" s="14" t="s">
        <v>194</v>
      </c>
      <c r="AL97" s="14" t="s">
        <v>194</v>
      </c>
      <c r="AM97" s="14" t="s">
        <v>194</v>
      </c>
      <c r="AN97" s="14" t="s">
        <v>194</v>
      </c>
      <c r="AO97" s="14" t="s">
        <v>194</v>
      </c>
      <c r="AP97" s="14" t="s">
        <v>194</v>
      </c>
      <c r="AQ97" s="14" t="s">
        <v>606</v>
      </c>
      <c r="AR97" s="14" t="s">
        <v>4512</v>
      </c>
    </row>
    <row r="98" spans="1:44" ht="120" hidden="1" x14ac:dyDescent="0.25">
      <c r="A98" s="1" t="s">
        <v>1366</v>
      </c>
      <c r="B98" s="1" t="s">
        <v>1423</v>
      </c>
      <c r="C98" s="1" t="s">
        <v>26</v>
      </c>
      <c r="D98" s="1" t="s">
        <v>27</v>
      </c>
      <c r="E98" s="1" t="s">
        <v>34</v>
      </c>
      <c r="F98" s="1" t="s">
        <v>50</v>
      </c>
      <c r="G98" s="11" t="s">
        <v>1424</v>
      </c>
      <c r="H98" s="11" t="s">
        <v>4708</v>
      </c>
      <c r="I98" s="1" t="s">
        <v>77</v>
      </c>
      <c r="J98" s="1" t="s">
        <v>2146</v>
      </c>
      <c r="K98" s="1" t="s">
        <v>2168</v>
      </c>
      <c r="L98" s="1" t="s">
        <v>1329</v>
      </c>
      <c r="M98" s="1" t="s">
        <v>1331</v>
      </c>
      <c r="N98" s="1" t="s">
        <v>1330</v>
      </c>
      <c r="O98" s="1" t="s">
        <v>1164</v>
      </c>
      <c r="P98" s="1" t="s">
        <v>1339</v>
      </c>
      <c r="Q98" s="1" t="s">
        <v>194</v>
      </c>
      <c r="R98" s="1" t="s">
        <v>32</v>
      </c>
      <c r="S98" s="1" t="s">
        <v>2170</v>
      </c>
      <c r="T98" s="1" t="s">
        <v>643</v>
      </c>
      <c r="U98" s="1" t="s">
        <v>31</v>
      </c>
      <c r="V98" s="1" t="s">
        <v>90</v>
      </c>
      <c r="W98" s="14" t="s">
        <v>2</v>
      </c>
      <c r="X98" s="14" t="s">
        <v>4663</v>
      </c>
      <c r="Y98" s="14" t="s">
        <v>4530</v>
      </c>
      <c r="Z98" s="14" t="s">
        <v>31</v>
      </c>
      <c r="AA98" s="14" t="s">
        <v>4503</v>
      </c>
      <c r="AB98" s="14">
        <v>1</v>
      </c>
      <c r="AC98" s="14" t="s">
        <v>4504</v>
      </c>
      <c r="AD98" s="14">
        <v>2</v>
      </c>
      <c r="AE98" s="14" t="s">
        <v>626</v>
      </c>
      <c r="AF98" s="14" t="s">
        <v>4191</v>
      </c>
      <c r="AG98" s="14" t="s">
        <v>4191</v>
      </c>
      <c r="AH98" s="14" t="s">
        <v>4191</v>
      </c>
      <c r="AI98" s="14" t="s">
        <v>4191</v>
      </c>
      <c r="AJ98" s="14" t="s">
        <v>194</v>
      </c>
      <c r="AK98" s="14" t="s">
        <v>194</v>
      </c>
      <c r="AL98" s="14" t="s">
        <v>194</v>
      </c>
      <c r="AM98" s="14" t="s">
        <v>194</v>
      </c>
      <c r="AN98" s="14" t="s">
        <v>194</v>
      </c>
      <c r="AO98" s="14" t="s">
        <v>194</v>
      </c>
      <c r="AP98" s="14" t="s">
        <v>194</v>
      </c>
      <c r="AQ98" s="14" t="s">
        <v>606</v>
      </c>
      <c r="AR98" s="14" t="s">
        <v>4512</v>
      </c>
    </row>
    <row r="99" spans="1:44" ht="120" hidden="1" x14ac:dyDescent="0.25">
      <c r="A99" s="1" t="s">
        <v>1373</v>
      </c>
      <c r="B99" s="1" t="s">
        <v>1425</v>
      </c>
      <c r="C99" s="1" t="s">
        <v>26</v>
      </c>
      <c r="D99" s="1" t="s">
        <v>27</v>
      </c>
      <c r="E99" s="1" t="s">
        <v>34</v>
      </c>
      <c r="F99" s="1" t="s">
        <v>50</v>
      </c>
      <c r="G99" s="11" t="s">
        <v>3755</v>
      </c>
      <c r="H99" s="11" t="s">
        <v>4708</v>
      </c>
      <c r="I99" s="1" t="s">
        <v>77</v>
      </c>
      <c r="J99" s="1" t="s">
        <v>2146</v>
      </c>
      <c r="K99" s="1" t="s">
        <v>1426</v>
      </c>
      <c r="L99" s="1" t="s">
        <v>1329</v>
      </c>
      <c r="M99" s="1" t="s">
        <v>1331</v>
      </c>
      <c r="N99" s="1" t="s">
        <v>1330</v>
      </c>
      <c r="O99" s="1" t="s">
        <v>1164</v>
      </c>
      <c r="P99" s="1" t="s">
        <v>1339</v>
      </c>
      <c r="Q99" s="1" t="s">
        <v>194</v>
      </c>
      <c r="R99" s="1" t="s">
        <v>32</v>
      </c>
      <c r="S99" s="1" t="s">
        <v>2170</v>
      </c>
      <c r="T99" s="1" t="s">
        <v>643</v>
      </c>
      <c r="U99" s="1" t="s">
        <v>31</v>
      </c>
      <c r="V99" s="1" t="s">
        <v>90</v>
      </c>
      <c r="W99" s="14" t="s">
        <v>2</v>
      </c>
      <c r="X99" s="14" t="s">
        <v>4663</v>
      </c>
      <c r="Y99" s="14" t="s">
        <v>4530</v>
      </c>
      <c r="Z99" s="14" t="s">
        <v>31</v>
      </c>
      <c r="AA99" s="14" t="s">
        <v>4503</v>
      </c>
      <c r="AB99" s="14">
        <v>1</v>
      </c>
      <c r="AC99" s="14" t="s">
        <v>4504</v>
      </c>
      <c r="AD99" s="14">
        <v>2</v>
      </c>
      <c r="AE99" s="14" t="s">
        <v>626</v>
      </c>
      <c r="AF99" s="14" t="s">
        <v>4191</v>
      </c>
      <c r="AG99" s="14" t="s">
        <v>4191</v>
      </c>
      <c r="AH99" s="14" t="s">
        <v>4191</v>
      </c>
      <c r="AI99" s="14" t="s">
        <v>4191</v>
      </c>
      <c r="AJ99" s="14" t="s">
        <v>194</v>
      </c>
      <c r="AK99" s="14" t="s">
        <v>194</v>
      </c>
      <c r="AL99" s="14" t="s">
        <v>194</v>
      </c>
      <c r="AM99" s="14" t="s">
        <v>194</v>
      </c>
      <c r="AN99" s="14" t="s">
        <v>194</v>
      </c>
      <c r="AO99" s="14" t="s">
        <v>194</v>
      </c>
      <c r="AP99" s="14" t="s">
        <v>194</v>
      </c>
      <c r="AQ99" s="14" t="s">
        <v>606</v>
      </c>
      <c r="AR99" s="14" t="s">
        <v>4512</v>
      </c>
    </row>
    <row r="100" spans="1:44" ht="120" hidden="1" x14ac:dyDescent="0.25">
      <c r="A100" s="1" t="s">
        <v>1380</v>
      </c>
      <c r="B100" s="1" t="s">
        <v>1427</v>
      </c>
      <c r="C100" s="1" t="s">
        <v>26</v>
      </c>
      <c r="D100" s="1" t="s">
        <v>27</v>
      </c>
      <c r="E100" s="1" t="s">
        <v>34</v>
      </c>
      <c r="F100" s="1" t="s">
        <v>50</v>
      </c>
      <c r="G100" s="11" t="s">
        <v>1941</v>
      </c>
      <c r="H100" s="11" t="s">
        <v>4708</v>
      </c>
      <c r="I100" s="1" t="s">
        <v>77</v>
      </c>
      <c r="J100" s="1" t="s">
        <v>2146</v>
      </c>
      <c r="K100" s="1" t="s">
        <v>1428</v>
      </c>
      <c r="L100" s="1" t="s">
        <v>1329</v>
      </c>
      <c r="M100" s="1" t="s">
        <v>1331</v>
      </c>
      <c r="N100" s="1" t="s">
        <v>1330</v>
      </c>
      <c r="O100" s="1" t="s">
        <v>1164</v>
      </c>
      <c r="P100" s="1" t="s">
        <v>1339</v>
      </c>
      <c r="Q100" s="1" t="s">
        <v>194</v>
      </c>
      <c r="R100" s="1" t="s">
        <v>32</v>
      </c>
      <c r="S100" s="1" t="s">
        <v>2170</v>
      </c>
      <c r="T100" s="1" t="s">
        <v>643</v>
      </c>
      <c r="U100" s="1" t="s">
        <v>31</v>
      </c>
      <c r="V100" s="1" t="s">
        <v>90</v>
      </c>
      <c r="W100" s="14" t="s">
        <v>2</v>
      </c>
      <c r="X100" s="14" t="s">
        <v>4663</v>
      </c>
      <c r="Y100" s="14" t="s">
        <v>4530</v>
      </c>
      <c r="Z100" s="14" t="s">
        <v>31</v>
      </c>
      <c r="AA100" s="14" t="s">
        <v>4503</v>
      </c>
      <c r="AB100" s="14">
        <v>1</v>
      </c>
      <c r="AC100" s="14" t="s">
        <v>4504</v>
      </c>
      <c r="AD100" s="14">
        <v>2</v>
      </c>
      <c r="AE100" s="14" t="s">
        <v>626</v>
      </c>
      <c r="AF100" s="14" t="s">
        <v>4191</v>
      </c>
      <c r="AG100" s="14" t="s">
        <v>4191</v>
      </c>
      <c r="AH100" s="14" t="s">
        <v>4191</v>
      </c>
      <c r="AI100" s="14" t="s">
        <v>4191</v>
      </c>
      <c r="AJ100" s="14" t="s">
        <v>194</v>
      </c>
      <c r="AK100" s="14" t="s">
        <v>194</v>
      </c>
      <c r="AL100" s="14" t="s">
        <v>194</v>
      </c>
      <c r="AM100" s="14" t="s">
        <v>194</v>
      </c>
      <c r="AN100" s="14" t="s">
        <v>194</v>
      </c>
      <c r="AO100" s="14" t="s">
        <v>194</v>
      </c>
      <c r="AP100" s="14" t="s">
        <v>194</v>
      </c>
      <c r="AQ100" s="14" t="s">
        <v>606</v>
      </c>
      <c r="AR100" s="14" t="s">
        <v>4512</v>
      </c>
    </row>
    <row r="101" spans="1:44" ht="105" hidden="1" x14ac:dyDescent="0.25">
      <c r="A101" s="1" t="s">
        <v>1675</v>
      </c>
      <c r="B101" s="1" t="s">
        <v>1435</v>
      </c>
      <c r="C101" s="1" t="s">
        <v>26</v>
      </c>
      <c r="D101" s="1" t="s">
        <v>27</v>
      </c>
      <c r="E101" s="1" t="s">
        <v>28</v>
      </c>
      <c r="F101" s="1" t="s">
        <v>29</v>
      </c>
      <c r="G101" s="11" t="s">
        <v>1707</v>
      </c>
      <c r="H101" s="11" t="s">
        <v>4709</v>
      </c>
      <c r="I101" s="1" t="s">
        <v>30</v>
      </c>
      <c r="J101" s="1" t="s">
        <v>2133</v>
      </c>
      <c r="K101" s="1" t="s">
        <v>2162</v>
      </c>
      <c r="L101" s="1" t="s">
        <v>1329</v>
      </c>
      <c r="M101" s="1" t="s">
        <v>562</v>
      </c>
      <c r="N101" s="1" t="s">
        <v>1330</v>
      </c>
      <c r="O101" s="1" t="s">
        <v>1164</v>
      </c>
      <c r="P101" s="1" t="s">
        <v>1339</v>
      </c>
      <c r="Q101" s="1" t="s">
        <v>194</v>
      </c>
      <c r="R101" s="1" t="s">
        <v>2</v>
      </c>
      <c r="S101" s="1" t="s">
        <v>576</v>
      </c>
      <c r="T101" s="1" t="s">
        <v>643</v>
      </c>
      <c r="U101" s="1" t="s">
        <v>31</v>
      </c>
      <c r="V101" s="1" t="s">
        <v>90</v>
      </c>
      <c r="W101" s="14" t="s">
        <v>2</v>
      </c>
      <c r="X101" s="14" t="s">
        <v>4663</v>
      </c>
      <c r="Y101" s="14" t="s">
        <v>194</v>
      </c>
      <c r="Z101" s="14" t="s">
        <v>31</v>
      </c>
      <c r="AA101" s="14" t="s">
        <v>4506</v>
      </c>
      <c r="AB101" s="14">
        <v>1</v>
      </c>
      <c r="AC101" s="14" t="s">
        <v>194</v>
      </c>
      <c r="AD101" s="14">
        <v>0</v>
      </c>
      <c r="AE101" s="14" t="s">
        <v>626</v>
      </c>
      <c r="AF101" s="14" t="s">
        <v>626</v>
      </c>
      <c r="AG101" s="14" t="s">
        <v>626</v>
      </c>
      <c r="AH101" s="14" t="s">
        <v>4191</v>
      </c>
      <c r="AI101" s="14" t="s">
        <v>4191</v>
      </c>
      <c r="AJ101" s="14" t="s">
        <v>194</v>
      </c>
      <c r="AK101" s="14" t="s">
        <v>194</v>
      </c>
      <c r="AL101" s="14" t="s">
        <v>194</v>
      </c>
      <c r="AM101" s="14" t="s">
        <v>194</v>
      </c>
      <c r="AN101" s="14" t="s">
        <v>194</v>
      </c>
      <c r="AO101" s="14" t="s">
        <v>194</v>
      </c>
      <c r="AP101" s="14" t="s">
        <v>194</v>
      </c>
      <c r="AQ101" s="14" t="s">
        <v>606</v>
      </c>
      <c r="AR101" s="14" t="s">
        <v>4512</v>
      </c>
    </row>
    <row r="102" spans="1:44" ht="105" hidden="1" x14ac:dyDescent="0.25">
      <c r="A102" s="1" t="s">
        <v>1677</v>
      </c>
      <c r="B102" s="1" t="s">
        <v>1436</v>
      </c>
      <c r="C102" s="1" t="s">
        <v>26</v>
      </c>
      <c r="D102" s="1" t="s">
        <v>27</v>
      </c>
      <c r="E102" s="1" t="s">
        <v>28</v>
      </c>
      <c r="F102" s="1" t="s">
        <v>29</v>
      </c>
      <c r="G102" s="11" t="s">
        <v>1708</v>
      </c>
      <c r="H102" s="11" t="s">
        <v>4709</v>
      </c>
      <c r="I102" s="1" t="s">
        <v>30</v>
      </c>
      <c r="J102" s="1" t="s">
        <v>2133</v>
      </c>
      <c r="K102" s="1" t="s">
        <v>2162</v>
      </c>
      <c r="L102" s="1" t="s">
        <v>1329</v>
      </c>
      <c r="M102" s="1" t="s">
        <v>562</v>
      </c>
      <c r="N102" s="1" t="s">
        <v>1330</v>
      </c>
      <c r="O102" s="1" t="s">
        <v>1164</v>
      </c>
      <c r="P102" s="1" t="s">
        <v>1339</v>
      </c>
      <c r="Q102" s="1" t="s">
        <v>194</v>
      </c>
      <c r="R102" s="1" t="s">
        <v>2</v>
      </c>
      <c r="S102" s="1" t="s">
        <v>576</v>
      </c>
      <c r="T102" s="1" t="s">
        <v>643</v>
      </c>
      <c r="U102" s="1" t="s">
        <v>31</v>
      </c>
      <c r="V102" s="1" t="s">
        <v>90</v>
      </c>
      <c r="W102" s="14" t="s">
        <v>2</v>
      </c>
      <c r="X102" s="14" t="s">
        <v>4663</v>
      </c>
      <c r="Y102" s="14" t="s">
        <v>194</v>
      </c>
      <c r="Z102" s="14" t="s">
        <v>31</v>
      </c>
      <c r="AA102" s="14" t="s">
        <v>4506</v>
      </c>
      <c r="AB102" s="14">
        <v>1</v>
      </c>
      <c r="AC102" s="14" t="s">
        <v>194</v>
      </c>
      <c r="AD102" s="14">
        <v>0</v>
      </c>
      <c r="AE102" s="14" t="s">
        <v>626</v>
      </c>
      <c r="AF102" s="14" t="s">
        <v>626</v>
      </c>
      <c r="AG102" s="14" t="s">
        <v>626</v>
      </c>
      <c r="AH102" s="14" t="s">
        <v>4191</v>
      </c>
      <c r="AI102" s="14" t="s">
        <v>4191</v>
      </c>
      <c r="AJ102" s="14" t="s">
        <v>194</v>
      </c>
      <c r="AK102" s="14" t="s">
        <v>194</v>
      </c>
      <c r="AL102" s="14" t="s">
        <v>194</v>
      </c>
      <c r="AM102" s="14" t="s">
        <v>194</v>
      </c>
      <c r="AN102" s="14" t="s">
        <v>194</v>
      </c>
      <c r="AO102" s="14" t="s">
        <v>194</v>
      </c>
      <c r="AP102" s="14" t="s">
        <v>194</v>
      </c>
      <c r="AQ102" s="14" t="s">
        <v>606</v>
      </c>
      <c r="AR102" s="14" t="s">
        <v>4512</v>
      </c>
    </row>
    <row r="103" spans="1:44" ht="105" hidden="1" x14ac:dyDescent="0.25">
      <c r="A103" s="1" t="s">
        <v>1679</v>
      </c>
      <c r="B103" s="1" t="s">
        <v>1437</v>
      </c>
      <c r="C103" s="1" t="s">
        <v>26</v>
      </c>
      <c r="D103" s="1" t="s">
        <v>27</v>
      </c>
      <c r="E103" s="1" t="s">
        <v>28</v>
      </c>
      <c r="F103" s="1" t="s">
        <v>29</v>
      </c>
      <c r="G103" s="11" t="s">
        <v>1709</v>
      </c>
      <c r="H103" s="11" t="s">
        <v>4709</v>
      </c>
      <c r="I103" s="1" t="s">
        <v>30</v>
      </c>
      <c r="J103" s="1" t="s">
        <v>2133</v>
      </c>
      <c r="K103" s="1" t="s">
        <v>2162</v>
      </c>
      <c r="L103" s="1" t="s">
        <v>1329</v>
      </c>
      <c r="M103" s="1" t="s">
        <v>562</v>
      </c>
      <c r="N103" s="1" t="s">
        <v>1330</v>
      </c>
      <c r="O103" s="1" t="s">
        <v>1164</v>
      </c>
      <c r="P103" s="1" t="s">
        <v>1339</v>
      </c>
      <c r="Q103" s="1" t="s">
        <v>194</v>
      </c>
      <c r="R103" s="1" t="s">
        <v>2</v>
      </c>
      <c r="S103" s="1" t="s">
        <v>576</v>
      </c>
      <c r="T103" s="1" t="s">
        <v>643</v>
      </c>
      <c r="U103" s="1" t="s">
        <v>31</v>
      </c>
      <c r="V103" s="1" t="s">
        <v>90</v>
      </c>
      <c r="W103" s="14" t="s">
        <v>2</v>
      </c>
      <c r="X103" s="14" t="s">
        <v>4663</v>
      </c>
      <c r="Y103" s="14" t="s">
        <v>194</v>
      </c>
      <c r="Z103" s="14" t="s">
        <v>31</v>
      </c>
      <c r="AA103" s="14" t="s">
        <v>4506</v>
      </c>
      <c r="AB103" s="14">
        <v>1</v>
      </c>
      <c r="AC103" s="14" t="s">
        <v>194</v>
      </c>
      <c r="AD103" s="14">
        <v>0</v>
      </c>
      <c r="AE103" s="14" t="s">
        <v>626</v>
      </c>
      <c r="AF103" s="14" t="s">
        <v>626</v>
      </c>
      <c r="AG103" s="14" t="s">
        <v>626</v>
      </c>
      <c r="AH103" s="14" t="s">
        <v>4191</v>
      </c>
      <c r="AI103" s="14" t="s">
        <v>4191</v>
      </c>
      <c r="AJ103" s="14" t="s">
        <v>194</v>
      </c>
      <c r="AK103" s="14" t="s">
        <v>194</v>
      </c>
      <c r="AL103" s="14" t="s">
        <v>194</v>
      </c>
      <c r="AM103" s="14" t="s">
        <v>194</v>
      </c>
      <c r="AN103" s="14" t="s">
        <v>194</v>
      </c>
      <c r="AO103" s="14" t="s">
        <v>194</v>
      </c>
      <c r="AP103" s="14" t="s">
        <v>194</v>
      </c>
      <c r="AQ103" s="14" t="s">
        <v>606</v>
      </c>
      <c r="AR103" s="14" t="s">
        <v>4512</v>
      </c>
    </row>
    <row r="104" spans="1:44" ht="105" hidden="1" x14ac:dyDescent="0.25">
      <c r="A104" s="1" t="s">
        <v>1054</v>
      </c>
      <c r="B104" s="1" t="s">
        <v>1048</v>
      </c>
      <c r="C104" s="1" t="s">
        <v>26</v>
      </c>
      <c r="D104" s="1" t="s">
        <v>27</v>
      </c>
      <c r="E104" s="1" t="s">
        <v>34</v>
      </c>
      <c r="F104" s="1" t="s">
        <v>35</v>
      </c>
      <c r="G104" s="11" t="s">
        <v>1055</v>
      </c>
      <c r="H104" s="11" t="s">
        <v>4710</v>
      </c>
      <c r="I104" s="1" t="s">
        <v>82</v>
      </c>
      <c r="J104" s="1" t="s">
        <v>1904</v>
      </c>
      <c r="K104" s="1" t="s">
        <v>2169</v>
      </c>
      <c r="L104" s="1" t="s">
        <v>1329</v>
      </c>
      <c r="M104" s="1" t="s">
        <v>562</v>
      </c>
      <c r="N104" s="1" t="s">
        <v>1330</v>
      </c>
      <c r="O104" s="1" t="s">
        <v>1164</v>
      </c>
      <c r="P104" s="1" t="s">
        <v>1339</v>
      </c>
      <c r="Q104" s="1" t="s">
        <v>194</v>
      </c>
      <c r="R104" s="1" t="s">
        <v>2</v>
      </c>
      <c r="S104" s="1" t="s">
        <v>576</v>
      </c>
      <c r="T104" s="1" t="s">
        <v>643</v>
      </c>
      <c r="U104" s="1" t="s">
        <v>31</v>
      </c>
      <c r="V104" s="1" t="s">
        <v>90</v>
      </c>
      <c r="W104" s="14" t="s">
        <v>2</v>
      </c>
      <c r="X104" s="14" t="s">
        <v>4665</v>
      </c>
      <c r="Y104" s="14" t="s">
        <v>194</v>
      </c>
      <c r="Z104" s="14" t="s">
        <v>31</v>
      </c>
      <c r="AA104" s="14" t="s">
        <v>4506</v>
      </c>
      <c r="AB104" s="14">
        <v>1</v>
      </c>
      <c r="AC104" s="14" t="s">
        <v>194</v>
      </c>
      <c r="AD104" s="14">
        <v>0</v>
      </c>
      <c r="AE104" s="14" t="s">
        <v>626</v>
      </c>
      <c r="AF104" s="14" t="s">
        <v>626</v>
      </c>
      <c r="AG104" s="14" t="s">
        <v>626</v>
      </c>
      <c r="AH104" s="14" t="s">
        <v>4191</v>
      </c>
      <c r="AI104" s="14" t="s">
        <v>4191</v>
      </c>
      <c r="AJ104" s="14" t="s">
        <v>194</v>
      </c>
      <c r="AK104" s="14" t="s">
        <v>194</v>
      </c>
      <c r="AL104" s="14" t="s">
        <v>194</v>
      </c>
      <c r="AM104" s="14" t="s">
        <v>194</v>
      </c>
      <c r="AN104" s="14" t="s">
        <v>194</v>
      </c>
      <c r="AO104" s="14" t="s">
        <v>194</v>
      </c>
      <c r="AP104" s="14" t="s">
        <v>194</v>
      </c>
      <c r="AQ104" s="14" t="s">
        <v>1082</v>
      </c>
      <c r="AR104" s="14" t="s">
        <v>4512</v>
      </c>
    </row>
    <row r="105" spans="1:44" ht="105" hidden="1" x14ac:dyDescent="0.25">
      <c r="A105" s="1" t="s">
        <v>1056</v>
      </c>
      <c r="B105" s="1" t="s">
        <v>1050</v>
      </c>
      <c r="C105" s="1" t="s">
        <v>26</v>
      </c>
      <c r="D105" s="1" t="s">
        <v>27</v>
      </c>
      <c r="E105" s="1" t="s">
        <v>34</v>
      </c>
      <c r="F105" s="1" t="s">
        <v>35</v>
      </c>
      <c r="G105" s="11" t="s">
        <v>1055</v>
      </c>
      <c r="H105" s="11" t="s">
        <v>4710</v>
      </c>
      <c r="I105" s="1" t="s">
        <v>82</v>
      </c>
      <c r="J105" s="1" t="s">
        <v>1904</v>
      </c>
      <c r="K105" s="1" t="s">
        <v>2169</v>
      </c>
      <c r="L105" s="1" t="s">
        <v>1329</v>
      </c>
      <c r="M105" s="1" t="s">
        <v>562</v>
      </c>
      <c r="N105" s="1" t="s">
        <v>1330</v>
      </c>
      <c r="O105" s="1" t="s">
        <v>1164</v>
      </c>
      <c r="P105" s="1" t="s">
        <v>1339</v>
      </c>
      <c r="Q105" s="1" t="s">
        <v>194</v>
      </c>
      <c r="R105" s="1" t="s">
        <v>314</v>
      </c>
      <c r="S105" s="1" t="s">
        <v>576</v>
      </c>
      <c r="T105" s="1" t="s">
        <v>643</v>
      </c>
      <c r="U105" s="1" t="s">
        <v>31</v>
      </c>
      <c r="V105" s="1" t="s">
        <v>90</v>
      </c>
      <c r="W105" s="14" t="s">
        <v>2</v>
      </c>
      <c r="X105" s="14" t="s">
        <v>4665</v>
      </c>
      <c r="Y105" s="14" t="s">
        <v>194</v>
      </c>
      <c r="Z105" s="14" t="s">
        <v>31</v>
      </c>
      <c r="AA105" s="14" t="s">
        <v>4506</v>
      </c>
      <c r="AB105" s="14">
        <v>1</v>
      </c>
      <c r="AC105" s="14" t="s">
        <v>194</v>
      </c>
      <c r="AD105" s="14">
        <v>0</v>
      </c>
      <c r="AE105" s="14" t="s">
        <v>626</v>
      </c>
      <c r="AF105" s="14" t="s">
        <v>626</v>
      </c>
      <c r="AG105" s="14" t="s">
        <v>626</v>
      </c>
      <c r="AH105" s="14" t="s">
        <v>4191</v>
      </c>
      <c r="AI105" s="14" t="s">
        <v>4191</v>
      </c>
      <c r="AJ105" s="14" t="s">
        <v>194</v>
      </c>
      <c r="AK105" s="14" t="s">
        <v>194</v>
      </c>
      <c r="AL105" s="14" t="s">
        <v>194</v>
      </c>
      <c r="AM105" s="14" t="s">
        <v>194</v>
      </c>
      <c r="AN105" s="14" t="s">
        <v>194</v>
      </c>
      <c r="AO105" s="14" t="s">
        <v>194</v>
      </c>
      <c r="AP105" s="14" t="s">
        <v>194</v>
      </c>
      <c r="AQ105" s="14" t="s">
        <v>1082</v>
      </c>
      <c r="AR105" s="14" t="s">
        <v>4512</v>
      </c>
    </row>
    <row r="106" spans="1:44" ht="105" hidden="1" x14ac:dyDescent="0.25">
      <c r="A106" s="1" t="s">
        <v>1057</v>
      </c>
      <c r="B106" s="1" t="s">
        <v>1052</v>
      </c>
      <c r="C106" s="1" t="s">
        <v>26</v>
      </c>
      <c r="D106" s="1" t="s">
        <v>27</v>
      </c>
      <c r="E106" s="1" t="s">
        <v>34</v>
      </c>
      <c r="F106" s="1" t="s">
        <v>35</v>
      </c>
      <c r="G106" s="11" t="s">
        <v>1055</v>
      </c>
      <c r="H106" s="11" t="s">
        <v>4710</v>
      </c>
      <c r="I106" s="1" t="s">
        <v>82</v>
      </c>
      <c r="J106" s="1" t="s">
        <v>1904</v>
      </c>
      <c r="K106" s="1" t="s">
        <v>2169</v>
      </c>
      <c r="L106" s="1" t="s">
        <v>1329</v>
      </c>
      <c r="M106" s="1" t="s">
        <v>562</v>
      </c>
      <c r="N106" s="1" t="s">
        <v>1330</v>
      </c>
      <c r="O106" s="1" t="s">
        <v>1164</v>
      </c>
      <c r="P106" s="1" t="s">
        <v>1339</v>
      </c>
      <c r="Q106" s="1" t="s">
        <v>194</v>
      </c>
      <c r="R106" s="1" t="s">
        <v>317</v>
      </c>
      <c r="S106" s="1" t="s">
        <v>576</v>
      </c>
      <c r="T106" s="1" t="s">
        <v>643</v>
      </c>
      <c r="U106" s="1" t="s">
        <v>31</v>
      </c>
      <c r="V106" s="1" t="s">
        <v>90</v>
      </c>
      <c r="W106" s="14" t="s">
        <v>2</v>
      </c>
      <c r="X106" s="14" t="s">
        <v>4665</v>
      </c>
      <c r="Y106" s="14" t="s">
        <v>194</v>
      </c>
      <c r="Z106" s="14" t="s">
        <v>31</v>
      </c>
      <c r="AA106" s="14" t="s">
        <v>4506</v>
      </c>
      <c r="AB106" s="14">
        <v>1</v>
      </c>
      <c r="AC106" s="14" t="s">
        <v>194</v>
      </c>
      <c r="AD106" s="14">
        <v>0</v>
      </c>
      <c r="AE106" s="14" t="s">
        <v>626</v>
      </c>
      <c r="AF106" s="14" t="s">
        <v>626</v>
      </c>
      <c r="AG106" s="14" t="s">
        <v>626</v>
      </c>
      <c r="AH106" s="14" t="s">
        <v>4191</v>
      </c>
      <c r="AI106" s="14" t="s">
        <v>4191</v>
      </c>
      <c r="AJ106" s="14" t="s">
        <v>194</v>
      </c>
      <c r="AK106" s="14" t="s">
        <v>194</v>
      </c>
      <c r="AL106" s="14" t="s">
        <v>194</v>
      </c>
      <c r="AM106" s="14" t="s">
        <v>194</v>
      </c>
      <c r="AN106" s="14" t="s">
        <v>194</v>
      </c>
      <c r="AO106" s="14" t="s">
        <v>194</v>
      </c>
      <c r="AP106" s="14" t="s">
        <v>194</v>
      </c>
      <c r="AQ106" s="14" t="s">
        <v>1082</v>
      </c>
      <c r="AR106" s="14" t="s">
        <v>4512</v>
      </c>
    </row>
    <row r="107" spans="1:44" ht="105" hidden="1" x14ac:dyDescent="0.25">
      <c r="A107" s="1" t="s">
        <v>1387</v>
      </c>
      <c r="B107" s="1" t="s">
        <v>1429</v>
      </c>
      <c r="C107" s="1" t="s">
        <v>26</v>
      </c>
      <c r="D107" s="1" t="s">
        <v>27</v>
      </c>
      <c r="E107" s="1" t="s">
        <v>34</v>
      </c>
      <c r="F107" s="1" t="s">
        <v>35</v>
      </c>
      <c r="G107" s="11" t="s">
        <v>1430</v>
      </c>
      <c r="H107" s="11" t="s">
        <v>4711</v>
      </c>
      <c r="I107" s="1" t="s">
        <v>82</v>
      </c>
      <c r="J107" s="1" t="s">
        <v>1904</v>
      </c>
      <c r="K107" s="1" t="s">
        <v>1431</v>
      </c>
      <c r="L107" s="1" t="s">
        <v>1329</v>
      </c>
      <c r="M107" s="1" t="s">
        <v>562</v>
      </c>
      <c r="N107" s="1" t="s">
        <v>1330</v>
      </c>
      <c r="O107" s="1" t="s">
        <v>1164</v>
      </c>
      <c r="P107" s="1" t="s">
        <v>1339</v>
      </c>
      <c r="Q107" s="1" t="s">
        <v>194</v>
      </c>
      <c r="R107" s="1" t="s">
        <v>308</v>
      </c>
      <c r="S107" s="1" t="s">
        <v>563</v>
      </c>
      <c r="T107" s="1" t="s">
        <v>643</v>
      </c>
      <c r="U107" s="1" t="s">
        <v>31</v>
      </c>
      <c r="V107" s="1" t="s">
        <v>90</v>
      </c>
      <c r="W107" s="14" t="s">
        <v>2</v>
      </c>
      <c r="X107" s="14" t="s">
        <v>4665</v>
      </c>
      <c r="Y107" s="14" t="s">
        <v>194</v>
      </c>
      <c r="Z107" s="14" t="s">
        <v>31</v>
      </c>
      <c r="AA107" s="14" t="s">
        <v>4503</v>
      </c>
      <c r="AB107" s="14">
        <v>1</v>
      </c>
      <c r="AC107" s="14" t="s">
        <v>194</v>
      </c>
      <c r="AD107" s="14">
        <v>0</v>
      </c>
      <c r="AE107" s="14" t="s">
        <v>626</v>
      </c>
      <c r="AF107" s="14" t="s">
        <v>626</v>
      </c>
      <c r="AG107" s="14" t="s">
        <v>626</v>
      </c>
      <c r="AH107" s="14" t="s">
        <v>4191</v>
      </c>
      <c r="AI107" s="14" t="s">
        <v>4191</v>
      </c>
      <c r="AJ107" s="14" t="s">
        <v>194</v>
      </c>
      <c r="AK107" s="14" t="s">
        <v>194</v>
      </c>
      <c r="AL107" s="14" t="s">
        <v>194</v>
      </c>
      <c r="AM107" s="14" t="s">
        <v>194</v>
      </c>
      <c r="AN107" s="14" t="s">
        <v>194</v>
      </c>
      <c r="AO107" s="14" t="s">
        <v>194</v>
      </c>
      <c r="AP107" s="14" t="s">
        <v>194</v>
      </c>
      <c r="AQ107" s="14" t="s">
        <v>1082</v>
      </c>
      <c r="AR107" s="14" t="s">
        <v>4512</v>
      </c>
    </row>
    <row r="108" spans="1:44" ht="105" hidden="1" x14ac:dyDescent="0.25">
      <c r="A108" s="1" t="s">
        <v>1391</v>
      </c>
      <c r="B108" s="1" t="s">
        <v>1432</v>
      </c>
      <c r="C108" s="1" t="s">
        <v>26</v>
      </c>
      <c r="D108" s="1" t="s">
        <v>27</v>
      </c>
      <c r="E108" s="1" t="s">
        <v>34</v>
      </c>
      <c r="F108" s="1" t="s">
        <v>35</v>
      </c>
      <c r="G108" s="11" t="s">
        <v>1433</v>
      </c>
      <c r="H108" s="11" t="s">
        <v>4711</v>
      </c>
      <c r="I108" s="1" t="s">
        <v>82</v>
      </c>
      <c r="J108" s="1" t="s">
        <v>1904</v>
      </c>
      <c r="K108" s="1" t="s">
        <v>1434</v>
      </c>
      <c r="L108" s="1" t="s">
        <v>1329</v>
      </c>
      <c r="M108" s="1" t="s">
        <v>562</v>
      </c>
      <c r="N108" s="1" t="s">
        <v>1330</v>
      </c>
      <c r="O108" s="1" t="s">
        <v>1164</v>
      </c>
      <c r="P108" s="1" t="s">
        <v>1339</v>
      </c>
      <c r="Q108" s="1" t="s">
        <v>194</v>
      </c>
      <c r="R108" s="1" t="s">
        <v>308</v>
      </c>
      <c r="S108" s="1" t="s">
        <v>563</v>
      </c>
      <c r="T108" s="1" t="s">
        <v>643</v>
      </c>
      <c r="U108" s="1" t="s">
        <v>31</v>
      </c>
      <c r="V108" s="1" t="s">
        <v>90</v>
      </c>
      <c r="W108" s="14" t="s">
        <v>2</v>
      </c>
      <c r="X108" s="14" t="s">
        <v>4665</v>
      </c>
      <c r="Y108" s="14" t="s">
        <v>194</v>
      </c>
      <c r="Z108" s="14" t="s">
        <v>31</v>
      </c>
      <c r="AA108" s="14" t="s">
        <v>4503</v>
      </c>
      <c r="AB108" s="14">
        <v>1</v>
      </c>
      <c r="AC108" s="14" t="s">
        <v>194</v>
      </c>
      <c r="AD108" s="14">
        <v>0</v>
      </c>
      <c r="AE108" s="14" t="s">
        <v>626</v>
      </c>
      <c r="AF108" s="14" t="s">
        <v>626</v>
      </c>
      <c r="AG108" s="14" t="s">
        <v>626</v>
      </c>
      <c r="AH108" s="14" t="s">
        <v>4191</v>
      </c>
      <c r="AI108" s="14" t="s">
        <v>4191</v>
      </c>
      <c r="AJ108" s="14" t="s">
        <v>194</v>
      </c>
      <c r="AK108" s="14" t="s">
        <v>194</v>
      </c>
      <c r="AL108" s="14" t="s">
        <v>194</v>
      </c>
      <c r="AM108" s="14" t="s">
        <v>194</v>
      </c>
      <c r="AN108" s="14" t="s">
        <v>194</v>
      </c>
      <c r="AO108" s="14" t="s">
        <v>194</v>
      </c>
      <c r="AP108" s="14" t="s">
        <v>194</v>
      </c>
      <c r="AQ108" s="14" t="s">
        <v>1082</v>
      </c>
      <c r="AR108" s="14" t="s">
        <v>4512</v>
      </c>
    </row>
    <row r="109" spans="1:44" ht="105" hidden="1" x14ac:dyDescent="0.25">
      <c r="A109" s="1" t="s">
        <v>1395</v>
      </c>
      <c r="B109" s="1" t="s">
        <v>1435</v>
      </c>
      <c r="C109" s="1" t="s">
        <v>26</v>
      </c>
      <c r="D109" s="1" t="s">
        <v>27</v>
      </c>
      <c r="E109" s="1" t="s">
        <v>34</v>
      </c>
      <c r="F109" s="1" t="s">
        <v>29</v>
      </c>
      <c r="G109" s="11" t="s">
        <v>1707</v>
      </c>
      <c r="H109" s="11" t="s">
        <v>4710</v>
      </c>
      <c r="I109" s="1" t="s">
        <v>30</v>
      </c>
      <c r="J109" s="1" t="s">
        <v>2133</v>
      </c>
      <c r="K109" s="1" t="s">
        <v>2162</v>
      </c>
      <c r="L109" s="1" t="s">
        <v>1329</v>
      </c>
      <c r="M109" s="1" t="s">
        <v>562</v>
      </c>
      <c r="N109" s="1" t="s">
        <v>1330</v>
      </c>
      <c r="O109" s="1" t="s">
        <v>1164</v>
      </c>
      <c r="P109" s="1" t="s">
        <v>1339</v>
      </c>
      <c r="Q109" s="1" t="s">
        <v>194</v>
      </c>
      <c r="R109" s="1" t="s">
        <v>2</v>
      </c>
      <c r="S109" s="1" t="s">
        <v>576</v>
      </c>
      <c r="T109" s="1" t="s">
        <v>643</v>
      </c>
      <c r="U109" s="1" t="s">
        <v>31</v>
      </c>
      <c r="V109" s="1" t="s">
        <v>90</v>
      </c>
      <c r="W109" s="14" t="s">
        <v>2</v>
      </c>
      <c r="X109" s="14" t="s">
        <v>4665</v>
      </c>
      <c r="Y109" s="14" t="s">
        <v>194</v>
      </c>
      <c r="Z109" s="14" t="s">
        <v>31</v>
      </c>
      <c r="AA109" s="14" t="s">
        <v>4506</v>
      </c>
      <c r="AB109" s="14">
        <v>1</v>
      </c>
      <c r="AC109" s="14" t="s">
        <v>194</v>
      </c>
      <c r="AD109" s="14">
        <v>0</v>
      </c>
      <c r="AE109" s="14" t="s">
        <v>626</v>
      </c>
      <c r="AF109" s="14" t="s">
        <v>626</v>
      </c>
      <c r="AG109" s="14" t="s">
        <v>626</v>
      </c>
      <c r="AH109" s="14" t="s">
        <v>4191</v>
      </c>
      <c r="AI109" s="14" t="s">
        <v>4191</v>
      </c>
      <c r="AJ109" s="14" t="s">
        <v>194</v>
      </c>
      <c r="AK109" s="14" t="s">
        <v>194</v>
      </c>
      <c r="AL109" s="14" t="s">
        <v>194</v>
      </c>
      <c r="AM109" s="14" t="s">
        <v>194</v>
      </c>
      <c r="AN109" s="14" t="s">
        <v>194</v>
      </c>
      <c r="AO109" s="14" t="s">
        <v>194</v>
      </c>
      <c r="AP109" s="14" t="s">
        <v>194</v>
      </c>
      <c r="AQ109" s="14" t="s">
        <v>1082</v>
      </c>
      <c r="AR109" s="14" t="s">
        <v>4512</v>
      </c>
    </row>
    <row r="110" spans="1:44" ht="105" hidden="1" x14ac:dyDescent="0.25">
      <c r="A110" s="1" t="s">
        <v>1399</v>
      </c>
      <c r="B110" s="1" t="s">
        <v>1436</v>
      </c>
      <c r="C110" s="1" t="s">
        <v>26</v>
      </c>
      <c r="D110" s="1" t="s">
        <v>27</v>
      </c>
      <c r="E110" s="1" t="s">
        <v>34</v>
      </c>
      <c r="F110" s="1" t="s">
        <v>29</v>
      </c>
      <c r="G110" s="11" t="s">
        <v>1708</v>
      </c>
      <c r="H110" s="11" t="s">
        <v>4710</v>
      </c>
      <c r="I110" s="1" t="s">
        <v>30</v>
      </c>
      <c r="J110" s="1" t="s">
        <v>2133</v>
      </c>
      <c r="K110" s="1" t="s">
        <v>2162</v>
      </c>
      <c r="L110" s="1" t="s">
        <v>1329</v>
      </c>
      <c r="M110" s="1" t="s">
        <v>562</v>
      </c>
      <c r="N110" s="1" t="s">
        <v>1330</v>
      </c>
      <c r="O110" s="1" t="s">
        <v>1164</v>
      </c>
      <c r="P110" s="1" t="s">
        <v>1339</v>
      </c>
      <c r="Q110" s="1" t="s">
        <v>194</v>
      </c>
      <c r="R110" s="1" t="s">
        <v>2</v>
      </c>
      <c r="S110" s="1" t="s">
        <v>576</v>
      </c>
      <c r="T110" s="1" t="s">
        <v>643</v>
      </c>
      <c r="U110" s="1" t="s">
        <v>31</v>
      </c>
      <c r="V110" s="1" t="s">
        <v>90</v>
      </c>
      <c r="W110" s="14" t="s">
        <v>2</v>
      </c>
      <c r="X110" s="14" t="s">
        <v>4665</v>
      </c>
      <c r="Y110" s="14" t="s">
        <v>194</v>
      </c>
      <c r="Z110" s="14" t="s">
        <v>31</v>
      </c>
      <c r="AA110" s="14" t="s">
        <v>4506</v>
      </c>
      <c r="AB110" s="14">
        <v>1</v>
      </c>
      <c r="AC110" s="14" t="s">
        <v>194</v>
      </c>
      <c r="AD110" s="14">
        <v>0</v>
      </c>
      <c r="AE110" s="14" t="s">
        <v>626</v>
      </c>
      <c r="AF110" s="14" t="s">
        <v>626</v>
      </c>
      <c r="AG110" s="14" t="s">
        <v>626</v>
      </c>
      <c r="AH110" s="14" t="s">
        <v>4191</v>
      </c>
      <c r="AI110" s="14" t="s">
        <v>4191</v>
      </c>
      <c r="AJ110" s="14" t="s">
        <v>194</v>
      </c>
      <c r="AK110" s="14" t="s">
        <v>194</v>
      </c>
      <c r="AL110" s="14" t="s">
        <v>194</v>
      </c>
      <c r="AM110" s="14" t="s">
        <v>194</v>
      </c>
      <c r="AN110" s="14" t="s">
        <v>194</v>
      </c>
      <c r="AO110" s="14" t="s">
        <v>194</v>
      </c>
      <c r="AP110" s="14" t="s">
        <v>194</v>
      </c>
      <c r="AQ110" s="14" t="s">
        <v>1082</v>
      </c>
      <c r="AR110" s="14" t="s">
        <v>4512</v>
      </c>
    </row>
    <row r="111" spans="1:44" ht="105" hidden="1" x14ac:dyDescent="0.25">
      <c r="A111" s="1" t="s">
        <v>1403</v>
      </c>
      <c r="B111" s="1" t="s">
        <v>1437</v>
      </c>
      <c r="C111" s="1" t="s">
        <v>182</v>
      </c>
      <c r="D111" s="1" t="s">
        <v>27</v>
      </c>
      <c r="E111" s="1" t="s">
        <v>28</v>
      </c>
      <c r="F111" s="1" t="s">
        <v>29</v>
      </c>
      <c r="G111" s="11" t="s">
        <v>1709</v>
      </c>
      <c r="H111" s="11" t="s">
        <v>4710</v>
      </c>
      <c r="I111" s="1" t="s">
        <v>30</v>
      </c>
      <c r="J111" s="1" t="s">
        <v>2133</v>
      </c>
      <c r="K111" s="1" t="s">
        <v>2162</v>
      </c>
      <c r="L111" s="1" t="s">
        <v>1329</v>
      </c>
      <c r="M111" s="1" t="s">
        <v>562</v>
      </c>
      <c r="N111" s="1" t="s">
        <v>1330</v>
      </c>
      <c r="O111" s="1" t="s">
        <v>1164</v>
      </c>
      <c r="P111" s="1" t="s">
        <v>1339</v>
      </c>
      <c r="Q111" s="1" t="s">
        <v>194</v>
      </c>
      <c r="R111" s="1" t="s">
        <v>2</v>
      </c>
      <c r="S111" s="1" t="s">
        <v>576</v>
      </c>
      <c r="T111" s="1" t="s">
        <v>643</v>
      </c>
      <c r="U111" s="1" t="s">
        <v>31</v>
      </c>
      <c r="V111" s="1" t="s">
        <v>90</v>
      </c>
      <c r="W111" s="14" t="s">
        <v>2</v>
      </c>
      <c r="X111" s="14" t="s">
        <v>4665</v>
      </c>
      <c r="Y111" s="14" t="s">
        <v>194</v>
      </c>
      <c r="Z111" s="14" t="s">
        <v>31</v>
      </c>
      <c r="AA111" s="14" t="s">
        <v>4506</v>
      </c>
      <c r="AB111" s="14">
        <v>1</v>
      </c>
      <c r="AC111" s="14" t="s">
        <v>194</v>
      </c>
      <c r="AD111" s="14">
        <v>0</v>
      </c>
      <c r="AE111" s="14" t="s">
        <v>626</v>
      </c>
      <c r="AF111" s="14" t="s">
        <v>626</v>
      </c>
      <c r="AG111" s="14" t="s">
        <v>626</v>
      </c>
      <c r="AH111" s="14" t="s">
        <v>4191</v>
      </c>
      <c r="AI111" s="14" t="s">
        <v>4191</v>
      </c>
      <c r="AJ111" s="14" t="s">
        <v>194</v>
      </c>
      <c r="AK111" s="14" t="s">
        <v>194</v>
      </c>
      <c r="AL111" s="14" t="s">
        <v>194</v>
      </c>
      <c r="AM111" s="14" t="s">
        <v>194</v>
      </c>
      <c r="AN111" s="14" t="s">
        <v>194</v>
      </c>
      <c r="AO111" s="14" t="s">
        <v>194</v>
      </c>
      <c r="AP111" s="14" t="s">
        <v>194</v>
      </c>
      <c r="AQ111" s="14" t="s">
        <v>1082</v>
      </c>
      <c r="AR111" s="14" t="s">
        <v>4512</v>
      </c>
    </row>
    <row r="112" spans="1:44" ht="165" hidden="1" x14ac:dyDescent="0.25">
      <c r="A112" s="1" t="s">
        <v>2248</v>
      </c>
      <c r="B112" s="1" t="s">
        <v>2629</v>
      </c>
      <c r="C112" s="1" t="s">
        <v>2508</v>
      </c>
      <c r="D112" s="1" t="s">
        <v>27</v>
      </c>
      <c r="E112" s="1" t="s">
        <v>34</v>
      </c>
      <c r="F112" s="1" t="s">
        <v>50</v>
      </c>
      <c r="G112" s="11" t="s">
        <v>2849</v>
      </c>
      <c r="H112" s="11" t="s">
        <v>4712</v>
      </c>
      <c r="I112" s="1" t="s">
        <v>2850</v>
      </c>
      <c r="J112" s="1" t="s">
        <v>2631</v>
      </c>
      <c r="K112" s="1" t="s">
        <v>2632</v>
      </c>
      <c r="L112" s="1" t="s">
        <v>1329</v>
      </c>
      <c r="M112" s="1" t="s">
        <v>1331</v>
      </c>
      <c r="N112" s="1" t="s">
        <v>1330</v>
      </c>
      <c r="O112" s="1" t="s">
        <v>1164</v>
      </c>
      <c r="P112" s="1" t="s">
        <v>1339</v>
      </c>
      <c r="Q112" s="1" t="s">
        <v>194</v>
      </c>
      <c r="R112" s="1" t="s">
        <v>32</v>
      </c>
      <c r="S112" s="1" t="s">
        <v>2170</v>
      </c>
      <c r="T112" s="1" t="s">
        <v>643</v>
      </c>
      <c r="U112" s="1" t="s">
        <v>31</v>
      </c>
      <c r="V112" s="1" t="s">
        <v>90</v>
      </c>
      <c r="W112" s="14" t="s">
        <v>2</v>
      </c>
      <c r="X112" s="14" t="s">
        <v>4668</v>
      </c>
      <c r="Y112" s="14" t="s">
        <v>4531</v>
      </c>
      <c r="Z112" s="14" t="s">
        <v>31</v>
      </c>
      <c r="AA112" s="14" t="s">
        <v>4503</v>
      </c>
      <c r="AB112" s="14">
        <v>3</v>
      </c>
      <c r="AC112" s="14" t="s">
        <v>4509</v>
      </c>
      <c r="AD112" s="14">
        <v>2</v>
      </c>
      <c r="AE112" s="14" t="s">
        <v>626</v>
      </c>
      <c r="AF112" s="14" t="s">
        <v>4191</v>
      </c>
      <c r="AG112" s="14" t="s">
        <v>4191</v>
      </c>
      <c r="AH112" s="14" t="s">
        <v>4191</v>
      </c>
      <c r="AI112" s="14" t="s">
        <v>4191</v>
      </c>
      <c r="AJ112" s="14" t="s">
        <v>194</v>
      </c>
      <c r="AK112" s="14" t="s">
        <v>194</v>
      </c>
      <c r="AL112" s="14" t="s">
        <v>194</v>
      </c>
      <c r="AM112" s="14" t="s">
        <v>194</v>
      </c>
      <c r="AN112" s="14" t="s">
        <v>194</v>
      </c>
      <c r="AO112" s="14" t="s">
        <v>194</v>
      </c>
      <c r="AP112" s="14" t="s">
        <v>194</v>
      </c>
      <c r="AQ112" s="14" t="s">
        <v>2873</v>
      </c>
      <c r="AR112" s="14" t="s">
        <v>4505</v>
      </c>
    </row>
    <row r="113" spans="1:44" ht="180" hidden="1" x14ac:dyDescent="0.25">
      <c r="A113" s="1" t="s">
        <v>2249</v>
      </c>
      <c r="B113" s="1" t="s">
        <v>2633</v>
      </c>
      <c r="C113" s="1" t="s">
        <v>2508</v>
      </c>
      <c r="D113" s="1" t="s">
        <v>27</v>
      </c>
      <c r="E113" s="1" t="s">
        <v>34</v>
      </c>
      <c r="F113" s="1" t="s">
        <v>50</v>
      </c>
      <c r="G113" s="11" t="s">
        <v>2851</v>
      </c>
      <c r="H113" s="11" t="s">
        <v>4713</v>
      </c>
      <c r="I113" s="1" t="s">
        <v>2852</v>
      </c>
      <c r="J113" s="1" t="s">
        <v>2631</v>
      </c>
      <c r="K113" s="1" t="s">
        <v>2634</v>
      </c>
      <c r="L113" s="1" t="s">
        <v>1329</v>
      </c>
      <c r="M113" s="1" t="s">
        <v>1331</v>
      </c>
      <c r="N113" s="1" t="s">
        <v>1330</v>
      </c>
      <c r="O113" s="1" t="s">
        <v>1164</v>
      </c>
      <c r="P113" s="1" t="s">
        <v>1339</v>
      </c>
      <c r="Q113" s="1" t="s">
        <v>194</v>
      </c>
      <c r="R113" s="1" t="s">
        <v>32</v>
      </c>
      <c r="S113" s="1" t="s">
        <v>2170</v>
      </c>
      <c r="T113" s="1" t="s">
        <v>643</v>
      </c>
      <c r="U113" s="1" t="s">
        <v>31</v>
      </c>
      <c r="V113" s="1" t="s">
        <v>90</v>
      </c>
      <c r="W113" s="14" t="s">
        <v>2</v>
      </c>
      <c r="X113" s="14" t="s">
        <v>4668</v>
      </c>
      <c r="Y113" s="14" t="s">
        <v>4532</v>
      </c>
      <c r="Z113" s="14" t="s">
        <v>31</v>
      </c>
      <c r="AA113" s="14" t="s">
        <v>4503</v>
      </c>
      <c r="AB113" s="14">
        <v>1</v>
      </c>
      <c r="AC113" s="14" t="s">
        <v>4509</v>
      </c>
      <c r="AD113" s="14">
        <v>2</v>
      </c>
      <c r="AE113" s="14" t="s">
        <v>626</v>
      </c>
      <c r="AF113" s="14" t="s">
        <v>4191</v>
      </c>
      <c r="AG113" s="14" t="s">
        <v>4191</v>
      </c>
      <c r="AH113" s="14" t="s">
        <v>4191</v>
      </c>
      <c r="AI113" s="14" t="s">
        <v>4191</v>
      </c>
      <c r="AJ113" s="14" t="s">
        <v>194</v>
      </c>
      <c r="AK113" s="14" t="s">
        <v>194</v>
      </c>
      <c r="AL113" s="14" t="s">
        <v>194</v>
      </c>
      <c r="AM113" s="14" t="s">
        <v>194</v>
      </c>
      <c r="AN113" s="14" t="s">
        <v>194</v>
      </c>
      <c r="AO113" s="14" t="s">
        <v>194</v>
      </c>
      <c r="AP113" s="14" t="s">
        <v>194</v>
      </c>
      <c r="AQ113" s="14" t="s">
        <v>2873</v>
      </c>
      <c r="AR113" s="14" t="s">
        <v>4505</v>
      </c>
    </row>
    <row r="114" spans="1:44" ht="180" hidden="1" x14ac:dyDescent="0.25">
      <c r="A114" s="1" t="s">
        <v>2251</v>
      </c>
      <c r="B114" s="1" t="s">
        <v>2635</v>
      </c>
      <c r="C114" s="1" t="s">
        <v>2508</v>
      </c>
      <c r="D114" s="1" t="s">
        <v>27</v>
      </c>
      <c r="E114" s="1" t="s">
        <v>34</v>
      </c>
      <c r="F114" s="1" t="s">
        <v>50</v>
      </c>
      <c r="G114" s="11" t="s">
        <v>2636</v>
      </c>
      <c r="H114" s="11" t="s">
        <v>4714</v>
      </c>
      <c r="I114" s="1" t="s">
        <v>2850</v>
      </c>
      <c r="J114" s="1" t="s">
        <v>2631</v>
      </c>
      <c r="K114" s="1" t="s">
        <v>2637</v>
      </c>
      <c r="L114" s="1" t="s">
        <v>1329</v>
      </c>
      <c r="M114" s="1" t="s">
        <v>1331</v>
      </c>
      <c r="N114" s="1" t="s">
        <v>1330</v>
      </c>
      <c r="O114" s="1" t="s">
        <v>1164</v>
      </c>
      <c r="P114" s="1" t="s">
        <v>1339</v>
      </c>
      <c r="Q114" s="1" t="s">
        <v>194</v>
      </c>
      <c r="R114" s="1" t="s">
        <v>32</v>
      </c>
      <c r="S114" s="1" t="s">
        <v>2170</v>
      </c>
      <c r="T114" s="1" t="s">
        <v>643</v>
      </c>
      <c r="U114" s="1" t="s">
        <v>31</v>
      </c>
      <c r="V114" s="1" t="s">
        <v>90</v>
      </c>
      <c r="W114" s="14" t="s">
        <v>2</v>
      </c>
      <c r="X114" s="14" t="s">
        <v>4668</v>
      </c>
      <c r="Y114" s="14" t="s">
        <v>4533</v>
      </c>
      <c r="Z114" s="14" t="s">
        <v>31</v>
      </c>
      <c r="AA114" s="14" t="s">
        <v>4503</v>
      </c>
      <c r="AB114" s="14">
        <v>1</v>
      </c>
      <c r="AC114" s="14" t="s">
        <v>4509</v>
      </c>
      <c r="AD114" s="14">
        <v>2</v>
      </c>
      <c r="AE114" s="14" t="s">
        <v>626</v>
      </c>
      <c r="AF114" s="14" t="s">
        <v>4191</v>
      </c>
      <c r="AG114" s="14" t="s">
        <v>4191</v>
      </c>
      <c r="AH114" s="14" t="s">
        <v>4191</v>
      </c>
      <c r="AI114" s="14" t="s">
        <v>4191</v>
      </c>
      <c r="AJ114" s="14" t="s">
        <v>194</v>
      </c>
      <c r="AK114" s="14" t="s">
        <v>194</v>
      </c>
      <c r="AL114" s="14" t="s">
        <v>194</v>
      </c>
      <c r="AM114" s="14" t="s">
        <v>194</v>
      </c>
      <c r="AN114" s="14" t="s">
        <v>194</v>
      </c>
      <c r="AO114" s="14" t="s">
        <v>194</v>
      </c>
      <c r="AP114" s="14" t="s">
        <v>194</v>
      </c>
      <c r="AQ114" s="14" t="s">
        <v>2873</v>
      </c>
      <c r="AR114" s="14" t="s">
        <v>4505</v>
      </c>
    </row>
    <row r="115" spans="1:44" ht="150" hidden="1" x14ac:dyDescent="0.25">
      <c r="A115" s="1" t="s">
        <v>2253</v>
      </c>
      <c r="B115" s="1" t="s">
        <v>2638</v>
      </c>
      <c r="C115" s="1" t="s">
        <v>2508</v>
      </c>
      <c r="D115" s="1" t="s">
        <v>27</v>
      </c>
      <c r="E115" s="1" t="s">
        <v>34</v>
      </c>
      <c r="F115" s="1" t="s">
        <v>50</v>
      </c>
      <c r="G115" s="11" t="s">
        <v>2853</v>
      </c>
      <c r="H115" s="11" t="s">
        <v>4715</v>
      </c>
      <c r="I115" s="1" t="s">
        <v>2850</v>
      </c>
      <c r="J115" s="1" t="s">
        <v>2631</v>
      </c>
      <c r="K115" s="1" t="s">
        <v>2639</v>
      </c>
      <c r="L115" s="1" t="s">
        <v>1329</v>
      </c>
      <c r="M115" s="1" t="s">
        <v>1331</v>
      </c>
      <c r="N115" s="1" t="s">
        <v>1330</v>
      </c>
      <c r="O115" s="1" t="s">
        <v>1164</v>
      </c>
      <c r="P115" s="1" t="s">
        <v>1339</v>
      </c>
      <c r="Q115" s="1" t="s">
        <v>194</v>
      </c>
      <c r="R115" s="1" t="s">
        <v>32</v>
      </c>
      <c r="S115" s="1" t="s">
        <v>2170</v>
      </c>
      <c r="T115" s="1" t="s">
        <v>643</v>
      </c>
      <c r="U115" s="1" t="s">
        <v>31</v>
      </c>
      <c r="V115" s="1" t="s">
        <v>90</v>
      </c>
      <c r="W115" s="14" t="s">
        <v>2</v>
      </c>
      <c r="X115" s="14" t="s">
        <v>4668</v>
      </c>
      <c r="Y115" s="14" t="s">
        <v>4534</v>
      </c>
      <c r="Z115" s="14" t="s">
        <v>31</v>
      </c>
      <c r="AA115" s="14" t="s">
        <v>4503</v>
      </c>
      <c r="AB115" s="14">
        <v>1</v>
      </c>
      <c r="AC115" s="14" t="s">
        <v>4509</v>
      </c>
      <c r="AD115" s="14">
        <v>2</v>
      </c>
      <c r="AE115" s="14" t="s">
        <v>626</v>
      </c>
      <c r="AF115" s="14" t="s">
        <v>4191</v>
      </c>
      <c r="AG115" s="14" t="s">
        <v>4191</v>
      </c>
      <c r="AH115" s="14" t="s">
        <v>4191</v>
      </c>
      <c r="AI115" s="14" t="s">
        <v>4191</v>
      </c>
      <c r="AJ115" s="14" t="s">
        <v>194</v>
      </c>
      <c r="AK115" s="14" t="s">
        <v>194</v>
      </c>
      <c r="AL115" s="14" t="s">
        <v>194</v>
      </c>
      <c r="AM115" s="14" t="s">
        <v>194</v>
      </c>
      <c r="AN115" s="14" t="s">
        <v>194</v>
      </c>
      <c r="AO115" s="14" t="s">
        <v>194</v>
      </c>
      <c r="AP115" s="14" t="s">
        <v>194</v>
      </c>
      <c r="AQ115" s="14" t="s">
        <v>2873</v>
      </c>
      <c r="AR115" s="14" t="s">
        <v>4505</v>
      </c>
    </row>
    <row r="116" spans="1:44" ht="135" hidden="1" x14ac:dyDescent="0.25">
      <c r="A116" s="1" t="s">
        <v>2234</v>
      </c>
      <c r="B116" s="1" t="s">
        <v>2942</v>
      </c>
      <c r="C116" s="1" t="s">
        <v>2508</v>
      </c>
      <c r="D116" s="1" t="s">
        <v>27</v>
      </c>
      <c r="E116" s="1" t="s">
        <v>34</v>
      </c>
      <c r="F116" s="1" t="s">
        <v>50</v>
      </c>
      <c r="G116" s="11" t="s">
        <v>2943</v>
      </c>
      <c r="H116" s="11" t="s">
        <v>4716</v>
      </c>
      <c r="I116" s="1" t="s">
        <v>4113</v>
      </c>
      <c r="J116" s="1" t="s">
        <v>2631</v>
      </c>
      <c r="K116" s="1" t="s">
        <v>2640</v>
      </c>
      <c r="L116" s="1" t="s">
        <v>1329</v>
      </c>
      <c r="M116" s="1" t="s">
        <v>1331</v>
      </c>
      <c r="N116" s="1" t="s">
        <v>1330</v>
      </c>
      <c r="O116" s="1" t="s">
        <v>1164</v>
      </c>
      <c r="P116" s="1" t="s">
        <v>1339</v>
      </c>
      <c r="Q116" s="1" t="s">
        <v>194</v>
      </c>
      <c r="R116" s="1" t="s">
        <v>3285</v>
      </c>
      <c r="S116" s="1" t="s">
        <v>2170</v>
      </c>
      <c r="T116" s="1" t="s">
        <v>643</v>
      </c>
      <c r="U116" s="1" t="s">
        <v>31</v>
      </c>
      <c r="V116" s="1" t="s">
        <v>90</v>
      </c>
      <c r="W116" s="14" t="s">
        <v>2</v>
      </c>
      <c r="X116" s="14" t="s">
        <v>4668</v>
      </c>
      <c r="Y116" s="14" t="s">
        <v>4535</v>
      </c>
      <c r="Z116" s="14" t="s">
        <v>31</v>
      </c>
      <c r="AA116" s="14" t="s">
        <v>4503</v>
      </c>
      <c r="AB116" s="14">
        <v>1</v>
      </c>
      <c r="AC116" s="14" t="s">
        <v>4504</v>
      </c>
      <c r="AD116" s="14">
        <v>2</v>
      </c>
      <c r="AE116" s="14" t="s">
        <v>626</v>
      </c>
      <c r="AF116" s="14" t="s">
        <v>4191</v>
      </c>
      <c r="AG116" s="14" t="s">
        <v>4191</v>
      </c>
      <c r="AH116" s="14" t="s">
        <v>4191</v>
      </c>
      <c r="AI116" s="14" t="s">
        <v>4191</v>
      </c>
      <c r="AJ116" s="14" t="s">
        <v>194</v>
      </c>
      <c r="AK116" s="14" t="s">
        <v>194</v>
      </c>
      <c r="AL116" s="14" t="s">
        <v>194</v>
      </c>
      <c r="AM116" s="14" t="s">
        <v>194</v>
      </c>
      <c r="AN116" s="14" t="s">
        <v>194</v>
      </c>
      <c r="AO116" s="14" t="s">
        <v>194</v>
      </c>
      <c r="AP116" s="14" t="s">
        <v>194</v>
      </c>
      <c r="AQ116" s="14" t="s">
        <v>2873</v>
      </c>
      <c r="AR116" s="14" t="s">
        <v>4505</v>
      </c>
    </row>
    <row r="117" spans="1:44" ht="135" hidden="1" x14ac:dyDescent="0.25">
      <c r="A117" s="1" t="s">
        <v>2641</v>
      </c>
      <c r="B117" s="1" t="s">
        <v>2944</v>
      </c>
      <c r="C117" s="1" t="s">
        <v>2508</v>
      </c>
      <c r="D117" s="1" t="s">
        <v>27</v>
      </c>
      <c r="E117" s="1" t="s">
        <v>34</v>
      </c>
      <c r="F117" s="1" t="s">
        <v>50</v>
      </c>
      <c r="G117" s="11" t="s">
        <v>2945</v>
      </c>
      <c r="H117" s="11" t="s">
        <v>4716</v>
      </c>
      <c r="I117" s="1" t="s">
        <v>4113</v>
      </c>
      <c r="J117" s="1" t="s">
        <v>2631</v>
      </c>
      <c r="K117" s="1" t="s">
        <v>2642</v>
      </c>
      <c r="L117" s="1" t="s">
        <v>1329</v>
      </c>
      <c r="M117" s="1" t="s">
        <v>1331</v>
      </c>
      <c r="N117" s="1" t="s">
        <v>1330</v>
      </c>
      <c r="O117" s="1" t="s">
        <v>1164</v>
      </c>
      <c r="P117" s="1" t="s">
        <v>1339</v>
      </c>
      <c r="Q117" s="1" t="s">
        <v>194</v>
      </c>
      <c r="R117" s="1" t="s">
        <v>3285</v>
      </c>
      <c r="S117" s="1" t="s">
        <v>2170</v>
      </c>
      <c r="T117" s="1" t="s">
        <v>643</v>
      </c>
      <c r="U117" s="1" t="s">
        <v>31</v>
      </c>
      <c r="V117" s="1" t="s">
        <v>90</v>
      </c>
      <c r="W117" s="14" t="s">
        <v>2</v>
      </c>
      <c r="X117" s="14" t="s">
        <v>4668</v>
      </c>
      <c r="Y117" s="14" t="s">
        <v>4535</v>
      </c>
      <c r="Z117" s="14" t="s">
        <v>31</v>
      </c>
      <c r="AA117" s="14" t="s">
        <v>4503</v>
      </c>
      <c r="AB117" s="14">
        <v>1</v>
      </c>
      <c r="AC117" s="14" t="s">
        <v>4504</v>
      </c>
      <c r="AD117" s="14">
        <v>2</v>
      </c>
      <c r="AE117" s="14" t="s">
        <v>626</v>
      </c>
      <c r="AF117" s="14" t="s">
        <v>4191</v>
      </c>
      <c r="AG117" s="14" t="s">
        <v>4191</v>
      </c>
      <c r="AH117" s="14" t="s">
        <v>4191</v>
      </c>
      <c r="AI117" s="14" t="s">
        <v>4191</v>
      </c>
      <c r="AJ117" s="14" t="s">
        <v>194</v>
      </c>
      <c r="AK117" s="14" t="s">
        <v>194</v>
      </c>
      <c r="AL117" s="14" t="s">
        <v>194</v>
      </c>
      <c r="AM117" s="14" t="s">
        <v>194</v>
      </c>
      <c r="AN117" s="14" t="s">
        <v>194</v>
      </c>
      <c r="AO117" s="14" t="s">
        <v>194</v>
      </c>
      <c r="AP117" s="14" t="s">
        <v>194</v>
      </c>
      <c r="AQ117" s="14" t="s">
        <v>2873</v>
      </c>
      <c r="AR117" s="14" t="s">
        <v>4505</v>
      </c>
    </row>
    <row r="118" spans="1:44" ht="180" hidden="1" x14ac:dyDescent="0.25">
      <c r="A118" s="1" t="s">
        <v>2254</v>
      </c>
      <c r="B118" s="1" t="s">
        <v>2629</v>
      </c>
      <c r="C118" s="1" t="s">
        <v>2508</v>
      </c>
      <c r="D118" s="1" t="s">
        <v>27</v>
      </c>
      <c r="E118" s="1" t="s">
        <v>34</v>
      </c>
      <c r="F118" s="1" t="s">
        <v>50</v>
      </c>
      <c r="G118" s="11" t="s">
        <v>2854</v>
      </c>
      <c r="H118" s="11" t="s">
        <v>4717</v>
      </c>
      <c r="I118" s="1" t="s">
        <v>2850</v>
      </c>
      <c r="J118" s="1" t="s">
        <v>2631</v>
      </c>
      <c r="K118" s="1" t="s">
        <v>2632</v>
      </c>
      <c r="L118" s="1" t="s">
        <v>1329</v>
      </c>
      <c r="M118" s="1" t="s">
        <v>1331</v>
      </c>
      <c r="N118" s="1" t="s">
        <v>1330</v>
      </c>
      <c r="O118" s="1" t="s">
        <v>1164</v>
      </c>
      <c r="P118" s="1" t="s">
        <v>1339</v>
      </c>
      <c r="Q118" s="1" t="s">
        <v>194</v>
      </c>
      <c r="R118" s="1" t="s">
        <v>32</v>
      </c>
      <c r="S118" s="1" t="s">
        <v>2170</v>
      </c>
      <c r="T118" s="1" t="s">
        <v>643</v>
      </c>
      <c r="U118" s="1" t="s">
        <v>31</v>
      </c>
      <c r="V118" s="1" t="s">
        <v>90</v>
      </c>
      <c r="W118" s="14" t="s">
        <v>2</v>
      </c>
      <c r="X118" s="14" t="s">
        <v>4670</v>
      </c>
      <c r="Y118" s="14" t="s">
        <v>4536</v>
      </c>
      <c r="Z118" s="14" t="s">
        <v>31</v>
      </c>
      <c r="AA118" s="14" t="s">
        <v>4503</v>
      </c>
      <c r="AB118" s="14">
        <v>1</v>
      </c>
      <c r="AC118" s="14" t="s">
        <v>4509</v>
      </c>
      <c r="AD118" s="14">
        <v>2</v>
      </c>
      <c r="AE118" s="14" t="s">
        <v>626</v>
      </c>
      <c r="AF118" s="14" t="s">
        <v>4191</v>
      </c>
      <c r="AG118" s="14" t="s">
        <v>4191</v>
      </c>
      <c r="AH118" s="14" t="s">
        <v>4191</v>
      </c>
      <c r="AI118" s="14" t="s">
        <v>4191</v>
      </c>
      <c r="AJ118" s="14" t="s">
        <v>194</v>
      </c>
      <c r="AK118" s="14" t="s">
        <v>194</v>
      </c>
      <c r="AL118" s="14" t="s">
        <v>194</v>
      </c>
      <c r="AM118" s="14" t="s">
        <v>194</v>
      </c>
      <c r="AN118" s="14" t="s">
        <v>194</v>
      </c>
      <c r="AO118" s="14" t="s">
        <v>194</v>
      </c>
      <c r="AP118" s="14" t="s">
        <v>194</v>
      </c>
      <c r="AQ118" s="14" t="s">
        <v>2871</v>
      </c>
      <c r="AR118" s="14" t="s">
        <v>4505</v>
      </c>
    </row>
    <row r="119" spans="1:44" ht="195" hidden="1" x14ac:dyDescent="0.25">
      <c r="A119" s="1" t="s">
        <v>2256</v>
      </c>
      <c r="B119" s="1" t="s">
        <v>2633</v>
      </c>
      <c r="C119" s="1" t="s">
        <v>2508</v>
      </c>
      <c r="D119" s="1" t="s">
        <v>27</v>
      </c>
      <c r="E119" s="1" t="s">
        <v>34</v>
      </c>
      <c r="F119" s="1" t="s">
        <v>50</v>
      </c>
      <c r="G119" s="11" t="s">
        <v>2855</v>
      </c>
      <c r="H119" s="11" t="s">
        <v>4718</v>
      </c>
      <c r="I119" s="1" t="s">
        <v>2852</v>
      </c>
      <c r="J119" s="1" t="s">
        <v>2631</v>
      </c>
      <c r="K119" s="1" t="s">
        <v>2634</v>
      </c>
      <c r="L119" s="1" t="s">
        <v>1329</v>
      </c>
      <c r="M119" s="1" t="s">
        <v>1331</v>
      </c>
      <c r="N119" s="1" t="s">
        <v>1330</v>
      </c>
      <c r="O119" s="1" t="s">
        <v>1164</v>
      </c>
      <c r="P119" s="1" t="s">
        <v>1339</v>
      </c>
      <c r="Q119" s="1" t="s">
        <v>194</v>
      </c>
      <c r="R119" s="1" t="s">
        <v>32</v>
      </c>
      <c r="S119" s="1" t="s">
        <v>2170</v>
      </c>
      <c r="T119" s="1" t="s">
        <v>643</v>
      </c>
      <c r="U119" s="1" t="s">
        <v>31</v>
      </c>
      <c r="V119" s="1" t="s">
        <v>90</v>
      </c>
      <c r="W119" s="14" t="s">
        <v>2</v>
      </c>
      <c r="X119" s="14" t="s">
        <v>4670</v>
      </c>
      <c r="Y119" s="14" t="s">
        <v>4537</v>
      </c>
      <c r="Z119" s="14" t="s">
        <v>31</v>
      </c>
      <c r="AA119" s="14" t="s">
        <v>4503</v>
      </c>
      <c r="AB119" s="14">
        <v>1</v>
      </c>
      <c r="AC119" s="14" t="s">
        <v>4509</v>
      </c>
      <c r="AD119" s="14">
        <v>2</v>
      </c>
      <c r="AE119" s="14" t="s">
        <v>626</v>
      </c>
      <c r="AF119" s="14" t="s">
        <v>4191</v>
      </c>
      <c r="AG119" s="14" t="s">
        <v>4191</v>
      </c>
      <c r="AH119" s="14" t="s">
        <v>4191</v>
      </c>
      <c r="AI119" s="14" t="s">
        <v>4191</v>
      </c>
      <c r="AJ119" s="14" t="s">
        <v>194</v>
      </c>
      <c r="AK119" s="14" t="s">
        <v>194</v>
      </c>
      <c r="AL119" s="14" t="s">
        <v>194</v>
      </c>
      <c r="AM119" s="14" t="s">
        <v>194</v>
      </c>
      <c r="AN119" s="14" t="s">
        <v>194</v>
      </c>
      <c r="AO119" s="14" t="s">
        <v>194</v>
      </c>
      <c r="AP119" s="14" t="s">
        <v>194</v>
      </c>
      <c r="AQ119" s="14" t="s">
        <v>2871</v>
      </c>
      <c r="AR119" s="14" t="s">
        <v>4505</v>
      </c>
    </row>
    <row r="120" spans="1:44" ht="195" hidden="1" x14ac:dyDescent="0.25">
      <c r="A120" s="1" t="s">
        <v>2258</v>
      </c>
      <c r="B120" s="1" t="s">
        <v>2635</v>
      </c>
      <c r="C120" s="1" t="s">
        <v>2508</v>
      </c>
      <c r="D120" s="1" t="s">
        <v>27</v>
      </c>
      <c r="E120" s="1" t="s">
        <v>34</v>
      </c>
      <c r="F120" s="1" t="s">
        <v>50</v>
      </c>
      <c r="G120" s="11" t="s">
        <v>2856</v>
      </c>
      <c r="H120" s="11" t="s">
        <v>4719</v>
      </c>
      <c r="I120" s="1" t="s">
        <v>2850</v>
      </c>
      <c r="J120" s="1" t="s">
        <v>2631</v>
      </c>
      <c r="K120" s="1" t="s">
        <v>2637</v>
      </c>
      <c r="L120" s="1" t="s">
        <v>1329</v>
      </c>
      <c r="M120" s="1" t="s">
        <v>1331</v>
      </c>
      <c r="N120" s="1" t="s">
        <v>1330</v>
      </c>
      <c r="O120" s="1" t="s">
        <v>1164</v>
      </c>
      <c r="P120" s="1" t="s">
        <v>1339</v>
      </c>
      <c r="Q120" s="1" t="s">
        <v>194</v>
      </c>
      <c r="R120" s="1" t="s">
        <v>32</v>
      </c>
      <c r="S120" s="1" t="s">
        <v>2170</v>
      </c>
      <c r="T120" s="1" t="s">
        <v>643</v>
      </c>
      <c r="U120" s="1" t="s">
        <v>31</v>
      </c>
      <c r="V120" s="1" t="s">
        <v>90</v>
      </c>
      <c r="W120" s="14" t="s">
        <v>2</v>
      </c>
      <c r="X120" s="14" t="s">
        <v>4670</v>
      </c>
      <c r="Y120" s="14" t="s">
        <v>4538</v>
      </c>
      <c r="Z120" s="14" t="s">
        <v>31</v>
      </c>
      <c r="AA120" s="14" t="s">
        <v>4503</v>
      </c>
      <c r="AB120" s="14">
        <v>1</v>
      </c>
      <c r="AC120" s="14" t="s">
        <v>4509</v>
      </c>
      <c r="AD120" s="14">
        <v>2</v>
      </c>
      <c r="AE120" s="14" t="s">
        <v>626</v>
      </c>
      <c r="AF120" s="14" t="s">
        <v>4191</v>
      </c>
      <c r="AG120" s="14" t="s">
        <v>4191</v>
      </c>
      <c r="AH120" s="14" t="s">
        <v>4191</v>
      </c>
      <c r="AI120" s="14" t="s">
        <v>4191</v>
      </c>
      <c r="AJ120" s="14" t="s">
        <v>194</v>
      </c>
      <c r="AK120" s="14" t="s">
        <v>194</v>
      </c>
      <c r="AL120" s="14" t="s">
        <v>194</v>
      </c>
      <c r="AM120" s="14" t="s">
        <v>194</v>
      </c>
      <c r="AN120" s="14" t="s">
        <v>194</v>
      </c>
      <c r="AO120" s="14" t="s">
        <v>194</v>
      </c>
      <c r="AP120" s="14" t="s">
        <v>194</v>
      </c>
      <c r="AQ120" s="14" t="s">
        <v>2871</v>
      </c>
      <c r="AR120" s="14" t="s">
        <v>4505</v>
      </c>
    </row>
    <row r="121" spans="1:44" ht="150" hidden="1" x14ac:dyDescent="0.25">
      <c r="A121" s="1" t="s">
        <v>2260</v>
      </c>
      <c r="B121" s="1" t="s">
        <v>2638</v>
      </c>
      <c r="C121" s="1" t="s">
        <v>2508</v>
      </c>
      <c r="D121" s="1" t="s">
        <v>27</v>
      </c>
      <c r="E121" s="1" t="s">
        <v>34</v>
      </c>
      <c r="F121" s="1" t="s">
        <v>50</v>
      </c>
      <c r="G121" s="11" t="s">
        <v>3756</v>
      </c>
      <c r="H121" s="11" t="s">
        <v>4720</v>
      </c>
      <c r="I121" s="1" t="s">
        <v>2850</v>
      </c>
      <c r="J121" s="1" t="s">
        <v>2631</v>
      </c>
      <c r="K121" s="1" t="s">
        <v>2639</v>
      </c>
      <c r="L121" s="1" t="s">
        <v>1329</v>
      </c>
      <c r="M121" s="1" t="s">
        <v>1331</v>
      </c>
      <c r="N121" s="1" t="s">
        <v>1330</v>
      </c>
      <c r="O121" s="1" t="s">
        <v>1164</v>
      </c>
      <c r="P121" s="1" t="s">
        <v>1339</v>
      </c>
      <c r="Q121" s="1" t="s">
        <v>194</v>
      </c>
      <c r="R121" s="1" t="s">
        <v>32</v>
      </c>
      <c r="S121" s="1" t="s">
        <v>2170</v>
      </c>
      <c r="T121" s="1" t="s">
        <v>643</v>
      </c>
      <c r="U121" s="1" t="s">
        <v>31</v>
      </c>
      <c r="V121" s="1" t="s">
        <v>90</v>
      </c>
      <c r="W121" s="14" t="s">
        <v>2</v>
      </c>
      <c r="X121" s="14" t="s">
        <v>4670</v>
      </c>
      <c r="Y121" s="14" t="s">
        <v>4539</v>
      </c>
      <c r="Z121" s="14" t="s">
        <v>31</v>
      </c>
      <c r="AA121" s="14" t="s">
        <v>4503</v>
      </c>
      <c r="AB121" s="14">
        <v>1</v>
      </c>
      <c r="AC121" s="14" t="s">
        <v>4509</v>
      </c>
      <c r="AD121" s="14">
        <v>2</v>
      </c>
      <c r="AE121" s="14" t="s">
        <v>626</v>
      </c>
      <c r="AF121" s="14" t="s">
        <v>4191</v>
      </c>
      <c r="AG121" s="14" t="s">
        <v>4191</v>
      </c>
      <c r="AH121" s="14" t="s">
        <v>4191</v>
      </c>
      <c r="AI121" s="14" t="s">
        <v>4191</v>
      </c>
      <c r="AJ121" s="14" t="s">
        <v>194</v>
      </c>
      <c r="AK121" s="14" t="s">
        <v>194</v>
      </c>
      <c r="AL121" s="14" t="s">
        <v>194</v>
      </c>
      <c r="AM121" s="14" t="s">
        <v>194</v>
      </c>
      <c r="AN121" s="14" t="s">
        <v>194</v>
      </c>
      <c r="AO121" s="14" t="s">
        <v>194</v>
      </c>
      <c r="AP121" s="14" t="s">
        <v>194</v>
      </c>
      <c r="AQ121" s="14" t="s">
        <v>2871</v>
      </c>
      <c r="AR121" s="14" t="s">
        <v>4505</v>
      </c>
    </row>
    <row r="122" spans="1:44" ht="195" hidden="1" x14ac:dyDescent="0.25">
      <c r="A122" s="1" t="s">
        <v>2262</v>
      </c>
      <c r="B122" s="1" t="s">
        <v>2629</v>
      </c>
      <c r="C122" s="1" t="s">
        <v>2508</v>
      </c>
      <c r="D122" s="1" t="s">
        <v>27</v>
      </c>
      <c r="E122" s="1" t="s">
        <v>34</v>
      </c>
      <c r="F122" s="1" t="s">
        <v>50</v>
      </c>
      <c r="G122" s="11" t="s">
        <v>2857</v>
      </c>
      <c r="H122" s="11" t="s">
        <v>4721</v>
      </c>
      <c r="I122" s="1" t="s">
        <v>2850</v>
      </c>
      <c r="J122" s="1" t="s">
        <v>2631</v>
      </c>
      <c r="K122" s="1" t="s">
        <v>2632</v>
      </c>
      <c r="L122" s="1" t="s">
        <v>1329</v>
      </c>
      <c r="M122" s="1" t="s">
        <v>1331</v>
      </c>
      <c r="N122" s="1" t="s">
        <v>1330</v>
      </c>
      <c r="O122" s="1" t="s">
        <v>1164</v>
      </c>
      <c r="P122" s="1" t="s">
        <v>1339</v>
      </c>
      <c r="Q122" s="1" t="s">
        <v>194</v>
      </c>
      <c r="R122" s="1" t="s">
        <v>32</v>
      </c>
      <c r="S122" s="1" t="s">
        <v>2170</v>
      </c>
      <c r="T122" s="1" t="s">
        <v>643</v>
      </c>
      <c r="U122" s="1" t="s">
        <v>31</v>
      </c>
      <c r="V122" s="1" t="s">
        <v>90</v>
      </c>
      <c r="W122" s="14" t="s">
        <v>2</v>
      </c>
      <c r="X122" s="14" t="s">
        <v>4672</v>
      </c>
      <c r="Y122" s="14" t="s">
        <v>4540</v>
      </c>
      <c r="Z122" s="14" t="s">
        <v>31</v>
      </c>
      <c r="AA122" s="14" t="s">
        <v>4503</v>
      </c>
      <c r="AB122" s="14">
        <v>1</v>
      </c>
      <c r="AC122" s="14" t="s">
        <v>4509</v>
      </c>
      <c r="AD122" s="14">
        <v>2</v>
      </c>
      <c r="AE122" s="14" t="s">
        <v>626</v>
      </c>
      <c r="AF122" s="14" t="s">
        <v>4191</v>
      </c>
      <c r="AG122" s="14" t="s">
        <v>4191</v>
      </c>
      <c r="AH122" s="14" t="s">
        <v>4191</v>
      </c>
      <c r="AI122" s="14" t="s">
        <v>4191</v>
      </c>
      <c r="AJ122" s="14" t="s">
        <v>194</v>
      </c>
      <c r="AK122" s="14" t="s">
        <v>194</v>
      </c>
      <c r="AL122" s="14" t="s">
        <v>194</v>
      </c>
      <c r="AM122" s="14" t="s">
        <v>194</v>
      </c>
      <c r="AN122" s="14" t="s">
        <v>194</v>
      </c>
      <c r="AO122" s="14" t="s">
        <v>194</v>
      </c>
      <c r="AP122" s="14" t="s">
        <v>194</v>
      </c>
      <c r="AQ122" s="14" t="s">
        <v>2870</v>
      </c>
      <c r="AR122" s="14" t="s">
        <v>4505</v>
      </c>
    </row>
    <row r="123" spans="1:44" ht="180" hidden="1" x14ac:dyDescent="0.25">
      <c r="A123" s="1" t="s">
        <v>2264</v>
      </c>
      <c r="B123" s="1" t="s">
        <v>2633</v>
      </c>
      <c r="C123" s="1" t="s">
        <v>2508</v>
      </c>
      <c r="D123" s="1" t="s">
        <v>27</v>
      </c>
      <c r="E123" s="1" t="s">
        <v>34</v>
      </c>
      <c r="F123" s="1" t="s">
        <v>50</v>
      </c>
      <c r="G123" s="11" t="s">
        <v>2858</v>
      </c>
      <c r="H123" s="11" t="s">
        <v>4722</v>
      </c>
      <c r="I123" s="1" t="s">
        <v>2852</v>
      </c>
      <c r="J123" s="1" t="s">
        <v>2631</v>
      </c>
      <c r="K123" s="1" t="s">
        <v>2634</v>
      </c>
      <c r="L123" s="1" t="s">
        <v>1329</v>
      </c>
      <c r="M123" s="1" t="s">
        <v>1331</v>
      </c>
      <c r="N123" s="1" t="s">
        <v>1330</v>
      </c>
      <c r="O123" s="1" t="s">
        <v>1164</v>
      </c>
      <c r="P123" s="1" t="s">
        <v>1339</v>
      </c>
      <c r="Q123" s="1" t="s">
        <v>194</v>
      </c>
      <c r="R123" s="1" t="s">
        <v>32</v>
      </c>
      <c r="S123" s="1" t="s">
        <v>2170</v>
      </c>
      <c r="T123" s="1" t="s">
        <v>643</v>
      </c>
      <c r="U123" s="1" t="s">
        <v>31</v>
      </c>
      <c r="V123" s="1" t="s">
        <v>90</v>
      </c>
      <c r="W123" s="14" t="s">
        <v>2</v>
      </c>
      <c r="X123" s="14" t="s">
        <v>4672</v>
      </c>
      <c r="Y123" s="14" t="s">
        <v>4541</v>
      </c>
      <c r="Z123" s="14" t="s">
        <v>31</v>
      </c>
      <c r="AA123" s="14" t="s">
        <v>4503</v>
      </c>
      <c r="AB123" s="14">
        <v>1</v>
      </c>
      <c r="AC123" s="14" t="s">
        <v>4509</v>
      </c>
      <c r="AD123" s="14">
        <v>2</v>
      </c>
      <c r="AE123" s="14" t="s">
        <v>626</v>
      </c>
      <c r="AF123" s="14" t="s">
        <v>4191</v>
      </c>
      <c r="AG123" s="14" t="s">
        <v>4191</v>
      </c>
      <c r="AH123" s="14" t="s">
        <v>4191</v>
      </c>
      <c r="AI123" s="14" t="s">
        <v>4191</v>
      </c>
      <c r="AJ123" s="14" t="s">
        <v>194</v>
      </c>
      <c r="AK123" s="14" t="s">
        <v>194</v>
      </c>
      <c r="AL123" s="14" t="s">
        <v>194</v>
      </c>
      <c r="AM123" s="14" t="s">
        <v>194</v>
      </c>
      <c r="AN123" s="14" t="s">
        <v>194</v>
      </c>
      <c r="AO123" s="14" t="s">
        <v>194</v>
      </c>
      <c r="AP123" s="14" t="s">
        <v>194</v>
      </c>
      <c r="AQ123" s="14" t="s">
        <v>2870</v>
      </c>
      <c r="AR123" s="14" t="s">
        <v>4505</v>
      </c>
    </row>
    <row r="124" spans="1:44" ht="150" hidden="1" x14ac:dyDescent="0.25">
      <c r="A124" s="1" t="s">
        <v>2266</v>
      </c>
      <c r="B124" s="1" t="s">
        <v>2635</v>
      </c>
      <c r="C124" s="1" t="s">
        <v>2508</v>
      </c>
      <c r="D124" s="1" t="s">
        <v>27</v>
      </c>
      <c r="E124" s="1" t="s">
        <v>28</v>
      </c>
      <c r="F124" s="1" t="s">
        <v>50</v>
      </c>
      <c r="G124" s="11" t="s">
        <v>2630</v>
      </c>
      <c r="H124" s="11" t="s">
        <v>4723</v>
      </c>
      <c r="I124" s="1" t="s">
        <v>2850</v>
      </c>
      <c r="J124" s="1" t="s">
        <v>2631</v>
      </c>
      <c r="K124" s="1" t="s">
        <v>2637</v>
      </c>
      <c r="L124" s="1" t="s">
        <v>1329</v>
      </c>
      <c r="M124" s="1" t="s">
        <v>1331</v>
      </c>
      <c r="N124" s="1" t="s">
        <v>1330</v>
      </c>
      <c r="O124" s="1" t="s">
        <v>1164</v>
      </c>
      <c r="P124" s="1" t="s">
        <v>1339</v>
      </c>
      <c r="Q124" s="1" t="s">
        <v>194</v>
      </c>
      <c r="R124" s="1" t="s">
        <v>32</v>
      </c>
      <c r="S124" s="1" t="s">
        <v>2170</v>
      </c>
      <c r="T124" s="1" t="s">
        <v>643</v>
      </c>
      <c r="U124" s="1" t="s">
        <v>31</v>
      </c>
      <c r="V124" s="1" t="s">
        <v>90</v>
      </c>
      <c r="W124" s="14" t="s">
        <v>2</v>
      </c>
      <c r="X124" s="14" t="s">
        <v>4672</v>
      </c>
      <c r="Y124" s="14" t="s">
        <v>4542</v>
      </c>
      <c r="Z124" s="14" t="s">
        <v>31</v>
      </c>
      <c r="AA124" s="14" t="s">
        <v>4503</v>
      </c>
      <c r="AB124" s="14">
        <v>1</v>
      </c>
      <c r="AC124" s="14" t="s">
        <v>4509</v>
      </c>
      <c r="AD124" s="14">
        <v>2</v>
      </c>
      <c r="AE124" s="14" t="s">
        <v>626</v>
      </c>
      <c r="AF124" s="14" t="s">
        <v>4191</v>
      </c>
      <c r="AG124" s="14" t="s">
        <v>4191</v>
      </c>
      <c r="AH124" s="14" t="s">
        <v>4191</v>
      </c>
      <c r="AI124" s="14" t="s">
        <v>4191</v>
      </c>
      <c r="AJ124" s="14" t="s">
        <v>194</v>
      </c>
      <c r="AK124" s="14" t="s">
        <v>194</v>
      </c>
      <c r="AL124" s="14" t="s">
        <v>194</v>
      </c>
      <c r="AM124" s="14" t="s">
        <v>194</v>
      </c>
      <c r="AN124" s="14" t="s">
        <v>194</v>
      </c>
      <c r="AO124" s="14" t="s">
        <v>194</v>
      </c>
      <c r="AP124" s="14" t="s">
        <v>194</v>
      </c>
      <c r="AQ124" s="14" t="s">
        <v>2870</v>
      </c>
      <c r="AR124" s="14" t="s">
        <v>4505</v>
      </c>
    </row>
    <row r="125" spans="1:44" ht="150" hidden="1" x14ac:dyDescent="0.25">
      <c r="A125" s="1" t="s">
        <v>2268</v>
      </c>
      <c r="B125" s="1" t="s">
        <v>2638</v>
      </c>
      <c r="C125" s="1" t="s">
        <v>2508</v>
      </c>
      <c r="D125" s="1" t="s">
        <v>27</v>
      </c>
      <c r="E125" s="1" t="s">
        <v>34</v>
      </c>
      <c r="F125" s="1" t="s">
        <v>50</v>
      </c>
      <c r="G125" s="11" t="s">
        <v>3757</v>
      </c>
      <c r="H125" s="11" t="s">
        <v>4724</v>
      </c>
      <c r="I125" s="1" t="s">
        <v>2850</v>
      </c>
      <c r="J125" s="1" t="s">
        <v>2631</v>
      </c>
      <c r="K125" s="1" t="s">
        <v>2639</v>
      </c>
      <c r="L125" s="1" t="s">
        <v>1329</v>
      </c>
      <c r="M125" s="1" t="s">
        <v>1331</v>
      </c>
      <c r="N125" s="1" t="s">
        <v>1330</v>
      </c>
      <c r="O125" s="1" t="s">
        <v>1164</v>
      </c>
      <c r="P125" s="1" t="s">
        <v>1339</v>
      </c>
      <c r="Q125" s="1" t="s">
        <v>194</v>
      </c>
      <c r="R125" s="1" t="s">
        <v>32</v>
      </c>
      <c r="S125" s="1" t="s">
        <v>2170</v>
      </c>
      <c r="T125" s="1" t="s">
        <v>643</v>
      </c>
      <c r="U125" s="1" t="s">
        <v>31</v>
      </c>
      <c r="V125" s="1" t="s">
        <v>90</v>
      </c>
      <c r="W125" s="14" t="s">
        <v>2</v>
      </c>
      <c r="X125" s="14" t="s">
        <v>4672</v>
      </c>
      <c r="Y125" s="14" t="s">
        <v>4543</v>
      </c>
      <c r="Z125" s="14" t="s">
        <v>31</v>
      </c>
      <c r="AA125" s="14" t="s">
        <v>4503</v>
      </c>
      <c r="AB125" s="14">
        <v>1</v>
      </c>
      <c r="AC125" s="14" t="s">
        <v>4509</v>
      </c>
      <c r="AD125" s="14">
        <v>2</v>
      </c>
      <c r="AE125" s="14" t="s">
        <v>626</v>
      </c>
      <c r="AF125" s="14" t="s">
        <v>4191</v>
      </c>
      <c r="AG125" s="14" t="s">
        <v>4191</v>
      </c>
      <c r="AH125" s="14" t="s">
        <v>4191</v>
      </c>
      <c r="AI125" s="14" t="s">
        <v>4191</v>
      </c>
      <c r="AJ125" s="14" t="s">
        <v>194</v>
      </c>
      <c r="AK125" s="14" t="s">
        <v>194</v>
      </c>
      <c r="AL125" s="14" t="s">
        <v>194</v>
      </c>
      <c r="AM125" s="14" t="s">
        <v>194</v>
      </c>
      <c r="AN125" s="14" t="s">
        <v>194</v>
      </c>
      <c r="AO125" s="14" t="s">
        <v>194</v>
      </c>
      <c r="AP125" s="14" t="s">
        <v>194</v>
      </c>
      <c r="AQ125" s="14" t="s">
        <v>2870</v>
      </c>
      <c r="AR125" s="14" t="s">
        <v>4505</v>
      </c>
    </row>
    <row r="126" spans="1:44" ht="180" hidden="1" x14ac:dyDescent="0.25">
      <c r="A126" s="1" t="s">
        <v>2270</v>
      </c>
      <c r="B126" s="1" t="s">
        <v>2629</v>
      </c>
      <c r="C126" s="1" t="s">
        <v>2508</v>
      </c>
      <c r="D126" s="1" t="s">
        <v>27</v>
      </c>
      <c r="E126" s="1" t="s">
        <v>34</v>
      </c>
      <c r="F126" s="1" t="s">
        <v>50</v>
      </c>
      <c r="G126" s="11" t="s">
        <v>2859</v>
      </c>
      <c r="H126" s="11" t="s">
        <v>4725</v>
      </c>
      <c r="I126" s="1" t="s">
        <v>2850</v>
      </c>
      <c r="J126" s="1" t="s">
        <v>2631</v>
      </c>
      <c r="K126" s="1" t="s">
        <v>2632</v>
      </c>
      <c r="L126" s="1" t="s">
        <v>1329</v>
      </c>
      <c r="M126" s="1" t="s">
        <v>1331</v>
      </c>
      <c r="N126" s="1" t="s">
        <v>1330</v>
      </c>
      <c r="O126" s="1" t="s">
        <v>1164</v>
      </c>
      <c r="P126" s="1" t="s">
        <v>1339</v>
      </c>
      <c r="Q126" s="1" t="s">
        <v>194</v>
      </c>
      <c r="R126" s="1" t="s">
        <v>32</v>
      </c>
      <c r="S126" s="1" t="s">
        <v>2170</v>
      </c>
      <c r="T126" s="1" t="s">
        <v>643</v>
      </c>
      <c r="U126" s="1" t="s">
        <v>31</v>
      </c>
      <c r="V126" s="1" t="s">
        <v>90</v>
      </c>
      <c r="W126" s="14" t="s">
        <v>2</v>
      </c>
      <c r="X126" s="14" t="s">
        <v>4674</v>
      </c>
      <c r="Y126" s="14" t="s">
        <v>4544</v>
      </c>
      <c r="Z126" s="14" t="s">
        <v>31</v>
      </c>
      <c r="AA126" s="14" t="s">
        <v>4503</v>
      </c>
      <c r="AB126" s="14">
        <v>1</v>
      </c>
      <c r="AC126" s="14" t="s">
        <v>4509</v>
      </c>
      <c r="AD126" s="14">
        <v>2</v>
      </c>
      <c r="AE126" s="14" t="s">
        <v>626</v>
      </c>
      <c r="AF126" s="14" t="s">
        <v>4191</v>
      </c>
      <c r="AG126" s="14" t="s">
        <v>4191</v>
      </c>
      <c r="AH126" s="14" t="s">
        <v>4191</v>
      </c>
      <c r="AI126" s="14" t="s">
        <v>4191</v>
      </c>
      <c r="AJ126" s="14" t="s">
        <v>194</v>
      </c>
      <c r="AK126" s="14" t="s">
        <v>194</v>
      </c>
      <c r="AL126" s="14" t="s">
        <v>194</v>
      </c>
      <c r="AM126" s="14" t="s">
        <v>194</v>
      </c>
      <c r="AN126" s="14" t="s">
        <v>194</v>
      </c>
      <c r="AO126" s="14" t="s">
        <v>194</v>
      </c>
      <c r="AP126" s="14" t="s">
        <v>194</v>
      </c>
      <c r="AQ126" s="14" t="s">
        <v>2872</v>
      </c>
      <c r="AR126" s="14" t="s">
        <v>4505</v>
      </c>
    </row>
    <row r="127" spans="1:44" ht="180" hidden="1" x14ac:dyDescent="0.25">
      <c r="A127" s="1" t="s">
        <v>2272</v>
      </c>
      <c r="B127" s="1" t="s">
        <v>2633</v>
      </c>
      <c r="C127" s="1" t="s">
        <v>2508</v>
      </c>
      <c r="D127" s="1" t="s">
        <v>27</v>
      </c>
      <c r="E127" s="1" t="s">
        <v>34</v>
      </c>
      <c r="F127" s="1" t="s">
        <v>50</v>
      </c>
      <c r="G127" s="11" t="s">
        <v>2860</v>
      </c>
      <c r="H127" s="11" t="s">
        <v>4726</v>
      </c>
      <c r="I127" s="1" t="s">
        <v>2852</v>
      </c>
      <c r="J127" s="1" t="s">
        <v>2631</v>
      </c>
      <c r="K127" s="1" t="s">
        <v>2634</v>
      </c>
      <c r="L127" s="1" t="s">
        <v>1329</v>
      </c>
      <c r="M127" s="1" t="s">
        <v>1331</v>
      </c>
      <c r="N127" s="1" t="s">
        <v>1330</v>
      </c>
      <c r="O127" s="1" t="s">
        <v>1164</v>
      </c>
      <c r="P127" s="1" t="s">
        <v>1339</v>
      </c>
      <c r="Q127" s="1" t="s">
        <v>194</v>
      </c>
      <c r="R127" s="1" t="s">
        <v>32</v>
      </c>
      <c r="S127" s="1" t="s">
        <v>2170</v>
      </c>
      <c r="T127" s="1" t="s">
        <v>643</v>
      </c>
      <c r="U127" s="1" t="s">
        <v>31</v>
      </c>
      <c r="V127" s="1" t="s">
        <v>90</v>
      </c>
      <c r="W127" s="14" t="s">
        <v>2</v>
      </c>
      <c r="X127" s="14" t="s">
        <v>4674</v>
      </c>
      <c r="Y127" s="14" t="s">
        <v>4545</v>
      </c>
      <c r="Z127" s="14" t="s">
        <v>31</v>
      </c>
      <c r="AA127" s="14" t="s">
        <v>4503</v>
      </c>
      <c r="AB127" s="14">
        <v>1</v>
      </c>
      <c r="AC127" s="14" t="s">
        <v>4509</v>
      </c>
      <c r="AD127" s="14">
        <v>2</v>
      </c>
      <c r="AE127" s="14" t="s">
        <v>626</v>
      </c>
      <c r="AF127" s="14" t="s">
        <v>4191</v>
      </c>
      <c r="AG127" s="14" t="s">
        <v>4191</v>
      </c>
      <c r="AH127" s="14" t="s">
        <v>4191</v>
      </c>
      <c r="AI127" s="14" t="s">
        <v>4191</v>
      </c>
      <c r="AJ127" s="14" t="s">
        <v>194</v>
      </c>
      <c r="AK127" s="14" t="s">
        <v>194</v>
      </c>
      <c r="AL127" s="14" t="s">
        <v>194</v>
      </c>
      <c r="AM127" s="14" t="s">
        <v>194</v>
      </c>
      <c r="AN127" s="14" t="s">
        <v>194</v>
      </c>
      <c r="AO127" s="14" t="s">
        <v>194</v>
      </c>
      <c r="AP127" s="14" t="s">
        <v>194</v>
      </c>
      <c r="AQ127" s="14" t="s">
        <v>2872</v>
      </c>
      <c r="AR127" s="14" t="s">
        <v>4505</v>
      </c>
    </row>
    <row r="128" spans="1:44" ht="195" hidden="1" x14ac:dyDescent="0.25">
      <c r="A128" s="1" t="s">
        <v>2274</v>
      </c>
      <c r="B128" s="1" t="s">
        <v>2635</v>
      </c>
      <c r="C128" s="1" t="s">
        <v>2508</v>
      </c>
      <c r="D128" s="1" t="s">
        <v>27</v>
      </c>
      <c r="E128" s="1" t="s">
        <v>34</v>
      </c>
      <c r="F128" s="1" t="s">
        <v>50</v>
      </c>
      <c r="G128" s="11" t="s">
        <v>2861</v>
      </c>
      <c r="H128" s="11" t="s">
        <v>4727</v>
      </c>
      <c r="I128" s="1" t="s">
        <v>2850</v>
      </c>
      <c r="J128" s="1" t="s">
        <v>2631</v>
      </c>
      <c r="K128" s="1" t="s">
        <v>2637</v>
      </c>
      <c r="L128" s="1" t="s">
        <v>1329</v>
      </c>
      <c r="M128" s="1" t="s">
        <v>1331</v>
      </c>
      <c r="N128" s="1" t="s">
        <v>1330</v>
      </c>
      <c r="O128" s="1" t="s">
        <v>1164</v>
      </c>
      <c r="P128" s="1" t="s">
        <v>1339</v>
      </c>
      <c r="Q128" s="1" t="s">
        <v>194</v>
      </c>
      <c r="R128" s="1" t="s">
        <v>32</v>
      </c>
      <c r="S128" s="1" t="s">
        <v>2170</v>
      </c>
      <c r="T128" s="1" t="s">
        <v>643</v>
      </c>
      <c r="U128" s="1" t="s">
        <v>31</v>
      </c>
      <c r="V128" s="1" t="s">
        <v>90</v>
      </c>
      <c r="W128" s="14" t="s">
        <v>2</v>
      </c>
      <c r="X128" s="14" t="s">
        <v>4674</v>
      </c>
      <c r="Y128" s="14" t="s">
        <v>4546</v>
      </c>
      <c r="Z128" s="14" t="s">
        <v>31</v>
      </c>
      <c r="AA128" s="14" t="s">
        <v>4503</v>
      </c>
      <c r="AB128" s="14">
        <v>1</v>
      </c>
      <c r="AC128" s="14" t="s">
        <v>4509</v>
      </c>
      <c r="AD128" s="14">
        <v>2</v>
      </c>
      <c r="AE128" s="14" t="s">
        <v>626</v>
      </c>
      <c r="AF128" s="14" t="s">
        <v>4191</v>
      </c>
      <c r="AG128" s="14" t="s">
        <v>4191</v>
      </c>
      <c r="AH128" s="14" t="s">
        <v>4191</v>
      </c>
      <c r="AI128" s="14" t="s">
        <v>4191</v>
      </c>
      <c r="AJ128" s="14" t="s">
        <v>194</v>
      </c>
      <c r="AK128" s="14" t="s">
        <v>194</v>
      </c>
      <c r="AL128" s="14" t="s">
        <v>194</v>
      </c>
      <c r="AM128" s="14" t="s">
        <v>194</v>
      </c>
      <c r="AN128" s="14" t="s">
        <v>194</v>
      </c>
      <c r="AO128" s="14" t="s">
        <v>194</v>
      </c>
      <c r="AP128" s="14" t="s">
        <v>194</v>
      </c>
      <c r="AQ128" s="14" t="s">
        <v>2872</v>
      </c>
      <c r="AR128" s="14" t="s">
        <v>4505</v>
      </c>
    </row>
    <row r="129" spans="1:44" ht="150" hidden="1" x14ac:dyDescent="0.25">
      <c r="A129" s="1" t="s">
        <v>2276</v>
      </c>
      <c r="B129" s="1" t="s">
        <v>2638</v>
      </c>
      <c r="C129" s="1" t="s">
        <v>2508</v>
      </c>
      <c r="D129" s="1" t="s">
        <v>27</v>
      </c>
      <c r="E129" s="1" t="s">
        <v>34</v>
      </c>
      <c r="F129" s="1" t="s">
        <v>50</v>
      </c>
      <c r="G129" s="11" t="s">
        <v>3758</v>
      </c>
      <c r="H129" s="11" t="s">
        <v>4728</v>
      </c>
      <c r="I129" s="1" t="s">
        <v>2850</v>
      </c>
      <c r="J129" s="1" t="s">
        <v>2631</v>
      </c>
      <c r="K129" s="1" t="s">
        <v>2639</v>
      </c>
      <c r="L129" s="1" t="s">
        <v>1329</v>
      </c>
      <c r="M129" s="1" t="s">
        <v>1331</v>
      </c>
      <c r="N129" s="1" t="s">
        <v>1330</v>
      </c>
      <c r="O129" s="1" t="s">
        <v>1164</v>
      </c>
      <c r="P129" s="1" t="s">
        <v>1339</v>
      </c>
      <c r="Q129" s="1" t="s">
        <v>194</v>
      </c>
      <c r="R129" s="1" t="s">
        <v>32</v>
      </c>
      <c r="S129" s="1" t="s">
        <v>2170</v>
      </c>
      <c r="T129" s="1" t="s">
        <v>643</v>
      </c>
      <c r="U129" s="1" t="s">
        <v>31</v>
      </c>
      <c r="V129" s="1" t="s">
        <v>90</v>
      </c>
      <c r="W129" s="14" t="s">
        <v>2</v>
      </c>
      <c r="X129" s="14" t="s">
        <v>4674</v>
      </c>
      <c r="Y129" s="14" t="s">
        <v>4547</v>
      </c>
      <c r="Z129" s="14" t="s">
        <v>31</v>
      </c>
      <c r="AA129" s="14" t="s">
        <v>4503</v>
      </c>
      <c r="AB129" s="14">
        <v>1</v>
      </c>
      <c r="AC129" s="14" t="s">
        <v>4509</v>
      </c>
      <c r="AD129" s="14">
        <v>2</v>
      </c>
      <c r="AE129" s="14" t="s">
        <v>626</v>
      </c>
      <c r="AF129" s="14" t="s">
        <v>4191</v>
      </c>
      <c r="AG129" s="14" t="s">
        <v>4191</v>
      </c>
      <c r="AH129" s="14" t="s">
        <v>4191</v>
      </c>
      <c r="AI129" s="14" t="s">
        <v>4191</v>
      </c>
      <c r="AJ129" s="14" t="s">
        <v>194</v>
      </c>
      <c r="AK129" s="14" t="s">
        <v>194</v>
      </c>
      <c r="AL129" s="14" t="s">
        <v>194</v>
      </c>
      <c r="AM129" s="14" t="s">
        <v>194</v>
      </c>
      <c r="AN129" s="14" t="s">
        <v>194</v>
      </c>
      <c r="AO129" s="14" t="s">
        <v>194</v>
      </c>
      <c r="AP129" s="14" t="s">
        <v>194</v>
      </c>
      <c r="AQ129" s="14" t="s">
        <v>2872</v>
      </c>
      <c r="AR129" s="14" t="s">
        <v>4505</v>
      </c>
    </row>
    <row r="130" spans="1:44" ht="105" hidden="1" x14ac:dyDescent="0.25">
      <c r="A130" s="1" t="s">
        <v>2208</v>
      </c>
      <c r="B130" s="1" t="s">
        <v>2643</v>
      </c>
      <c r="C130" s="1" t="s">
        <v>2508</v>
      </c>
      <c r="D130" s="1" t="s">
        <v>27</v>
      </c>
      <c r="E130" s="1" t="s">
        <v>34</v>
      </c>
      <c r="F130" s="1" t="s">
        <v>35</v>
      </c>
      <c r="G130" s="11" t="s">
        <v>6</v>
      </c>
      <c r="H130" s="11" t="s">
        <v>4652</v>
      </c>
      <c r="I130" s="1" t="s">
        <v>82</v>
      </c>
      <c r="J130" s="1" t="s">
        <v>2152</v>
      </c>
      <c r="K130" s="1" t="s">
        <v>2644</v>
      </c>
      <c r="L130" s="1" t="s">
        <v>1329</v>
      </c>
      <c r="M130" s="1" t="s">
        <v>562</v>
      </c>
      <c r="N130" s="1" t="s">
        <v>1330</v>
      </c>
      <c r="O130" s="1" t="s">
        <v>1164</v>
      </c>
      <c r="P130" s="1" t="s">
        <v>1339</v>
      </c>
      <c r="Q130" s="1" t="s">
        <v>194</v>
      </c>
      <c r="R130" s="1" t="s">
        <v>2</v>
      </c>
      <c r="S130" s="1" t="s">
        <v>563</v>
      </c>
      <c r="T130" s="1" t="s">
        <v>643</v>
      </c>
      <c r="U130" s="1" t="s">
        <v>31</v>
      </c>
      <c r="V130" s="1" t="s">
        <v>90</v>
      </c>
      <c r="W130" s="14" t="s">
        <v>2</v>
      </c>
      <c r="X130" s="14" t="s">
        <v>4650</v>
      </c>
      <c r="Y130" s="14" t="s">
        <v>194</v>
      </c>
      <c r="Z130" s="14" t="s">
        <v>31</v>
      </c>
      <c r="AA130" s="14" t="s">
        <v>4506</v>
      </c>
      <c r="AB130" s="14">
        <v>1</v>
      </c>
      <c r="AC130" s="14" t="s">
        <v>194</v>
      </c>
      <c r="AD130" s="14">
        <v>0</v>
      </c>
      <c r="AE130" s="14" t="s">
        <v>626</v>
      </c>
      <c r="AF130" s="14" t="s">
        <v>626</v>
      </c>
      <c r="AG130" s="14" t="s">
        <v>626</v>
      </c>
      <c r="AH130" s="14" t="s">
        <v>4191</v>
      </c>
      <c r="AI130" s="14" t="s">
        <v>4191</v>
      </c>
      <c r="AJ130" s="14" t="s">
        <v>194</v>
      </c>
      <c r="AK130" s="14" t="s">
        <v>194</v>
      </c>
      <c r="AL130" s="14" t="s">
        <v>194</v>
      </c>
      <c r="AM130" s="14" t="s">
        <v>194</v>
      </c>
      <c r="AN130" s="14" t="s">
        <v>194</v>
      </c>
      <c r="AO130" s="14" t="s">
        <v>194</v>
      </c>
      <c r="AP130" s="14" t="s">
        <v>194</v>
      </c>
      <c r="AQ130" s="14" t="s">
        <v>2890</v>
      </c>
      <c r="AR130" s="14" t="s">
        <v>4505</v>
      </c>
    </row>
    <row r="131" spans="1:44" ht="135" hidden="1" x14ac:dyDescent="0.25">
      <c r="A131" s="1" t="s">
        <v>2185</v>
      </c>
      <c r="B131" s="1" t="s">
        <v>103</v>
      </c>
      <c r="C131" s="1" t="s">
        <v>2508</v>
      </c>
      <c r="D131" s="1" t="s">
        <v>27</v>
      </c>
      <c r="E131" s="1" t="s">
        <v>34</v>
      </c>
      <c r="F131" s="1" t="s">
        <v>50</v>
      </c>
      <c r="G131" s="11" t="s">
        <v>2645</v>
      </c>
      <c r="H131" s="11" t="s">
        <v>4729</v>
      </c>
      <c r="I131" s="1" t="s">
        <v>77</v>
      </c>
      <c r="J131" s="1" t="s">
        <v>2155</v>
      </c>
      <c r="K131" s="1" t="s">
        <v>2155</v>
      </c>
      <c r="L131" s="1" t="s">
        <v>1329</v>
      </c>
      <c r="M131" s="1" t="s">
        <v>1331</v>
      </c>
      <c r="N131" s="1" t="s">
        <v>1330</v>
      </c>
      <c r="O131" s="1" t="s">
        <v>1342</v>
      </c>
      <c r="P131" s="1" t="s">
        <v>1339</v>
      </c>
      <c r="Q131" s="1" t="s">
        <v>194</v>
      </c>
      <c r="R131" s="1" t="s">
        <v>32</v>
      </c>
      <c r="S131" s="1" t="s">
        <v>2170</v>
      </c>
      <c r="T131" s="1" t="s">
        <v>4656</v>
      </c>
      <c r="U131" s="1" t="s">
        <v>31</v>
      </c>
      <c r="V131" s="1" t="s">
        <v>90</v>
      </c>
      <c r="W131" s="14" t="s">
        <v>2</v>
      </c>
      <c r="X131" s="14" t="s">
        <v>4650</v>
      </c>
      <c r="Y131" s="14" t="s">
        <v>4548</v>
      </c>
      <c r="Z131" s="14" t="s">
        <v>31</v>
      </c>
      <c r="AA131" s="14" t="s">
        <v>4503</v>
      </c>
      <c r="AB131" s="14">
        <v>2</v>
      </c>
      <c r="AC131" s="14" t="s">
        <v>4504</v>
      </c>
      <c r="AD131" s="14">
        <v>2</v>
      </c>
      <c r="AE131" s="14" t="s">
        <v>626</v>
      </c>
      <c r="AF131" s="14" t="s">
        <v>4191</v>
      </c>
      <c r="AG131" s="14" t="s">
        <v>4191</v>
      </c>
      <c r="AH131" s="14" t="s">
        <v>4191</v>
      </c>
      <c r="AI131" s="14" t="s">
        <v>4191</v>
      </c>
      <c r="AJ131" s="14" t="s">
        <v>194</v>
      </c>
      <c r="AK131" s="14" t="s">
        <v>194</v>
      </c>
      <c r="AL131" s="14" t="s">
        <v>194</v>
      </c>
      <c r="AM131" s="14" t="s">
        <v>194</v>
      </c>
      <c r="AN131" s="14" t="s">
        <v>194</v>
      </c>
      <c r="AO131" s="14" t="s">
        <v>194</v>
      </c>
      <c r="AP131" s="14" t="s">
        <v>194</v>
      </c>
      <c r="AQ131" s="14" t="s">
        <v>2890</v>
      </c>
      <c r="AR131" s="14" t="s">
        <v>4505</v>
      </c>
    </row>
    <row r="132" spans="1:44" ht="120" hidden="1" x14ac:dyDescent="0.25">
      <c r="A132" s="1" t="s">
        <v>2198</v>
      </c>
      <c r="B132" s="1" t="s">
        <v>117</v>
      </c>
      <c r="C132" s="1" t="s">
        <v>2508</v>
      </c>
      <c r="D132" s="1" t="s">
        <v>27</v>
      </c>
      <c r="E132" s="1" t="s">
        <v>34</v>
      </c>
      <c r="F132" s="1" t="s">
        <v>50</v>
      </c>
      <c r="G132" s="11" t="s">
        <v>2646</v>
      </c>
      <c r="H132" s="11" t="s">
        <v>4730</v>
      </c>
      <c r="I132" s="1" t="s">
        <v>71</v>
      </c>
      <c r="J132" s="1" t="s">
        <v>2157</v>
      </c>
      <c r="K132" s="1" t="s">
        <v>2157</v>
      </c>
      <c r="L132" s="1" t="s">
        <v>1329</v>
      </c>
      <c r="M132" s="1" t="s">
        <v>1331</v>
      </c>
      <c r="N132" s="1" t="s">
        <v>1330</v>
      </c>
      <c r="O132" s="1" t="s">
        <v>1164</v>
      </c>
      <c r="P132" s="1" t="s">
        <v>1339</v>
      </c>
      <c r="Q132" s="1" t="s">
        <v>194</v>
      </c>
      <c r="R132" s="1" t="s">
        <v>32</v>
      </c>
      <c r="S132" s="1" t="s">
        <v>2170</v>
      </c>
      <c r="T132" s="1" t="s">
        <v>643</v>
      </c>
      <c r="U132" s="1" t="s">
        <v>31</v>
      </c>
      <c r="V132" s="1" t="s">
        <v>90</v>
      </c>
      <c r="W132" s="14" t="s">
        <v>2</v>
      </c>
      <c r="X132" s="14" t="s">
        <v>4650</v>
      </c>
      <c r="Y132" s="14" t="s">
        <v>4521</v>
      </c>
      <c r="Z132" s="14" t="s">
        <v>31</v>
      </c>
      <c r="AA132" s="14" t="s">
        <v>4503</v>
      </c>
      <c r="AB132" s="14">
        <v>0</v>
      </c>
      <c r="AC132" s="14" t="s">
        <v>4509</v>
      </c>
      <c r="AD132" s="14">
        <v>3</v>
      </c>
      <c r="AE132" s="14" t="s">
        <v>626</v>
      </c>
      <c r="AF132" s="14" t="s">
        <v>4191</v>
      </c>
      <c r="AG132" s="14" t="s">
        <v>4191</v>
      </c>
      <c r="AH132" s="14" t="s">
        <v>4191</v>
      </c>
      <c r="AI132" s="14" t="s">
        <v>4191</v>
      </c>
      <c r="AJ132" s="14" t="s">
        <v>194</v>
      </c>
      <c r="AK132" s="14" t="s">
        <v>194</v>
      </c>
      <c r="AL132" s="14" t="s">
        <v>194</v>
      </c>
      <c r="AM132" s="14" t="s">
        <v>194</v>
      </c>
      <c r="AN132" s="14" t="s">
        <v>194</v>
      </c>
      <c r="AO132" s="14" t="s">
        <v>194</v>
      </c>
      <c r="AP132" s="14" t="s">
        <v>194</v>
      </c>
      <c r="AQ132" s="14" t="s">
        <v>2890</v>
      </c>
      <c r="AR132" s="14" t="s">
        <v>4505</v>
      </c>
    </row>
    <row r="133" spans="1:44" ht="135" hidden="1" x14ac:dyDescent="0.25">
      <c r="A133" s="1" t="s">
        <v>2200</v>
      </c>
      <c r="B133" s="1" t="s">
        <v>92</v>
      </c>
      <c r="C133" s="1" t="s">
        <v>2508</v>
      </c>
      <c r="D133" s="1" t="s">
        <v>27</v>
      </c>
      <c r="E133" s="1" t="s">
        <v>34</v>
      </c>
      <c r="F133" s="1" t="s">
        <v>50</v>
      </c>
      <c r="G133" s="11" t="s">
        <v>93</v>
      </c>
      <c r="H133" s="11" t="s">
        <v>4731</v>
      </c>
      <c r="I133" s="1" t="s">
        <v>94</v>
      </c>
      <c r="J133" s="1" t="s">
        <v>2149</v>
      </c>
      <c r="K133" s="1" t="s">
        <v>2150</v>
      </c>
      <c r="L133" s="1" t="s">
        <v>1329</v>
      </c>
      <c r="M133" s="1" t="s">
        <v>1331</v>
      </c>
      <c r="N133" s="1" t="s">
        <v>1330</v>
      </c>
      <c r="O133" s="1" t="s">
        <v>1342</v>
      </c>
      <c r="P133" s="1" t="s">
        <v>1339</v>
      </c>
      <c r="Q133" s="1" t="s">
        <v>194</v>
      </c>
      <c r="R133" s="1" t="s">
        <v>32</v>
      </c>
      <c r="S133" s="1" t="s">
        <v>2170</v>
      </c>
      <c r="T133" s="1" t="s">
        <v>4656</v>
      </c>
      <c r="U133" s="1" t="s">
        <v>31</v>
      </c>
      <c r="V133" s="1" t="s">
        <v>2</v>
      </c>
      <c r="W133" s="14" t="s">
        <v>32</v>
      </c>
      <c r="X133" s="14" t="s">
        <v>4650</v>
      </c>
      <c r="Y133" s="14" t="s">
        <v>4549</v>
      </c>
      <c r="Z133" s="14" t="s">
        <v>31</v>
      </c>
      <c r="AA133" s="14" t="s">
        <v>4503</v>
      </c>
      <c r="AB133" s="14">
        <v>2</v>
      </c>
      <c r="AC133" s="14" t="s">
        <v>4509</v>
      </c>
      <c r="AD133" s="14">
        <v>2</v>
      </c>
      <c r="AE133" s="14" t="s">
        <v>626</v>
      </c>
      <c r="AF133" s="14" t="s">
        <v>4191</v>
      </c>
      <c r="AG133" s="14" t="s">
        <v>4191</v>
      </c>
      <c r="AH133" s="14" t="s">
        <v>4191</v>
      </c>
      <c r="AI133" s="14" t="s">
        <v>4191</v>
      </c>
      <c r="AJ133" s="14" t="s">
        <v>194</v>
      </c>
      <c r="AK133" s="14" t="s">
        <v>194</v>
      </c>
      <c r="AL133" s="14" t="s">
        <v>194</v>
      </c>
      <c r="AM133" s="14" t="s">
        <v>194</v>
      </c>
      <c r="AN133" s="14" t="s">
        <v>194</v>
      </c>
      <c r="AO133" s="14" t="s">
        <v>194</v>
      </c>
      <c r="AP133" s="14" t="s">
        <v>194</v>
      </c>
      <c r="AQ133" s="14" t="s">
        <v>2890</v>
      </c>
      <c r="AR133" s="14" t="s">
        <v>4505</v>
      </c>
    </row>
    <row r="134" spans="1:44" ht="120" hidden="1" x14ac:dyDescent="0.25">
      <c r="A134" s="1" t="s">
        <v>2214</v>
      </c>
      <c r="B134" s="1" t="s">
        <v>80</v>
      </c>
      <c r="C134" s="1" t="s">
        <v>2508</v>
      </c>
      <c r="D134" s="1" t="s">
        <v>27</v>
      </c>
      <c r="E134" s="1" t="s">
        <v>34</v>
      </c>
      <c r="F134" s="1" t="s">
        <v>50</v>
      </c>
      <c r="G134" s="11" t="s">
        <v>2647</v>
      </c>
      <c r="H134" s="11" t="s">
        <v>4732</v>
      </c>
      <c r="I134" s="1" t="s">
        <v>82</v>
      </c>
      <c r="J134" s="1" t="s">
        <v>2148</v>
      </c>
      <c r="K134" s="1" t="s">
        <v>2148</v>
      </c>
      <c r="L134" s="1" t="s">
        <v>1329</v>
      </c>
      <c r="M134" s="1" t="s">
        <v>1331</v>
      </c>
      <c r="N134" s="1" t="s">
        <v>1330</v>
      </c>
      <c r="O134" s="1" t="s">
        <v>1164</v>
      </c>
      <c r="P134" s="1" t="s">
        <v>1339</v>
      </c>
      <c r="Q134" s="1" t="s">
        <v>194</v>
      </c>
      <c r="R134" s="1" t="s">
        <v>32</v>
      </c>
      <c r="S134" s="1" t="s">
        <v>2170</v>
      </c>
      <c r="T134" s="1" t="s">
        <v>643</v>
      </c>
      <c r="U134" s="1" t="s">
        <v>31</v>
      </c>
      <c r="V134" s="1" t="s">
        <v>36</v>
      </c>
      <c r="W134" s="14" t="s">
        <v>2</v>
      </c>
      <c r="X134" s="14" t="s">
        <v>4650</v>
      </c>
      <c r="Y134" s="14" t="s">
        <v>4507</v>
      </c>
      <c r="Z134" s="14" t="s">
        <v>31</v>
      </c>
      <c r="AA134" s="14" t="s">
        <v>4503</v>
      </c>
      <c r="AB134" s="14">
        <v>1</v>
      </c>
      <c r="AC134" s="14" t="s">
        <v>194</v>
      </c>
      <c r="AD134" s="14">
        <v>0</v>
      </c>
      <c r="AE134" s="14" t="s">
        <v>626</v>
      </c>
      <c r="AF134" s="14" t="s">
        <v>4191</v>
      </c>
      <c r="AG134" s="14" t="s">
        <v>4191</v>
      </c>
      <c r="AH134" s="14" t="s">
        <v>4191</v>
      </c>
      <c r="AI134" s="14" t="s">
        <v>4191</v>
      </c>
      <c r="AJ134" s="14" t="s">
        <v>194</v>
      </c>
      <c r="AK134" s="14" t="s">
        <v>194</v>
      </c>
      <c r="AL134" s="14" t="s">
        <v>194</v>
      </c>
      <c r="AM134" s="14" t="s">
        <v>194</v>
      </c>
      <c r="AN134" s="14" t="s">
        <v>194</v>
      </c>
      <c r="AO134" s="14" t="s">
        <v>194</v>
      </c>
      <c r="AP134" s="14" t="s">
        <v>194</v>
      </c>
      <c r="AQ134" s="14" t="s">
        <v>2890</v>
      </c>
      <c r="AR134" s="14" t="s">
        <v>4505</v>
      </c>
    </row>
    <row r="135" spans="1:44" ht="135" hidden="1" x14ac:dyDescent="0.25">
      <c r="A135" s="1" t="s">
        <v>2228</v>
      </c>
      <c r="B135" s="1" t="s">
        <v>106</v>
      </c>
      <c r="C135" s="1" t="s">
        <v>2508</v>
      </c>
      <c r="D135" s="1" t="s">
        <v>27</v>
      </c>
      <c r="E135" s="1" t="s">
        <v>34</v>
      </c>
      <c r="F135" s="1" t="s">
        <v>50</v>
      </c>
      <c r="G135" s="11" t="s">
        <v>2648</v>
      </c>
      <c r="H135" s="11" t="s">
        <v>4733</v>
      </c>
      <c r="I135" s="1" t="s">
        <v>94</v>
      </c>
      <c r="J135" s="1" t="s">
        <v>108</v>
      </c>
      <c r="K135" s="1" t="s">
        <v>108</v>
      </c>
      <c r="L135" s="1" t="s">
        <v>1329</v>
      </c>
      <c r="M135" s="1" t="s">
        <v>1331</v>
      </c>
      <c r="N135" s="1" t="s">
        <v>1330</v>
      </c>
      <c r="O135" s="1" t="s">
        <v>1343</v>
      </c>
      <c r="P135" s="1" t="s">
        <v>1339</v>
      </c>
      <c r="Q135" s="1" t="s">
        <v>194</v>
      </c>
      <c r="R135" s="1" t="s">
        <v>32</v>
      </c>
      <c r="S135" s="1" t="s">
        <v>2170</v>
      </c>
      <c r="T135" s="1" t="s">
        <v>4656</v>
      </c>
      <c r="U135" s="1" t="s">
        <v>31</v>
      </c>
      <c r="V135" s="1" t="s">
        <v>90</v>
      </c>
      <c r="W135" s="14" t="s">
        <v>2</v>
      </c>
      <c r="X135" s="14" t="s">
        <v>4650</v>
      </c>
      <c r="Y135" s="14" t="s">
        <v>4548</v>
      </c>
      <c r="Z135" s="14" t="s">
        <v>31</v>
      </c>
      <c r="AA135" s="14" t="s">
        <v>4503</v>
      </c>
      <c r="AB135" s="14">
        <v>2</v>
      </c>
      <c r="AC135" s="14" t="s">
        <v>4509</v>
      </c>
      <c r="AD135" s="14">
        <v>2</v>
      </c>
      <c r="AE135" s="14" t="s">
        <v>626</v>
      </c>
      <c r="AF135" s="14" t="s">
        <v>4191</v>
      </c>
      <c r="AG135" s="14" t="s">
        <v>4191</v>
      </c>
      <c r="AH135" s="14" t="s">
        <v>4191</v>
      </c>
      <c r="AI135" s="14" t="s">
        <v>4191</v>
      </c>
      <c r="AJ135" s="14" t="s">
        <v>194</v>
      </c>
      <c r="AK135" s="14" t="s">
        <v>194</v>
      </c>
      <c r="AL135" s="14" t="s">
        <v>194</v>
      </c>
      <c r="AM135" s="14" t="s">
        <v>194</v>
      </c>
      <c r="AN135" s="14" t="s">
        <v>194</v>
      </c>
      <c r="AO135" s="14" t="s">
        <v>194</v>
      </c>
      <c r="AP135" s="14" t="s">
        <v>194</v>
      </c>
      <c r="AQ135" s="14" t="s">
        <v>2890</v>
      </c>
      <c r="AR135" s="14" t="s">
        <v>4505</v>
      </c>
    </row>
    <row r="136" spans="1:44" ht="150" hidden="1" x14ac:dyDescent="0.25">
      <c r="A136" s="1" t="s">
        <v>2210</v>
      </c>
      <c r="B136" s="1" t="s">
        <v>100</v>
      </c>
      <c r="C136" s="1" t="s">
        <v>2508</v>
      </c>
      <c r="D136" s="1" t="s">
        <v>27</v>
      </c>
      <c r="E136" s="1" t="s">
        <v>34</v>
      </c>
      <c r="F136" s="1" t="s">
        <v>50</v>
      </c>
      <c r="G136" s="11" t="s">
        <v>2649</v>
      </c>
      <c r="H136" s="11" t="s">
        <v>4734</v>
      </c>
      <c r="I136" s="1" t="s">
        <v>77</v>
      </c>
      <c r="J136" s="1" t="s">
        <v>2152</v>
      </c>
      <c r="K136" s="1" t="s">
        <v>2154</v>
      </c>
      <c r="L136" s="1" t="s">
        <v>1329</v>
      </c>
      <c r="M136" s="1" t="s">
        <v>1331</v>
      </c>
      <c r="N136" s="1" t="s">
        <v>1330</v>
      </c>
      <c r="O136" s="1" t="s">
        <v>1164</v>
      </c>
      <c r="P136" s="1" t="s">
        <v>1339</v>
      </c>
      <c r="Q136" s="1" t="s">
        <v>194</v>
      </c>
      <c r="R136" s="1" t="s">
        <v>32</v>
      </c>
      <c r="S136" s="1" t="s">
        <v>2170</v>
      </c>
      <c r="T136" s="1" t="s">
        <v>643</v>
      </c>
      <c r="U136" s="1" t="s">
        <v>31</v>
      </c>
      <c r="V136" s="1" t="s">
        <v>90</v>
      </c>
      <c r="W136" s="14" t="s">
        <v>2</v>
      </c>
      <c r="X136" s="14" t="s">
        <v>4650</v>
      </c>
      <c r="Y136" s="14" t="s">
        <v>4550</v>
      </c>
      <c r="Z136" s="14" t="s">
        <v>31</v>
      </c>
      <c r="AA136" s="14" t="s">
        <v>4503</v>
      </c>
      <c r="AB136" s="14">
        <v>2</v>
      </c>
      <c r="AC136" s="14" t="s">
        <v>4504</v>
      </c>
      <c r="AD136" s="14">
        <v>2</v>
      </c>
      <c r="AE136" s="14" t="s">
        <v>626</v>
      </c>
      <c r="AF136" s="14" t="s">
        <v>4191</v>
      </c>
      <c r="AG136" s="14" t="s">
        <v>4191</v>
      </c>
      <c r="AH136" s="14" t="s">
        <v>4191</v>
      </c>
      <c r="AI136" s="14" t="s">
        <v>4191</v>
      </c>
      <c r="AJ136" s="14" t="s">
        <v>194</v>
      </c>
      <c r="AK136" s="14" t="s">
        <v>194</v>
      </c>
      <c r="AL136" s="14" t="s">
        <v>194</v>
      </c>
      <c r="AM136" s="14" t="s">
        <v>194</v>
      </c>
      <c r="AN136" s="14" t="s">
        <v>194</v>
      </c>
      <c r="AO136" s="14" t="s">
        <v>194</v>
      </c>
      <c r="AP136" s="14" t="s">
        <v>194</v>
      </c>
      <c r="AQ136" s="14" t="s">
        <v>2890</v>
      </c>
      <c r="AR136" s="14" t="s">
        <v>4505</v>
      </c>
    </row>
    <row r="137" spans="1:44" ht="105" hidden="1" x14ac:dyDescent="0.25">
      <c r="A137" s="1" t="s">
        <v>2232</v>
      </c>
      <c r="B137" s="1" t="s">
        <v>2650</v>
      </c>
      <c r="C137" s="1" t="s">
        <v>2508</v>
      </c>
      <c r="D137" s="1" t="s">
        <v>27</v>
      </c>
      <c r="E137" s="1" t="s">
        <v>34</v>
      </c>
      <c r="F137" s="1" t="s">
        <v>29</v>
      </c>
      <c r="G137" s="11" t="s">
        <v>6</v>
      </c>
      <c r="H137" s="11" t="s">
        <v>4652</v>
      </c>
      <c r="I137" s="1" t="s">
        <v>30</v>
      </c>
      <c r="J137" s="1" t="s">
        <v>2133</v>
      </c>
      <c r="K137" s="1" t="s">
        <v>2650</v>
      </c>
      <c r="L137" s="1" t="s">
        <v>1329</v>
      </c>
      <c r="M137" s="1" t="s">
        <v>562</v>
      </c>
      <c r="N137" s="1" t="s">
        <v>1330</v>
      </c>
      <c r="O137" s="1" t="s">
        <v>1164</v>
      </c>
      <c r="P137" s="1" t="s">
        <v>1339</v>
      </c>
      <c r="Q137" s="1" t="s">
        <v>194</v>
      </c>
      <c r="R137" s="1" t="s">
        <v>2</v>
      </c>
      <c r="S137" s="1" t="s">
        <v>576</v>
      </c>
      <c r="T137" s="1" t="s">
        <v>643</v>
      </c>
      <c r="U137" s="1" t="s">
        <v>31</v>
      </c>
      <c r="V137" s="1" t="s">
        <v>90</v>
      </c>
      <c r="W137" s="14" t="s">
        <v>2</v>
      </c>
      <c r="X137" s="14" t="s">
        <v>4650</v>
      </c>
      <c r="Y137" s="14" t="s">
        <v>194</v>
      </c>
      <c r="Z137" s="14" t="s">
        <v>31</v>
      </c>
      <c r="AA137" s="14" t="s">
        <v>4506</v>
      </c>
      <c r="AB137" s="14">
        <v>1</v>
      </c>
      <c r="AC137" s="14" t="s">
        <v>194</v>
      </c>
      <c r="AD137" s="14">
        <v>0</v>
      </c>
      <c r="AE137" s="14" t="s">
        <v>626</v>
      </c>
      <c r="AF137" s="14" t="s">
        <v>626</v>
      </c>
      <c r="AG137" s="14" t="s">
        <v>626</v>
      </c>
      <c r="AH137" s="14" t="s">
        <v>4191</v>
      </c>
      <c r="AI137" s="14" t="s">
        <v>4191</v>
      </c>
      <c r="AJ137" s="14" t="s">
        <v>194</v>
      </c>
      <c r="AK137" s="14" t="s">
        <v>194</v>
      </c>
      <c r="AL137" s="14" t="s">
        <v>194</v>
      </c>
      <c r="AM137" s="14" t="s">
        <v>194</v>
      </c>
      <c r="AN137" s="14" t="s">
        <v>194</v>
      </c>
      <c r="AO137" s="14" t="s">
        <v>194</v>
      </c>
      <c r="AP137" s="14" t="s">
        <v>194</v>
      </c>
      <c r="AQ137" s="14" t="s">
        <v>2890</v>
      </c>
      <c r="AR137" s="14" t="s">
        <v>4505</v>
      </c>
    </row>
    <row r="138" spans="1:44" ht="105" hidden="1" x14ac:dyDescent="0.25">
      <c r="A138" s="1" t="s">
        <v>2908</v>
      </c>
      <c r="B138" s="1" t="s">
        <v>2946</v>
      </c>
      <c r="C138" s="1" t="s">
        <v>2508</v>
      </c>
      <c r="D138" s="1" t="s">
        <v>27</v>
      </c>
      <c r="E138" s="1" t="s">
        <v>34</v>
      </c>
      <c r="F138" s="1" t="s">
        <v>35</v>
      </c>
      <c r="G138" s="11" t="s">
        <v>2630</v>
      </c>
      <c r="H138" s="11" t="s">
        <v>4735</v>
      </c>
      <c r="I138" s="1" t="s">
        <v>82</v>
      </c>
      <c r="J138" s="1" t="s">
        <v>2631</v>
      </c>
      <c r="K138" s="1" t="s">
        <v>2947</v>
      </c>
      <c r="L138" s="1" t="s">
        <v>1329</v>
      </c>
      <c r="M138" s="1" t="s">
        <v>562</v>
      </c>
      <c r="N138" s="1" t="s">
        <v>1330</v>
      </c>
      <c r="O138" s="1" t="s">
        <v>1164</v>
      </c>
      <c r="P138" s="1" t="s">
        <v>1339</v>
      </c>
      <c r="Q138" s="1" t="s">
        <v>194</v>
      </c>
      <c r="R138" s="1" t="s">
        <v>2</v>
      </c>
      <c r="S138" s="1" t="s">
        <v>563</v>
      </c>
      <c r="T138" s="1" t="s">
        <v>643</v>
      </c>
      <c r="U138" s="1" t="s">
        <v>31</v>
      </c>
      <c r="V138" s="1" t="s">
        <v>90</v>
      </c>
      <c r="W138" s="14" t="s">
        <v>2</v>
      </c>
      <c r="X138" s="14" t="s">
        <v>4668</v>
      </c>
      <c r="Y138" s="14" t="s">
        <v>4551</v>
      </c>
      <c r="Z138" s="14" t="s">
        <v>31</v>
      </c>
      <c r="AA138" s="14" t="s">
        <v>4506</v>
      </c>
      <c r="AB138" s="14">
        <v>1</v>
      </c>
      <c r="AC138" s="14" t="s">
        <v>194</v>
      </c>
      <c r="AD138" s="14">
        <v>0</v>
      </c>
      <c r="AE138" s="14" t="s">
        <v>626</v>
      </c>
      <c r="AF138" s="14" t="s">
        <v>626</v>
      </c>
      <c r="AG138" s="14" t="s">
        <v>626</v>
      </c>
      <c r="AH138" s="14" t="s">
        <v>4191</v>
      </c>
      <c r="AI138" s="14" t="s">
        <v>4191</v>
      </c>
      <c r="AJ138" s="14" t="s">
        <v>194</v>
      </c>
      <c r="AK138" s="14" t="s">
        <v>194</v>
      </c>
      <c r="AL138" s="14" t="s">
        <v>194</v>
      </c>
      <c r="AM138" s="14" t="s">
        <v>194</v>
      </c>
      <c r="AN138" s="14" t="s">
        <v>194</v>
      </c>
      <c r="AO138" s="14" t="s">
        <v>194</v>
      </c>
      <c r="AP138" s="14" t="s">
        <v>194</v>
      </c>
      <c r="AQ138" s="14" t="s">
        <v>2873</v>
      </c>
      <c r="AR138" s="14" t="s">
        <v>4505</v>
      </c>
    </row>
    <row r="139" spans="1:44" ht="105" hidden="1" x14ac:dyDescent="0.25">
      <c r="A139" s="1" t="s">
        <v>2910</v>
      </c>
      <c r="B139" s="1" t="s">
        <v>2948</v>
      </c>
      <c r="C139" s="1" t="s">
        <v>2508</v>
      </c>
      <c r="D139" s="1" t="s">
        <v>27</v>
      </c>
      <c r="E139" s="1" t="s">
        <v>34</v>
      </c>
      <c r="F139" s="1" t="s">
        <v>35</v>
      </c>
      <c r="G139" s="11" t="s">
        <v>2630</v>
      </c>
      <c r="H139" s="11" t="s">
        <v>4735</v>
      </c>
      <c r="I139" s="1" t="s">
        <v>82</v>
      </c>
      <c r="J139" s="1" t="s">
        <v>2631</v>
      </c>
      <c r="K139" s="1" t="s">
        <v>2947</v>
      </c>
      <c r="L139" s="1" t="s">
        <v>1329</v>
      </c>
      <c r="M139" s="1" t="s">
        <v>562</v>
      </c>
      <c r="N139" s="1" t="s">
        <v>1330</v>
      </c>
      <c r="O139" s="1" t="s">
        <v>1164</v>
      </c>
      <c r="P139" s="1" t="s">
        <v>1339</v>
      </c>
      <c r="Q139" s="1" t="s">
        <v>194</v>
      </c>
      <c r="R139" s="1" t="s">
        <v>314</v>
      </c>
      <c r="S139" s="1" t="s">
        <v>563</v>
      </c>
      <c r="T139" s="1" t="s">
        <v>643</v>
      </c>
      <c r="U139" s="1" t="s">
        <v>31</v>
      </c>
      <c r="V139" s="1" t="s">
        <v>90</v>
      </c>
      <c r="W139" s="14" t="s">
        <v>2</v>
      </c>
      <c r="X139" s="14" t="s">
        <v>4668</v>
      </c>
      <c r="Y139" s="14" t="s">
        <v>4551</v>
      </c>
      <c r="Z139" s="14" t="s">
        <v>31</v>
      </c>
      <c r="AA139" s="14" t="s">
        <v>4506</v>
      </c>
      <c r="AB139" s="14">
        <v>1</v>
      </c>
      <c r="AC139" s="14" t="s">
        <v>194</v>
      </c>
      <c r="AD139" s="14">
        <v>0</v>
      </c>
      <c r="AE139" s="14" t="s">
        <v>626</v>
      </c>
      <c r="AF139" s="14" t="s">
        <v>626</v>
      </c>
      <c r="AG139" s="14" t="s">
        <v>626</v>
      </c>
      <c r="AH139" s="14" t="s">
        <v>4191</v>
      </c>
      <c r="AI139" s="14" t="s">
        <v>4191</v>
      </c>
      <c r="AJ139" s="14" t="s">
        <v>194</v>
      </c>
      <c r="AK139" s="14" t="s">
        <v>194</v>
      </c>
      <c r="AL139" s="14" t="s">
        <v>194</v>
      </c>
      <c r="AM139" s="14" t="s">
        <v>194</v>
      </c>
      <c r="AN139" s="14" t="s">
        <v>194</v>
      </c>
      <c r="AO139" s="14" t="s">
        <v>194</v>
      </c>
      <c r="AP139" s="14" t="s">
        <v>194</v>
      </c>
      <c r="AQ139" s="14" t="s">
        <v>2873</v>
      </c>
      <c r="AR139" s="14" t="s">
        <v>4505</v>
      </c>
    </row>
    <row r="140" spans="1:44" ht="105" hidden="1" x14ac:dyDescent="0.25">
      <c r="A140" s="1" t="s">
        <v>2912</v>
      </c>
      <c r="B140" s="1" t="s">
        <v>2949</v>
      </c>
      <c r="C140" s="1" t="s">
        <v>2508</v>
      </c>
      <c r="D140" s="1" t="s">
        <v>27</v>
      </c>
      <c r="E140" s="1" t="s">
        <v>34</v>
      </c>
      <c r="F140" s="1" t="s">
        <v>35</v>
      </c>
      <c r="G140" s="11" t="s">
        <v>2630</v>
      </c>
      <c r="H140" s="11" t="s">
        <v>4735</v>
      </c>
      <c r="I140" s="1" t="s">
        <v>82</v>
      </c>
      <c r="J140" s="1" t="s">
        <v>2631</v>
      </c>
      <c r="K140" s="1" t="s">
        <v>2947</v>
      </c>
      <c r="L140" s="1" t="s">
        <v>1329</v>
      </c>
      <c r="M140" s="1" t="s">
        <v>562</v>
      </c>
      <c r="N140" s="1" t="s">
        <v>1330</v>
      </c>
      <c r="O140" s="1" t="s">
        <v>1164</v>
      </c>
      <c r="P140" s="1" t="s">
        <v>1339</v>
      </c>
      <c r="Q140" s="1" t="s">
        <v>194</v>
      </c>
      <c r="R140" s="1" t="s">
        <v>317</v>
      </c>
      <c r="S140" s="1" t="s">
        <v>563</v>
      </c>
      <c r="T140" s="1" t="s">
        <v>643</v>
      </c>
      <c r="U140" s="1" t="s">
        <v>31</v>
      </c>
      <c r="V140" s="1" t="s">
        <v>90</v>
      </c>
      <c r="W140" s="14" t="s">
        <v>2</v>
      </c>
      <c r="X140" s="14" t="s">
        <v>4668</v>
      </c>
      <c r="Y140" s="14" t="s">
        <v>4551</v>
      </c>
      <c r="Z140" s="14" t="s">
        <v>31</v>
      </c>
      <c r="AA140" s="14" t="s">
        <v>4506</v>
      </c>
      <c r="AB140" s="14">
        <v>1</v>
      </c>
      <c r="AC140" s="14" t="s">
        <v>194</v>
      </c>
      <c r="AD140" s="14">
        <v>0</v>
      </c>
      <c r="AE140" s="14" t="s">
        <v>626</v>
      </c>
      <c r="AF140" s="14" t="s">
        <v>626</v>
      </c>
      <c r="AG140" s="14" t="s">
        <v>626</v>
      </c>
      <c r="AH140" s="14" t="s">
        <v>4191</v>
      </c>
      <c r="AI140" s="14" t="s">
        <v>4191</v>
      </c>
      <c r="AJ140" s="14" t="s">
        <v>194</v>
      </c>
      <c r="AK140" s="14" t="s">
        <v>194</v>
      </c>
      <c r="AL140" s="14" t="s">
        <v>194</v>
      </c>
      <c r="AM140" s="14" t="s">
        <v>194</v>
      </c>
      <c r="AN140" s="14" t="s">
        <v>194</v>
      </c>
      <c r="AO140" s="14" t="s">
        <v>194</v>
      </c>
      <c r="AP140" s="14" t="s">
        <v>194</v>
      </c>
      <c r="AQ140" s="14" t="s">
        <v>2873</v>
      </c>
      <c r="AR140" s="14" t="s">
        <v>4505</v>
      </c>
    </row>
    <row r="141" spans="1:44" ht="105" hidden="1" x14ac:dyDescent="0.25">
      <c r="A141" s="1" t="s">
        <v>2914</v>
      </c>
      <c r="B141" s="1" t="s">
        <v>2950</v>
      </c>
      <c r="C141" s="1" t="s">
        <v>2508</v>
      </c>
      <c r="D141" s="1" t="s">
        <v>27</v>
      </c>
      <c r="E141" s="1" t="s">
        <v>34</v>
      </c>
      <c r="F141" s="1" t="s">
        <v>35</v>
      </c>
      <c r="G141" s="11" t="s">
        <v>2630</v>
      </c>
      <c r="H141" s="11" t="s">
        <v>4735</v>
      </c>
      <c r="I141" s="1" t="s">
        <v>82</v>
      </c>
      <c r="J141" s="1" t="s">
        <v>2631</v>
      </c>
      <c r="K141" s="1" t="s">
        <v>2947</v>
      </c>
      <c r="L141" s="1" t="s">
        <v>1329</v>
      </c>
      <c r="M141" s="1" t="s">
        <v>562</v>
      </c>
      <c r="N141" s="1" t="s">
        <v>1330</v>
      </c>
      <c r="O141" s="1" t="s">
        <v>1164</v>
      </c>
      <c r="P141" s="1" t="s">
        <v>1339</v>
      </c>
      <c r="Q141" s="1" t="s">
        <v>194</v>
      </c>
      <c r="R141" s="1" t="s">
        <v>36</v>
      </c>
      <c r="S141" s="1" t="s">
        <v>563</v>
      </c>
      <c r="T141" s="1" t="s">
        <v>643</v>
      </c>
      <c r="U141" s="1" t="s">
        <v>31</v>
      </c>
      <c r="V141" s="1" t="s">
        <v>90</v>
      </c>
      <c r="W141" s="14" t="s">
        <v>2</v>
      </c>
      <c r="X141" s="14" t="s">
        <v>4668</v>
      </c>
      <c r="Y141" s="14" t="s">
        <v>4551</v>
      </c>
      <c r="Z141" s="14" t="s">
        <v>31</v>
      </c>
      <c r="AA141" s="14" t="s">
        <v>4506</v>
      </c>
      <c r="AB141" s="14">
        <v>1</v>
      </c>
      <c r="AC141" s="14" t="s">
        <v>194</v>
      </c>
      <c r="AD141" s="14">
        <v>0</v>
      </c>
      <c r="AE141" s="14" t="s">
        <v>626</v>
      </c>
      <c r="AF141" s="14" t="s">
        <v>626</v>
      </c>
      <c r="AG141" s="14" t="s">
        <v>626</v>
      </c>
      <c r="AH141" s="14" t="s">
        <v>4191</v>
      </c>
      <c r="AI141" s="14" t="s">
        <v>4191</v>
      </c>
      <c r="AJ141" s="14" t="s">
        <v>194</v>
      </c>
      <c r="AK141" s="14" t="s">
        <v>194</v>
      </c>
      <c r="AL141" s="14" t="s">
        <v>194</v>
      </c>
      <c r="AM141" s="14" t="s">
        <v>194</v>
      </c>
      <c r="AN141" s="14" t="s">
        <v>194</v>
      </c>
      <c r="AO141" s="14" t="s">
        <v>194</v>
      </c>
      <c r="AP141" s="14" t="s">
        <v>194</v>
      </c>
      <c r="AQ141" s="14" t="s">
        <v>2873</v>
      </c>
      <c r="AR141" s="14" t="s">
        <v>4505</v>
      </c>
    </row>
    <row r="142" spans="1:44" ht="105" hidden="1" x14ac:dyDescent="0.25">
      <c r="A142" s="1" t="s">
        <v>2916</v>
      </c>
      <c r="B142" s="1" t="s">
        <v>2946</v>
      </c>
      <c r="C142" s="1" t="s">
        <v>2508</v>
      </c>
      <c r="D142" s="1" t="s">
        <v>27</v>
      </c>
      <c r="E142" s="1" t="s">
        <v>34</v>
      </c>
      <c r="F142" s="1" t="s">
        <v>35</v>
      </c>
      <c r="G142" s="11" t="s">
        <v>2630</v>
      </c>
      <c r="H142" s="11" t="s">
        <v>4748</v>
      </c>
      <c r="I142" s="1" t="s">
        <v>82</v>
      </c>
      <c r="J142" s="1" t="s">
        <v>2631</v>
      </c>
      <c r="K142" s="1" t="s">
        <v>2947</v>
      </c>
      <c r="L142" s="1" t="s">
        <v>1329</v>
      </c>
      <c r="M142" s="1" t="s">
        <v>562</v>
      </c>
      <c r="N142" s="1" t="s">
        <v>1330</v>
      </c>
      <c r="O142" s="1" t="s">
        <v>1164</v>
      </c>
      <c r="P142" s="1" t="s">
        <v>1339</v>
      </c>
      <c r="Q142" s="1" t="s">
        <v>194</v>
      </c>
      <c r="R142" s="1" t="s">
        <v>2</v>
      </c>
      <c r="S142" s="1" t="s">
        <v>563</v>
      </c>
      <c r="T142" s="1" t="s">
        <v>643</v>
      </c>
      <c r="U142" s="1" t="s">
        <v>31</v>
      </c>
      <c r="V142" s="1" t="s">
        <v>90</v>
      </c>
      <c r="W142" s="14" t="s">
        <v>2</v>
      </c>
      <c r="X142" s="14" t="s">
        <v>4650</v>
      </c>
      <c r="Y142" s="14" t="s">
        <v>4551</v>
      </c>
      <c r="Z142" s="14" t="s">
        <v>31</v>
      </c>
      <c r="AA142" s="14" t="s">
        <v>4506</v>
      </c>
      <c r="AB142" s="14">
        <v>1</v>
      </c>
      <c r="AC142" s="14" t="s">
        <v>194</v>
      </c>
      <c r="AD142" s="14">
        <v>0</v>
      </c>
      <c r="AE142" s="14" t="s">
        <v>626</v>
      </c>
      <c r="AF142" s="14" t="s">
        <v>626</v>
      </c>
      <c r="AG142" s="14" t="s">
        <v>626</v>
      </c>
      <c r="AH142" s="14" t="s">
        <v>4191</v>
      </c>
      <c r="AI142" s="14" t="s">
        <v>4191</v>
      </c>
      <c r="AJ142" s="14" t="s">
        <v>194</v>
      </c>
      <c r="AK142" s="14" t="s">
        <v>194</v>
      </c>
      <c r="AL142" s="14" t="s">
        <v>194</v>
      </c>
      <c r="AM142" s="14" t="s">
        <v>194</v>
      </c>
      <c r="AN142" s="14" t="s">
        <v>194</v>
      </c>
      <c r="AO142" s="14" t="s">
        <v>194</v>
      </c>
      <c r="AP142" s="14" t="s">
        <v>194</v>
      </c>
      <c r="AQ142" s="14" t="s">
        <v>2890</v>
      </c>
      <c r="AR142" s="14" t="s">
        <v>4505</v>
      </c>
    </row>
    <row r="143" spans="1:44" ht="105" hidden="1" x14ac:dyDescent="0.25">
      <c r="A143" s="1" t="s">
        <v>2918</v>
      </c>
      <c r="B143" s="1" t="s">
        <v>2948</v>
      </c>
      <c r="C143" s="1" t="s">
        <v>2508</v>
      </c>
      <c r="D143" s="1" t="s">
        <v>27</v>
      </c>
      <c r="E143" s="1" t="s">
        <v>34</v>
      </c>
      <c r="F143" s="1" t="s">
        <v>35</v>
      </c>
      <c r="G143" s="11" t="s">
        <v>2630</v>
      </c>
      <c r="H143" s="11" t="s">
        <v>4748</v>
      </c>
      <c r="I143" s="1" t="s">
        <v>82</v>
      </c>
      <c r="J143" s="1" t="s">
        <v>2631</v>
      </c>
      <c r="K143" s="1" t="s">
        <v>2947</v>
      </c>
      <c r="L143" s="1" t="s">
        <v>1329</v>
      </c>
      <c r="M143" s="1" t="s">
        <v>562</v>
      </c>
      <c r="N143" s="1" t="s">
        <v>1330</v>
      </c>
      <c r="O143" s="1" t="s">
        <v>1164</v>
      </c>
      <c r="P143" s="1" t="s">
        <v>1339</v>
      </c>
      <c r="Q143" s="1" t="s">
        <v>194</v>
      </c>
      <c r="R143" s="1" t="s">
        <v>314</v>
      </c>
      <c r="S143" s="1" t="s">
        <v>563</v>
      </c>
      <c r="T143" s="1" t="s">
        <v>643</v>
      </c>
      <c r="U143" s="1" t="s">
        <v>31</v>
      </c>
      <c r="V143" s="1" t="s">
        <v>90</v>
      </c>
      <c r="W143" s="14" t="s">
        <v>2</v>
      </c>
      <c r="X143" s="14" t="s">
        <v>4650</v>
      </c>
      <c r="Y143" s="14" t="s">
        <v>4551</v>
      </c>
      <c r="Z143" s="14" t="s">
        <v>31</v>
      </c>
      <c r="AA143" s="14" t="s">
        <v>4506</v>
      </c>
      <c r="AB143" s="14">
        <v>1</v>
      </c>
      <c r="AC143" s="14" t="s">
        <v>194</v>
      </c>
      <c r="AD143" s="14">
        <v>0</v>
      </c>
      <c r="AE143" s="14" t="s">
        <v>626</v>
      </c>
      <c r="AF143" s="14" t="s">
        <v>626</v>
      </c>
      <c r="AG143" s="14" t="s">
        <v>626</v>
      </c>
      <c r="AH143" s="14" t="s">
        <v>4191</v>
      </c>
      <c r="AI143" s="14" t="s">
        <v>4191</v>
      </c>
      <c r="AJ143" s="14" t="s">
        <v>194</v>
      </c>
      <c r="AK143" s="14" t="s">
        <v>194</v>
      </c>
      <c r="AL143" s="14" t="s">
        <v>194</v>
      </c>
      <c r="AM143" s="14" t="s">
        <v>194</v>
      </c>
      <c r="AN143" s="14" t="s">
        <v>194</v>
      </c>
      <c r="AO143" s="14" t="s">
        <v>194</v>
      </c>
      <c r="AP143" s="14" t="s">
        <v>194</v>
      </c>
      <c r="AQ143" s="14" t="s">
        <v>2890</v>
      </c>
      <c r="AR143" s="14" t="s">
        <v>4505</v>
      </c>
    </row>
    <row r="144" spans="1:44" ht="105" hidden="1" x14ac:dyDescent="0.25">
      <c r="A144" s="1" t="s">
        <v>2920</v>
      </c>
      <c r="B144" s="1" t="s">
        <v>2949</v>
      </c>
      <c r="C144" s="1" t="s">
        <v>2508</v>
      </c>
      <c r="D144" s="1" t="s">
        <v>27</v>
      </c>
      <c r="E144" s="1" t="s">
        <v>34</v>
      </c>
      <c r="F144" s="1" t="s">
        <v>35</v>
      </c>
      <c r="G144" s="11" t="s">
        <v>2630</v>
      </c>
      <c r="H144" s="11" t="s">
        <v>4748</v>
      </c>
      <c r="I144" s="1" t="s">
        <v>82</v>
      </c>
      <c r="J144" s="1" t="s">
        <v>2631</v>
      </c>
      <c r="K144" s="1" t="s">
        <v>2947</v>
      </c>
      <c r="L144" s="1" t="s">
        <v>1329</v>
      </c>
      <c r="M144" s="1" t="s">
        <v>562</v>
      </c>
      <c r="N144" s="1" t="s">
        <v>1330</v>
      </c>
      <c r="O144" s="1" t="s">
        <v>1164</v>
      </c>
      <c r="P144" s="1" t="s">
        <v>1339</v>
      </c>
      <c r="Q144" s="1" t="s">
        <v>194</v>
      </c>
      <c r="R144" s="1" t="s">
        <v>317</v>
      </c>
      <c r="S144" s="1" t="s">
        <v>563</v>
      </c>
      <c r="T144" s="1" t="s">
        <v>643</v>
      </c>
      <c r="U144" s="1" t="s">
        <v>31</v>
      </c>
      <c r="V144" s="1" t="s">
        <v>90</v>
      </c>
      <c r="W144" s="14" t="s">
        <v>2</v>
      </c>
      <c r="X144" s="14" t="s">
        <v>4650</v>
      </c>
      <c r="Y144" s="14" t="s">
        <v>4551</v>
      </c>
      <c r="Z144" s="14" t="s">
        <v>31</v>
      </c>
      <c r="AA144" s="14" t="s">
        <v>4506</v>
      </c>
      <c r="AB144" s="14">
        <v>1</v>
      </c>
      <c r="AC144" s="14" t="s">
        <v>194</v>
      </c>
      <c r="AD144" s="14">
        <v>0</v>
      </c>
      <c r="AE144" s="14" t="s">
        <v>626</v>
      </c>
      <c r="AF144" s="14" t="s">
        <v>626</v>
      </c>
      <c r="AG144" s="14" t="s">
        <v>626</v>
      </c>
      <c r="AH144" s="14" t="s">
        <v>4191</v>
      </c>
      <c r="AI144" s="14" t="s">
        <v>4191</v>
      </c>
      <c r="AJ144" s="14" t="s">
        <v>194</v>
      </c>
      <c r="AK144" s="14" t="s">
        <v>194</v>
      </c>
      <c r="AL144" s="14" t="s">
        <v>194</v>
      </c>
      <c r="AM144" s="14" t="s">
        <v>194</v>
      </c>
      <c r="AN144" s="14" t="s">
        <v>194</v>
      </c>
      <c r="AO144" s="14" t="s">
        <v>194</v>
      </c>
      <c r="AP144" s="14" t="s">
        <v>194</v>
      </c>
      <c r="AQ144" s="14" t="s">
        <v>2890</v>
      </c>
      <c r="AR144" s="14" t="s">
        <v>4505</v>
      </c>
    </row>
    <row r="145" spans="1:44" ht="105" hidden="1" x14ac:dyDescent="0.25">
      <c r="A145" s="1" t="s">
        <v>2922</v>
      </c>
      <c r="B145" s="1" t="s">
        <v>2950</v>
      </c>
      <c r="C145" s="1" t="s">
        <v>2508</v>
      </c>
      <c r="D145" s="1" t="s">
        <v>27</v>
      </c>
      <c r="E145" s="1" t="s">
        <v>34</v>
      </c>
      <c r="F145" s="1" t="s">
        <v>35</v>
      </c>
      <c r="G145" s="11" t="s">
        <v>2630</v>
      </c>
      <c r="H145" s="11" t="s">
        <v>4748</v>
      </c>
      <c r="I145" s="1" t="s">
        <v>82</v>
      </c>
      <c r="J145" s="1" t="s">
        <v>2631</v>
      </c>
      <c r="K145" s="1" t="s">
        <v>2947</v>
      </c>
      <c r="L145" s="1" t="s">
        <v>1329</v>
      </c>
      <c r="M145" s="1" t="s">
        <v>562</v>
      </c>
      <c r="N145" s="1" t="s">
        <v>1330</v>
      </c>
      <c r="O145" s="1" t="s">
        <v>1164</v>
      </c>
      <c r="P145" s="1" t="s">
        <v>1339</v>
      </c>
      <c r="Q145" s="1" t="s">
        <v>194</v>
      </c>
      <c r="R145" s="1" t="s">
        <v>36</v>
      </c>
      <c r="S145" s="1" t="s">
        <v>563</v>
      </c>
      <c r="T145" s="1" t="s">
        <v>643</v>
      </c>
      <c r="U145" s="1" t="s">
        <v>31</v>
      </c>
      <c r="V145" s="1" t="s">
        <v>90</v>
      </c>
      <c r="W145" s="14" t="s">
        <v>2</v>
      </c>
      <c r="X145" s="14" t="s">
        <v>4650</v>
      </c>
      <c r="Y145" s="14" t="s">
        <v>4551</v>
      </c>
      <c r="Z145" s="14" t="s">
        <v>31</v>
      </c>
      <c r="AA145" s="14" t="s">
        <v>4506</v>
      </c>
      <c r="AB145" s="14">
        <v>1</v>
      </c>
      <c r="AC145" s="14" t="s">
        <v>194</v>
      </c>
      <c r="AD145" s="14">
        <v>0</v>
      </c>
      <c r="AE145" s="14" t="s">
        <v>626</v>
      </c>
      <c r="AF145" s="14" t="s">
        <v>626</v>
      </c>
      <c r="AG145" s="14" t="s">
        <v>626</v>
      </c>
      <c r="AH145" s="14" t="s">
        <v>4191</v>
      </c>
      <c r="AI145" s="14" t="s">
        <v>4191</v>
      </c>
      <c r="AJ145" s="14" t="s">
        <v>194</v>
      </c>
      <c r="AK145" s="14" t="s">
        <v>194</v>
      </c>
      <c r="AL145" s="14" t="s">
        <v>194</v>
      </c>
      <c r="AM145" s="14" t="s">
        <v>194</v>
      </c>
      <c r="AN145" s="14" t="s">
        <v>194</v>
      </c>
      <c r="AO145" s="14" t="s">
        <v>194</v>
      </c>
      <c r="AP145" s="14" t="s">
        <v>194</v>
      </c>
      <c r="AQ145" s="14" t="s">
        <v>2890</v>
      </c>
      <c r="AR145" s="14" t="s">
        <v>4505</v>
      </c>
    </row>
    <row r="146" spans="1:44" ht="105" hidden="1" x14ac:dyDescent="0.25">
      <c r="A146" s="1" t="s">
        <v>3087</v>
      </c>
      <c r="B146" s="1" t="s">
        <v>3284</v>
      </c>
      <c r="C146" s="1" t="s">
        <v>2508</v>
      </c>
      <c r="D146" s="1" t="s">
        <v>27</v>
      </c>
      <c r="E146" s="1" t="s">
        <v>34</v>
      </c>
      <c r="F146" s="1" t="s">
        <v>29</v>
      </c>
      <c r="G146" s="11" t="s">
        <v>2630</v>
      </c>
      <c r="H146" s="11" t="s">
        <v>4652</v>
      </c>
      <c r="I146" s="1" t="s">
        <v>4150</v>
      </c>
      <c r="J146" s="1" t="s">
        <v>2146</v>
      </c>
      <c r="K146" s="1" t="s">
        <v>1426</v>
      </c>
      <c r="L146" s="1" t="s">
        <v>1329</v>
      </c>
      <c r="M146" s="1" t="s">
        <v>562</v>
      </c>
      <c r="N146" s="1" t="s">
        <v>1330</v>
      </c>
      <c r="O146" s="1" t="s">
        <v>1164</v>
      </c>
      <c r="P146" s="1" t="s">
        <v>1339</v>
      </c>
      <c r="Q146" s="1" t="s">
        <v>194</v>
      </c>
      <c r="R146" s="1" t="s">
        <v>3285</v>
      </c>
      <c r="S146" s="1" t="s">
        <v>563</v>
      </c>
      <c r="T146" s="1" t="s">
        <v>643</v>
      </c>
      <c r="U146" s="1" t="s">
        <v>31</v>
      </c>
      <c r="V146" s="1" t="s">
        <v>90</v>
      </c>
      <c r="W146" s="14" t="s">
        <v>2</v>
      </c>
      <c r="X146" s="14" t="s">
        <v>4650</v>
      </c>
      <c r="Y146" s="14" t="s">
        <v>194</v>
      </c>
      <c r="Z146" s="14" t="s">
        <v>31</v>
      </c>
      <c r="AA146" s="14" t="s">
        <v>4506</v>
      </c>
      <c r="AB146" s="14">
        <v>1</v>
      </c>
      <c r="AC146" s="14" t="s">
        <v>194</v>
      </c>
      <c r="AD146" s="14">
        <v>0</v>
      </c>
      <c r="AE146" s="14" t="s">
        <v>626</v>
      </c>
      <c r="AF146" s="14" t="s">
        <v>626</v>
      </c>
      <c r="AG146" s="14" t="s">
        <v>626</v>
      </c>
      <c r="AH146" s="14" t="s">
        <v>4191</v>
      </c>
      <c r="AI146" s="14" t="s">
        <v>4191</v>
      </c>
      <c r="AJ146" s="14" t="s">
        <v>194</v>
      </c>
      <c r="AK146" s="14" t="s">
        <v>194</v>
      </c>
      <c r="AL146" s="14" t="s">
        <v>194</v>
      </c>
      <c r="AM146" s="14" t="s">
        <v>194</v>
      </c>
      <c r="AN146" s="14" t="s">
        <v>194</v>
      </c>
      <c r="AO146" s="14" t="s">
        <v>194</v>
      </c>
      <c r="AP146" s="14" t="s">
        <v>194</v>
      </c>
      <c r="AQ146" s="14" t="s">
        <v>2890</v>
      </c>
      <c r="AR146" s="14" t="s">
        <v>4505</v>
      </c>
    </row>
    <row r="147" spans="1:44" ht="105" hidden="1" x14ac:dyDescent="0.25">
      <c r="A147" s="1" t="s">
        <v>3089</v>
      </c>
      <c r="B147" s="1" t="s">
        <v>3286</v>
      </c>
      <c r="C147" s="1" t="s">
        <v>2508</v>
      </c>
      <c r="D147" s="1" t="s">
        <v>27</v>
      </c>
      <c r="E147" s="1" t="s">
        <v>34</v>
      </c>
      <c r="F147" s="1" t="s">
        <v>29</v>
      </c>
      <c r="G147" s="11" t="s">
        <v>2630</v>
      </c>
      <c r="H147" s="11" t="s">
        <v>4653</v>
      </c>
      <c r="I147" s="1" t="s">
        <v>4150</v>
      </c>
      <c r="J147" s="1" t="s">
        <v>2146</v>
      </c>
      <c r="K147" s="1" t="s">
        <v>1426</v>
      </c>
      <c r="L147" s="1" t="s">
        <v>1329</v>
      </c>
      <c r="M147" s="1" t="s">
        <v>562</v>
      </c>
      <c r="N147" s="1" t="s">
        <v>1330</v>
      </c>
      <c r="O147" s="1" t="s">
        <v>1164</v>
      </c>
      <c r="P147" s="1" t="s">
        <v>1339</v>
      </c>
      <c r="Q147" s="1" t="s">
        <v>194</v>
      </c>
      <c r="R147" s="1" t="s">
        <v>3285</v>
      </c>
      <c r="S147" s="1" t="s">
        <v>563</v>
      </c>
      <c r="T147" s="1" t="s">
        <v>643</v>
      </c>
      <c r="U147" s="1" t="s">
        <v>31</v>
      </c>
      <c r="V147" s="1" t="s">
        <v>90</v>
      </c>
      <c r="W147" s="14" t="s">
        <v>2</v>
      </c>
      <c r="X147" s="14" t="s">
        <v>4650</v>
      </c>
      <c r="Y147" s="14" t="s">
        <v>194</v>
      </c>
      <c r="Z147" s="14" t="s">
        <v>31</v>
      </c>
      <c r="AA147" s="14" t="s">
        <v>4506</v>
      </c>
      <c r="AB147" s="14">
        <v>1</v>
      </c>
      <c r="AC147" s="14" t="s">
        <v>194</v>
      </c>
      <c r="AD147" s="14">
        <v>2</v>
      </c>
      <c r="AE147" s="14" t="s">
        <v>626</v>
      </c>
      <c r="AF147" s="14" t="s">
        <v>626</v>
      </c>
      <c r="AG147" s="14" t="s">
        <v>626</v>
      </c>
      <c r="AH147" s="14" t="s">
        <v>4191</v>
      </c>
      <c r="AI147" s="14" t="s">
        <v>4191</v>
      </c>
      <c r="AJ147" s="14" t="s">
        <v>194</v>
      </c>
      <c r="AK147" s="14" t="s">
        <v>194</v>
      </c>
      <c r="AL147" s="14" t="s">
        <v>194</v>
      </c>
      <c r="AM147" s="14" t="s">
        <v>194</v>
      </c>
      <c r="AN147" s="14" t="s">
        <v>194</v>
      </c>
      <c r="AO147" s="14" t="s">
        <v>194</v>
      </c>
      <c r="AP147" s="14" t="s">
        <v>194</v>
      </c>
      <c r="AQ147" s="14" t="s">
        <v>2890</v>
      </c>
      <c r="AR147" s="14" t="s">
        <v>4505</v>
      </c>
    </row>
    <row r="148" spans="1:44" ht="105" hidden="1" x14ac:dyDescent="0.25">
      <c r="A148" s="1" t="s">
        <v>3091</v>
      </c>
      <c r="B148" s="1" t="s">
        <v>3287</v>
      </c>
      <c r="C148" s="1" t="s">
        <v>2508</v>
      </c>
      <c r="D148" s="1" t="s">
        <v>27</v>
      </c>
      <c r="E148" s="1" t="s">
        <v>34</v>
      </c>
      <c r="F148" s="1" t="s">
        <v>29</v>
      </c>
      <c r="G148" s="11" t="s">
        <v>2630</v>
      </c>
      <c r="H148" s="11" t="s">
        <v>4652</v>
      </c>
      <c r="I148" s="1" t="s">
        <v>4150</v>
      </c>
      <c r="J148" s="1" t="s">
        <v>2146</v>
      </c>
      <c r="K148" s="1" t="s">
        <v>1426</v>
      </c>
      <c r="L148" s="1" t="s">
        <v>1329</v>
      </c>
      <c r="M148" s="1" t="s">
        <v>562</v>
      </c>
      <c r="N148" s="1" t="s">
        <v>1330</v>
      </c>
      <c r="O148" s="1" t="s">
        <v>1164</v>
      </c>
      <c r="P148" s="1" t="s">
        <v>1339</v>
      </c>
      <c r="Q148" s="1" t="s">
        <v>194</v>
      </c>
      <c r="R148" s="1" t="s">
        <v>3288</v>
      </c>
      <c r="S148" s="1" t="s">
        <v>563</v>
      </c>
      <c r="T148" s="1" t="s">
        <v>643</v>
      </c>
      <c r="U148" s="1" t="s">
        <v>31</v>
      </c>
      <c r="V148" s="1" t="s">
        <v>90</v>
      </c>
      <c r="W148" s="14" t="s">
        <v>2</v>
      </c>
      <c r="X148" s="14" t="s">
        <v>4650</v>
      </c>
      <c r="Y148" s="14" t="s">
        <v>194</v>
      </c>
      <c r="Z148" s="14" t="s">
        <v>31</v>
      </c>
      <c r="AA148" s="14" t="s">
        <v>4506</v>
      </c>
      <c r="AB148" s="14">
        <v>1</v>
      </c>
      <c r="AC148" s="14" t="s">
        <v>194</v>
      </c>
      <c r="AD148" s="14">
        <v>0</v>
      </c>
      <c r="AE148" s="14" t="s">
        <v>626</v>
      </c>
      <c r="AF148" s="14" t="s">
        <v>626</v>
      </c>
      <c r="AG148" s="14" t="s">
        <v>626</v>
      </c>
      <c r="AH148" s="14" t="s">
        <v>4191</v>
      </c>
      <c r="AI148" s="14" t="s">
        <v>4191</v>
      </c>
      <c r="AJ148" s="14" t="s">
        <v>194</v>
      </c>
      <c r="AK148" s="14" t="s">
        <v>194</v>
      </c>
      <c r="AL148" s="14" t="s">
        <v>194</v>
      </c>
      <c r="AM148" s="14" t="s">
        <v>194</v>
      </c>
      <c r="AN148" s="14" t="s">
        <v>194</v>
      </c>
      <c r="AO148" s="14" t="s">
        <v>194</v>
      </c>
      <c r="AP148" s="14" t="s">
        <v>194</v>
      </c>
      <c r="AQ148" s="14" t="s">
        <v>2890</v>
      </c>
      <c r="AR148" s="14" t="s">
        <v>4505</v>
      </c>
    </row>
    <row r="149" spans="1:44" ht="105" hidden="1" x14ac:dyDescent="0.25">
      <c r="A149" s="1" t="s">
        <v>3093</v>
      </c>
      <c r="B149" s="1" t="s">
        <v>3289</v>
      </c>
      <c r="C149" s="1" t="s">
        <v>2508</v>
      </c>
      <c r="D149" s="1" t="s">
        <v>27</v>
      </c>
      <c r="E149" s="1" t="s">
        <v>34</v>
      </c>
      <c r="F149" s="1" t="s">
        <v>35</v>
      </c>
      <c r="G149" s="11" t="s">
        <v>2630</v>
      </c>
      <c r="H149" s="11" t="s">
        <v>4736</v>
      </c>
      <c r="I149" s="1" t="s">
        <v>4150</v>
      </c>
      <c r="J149" s="1" t="s">
        <v>2146</v>
      </c>
      <c r="K149" s="1" t="s">
        <v>1426</v>
      </c>
      <c r="L149" s="1" t="s">
        <v>1329</v>
      </c>
      <c r="M149" s="1" t="s">
        <v>562</v>
      </c>
      <c r="N149" s="1" t="s">
        <v>1330</v>
      </c>
      <c r="O149" s="1" t="s">
        <v>1164</v>
      </c>
      <c r="P149" s="1" t="s">
        <v>1339</v>
      </c>
      <c r="Q149" s="1" t="s">
        <v>194</v>
      </c>
      <c r="R149" s="1" t="s">
        <v>3290</v>
      </c>
      <c r="S149" s="1" t="s">
        <v>563</v>
      </c>
      <c r="T149" s="1" t="s">
        <v>643</v>
      </c>
      <c r="U149" s="1" t="s">
        <v>31</v>
      </c>
      <c r="V149" s="1" t="s">
        <v>90</v>
      </c>
      <c r="W149" s="14" t="s">
        <v>2</v>
      </c>
      <c r="X149" s="14" t="s">
        <v>4663</v>
      </c>
      <c r="Y149" s="14" t="s">
        <v>194</v>
      </c>
      <c r="Z149" s="14" t="s">
        <v>31</v>
      </c>
      <c r="AA149" s="14" t="s">
        <v>4506</v>
      </c>
      <c r="AB149" s="14">
        <v>1</v>
      </c>
      <c r="AC149" s="14" t="s">
        <v>194</v>
      </c>
      <c r="AD149" s="14">
        <v>0</v>
      </c>
      <c r="AE149" s="14" t="s">
        <v>626</v>
      </c>
      <c r="AF149" s="14" t="s">
        <v>626</v>
      </c>
      <c r="AG149" s="14" t="s">
        <v>626</v>
      </c>
      <c r="AH149" s="14" t="s">
        <v>4191</v>
      </c>
      <c r="AI149" s="14" t="s">
        <v>4191</v>
      </c>
      <c r="AJ149" s="14" t="s">
        <v>194</v>
      </c>
      <c r="AK149" s="14" t="s">
        <v>194</v>
      </c>
      <c r="AL149" s="14" t="s">
        <v>194</v>
      </c>
      <c r="AM149" s="14" t="s">
        <v>194</v>
      </c>
      <c r="AN149" s="14" t="s">
        <v>194</v>
      </c>
      <c r="AO149" s="14" t="s">
        <v>194</v>
      </c>
      <c r="AP149" s="14" t="s">
        <v>194</v>
      </c>
      <c r="AQ149" s="14" t="s">
        <v>606</v>
      </c>
      <c r="AR149" s="14" t="s">
        <v>4505</v>
      </c>
    </row>
    <row r="150" spans="1:44" ht="105" hidden="1" x14ac:dyDescent="0.25">
      <c r="A150" s="1" t="s">
        <v>3095</v>
      </c>
      <c r="B150" s="1" t="s">
        <v>3291</v>
      </c>
      <c r="C150" s="1" t="s">
        <v>2508</v>
      </c>
      <c r="D150" s="1" t="s">
        <v>27</v>
      </c>
      <c r="E150" s="1" t="s">
        <v>34</v>
      </c>
      <c r="F150" s="1" t="s">
        <v>35</v>
      </c>
      <c r="G150" s="11" t="s">
        <v>2630</v>
      </c>
      <c r="H150" s="11" t="s">
        <v>4736</v>
      </c>
      <c r="I150" s="1" t="s">
        <v>4150</v>
      </c>
      <c r="J150" s="1" t="s">
        <v>2146</v>
      </c>
      <c r="K150" s="1" t="s">
        <v>1426</v>
      </c>
      <c r="L150" s="1" t="s">
        <v>1329</v>
      </c>
      <c r="M150" s="1" t="s">
        <v>562</v>
      </c>
      <c r="N150" s="1" t="s">
        <v>1330</v>
      </c>
      <c r="O150" s="1" t="s">
        <v>1164</v>
      </c>
      <c r="P150" s="1" t="s">
        <v>1339</v>
      </c>
      <c r="Q150" s="1" t="s">
        <v>194</v>
      </c>
      <c r="R150" s="1" t="s">
        <v>3290</v>
      </c>
      <c r="S150" s="1" t="s">
        <v>563</v>
      </c>
      <c r="T150" s="1" t="s">
        <v>643</v>
      </c>
      <c r="U150" s="1" t="s">
        <v>31</v>
      </c>
      <c r="V150" s="1" t="s">
        <v>90</v>
      </c>
      <c r="W150" s="14" t="s">
        <v>2</v>
      </c>
      <c r="X150" s="14" t="s">
        <v>4663</v>
      </c>
      <c r="Y150" s="14" t="s">
        <v>194</v>
      </c>
      <c r="Z150" s="14" t="s">
        <v>31</v>
      </c>
      <c r="AA150" s="14" t="s">
        <v>4506</v>
      </c>
      <c r="AB150" s="14">
        <v>1</v>
      </c>
      <c r="AC150" s="14" t="s">
        <v>194</v>
      </c>
      <c r="AD150" s="14">
        <v>0</v>
      </c>
      <c r="AE150" s="14" t="s">
        <v>626</v>
      </c>
      <c r="AF150" s="14" t="s">
        <v>626</v>
      </c>
      <c r="AG150" s="14" t="s">
        <v>626</v>
      </c>
      <c r="AH150" s="14" t="s">
        <v>4191</v>
      </c>
      <c r="AI150" s="14" t="s">
        <v>4191</v>
      </c>
      <c r="AJ150" s="14" t="s">
        <v>194</v>
      </c>
      <c r="AK150" s="14" t="s">
        <v>194</v>
      </c>
      <c r="AL150" s="14" t="s">
        <v>194</v>
      </c>
      <c r="AM150" s="14" t="s">
        <v>194</v>
      </c>
      <c r="AN150" s="14" t="s">
        <v>194</v>
      </c>
      <c r="AO150" s="14" t="s">
        <v>194</v>
      </c>
      <c r="AP150" s="14" t="s">
        <v>194</v>
      </c>
      <c r="AQ150" s="14" t="s">
        <v>606</v>
      </c>
      <c r="AR150" s="14" t="s">
        <v>4505</v>
      </c>
    </row>
    <row r="151" spans="1:44" ht="105" hidden="1" x14ac:dyDescent="0.25">
      <c r="A151" s="1" t="s">
        <v>3097</v>
      </c>
      <c r="B151" s="1" t="s">
        <v>3292</v>
      </c>
      <c r="C151" s="1" t="s">
        <v>2508</v>
      </c>
      <c r="D151" s="1" t="s">
        <v>27</v>
      </c>
      <c r="E151" s="1" t="s">
        <v>34</v>
      </c>
      <c r="F151" s="1" t="s">
        <v>35</v>
      </c>
      <c r="G151" s="11" t="s">
        <v>2630</v>
      </c>
      <c r="H151" s="11" t="s">
        <v>4736</v>
      </c>
      <c r="I151" s="1" t="s">
        <v>4150</v>
      </c>
      <c r="J151" s="1" t="s">
        <v>2146</v>
      </c>
      <c r="K151" s="1" t="s">
        <v>1426</v>
      </c>
      <c r="L151" s="1" t="s">
        <v>1329</v>
      </c>
      <c r="M151" s="1" t="s">
        <v>562</v>
      </c>
      <c r="N151" s="1" t="s">
        <v>1330</v>
      </c>
      <c r="O151" s="1" t="s">
        <v>1164</v>
      </c>
      <c r="P151" s="1" t="s">
        <v>1339</v>
      </c>
      <c r="Q151" s="1" t="s">
        <v>194</v>
      </c>
      <c r="R151" s="1" t="s">
        <v>565</v>
      </c>
      <c r="S151" s="1" t="s">
        <v>563</v>
      </c>
      <c r="T151" s="1" t="s">
        <v>643</v>
      </c>
      <c r="U151" s="1" t="s">
        <v>31</v>
      </c>
      <c r="V151" s="1" t="s">
        <v>90</v>
      </c>
      <c r="W151" s="14" t="s">
        <v>2</v>
      </c>
      <c r="X151" s="14" t="s">
        <v>4663</v>
      </c>
      <c r="Y151" s="14" t="s">
        <v>194</v>
      </c>
      <c r="Z151" s="14" t="s">
        <v>31</v>
      </c>
      <c r="AA151" s="14" t="s">
        <v>4506</v>
      </c>
      <c r="AB151" s="14">
        <v>1</v>
      </c>
      <c r="AC151" s="14" t="s">
        <v>194</v>
      </c>
      <c r="AD151" s="14">
        <v>0</v>
      </c>
      <c r="AE151" s="14" t="s">
        <v>626</v>
      </c>
      <c r="AF151" s="14" t="s">
        <v>626</v>
      </c>
      <c r="AG151" s="14" t="s">
        <v>626</v>
      </c>
      <c r="AH151" s="14" t="s">
        <v>4191</v>
      </c>
      <c r="AI151" s="14" t="s">
        <v>4191</v>
      </c>
      <c r="AJ151" s="14" t="s">
        <v>194</v>
      </c>
      <c r="AK151" s="14" t="s">
        <v>194</v>
      </c>
      <c r="AL151" s="14" t="s">
        <v>194</v>
      </c>
      <c r="AM151" s="14" t="s">
        <v>194</v>
      </c>
      <c r="AN151" s="14" t="s">
        <v>194</v>
      </c>
      <c r="AO151" s="14" t="s">
        <v>194</v>
      </c>
      <c r="AP151" s="14" t="s">
        <v>194</v>
      </c>
      <c r="AQ151" s="14" t="s">
        <v>606</v>
      </c>
      <c r="AR151" s="14" t="s">
        <v>4505</v>
      </c>
    </row>
    <row r="152" spans="1:44" ht="120" hidden="1" x14ac:dyDescent="0.25">
      <c r="A152" s="1" t="s">
        <v>3099</v>
      </c>
      <c r="B152" s="1" t="s">
        <v>75</v>
      </c>
      <c r="C152" s="1" t="s">
        <v>2508</v>
      </c>
      <c r="D152" s="1" t="s">
        <v>27</v>
      </c>
      <c r="E152" s="1" t="s">
        <v>34</v>
      </c>
      <c r="F152" s="1" t="s">
        <v>50</v>
      </c>
      <c r="G152" s="11" t="s">
        <v>3595</v>
      </c>
      <c r="H152" s="11" t="s">
        <v>4817</v>
      </c>
      <c r="I152" s="1" t="s">
        <v>71</v>
      </c>
      <c r="J152" s="1" t="s">
        <v>2146</v>
      </c>
      <c r="K152" s="1" t="s">
        <v>2147</v>
      </c>
      <c r="L152" s="1" t="s">
        <v>1329</v>
      </c>
      <c r="M152" s="1" t="s">
        <v>1331</v>
      </c>
      <c r="N152" s="1" t="s">
        <v>1330</v>
      </c>
      <c r="O152" s="1" t="s">
        <v>1164</v>
      </c>
      <c r="P152" s="1" t="s">
        <v>1339</v>
      </c>
      <c r="Q152" s="1" t="s">
        <v>194</v>
      </c>
      <c r="R152" s="1" t="s">
        <v>32</v>
      </c>
      <c r="S152" s="1" t="s">
        <v>2170</v>
      </c>
      <c r="T152" s="1" t="s">
        <v>643</v>
      </c>
      <c r="U152" s="1" t="s">
        <v>31</v>
      </c>
      <c r="V152" s="1" t="s">
        <v>36</v>
      </c>
      <c r="W152" s="14" t="s">
        <v>2</v>
      </c>
      <c r="X152" s="14" t="s">
        <v>4663</v>
      </c>
      <c r="Y152" s="14" t="s">
        <v>4507</v>
      </c>
      <c r="Z152" s="14" t="s">
        <v>31</v>
      </c>
      <c r="AA152" s="14" t="s">
        <v>4503</v>
      </c>
      <c r="AB152" s="14">
        <v>1</v>
      </c>
      <c r="AC152" s="14" t="s">
        <v>4509</v>
      </c>
      <c r="AD152" s="14">
        <v>2</v>
      </c>
      <c r="AE152" s="14" t="s">
        <v>626</v>
      </c>
      <c r="AF152" s="14" t="s">
        <v>4191</v>
      </c>
      <c r="AG152" s="14" t="s">
        <v>4191</v>
      </c>
      <c r="AH152" s="14" t="s">
        <v>4191</v>
      </c>
      <c r="AI152" s="14" t="s">
        <v>4191</v>
      </c>
      <c r="AJ152" s="14" t="s">
        <v>194</v>
      </c>
      <c r="AK152" s="14" t="s">
        <v>194</v>
      </c>
      <c r="AL152" s="14" t="s">
        <v>194</v>
      </c>
      <c r="AM152" s="14" t="s">
        <v>194</v>
      </c>
      <c r="AN152" s="14" t="s">
        <v>194</v>
      </c>
      <c r="AO152" s="14" t="s">
        <v>194</v>
      </c>
      <c r="AP152" s="14" t="s">
        <v>194</v>
      </c>
      <c r="AQ152" s="14" t="s">
        <v>606</v>
      </c>
      <c r="AR152" s="14" t="s">
        <v>4505</v>
      </c>
    </row>
    <row r="153" spans="1:44" ht="120" hidden="1" x14ac:dyDescent="0.25">
      <c r="A153" s="1" t="s">
        <v>3102</v>
      </c>
      <c r="B153" s="1" t="s">
        <v>1419</v>
      </c>
      <c r="C153" s="1" t="s">
        <v>2508</v>
      </c>
      <c r="D153" s="1" t="s">
        <v>27</v>
      </c>
      <c r="E153" s="1" t="s">
        <v>34</v>
      </c>
      <c r="F153" s="1" t="s">
        <v>50</v>
      </c>
      <c r="G153" s="11" t="s">
        <v>3759</v>
      </c>
      <c r="H153" s="11" t="s">
        <v>4818</v>
      </c>
      <c r="I153" s="1" t="s">
        <v>82</v>
      </c>
      <c r="J153" s="1" t="s">
        <v>2146</v>
      </c>
      <c r="K153" s="1" t="s">
        <v>2166</v>
      </c>
      <c r="L153" s="1" t="s">
        <v>1329</v>
      </c>
      <c r="M153" s="1" t="s">
        <v>1331</v>
      </c>
      <c r="N153" s="1" t="s">
        <v>1330</v>
      </c>
      <c r="O153" s="1" t="s">
        <v>1164</v>
      </c>
      <c r="P153" s="1" t="s">
        <v>1339</v>
      </c>
      <c r="Q153" s="1" t="s">
        <v>194</v>
      </c>
      <c r="R153" s="1" t="s">
        <v>32</v>
      </c>
      <c r="S153" s="1" t="s">
        <v>2170</v>
      </c>
      <c r="T153" s="1" t="s">
        <v>643</v>
      </c>
      <c r="U153" s="1" t="s">
        <v>31</v>
      </c>
      <c r="V153" s="1" t="s">
        <v>90</v>
      </c>
      <c r="W153" s="14" t="s">
        <v>2</v>
      </c>
      <c r="X153" s="14" t="s">
        <v>4663</v>
      </c>
      <c r="Y153" s="14" t="s">
        <v>4552</v>
      </c>
      <c r="Z153" s="14" t="s">
        <v>31</v>
      </c>
      <c r="AA153" s="14" t="s">
        <v>4503</v>
      </c>
      <c r="AB153" s="14">
        <v>1</v>
      </c>
      <c r="AC153" s="14" t="s">
        <v>194</v>
      </c>
      <c r="AD153" s="14">
        <v>0</v>
      </c>
      <c r="AE153" s="14" t="s">
        <v>626</v>
      </c>
      <c r="AF153" s="14" t="s">
        <v>4191</v>
      </c>
      <c r="AG153" s="14" t="s">
        <v>4191</v>
      </c>
      <c r="AH153" s="14" t="s">
        <v>4191</v>
      </c>
      <c r="AI153" s="14" t="s">
        <v>4191</v>
      </c>
      <c r="AJ153" s="14" t="s">
        <v>194</v>
      </c>
      <c r="AK153" s="14" t="s">
        <v>194</v>
      </c>
      <c r="AL153" s="14" t="s">
        <v>194</v>
      </c>
      <c r="AM153" s="14" t="s">
        <v>194</v>
      </c>
      <c r="AN153" s="14" t="s">
        <v>194</v>
      </c>
      <c r="AO153" s="14" t="s">
        <v>194</v>
      </c>
      <c r="AP153" s="14" t="s">
        <v>194</v>
      </c>
      <c r="AQ153" s="14" t="s">
        <v>606</v>
      </c>
      <c r="AR153" s="14" t="s">
        <v>4505</v>
      </c>
    </row>
    <row r="154" spans="1:44" ht="150" hidden="1" x14ac:dyDescent="0.25">
      <c r="A154" s="1" t="s">
        <v>3105</v>
      </c>
      <c r="B154" s="1" t="s">
        <v>1425</v>
      </c>
      <c r="C154" s="1" t="s">
        <v>2508</v>
      </c>
      <c r="D154" s="1" t="s">
        <v>27</v>
      </c>
      <c r="E154" s="1" t="s">
        <v>34</v>
      </c>
      <c r="F154" s="1" t="s">
        <v>50</v>
      </c>
      <c r="G154" s="11" t="s">
        <v>4766</v>
      </c>
      <c r="H154" s="11" t="s">
        <v>4819</v>
      </c>
      <c r="I154" s="1" t="s">
        <v>71</v>
      </c>
      <c r="J154" s="1" t="s">
        <v>2146</v>
      </c>
      <c r="K154" s="1" t="s">
        <v>1426</v>
      </c>
      <c r="L154" s="1" t="s">
        <v>1329</v>
      </c>
      <c r="M154" s="1" t="s">
        <v>1331</v>
      </c>
      <c r="N154" s="1" t="s">
        <v>1330</v>
      </c>
      <c r="O154" s="1" t="s">
        <v>1164</v>
      </c>
      <c r="P154" s="1" t="s">
        <v>1339</v>
      </c>
      <c r="Q154" s="1" t="s">
        <v>194</v>
      </c>
      <c r="R154" s="1" t="s">
        <v>32</v>
      </c>
      <c r="S154" s="1" t="s">
        <v>2170</v>
      </c>
      <c r="T154" s="1" t="s">
        <v>643</v>
      </c>
      <c r="U154" s="1" t="s">
        <v>31</v>
      </c>
      <c r="V154" s="1" t="s">
        <v>90</v>
      </c>
      <c r="W154" s="14" t="s">
        <v>2</v>
      </c>
      <c r="X154" s="14" t="s">
        <v>4663</v>
      </c>
      <c r="Y154" s="14" t="s">
        <v>4552</v>
      </c>
      <c r="Z154" s="14" t="s">
        <v>31</v>
      </c>
      <c r="AA154" s="14" t="s">
        <v>4503</v>
      </c>
      <c r="AB154" s="14">
        <v>1</v>
      </c>
      <c r="AC154" s="14" t="s">
        <v>4509</v>
      </c>
      <c r="AD154" s="14">
        <v>2</v>
      </c>
      <c r="AE154" s="14" t="s">
        <v>626</v>
      </c>
      <c r="AF154" s="14" t="s">
        <v>4191</v>
      </c>
      <c r="AG154" s="14" t="s">
        <v>4191</v>
      </c>
      <c r="AH154" s="14" t="s">
        <v>4191</v>
      </c>
      <c r="AI154" s="14" t="s">
        <v>4191</v>
      </c>
      <c r="AJ154" s="14" t="s">
        <v>194</v>
      </c>
      <c r="AK154" s="14" t="s">
        <v>194</v>
      </c>
      <c r="AL154" s="14" t="s">
        <v>194</v>
      </c>
      <c r="AM154" s="14" t="s">
        <v>194</v>
      </c>
      <c r="AN154" s="14" t="s">
        <v>194</v>
      </c>
      <c r="AO154" s="14" t="s">
        <v>194</v>
      </c>
      <c r="AP154" s="14" t="s">
        <v>194</v>
      </c>
      <c r="AQ154" s="14" t="s">
        <v>606</v>
      </c>
      <c r="AR154" s="14" t="s">
        <v>4505</v>
      </c>
    </row>
    <row r="155" spans="1:44" ht="150" hidden="1" x14ac:dyDescent="0.25">
      <c r="A155" s="1" t="s">
        <v>3108</v>
      </c>
      <c r="B155" s="1" t="s">
        <v>3293</v>
      </c>
      <c r="C155" s="1" t="s">
        <v>2508</v>
      </c>
      <c r="D155" s="1" t="s">
        <v>27</v>
      </c>
      <c r="E155" s="1" t="s">
        <v>34</v>
      </c>
      <c r="F155" s="1" t="s">
        <v>50</v>
      </c>
      <c r="G155" s="11" t="s">
        <v>4767</v>
      </c>
      <c r="H155" s="11" t="s">
        <v>4820</v>
      </c>
      <c r="I155" s="1" t="s">
        <v>77</v>
      </c>
      <c r="J155" s="1" t="s">
        <v>2146</v>
      </c>
      <c r="K155" s="1" t="s">
        <v>3294</v>
      </c>
      <c r="L155" s="1" t="s">
        <v>1329</v>
      </c>
      <c r="M155" s="1" t="s">
        <v>1331</v>
      </c>
      <c r="N155" s="1" t="s">
        <v>1330</v>
      </c>
      <c r="O155" s="1" t="s">
        <v>1164</v>
      </c>
      <c r="P155" s="1" t="s">
        <v>1339</v>
      </c>
      <c r="Q155" s="1" t="s">
        <v>194</v>
      </c>
      <c r="R155" s="1" t="s">
        <v>32</v>
      </c>
      <c r="S155" s="1" t="s">
        <v>2170</v>
      </c>
      <c r="T155" s="1" t="s">
        <v>643</v>
      </c>
      <c r="U155" s="1" t="s">
        <v>31</v>
      </c>
      <c r="V155" s="1" t="s">
        <v>90</v>
      </c>
      <c r="W155" s="14" t="s">
        <v>2</v>
      </c>
      <c r="X155" s="14" t="s">
        <v>4663</v>
      </c>
      <c r="Y155" s="14" t="s">
        <v>4753</v>
      </c>
      <c r="Z155" s="14" t="s">
        <v>31</v>
      </c>
      <c r="AA155" s="14" t="s">
        <v>4503</v>
      </c>
      <c r="AB155" s="14">
        <v>1</v>
      </c>
      <c r="AC155" s="14" t="s">
        <v>4504</v>
      </c>
      <c r="AD155" s="14">
        <v>2</v>
      </c>
      <c r="AE155" s="14" t="s">
        <v>626</v>
      </c>
      <c r="AF155" s="14" t="s">
        <v>4191</v>
      </c>
      <c r="AG155" s="14" t="s">
        <v>4191</v>
      </c>
      <c r="AH155" s="14" t="s">
        <v>4191</v>
      </c>
      <c r="AI155" s="14" t="s">
        <v>4191</v>
      </c>
      <c r="AJ155" s="14" t="s">
        <v>194</v>
      </c>
      <c r="AK155" s="14" t="s">
        <v>194</v>
      </c>
      <c r="AL155" s="14" t="s">
        <v>194</v>
      </c>
      <c r="AM155" s="14" t="s">
        <v>194</v>
      </c>
      <c r="AN155" s="14" t="s">
        <v>194</v>
      </c>
      <c r="AO155" s="14" t="s">
        <v>194</v>
      </c>
      <c r="AP155" s="14" t="s">
        <v>194</v>
      </c>
      <c r="AQ155" s="14" t="s">
        <v>606</v>
      </c>
      <c r="AR155" s="14" t="s">
        <v>4505</v>
      </c>
    </row>
    <row r="156" spans="1:44" ht="195" hidden="1" x14ac:dyDescent="0.25">
      <c r="A156" s="1" t="s">
        <v>3111</v>
      </c>
      <c r="B156" s="1" t="s">
        <v>3295</v>
      </c>
      <c r="C156" s="1" t="s">
        <v>2508</v>
      </c>
      <c r="D156" s="1" t="s">
        <v>27</v>
      </c>
      <c r="E156" s="1" t="s">
        <v>34</v>
      </c>
      <c r="F156" s="1" t="s">
        <v>50</v>
      </c>
      <c r="G156" s="11" t="s">
        <v>4768</v>
      </c>
      <c r="H156" s="11" t="s">
        <v>4821</v>
      </c>
      <c r="I156" s="1" t="s">
        <v>77</v>
      </c>
      <c r="J156" s="1" t="s">
        <v>2146</v>
      </c>
      <c r="K156" s="1" t="s">
        <v>3296</v>
      </c>
      <c r="L156" s="1" t="s">
        <v>1329</v>
      </c>
      <c r="M156" s="1" t="s">
        <v>1331</v>
      </c>
      <c r="N156" s="1" t="s">
        <v>1330</v>
      </c>
      <c r="O156" s="1" t="s">
        <v>1164</v>
      </c>
      <c r="P156" s="1" t="s">
        <v>1339</v>
      </c>
      <c r="Q156" s="1" t="s">
        <v>194</v>
      </c>
      <c r="R156" s="1" t="s">
        <v>32</v>
      </c>
      <c r="S156" s="1" t="s">
        <v>2170</v>
      </c>
      <c r="T156" s="1" t="s">
        <v>643</v>
      </c>
      <c r="U156" s="1" t="s">
        <v>31</v>
      </c>
      <c r="V156" s="1" t="s">
        <v>90</v>
      </c>
      <c r="W156" s="14" t="s">
        <v>2</v>
      </c>
      <c r="X156" s="14" t="s">
        <v>4663</v>
      </c>
      <c r="Y156" s="14" t="s">
        <v>4754</v>
      </c>
      <c r="Z156" s="14" t="s">
        <v>31</v>
      </c>
      <c r="AA156" s="14" t="s">
        <v>4503</v>
      </c>
      <c r="AB156" s="14">
        <v>1</v>
      </c>
      <c r="AC156" s="14" t="s">
        <v>4504</v>
      </c>
      <c r="AD156" s="14">
        <v>2</v>
      </c>
      <c r="AE156" s="14" t="s">
        <v>626</v>
      </c>
      <c r="AF156" s="14" t="s">
        <v>4191</v>
      </c>
      <c r="AG156" s="14" t="s">
        <v>4191</v>
      </c>
      <c r="AH156" s="14" t="s">
        <v>4191</v>
      </c>
      <c r="AI156" s="14" t="s">
        <v>4191</v>
      </c>
      <c r="AJ156" s="14" t="s">
        <v>194</v>
      </c>
      <c r="AK156" s="14" t="s">
        <v>194</v>
      </c>
      <c r="AL156" s="14" t="s">
        <v>194</v>
      </c>
      <c r="AM156" s="14" t="s">
        <v>194</v>
      </c>
      <c r="AN156" s="14" t="s">
        <v>194</v>
      </c>
      <c r="AO156" s="14" t="s">
        <v>194</v>
      </c>
      <c r="AP156" s="14" t="s">
        <v>194</v>
      </c>
      <c r="AQ156" s="14" t="s">
        <v>606</v>
      </c>
      <c r="AR156" s="14" t="s">
        <v>4505</v>
      </c>
    </row>
    <row r="157" spans="1:44" ht="240" hidden="1" x14ac:dyDescent="0.25">
      <c r="A157" s="1" t="s">
        <v>3114</v>
      </c>
      <c r="B157" s="1" t="s">
        <v>3297</v>
      </c>
      <c r="C157" s="1" t="s">
        <v>2508</v>
      </c>
      <c r="D157" s="1" t="s">
        <v>27</v>
      </c>
      <c r="E157" s="1" t="s">
        <v>34</v>
      </c>
      <c r="F157" s="1" t="s">
        <v>50</v>
      </c>
      <c r="G157" s="11" t="s">
        <v>4769</v>
      </c>
      <c r="H157" s="11" t="s">
        <v>4821</v>
      </c>
      <c r="I157" s="1" t="s">
        <v>77</v>
      </c>
      <c r="J157" s="1" t="s">
        <v>2146</v>
      </c>
      <c r="K157" s="1" t="s">
        <v>3298</v>
      </c>
      <c r="L157" s="1" t="s">
        <v>1329</v>
      </c>
      <c r="M157" s="1" t="s">
        <v>1331</v>
      </c>
      <c r="N157" s="1" t="s">
        <v>1330</v>
      </c>
      <c r="O157" s="1" t="s">
        <v>1164</v>
      </c>
      <c r="P157" s="1" t="s">
        <v>1339</v>
      </c>
      <c r="Q157" s="1" t="s">
        <v>194</v>
      </c>
      <c r="R157" s="1" t="s">
        <v>32</v>
      </c>
      <c r="S157" s="1" t="s">
        <v>2170</v>
      </c>
      <c r="T157" s="1" t="s">
        <v>643</v>
      </c>
      <c r="U157" s="1" t="s">
        <v>31</v>
      </c>
      <c r="V157" s="1" t="s">
        <v>90</v>
      </c>
      <c r="W157" s="14" t="s">
        <v>2</v>
      </c>
      <c r="X157" s="14" t="s">
        <v>4663</v>
      </c>
      <c r="Y157" s="14" t="s">
        <v>4754</v>
      </c>
      <c r="Z157" s="14" t="s">
        <v>31</v>
      </c>
      <c r="AA157" s="14" t="s">
        <v>4503</v>
      </c>
      <c r="AB157" s="14">
        <v>1</v>
      </c>
      <c r="AC157" s="14" t="s">
        <v>4504</v>
      </c>
      <c r="AD157" s="14">
        <v>2</v>
      </c>
      <c r="AE157" s="14" t="s">
        <v>626</v>
      </c>
      <c r="AF157" s="14" t="s">
        <v>4191</v>
      </c>
      <c r="AG157" s="14" t="s">
        <v>4191</v>
      </c>
      <c r="AH157" s="14" t="s">
        <v>4191</v>
      </c>
      <c r="AI157" s="14" t="s">
        <v>4191</v>
      </c>
      <c r="AJ157" s="14" t="s">
        <v>194</v>
      </c>
      <c r="AK157" s="14" t="s">
        <v>194</v>
      </c>
      <c r="AL157" s="14" t="s">
        <v>194</v>
      </c>
      <c r="AM157" s="14" t="s">
        <v>194</v>
      </c>
      <c r="AN157" s="14" t="s">
        <v>194</v>
      </c>
      <c r="AO157" s="14" t="s">
        <v>194</v>
      </c>
      <c r="AP157" s="14" t="s">
        <v>194</v>
      </c>
      <c r="AQ157" s="14" t="s">
        <v>606</v>
      </c>
      <c r="AR157" s="14" t="s">
        <v>4505</v>
      </c>
    </row>
    <row r="158" spans="1:44" ht="180" hidden="1" x14ac:dyDescent="0.25">
      <c r="A158" s="1" t="s">
        <v>3117</v>
      </c>
      <c r="B158" s="1" t="s">
        <v>3299</v>
      </c>
      <c r="C158" s="1" t="s">
        <v>2508</v>
      </c>
      <c r="D158" s="1" t="s">
        <v>27</v>
      </c>
      <c r="E158" s="1" t="s">
        <v>34</v>
      </c>
      <c r="F158" s="1" t="s">
        <v>50</v>
      </c>
      <c r="G158" s="11" t="s">
        <v>3300</v>
      </c>
      <c r="H158" s="11" t="s">
        <v>4737</v>
      </c>
      <c r="I158" s="1" t="s">
        <v>30</v>
      </c>
      <c r="J158" s="1" t="s">
        <v>2133</v>
      </c>
      <c r="K158" s="1" t="s">
        <v>3301</v>
      </c>
      <c r="L158" s="1" t="s">
        <v>1329</v>
      </c>
      <c r="M158" s="1" t="s">
        <v>1331</v>
      </c>
      <c r="N158" s="1" t="s">
        <v>1330</v>
      </c>
      <c r="O158" s="1" t="s">
        <v>1164</v>
      </c>
      <c r="P158" s="1" t="s">
        <v>1339</v>
      </c>
      <c r="Q158" s="1" t="s">
        <v>194</v>
      </c>
      <c r="R158" s="1" t="s">
        <v>32</v>
      </c>
      <c r="S158" s="1" t="s">
        <v>2170</v>
      </c>
      <c r="T158" s="1" t="s">
        <v>643</v>
      </c>
      <c r="U158" s="1" t="s">
        <v>31</v>
      </c>
      <c r="V158" s="1" t="s">
        <v>90</v>
      </c>
      <c r="W158" s="14" t="s">
        <v>2</v>
      </c>
      <c r="X158" s="14" t="s">
        <v>4650</v>
      </c>
      <c r="Y158" s="14" t="s">
        <v>4553</v>
      </c>
      <c r="Z158" s="14" t="s">
        <v>31</v>
      </c>
      <c r="AA158" s="14" t="s">
        <v>4503</v>
      </c>
      <c r="AB158" s="14">
        <v>1</v>
      </c>
      <c r="AC158" s="14" t="s">
        <v>194</v>
      </c>
      <c r="AD158" s="14">
        <v>0</v>
      </c>
      <c r="AE158" s="14" t="s">
        <v>626</v>
      </c>
      <c r="AF158" s="14" t="s">
        <v>4191</v>
      </c>
      <c r="AG158" s="14" t="s">
        <v>4191</v>
      </c>
      <c r="AH158" s="14" t="s">
        <v>4191</v>
      </c>
      <c r="AI158" s="14" t="s">
        <v>4191</v>
      </c>
      <c r="AJ158" s="14" t="s">
        <v>194</v>
      </c>
      <c r="AK158" s="14" t="s">
        <v>194</v>
      </c>
      <c r="AL158" s="14" t="s">
        <v>194</v>
      </c>
      <c r="AM158" s="14" t="s">
        <v>194</v>
      </c>
      <c r="AN158" s="14" t="s">
        <v>194</v>
      </c>
      <c r="AO158" s="14" t="s">
        <v>194</v>
      </c>
      <c r="AP158" s="14" t="s">
        <v>194</v>
      </c>
      <c r="AQ158" s="14" t="s">
        <v>2890</v>
      </c>
      <c r="AR158" s="14" t="s">
        <v>4505</v>
      </c>
    </row>
    <row r="159" spans="1:44" ht="135" hidden="1" x14ac:dyDescent="0.25">
      <c r="A159" s="1" t="s">
        <v>3119</v>
      </c>
      <c r="B159" s="1" t="s">
        <v>3302</v>
      </c>
      <c r="C159" s="1" t="s">
        <v>2508</v>
      </c>
      <c r="D159" s="1" t="s">
        <v>27</v>
      </c>
      <c r="E159" s="1" t="s">
        <v>34</v>
      </c>
      <c r="F159" s="1" t="s">
        <v>50</v>
      </c>
      <c r="G159" s="11" t="s">
        <v>3303</v>
      </c>
      <c r="H159" s="11" t="s">
        <v>4738</v>
      </c>
      <c r="I159" s="1" t="s">
        <v>77</v>
      </c>
      <c r="J159" s="1" t="s">
        <v>2146</v>
      </c>
      <c r="K159" s="1" t="s">
        <v>1426</v>
      </c>
      <c r="L159" s="1" t="s">
        <v>1329</v>
      </c>
      <c r="M159" s="1" t="s">
        <v>1331</v>
      </c>
      <c r="N159" s="1" t="s">
        <v>1330</v>
      </c>
      <c r="O159" s="1" t="s">
        <v>1164</v>
      </c>
      <c r="P159" s="1" t="s">
        <v>1339</v>
      </c>
      <c r="Q159" s="1" t="s">
        <v>194</v>
      </c>
      <c r="R159" s="1" t="s">
        <v>32</v>
      </c>
      <c r="S159" s="1" t="s">
        <v>2170</v>
      </c>
      <c r="T159" s="1" t="s">
        <v>643</v>
      </c>
      <c r="U159" s="1" t="s">
        <v>31</v>
      </c>
      <c r="V159" s="1" t="s">
        <v>90</v>
      </c>
      <c r="W159" s="14" t="s">
        <v>2</v>
      </c>
      <c r="X159" s="14" t="s">
        <v>4650</v>
      </c>
      <c r="Y159" s="14" t="s">
        <v>4554</v>
      </c>
      <c r="Z159" s="14" t="s">
        <v>31</v>
      </c>
      <c r="AA159" s="14" t="s">
        <v>4503</v>
      </c>
      <c r="AB159" s="14">
        <v>1</v>
      </c>
      <c r="AC159" s="14" t="s">
        <v>4504</v>
      </c>
      <c r="AD159" s="14">
        <v>2</v>
      </c>
      <c r="AE159" s="14" t="s">
        <v>626</v>
      </c>
      <c r="AF159" s="14" t="s">
        <v>4191</v>
      </c>
      <c r="AG159" s="14" t="s">
        <v>4191</v>
      </c>
      <c r="AH159" s="14" t="s">
        <v>4191</v>
      </c>
      <c r="AI159" s="14" t="s">
        <v>4191</v>
      </c>
      <c r="AJ159" s="14" t="s">
        <v>194</v>
      </c>
      <c r="AK159" s="14" t="s">
        <v>194</v>
      </c>
      <c r="AL159" s="14" t="s">
        <v>194</v>
      </c>
      <c r="AM159" s="14" t="s">
        <v>194</v>
      </c>
      <c r="AN159" s="14" t="s">
        <v>194</v>
      </c>
      <c r="AO159" s="14" t="s">
        <v>194</v>
      </c>
      <c r="AP159" s="14" t="s">
        <v>194</v>
      </c>
      <c r="AQ159" s="14" t="s">
        <v>2890</v>
      </c>
      <c r="AR159" s="14" t="s">
        <v>4505</v>
      </c>
    </row>
    <row r="160" spans="1:44" ht="135" hidden="1" x14ac:dyDescent="0.25">
      <c r="A160" s="1" t="s">
        <v>3121</v>
      </c>
      <c r="B160" s="1" t="s">
        <v>3304</v>
      </c>
      <c r="C160" s="1" t="s">
        <v>2508</v>
      </c>
      <c r="D160" s="1" t="s">
        <v>27</v>
      </c>
      <c r="E160" s="1" t="s">
        <v>34</v>
      </c>
      <c r="F160" s="1" t="s">
        <v>50</v>
      </c>
      <c r="G160" s="11" t="s">
        <v>3305</v>
      </c>
      <c r="H160" s="11" t="s">
        <v>4739</v>
      </c>
      <c r="I160" s="1" t="s">
        <v>77</v>
      </c>
      <c r="J160" s="1" t="s">
        <v>2146</v>
      </c>
      <c r="K160" s="1" t="s">
        <v>1426</v>
      </c>
      <c r="L160" s="1" t="s">
        <v>1329</v>
      </c>
      <c r="M160" s="1" t="s">
        <v>1331</v>
      </c>
      <c r="N160" s="1" t="s">
        <v>1330</v>
      </c>
      <c r="O160" s="1" t="s">
        <v>1164</v>
      </c>
      <c r="P160" s="1" t="s">
        <v>1339</v>
      </c>
      <c r="Q160" s="1" t="s">
        <v>194</v>
      </c>
      <c r="R160" s="1" t="s">
        <v>32</v>
      </c>
      <c r="S160" s="1" t="s">
        <v>2170</v>
      </c>
      <c r="T160" s="1" t="s">
        <v>643</v>
      </c>
      <c r="U160" s="1" t="s">
        <v>31</v>
      </c>
      <c r="V160" s="1" t="s">
        <v>90</v>
      </c>
      <c r="W160" s="14" t="s">
        <v>2</v>
      </c>
      <c r="X160" s="14" t="s">
        <v>4650</v>
      </c>
      <c r="Y160" s="14" t="s">
        <v>4555</v>
      </c>
      <c r="Z160" s="14" t="s">
        <v>31</v>
      </c>
      <c r="AA160" s="14" t="s">
        <v>4503</v>
      </c>
      <c r="AB160" s="14">
        <v>1</v>
      </c>
      <c r="AC160" s="14" t="s">
        <v>4504</v>
      </c>
      <c r="AD160" s="14">
        <v>2</v>
      </c>
      <c r="AE160" s="14" t="s">
        <v>626</v>
      </c>
      <c r="AF160" s="14" t="s">
        <v>4191</v>
      </c>
      <c r="AG160" s="14" t="s">
        <v>4191</v>
      </c>
      <c r="AH160" s="14" t="s">
        <v>4191</v>
      </c>
      <c r="AI160" s="14" t="s">
        <v>4191</v>
      </c>
      <c r="AJ160" s="14" t="s">
        <v>194</v>
      </c>
      <c r="AK160" s="14" t="s">
        <v>194</v>
      </c>
      <c r="AL160" s="14" t="s">
        <v>194</v>
      </c>
      <c r="AM160" s="14" t="s">
        <v>194</v>
      </c>
      <c r="AN160" s="14" t="s">
        <v>194</v>
      </c>
      <c r="AO160" s="14" t="s">
        <v>194</v>
      </c>
      <c r="AP160" s="14" t="s">
        <v>194</v>
      </c>
      <c r="AQ160" s="14" t="s">
        <v>2890</v>
      </c>
      <c r="AR160" s="14" t="s">
        <v>4505</v>
      </c>
    </row>
    <row r="161" spans="1:44" ht="135" hidden="1" x14ac:dyDescent="0.25">
      <c r="A161" s="1" t="s">
        <v>3123</v>
      </c>
      <c r="B161" s="1" t="s">
        <v>3306</v>
      </c>
      <c r="C161" s="1" t="s">
        <v>2508</v>
      </c>
      <c r="D161" s="1" t="s">
        <v>27</v>
      </c>
      <c r="E161" s="1" t="s">
        <v>34</v>
      </c>
      <c r="F161" s="1" t="s">
        <v>50</v>
      </c>
      <c r="G161" s="11" t="s">
        <v>3307</v>
      </c>
      <c r="H161" s="11" t="s">
        <v>4739</v>
      </c>
      <c r="I161" s="1" t="s">
        <v>77</v>
      </c>
      <c r="J161" s="1" t="s">
        <v>2146</v>
      </c>
      <c r="K161" s="1" t="s">
        <v>1426</v>
      </c>
      <c r="L161" s="1" t="s">
        <v>1329</v>
      </c>
      <c r="M161" s="1" t="s">
        <v>1331</v>
      </c>
      <c r="N161" s="1" t="s">
        <v>1330</v>
      </c>
      <c r="O161" s="1" t="s">
        <v>1164</v>
      </c>
      <c r="P161" s="1" t="s">
        <v>1339</v>
      </c>
      <c r="Q161" s="1" t="s">
        <v>194</v>
      </c>
      <c r="R161" s="1" t="s">
        <v>32</v>
      </c>
      <c r="S161" s="1" t="s">
        <v>2170</v>
      </c>
      <c r="T161" s="1" t="s">
        <v>643</v>
      </c>
      <c r="U161" s="1" t="s">
        <v>31</v>
      </c>
      <c r="V161" s="1" t="s">
        <v>90</v>
      </c>
      <c r="W161" s="14" t="s">
        <v>2</v>
      </c>
      <c r="X161" s="14" t="s">
        <v>4650</v>
      </c>
      <c r="Y161" s="14" t="s">
        <v>4555</v>
      </c>
      <c r="Z161" s="14" t="s">
        <v>31</v>
      </c>
      <c r="AA161" s="14" t="s">
        <v>4503</v>
      </c>
      <c r="AB161" s="14">
        <v>1</v>
      </c>
      <c r="AC161" s="14" t="s">
        <v>4504</v>
      </c>
      <c r="AD161" s="14">
        <v>2</v>
      </c>
      <c r="AE161" s="14" t="s">
        <v>626</v>
      </c>
      <c r="AF161" s="14" t="s">
        <v>4191</v>
      </c>
      <c r="AG161" s="14" t="s">
        <v>4191</v>
      </c>
      <c r="AH161" s="14" t="s">
        <v>4191</v>
      </c>
      <c r="AI161" s="14" t="s">
        <v>4191</v>
      </c>
      <c r="AJ161" s="14" t="s">
        <v>194</v>
      </c>
      <c r="AK161" s="14" t="s">
        <v>194</v>
      </c>
      <c r="AL161" s="14" t="s">
        <v>194</v>
      </c>
      <c r="AM161" s="14" t="s">
        <v>194</v>
      </c>
      <c r="AN161" s="14" t="s">
        <v>194</v>
      </c>
      <c r="AO161" s="14" t="s">
        <v>194</v>
      </c>
      <c r="AP161" s="14" t="s">
        <v>194</v>
      </c>
      <c r="AQ161" s="14" t="s">
        <v>2890</v>
      </c>
      <c r="AR161" s="14" t="s">
        <v>4505</v>
      </c>
    </row>
    <row r="162" spans="1:44" ht="135" hidden="1" x14ac:dyDescent="0.25">
      <c r="A162" s="1" t="s">
        <v>3125</v>
      </c>
      <c r="B162" s="1" t="s">
        <v>3302</v>
      </c>
      <c r="C162" s="1" t="s">
        <v>2508</v>
      </c>
      <c r="D162" s="1" t="s">
        <v>27</v>
      </c>
      <c r="E162" s="1" t="s">
        <v>34</v>
      </c>
      <c r="F162" s="1" t="s">
        <v>50</v>
      </c>
      <c r="G162" s="11" t="s">
        <v>3308</v>
      </c>
      <c r="H162" s="11" t="s">
        <v>4740</v>
      </c>
      <c r="I162" s="1" t="s">
        <v>77</v>
      </c>
      <c r="J162" s="1" t="s">
        <v>2146</v>
      </c>
      <c r="K162" s="1" t="s">
        <v>1426</v>
      </c>
      <c r="L162" s="1" t="s">
        <v>1329</v>
      </c>
      <c r="M162" s="1" t="s">
        <v>1331</v>
      </c>
      <c r="N162" s="1" t="s">
        <v>1330</v>
      </c>
      <c r="O162" s="1" t="s">
        <v>1164</v>
      </c>
      <c r="P162" s="1" t="s">
        <v>1339</v>
      </c>
      <c r="Q162" s="1" t="s">
        <v>194</v>
      </c>
      <c r="R162" s="1" t="s">
        <v>32</v>
      </c>
      <c r="S162" s="1" t="s">
        <v>2170</v>
      </c>
      <c r="T162" s="1" t="s">
        <v>643</v>
      </c>
      <c r="U162" s="1" t="s">
        <v>31</v>
      </c>
      <c r="V162" s="1" t="s">
        <v>90</v>
      </c>
      <c r="W162" s="14" t="s">
        <v>2</v>
      </c>
      <c r="X162" s="14" t="s">
        <v>4663</v>
      </c>
      <c r="Y162" s="14" t="s">
        <v>4554</v>
      </c>
      <c r="Z162" s="14" t="s">
        <v>31</v>
      </c>
      <c r="AA162" s="14" t="s">
        <v>4503</v>
      </c>
      <c r="AB162" s="14">
        <v>1</v>
      </c>
      <c r="AC162" s="14" t="s">
        <v>4504</v>
      </c>
      <c r="AD162" s="14">
        <v>2</v>
      </c>
      <c r="AE162" s="14" t="s">
        <v>626</v>
      </c>
      <c r="AF162" s="14" t="s">
        <v>4191</v>
      </c>
      <c r="AG162" s="14" t="s">
        <v>4191</v>
      </c>
      <c r="AH162" s="14" t="s">
        <v>4191</v>
      </c>
      <c r="AI162" s="14" t="s">
        <v>4191</v>
      </c>
      <c r="AJ162" s="14" t="s">
        <v>194</v>
      </c>
      <c r="AK162" s="14" t="s">
        <v>194</v>
      </c>
      <c r="AL162" s="14" t="s">
        <v>194</v>
      </c>
      <c r="AM162" s="14" t="s">
        <v>194</v>
      </c>
      <c r="AN162" s="14" t="s">
        <v>194</v>
      </c>
      <c r="AO162" s="14" t="s">
        <v>194</v>
      </c>
      <c r="AP162" s="14" t="s">
        <v>194</v>
      </c>
      <c r="AQ162" s="14" t="s">
        <v>606</v>
      </c>
      <c r="AR162" s="14" t="s">
        <v>4505</v>
      </c>
    </row>
    <row r="163" spans="1:44" ht="135" hidden="1" x14ac:dyDescent="0.25">
      <c r="A163" s="1" t="s">
        <v>3127</v>
      </c>
      <c r="B163" s="1" t="s">
        <v>3304</v>
      </c>
      <c r="C163" s="1" t="s">
        <v>2508</v>
      </c>
      <c r="D163" s="1" t="s">
        <v>27</v>
      </c>
      <c r="E163" s="1" t="s">
        <v>34</v>
      </c>
      <c r="F163" s="1" t="s">
        <v>50</v>
      </c>
      <c r="G163" s="11" t="s">
        <v>3309</v>
      </c>
      <c r="H163" s="11" t="s">
        <v>4741</v>
      </c>
      <c r="I163" s="1" t="s">
        <v>77</v>
      </c>
      <c r="J163" s="1" t="s">
        <v>2146</v>
      </c>
      <c r="K163" s="1" t="s">
        <v>1426</v>
      </c>
      <c r="L163" s="1" t="s">
        <v>1329</v>
      </c>
      <c r="M163" s="1" t="s">
        <v>1331</v>
      </c>
      <c r="N163" s="1" t="s">
        <v>1330</v>
      </c>
      <c r="O163" s="1" t="s">
        <v>1164</v>
      </c>
      <c r="P163" s="1" t="s">
        <v>1339</v>
      </c>
      <c r="Q163" s="1" t="s">
        <v>194</v>
      </c>
      <c r="R163" s="1" t="s">
        <v>32</v>
      </c>
      <c r="S163" s="1" t="s">
        <v>2170</v>
      </c>
      <c r="T163" s="1" t="s">
        <v>643</v>
      </c>
      <c r="U163" s="1" t="s">
        <v>31</v>
      </c>
      <c r="V163" s="1" t="s">
        <v>90</v>
      </c>
      <c r="W163" s="14" t="s">
        <v>2</v>
      </c>
      <c r="X163" s="14" t="s">
        <v>4663</v>
      </c>
      <c r="Y163" s="14" t="s">
        <v>4555</v>
      </c>
      <c r="Z163" s="14" t="s">
        <v>31</v>
      </c>
      <c r="AA163" s="14" t="s">
        <v>4503</v>
      </c>
      <c r="AB163" s="14">
        <v>1</v>
      </c>
      <c r="AC163" s="14" t="s">
        <v>4504</v>
      </c>
      <c r="AD163" s="14">
        <v>2</v>
      </c>
      <c r="AE163" s="14" t="s">
        <v>626</v>
      </c>
      <c r="AF163" s="14" t="s">
        <v>4191</v>
      </c>
      <c r="AG163" s="14" t="s">
        <v>4191</v>
      </c>
      <c r="AH163" s="14" t="s">
        <v>4191</v>
      </c>
      <c r="AI163" s="14" t="s">
        <v>4191</v>
      </c>
      <c r="AJ163" s="14" t="s">
        <v>194</v>
      </c>
      <c r="AK163" s="14" t="s">
        <v>194</v>
      </c>
      <c r="AL163" s="14" t="s">
        <v>194</v>
      </c>
      <c r="AM163" s="14" t="s">
        <v>194</v>
      </c>
      <c r="AN163" s="14" t="s">
        <v>194</v>
      </c>
      <c r="AO163" s="14" t="s">
        <v>194</v>
      </c>
      <c r="AP163" s="14" t="s">
        <v>194</v>
      </c>
      <c r="AQ163" s="14" t="s">
        <v>606</v>
      </c>
      <c r="AR163" s="14" t="s">
        <v>4505</v>
      </c>
    </row>
    <row r="164" spans="1:44" ht="135" hidden="1" x14ac:dyDescent="0.25">
      <c r="A164" s="1" t="s">
        <v>3129</v>
      </c>
      <c r="B164" s="1" t="s">
        <v>3306</v>
      </c>
      <c r="C164" s="1" t="s">
        <v>2508</v>
      </c>
      <c r="D164" s="1" t="s">
        <v>27</v>
      </c>
      <c r="E164" s="1" t="s">
        <v>34</v>
      </c>
      <c r="F164" s="1" t="s">
        <v>50</v>
      </c>
      <c r="G164" s="11" t="s">
        <v>3307</v>
      </c>
      <c r="H164" s="11" t="s">
        <v>4741</v>
      </c>
      <c r="I164" s="1" t="s">
        <v>77</v>
      </c>
      <c r="J164" s="1" t="s">
        <v>2146</v>
      </c>
      <c r="K164" s="1" t="s">
        <v>1426</v>
      </c>
      <c r="L164" s="1" t="s">
        <v>1329</v>
      </c>
      <c r="M164" s="1" t="s">
        <v>1331</v>
      </c>
      <c r="N164" s="1" t="s">
        <v>1330</v>
      </c>
      <c r="O164" s="1" t="s">
        <v>1164</v>
      </c>
      <c r="P164" s="1" t="s">
        <v>1339</v>
      </c>
      <c r="Q164" s="1" t="s">
        <v>194</v>
      </c>
      <c r="R164" s="1" t="s">
        <v>32</v>
      </c>
      <c r="S164" s="1" t="s">
        <v>2170</v>
      </c>
      <c r="T164" s="1" t="s">
        <v>643</v>
      </c>
      <c r="U164" s="1" t="s">
        <v>31</v>
      </c>
      <c r="V164" s="1" t="s">
        <v>90</v>
      </c>
      <c r="W164" s="14" t="s">
        <v>2</v>
      </c>
      <c r="X164" s="14" t="s">
        <v>4663</v>
      </c>
      <c r="Y164" s="14" t="s">
        <v>4555</v>
      </c>
      <c r="Z164" s="14" t="s">
        <v>31</v>
      </c>
      <c r="AA164" s="14" t="s">
        <v>4503</v>
      </c>
      <c r="AB164" s="14">
        <v>1</v>
      </c>
      <c r="AC164" s="14" t="s">
        <v>4504</v>
      </c>
      <c r="AD164" s="14">
        <v>2</v>
      </c>
      <c r="AE164" s="14" t="s">
        <v>626</v>
      </c>
      <c r="AF164" s="14" t="s">
        <v>4191</v>
      </c>
      <c r="AG164" s="14" t="s">
        <v>4191</v>
      </c>
      <c r="AH164" s="14" t="s">
        <v>4191</v>
      </c>
      <c r="AI164" s="14" t="s">
        <v>4191</v>
      </c>
      <c r="AJ164" s="14" t="s">
        <v>194</v>
      </c>
      <c r="AK164" s="14" t="s">
        <v>194</v>
      </c>
      <c r="AL164" s="14" t="s">
        <v>194</v>
      </c>
      <c r="AM164" s="14" t="s">
        <v>194</v>
      </c>
      <c r="AN164" s="14" t="s">
        <v>194</v>
      </c>
      <c r="AO164" s="14" t="s">
        <v>194</v>
      </c>
      <c r="AP164" s="14" t="s">
        <v>194</v>
      </c>
      <c r="AQ164" s="14" t="s">
        <v>606</v>
      </c>
      <c r="AR164" s="14" t="s">
        <v>4505</v>
      </c>
    </row>
    <row r="165" spans="1:44" ht="105" hidden="1" x14ac:dyDescent="0.25">
      <c r="A165" s="1" t="s">
        <v>3131</v>
      </c>
      <c r="B165" s="1" t="s">
        <v>3310</v>
      </c>
      <c r="C165" s="1" t="s">
        <v>2508</v>
      </c>
      <c r="D165" s="1" t="s">
        <v>27</v>
      </c>
      <c r="E165" s="1" t="s">
        <v>34</v>
      </c>
      <c r="F165" s="1" t="s">
        <v>29</v>
      </c>
      <c r="G165" s="11" t="s">
        <v>2630</v>
      </c>
      <c r="H165" s="11" t="s">
        <v>4652</v>
      </c>
      <c r="I165" s="1" t="s">
        <v>82</v>
      </c>
      <c r="J165" s="1" t="s">
        <v>2146</v>
      </c>
      <c r="K165" s="1" t="s">
        <v>1426</v>
      </c>
      <c r="L165" s="1" t="s">
        <v>1329</v>
      </c>
      <c r="M165" s="1" t="s">
        <v>562</v>
      </c>
      <c r="N165" s="1" t="s">
        <v>1330</v>
      </c>
      <c r="O165" s="1" t="s">
        <v>1164</v>
      </c>
      <c r="P165" s="1" t="s">
        <v>1339</v>
      </c>
      <c r="Q165" s="1" t="s">
        <v>194</v>
      </c>
      <c r="R165" s="1" t="s">
        <v>308</v>
      </c>
      <c r="S165" s="1" t="s">
        <v>563</v>
      </c>
      <c r="T165" s="1" t="s">
        <v>643</v>
      </c>
      <c r="U165" s="1" t="s">
        <v>31</v>
      </c>
      <c r="V165" s="1" t="s">
        <v>90</v>
      </c>
      <c r="W165" s="14" t="s">
        <v>2</v>
      </c>
      <c r="X165" s="14" t="s">
        <v>4650</v>
      </c>
      <c r="Y165" s="14" t="s">
        <v>194</v>
      </c>
      <c r="Z165" s="14" t="s">
        <v>31</v>
      </c>
      <c r="AA165" s="14" t="s">
        <v>4506</v>
      </c>
      <c r="AB165" s="14">
        <v>1</v>
      </c>
      <c r="AC165" s="14" t="s">
        <v>194</v>
      </c>
      <c r="AD165" s="14">
        <v>0</v>
      </c>
      <c r="AE165" s="14" t="s">
        <v>626</v>
      </c>
      <c r="AF165" s="14" t="s">
        <v>626</v>
      </c>
      <c r="AG165" s="14" t="s">
        <v>626</v>
      </c>
      <c r="AH165" s="14" t="s">
        <v>4191</v>
      </c>
      <c r="AI165" s="14" t="s">
        <v>4191</v>
      </c>
      <c r="AJ165" s="14" t="s">
        <v>194</v>
      </c>
      <c r="AK165" s="14" t="s">
        <v>194</v>
      </c>
      <c r="AL165" s="14" t="s">
        <v>194</v>
      </c>
      <c r="AM165" s="14" t="s">
        <v>194</v>
      </c>
      <c r="AN165" s="14" t="s">
        <v>194</v>
      </c>
      <c r="AO165" s="14" t="s">
        <v>194</v>
      </c>
      <c r="AP165" s="14" t="s">
        <v>194</v>
      </c>
      <c r="AQ165" s="14" t="s">
        <v>2890</v>
      </c>
      <c r="AR165" s="14" t="s">
        <v>4505</v>
      </c>
    </row>
    <row r="166" spans="1:44" ht="105" hidden="1" x14ac:dyDescent="0.25">
      <c r="A166" s="1" t="s">
        <v>3133</v>
      </c>
      <c r="B166" s="1" t="s">
        <v>3311</v>
      </c>
      <c r="C166" s="1" t="s">
        <v>2508</v>
      </c>
      <c r="D166" s="1" t="s">
        <v>27</v>
      </c>
      <c r="E166" s="1" t="s">
        <v>34</v>
      </c>
      <c r="F166" s="1" t="s">
        <v>29</v>
      </c>
      <c r="G166" s="11" t="s">
        <v>2630</v>
      </c>
      <c r="H166" s="11" t="s">
        <v>4652</v>
      </c>
      <c r="I166" s="1" t="s">
        <v>82</v>
      </c>
      <c r="J166" s="1" t="s">
        <v>2146</v>
      </c>
      <c r="K166" s="1" t="s">
        <v>1426</v>
      </c>
      <c r="L166" s="1" t="s">
        <v>1329</v>
      </c>
      <c r="M166" s="1" t="s">
        <v>562</v>
      </c>
      <c r="N166" s="1" t="s">
        <v>1330</v>
      </c>
      <c r="O166" s="1" t="s">
        <v>1164</v>
      </c>
      <c r="P166" s="1" t="s">
        <v>1339</v>
      </c>
      <c r="Q166" s="1" t="s">
        <v>194</v>
      </c>
      <c r="R166" s="1" t="s">
        <v>308</v>
      </c>
      <c r="S166" s="1" t="s">
        <v>563</v>
      </c>
      <c r="T166" s="1" t="s">
        <v>643</v>
      </c>
      <c r="U166" s="1" t="s">
        <v>31</v>
      </c>
      <c r="V166" s="1" t="s">
        <v>90</v>
      </c>
      <c r="W166" s="14" t="s">
        <v>2</v>
      </c>
      <c r="X166" s="14" t="s">
        <v>4650</v>
      </c>
      <c r="Y166" s="14" t="s">
        <v>194</v>
      </c>
      <c r="Z166" s="14" t="s">
        <v>31</v>
      </c>
      <c r="AA166" s="14" t="s">
        <v>4506</v>
      </c>
      <c r="AB166" s="14">
        <v>1</v>
      </c>
      <c r="AC166" s="14" t="s">
        <v>194</v>
      </c>
      <c r="AD166" s="14">
        <v>0</v>
      </c>
      <c r="AE166" s="14" t="s">
        <v>626</v>
      </c>
      <c r="AF166" s="14" t="s">
        <v>626</v>
      </c>
      <c r="AG166" s="14" t="s">
        <v>626</v>
      </c>
      <c r="AH166" s="14" t="s">
        <v>4191</v>
      </c>
      <c r="AI166" s="14" t="s">
        <v>4191</v>
      </c>
      <c r="AJ166" s="14" t="s">
        <v>194</v>
      </c>
      <c r="AK166" s="14" t="s">
        <v>194</v>
      </c>
      <c r="AL166" s="14" t="s">
        <v>194</v>
      </c>
      <c r="AM166" s="14" t="s">
        <v>194</v>
      </c>
      <c r="AN166" s="14" t="s">
        <v>194</v>
      </c>
      <c r="AO166" s="14" t="s">
        <v>194</v>
      </c>
      <c r="AP166" s="14" t="s">
        <v>194</v>
      </c>
      <c r="AQ166" s="14" t="s">
        <v>2890</v>
      </c>
      <c r="AR166" s="14" t="s">
        <v>4505</v>
      </c>
    </row>
    <row r="167" spans="1:44" ht="105" hidden="1" x14ac:dyDescent="0.25">
      <c r="A167" s="1" t="s">
        <v>3135</v>
      </c>
      <c r="B167" s="1" t="s">
        <v>3312</v>
      </c>
      <c r="C167" s="1" t="s">
        <v>2508</v>
      </c>
      <c r="D167" s="1" t="s">
        <v>27</v>
      </c>
      <c r="E167" s="1" t="s">
        <v>34</v>
      </c>
      <c r="F167" s="1" t="s">
        <v>29</v>
      </c>
      <c r="G167" s="11" t="s">
        <v>2630</v>
      </c>
      <c r="H167" s="11" t="s">
        <v>4652</v>
      </c>
      <c r="I167" s="1" t="s">
        <v>82</v>
      </c>
      <c r="J167" s="1" t="s">
        <v>2146</v>
      </c>
      <c r="K167" s="1" t="s">
        <v>1426</v>
      </c>
      <c r="L167" s="1" t="s">
        <v>1329</v>
      </c>
      <c r="M167" s="1" t="s">
        <v>562</v>
      </c>
      <c r="N167" s="1" t="s">
        <v>1330</v>
      </c>
      <c r="O167" s="1" t="s">
        <v>1164</v>
      </c>
      <c r="P167" s="1" t="s">
        <v>1339</v>
      </c>
      <c r="Q167" s="1" t="s">
        <v>194</v>
      </c>
      <c r="R167" s="1" t="s">
        <v>308</v>
      </c>
      <c r="S167" s="1" t="s">
        <v>563</v>
      </c>
      <c r="T167" s="1" t="s">
        <v>643</v>
      </c>
      <c r="U167" s="1" t="s">
        <v>31</v>
      </c>
      <c r="V167" s="1" t="s">
        <v>90</v>
      </c>
      <c r="W167" s="14" t="s">
        <v>2</v>
      </c>
      <c r="X167" s="14" t="s">
        <v>4650</v>
      </c>
      <c r="Y167" s="14" t="s">
        <v>194</v>
      </c>
      <c r="Z167" s="14" t="s">
        <v>31</v>
      </c>
      <c r="AA167" s="14" t="s">
        <v>4506</v>
      </c>
      <c r="AB167" s="14">
        <v>1</v>
      </c>
      <c r="AC167" s="14" t="s">
        <v>194</v>
      </c>
      <c r="AD167" s="14">
        <v>0</v>
      </c>
      <c r="AE167" s="14" t="s">
        <v>626</v>
      </c>
      <c r="AF167" s="14" t="s">
        <v>626</v>
      </c>
      <c r="AG167" s="14" t="s">
        <v>626</v>
      </c>
      <c r="AH167" s="14" t="s">
        <v>4191</v>
      </c>
      <c r="AI167" s="14" t="s">
        <v>4191</v>
      </c>
      <c r="AJ167" s="14" t="s">
        <v>194</v>
      </c>
      <c r="AK167" s="14" t="s">
        <v>194</v>
      </c>
      <c r="AL167" s="14" t="s">
        <v>194</v>
      </c>
      <c r="AM167" s="14" t="s">
        <v>194</v>
      </c>
      <c r="AN167" s="14" t="s">
        <v>194</v>
      </c>
      <c r="AO167" s="14" t="s">
        <v>194</v>
      </c>
      <c r="AP167" s="14" t="s">
        <v>194</v>
      </c>
      <c r="AQ167" s="14" t="s">
        <v>2890</v>
      </c>
      <c r="AR167" s="14" t="s">
        <v>4505</v>
      </c>
    </row>
    <row r="168" spans="1:44" ht="105" hidden="1" x14ac:dyDescent="0.25">
      <c r="A168" s="1" t="s">
        <v>3137</v>
      </c>
      <c r="B168" s="1" t="s">
        <v>3313</v>
      </c>
      <c r="C168" s="1" t="s">
        <v>2508</v>
      </c>
      <c r="D168" s="1" t="s">
        <v>27</v>
      </c>
      <c r="E168" s="1" t="s">
        <v>34</v>
      </c>
      <c r="F168" s="1" t="s">
        <v>35</v>
      </c>
      <c r="G168" s="11" t="s">
        <v>2630</v>
      </c>
      <c r="H168" s="11" t="s">
        <v>4736</v>
      </c>
      <c r="I168" s="1" t="s">
        <v>82</v>
      </c>
      <c r="J168" s="1" t="s">
        <v>2146</v>
      </c>
      <c r="K168" s="1" t="s">
        <v>1426</v>
      </c>
      <c r="L168" s="1" t="s">
        <v>1329</v>
      </c>
      <c r="M168" s="1" t="s">
        <v>562</v>
      </c>
      <c r="N168" s="1" t="s">
        <v>1330</v>
      </c>
      <c r="O168" s="1" t="s">
        <v>1164</v>
      </c>
      <c r="P168" s="1" t="s">
        <v>1339</v>
      </c>
      <c r="Q168" s="1" t="s">
        <v>194</v>
      </c>
      <c r="R168" s="1" t="s">
        <v>314</v>
      </c>
      <c r="S168" s="1" t="s">
        <v>563</v>
      </c>
      <c r="T168" s="1" t="s">
        <v>643</v>
      </c>
      <c r="U168" s="1" t="s">
        <v>31</v>
      </c>
      <c r="V168" s="1" t="s">
        <v>90</v>
      </c>
      <c r="W168" s="14" t="s">
        <v>2</v>
      </c>
      <c r="X168" s="14" t="s">
        <v>4663</v>
      </c>
      <c r="Y168" s="14" t="s">
        <v>194</v>
      </c>
      <c r="Z168" s="14" t="s">
        <v>31</v>
      </c>
      <c r="AA168" s="14" t="s">
        <v>4506</v>
      </c>
      <c r="AB168" s="14">
        <v>1</v>
      </c>
      <c r="AC168" s="14" t="s">
        <v>194</v>
      </c>
      <c r="AD168" s="14">
        <v>0</v>
      </c>
      <c r="AE168" s="14" t="s">
        <v>626</v>
      </c>
      <c r="AF168" s="14" t="s">
        <v>626</v>
      </c>
      <c r="AG168" s="14" t="s">
        <v>626</v>
      </c>
      <c r="AH168" s="14" t="s">
        <v>4191</v>
      </c>
      <c r="AI168" s="14" t="s">
        <v>4191</v>
      </c>
      <c r="AJ168" s="14" t="s">
        <v>194</v>
      </c>
      <c r="AK168" s="14" t="s">
        <v>194</v>
      </c>
      <c r="AL168" s="14" t="s">
        <v>194</v>
      </c>
      <c r="AM168" s="14" t="s">
        <v>194</v>
      </c>
      <c r="AN168" s="14" t="s">
        <v>194</v>
      </c>
      <c r="AO168" s="14" t="s">
        <v>194</v>
      </c>
      <c r="AP168" s="14" t="s">
        <v>194</v>
      </c>
      <c r="AQ168" s="14" t="s">
        <v>606</v>
      </c>
      <c r="AR168" s="14" t="s">
        <v>4505</v>
      </c>
    </row>
    <row r="169" spans="1:44" ht="105" hidden="1" x14ac:dyDescent="0.25">
      <c r="A169" s="1" t="s">
        <v>3139</v>
      </c>
      <c r="B169" s="1" t="s">
        <v>3314</v>
      </c>
      <c r="C169" s="1" t="s">
        <v>2508</v>
      </c>
      <c r="D169" s="1" t="s">
        <v>27</v>
      </c>
      <c r="E169" s="1" t="s">
        <v>34</v>
      </c>
      <c r="F169" s="1" t="s">
        <v>35</v>
      </c>
      <c r="G169" s="11" t="s">
        <v>2630</v>
      </c>
      <c r="H169" s="11" t="s">
        <v>4736</v>
      </c>
      <c r="I169" s="1" t="s">
        <v>82</v>
      </c>
      <c r="J169" s="1" t="s">
        <v>2146</v>
      </c>
      <c r="K169" s="1" t="s">
        <v>1426</v>
      </c>
      <c r="L169" s="1" t="s">
        <v>1329</v>
      </c>
      <c r="M169" s="1" t="s">
        <v>562</v>
      </c>
      <c r="N169" s="1" t="s">
        <v>1330</v>
      </c>
      <c r="O169" s="1" t="s">
        <v>1164</v>
      </c>
      <c r="P169" s="1" t="s">
        <v>1339</v>
      </c>
      <c r="Q169" s="1" t="s">
        <v>194</v>
      </c>
      <c r="R169" s="1" t="s">
        <v>314</v>
      </c>
      <c r="S169" s="1" t="s">
        <v>563</v>
      </c>
      <c r="T169" s="1" t="s">
        <v>643</v>
      </c>
      <c r="U169" s="1" t="s">
        <v>31</v>
      </c>
      <c r="V169" s="1" t="s">
        <v>90</v>
      </c>
      <c r="W169" s="14" t="s">
        <v>2</v>
      </c>
      <c r="X169" s="14" t="s">
        <v>4663</v>
      </c>
      <c r="Y169" s="14" t="s">
        <v>194</v>
      </c>
      <c r="Z169" s="14" t="s">
        <v>31</v>
      </c>
      <c r="AA169" s="14" t="s">
        <v>4506</v>
      </c>
      <c r="AB169" s="14">
        <v>1</v>
      </c>
      <c r="AC169" s="14" t="s">
        <v>194</v>
      </c>
      <c r="AD169" s="14">
        <v>0</v>
      </c>
      <c r="AE169" s="14" t="s">
        <v>626</v>
      </c>
      <c r="AF169" s="14" t="s">
        <v>626</v>
      </c>
      <c r="AG169" s="14" t="s">
        <v>626</v>
      </c>
      <c r="AH169" s="14" t="s">
        <v>4191</v>
      </c>
      <c r="AI169" s="14" t="s">
        <v>4191</v>
      </c>
      <c r="AJ169" s="14" t="s">
        <v>194</v>
      </c>
      <c r="AK169" s="14" t="s">
        <v>194</v>
      </c>
      <c r="AL169" s="14" t="s">
        <v>194</v>
      </c>
      <c r="AM169" s="14" t="s">
        <v>194</v>
      </c>
      <c r="AN169" s="14" t="s">
        <v>194</v>
      </c>
      <c r="AO169" s="14" t="s">
        <v>194</v>
      </c>
      <c r="AP169" s="14" t="s">
        <v>194</v>
      </c>
      <c r="AQ169" s="14" t="s">
        <v>606</v>
      </c>
      <c r="AR169" s="14" t="s">
        <v>4505</v>
      </c>
    </row>
    <row r="170" spans="1:44" ht="105" hidden="1" x14ac:dyDescent="0.25">
      <c r="A170" s="1" t="s">
        <v>3141</v>
      </c>
      <c r="B170" s="1" t="s">
        <v>3312</v>
      </c>
      <c r="C170" s="1" t="s">
        <v>2508</v>
      </c>
      <c r="D170" s="1" t="s">
        <v>27</v>
      </c>
      <c r="E170" s="1" t="s">
        <v>34</v>
      </c>
      <c r="F170" s="1" t="s">
        <v>35</v>
      </c>
      <c r="G170" s="11" t="s">
        <v>2630</v>
      </c>
      <c r="H170" s="11" t="s">
        <v>4736</v>
      </c>
      <c r="I170" s="1" t="s">
        <v>82</v>
      </c>
      <c r="J170" s="1" t="s">
        <v>2146</v>
      </c>
      <c r="K170" s="1" t="s">
        <v>1426</v>
      </c>
      <c r="L170" s="1" t="s">
        <v>1329</v>
      </c>
      <c r="M170" s="1" t="s">
        <v>562</v>
      </c>
      <c r="N170" s="1" t="s">
        <v>1330</v>
      </c>
      <c r="O170" s="1" t="s">
        <v>1164</v>
      </c>
      <c r="P170" s="1" t="s">
        <v>1339</v>
      </c>
      <c r="Q170" s="1" t="s">
        <v>194</v>
      </c>
      <c r="R170" s="1" t="s">
        <v>308</v>
      </c>
      <c r="S170" s="1" t="s">
        <v>563</v>
      </c>
      <c r="T170" s="1" t="s">
        <v>643</v>
      </c>
      <c r="U170" s="1" t="s">
        <v>31</v>
      </c>
      <c r="V170" s="1" t="s">
        <v>90</v>
      </c>
      <c r="W170" s="14" t="s">
        <v>2</v>
      </c>
      <c r="X170" s="14" t="s">
        <v>4663</v>
      </c>
      <c r="Y170" s="14" t="s">
        <v>194</v>
      </c>
      <c r="Z170" s="14" t="s">
        <v>31</v>
      </c>
      <c r="AA170" s="14" t="s">
        <v>4506</v>
      </c>
      <c r="AB170" s="14">
        <v>1</v>
      </c>
      <c r="AC170" s="14" t="s">
        <v>194</v>
      </c>
      <c r="AD170" s="14">
        <v>0</v>
      </c>
      <c r="AE170" s="14" t="s">
        <v>626</v>
      </c>
      <c r="AF170" s="14" t="s">
        <v>626</v>
      </c>
      <c r="AG170" s="14" t="s">
        <v>626</v>
      </c>
      <c r="AH170" s="14" t="s">
        <v>4191</v>
      </c>
      <c r="AI170" s="14" t="s">
        <v>4191</v>
      </c>
      <c r="AJ170" s="14" t="s">
        <v>194</v>
      </c>
      <c r="AK170" s="14" t="s">
        <v>194</v>
      </c>
      <c r="AL170" s="14" t="s">
        <v>194</v>
      </c>
      <c r="AM170" s="14" t="s">
        <v>194</v>
      </c>
      <c r="AN170" s="14" t="s">
        <v>194</v>
      </c>
      <c r="AO170" s="14" t="s">
        <v>194</v>
      </c>
      <c r="AP170" s="14" t="s">
        <v>194</v>
      </c>
      <c r="AQ170" s="14" t="s">
        <v>606</v>
      </c>
      <c r="AR170" s="14" t="s">
        <v>4505</v>
      </c>
    </row>
    <row r="171" spans="1:44" ht="150" hidden="1" x14ac:dyDescent="0.25">
      <c r="A171" s="1" t="s">
        <v>3403</v>
      </c>
      <c r="B171" s="1" t="s">
        <v>3410</v>
      </c>
      <c r="C171" s="1" t="s">
        <v>2508</v>
      </c>
      <c r="D171" s="1" t="s">
        <v>27</v>
      </c>
      <c r="E171" s="1" t="s">
        <v>34</v>
      </c>
      <c r="F171" s="1" t="s">
        <v>50</v>
      </c>
      <c r="G171" s="11" t="s">
        <v>4151</v>
      </c>
      <c r="H171" s="11" t="s">
        <v>4822</v>
      </c>
      <c r="I171" s="1" t="s">
        <v>3411</v>
      </c>
      <c r="J171" s="1" t="s">
        <v>2149</v>
      </c>
      <c r="K171" s="1" t="s">
        <v>2151</v>
      </c>
      <c r="L171" s="1" t="s">
        <v>1329</v>
      </c>
      <c r="M171" s="1" t="s">
        <v>1331</v>
      </c>
      <c r="N171" s="1" t="s">
        <v>1330</v>
      </c>
      <c r="O171" s="1" t="s">
        <v>1342</v>
      </c>
      <c r="P171" s="1" t="s">
        <v>1339</v>
      </c>
      <c r="Q171" s="1" t="s">
        <v>194</v>
      </c>
      <c r="R171" s="1" t="s">
        <v>32</v>
      </c>
      <c r="S171" s="1" t="s">
        <v>2170</v>
      </c>
      <c r="T171" s="1" t="s">
        <v>643</v>
      </c>
      <c r="U171" s="1" t="s">
        <v>31</v>
      </c>
      <c r="V171" s="1" t="s">
        <v>2</v>
      </c>
      <c r="W171" s="14" t="s">
        <v>2</v>
      </c>
      <c r="X171" s="14" t="s">
        <v>4650</v>
      </c>
      <c r="Y171" s="14" t="s">
        <v>4556</v>
      </c>
      <c r="Z171" s="14" t="s">
        <v>31</v>
      </c>
      <c r="AA171" s="14" t="s">
        <v>4503</v>
      </c>
      <c r="AB171" s="14">
        <v>2</v>
      </c>
      <c r="AC171" s="14" t="s">
        <v>4504</v>
      </c>
      <c r="AD171" s="14">
        <v>2</v>
      </c>
      <c r="AE171" s="14" t="s">
        <v>626</v>
      </c>
      <c r="AF171" s="14" t="s">
        <v>626</v>
      </c>
      <c r="AG171" s="14" t="s">
        <v>4191</v>
      </c>
      <c r="AH171" s="14" t="s">
        <v>4191</v>
      </c>
      <c r="AI171" s="14" t="s">
        <v>4191</v>
      </c>
      <c r="AJ171" s="14" t="s">
        <v>194</v>
      </c>
      <c r="AK171" s="14" t="s">
        <v>4557</v>
      </c>
      <c r="AL171" s="14" t="s">
        <v>194</v>
      </c>
      <c r="AM171" s="14" t="s">
        <v>194</v>
      </c>
      <c r="AN171" s="14" t="s">
        <v>194</v>
      </c>
      <c r="AO171" s="14" t="s">
        <v>194</v>
      </c>
      <c r="AP171" s="14" t="s">
        <v>194</v>
      </c>
      <c r="AQ171" s="14" t="s">
        <v>2890</v>
      </c>
      <c r="AR171" s="14" t="s">
        <v>4505</v>
      </c>
    </row>
    <row r="172" spans="1:44" ht="120" hidden="1" x14ac:dyDescent="0.25">
      <c r="A172" s="1" t="s">
        <v>3688</v>
      </c>
      <c r="B172" s="1" t="s">
        <v>3760</v>
      </c>
      <c r="C172" s="1" t="s">
        <v>2508</v>
      </c>
      <c r="D172" s="1" t="s">
        <v>27</v>
      </c>
      <c r="E172" s="1" t="s">
        <v>34</v>
      </c>
      <c r="F172" s="1" t="s">
        <v>35</v>
      </c>
      <c r="G172" s="11" t="s">
        <v>3747</v>
      </c>
      <c r="H172" s="11" t="s">
        <v>4742</v>
      </c>
      <c r="I172" s="1" t="s">
        <v>3761</v>
      </c>
      <c r="J172" s="1" t="s">
        <v>2135</v>
      </c>
      <c r="K172" s="1" t="s">
        <v>3762</v>
      </c>
      <c r="L172" s="1" t="s">
        <v>1329</v>
      </c>
      <c r="M172" s="1" t="s">
        <v>562</v>
      </c>
      <c r="N172" s="1" t="s">
        <v>1330</v>
      </c>
      <c r="O172" s="1" t="s">
        <v>1164</v>
      </c>
      <c r="P172" s="1" t="s">
        <v>1339</v>
      </c>
      <c r="Q172" s="1" t="s">
        <v>194</v>
      </c>
      <c r="R172" s="1" t="s">
        <v>2</v>
      </c>
      <c r="S172" s="1" t="s">
        <v>563</v>
      </c>
      <c r="T172" s="1" t="s">
        <v>643</v>
      </c>
      <c r="U172" s="1" t="s">
        <v>31</v>
      </c>
      <c r="V172" s="1" t="s">
        <v>36</v>
      </c>
      <c r="W172" s="14" t="s">
        <v>2</v>
      </c>
      <c r="X172" s="14" t="s">
        <v>4650</v>
      </c>
      <c r="Y172" s="14" t="s">
        <v>4558</v>
      </c>
      <c r="Z172" s="14" t="s">
        <v>31</v>
      </c>
      <c r="AA172" s="14" t="s">
        <v>4506</v>
      </c>
      <c r="AB172" s="14">
        <v>1</v>
      </c>
      <c r="AC172" s="14" t="s">
        <v>4504</v>
      </c>
      <c r="AD172" s="14">
        <v>0</v>
      </c>
      <c r="AE172" s="14" t="s">
        <v>626</v>
      </c>
      <c r="AF172" s="14" t="s">
        <v>626</v>
      </c>
      <c r="AG172" s="14" t="s">
        <v>626</v>
      </c>
      <c r="AH172" s="14" t="s">
        <v>4191</v>
      </c>
      <c r="AI172" s="14" t="s">
        <v>4191</v>
      </c>
      <c r="AJ172" s="14" t="s">
        <v>194</v>
      </c>
      <c r="AK172" s="14" t="s">
        <v>194</v>
      </c>
      <c r="AL172" s="14" t="s">
        <v>194</v>
      </c>
      <c r="AM172" s="14" t="s">
        <v>194</v>
      </c>
      <c r="AN172" s="14" t="s">
        <v>194</v>
      </c>
      <c r="AO172" s="14" t="s">
        <v>194</v>
      </c>
      <c r="AP172" s="14" t="s">
        <v>194</v>
      </c>
      <c r="AQ172" s="14" t="s">
        <v>2890</v>
      </c>
      <c r="AR172" s="14" t="s">
        <v>4505</v>
      </c>
    </row>
    <row r="173" spans="1:44" ht="135" hidden="1" x14ac:dyDescent="0.25">
      <c r="A173" s="1" t="s">
        <v>3692</v>
      </c>
      <c r="B173" s="1" t="s">
        <v>3763</v>
      </c>
      <c r="C173" s="1" t="s">
        <v>2508</v>
      </c>
      <c r="D173" s="1" t="s">
        <v>27</v>
      </c>
      <c r="E173" s="1" t="s">
        <v>34</v>
      </c>
      <c r="F173" s="1" t="s">
        <v>35</v>
      </c>
      <c r="G173" s="11" t="s">
        <v>3750</v>
      </c>
      <c r="H173" s="11" t="s">
        <v>4743</v>
      </c>
      <c r="I173" s="1" t="s">
        <v>3761</v>
      </c>
      <c r="J173" s="1" t="s">
        <v>2135</v>
      </c>
      <c r="K173" s="1" t="s">
        <v>3762</v>
      </c>
      <c r="L173" s="1" t="s">
        <v>1329</v>
      </c>
      <c r="M173" s="1" t="s">
        <v>562</v>
      </c>
      <c r="N173" s="1" t="s">
        <v>1330</v>
      </c>
      <c r="O173" s="1" t="s">
        <v>1164</v>
      </c>
      <c r="P173" s="1" t="s">
        <v>1339</v>
      </c>
      <c r="Q173" s="1" t="s">
        <v>194</v>
      </c>
      <c r="R173" s="1" t="s">
        <v>317</v>
      </c>
      <c r="S173" s="1" t="s">
        <v>563</v>
      </c>
      <c r="T173" s="1" t="s">
        <v>643</v>
      </c>
      <c r="U173" s="1" t="s">
        <v>31</v>
      </c>
      <c r="V173" s="1" t="s">
        <v>36</v>
      </c>
      <c r="W173" s="14" t="s">
        <v>2</v>
      </c>
      <c r="X173" s="14" t="s">
        <v>4650</v>
      </c>
      <c r="Y173" s="14" t="s">
        <v>4559</v>
      </c>
      <c r="Z173" s="14" t="s">
        <v>31</v>
      </c>
      <c r="AA173" s="14" t="s">
        <v>4506</v>
      </c>
      <c r="AB173" s="14">
        <v>1</v>
      </c>
      <c r="AC173" s="14" t="s">
        <v>4504</v>
      </c>
      <c r="AD173" s="14">
        <v>0</v>
      </c>
      <c r="AE173" s="14" t="s">
        <v>626</v>
      </c>
      <c r="AF173" s="14" t="s">
        <v>626</v>
      </c>
      <c r="AG173" s="14" t="s">
        <v>626</v>
      </c>
      <c r="AH173" s="14" t="s">
        <v>4191</v>
      </c>
      <c r="AI173" s="14" t="s">
        <v>4191</v>
      </c>
      <c r="AJ173" s="14" t="s">
        <v>194</v>
      </c>
      <c r="AK173" s="14" t="s">
        <v>194</v>
      </c>
      <c r="AL173" s="14" t="s">
        <v>194</v>
      </c>
      <c r="AM173" s="14" t="s">
        <v>194</v>
      </c>
      <c r="AN173" s="14" t="s">
        <v>194</v>
      </c>
      <c r="AO173" s="14" t="s">
        <v>194</v>
      </c>
      <c r="AP173" s="14" t="s">
        <v>194</v>
      </c>
      <c r="AQ173" s="14" t="s">
        <v>2890</v>
      </c>
      <c r="AR173" s="14" t="s">
        <v>4505</v>
      </c>
    </row>
    <row r="174" spans="1:44" ht="135" hidden="1" x14ac:dyDescent="0.25">
      <c r="A174" s="1" t="s">
        <v>3696</v>
      </c>
      <c r="B174" s="1" t="s">
        <v>3764</v>
      </c>
      <c r="C174" s="1" t="s">
        <v>2508</v>
      </c>
      <c r="D174" s="1" t="s">
        <v>27</v>
      </c>
      <c r="E174" s="1" t="s">
        <v>34</v>
      </c>
      <c r="F174" s="1" t="s">
        <v>35</v>
      </c>
      <c r="G174" s="11" t="s">
        <v>3753</v>
      </c>
      <c r="H174" s="11" t="s">
        <v>4743</v>
      </c>
      <c r="I174" s="1" t="s">
        <v>3761</v>
      </c>
      <c r="J174" s="1" t="s">
        <v>2135</v>
      </c>
      <c r="K174" s="1" t="s">
        <v>3762</v>
      </c>
      <c r="L174" s="1" t="s">
        <v>1329</v>
      </c>
      <c r="M174" s="1" t="s">
        <v>562</v>
      </c>
      <c r="N174" s="1" t="s">
        <v>1330</v>
      </c>
      <c r="O174" s="1" t="s">
        <v>1164</v>
      </c>
      <c r="P174" s="1" t="s">
        <v>1339</v>
      </c>
      <c r="Q174" s="1" t="s">
        <v>194</v>
      </c>
      <c r="R174" s="1" t="s">
        <v>36</v>
      </c>
      <c r="S174" s="1" t="s">
        <v>563</v>
      </c>
      <c r="T174" s="1" t="s">
        <v>643</v>
      </c>
      <c r="U174" s="1" t="s">
        <v>31</v>
      </c>
      <c r="V174" s="1" t="s">
        <v>36</v>
      </c>
      <c r="W174" s="14" t="s">
        <v>2</v>
      </c>
      <c r="X174" s="14" t="s">
        <v>4650</v>
      </c>
      <c r="Y174" s="14" t="s">
        <v>4559</v>
      </c>
      <c r="Z174" s="14" t="s">
        <v>31</v>
      </c>
      <c r="AA174" s="14" t="s">
        <v>4506</v>
      </c>
      <c r="AB174" s="14">
        <v>1</v>
      </c>
      <c r="AC174" s="14" t="s">
        <v>4504</v>
      </c>
      <c r="AD174" s="14">
        <v>0</v>
      </c>
      <c r="AE174" s="14" t="s">
        <v>626</v>
      </c>
      <c r="AF174" s="14" t="s">
        <v>626</v>
      </c>
      <c r="AG174" s="14" t="s">
        <v>626</v>
      </c>
      <c r="AH174" s="14" t="s">
        <v>4191</v>
      </c>
      <c r="AI174" s="14" t="s">
        <v>4191</v>
      </c>
      <c r="AJ174" s="14" t="s">
        <v>194</v>
      </c>
      <c r="AK174" s="14" t="s">
        <v>194</v>
      </c>
      <c r="AL174" s="14" t="s">
        <v>194</v>
      </c>
      <c r="AM174" s="14" t="s">
        <v>194</v>
      </c>
      <c r="AN174" s="14" t="s">
        <v>194</v>
      </c>
      <c r="AO174" s="14" t="s">
        <v>194</v>
      </c>
      <c r="AP174" s="14" t="s">
        <v>194</v>
      </c>
      <c r="AQ174" s="14" t="s">
        <v>2890</v>
      </c>
      <c r="AR174" s="14" t="s">
        <v>4505</v>
      </c>
    </row>
    <row r="175" spans="1:44" ht="105" hidden="1" x14ac:dyDescent="0.25">
      <c r="A175" s="1" t="s">
        <v>4026</v>
      </c>
      <c r="B175" s="1" t="s">
        <v>4054</v>
      </c>
      <c r="C175" s="1" t="s">
        <v>2508</v>
      </c>
      <c r="D175" s="1" t="s">
        <v>27</v>
      </c>
      <c r="E175" s="1" t="s">
        <v>34</v>
      </c>
      <c r="F175" s="1" t="s">
        <v>35</v>
      </c>
      <c r="G175" s="11" t="s">
        <v>2630</v>
      </c>
      <c r="H175" s="11" t="s">
        <v>4735</v>
      </c>
      <c r="I175" s="1" t="s">
        <v>82</v>
      </c>
      <c r="J175" s="1" t="s">
        <v>2631</v>
      </c>
      <c r="K175" s="1" t="s">
        <v>4063</v>
      </c>
      <c r="L175" s="1" t="s">
        <v>1329</v>
      </c>
      <c r="M175" s="1" t="s">
        <v>562</v>
      </c>
      <c r="N175" s="1" t="s">
        <v>1330</v>
      </c>
      <c r="O175" s="1" t="s">
        <v>1164</v>
      </c>
      <c r="P175" s="1" t="s">
        <v>1339</v>
      </c>
      <c r="Q175" s="1" t="s">
        <v>194</v>
      </c>
      <c r="R175" s="1" t="s">
        <v>2</v>
      </c>
      <c r="S175" s="1" t="s">
        <v>563</v>
      </c>
      <c r="T175" s="1" t="s">
        <v>643</v>
      </c>
      <c r="U175" s="1" t="s">
        <v>31</v>
      </c>
      <c r="V175" s="1" t="s">
        <v>90</v>
      </c>
      <c r="W175" s="14" t="s">
        <v>2</v>
      </c>
      <c r="X175" s="14" t="s">
        <v>4668</v>
      </c>
      <c r="Y175" s="14" t="s">
        <v>4551</v>
      </c>
      <c r="Z175" s="14" t="s">
        <v>31</v>
      </c>
      <c r="AA175" s="14" t="s">
        <v>4506</v>
      </c>
      <c r="AB175" s="14">
        <v>1</v>
      </c>
      <c r="AC175" s="14" t="s">
        <v>194</v>
      </c>
      <c r="AD175" s="14">
        <v>0</v>
      </c>
      <c r="AE175" s="14" t="s">
        <v>626</v>
      </c>
      <c r="AF175" s="14" t="s">
        <v>626</v>
      </c>
      <c r="AG175" s="14" t="s">
        <v>626</v>
      </c>
      <c r="AH175" s="14" t="s">
        <v>4191</v>
      </c>
      <c r="AI175" s="14" t="s">
        <v>4191</v>
      </c>
      <c r="AJ175" s="14" t="s">
        <v>194</v>
      </c>
      <c r="AK175" s="14" t="s">
        <v>194</v>
      </c>
      <c r="AL175" s="14" t="s">
        <v>194</v>
      </c>
      <c r="AM175" s="14" t="s">
        <v>194</v>
      </c>
      <c r="AN175" s="14" t="s">
        <v>194</v>
      </c>
      <c r="AO175" s="14" t="s">
        <v>194</v>
      </c>
      <c r="AP175" s="14" t="s">
        <v>194</v>
      </c>
      <c r="AQ175" s="14" t="s">
        <v>2873</v>
      </c>
      <c r="AR175" s="14" t="s">
        <v>4505</v>
      </c>
    </row>
    <row r="176" spans="1:44" ht="105" hidden="1" x14ac:dyDescent="0.25">
      <c r="A176" s="1" t="s">
        <v>4028</v>
      </c>
      <c r="B176" s="1" t="s">
        <v>4102</v>
      </c>
      <c r="C176" s="1" t="s">
        <v>2508</v>
      </c>
      <c r="D176" s="1" t="s">
        <v>27</v>
      </c>
      <c r="E176" s="1" t="s">
        <v>34</v>
      </c>
      <c r="F176" s="1" t="s">
        <v>35</v>
      </c>
      <c r="G176" s="11" t="s">
        <v>2630</v>
      </c>
      <c r="H176" s="11" t="s">
        <v>4735</v>
      </c>
      <c r="I176" s="1" t="s">
        <v>82</v>
      </c>
      <c r="J176" s="1" t="s">
        <v>2631</v>
      </c>
      <c r="K176" s="1" t="s">
        <v>4063</v>
      </c>
      <c r="L176" s="1" t="s">
        <v>1329</v>
      </c>
      <c r="M176" s="1" t="s">
        <v>562</v>
      </c>
      <c r="N176" s="1" t="s">
        <v>1330</v>
      </c>
      <c r="O176" s="1" t="s">
        <v>1164</v>
      </c>
      <c r="P176" s="1" t="s">
        <v>1339</v>
      </c>
      <c r="Q176" s="1" t="s">
        <v>194</v>
      </c>
      <c r="R176" s="1" t="s">
        <v>314</v>
      </c>
      <c r="S176" s="1" t="s">
        <v>563</v>
      </c>
      <c r="T176" s="1" t="s">
        <v>643</v>
      </c>
      <c r="U176" s="1" t="s">
        <v>31</v>
      </c>
      <c r="V176" s="1" t="s">
        <v>90</v>
      </c>
      <c r="W176" s="14" t="s">
        <v>2</v>
      </c>
      <c r="X176" s="14" t="s">
        <v>4668</v>
      </c>
      <c r="Y176" s="14" t="s">
        <v>4551</v>
      </c>
      <c r="Z176" s="14" t="s">
        <v>31</v>
      </c>
      <c r="AA176" s="14" t="s">
        <v>4506</v>
      </c>
      <c r="AB176" s="14">
        <v>1</v>
      </c>
      <c r="AC176" s="14" t="s">
        <v>194</v>
      </c>
      <c r="AD176" s="14">
        <v>0</v>
      </c>
      <c r="AE176" s="14" t="s">
        <v>626</v>
      </c>
      <c r="AF176" s="14" t="s">
        <v>626</v>
      </c>
      <c r="AG176" s="14" t="s">
        <v>626</v>
      </c>
      <c r="AH176" s="14" t="s">
        <v>4191</v>
      </c>
      <c r="AI176" s="14" t="s">
        <v>4191</v>
      </c>
      <c r="AJ176" s="14" t="s">
        <v>194</v>
      </c>
      <c r="AK176" s="14" t="s">
        <v>194</v>
      </c>
      <c r="AL176" s="14" t="s">
        <v>194</v>
      </c>
      <c r="AM176" s="14" t="s">
        <v>194</v>
      </c>
      <c r="AN176" s="14" t="s">
        <v>194</v>
      </c>
      <c r="AO176" s="14" t="s">
        <v>194</v>
      </c>
      <c r="AP176" s="14" t="s">
        <v>194</v>
      </c>
      <c r="AQ176" s="14" t="s">
        <v>2873</v>
      </c>
      <c r="AR176" s="14" t="s">
        <v>4505</v>
      </c>
    </row>
    <row r="177" spans="1:44" ht="105" hidden="1" x14ac:dyDescent="0.25">
      <c r="A177" s="1" t="s">
        <v>4030</v>
      </c>
      <c r="B177" s="1" t="s">
        <v>4103</v>
      </c>
      <c r="C177" s="1" t="s">
        <v>2508</v>
      </c>
      <c r="D177" s="1" t="s">
        <v>27</v>
      </c>
      <c r="E177" s="1" t="s">
        <v>34</v>
      </c>
      <c r="F177" s="1" t="s">
        <v>35</v>
      </c>
      <c r="G177" s="11" t="s">
        <v>2630</v>
      </c>
      <c r="H177" s="11" t="s">
        <v>4735</v>
      </c>
      <c r="I177" s="1" t="s">
        <v>82</v>
      </c>
      <c r="J177" s="1" t="s">
        <v>2631</v>
      </c>
      <c r="K177" s="1" t="s">
        <v>4063</v>
      </c>
      <c r="L177" s="1" t="s">
        <v>1329</v>
      </c>
      <c r="M177" s="1" t="s">
        <v>562</v>
      </c>
      <c r="N177" s="1" t="s">
        <v>1330</v>
      </c>
      <c r="O177" s="1" t="s">
        <v>1164</v>
      </c>
      <c r="P177" s="1" t="s">
        <v>1339</v>
      </c>
      <c r="Q177" s="1" t="s">
        <v>194</v>
      </c>
      <c r="R177" s="1" t="s">
        <v>317</v>
      </c>
      <c r="S177" s="1" t="s">
        <v>563</v>
      </c>
      <c r="T177" s="1" t="s">
        <v>643</v>
      </c>
      <c r="U177" s="1" t="s">
        <v>31</v>
      </c>
      <c r="V177" s="1" t="s">
        <v>90</v>
      </c>
      <c r="W177" s="14" t="s">
        <v>2</v>
      </c>
      <c r="X177" s="14" t="s">
        <v>4668</v>
      </c>
      <c r="Y177" s="14" t="s">
        <v>4551</v>
      </c>
      <c r="Z177" s="14" t="s">
        <v>31</v>
      </c>
      <c r="AA177" s="14" t="s">
        <v>4506</v>
      </c>
      <c r="AB177" s="14">
        <v>1</v>
      </c>
      <c r="AC177" s="14" t="s">
        <v>194</v>
      </c>
      <c r="AD177" s="14">
        <v>0</v>
      </c>
      <c r="AE177" s="14" t="s">
        <v>626</v>
      </c>
      <c r="AF177" s="14" t="s">
        <v>626</v>
      </c>
      <c r="AG177" s="14" t="s">
        <v>626</v>
      </c>
      <c r="AH177" s="14" t="s">
        <v>4191</v>
      </c>
      <c r="AI177" s="14" t="s">
        <v>4191</v>
      </c>
      <c r="AJ177" s="14" t="s">
        <v>194</v>
      </c>
      <c r="AK177" s="14" t="s">
        <v>194</v>
      </c>
      <c r="AL177" s="14" t="s">
        <v>194</v>
      </c>
      <c r="AM177" s="14" t="s">
        <v>194</v>
      </c>
      <c r="AN177" s="14" t="s">
        <v>194</v>
      </c>
      <c r="AO177" s="14" t="s">
        <v>194</v>
      </c>
      <c r="AP177" s="14" t="s">
        <v>194</v>
      </c>
      <c r="AQ177" s="14" t="s">
        <v>2873</v>
      </c>
      <c r="AR177" s="14" t="s">
        <v>4505</v>
      </c>
    </row>
    <row r="178" spans="1:44" ht="105" hidden="1" x14ac:dyDescent="0.25">
      <c r="A178" s="1" t="s">
        <v>4032</v>
      </c>
      <c r="B178" s="1" t="s">
        <v>4104</v>
      </c>
      <c r="C178" s="1" t="s">
        <v>2508</v>
      </c>
      <c r="D178" s="1" t="s">
        <v>27</v>
      </c>
      <c r="E178" s="1" t="s">
        <v>34</v>
      </c>
      <c r="F178" s="1" t="s">
        <v>35</v>
      </c>
      <c r="G178" s="11" t="s">
        <v>2630</v>
      </c>
      <c r="H178" s="11" t="s">
        <v>4735</v>
      </c>
      <c r="I178" s="1" t="s">
        <v>82</v>
      </c>
      <c r="J178" s="1" t="s">
        <v>2631</v>
      </c>
      <c r="K178" s="1" t="s">
        <v>4063</v>
      </c>
      <c r="L178" s="1" t="s">
        <v>1329</v>
      </c>
      <c r="M178" s="1" t="s">
        <v>562</v>
      </c>
      <c r="N178" s="1" t="s">
        <v>1330</v>
      </c>
      <c r="O178" s="1" t="s">
        <v>1164</v>
      </c>
      <c r="P178" s="1" t="s">
        <v>1339</v>
      </c>
      <c r="Q178" s="1" t="s">
        <v>194</v>
      </c>
      <c r="R178" s="1" t="s">
        <v>36</v>
      </c>
      <c r="S178" s="1" t="s">
        <v>563</v>
      </c>
      <c r="T178" s="1" t="s">
        <v>643</v>
      </c>
      <c r="U178" s="1" t="s">
        <v>31</v>
      </c>
      <c r="V178" s="1" t="s">
        <v>90</v>
      </c>
      <c r="W178" s="14" t="s">
        <v>2</v>
      </c>
      <c r="X178" s="14" t="s">
        <v>4668</v>
      </c>
      <c r="Y178" s="14" t="s">
        <v>4551</v>
      </c>
      <c r="Z178" s="14" t="s">
        <v>31</v>
      </c>
      <c r="AA178" s="14" t="s">
        <v>4506</v>
      </c>
      <c r="AB178" s="14">
        <v>1</v>
      </c>
      <c r="AC178" s="14" t="s">
        <v>194</v>
      </c>
      <c r="AD178" s="14">
        <v>0</v>
      </c>
      <c r="AE178" s="14" t="s">
        <v>626</v>
      </c>
      <c r="AF178" s="14" t="s">
        <v>626</v>
      </c>
      <c r="AG178" s="14" t="s">
        <v>626</v>
      </c>
      <c r="AH178" s="14" t="s">
        <v>4191</v>
      </c>
      <c r="AI178" s="14" t="s">
        <v>4191</v>
      </c>
      <c r="AJ178" s="14" t="s">
        <v>194</v>
      </c>
      <c r="AK178" s="14" t="s">
        <v>194</v>
      </c>
      <c r="AL178" s="14" t="s">
        <v>194</v>
      </c>
      <c r="AM178" s="14" t="s">
        <v>194</v>
      </c>
      <c r="AN178" s="14" t="s">
        <v>194</v>
      </c>
      <c r="AO178" s="14" t="s">
        <v>194</v>
      </c>
      <c r="AP178" s="14" t="s">
        <v>194</v>
      </c>
      <c r="AQ178" s="14" t="s">
        <v>2873</v>
      </c>
      <c r="AR178" s="14" t="s">
        <v>4505</v>
      </c>
    </row>
    <row r="179" spans="1:44" ht="150" hidden="1" x14ac:dyDescent="0.25">
      <c r="A179" s="1" t="s">
        <v>4034</v>
      </c>
      <c r="B179" s="1" t="s">
        <v>4120</v>
      </c>
      <c r="C179" s="1" t="s">
        <v>2508</v>
      </c>
      <c r="D179" s="1" t="s">
        <v>27</v>
      </c>
      <c r="E179" s="1" t="s">
        <v>34</v>
      </c>
      <c r="F179" s="1" t="s">
        <v>50</v>
      </c>
      <c r="G179" s="11" t="s">
        <v>4122</v>
      </c>
      <c r="H179" s="11" t="s">
        <v>4649</v>
      </c>
      <c r="I179" s="1" t="s">
        <v>1053</v>
      </c>
      <c r="J179" s="1" t="s">
        <v>2152</v>
      </c>
      <c r="K179" s="1" t="s">
        <v>2153</v>
      </c>
      <c r="L179" s="1" t="s">
        <v>1329</v>
      </c>
      <c r="M179" s="1" t="s">
        <v>1331</v>
      </c>
      <c r="N179" s="1" t="s">
        <v>1330</v>
      </c>
      <c r="O179" s="1" t="s">
        <v>1164</v>
      </c>
      <c r="P179" s="1" t="s">
        <v>1339</v>
      </c>
      <c r="Q179" s="1" t="s">
        <v>194</v>
      </c>
      <c r="R179" s="1" t="s">
        <v>4062</v>
      </c>
      <c r="S179" s="1" t="s">
        <v>2170</v>
      </c>
      <c r="T179" s="1" t="s">
        <v>643</v>
      </c>
      <c r="U179" s="1" t="s">
        <v>31</v>
      </c>
      <c r="V179" s="1" t="s">
        <v>90</v>
      </c>
      <c r="W179" s="14" t="s">
        <v>2</v>
      </c>
      <c r="X179" s="14" t="s">
        <v>4650</v>
      </c>
      <c r="Y179" s="14" t="s">
        <v>4502</v>
      </c>
      <c r="Z179" s="14" t="s">
        <v>31</v>
      </c>
      <c r="AA179" s="14" t="s">
        <v>4503</v>
      </c>
      <c r="AB179" s="14">
        <v>1</v>
      </c>
      <c r="AC179" s="14" t="s">
        <v>4504</v>
      </c>
      <c r="AD179" s="14">
        <v>2</v>
      </c>
      <c r="AE179" s="14" t="s">
        <v>626</v>
      </c>
      <c r="AF179" s="14" t="s">
        <v>4191</v>
      </c>
      <c r="AG179" s="14" t="s">
        <v>4191</v>
      </c>
      <c r="AH179" s="14" t="s">
        <v>4191</v>
      </c>
      <c r="AI179" s="14" t="s">
        <v>4191</v>
      </c>
      <c r="AJ179" s="14" t="s">
        <v>194</v>
      </c>
      <c r="AK179" s="14" t="s">
        <v>194</v>
      </c>
      <c r="AL179" s="14" t="s">
        <v>194</v>
      </c>
      <c r="AM179" s="14" t="s">
        <v>194</v>
      </c>
      <c r="AN179" s="14" t="s">
        <v>194</v>
      </c>
      <c r="AO179" s="14" t="s">
        <v>194</v>
      </c>
      <c r="AP179" s="14" t="s">
        <v>194</v>
      </c>
      <c r="AQ179" s="14" t="s">
        <v>2890</v>
      </c>
      <c r="AR179" s="14" t="s">
        <v>4505</v>
      </c>
    </row>
    <row r="180" spans="1:44" ht="120" hidden="1" x14ac:dyDescent="0.25">
      <c r="A180" s="1" t="s">
        <v>4081</v>
      </c>
      <c r="B180" s="1" t="s">
        <v>2158</v>
      </c>
      <c r="C180" s="1" t="s">
        <v>2508</v>
      </c>
      <c r="D180" s="1" t="s">
        <v>27</v>
      </c>
      <c r="E180" s="1" t="s">
        <v>34</v>
      </c>
      <c r="F180" s="1" t="s">
        <v>50</v>
      </c>
      <c r="G180" s="11" t="s">
        <v>2628</v>
      </c>
      <c r="H180" s="11" t="s">
        <v>4744</v>
      </c>
      <c r="I180" s="1" t="s">
        <v>135</v>
      </c>
      <c r="J180" s="1" t="s">
        <v>2149</v>
      </c>
      <c r="K180" s="1" t="s">
        <v>2158</v>
      </c>
      <c r="L180" s="1" t="s">
        <v>1329</v>
      </c>
      <c r="M180" s="1" t="s">
        <v>1331</v>
      </c>
      <c r="N180" s="1" t="s">
        <v>1330</v>
      </c>
      <c r="O180" s="1" t="s">
        <v>1342</v>
      </c>
      <c r="P180" s="1" t="s">
        <v>1339</v>
      </c>
      <c r="Q180" s="1" t="s">
        <v>194</v>
      </c>
      <c r="R180" s="1" t="s">
        <v>32</v>
      </c>
      <c r="S180" s="1" t="s">
        <v>2170</v>
      </c>
      <c r="T180" s="1" t="s">
        <v>643</v>
      </c>
      <c r="U180" s="1" t="s">
        <v>31</v>
      </c>
      <c r="V180" s="1" t="s">
        <v>379</v>
      </c>
      <c r="W180" s="14" t="s">
        <v>32</v>
      </c>
      <c r="X180" s="14" t="s">
        <v>4650</v>
      </c>
      <c r="Y180" s="14" t="s">
        <v>4560</v>
      </c>
      <c r="Z180" s="14" t="s">
        <v>31</v>
      </c>
      <c r="AA180" s="14" t="s">
        <v>4503</v>
      </c>
      <c r="AB180" s="14">
        <v>2</v>
      </c>
      <c r="AC180" s="14" t="s">
        <v>194</v>
      </c>
      <c r="AD180" s="14">
        <v>2</v>
      </c>
      <c r="AE180" s="14" t="s">
        <v>626</v>
      </c>
      <c r="AF180" s="14" t="s">
        <v>626</v>
      </c>
      <c r="AG180" s="14" t="s">
        <v>626</v>
      </c>
      <c r="AH180" s="14" t="s">
        <v>626</v>
      </c>
      <c r="AI180" s="14" t="s">
        <v>626</v>
      </c>
      <c r="AJ180" s="14" t="s">
        <v>194</v>
      </c>
      <c r="AK180" s="14" t="s">
        <v>4561</v>
      </c>
      <c r="AL180" s="14" t="s">
        <v>194</v>
      </c>
      <c r="AM180" s="14" t="s">
        <v>194</v>
      </c>
      <c r="AN180" s="14" t="s">
        <v>194</v>
      </c>
      <c r="AO180" s="14" t="s">
        <v>194</v>
      </c>
      <c r="AP180" s="14" t="s">
        <v>194</v>
      </c>
      <c r="AQ180" s="14" t="s">
        <v>2890</v>
      </c>
      <c r="AR180" s="14" t="s">
        <v>4512</v>
      </c>
    </row>
    <row r="181" spans="1:44" ht="135" x14ac:dyDescent="0.25">
      <c r="A181" s="1" t="s">
        <v>4832</v>
      </c>
      <c r="B181" s="1" t="s">
        <v>106</v>
      </c>
      <c r="C181" s="1" t="s">
        <v>2508</v>
      </c>
      <c r="D181" s="1" t="s">
        <v>27</v>
      </c>
      <c r="E181" s="1" t="s">
        <v>34</v>
      </c>
      <c r="F181" s="1" t="s">
        <v>50</v>
      </c>
      <c r="G181" s="11" t="s">
        <v>2648</v>
      </c>
      <c r="H181" s="11" t="s">
        <v>4863</v>
      </c>
      <c r="I181" s="1" t="s">
        <v>94</v>
      </c>
      <c r="J181" s="1" t="s">
        <v>108</v>
      </c>
      <c r="K181" s="1" t="s">
        <v>108</v>
      </c>
      <c r="L181" s="1" t="s">
        <v>1329</v>
      </c>
      <c r="M181" s="1" t="s">
        <v>1331</v>
      </c>
      <c r="N181" s="1" t="s">
        <v>1330</v>
      </c>
      <c r="O181" s="1" t="s">
        <v>4865</v>
      </c>
      <c r="P181" s="1" t="s">
        <v>1339</v>
      </c>
      <c r="Q181" s="1" t="s">
        <v>194</v>
      </c>
      <c r="R181" s="1" t="s">
        <v>32</v>
      </c>
      <c r="S181" s="1" t="s">
        <v>2170</v>
      </c>
      <c r="T181" s="1" t="s">
        <v>4656</v>
      </c>
      <c r="U181" s="1" t="s">
        <v>31</v>
      </c>
      <c r="V181" s="1" t="s">
        <v>90</v>
      </c>
      <c r="W181" s="1" t="s">
        <v>32</v>
      </c>
      <c r="X181" s="1" t="s">
        <v>4650</v>
      </c>
      <c r="Y181" s="1" t="s">
        <v>4548</v>
      </c>
      <c r="Z181" s="1" t="s">
        <v>31</v>
      </c>
      <c r="AA181" s="1" t="s">
        <v>4503</v>
      </c>
      <c r="AB181" s="1">
        <v>2</v>
      </c>
      <c r="AC181" s="1" t="s">
        <v>4509</v>
      </c>
      <c r="AD181" s="1">
        <v>2</v>
      </c>
      <c r="AE181" s="1" t="s">
        <v>626</v>
      </c>
      <c r="AF181" s="1" t="s">
        <v>626</v>
      </c>
      <c r="AG181" s="1" t="s">
        <v>626</v>
      </c>
      <c r="AH181" s="1" t="s">
        <v>626</v>
      </c>
      <c r="AI181" s="1" t="s">
        <v>626</v>
      </c>
      <c r="AJ181" s="1" t="s">
        <v>194</v>
      </c>
      <c r="AK181" s="1" t="s">
        <v>4561</v>
      </c>
      <c r="AL181" s="1" t="s">
        <v>194</v>
      </c>
      <c r="AM181" s="1" t="s">
        <v>194</v>
      </c>
      <c r="AN181" s="1" t="s">
        <v>194</v>
      </c>
      <c r="AO181" s="1" t="s">
        <v>194</v>
      </c>
      <c r="AP181" s="1" t="s">
        <v>194</v>
      </c>
      <c r="AQ181" s="1" t="s">
        <v>2890</v>
      </c>
      <c r="AR181" s="1" t="s">
        <v>4505</v>
      </c>
    </row>
    <row r="182" spans="1:44" ht="210" hidden="1" x14ac:dyDescent="0.25">
      <c r="A182" s="1" t="s">
        <v>4626</v>
      </c>
      <c r="B182" s="1" t="s">
        <v>4645</v>
      </c>
      <c r="C182" s="1" t="s">
        <v>2508</v>
      </c>
      <c r="D182" s="1" t="s">
        <v>27</v>
      </c>
      <c r="E182" s="1" t="s">
        <v>34</v>
      </c>
      <c r="F182" s="1" t="s">
        <v>50</v>
      </c>
      <c r="G182" s="11" t="s">
        <v>4749</v>
      </c>
      <c r="H182" s="11" t="s">
        <v>4823</v>
      </c>
      <c r="I182" s="1" t="s">
        <v>4647</v>
      </c>
      <c r="J182" s="1" t="s">
        <v>2631</v>
      </c>
      <c r="K182" s="1" t="s">
        <v>2947</v>
      </c>
      <c r="L182" s="1" t="s">
        <v>1329</v>
      </c>
      <c r="M182" s="1" t="s">
        <v>1331</v>
      </c>
      <c r="N182" s="1" t="s">
        <v>1330</v>
      </c>
      <c r="O182" s="1" t="s">
        <v>1164</v>
      </c>
      <c r="P182" s="1" t="s">
        <v>1339</v>
      </c>
      <c r="Q182" s="1" t="s">
        <v>194</v>
      </c>
      <c r="R182" s="1" t="s">
        <v>314</v>
      </c>
      <c r="S182" s="1" t="s">
        <v>563</v>
      </c>
      <c r="T182" s="1" t="s">
        <v>643</v>
      </c>
      <c r="U182" s="1" t="s">
        <v>31</v>
      </c>
      <c r="V182" s="1" t="s">
        <v>90</v>
      </c>
      <c r="W182" s="1" t="s">
        <v>2</v>
      </c>
      <c r="X182" s="1" t="s">
        <v>4650</v>
      </c>
      <c r="Y182" s="1" t="s">
        <v>4773</v>
      </c>
      <c r="Z182" s="1" t="s">
        <v>31</v>
      </c>
      <c r="AA182" s="1" t="s">
        <v>4503</v>
      </c>
      <c r="AB182" s="1">
        <v>1</v>
      </c>
      <c r="AC182" s="1" t="s">
        <v>194</v>
      </c>
      <c r="AD182" s="1">
        <v>0</v>
      </c>
      <c r="AE182" s="1" t="s">
        <v>626</v>
      </c>
      <c r="AF182" s="1" t="s">
        <v>4191</v>
      </c>
      <c r="AG182" s="1" t="s">
        <v>4191</v>
      </c>
      <c r="AH182" s="1" t="s">
        <v>4191</v>
      </c>
      <c r="AI182" s="1" t="s">
        <v>4191</v>
      </c>
      <c r="AJ182" s="1" t="s">
        <v>194</v>
      </c>
      <c r="AK182" s="1" t="s">
        <v>194</v>
      </c>
      <c r="AL182" s="1" t="s">
        <v>194</v>
      </c>
      <c r="AM182" s="1" t="s">
        <v>194</v>
      </c>
      <c r="AN182" s="1" t="s">
        <v>194</v>
      </c>
      <c r="AO182" s="1" t="s">
        <v>194</v>
      </c>
      <c r="AP182" s="1" t="s">
        <v>194</v>
      </c>
      <c r="AQ182" s="1" t="s">
        <v>2890</v>
      </c>
      <c r="AR182" s="1" t="s">
        <v>4505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1"/>
  <sheetViews>
    <sheetView topLeftCell="N1" zoomScale="85" zoomScaleNormal="85" workbookViewId="0">
      <selection activeCell="U180" sqref="U180"/>
    </sheetView>
  </sheetViews>
  <sheetFormatPr defaultRowHeight="15" x14ac:dyDescent="0.25"/>
  <cols>
    <col min="1" max="1" width="18" customWidth="1"/>
    <col min="2" max="2" width="24.28515625" customWidth="1"/>
    <col min="3" max="3" width="29.28515625" customWidth="1"/>
    <col min="4" max="5" width="28.5703125" customWidth="1"/>
    <col min="6" max="6" width="29.28515625" customWidth="1"/>
    <col min="7" max="7" width="21.7109375" customWidth="1"/>
    <col min="8" max="8" width="20.85546875" customWidth="1"/>
    <col min="9" max="9" width="25.28515625" customWidth="1"/>
    <col min="10" max="10" width="21" customWidth="1"/>
    <col min="11" max="11" width="20.28515625" customWidth="1"/>
    <col min="12" max="12" width="22" customWidth="1"/>
    <col min="13" max="13" width="255.7109375" customWidth="1"/>
    <col min="14" max="14" width="25.85546875" customWidth="1"/>
    <col min="15" max="15" width="13" customWidth="1"/>
    <col min="16" max="16" width="5.140625" customWidth="1"/>
    <col min="17" max="18" width="12" customWidth="1"/>
    <col min="19" max="19" width="21.5703125" customWidth="1"/>
    <col min="20" max="20" width="12.5703125" customWidth="1"/>
    <col min="21" max="21" width="69.5703125" customWidth="1"/>
    <col min="22" max="22" width="14.7109375" customWidth="1"/>
  </cols>
  <sheetData>
    <row r="1" spans="1:22" x14ac:dyDescent="0.25">
      <c r="S1" t="s">
        <v>144</v>
      </c>
      <c r="T1" t="s">
        <v>577</v>
      </c>
      <c r="U1" t="s">
        <v>11</v>
      </c>
      <c r="V1" t="s">
        <v>577</v>
      </c>
    </row>
    <row r="2" spans="1:22" x14ac:dyDescent="0.25">
      <c r="A2" s="1" t="s">
        <v>0</v>
      </c>
      <c r="B2" s="1" t="s">
        <v>554</v>
      </c>
      <c r="C2" s="1" t="s">
        <v>555</v>
      </c>
      <c r="D2" s="1" t="s">
        <v>11</v>
      </c>
      <c r="E2" s="1" t="s">
        <v>1309</v>
      </c>
      <c r="F2" s="1" t="s">
        <v>1310</v>
      </c>
      <c r="G2" s="1" t="s">
        <v>1311</v>
      </c>
      <c r="H2" s="1" t="s">
        <v>556</v>
      </c>
      <c r="I2" s="1" t="s">
        <v>557</v>
      </c>
      <c r="J2" s="1" t="s">
        <v>558</v>
      </c>
      <c r="K2" s="1" t="s">
        <v>559</v>
      </c>
      <c r="L2" s="1" t="s">
        <v>560</v>
      </c>
      <c r="M2" s="1" t="s">
        <v>1312</v>
      </c>
      <c r="N2" s="1" t="s">
        <v>4069</v>
      </c>
      <c r="O2" s="1" t="s">
        <v>23</v>
      </c>
      <c r="P2" s="1" t="s">
        <v>626</v>
      </c>
      <c r="Q2" s="1" t="s">
        <v>1090</v>
      </c>
      <c r="R2" s="1" t="s">
        <v>1089</v>
      </c>
      <c r="S2" s="32" t="s">
        <v>1631</v>
      </c>
      <c r="T2" s="32" t="s">
        <v>1630</v>
      </c>
      <c r="U2" s="32" t="s">
        <v>1626</v>
      </c>
      <c r="V2" s="32" t="s">
        <v>1636</v>
      </c>
    </row>
    <row r="3" spans="1:22" hidden="1" x14ac:dyDescent="0.25">
      <c r="A3" s="1" t="s">
        <v>112</v>
      </c>
      <c r="B3" s="1" t="s">
        <v>2</v>
      </c>
      <c r="C3" s="14" t="s">
        <v>194</v>
      </c>
      <c r="D3" s="14" t="s">
        <v>575</v>
      </c>
      <c r="E3" s="14" t="s">
        <v>575</v>
      </c>
      <c r="F3" s="14" t="s">
        <v>194</v>
      </c>
      <c r="G3" s="14" t="s">
        <v>194</v>
      </c>
      <c r="H3" s="14" t="s">
        <v>194</v>
      </c>
      <c r="I3" s="14" t="s">
        <v>562</v>
      </c>
      <c r="J3" s="1" t="s">
        <v>576</v>
      </c>
      <c r="K3" s="1" t="s">
        <v>2</v>
      </c>
      <c r="L3" s="1" t="s">
        <v>194</v>
      </c>
      <c r="M3" s="1" t="s">
        <v>194</v>
      </c>
      <c r="N3" s="14" t="s">
        <v>194</v>
      </c>
      <c r="O3" s="1" t="s">
        <v>2</v>
      </c>
      <c r="P3" s="1" t="s">
        <v>2</v>
      </c>
      <c r="Q3" s="1"/>
      <c r="R3" s="1"/>
      <c r="S3" t="str">
        <f>IFERROR(INDEX(_SCHEDULE_[],MATCH(_INDICATOR_[[#This Row],[CONTEST_CODE]],_SCHEDULE_[CONTEST_CODE],0),MATCH($S$1,_SCHEDULE_[#Headers],0)),"-")</f>
        <v>ОТМЕНЕН</v>
      </c>
      <c r="T3" s="1" t="str">
        <f>IFERROR(INDEX(_group_[],MATCH(_INDICATOR_[[#This Row],[CONTEST_CODE]],_group_[CONTEST_CODE],0),MATCH($T$1,_group_[#Headers],0)),"-")</f>
        <v>BANK</v>
      </c>
      <c r="U3" s="1" t="str">
        <f>IFERROR(INDEX(_DATA_[],MATCH(_INDICATOR_[[#This Row],[CONTEST_CODE]],_DATA_[CONTEST_CODE],0),MATCH($U$1,_DATA_[#Headers],0)),"-")</f>
        <v>Отраслевой эксперт</v>
      </c>
      <c r="V3" s="1" t="str">
        <f>IFERROR(INDEX(_reward_link_[],MATCH(_INDICATOR_[[#This Row],[CONTEST_CODE]],_reward_link_[CONTEST_CODE],0),MATCH($V$1,_reward_link_[#Headers],0)),"-")</f>
        <v>BANK</v>
      </c>
    </row>
    <row r="4" spans="1:22" hidden="1" x14ac:dyDescent="0.25">
      <c r="A4" s="1" t="s">
        <v>648</v>
      </c>
      <c r="B4" s="1" t="s">
        <v>2</v>
      </c>
      <c r="C4" s="14" t="s">
        <v>194</v>
      </c>
      <c r="D4" s="14" t="s">
        <v>575</v>
      </c>
      <c r="E4" s="14" t="s">
        <v>575</v>
      </c>
      <c r="F4" s="14" t="s">
        <v>194</v>
      </c>
      <c r="G4" s="14" t="s">
        <v>194</v>
      </c>
      <c r="H4" s="14" t="s">
        <v>194</v>
      </c>
      <c r="I4" s="14" t="s">
        <v>562</v>
      </c>
      <c r="J4" s="1" t="s">
        <v>576</v>
      </c>
      <c r="K4" s="1" t="s">
        <v>2</v>
      </c>
      <c r="L4" s="1" t="s">
        <v>194</v>
      </c>
      <c r="M4" s="1" t="s">
        <v>194</v>
      </c>
      <c r="N4" s="14" t="s">
        <v>194</v>
      </c>
      <c r="O4" s="1" t="s">
        <v>2</v>
      </c>
      <c r="P4" s="1" t="s">
        <v>308</v>
      </c>
      <c r="Q4" s="1"/>
      <c r="R4" s="1"/>
      <c r="S4" t="str">
        <f>IFERROR(INDEX(_SCHEDULE_[],MATCH(_INDICATOR_[[#This Row],[CONTEST_CODE]],_SCHEDULE_[CONTEST_CODE],0),MATCH($S$1,_SCHEDULE_[#Headers],0)),"-")</f>
        <v>ОТМЕНЕН</v>
      </c>
      <c r="T4" s="1" t="str">
        <f>IFERROR(INDEX(_group_[],MATCH(_INDICATOR_[[#This Row],[CONTEST_CODE]],_group_[CONTEST_CODE],0),MATCH($T$1,_group_[#Headers],0)),"-")</f>
        <v>BANK</v>
      </c>
      <c r="U4" s="1" t="str">
        <f>IFERROR(INDEX(_DATA_[],MATCH(_INDICATOR_[[#This Row],[CONTEST_CODE]],_DATA_[CONTEST_CODE],0),MATCH($U$1,_DATA_[#Headers],0)),"-")</f>
        <v>Эксперт по развитию бизнеса</v>
      </c>
      <c r="V4" s="1" t="str">
        <f>IFERROR(INDEX(_reward_link_[],MATCH(_INDICATOR_[[#This Row],[CONTEST_CODE]],_reward_link_[CONTEST_CODE],0),MATCH($V$1,_reward_link_[#Headers],0)),"-")</f>
        <v>BANK</v>
      </c>
    </row>
    <row r="5" spans="1:22" hidden="1" x14ac:dyDescent="0.25">
      <c r="A5" s="1" t="s">
        <v>692</v>
      </c>
      <c r="B5" s="1" t="s">
        <v>2</v>
      </c>
      <c r="C5" s="14" t="s">
        <v>194</v>
      </c>
      <c r="D5" s="14" t="s">
        <v>575</v>
      </c>
      <c r="E5" s="14" t="s">
        <v>575</v>
      </c>
      <c r="F5" s="14" t="s">
        <v>194</v>
      </c>
      <c r="G5" s="14" t="s">
        <v>194</v>
      </c>
      <c r="H5" s="14" t="s">
        <v>194</v>
      </c>
      <c r="I5" s="14" t="s">
        <v>562</v>
      </c>
      <c r="J5" s="1" t="s">
        <v>576</v>
      </c>
      <c r="K5" s="1" t="s">
        <v>2</v>
      </c>
      <c r="L5" s="1" t="s">
        <v>194</v>
      </c>
      <c r="M5" s="1" t="s">
        <v>194</v>
      </c>
      <c r="N5" s="14" t="s">
        <v>194</v>
      </c>
      <c r="O5" s="1" t="s">
        <v>2</v>
      </c>
      <c r="P5" s="1" t="s">
        <v>314</v>
      </c>
      <c r="Q5" s="1"/>
      <c r="R5" s="1"/>
      <c r="S5" t="str">
        <f>IFERROR(INDEX(_SCHEDULE_[],MATCH(_INDICATOR_[[#This Row],[CONTEST_CODE]],_SCHEDULE_[CONTEST_CODE],0),MATCH($S$1,_SCHEDULE_[#Headers],0)),"-")</f>
        <v>ОТМЕНЕН</v>
      </c>
      <c r="T5" s="1" t="str">
        <f>IFERROR(INDEX(_group_[],MATCH(_INDICATOR_[[#This Row],[CONTEST_CODE]],_group_[CONTEST_CODE],0),MATCH($T$1,_group_[#Headers],0)),"-")</f>
        <v>BANK</v>
      </c>
      <c r="U5" s="1" t="str">
        <f>IFERROR(INDEX(_DATA_[],MATCH(_INDICATOR_[[#This Row],[CONTEST_CODE]],_DATA_[CONTEST_CODE],0),MATCH($U$1,_DATA_[#Headers],0)),"-")</f>
        <v>Я-Наставник</v>
      </c>
      <c r="V5" s="1" t="str">
        <f>IFERROR(INDEX(_reward_link_[],MATCH(_INDICATOR_[[#This Row],[CONTEST_CODE]],_reward_link_[CONTEST_CODE],0),MATCH($V$1,_reward_link_[#Headers],0)),"-")</f>
        <v>BANK</v>
      </c>
    </row>
    <row r="6" spans="1:22" hidden="1" x14ac:dyDescent="0.25">
      <c r="A6" s="1" t="s">
        <v>1216</v>
      </c>
      <c r="B6" s="1" t="s">
        <v>2</v>
      </c>
      <c r="C6" s="14" t="s">
        <v>194</v>
      </c>
      <c r="D6" s="14" t="s">
        <v>575</v>
      </c>
      <c r="E6" s="14" t="s">
        <v>575</v>
      </c>
      <c r="F6" s="14" t="s">
        <v>194</v>
      </c>
      <c r="G6" s="14" t="s">
        <v>194</v>
      </c>
      <c r="H6" s="14" t="s">
        <v>194</v>
      </c>
      <c r="I6" s="14" t="s">
        <v>562</v>
      </c>
      <c r="J6" s="1" t="s">
        <v>576</v>
      </c>
      <c r="K6" s="1" t="s">
        <v>2</v>
      </c>
      <c r="L6" s="1" t="s">
        <v>194</v>
      </c>
      <c r="M6" s="1" t="s">
        <v>194</v>
      </c>
      <c r="N6" s="14" t="s">
        <v>194</v>
      </c>
      <c r="O6" s="1" t="s">
        <v>2</v>
      </c>
      <c r="P6" s="1" t="s">
        <v>317</v>
      </c>
      <c r="Q6" s="1"/>
      <c r="R6" s="1"/>
      <c r="S6" t="str">
        <f>IFERROR(INDEX(_SCHEDULE_[],MATCH(_INDICATOR_[[#This Row],[CONTEST_CODE]],_SCHEDULE_[CONTEST_CODE],0),MATCH($S$1,_SCHEDULE_[#Headers],0)),"-")</f>
        <v>ОТМЕНЕН</v>
      </c>
      <c r="T6" s="1" t="str">
        <f>IFERROR(INDEX(_group_[],MATCH(_INDICATOR_[[#This Row],[CONTEST_CODE]],_group_[CONTEST_CODE],0),MATCH($T$1,_group_[#Headers],0)),"-")</f>
        <v>BANK</v>
      </c>
      <c r="U6" s="1" t="str">
        <f>IFERROR(INDEX(_DATA_[],MATCH(_INDICATOR_[[#This Row],[CONTEST_CODE]],_DATA_[CONTEST_CODE],0),MATCH($U$1,_DATA_[#Headers],0)),"-")</f>
        <v>AI-community</v>
      </c>
      <c r="V6" s="1" t="str">
        <f>IFERROR(INDEX(_reward_link_[],MATCH(_INDICATOR_[[#This Row],[CONTEST_CODE]],_reward_link_[CONTEST_CODE],0),MATCH($V$1,_reward_link_[#Headers],0)),"-")</f>
        <v>BANK</v>
      </c>
    </row>
    <row r="7" spans="1:22" hidden="1" x14ac:dyDescent="0.25">
      <c r="A7" s="1" t="s">
        <v>1858</v>
      </c>
      <c r="B7" s="1" t="s">
        <v>2</v>
      </c>
      <c r="C7" s="14" t="s">
        <v>194</v>
      </c>
      <c r="D7" s="14" t="s">
        <v>575</v>
      </c>
      <c r="E7" s="14" t="s">
        <v>575</v>
      </c>
      <c r="F7" s="14" t="s">
        <v>194</v>
      </c>
      <c r="G7" s="14" t="s">
        <v>194</v>
      </c>
      <c r="H7" s="14" t="s">
        <v>194</v>
      </c>
      <c r="I7" s="14" t="s">
        <v>573</v>
      </c>
      <c r="J7" s="1" t="s">
        <v>574</v>
      </c>
      <c r="K7" s="1" t="s">
        <v>2</v>
      </c>
      <c r="L7" s="1" t="s">
        <v>194</v>
      </c>
      <c r="M7" s="1" t="s">
        <v>194</v>
      </c>
      <c r="N7" s="14" t="s">
        <v>194</v>
      </c>
      <c r="O7" s="1" t="s">
        <v>2</v>
      </c>
      <c r="P7" s="1" t="s">
        <v>836</v>
      </c>
      <c r="Q7" s="1"/>
      <c r="R7" s="1"/>
      <c r="S7" t="str">
        <f>IFERROR(INDEX(_SCHEDULE_[],MATCH(_INDICATOR_[[#This Row],[CONTEST_CODE]],_SCHEDULE_[CONTEST_CODE],0),MATCH($S$1,_SCHEDULE_[#Headers],0)),"-")</f>
        <v>АКТИВНЫЙ</v>
      </c>
      <c r="T7" s="1" t="str">
        <f>IFERROR(INDEX(_group_[],MATCH(_INDICATOR_[[#This Row],[CONTEST_CODE]],_group_[CONTEST_CODE],0),MATCH($T$1,_group_[#Headers],0)),"-")</f>
        <v>BANK</v>
      </c>
      <c r="U7" s="1" t="str">
        <f>IFERROR(INDEX(_DATA_[],MATCH(_INDICATOR_[[#This Row],[CONTEST_CODE]],_DATA_[CONTEST_CODE],0),MATCH($U$1,_DATA_[#Headers],0)),"-")</f>
        <v>на 29 апреля 2025</v>
      </c>
      <c r="V7" s="1" t="str">
        <f>IFERROR(INDEX(_reward_link_[],MATCH(_INDICATOR_[[#This Row],[CONTEST_CODE]],_reward_link_[CONTEST_CODE],0),MATCH($V$1,_reward_link_[#Headers],0)),"-")</f>
        <v>BANK</v>
      </c>
    </row>
    <row r="8" spans="1:22" hidden="1" x14ac:dyDescent="0.25">
      <c r="A8" s="1" t="s">
        <v>1860</v>
      </c>
      <c r="B8" s="1" t="s">
        <v>2</v>
      </c>
      <c r="C8" s="14" t="s">
        <v>194</v>
      </c>
      <c r="D8" s="14" t="s">
        <v>575</v>
      </c>
      <c r="E8" s="14" t="s">
        <v>575</v>
      </c>
      <c r="F8" s="14" t="s">
        <v>194</v>
      </c>
      <c r="G8" s="14" t="s">
        <v>194</v>
      </c>
      <c r="H8" s="14" t="s">
        <v>194</v>
      </c>
      <c r="I8" s="14" t="s">
        <v>573</v>
      </c>
      <c r="J8" s="1" t="s">
        <v>574</v>
      </c>
      <c r="K8" s="1" t="s">
        <v>2</v>
      </c>
      <c r="L8" s="1" t="s">
        <v>194</v>
      </c>
      <c r="M8" s="1" t="s">
        <v>194</v>
      </c>
      <c r="N8" s="14" t="s">
        <v>194</v>
      </c>
      <c r="O8" s="1" t="s">
        <v>2</v>
      </c>
      <c r="P8" s="1" t="s">
        <v>90</v>
      </c>
      <c r="Q8" s="1"/>
      <c r="R8" s="1"/>
      <c r="S8" t="str">
        <f>IFERROR(INDEX(_SCHEDULE_[],MATCH(_INDICATOR_[[#This Row],[CONTEST_CODE]],_SCHEDULE_[CONTEST_CODE],0),MATCH($S$1,_SCHEDULE_[#Headers],0)),"-")</f>
        <v>АКТИВНЫЙ</v>
      </c>
      <c r="T8" s="1" t="str">
        <f>IFERROR(INDEX(_group_[],MATCH(_INDICATOR_[[#This Row],[CONTEST_CODE]],_group_[CONTEST_CODE],0),MATCH($T$1,_group_[#Headers],0)),"-")</f>
        <v>BANK</v>
      </c>
      <c r="U8" s="1" t="str">
        <f>IFERROR(INDEX(_DATA_[],MATCH(_INDICATOR_[[#This Row],[CONTEST_CODE]],_DATA_[CONTEST_CODE],0),MATCH($U$1,_DATA_[#Headers],0)),"-")</f>
        <v>Опердоход за 3 месяца 2025</v>
      </c>
      <c r="V8" s="1" t="str">
        <f>IFERROR(INDEX(_reward_link_[],MATCH(_INDICATOR_[[#This Row],[CONTEST_CODE]],_reward_link_[CONTEST_CODE],0),MATCH($V$1,_reward_link_[#Headers],0)),"-")</f>
        <v>BANK</v>
      </c>
    </row>
    <row r="9" spans="1:22" hidden="1" x14ac:dyDescent="0.25">
      <c r="A9" s="1" t="s">
        <v>1862</v>
      </c>
      <c r="B9" s="1" t="s">
        <v>2</v>
      </c>
      <c r="C9" s="14" t="s">
        <v>194</v>
      </c>
      <c r="D9" s="14" t="s">
        <v>575</v>
      </c>
      <c r="E9" s="14" t="s">
        <v>575</v>
      </c>
      <c r="F9" s="14" t="s">
        <v>194</v>
      </c>
      <c r="G9" s="14" t="s">
        <v>194</v>
      </c>
      <c r="H9" s="14" t="s">
        <v>194</v>
      </c>
      <c r="I9" s="14" t="s">
        <v>573</v>
      </c>
      <c r="J9" s="1" t="s">
        <v>574</v>
      </c>
      <c r="K9" s="1" t="s">
        <v>2</v>
      </c>
      <c r="L9" s="1" t="s">
        <v>194</v>
      </c>
      <c r="M9" s="1" t="s">
        <v>194</v>
      </c>
      <c r="N9" s="14" t="s">
        <v>194</v>
      </c>
      <c r="O9" s="1" t="s">
        <v>2</v>
      </c>
      <c r="P9" s="1" t="s">
        <v>801</v>
      </c>
      <c r="Q9" s="1"/>
      <c r="R9" s="1"/>
      <c r="S9" t="str">
        <f>IFERROR(INDEX(_SCHEDULE_[],MATCH(_INDICATOR_[[#This Row],[CONTEST_CODE]],_SCHEDULE_[CONTEST_CODE],0),MATCH($S$1,_SCHEDULE_[#Headers],0)),"-")</f>
        <v>АКТИВНЫЙ</v>
      </c>
      <c r="T9" s="1" t="str">
        <f>IFERROR(INDEX(_group_[],MATCH(_INDICATOR_[[#This Row],[CONTEST_CODE]],_group_[CONTEST_CODE],0),MATCH($T$1,_group_[#Headers],0)),"-")</f>
        <v>BANK</v>
      </c>
      <c r="U9" s="1" t="str">
        <f>IFERROR(INDEX(_DATA_[],MATCH(_INDICATOR_[[#This Row],[CONTEST_CODE]],_DATA_[CONTEST_CODE],0),MATCH($U$1,_DATA_[#Headers],0)),"-")</f>
        <v>Рейтинг ОД в ТБ</v>
      </c>
      <c r="V9" s="1" t="str">
        <f>IFERROR(INDEX(_reward_link_[],MATCH(_INDICATOR_[[#This Row],[CONTEST_CODE]],_reward_link_[CONTEST_CODE],0),MATCH($V$1,_reward_link_[#Headers],0)),"-")</f>
        <v>BANK</v>
      </c>
    </row>
    <row r="10" spans="1:22" hidden="1" x14ac:dyDescent="0.25">
      <c r="A10" s="23" t="s">
        <v>1864</v>
      </c>
      <c r="B10" s="1" t="s">
        <v>2</v>
      </c>
      <c r="C10" s="14" t="s">
        <v>194</v>
      </c>
      <c r="D10" s="14" t="s">
        <v>575</v>
      </c>
      <c r="E10" s="14" t="s">
        <v>575</v>
      </c>
      <c r="F10" s="14" t="s">
        <v>194</v>
      </c>
      <c r="G10" s="14" t="s">
        <v>194</v>
      </c>
      <c r="H10" s="14" t="s">
        <v>194</v>
      </c>
      <c r="I10" s="14" t="s">
        <v>573</v>
      </c>
      <c r="J10" s="1" t="s">
        <v>574</v>
      </c>
      <c r="K10" s="1" t="s">
        <v>2</v>
      </c>
      <c r="L10" s="1" t="s">
        <v>194</v>
      </c>
      <c r="M10" s="1" t="s">
        <v>194</v>
      </c>
      <c r="N10" s="14" t="s">
        <v>194</v>
      </c>
      <c r="O10" s="1" t="s">
        <v>2</v>
      </c>
      <c r="P10" s="1" t="s">
        <v>806</v>
      </c>
      <c r="Q10" s="1"/>
      <c r="R10" s="1"/>
      <c r="S10" t="str">
        <f>IFERROR(INDEX(_SCHEDULE_[],MATCH(_INDICATOR_[[#This Row],[CONTEST_CODE]],_SCHEDULE_[CONTEST_CODE],0),MATCH($S$1,_SCHEDULE_[#Headers],0)),"-")</f>
        <v>АКТИВНЫЙ</v>
      </c>
      <c r="T10" s="1" t="str">
        <f>IFERROR(INDEX(_group_[],MATCH(_INDICATOR_[[#This Row],[CONTEST_CODE]],_group_[CONTEST_CODE],0),MATCH($T$1,_group_[#Headers],0)),"-")</f>
        <v>BANK</v>
      </c>
      <c r="U10" s="1" t="str">
        <f>IFERROR(INDEX(_DATA_[],MATCH(_INDICATOR_[[#This Row],[CONTEST_CODE]],_DATA_[CONTEST_CODE],0),MATCH($U$1,_DATA_[#Headers],0)),"-")</f>
        <v>Рейтинг ОД в стране</v>
      </c>
      <c r="V10" s="1" t="str">
        <f>IFERROR(INDEX(_reward_link_[],MATCH(_INDICATOR_[[#This Row],[CONTEST_CODE]],_reward_link_[CONTEST_CODE],0),MATCH($V$1,_reward_link_[#Headers],0)),"-")</f>
        <v>BANK</v>
      </c>
    </row>
    <row r="11" spans="1:22" hidden="1" x14ac:dyDescent="0.25">
      <c r="A11" s="23" t="s">
        <v>1866</v>
      </c>
      <c r="B11" s="1" t="s">
        <v>2</v>
      </c>
      <c r="C11" s="14" t="s">
        <v>194</v>
      </c>
      <c r="D11" s="14" t="s">
        <v>575</v>
      </c>
      <c r="E11" s="14" t="s">
        <v>575</v>
      </c>
      <c r="F11" s="14" t="s">
        <v>194</v>
      </c>
      <c r="G11" s="14" t="s">
        <v>194</v>
      </c>
      <c r="H11" s="14" t="s">
        <v>194</v>
      </c>
      <c r="I11" s="14" t="s">
        <v>573</v>
      </c>
      <c r="J11" s="1" t="s">
        <v>574</v>
      </c>
      <c r="K11" s="1" t="s">
        <v>2</v>
      </c>
      <c r="L11" s="1" t="s">
        <v>194</v>
      </c>
      <c r="M11" s="1" t="s">
        <v>194</v>
      </c>
      <c r="N11" s="14" t="s">
        <v>194</v>
      </c>
      <c r="O11" s="1" t="s">
        <v>2</v>
      </c>
      <c r="P11" s="1" t="s">
        <v>36</v>
      </c>
      <c r="Q11" s="1"/>
      <c r="R11" s="1"/>
      <c r="S11" t="str">
        <f>IFERROR(INDEX(_SCHEDULE_[],MATCH(_INDICATOR_[[#This Row],[CONTEST_CODE]],_SCHEDULE_[CONTEST_CODE],0),MATCH($S$1,_SCHEDULE_[#Headers],0)),"-")</f>
        <v>АКТИВНЫЙ</v>
      </c>
      <c r="T11" s="1" t="str">
        <f>IFERROR(INDEX(_group_[],MATCH(_INDICATOR_[[#This Row],[CONTEST_CODE]],_group_[CONTEST_CODE],0),MATCH($T$1,_group_[#Headers],0)),"-")</f>
        <v>BANK</v>
      </c>
      <c r="U11" s="1" t="str">
        <f>IFERROR(INDEX(_DATA_[],MATCH(_INDICATOR_[[#This Row],[CONTEST_CODE]],_DATA_[CONTEST_CODE],0),MATCH($U$1,_DATA_[#Headers],0)),"-")</f>
        <v>Темп роста опердохода (3 месяца 2025 года к 3 месяцам 2024 года)</v>
      </c>
      <c r="V11" s="1" t="str">
        <f>IFERROR(INDEX(_reward_link_[],MATCH(_INDICATOR_[[#This Row],[CONTEST_CODE]],_reward_link_[CONTEST_CODE],0),MATCH($V$1,_reward_link_[#Headers],0)),"-")</f>
        <v>BANK</v>
      </c>
    </row>
    <row r="12" spans="1:22" hidden="1" x14ac:dyDescent="0.25">
      <c r="A12" s="23" t="s">
        <v>1868</v>
      </c>
      <c r="B12" s="1" t="s">
        <v>2</v>
      </c>
      <c r="C12" s="14" t="s">
        <v>194</v>
      </c>
      <c r="D12" s="14" t="s">
        <v>575</v>
      </c>
      <c r="E12" s="14" t="s">
        <v>575</v>
      </c>
      <c r="F12" s="14" t="s">
        <v>194</v>
      </c>
      <c r="G12" s="14" t="s">
        <v>194</v>
      </c>
      <c r="H12" s="14" t="s">
        <v>194</v>
      </c>
      <c r="I12" s="14" t="s">
        <v>573</v>
      </c>
      <c r="J12" s="1" t="s">
        <v>574</v>
      </c>
      <c r="K12" s="1" t="s">
        <v>2</v>
      </c>
      <c r="L12" s="1" t="s">
        <v>194</v>
      </c>
      <c r="M12" s="1" t="s">
        <v>194</v>
      </c>
      <c r="N12" s="14" t="s">
        <v>194</v>
      </c>
      <c r="O12" s="1" t="s">
        <v>2</v>
      </c>
      <c r="P12" s="1" t="s">
        <v>940</v>
      </c>
      <c r="Q12" s="1"/>
      <c r="R12" s="1"/>
      <c r="S12" t="str">
        <f>IFERROR(INDEX(_SCHEDULE_[],MATCH(_INDICATOR_[[#This Row],[CONTEST_CODE]],_SCHEDULE_[CONTEST_CODE],0),MATCH($S$1,_SCHEDULE_[#Headers],0)),"-")</f>
        <v>АКТИВНЫЙ</v>
      </c>
      <c r="T12" s="1" t="str">
        <f>IFERROR(INDEX(_group_[],MATCH(_INDICATOR_[[#This Row],[CONTEST_CODE]],_group_[CONTEST_CODE],0),MATCH($T$1,_group_[#Headers],0)),"-")</f>
        <v>BANK</v>
      </c>
      <c r="U12" s="1" t="str">
        <f>IFERROR(INDEX(_DATA_[],MATCH(_INDICATOR_[[#This Row],[CONTEST_CODE]],_DATA_[CONTEST_CODE],0),MATCH($U$1,_DATA_[#Headers],0)),"-")</f>
        <v>Категория темпа роста ОД</v>
      </c>
      <c r="V12" s="1" t="str">
        <f>IFERROR(INDEX(_reward_link_[],MATCH(_INDICATOR_[[#This Row],[CONTEST_CODE]],_reward_link_[CONTEST_CODE],0),MATCH($V$1,_reward_link_[#Headers],0)),"-")</f>
        <v>BANK</v>
      </c>
    </row>
    <row r="13" spans="1:22" hidden="1" x14ac:dyDescent="0.25">
      <c r="A13" s="1" t="s">
        <v>72</v>
      </c>
      <c r="B13" s="1" t="s">
        <v>2</v>
      </c>
      <c r="C13" s="14" t="s">
        <v>194</v>
      </c>
      <c r="D13" s="14" t="s">
        <v>575</v>
      </c>
      <c r="E13" s="14" t="s">
        <v>575</v>
      </c>
      <c r="F13" s="14" t="s">
        <v>194</v>
      </c>
      <c r="G13" s="14" t="s">
        <v>194</v>
      </c>
      <c r="H13" s="14" t="s">
        <v>194</v>
      </c>
      <c r="I13" s="14" t="s">
        <v>562</v>
      </c>
      <c r="J13" s="1" t="s">
        <v>576</v>
      </c>
      <c r="K13" s="1" t="s">
        <v>2</v>
      </c>
      <c r="L13" s="1" t="s">
        <v>194</v>
      </c>
      <c r="M13" s="1" t="s">
        <v>194</v>
      </c>
      <c r="N13" s="14" t="s">
        <v>194</v>
      </c>
      <c r="O13" s="1" t="s">
        <v>2</v>
      </c>
      <c r="P13" s="1" t="s">
        <v>792</v>
      </c>
      <c r="Q13" s="1"/>
      <c r="R13" s="1"/>
      <c r="S13" t="str">
        <f>IFERROR(INDEX(_SCHEDULE_[],MATCH(_INDICATOR_[[#This Row],[CONTEST_CODE]],_SCHEDULE_[CONTEST_CODE],0),MATCH($S$1,_SCHEDULE_[#Headers],0)),"-")</f>
        <v>-</v>
      </c>
      <c r="T13" s="1" t="str">
        <f>IFERROR(INDEX(_group_[],MATCH(_INDICATOR_[[#This Row],[CONTEST_CODE]],_group_[CONTEST_CODE],0),MATCH($T$1,_group_[#Headers],0)),"-")</f>
        <v>BANK</v>
      </c>
      <c r="U13" s="1" t="str">
        <f>IFERROR(INDEX(_DATA_[],MATCH(_INDICATOR_[[#This Row],[CONTEST_CODE]],_DATA_[CONTEST_CODE],0),MATCH($U$1,_DATA_[#Headers],0)),"-")</f>
        <v>Участник мастерской РКПК 2023</v>
      </c>
      <c r="V13" s="1" t="str">
        <f>IFERROR(INDEX(_reward_link_[],MATCH(_INDICATOR_[[#This Row],[CONTEST_CODE]],_reward_link_[CONTEST_CODE],0),MATCH($V$1,_reward_link_[#Headers],0)),"-")</f>
        <v>BANK</v>
      </c>
    </row>
    <row r="14" spans="1:22" hidden="1" x14ac:dyDescent="0.25">
      <c r="A14" s="1" t="s">
        <v>1856</v>
      </c>
      <c r="B14" s="1" t="s">
        <v>2</v>
      </c>
      <c r="C14" s="14" t="s">
        <v>194</v>
      </c>
      <c r="D14" s="14" t="s">
        <v>575</v>
      </c>
      <c r="E14" s="14" t="s">
        <v>575</v>
      </c>
      <c r="F14" s="14" t="s">
        <v>194</v>
      </c>
      <c r="G14" s="14" t="s">
        <v>194</v>
      </c>
      <c r="H14" s="14" t="s">
        <v>194</v>
      </c>
      <c r="I14" s="14" t="s">
        <v>562</v>
      </c>
      <c r="J14" s="1" t="s">
        <v>576</v>
      </c>
      <c r="K14" s="1" t="s">
        <v>2</v>
      </c>
      <c r="L14" s="1" t="s">
        <v>194</v>
      </c>
      <c r="M14" s="1" t="s">
        <v>194</v>
      </c>
      <c r="N14" s="14" t="s">
        <v>194</v>
      </c>
      <c r="O14" s="1" t="s">
        <v>2</v>
      </c>
      <c r="P14" s="1" t="s">
        <v>605</v>
      </c>
      <c r="Q14" s="1"/>
      <c r="R14" s="1"/>
      <c r="S14" t="str">
        <f>IFERROR(INDEX(_SCHEDULE_[],MATCH(_INDICATOR_[[#This Row],[CONTEST_CODE]],_SCHEDULE_[CONTEST_CODE],0),MATCH($S$1,_SCHEDULE_[#Headers],0)),"-")</f>
        <v>ЗАВЕРШЕН</v>
      </c>
      <c r="T14" s="1" t="str">
        <f>IFERROR(INDEX(_group_[],MATCH(_INDICATOR_[[#This Row],[CONTEST_CODE]],_group_[CONTEST_CODE],0),MATCH($T$1,_group_[#Headers],0)),"-")</f>
        <v>BANK</v>
      </c>
      <c r="U14" s="1" t="str">
        <f>IFERROR(INDEX(_DATA_[],MATCH(_INDICATOR_[[#This Row],[CONTEST_CODE]],_DATA_[CONTEST_CODE],0),MATCH($U$1,_DATA_[#Headers],0)),"-")</f>
        <v>Герой продаж 2024</v>
      </c>
      <c r="V14" s="1" t="str">
        <f>IFERROR(INDEX(_reward_link_[],MATCH(_INDICATOR_[[#This Row],[CONTEST_CODE]],_reward_link_[CONTEST_CODE],0),MATCH($V$1,_reward_link_[#Headers],0)),"-")</f>
        <v>BANK</v>
      </c>
    </row>
    <row r="15" spans="1:22" hidden="1" x14ac:dyDescent="0.25">
      <c r="A15" s="1" t="s">
        <v>1673</v>
      </c>
      <c r="B15" s="1" t="s">
        <v>2</v>
      </c>
      <c r="C15" s="14" t="s">
        <v>194</v>
      </c>
      <c r="D15" s="14" t="s">
        <v>575</v>
      </c>
      <c r="E15" s="14" t="s">
        <v>575</v>
      </c>
      <c r="F15" s="14" t="s">
        <v>194</v>
      </c>
      <c r="G15" s="14" t="s">
        <v>194</v>
      </c>
      <c r="H15" s="14" t="s">
        <v>194</v>
      </c>
      <c r="I15" s="14" t="s">
        <v>562</v>
      </c>
      <c r="J15" s="1" t="s">
        <v>576</v>
      </c>
      <c r="K15" s="1" t="s">
        <v>2</v>
      </c>
      <c r="L15" s="1" t="s">
        <v>194</v>
      </c>
      <c r="M15" s="1" t="s">
        <v>194</v>
      </c>
      <c r="N15" s="14" t="s">
        <v>194</v>
      </c>
      <c r="O15" s="1" t="s">
        <v>2</v>
      </c>
      <c r="P15" s="1" t="s">
        <v>932</v>
      </c>
      <c r="Q15" s="1"/>
      <c r="R15" s="1"/>
      <c r="S15" t="str">
        <f>IFERROR(INDEX(_SCHEDULE_[],MATCH(_INDICATOR_[[#This Row],[CONTEST_CODE]],_SCHEDULE_[CONTEST_CODE],0),MATCH($S$1,_SCHEDULE_[#Headers],0)),"-")</f>
        <v>ОТМЕНЕН</v>
      </c>
      <c r="T15" s="1" t="str">
        <f>IFERROR(INDEX(_group_[],MATCH(_INDICATOR_[[#This Row],[CONTEST_CODE]],_group_[CONTEST_CODE],0),MATCH($T$1,_group_[#Headers],0)),"-")</f>
        <v>BANK</v>
      </c>
      <c r="U15" s="1" t="str">
        <f>IFERROR(INDEX(_DATA_[],MATCH(_INDICATOR_[[#This Row],[CONTEST_CODE]],_DATA_[CONTEST_CODE],0),MATCH($U$1,_DATA_[#Headers],0)),"-")</f>
        <v>Победитель конкурса лучший по профессии</v>
      </c>
      <c r="V15" s="1" t="str">
        <f>IFERROR(INDEX(_reward_link_[],MATCH(_INDICATOR_[[#This Row],[CONTEST_CODE]],_reward_link_[CONTEST_CODE],0),MATCH($V$1,_reward_link_[#Headers],0)),"-")</f>
        <v>BANK</v>
      </c>
    </row>
    <row r="16" spans="1:22" hidden="1" x14ac:dyDescent="0.25">
      <c r="A16" s="1" t="s">
        <v>1671</v>
      </c>
      <c r="B16" s="1" t="s">
        <v>2</v>
      </c>
      <c r="C16" s="14" t="s">
        <v>194</v>
      </c>
      <c r="D16" s="14" t="s">
        <v>575</v>
      </c>
      <c r="E16" s="14" t="s">
        <v>575</v>
      </c>
      <c r="F16" s="14" t="s">
        <v>194</v>
      </c>
      <c r="G16" s="14" t="s">
        <v>194</v>
      </c>
      <c r="H16" s="14" t="s">
        <v>194</v>
      </c>
      <c r="I16" s="14" t="s">
        <v>562</v>
      </c>
      <c r="J16" s="1" t="s">
        <v>576</v>
      </c>
      <c r="K16" s="1" t="s">
        <v>2</v>
      </c>
      <c r="L16" s="1" t="s">
        <v>194</v>
      </c>
      <c r="M16" s="1" t="s">
        <v>194</v>
      </c>
      <c r="N16" s="14" t="s">
        <v>194</v>
      </c>
      <c r="O16" s="1" t="s">
        <v>2</v>
      </c>
      <c r="P16" s="1" t="s">
        <v>322</v>
      </c>
      <c r="Q16" s="1"/>
      <c r="R16" s="1"/>
      <c r="S16" t="str">
        <f>IFERROR(INDEX(_SCHEDULE_[],MATCH(_INDICATOR_[[#This Row],[CONTEST_CODE]],_SCHEDULE_[CONTEST_CODE],0),MATCH($S$1,_SCHEDULE_[#Headers],0)),"-")</f>
        <v>ОТМЕНЕН</v>
      </c>
      <c r="T16" s="1" t="str">
        <f>IFERROR(INDEX(_group_[],MATCH(_INDICATOR_[[#This Row],[CONTEST_CODE]],_group_[CONTEST_CODE],0),MATCH($T$1,_group_[#Headers],0)),"-")</f>
        <v>BANK</v>
      </c>
      <c r="U16" s="1" t="str">
        <f>IFERROR(INDEX(_DATA_[],MATCH(_INDICATOR_[[#This Row],[CONTEST_CODE]],_DATA_[CONTEST_CODE],0),MATCH($U$1,_DATA_[#Headers],0)),"-")</f>
        <v>Призер конкурса лучший по профессии</v>
      </c>
      <c r="V16" s="1" t="str">
        <f>IFERROR(INDEX(_reward_link_[],MATCH(_INDICATOR_[[#This Row],[CONTEST_CODE]],_reward_link_[CONTEST_CODE],0),MATCH($V$1,_reward_link_[#Headers],0)),"-")</f>
        <v>BANK</v>
      </c>
    </row>
    <row r="17" spans="1:22" hidden="1" x14ac:dyDescent="0.25">
      <c r="A17" s="1" t="s">
        <v>1669</v>
      </c>
      <c r="B17" s="1" t="s">
        <v>2</v>
      </c>
      <c r="C17" s="14" t="s">
        <v>194</v>
      </c>
      <c r="D17" s="14" t="s">
        <v>575</v>
      </c>
      <c r="E17" s="14" t="s">
        <v>575</v>
      </c>
      <c r="F17" s="14" t="s">
        <v>194</v>
      </c>
      <c r="G17" s="14" t="s">
        <v>194</v>
      </c>
      <c r="H17" s="14" t="s">
        <v>194</v>
      </c>
      <c r="I17" s="14" t="s">
        <v>562</v>
      </c>
      <c r="J17" s="1" t="s">
        <v>576</v>
      </c>
      <c r="K17" s="1" t="s">
        <v>2</v>
      </c>
      <c r="L17" s="1" t="s">
        <v>194</v>
      </c>
      <c r="M17" s="1" t="s">
        <v>194</v>
      </c>
      <c r="N17" s="14" t="s">
        <v>194</v>
      </c>
      <c r="O17" s="1" t="s">
        <v>2</v>
      </c>
      <c r="P17" s="1" t="s">
        <v>608</v>
      </c>
      <c r="Q17" s="1"/>
      <c r="R17" s="1"/>
      <c r="S17" t="str">
        <f>IFERROR(INDEX(_SCHEDULE_[],MATCH(_INDICATOR_[[#This Row],[CONTEST_CODE]],_SCHEDULE_[CONTEST_CODE],0),MATCH($S$1,_SCHEDULE_[#Headers],0)),"-")</f>
        <v>ОТМЕНЕН</v>
      </c>
      <c r="T17" s="1" t="str">
        <f>IFERROR(INDEX(_group_[],MATCH(_INDICATOR_[[#This Row],[CONTEST_CODE]],_group_[CONTEST_CODE],0),MATCH($T$1,_group_[#Headers],0)),"-")</f>
        <v>BANK</v>
      </c>
      <c r="U17" s="1" t="str">
        <f>IFERROR(INDEX(_DATA_[],MATCH(_INDICATOR_[[#This Row],[CONTEST_CODE]],_DATA_[CONTEST_CODE],0),MATCH($U$1,_DATA_[#Headers],0)),"-")</f>
        <v>Финалист конкурса лучший по профессии</v>
      </c>
      <c r="V17" s="1" t="str">
        <f>IFERROR(INDEX(_reward_link_[],MATCH(_INDICATOR_[[#This Row],[CONTEST_CODE]],_reward_link_[CONTEST_CODE],0),MATCH($V$1,_reward_link_[#Headers],0)),"-")</f>
        <v>BANK</v>
      </c>
    </row>
    <row r="18" spans="1:22" hidden="1" x14ac:dyDescent="0.25">
      <c r="A18" s="1" t="s">
        <v>1854</v>
      </c>
      <c r="B18" s="1" t="s">
        <v>2</v>
      </c>
      <c r="C18" s="14" t="s">
        <v>194</v>
      </c>
      <c r="D18" s="14" t="s">
        <v>575</v>
      </c>
      <c r="E18" s="14" t="s">
        <v>575</v>
      </c>
      <c r="F18" s="14" t="s">
        <v>194</v>
      </c>
      <c r="G18" s="14" t="s">
        <v>194</v>
      </c>
      <c r="H18" s="14" t="s">
        <v>194</v>
      </c>
      <c r="I18" s="14" t="s">
        <v>562</v>
      </c>
      <c r="J18" s="1" t="s">
        <v>576</v>
      </c>
      <c r="K18" s="1" t="s">
        <v>2</v>
      </c>
      <c r="L18" s="1" t="s">
        <v>194</v>
      </c>
      <c r="M18" s="1" t="s">
        <v>194</v>
      </c>
      <c r="N18" s="14" t="s">
        <v>194</v>
      </c>
      <c r="O18" s="1" t="s">
        <v>2</v>
      </c>
      <c r="P18" s="1" t="s">
        <v>893</v>
      </c>
      <c r="Q18" s="1"/>
      <c r="R18" s="1"/>
      <c r="S18" t="str">
        <f>IFERROR(INDEX(_SCHEDULE_[],MATCH(_INDICATOR_[[#This Row],[CONTEST_CODE]],_SCHEDULE_[CONTEST_CODE],0),MATCH($S$1,_SCHEDULE_[#Headers],0)),"-")</f>
        <v>ЗАВЕРШЕН</v>
      </c>
      <c r="T18" s="1" t="str">
        <f>IFERROR(INDEX(_group_[],MATCH(_INDICATOR_[[#This Row],[CONTEST_CODE]],_group_[CONTEST_CODE],0),MATCH($T$1,_group_[#Headers],0)),"-")</f>
        <v>BANK</v>
      </c>
      <c r="U18" s="1" t="str">
        <f>IFERROR(INDEX(_DATA_[],MATCH(_INDICATOR_[[#This Row],[CONTEST_CODE]],_DATA_[CONTEST_CODE],0),MATCH($U$1,_DATA_[#Headers],0)),"-")</f>
        <v>Новый год с ККСБ 2025</v>
      </c>
      <c r="V18" s="1" t="str">
        <f>IFERROR(INDEX(_reward_link_[],MATCH(_INDICATOR_[[#This Row],[CONTEST_CODE]],_reward_link_[CONTEST_CODE],0),MATCH($V$1,_reward_link_[#Headers],0)),"-")</f>
        <v>BANK</v>
      </c>
    </row>
    <row r="19" spans="1:22" hidden="1" x14ac:dyDescent="0.25">
      <c r="A19" s="1" t="s">
        <v>8</v>
      </c>
      <c r="B19" s="1" t="s">
        <v>2</v>
      </c>
      <c r="C19" s="14" t="s">
        <v>194</v>
      </c>
      <c r="D19" s="14" t="s">
        <v>575</v>
      </c>
      <c r="E19" s="14" t="s">
        <v>575</v>
      </c>
      <c r="F19" s="14" t="s">
        <v>194</v>
      </c>
      <c r="G19" s="14" t="s">
        <v>194</v>
      </c>
      <c r="H19" s="14" t="s">
        <v>194</v>
      </c>
      <c r="I19" s="14" t="s">
        <v>573</v>
      </c>
      <c r="J19" s="1" t="s">
        <v>574</v>
      </c>
      <c r="K19" s="1" t="s">
        <v>194</v>
      </c>
      <c r="L19" s="1" t="s">
        <v>194</v>
      </c>
      <c r="M19" s="1" t="s">
        <v>194</v>
      </c>
      <c r="N19" s="14" t="s">
        <v>194</v>
      </c>
      <c r="O19" s="1" t="s">
        <v>2</v>
      </c>
      <c r="P19" s="1" t="s">
        <v>609</v>
      </c>
      <c r="Q19" s="1"/>
      <c r="R19" s="1"/>
      <c r="S19" t="str">
        <f>IFERROR(INDEX(_SCHEDULE_[],MATCH(_INDICATOR_[[#This Row],[CONTEST_CODE]],_SCHEDULE_[CONTEST_CODE],0),MATCH($S$1,_SCHEDULE_[#Headers],0)),"-")</f>
        <v>ЗАВЕРШЕН</v>
      </c>
      <c r="T19" s="1" t="str">
        <f>IFERROR(INDEX(_group_[],MATCH(_INDICATOR_[[#This Row],[CONTEST_CODE]],_group_[CONTEST_CODE],0),MATCH($T$1,_group_[#Headers],0)),"-")</f>
        <v>BANK</v>
      </c>
      <c r="U19" s="1" t="str">
        <f>IFERROR(INDEX(_DATA_[],MATCH(_INDICATOR_[[#This Row],[CONTEST_CODE]],_DATA_[CONTEST_CODE],0),MATCH($U$1,_DATA_[#Headers],0)),"-")</f>
        <v>Пассивы. Максимизируй прирост остатка</v>
      </c>
      <c r="V19" s="1" t="str">
        <f>IFERROR(INDEX(_reward_link_[],MATCH(_INDICATOR_[[#This Row],[CONTEST_CODE]],_reward_link_[CONTEST_CODE],0),MATCH($V$1,_reward_link_[#Headers],0)),"-")</f>
        <v>TB</v>
      </c>
    </row>
    <row r="20" spans="1:22" hidden="1" x14ac:dyDescent="0.25">
      <c r="A20" s="1" t="s">
        <v>91</v>
      </c>
      <c r="B20" s="1" t="s">
        <v>2</v>
      </c>
      <c r="C20" s="14" t="s">
        <v>194</v>
      </c>
      <c r="D20" s="14" t="s">
        <v>575</v>
      </c>
      <c r="E20" s="14" t="s">
        <v>575</v>
      </c>
      <c r="F20" s="14" t="s">
        <v>194</v>
      </c>
      <c r="G20" s="14" t="s">
        <v>194</v>
      </c>
      <c r="H20" s="14" t="s">
        <v>194</v>
      </c>
      <c r="I20" s="14" t="s">
        <v>573</v>
      </c>
      <c r="J20" s="1" t="s">
        <v>574</v>
      </c>
      <c r="K20" s="1" t="s">
        <v>194</v>
      </c>
      <c r="L20" s="1" t="s">
        <v>194</v>
      </c>
      <c r="M20" s="1" t="s">
        <v>194</v>
      </c>
      <c r="N20" s="14" t="s">
        <v>194</v>
      </c>
      <c r="O20" s="1" t="s">
        <v>2</v>
      </c>
      <c r="P20" s="1" t="s">
        <v>590</v>
      </c>
      <c r="Q20" s="1"/>
      <c r="R20" s="1"/>
      <c r="S20" t="str">
        <f>IFERROR(INDEX(_SCHEDULE_[],MATCH(_INDICATOR_[[#This Row],[CONTEST_CODE]],_SCHEDULE_[CONTEST_CODE],0),MATCH($S$1,_SCHEDULE_[#Headers],0)),"-")</f>
        <v>ЗАВЕРШЕН</v>
      </c>
      <c r="T20" s="1" t="str">
        <f>IFERROR(INDEX(_group_[],MATCH(_INDICATOR_[[#This Row],[CONTEST_CODE]],_group_[CONTEST_CODE],0),MATCH($T$1,_group_[#Headers],0)),"-")</f>
        <v>BANK</v>
      </c>
      <c r="U20" s="1" t="str">
        <f>IFERROR(INDEX(_DATA_[],MATCH(_INDICATOR_[[#This Row],[CONTEST_CODE]],_DATA_[CONTEST_CODE],0),MATCH($U$1,_DATA_[#Headers],0)),"-")</f>
        <v>Пассивы. Прирост остатка долгосрочных депозитов</v>
      </c>
      <c r="V20" s="1" t="str">
        <f>IFERROR(INDEX(_reward_link_[],MATCH(_INDICATOR_[[#This Row],[CONTEST_CODE]],_reward_link_[CONTEST_CODE],0),MATCH($V$1,_reward_link_[#Headers],0)),"-")</f>
        <v>TB</v>
      </c>
    </row>
    <row r="21" spans="1:22" hidden="1" x14ac:dyDescent="0.25">
      <c r="A21" s="1" t="s">
        <v>122</v>
      </c>
      <c r="B21" s="1" t="s">
        <v>2</v>
      </c>
      <c r="C21" s="14" t="s">
        <v>194</v>
      </c>
      <c r="D21" s="14" t="s">
        <v>575</v>
      </c>
      <c r="E21" s="14" t="s">
        <v>575</v>
      </c>
      <c r="F21" s="14" t="s">
        <v>1313</v>
      </c>
      <c r="G21" s="14" t="s">
        <v>2</v>
      </c>
      <c r="H21" s="14" t="s">
        <v>194</v>
      </c>
      <c r="I21" s="14" t="s">
        <v>573</v>
      </c>
      <c r="J21" s="1" t="s">
        <v>574</v>
      </c>
      <c r="K21" s="1" t="s">
        <v>194</v>
      </c>
      <c r="L21" s="1" t="s">
        <v>194</v>
      </c>
      <c r="M21" s="1" t="s">
        <v>194</v>
      </c>
      <c r="N21" s="14" t="s">
        <v>194</v>
      </c>
      <c r="O21" s="1" t="s">
        <v>2</v>
      </c>
      <c r="P21" s="1" t="s">
        <v>795</v>
      </c>
      <c r="Q21" s="1"/>
      <c r="R21" s="1"/>
      <c r="S21" t="str">
        <f>IFERROR(INDEX(_SCHEDULE_[],MATCH(_INDICATOR_[[#This Row],[CONTEST_CODE]],_SCHEDULE_[CONTEST_CODE],0),MATCH($S$1,_SCHEDULE_[#Headers],0)),"-")</f>
        <v>ЗАВЕРШЕН</v>
      </c>
      <c r="T21" s="1" t="str">
        <f>IFERROR(INDEX(_group_[],MATCH(_INDICATOR_[[#This Row],[CONTEST_CODE]],_group_[CONTEST_CODE],0),MATCH($T$1,_group_[#Headers],0)),"-")</f>
        <v>BANK</v>
      </c>
      <c r="U21" s="1" t="str">
        <f>IFERROR(INDEX(_DATA_[],MATCH(_INDICATOR_[[#This Row],[CONTEST_CODE]],_DATA_[CONTEST_CODE],0),MATCH($U$1,_DATA_[#Headers],0)),"-")</f>
        <v>Интернализация. Повышаем уровень</v>
      </c>
      <c r="V21" s="1" t="str">
        <f>IFERROR(INDEX(_reward_link_[],MATCH(_INDICATOR_[[#This Row],[CONTEST_CODE]],_reward_link_[CONTEST_CODE],0),MATCH($V$1,_reward_link_[#Headers],0)),"-")</f>
        <v>GOSB</v>
      </c>
    </row>
    <row r="22" spans="1:22" hidden="1" x14ac:dyDescent="0.25">
      <c r="A22" s="1" t="s">
        <v>1229</v>
      </c>
      <c r="B22" s="1" t="s">
        <v>2</v>
      </c>
      <c r="C22" s="14" t="s">
        <v>194</v>
      </c>
      <c r="D22" s="14" t="s">
        <v>575</v>
      </c>
      <c r="E22" s="14" t="s">
        <v>575</v>
      </c>
      <c r="F22" s="14" t="s">
        <v>194</v>
      </c>
      <c r="G22" s="14" t="s">
        <v>194</v>
      </c>
      <c r="H22" s="14" t="s">
        <v>194</v>
      </c>
      <c r="I22" s="14" t="s">
        <v>573</v>
      </c>
      <c r="J22" s="1" t="s">
        <v>574</v>
      </c>
      <c r="K22" s="1" t="s">
        <v>194</v>
      </c>
      <c r="L22" s="1" t="s">
        <v>194</v>
      </c>
      <c r="M22" s="1" t="s">
        <v>194</v>
      </c>
      <c r="N22" s="14" t="s">
        <v>194</v>
      </c>
      <c r="O22" s="1" t="s">
        <v>2</v>
      </c>
      <c r="P22" s="1" t="s">
        <v>848</v>
      </c>
      <c r="Q22" s="1"/>
      <c r="R22" s="1"/>
      <c r="S22" t="str">
        <f>IFERROR(INDEX(_SCHEDULE_[],MATCH(_INDICATOR_[[#This Row],[CONTEST_CODE]],_SCHEDULE_[CONTEST_CODE],0),MATCH($S$1,_SCHEDULE_[#Headers],0)),"-")</f>
        <v>-</v>
      </c>
      <c r="T22" s="1" t="str">
        <f>IFERROR(INDEX(_group_[],MATCH(_INDICATOR_[[#This Row],[CONTEST_CODE]],_group_[CONTEST_CODE],0),MATCH($T$1,_group_[#Headers],0)),"-")</f>
        <v>BANK</v>
      </c>
      <c r="U22" s="1" t="str">
        <f>IFERROR(INDEX(_DATA_[],MATCH(_INDICATOR_[[#This Row],[CONTEST_CODE]],_DATA_[CONTEST_CODE],0),MATCH($U$1,_DATA_[#Headers],0)),"-")</f>
        <v>Турнир по Мастер Интернализации</v>
      </c>
      <c r="V22" s="1" t="str">
        <f>IFERROR(INDEX(_reward_link_[],MATCH(_INDICATOR_[[#This Row],[CONTEST_CODE]],_reward_link_[CONTEST_CODE],0),MATCH($V$1,_reward_link_[#Headers],0)),"-")</f>
        <v>BANK</v>
      </c>
    </row>
    <row r="23" spans="1:22" hidden="1" x14ac:dyDescent="0.25">
      <c r="A23" s="1" t="s">
        <v>78</v>
      </c>
      <c r="B23" s="1" t="s">
        <v>2</v>
      </c>
      <c r="C23" s="14" t="s">
        <v>194</v>
      </c>
      <c r="D23" s="14" t="s">
        <v>572</v>
      </c>
      <c r="E23" s="14" t="s">
        <v>572</v>
      </c>
      <c r="F23" s="14" t="s">
        <v>1313</v>
      </c>
      <c r="G23" s="14" t="s">
        <v>2</v>
      </c>
      <c r="H23" s="14" t="s">
        <v>194</v>
      </c>
      <c r="I23" s="14" t="s">
        <v>573</v>
      </c>
      <c r="J23" s="1" t="s">
        <v>574</v>
      </c>
      <c r="K23" s="1" t="s">
        <v>194</v>
      </c>
      <c r="L23" s="1" t="s">
        <v>194</v>
      </c>
      <c r="M23" s="1" t="s">
        <v>194</v>
      </c>
      <c r="N23" s="14" t="s">
        <v>194</v>
      </c>
      <c r="O23" s="1" t="s">
        <v>32</v>
      </c>
      <c r="P23" s="1" t="s">
        <v>839</v>
      </c>
      <c r="Q23" s="1"/>
      <c r="R23" s="1"/>
      <c r="S23" t="str">
        <f>IFERROR(INDEX(_SCHEDULE_[],MATCH(_INDICATOR_[[#This Row],[CONTEST_CODE]],_SCHEDULE_[CONTEST_CODE],0),MATCH($S$1,_SCHEDULE_[#Headers],0)),"-")</f>
        <v>УДАЛЕН</v>
      </c>
      <c r="T23" s="1" t="str">
        <f>IFERROR(INDEX(_group_[],MATCH(_INDICATOR_[[#This Row],[CONTEST_CODE]],_group_[CONTEST_CODE],0),MATCH($T$1,_group_[#Headers],0)),"-")</f>
        <v>BANK</v>
      </c>
      <c r="U23" s="1" t="str">
        <f>IFERROR(INDEX(_DATA_[],MATCH(_INDICATOR_[[#This Row],[CONTEST_CODE]],_DATA_[CONTEST_CODE],0),MATCH($U$1,_DATA_[#Headers],0)),"-")</f>
        <v>Марафон по условным сделкам</v>
      </c>
      <c r="V23" s="1" t="str">
        <f>IFERROR(INDEX(_reward_link_[],MATCH(_INDICATOR_[[#This Row],[CONTEST_CODE]],_reward_link_[CONTEST_CODE],0),MATCH($V$1,_reward_link_[#Headers],0)),"-")</f>
        <v>GOSB</v>
      </c>
    </row>
    <row r="24" spans="1:22" hidden="1" x14ac:dyDescent="0.25">
      <c r="A24" s="1" t="s">
        <v>105</v>
      </c>
      <c r="B24" s="1" t="s">
        <v>2</v>
      </c>
      <c r="C24" s="14" t="s">
        <v>194</v>
      </c>
      <c r="D24" s="14" t="s">
        <v>575</v>
      </c>
      <c r="E24" s="14" t="s">
        <v>575</v>
      </c>
      <c r="F24" s="14" t="s">
        <v>194</v>
      </c>
      <c r="G24" s="14" t="s">
        <v>194</v>
      </c>
      <c r="H24" s="14" t="s">
        <v>194</v>
      </c>
      <c r="I24" s="14" t="s">
        <v>573</v>
      </c>
      <c r="J24" s="1" t="s">
        <v>574</v>
      </c>
      <c r="K24" s="1" t="s">
        <v>194</v>
      </c>
      <c r="L24" s="1" t="s">
        <v>194</v>
      </c>
      <c r="M24" s="1" t="s">
        <v>194</v>
      </c>
      <c r="N24" s="14" t="s">
        <v>194</v>
      </c>
      <c r="O24" s="1" t="s">
        <v>2</v>
      </c>
      <c r="P24" s="1" t="s">
        <v>858</v>
      </c>
      <c r="Q24" s="1"/>
      <c r="R24" s="1"/>
      <c r="S24" t="str">
        <f>IFERROR(INDEX(_SCHEDULE_[],MATCH(_INDICATOR_[[#This Row],[CONTEST_CODE]],_SCHEDULE_[CONTEST_CODE],0),MATCH($S$1,_SCHEDULE_[#Headers],0)),"-")</f>
        <v>ЗАВЕРШЕН</v>
      </c>
      <c r="T24" s="1" t="str">
        <f>IFERROR(INDEX(_group_[],MATCH(_INDICATOR_[[#This Row],[CONTEST_CODE]],_group_[CONTEST_CODE],0),MATCH($T$1,_group_[#Headers],0)),"-")</f>
        <v>BANK</v>
      </c>
      <c r="U24" s="1" t="str">
        <f>IFERROR(INDEX(_DATA_[],MATCH(_INDICATOR_[[#This Row],[CONTEST_CODE]],_DATA_[CONTEST_CODE],0),MATCH($U$1,_DATA_[#Headers],0)),"-")</f>
        <v>ФОТ. Прирост объема перечислений</v>
      </c>
      <c r="V24" s="1" t="str">
        <f>IFERROR(INDEX(_reward_link_[],MATCH(_INDICATOR_[[#This Row],[CONTEST_CODE]],_reward_link_[CONTEST_CODE],0),MATCH($V$1,_reward_link_[#Headers],0)),"-")</f>
        <v>GOSB</v>
      </c>
    </row>
    <row r="25" spans="1:22" hidden="1" x14ac:dyDescent="0.25">
      <c r="A25" s="1" t="s">
        <v>99</v>
      </c>
      <c r="B25" s="1" t="s">
        <v>2</v>
      </c>
      <c r="C25" s="14" t="s">
        <v>194</v>
      </c>
      <c r="D25" s="14" t="s">
        <v>575</v>
      </c>
      <c r="E25" s="14" t="s">
        <v>575</v>
      </c>
      <c r="F25" s="14" t="s">
        <v>194</v>
      </c>
      <c r="G25" s="14" t="s">
        <v>194</v>
      </c>
      <c r="H25" s="14" t="s">
        <v>194</v>
      </c>
      <c r="I25" s="14" t="s">
        <v>573</v>
      </c>
      <c r="J25" s="1" t="s">
        <v>574</v>
      </c>
      <c r="K25" s="1" t="s">
        <v>194</v>
      </c>
      <c r="L25" s="1" t="s">
        <v>194</v>
      </c>
      <c r="M25" s="1" t="s">
        <v>194</v>
      </c>
      <c r="N25" s="14" t="s">
        <v>194</v>
      </c>
      <c r="O25" s="1" t="s">
        <v>2</v>
      </c>
      <c r="P25" s="1" t="s">
        <v>379</v>
      </c>
      <c r="Q25" s="1"/>
      <c r="R25" s="1"/>
      <c r="S25" t="str">
        <f>IFERROR(INDEX(_SCHEDULE_[],MATCH(_INDICATOR_[[#This Row],[CONTEST_CODE]],_SCHEDULE_[CONTEST_CODE],0),MATCH($S$1,_SCHEDULE_[#Headers],0)),"-")</f>
        <v>ЗАВЕРШЕН</v>
      </c>
      <c r="T25" s="1" t="str">
        <f>IFERROR(INDEX(_group_[],MATCH(_INDICATOR_[[#This Row],[CONTEST_CODE]],_group_[CONTEST_CODE],0),MATCH($T$1,_group_[#Headers],0)),"-")</f>
        <v>BANK</v>
      </c>
      <c r="U25" s="1" t="str">
        <f>IFERROR(INDEX(_DATA_[],MATCH(_INDICATOR_[[#This Row],[CONTEST_CODE]],_DATA_[CONTEST_CODE],0),MATCH($U$1,_DATA_[#Headers],0)),"-")</f>
        <v>Страхование. Рыночные продажи</v>
      </c>
      <c r="V25" s="1" t="str">
        <f>IFERROR(INDEX(_reward_link_[],MATCH(_INDICATOR_[[#This Row],[CONTEST_CODE]],_reward_link_[CONTEST_CODE],0),MATCH($V$1,_reward_link_[#Headers],0)),"-")</f>
        <v>TB</v>
      </c>
    </row>
    <row r="26" spans="1:22" hidden="1" x14ac:dyDescent="0.25">
      <c r="A26" s="1" t="s">
        <v>97</v>
      </c>
      <c r="B26" s="1" t="s">
        <v>2</v>
      </c>
      <c r="C26" s="14" t="s">
        <v>194</v>
      </c>
      <c r="D26" s="14" t="s">
        <v>575</v>
      </c>
      <c r="E26" s="14" t="s">
        <v>575</v>
      </c>
      <c r="F26" s="14" t="s">
        <v>194</v>
      </c>
      <c r="G26" s="14" t="s">
        <v>194</v>
      </c>
      <c r="H26" s="14" t="s">
        <v>194</v>
      </c>
      <c r="I26" s="14" t="s">
        <v>562</v>
      </c>
      <c r="J26" s="1" t="s">
        <v>576</v>
      </c>
      <c r="K26" s="1" t="s">
        <v>2</v>
      </c>
      <c r="L26" s="1" t="s">
        <v>194</v>
      </c>
      <c r="M26" s="1" t="s">
        <v>194</v>
      </c>
      <c r="N26" s="14" t="s">
        <v>194</v>
      </c>
      <c r="O26" s="1" t="s">
        <v>2</v>
      </c>
      <c r="P26" s="1" t="s">
        <v>901</v>
      </c>
      <c r="Q26" s="1"/>
      <c r="R26" s="1"/>
      <c r="S26" t="str">
        <f>IFERROR(INDEX(_SCHEDULE_[],MATCH(_INDICATOR_[[#This Row],[CONTEST_CODE]],_SCHEDULE_[CONTEST_CODE],0),MATCH($S$1,_SCHEDULE_[#Headers],0)),"-")</f>
        <v>ЗАВЕРШЕН</v>
      </c>
      <c r="T26" s="1" t="str">
        <f>IFERROR(INDEX(_group_[],MATCH(_INDICATOR_[[#This Row],[CONTEST_CODE]],_group_[CONTEST_CODE],0),MATCH($T$1,_group_[#Headers],0)),"-")</f>
        <v>BANK</v>
      </c>
      <c r="U26" s="1" t="str">
        <f>IFERROR(INDEX(_DATA_[],MATCH(_INDICATOR_[[#This Row],[CONTEST_CODE]],_DATA_[CONTEST_CODE],0),MATCH($U$1,_DATA_[#Headers],0)),"-")</f>
        <v>Защита 360. Первая продажа</v>
      </c>
      <c r="V26" s="1" t="str">
        <f>IFERROR(INDEX(_reward_link_[],MATCH(_INDICATOR_[[#This Row],[CONTEST_CODE]],_reward_link_[CONTEST_CODE],0),MATCH($V$1,_reward_link_[#Headers],0)),"-")</f>
        <v>BANK</v>
      </c>
    </row>
    <row r="27" spans="1:22" hidden="1" x14ac:dyDescent="0.25">
      <c r="A27" s="1" t="s">
        <v>1348</v>
      </c>
      <c r="B27" s="1" t="s">
        <v>2</v>
      </c>
      <c r="C27" s="14" t="s">
        <v>194</v>
      </c>
      <c r="D27" s="14" t="s">
        <v>575</v>
      </c>
      <c r="E27" s="14" t="s">
        <v>575</v>
      </c>
      <c r="F27" s="14" t="s">
        <v>194</v>
      </c>
      <c r="G27" s="14" t="s">
        <v>194</v>
      </c>
      <c r="H27" s="14" t="s">
        <v>194</v>
      </c>
      <c r="I27" s="14" t="s">
        <v>562</v>
      </c>
      <c r="J27" s="1" t="s">
        <v>563</v>
      </c>
      <c r="K27" s="1" t="s">
        <v>308</v>
      </c>
      <c r="L27" s="1" t="s">
        <v>194</v>
      </c>
      <c r="M27" s="1" t="s">
        <v>194</v>
      </c>
      <c r="N27" s="14" t="s">
        <v>194</v>
      </c>
      <c r="O27" s="1" t="s">
        <v>2</v>
      </c>
      <c r="P27" s="1" t="s">
        <v>1314</v>
      </c>
      <c r="Q27" s="1"/>
      <c r="R27" s="1"/>
      <c r="S27" t="str">
        <f>IFERROR(INDEX(_SCHEDULE_[],MATCH(_INDICATOR_[[#This Row],[CONTEST_CODE]],_SCHEDULE_[CONTEST_CODE],0),MATCH($S$1,_SCHEDULE_[#Headers],0)),"-")</f>
        <v>ЗАВЕРШЕН</v>
      </c>
      <c r="T27" s="1" t="str">
        <f>IFERROR(INDEX(_group_[],MATCH(_INDICATOR_[[#This Row],[CONTEST_CODE]],_group_[CONTEST_CODE],0),MATCH($T$1,_group_[#Headers],0)),"-")</f>
        <v>BANK</v>
      </c>
      <c r="U27" s="1" t="str">
        <f>IFERROR(INDEX(_DATA_[],MATCH(_INDICATOR_[[#This Row],[CONTEST_CODE]],_DATA_[CONTEST_CODE],0),MATCH($U$1,_DATA_[#Headers],0)),"-")</f>
        <v>Защита 360. 2 сделки</v>
      </c>
      <c r="V27" s="1" t="str">
        <f>IFERROR(INDEX(_reward_link_[],MATCH(_INDICATOR_[[#This Row],[CONTEST_CODE]],_reward_link_[CONTEST_CODE],0),MATCH($V$1,_reward_link_[#Headers],0)),"-")</f>
        <v>BANK</v>
      </c>
    </row>
    <row r="28" spans="1:22" hidden="1" x14ac:dyDescent="0.25">
      <c r="A28" s="1" t="s">
        <v>1172</v>
      </c>
      <c r="B28" s="1" t="s">
        <v>2</v>
      </c>
      <c r="C28" s="14" t="s">
        <v>194</v>
      </c>
      <c r="D28" s="14" t="s">
        <v>575</v>
      </c>
      <c r="E28" s="14" t="s">
        <v>575</v>
      </c>
      <c r="F28" s="14" t="s">
        <v>194</v>
      </c>
      <c r="G28" s="14" t="s">
        <v>194</v>
      </c>
      <c r="H28" s="14" t="s">
        <v>194</v>
      </c>
      <c r="I28" s="14" t="s">
        <v>573</v>
      </c>
      <c r="J28" s="1" t="s">
        <v>574</v>
      </c>
      <c r="K28" s="1" t="s">
        <v>194</v>
      </c>
      <c r="L28" s="1" t="s">
        <v>194</v>
      </c>
      <c r="M28" s="1" t="s">
        <v>194</v>
      </c>
      <c r="N28" s="14" t="s">
        <v>194</v>
      </c>
      <c r="O28" s="1" t="s">
        <v>2</v>
      </c>
      <c r="P28" s="1" t="s">
        <v>851</v>
      </c>
      <c r="Q28" s="1"/>
      <c r="R28" s="1"/>
      <c r="S28" t="str">
        <f>IFERROR(INDEX(_SCHEDULE_[],MATCH(_INDICATOR_[[#This Row],[CONTEST_CODE]],_SCHEDULE_[CONTEST_CODE],0),MATCH($S$1,_SCHEDULE_[#Headers],0)),"-")</f>
        <v>ЗАВЕРШЕН</v>
      </c>
      <c r="T28" s="1" t="str">
        <f>IFERROR(INDEX(_group_[],MATCH(_INDICATOR_[[#This Row],[CONTEST_CODE]],_group_[CONTEST_CODE],0),MATCH($T$1,_group_[#Headers],0)),"-")</f>
        <v>BANK</v>
      </c>
      <c r="U28" s="1" t="str">
        <f>IFERROR(INDEX(_DATA_[],MATCH(_INDICATOR_[[#This Row],[CONTEST_CODE]],_DATA_[CONTEST_CODE],0),MATCH($U$1,_DATA_[#Headers],0)),"-")</f>
        <v>Страхование. Продукты ДМС</v>
      </c>
      <c r="V28" s="1" t="str">
        <f>IFERROR(INDEX(_reward_link_[],MATCH(_INDICATOR_[[#This Row],[CONTEST_CODE]],_reward_link_[CONTEST_CODE],0),MATCH($V$1,_reward_link_[#Headers],0)),"-")</f>
        <v>GOSB</v>
      </c>
    </row>
    <row r="29" spans="1:22" hidden="1" x14ac:dyDescent="0.25">
      <c r="A29" s="1" t="s">
        <v>1171</v>
      </c>
      <c r="B29" s="1" t="s">
        <v>2</v>
      </c>
      <c r="C29" s="14" t="s">
        <v>194</v>
      </c>
      <c r="D29" s="14" t="s">
        <v>575</v>
      </c>
      <c r="E29" s="14" t="s">
        <v>575</v>
      </c>
      <c r="F29" s="14" t="s">
        <v>194</v>
      </c>
      <c r="G29" s="14" t="s">
        <v>194</v>
      </c>
      <c r="H29" s="14" t="s">
        <v>194</v>
      </c>
      <c r="I29" s="14" t="s">
        <v>573</v>
      </c>
      <c r="J29" s="1" t="s">
        <v>574</v>
      </c>
      <c r="K29" s="1" t="s">
        <v>194</v>
      </c>
      <c r="L29" s="1" t="s">
        <v>194</v>
      </c>
      <c r="M29" s="1" t="s">
        <v>194</v>
      </c>
      <c r="N29" s="14" t="s">
        <v>194</v>
      </c>
      <c r="O29" s="1" t="s">
        <v>2</v>
      </c>
      <c r="P29" s="1" t="s">
        <v>1315</v>
      </c>
      <c r="Q29" s="1"/>
      <c r="R29" s="1"/>
      <c r="S29" t="str">
        <f>IFERROR(INDEX(_SCHEDULE_[],MATCH(_INDICATOR_[[#This Row],[CONTEST_CODE]],_SCHEDULE_[CONTEST_CODE],0),MATCH($S$1,_SCHEDULE_[#Headers],0)),"-")</f>
        <v>ЗАВЕРШЕН</v>
      </c>
      <c r="T29" s="1" t="str">
        <f>IFERROR(INDEX(_group_[],MATCH(_INDICATOR_[[#This Row],[CONTEST_CODE]],_group_[CONTEST_CODE],0),MATCH($T$1,_group_[#Headers],0)),"-")</f>
        <v>BANK</v>
      </c>
      <c r="U29" s="1" t="str">
        <f>IFERROR(INDEX(_DATA_[],MATCH(_INDICATOR_[[#This Row],[CONTEST_CODE]],_DATA_[CONTEST_CODE],0),MATCH($U$1,_DATA_[#Headers],0)),"-")</f>
        <v xml:space="preserve">Страхование. Продукты ESG </v>
      </c>
      <c r="V29" s="1" t="str">
        <f>IFERROR(INDEX(_reward_link_[],MATCH(_INDICATOR_[[#This Row],[CONTEST_CODE]],_reward_link_[CONTEST_CODE],0),MATCH($V$1,_reward_link_[#Headers],0)),"-")</f>
        <v>TB</v>
      </c>
    </row>
    <row r="30" spans="1:22" hidden="1" x14ac:dyDescent="0.25">
      <c r="A30" s="1" t="s">
        <v>1231</v>
      </c>
      <c r="B30" s="1" t="s">
        <v>2</v>
      </c>
      <c r="C30" s="14" t="s">
        <v>194</v>
      </c>
      <c r="D30" s="14" t="s">
        <v>575</v>
      </c>
      <c r="E30" s="14" t="s">
        <v>575</v>
      </c>
      <c r="F30" s="14" t="s">
        <v>194</v>
      </c>
      <c r="G30" s="14" t="s">
        <v>194</v>
      </c>
      <c r="H30" s="14" t="s">
        <v>194</v>
      </c>
      <c r="I30" s="14" t="s">
        <v>573</v>
      </c>
      <c r="J30" s="1" t="s">
        <v>574</v>
      </c>
      <c r="K30" s="1" t="s">
        <v>194</v>
      </c>
      <c r="L30" s="1" t="s">
        <v>194</v>
      </c>
      <c r="M30" s="1" t="s">
        <v>194</v>
      </c>
      <c r="N30" s="14" t="s">
        <v>194</v>
      </c>
      <c r="O30" s="1" t="s">
        <v>2</v>
      </c>
      <c r="P30" s="1" t="s">
        <v>1316</v>
      </c>
      <c r="Q30" s="1"/>
      <c r="R30" s="1"/>
      <c r="S30" t="str">
        <f>IFERROR(INDEX(_SCHEDULE_[],MATCH(_INDICATOR_[[#This Row],[CONTEST_CODE]],_SCHEDULE_[CONTEST_CODE],0),MATCH($S$1,_SCHEDULE_[#Headers],0)),"-")</f>
        <v>ЗАВЕРШЕН</v>
      </c>
      <c r="T30" s="1" t="str">
        <f>IFERROR(INDEX(_group_[],MATCH(_INDICATOR_[[#This Row],[CONTEST_CODE]],_group_[CONTEST_CODE],0),MATCH($T$1,_group_[#Headers],0)),"-")</f>
        <v>BANK</v>
      </c>
      <c r="U30" s="1" t="str">
        <f>IFERROR(INDEX(_DATA_[],MATCH(_INDICATOR_[[#This Row],[CONTEST_CODE]],_DATA_[CONTEST_CODE],0),MATCH($U$1,_DATA_[#Headers],0)),"-")</f>
        <v>Страхование. Продукты СМР</v>
      </c>
      <c r="V30" s="1" t="str">
        <f>IFERROR(INDEX(_reward_link_[],MATCH(_INDICATOR_[[#This Row],[CONTEST_CODE]],_reward_link_[CONTEST_CODE],0),MATCH($V$1,_reward_link_[#Headers],0)),"-")</f>
        <v>TB</v>
      </c>
    </row>
    <row r="31" spans="1:22" hidden="1" x14ac:dyDescent="0.25">
      <c r="A31" s="1" t="s">
        <v>102</v>
      </c>
      <c r="B31" s="1" t="s">
        <v>2</v>
      </c>
      <c r="C31" s="14" t="s">
        <v>194</v>
      </c>
      <c r="D31" s="14" t="s">
        <v>575</v>
      </c>
      <c r="E31" s="14" t="s">
        <v>575</v>
      </c>
      <c r="F31" s="14" t="s">
        <v>194</v>
      </c>
      <c r="G31" s="14" t="s">
        <v>194</v>
      </c>
      <c r="H31" s="14" t="s">
        <v>194</v>
      </c>
      <c r="I31" s="14" t="s">
        <v>573</v>
      </c>
      <c r="J31" s="1" t="s">
        <v>574</v>
      </c>
      <c r="K31" s="1" t="s">
        <v>194</v>
      </c>
      <c r="L31" s="1" t="s">
        <v>194</v>
      </c>
      <c r="M31" s="1" t="s">
        <v>194</v>
      </c>
      <c r="N31" s="14" t="s">
        <v>194</v>
      </c>
      <c r="O31" s="1" t="s">
        <v>2</v>
      </c>
      <c r="P31" s="1" t="s">
        <v>798</v>
      </c>
      <c r="Q31" s="1"/>
      <c r="R31" s="1"/>
      <c r="S31" t="str">
        <f>IFERROR(INDEX(_SCHEDULE_[],MATCH(_INDICATOR_[[#This Row],[CONTEST_CODE]],_SCHEDULE_[CONTEST_CODE],0),MATCH($S$1,_SCHEDULE_[#Headers],0)),"-")</f>
        <v>ЗАВЕРШЕН</v>
      </c>
      <c r="T31" s="1" t="str">
        <f>IFERROR(INDEX(_group_[],MATCH(_INDICATOR_[[#This Row],[CONTEST_CODE]],_group_[CONTEST_CODE],0),MATCH($T$1,_group_[#Headers],0)),"-")</f>
        <v>BANK</v>
      </c>
      <c r="U31" s="1" t="str">
        <f>IFERROR(INDEX(_DATA_[],MATCH(_INDICATOR_[[#This Row],[CONTEST_CODE]],_DATA_[CONTEST_CODE],0),MATCH($U$1,_DATA_[#Headers],0)),"-")</f>
        <v>Гарантии. Прирост комиссии</v>
      </c>
      <c r="V31" s="1" t="str">
        <f>IFERROR(INDEX(_reward_link_[],MATCH(_INDICATOR_[[#This Row],[CONTEST_CODE]],_reward_link_[CONTEST_CODE],0),MATCH($V$1,_reward_link_[#Headers],0)),"-")</f>
        <v>GOSB</v>
      </c>
    </row>
    <row r="32" spans="1:22" hidden="1" x14ac:dyDescent="0.25">
      <c r="A32" s="1" t="s">
        <v>33</v>
      </c>
      <c r="B32" s="1" t="s">
        <v>2</v>
      </c>
      <c r="C32" s="14" t="s">
        <v>194</v>
      </c>
      <c r="D32" s="14" t="s">
        <v>561</v>
      </c>
      <c r="E32" s="14" t="s">
        <v>561</v>
      </c>
      <c r="F32" s="14" t="s">
        <v>1313</v>
      </c>
      <c r="G32" s="14" t="s">
        <v>2</v>
      </c>
      <c r="H32" s="14" t="s">
        <v>194</v>
      </c>
      <c r="I32" s="14" t="s">
        <v>562</v>
      </c>
      <c r="J32" s="1" t="s">
        <v>563</v>
      </c>
      <c r="K32" s="1" t="s">
        <v>564</v>
      </c>
      <c r="L32" s="1" t="s">
        <v>194</v>
      </c>
      <c r="M32" s="1" t="s">
        <v>194</v>
      </c>
      <c r="N32" s="14" t="s">
        <v>194</v>
      </c>
      <c r="O32" s="1" t="s">
        <v>32</v>
      </c>
      <c r="P32" s="1" t="s">
        <v>1317</v>
      </c>
      <c r="Q32" s="1"/>
      <c r="R32" s="1"/>
      <c r="S32" t="str">
        <f>IFERROR(INDEX(_SCHEDULE_[],MATCH(_INDICATOR_[[#This Row],[CONTEST_CODE]],_SCHEDULE_[CONTEST_CODE],0),MATCH($S$1,_SCHEDULE_[#Headers],0)),"-")</f>
        <v>ЗАВЕРШЕН</v>
      </c>
      <c r="T32" s="1" t="str">
        <f>IFERROR(INDEX(_group_[],MATCH(_INDICATOR_[[#This Row],[CONTEST_CODE]],_group_[CONTEST_CODE],0),MATCH($T$1,_group_[#Headers],0)),"-")</f>
        <v>BANK</v>
      </c>
      <c r="U32" s="1" t="str">
        <f>IFERROR(INDEX(_DATA_[],MATCH(_INDICATOR_[[#This Row],[CONTEST_CODE]],_DATA_[CONTEST_CODE],0),MATCH($U$1,_DATA_[#Headers],0)),"-")</f>
        <v>Индия накопи 100</v>
      </c>
      <c r="V32" s="1" t="str">
        <f>IFERROR(INDEX(_reward_link_[],MATCH(_INDICATOR_[[#This Row],[CONTEST_CODE]],_reward_link_[CONTEST_CODE],0),MATCH($V$1,_reward_link_[#Headers],0)),"-")</f>
        <v>BANK</v>
      </c>
    </row>
    <row r="33" spans="1:22" hidden="1" x14ac:dyDescent="0.25">
      <c r="A33" s="1" t="s">
        <v>37</v>
      </c>
      <c r="B33" s="1" t="s">
        <v>2</v>
      </c>
      <c r="C33" s="14" t="s">
        <v>194</v>
      </c>
      <c r="D33" s="14" t="s">
        <v>561</v>
      </c>
      <c r="E33" s="14" t="s">
        <v>561</v>
      </c>
      <c r="F33" s="14" t="s">
        <v>1313</v>
      </c>
      <c r="G33" s="14" t="s">
        <v>2</v>
      </c>
      <c r="H33" s="14" t="s">
        <v>194</v>
      </c>
      <c r="I33" s="14" t="s">
        <v>562</v>
      </c>
      <c r="J33" s="1" t="s">
        <v>563</v>
      </c>
      <c r="K33" s="1" t="s">
        <v>565</v>
      </c>
      <c r="L33" s="1" t="s">
        <v>194</v>
      </c>
      <c r="M33" s="1" t="s">
        <v>194</v>
      </c>
      <c r="N33" s="14" t="s">
        <v>194</v>
      </c>
      <c r="O33" s="1" t="s">
        <v>32</v>
      </c>
      <c r="P33" s="1" t="s">
        <v>610</v>
      </c>
      <c r="Q33" s="1"/>
      <c r="R33" s="1"/>
      <c r="S33" t="str">
        <f>IFERROR(INDEX(_SCHEDULE_[],MATCH(_INDICATOR_[[#This Row],[CONTEST_CODE]],_SCHEDULE_[CONTEST_CODE],0),MATCH($S$1,_SCHEDULE_[#Headers],0)),"-")</f>
        <v>ЗАВЕРШЕН</v>
      </c>
      <c r="T33" s="1" t="str">
        <f>IFERROR(INDEX(_group_[],MATCH(_INDICATOR_[[#This Row],[CONTEST_CODE]],_group_[CONTEST_CODE],0),MATCH($T$1,_group_[#Headers],0)),"-")</f>
        <v>BANK</v>
      </c>
      <c r="U33" s="1" t="str">
        <f>IFERROR(INDEX(_DATA_[],MATCH(_INDICATOR_[[#This Row],[CONTEST_CODE]],_DATA_[CONTEST_CODE],0),MATCH($U$1,_DATA_[#Headers],0)),"-")</f>
        <v>Индия накопи 500</v>
      </c>
      <c r="V33" s="1" t="str">
        <f>IFERROR(INDEX(_reward_link_[],MATCH(_INDICATOR_[[#This Row],[CONTEST_CODE]],_reward_link_[CONTEST_CODE],0),MATCH($V$1,_reward_link_[#Headers],0)),"-")</f>
        <v>BANK</v>
      </c>
    </row>
    <row r="34" spans="1:22" hidden="1" x14ac:dyDescent="0.25">
      <c r="A34" s="1" t="s">
        <v>39</v>
      </c>
      <c r="B34" s="1" t="s">
        <v>2</v>
      </c>
      <c r="C34" s="14" t="s">
        <v>194</v>
      </c>
      <c r="D34" s="14" t="s">
        <v>561</v>
      </c>
      <c r="E34" s="14" t="s">
        <v>561</v>
      </c>
      <c r="F34" s="14" t="s">
        <v>1313</v>
      </c>
      <c r="G34" s="14" t="s">
        <v>2</v>
      </c>
      <c r="H34" s="14" t="s">
        <v>194</v>
      </c>
      <c r="I34" s="14" t="s">
        <v>562</v>
      </c>
      <c r="J34" s="1" t="s">
        <v>563</v>
      </c>
      <c r="K34" s="1" t="s">
        <v>566</v>
      </c>
      <c r="L34" s="1" t="s">
        <v>194</v>
      </c>
      <c r="M34" s="1" t="s">
        <v>194</v>
      </c>
      <c r="N34" s="14" t="s">
        <v>194</v>
      </c>
      <c r="O34" s="1" t="s">
        <v>32</v>
      </c>
      <c r="P34" s="1" t="s">
        <v>1318</v>
      </c>
      <c r="Q34" s="1"/>
      <c r="R34" s="1"/>
      <c r="S34" t="str">
        <f>IFERROR(INDEX(_SCHEDULE_[],MATCH(_INDICATOR_[[#This Row],[CONTEST_CODE]],_SCHEDULE_[CONTEST_CODE],0),MATCH($S$1,_SCHEDULE_[#Headers],0)),"-")</f>
        <v>ЗАВЕРШЕН</v>
      </c>
      <c r="T34" s="1" t="str">
        <f>IFERROR(INDEX(_group_[],MATCH(_INDICATOR_[[#This Row],[CONTEST_CODE]],_group_[CONTEST_CODE],0),MATCH($T$1,_group_[#Headers],0)),"-")</f>
        <v>BANK</v>
      </c>
      <c r="U34" s="1" t="str">
        <f>IFERROR(INDEX(_DATA_[],MATCH(_INDICATOR_[[#This Row],[CONTEST_CODE]],_DATA_[CONTEST_CODE],0),MATCH($U$1,_DATA_[#Headers],0)),"-")</f>
        <v>Индия накопи 3000</v>
      </c>
      <c r="V34" s="1" t="str">
        <f>IFERROR(INDEX(_reward_link_[],MATCH(_INDICATOR_[[#This Row],[CONTEST_CODE]],_reward_link_[CONTEST_CODE],0),MATCH($V$1,_reward_link_[#Headers],0)),"-")</f>
        <v>BANK</v>
      </c>
    </row>
    <row r="35" spans="1:22" hidden="1" x14ac:dyDescent="0.25">
      <c r="A35" s="1" t="s">
        <v>41</v>
      </c>
      <c r="B35" s="1" t="s">
        <v>2</v>
      </c>
      <c r="C35" s="14" t="s">
        <v>194</v>
      </c>
      <c r="D35" s="14" t="s">
        <v>561</v>
      </c>
      <c r="E35" s="14" t="s">
        <v>561</v>
      </c>
      <c r="F35" s="14" t="s">
        <v>1313</v>
      </c>
      <c r="G35" s="14" t="s">
        <v>2</v>
      </c>
      <c r="H35" s="14" t="s">
        <v>194</v>
      </c>
      <c r="I35" s="14" t="s">
        <v>562</v>
      </c>
      <c r="J35" s="1" t="s">
        <v>563</v>
      </c>
      <c r="K35" s="1" t="s">
        <v>567</v>
      </c>
      <c r="L35" s="1" t="s">
        <v>194</v>
      </c>
      <c r="M35" s="1" t="s">
        <v>194</v>
      </c>
      <c r="N35" s="14" t="s">
        <v>194</v>
      </c>
      <c r="O35" s="1" t="s">
        <v>32</v>
      </c>
      <c r="P35" s="1" t="s">
        <v>611</v>
      </c>
      <c r="Q35" s="1"/>
      <c r="R35" s="1"/>
      <c r="S35" t="str">
        <f>IFERROR(INDEX(_SCHEDULE_[],MATCH(_INDICATOR_[[#This Row],[CONTEST_CODE]],_SCHEDULE_[CONTEST_CODE],0),MATCH($S$1,_SCHEDULE_[#Headers],0)),"-")</f>
        <v>ЗАВЕРШЕН</v>
      </c>
      <c r="T35" s="1" t="str">
        <f>IFERROR(INDEX(_group_[],MATCH(_INDICATOR_[[#This Row],[CONTEST_CODE]],_group_[CONTEST_CODE],0),MATCH($T$1,_group_[#Headers],0)),"-")</f>
        <v>BANK</v>
      </c>
      <c r="U35" s="1" t="str">
        <f>IFERROR(INDEX(_DATA_[],MATCH(_INDICATOR_[[#This Row],[CONTEST_CODE]],_DATA_[CONTEST_CODE],0),MATCH($U$1,_DATA_[#Headers],0)),"-")</f>
        <v>Индия накопи 10000</v>
      </c>
      <c r="V35" s="1" t="str">
        <f>IFERROR(INDEX(_reward_link_[],MATCH(_INDICATOR_[[#This Row],[CONTEST_CODE]],_reward_link_[CONTEST_CODE],0),MATCH($V$1,_reward_link_[#Headers],0)),"-")</f>
        <v>BANK</v>
      </c>
    </row>
    <row r="36" spans="1:22" hidden="1" x14ac:dyDescent="0.25">
      <c r="A36" s="1" t="s">
        <v>43</v>
      </c>
      <c r="B36" s="1" t="s">
        <v>2</v>
      </c>
      <c r="C36" s="14" t="s">
        <v>194</v>
      </c>
      <c r="D36" s="14" t="s">
        <v>561</v>
      </c>
      <c r="E36" s="14" t="s">
        <v>561</v>
      </c>
      <c r="F36" s="14" t="s">
        <v>1313</v>
      </c>
      <c r="G36" s="14" t="s">
        <v>2</v>
      </c>
      <c r="H36" s="14" t="s">
        <v>194</v>
      </c>
      <c r="I36" s="14" t="s">
        <v>568</v>
      </c>
      <c r="J36" s="1" t="s">
        <v>569</v>
      </c>
      <c r="K36" s="1" t="s">
        <v>194</v>
      </c>
      <c r="L36" s="1" t="s">
        <v>194</v>
      </c>
      <c r="M36" s="1" t="s">
        <v>194</v>
      </c>
      <c r="N36" s="14" t="s">
        <v>194</v>
      </c>
      <c r="O36" s="1" t="s">
        <v>32</v>
      </c>
      <c r="P36" s="1" t="s">
        <v>1319</v>
      </c>
      <c r="Q36" s="1"/>
      <c r="R36" s="1"/>
      <c r="S36" t="str">
        <f>IFERROR(INDEX(_SCHEDULE_[],MATCH(_INDICATOR_[[#This Row],[CONTEST_CODE]],_SCHEDULE_[CONTEST_CODE],0),MATCH($S$1,_SCHEDULE_[#Headers],0)),"-")</f>
        <v>УДАЛЕН</v>
      </c>
      <c r="T36" s="1" t="str">
        <f>IFERROR(INDEX(_group_[],MATCH(_INDICATOR_[[#This Row],[CONTEST_CODE]],_group_[CONTEST_CODE],0),MATCH($T$1,_group_[#Headers],0)),"-")</f>
        <v>BANK</v>
      </c>
      <c r="U36" s="1" t="str">
        <f>IFERROR(INDEX(_DATA_[],MATCH(_INDICATOR_[[#This Row],[CONTEST_CODE]],_DATA_[CONTEST_CODE],0),MATCH($U$1,_DATA_[#Headers],0)),"-")</f>
        <v>Индия сделай х2</v>
      </c>
      <c r="V36" s="1" t="str">
        <f>IFERROR(INDEX(_reward_link_[],MATCH(_INDICATOR_[[#This Row],[CONTEST_CODE]],_reward_link_[CONTEST_CODE],0),MATCH($V$1,_reward_link_[#Headers],0)),"-")</f>
        <v>BANK</v>
      </c>
    </row>
    <row r="37" spans="1:22" hidden="1" x14ac:dyDescent="0.25">
      <c r="A37" s="1" t="s">
        <v>45</v>
      </c>
      <c r="B37" s="1" t="s">
        <v>2</v>
      </c>
      <c r="C37" s="14" t="s">
        <v>194</v>
      </c>
      <c r="D37" s="14" t="s">
        <v>561</v>
      </c>
      <c r="E37" s="14" t="s">
        <v>561</v>
      </c>
      <c r="F37" s="14" t="s">
        <v>1313</v>
      </c>
      <c r="G37" s="14" t="s">
        <v>2</v>
      </c>
      <c r="H37" s="14" t="s">
        <v>194</v>
      </c>
      <c r="I37" s="14" t="s">
        <v>568</v>
      </c>
      <c r="J37" s="1" t="s">
        <v>570</v>
      </c>
      <c r="K37" s="1" t="s">
        <v>194</v>
      </c>
      <c r="L37" s="1" t="s">
        <v>194</v>
      </c>
      <c r="M37" s="1" t="s">
        <v>194</v>
      </c>
      <c r="N37" s="14" t="s">
        <v>194</v>
      </c>
      <c r="O37" s="1" t="s">
        <v>32</v>
      </c>
      <c r="P37" s="1" t="s">
        <v>612</v>
      </c>
      <c r="Q37" s="1"/>
      <c r="R37" s="1"/>
      <c r="S37" t="str">
        <f>IFERROR(INDEX(_SCHEDULE_[],MATCH(_INDICATOR_[[#This Row],[CONTEST_CODE]],_SCHEDULE_[CONTEST_CODE],0),MATCH($S$1,_SCHEDULE_[#Headers],0)),"-")</f>
        <v>УДАЛЕН</v>
      </c>
      <c r="T37" s="1" t="str">
        <f>IFERROR(INDEX(_group_[],MATCH(_INDICATOR_[[#This Row],[CONTEST_CODE]],_group_[CONTEST_CODE],0),MATCH($T$1,_group_[#Headers],0)),"-")</f>
        <v>BANK</v>
      </c>
      <c r="U37" s="1" t="str">
        <f>IFERROR(INDEX(_DATA_[],MATCH(_INDICATOR_[[#This Row],[CONTEST_CODE]],_DATA_[CONTEST_CODE],0),MATCH($U$1,_DATA_[#Headers],0)),"-")</f>
        <v>Индия сделай х3</v>
      </c>
      <c r="V37" s="1" t="str">
        <f>IFERROR(INDEX(_reward_link_[],MATCH(_INDICATOR_[[#This Row],[CONTEST_CODE]],_reward_link_[CONTEST_CODE],0),MATCH($V$1,_reward_link_[#Headers],0)),"-")</f>
        <v>BANK</v>
      </c>
    </row>
    <row r="38" spans="1:22" hidden="1" x14ac:dyDescent="0.25">
      <c r="A38" s="1" t="s">
        <v>47</v>
      </c>
      <c r="B38" s="1" t="s">
        <v>2</v>
      </c>
      <c r="C38" s="14" t="s">
        <v>194</v>
      </c>
      <c r="D38" s="14" t="s">
        <v>561</v>
      </c>
      <c r="E38" s="14" t="s">
        <v>561</v>
      </c>
      <c r="F38" s="14" t="s">
        <v>1313</v>
      </c>
      <c r="G38" s="14" t="s">
        <v>2</v>
      </c>
      <c r="H38" s="14" t="s">
        <v>194</v>
      </c>
      <c r="I38" s="14" t="s">
        <v>568</v>
      </c>
      <c r="J38" s="1" t="s">
        <v>571</v>
      </c>
      <c r="K38" s="1" t="s">
        <v>194</v>
      </c>
      <c r="L38" s="1" t="s">
        <v>194</v>
      </c>
      <c r="M38" s="1" t="s">
        <v>194</v>
      </c>
      <c r="N38" s="14" t="s">
        <v>194</v>
      </c>
      <c r="O38" s="1" t="s">
        <v>32</v>
      </c>
      <c r="P38" s="1" t="s">
        <v>822</v>
      </c>
      <c r="Q38" s="1"/>
      <c r="R38" s="1"/>
      <c r="S38" t="str">
        <f>IFERROR(INDEX(_SCHEDULE_[],MATCH(_INDICATOR_[[#This Row],[CONTEST_CODE]],_SCHEDULE_[CONTEST_CODE],0),MATCH($S$1,_SCHEDULE_[#Headers],0)),"-")</f>
        <v>УДАЛЕН</v>
      </c>
      <c r="T38" s="1" t="str">
        <f>IFERROR(INDEX(_group_[],MATCH(_INDICATOR_[[#This Row],[CONTEST_CODE]],_group_[CONTEST_CODE],0),MATCH($T$1,_group_[#Headers],0)),"-")</f>
        <v>BANK</v>
      </c>
      <c r="U38" s="1" t="str">
        <f>IFERROR(INDEX(_DATA_[],MATCH(_INDICATOR_[[#This Row],[CONTEST_CODE]],_DATA_[CONTEST_CODE],0),MATCH($U$1,_DATA_[#Headers],0)),"-")</f>
        <v>Индия сделай х4</v>
      </c>
      <c r="V38" s="1" t="str">
        <f>IFERROR(INDEX(_reward_link_[],MATCH(_INDICATOR_[[#This Row],[CONTEST_CODE]],_reward_link_[CONTEST_CODE],0),MATCH($V$1,_reward_link_[#Headers],0)),"-")</f>
        <v>BANK</v>
      </c>
    </row>
    <row r="39" spans="1:22" hidden="1" x14ac:dyDescent="0.25">
      <c r="A39" s="1" t="s">
        <v>1344</v>
      </c>
      <c r="B39" s="1" t="s">
        <v>2</v>
      </c>
      <c r="C39" s="14" t="s">
        <v>194</v>
      </c>
      <c r="D39" s="14" t="s">
        <v>575</v>
      </c>
      <c r="E39" s="14" t="s">
        <v>575</v>
      </c>
      <c r="F39" s="14" t="s">
        <v>194</v>
      </c>
      <c r="G39" s="14" t="s">
        <v>194</v>
      </c>
      <c r="H39" s="14" t="s">
        <v>194</v>
      </c>
      <c r="I39" s="14" t="s">
        <v>573</v>
      </c>
      <c r="J39" s="1" t="s">
        <v>574</v>
      </c>
      <c r="K39" s="1" t="s">
        <v>194</v>
      </c>
      <c r="L39" s="1" t="s">
        <v>194</v>
      </c>
      <c r="M39" s="1" t="s">
        <v>194</v>
      </c>
      <c r="N39" s="14" t="s">
        <v>194</v>
      </c>
      <c r="O39" s="1" t="s">
        <v>2</v>
      </c>
      <c r="P39" s="1" t="s">
        <v>613</v>
      </c>
      <c r="Q39" s="1"/>
      <c r="R39" s="1"/>
      <c r="S39" t="str">
        <f>IFERROR(INDEX(_SCHEDULE_[],MATCH(_INDICATOR_[[#This Row],[CONTEST_CODE]],_SCHEDULE_[CONTEST_CODE],0),MATCH($S$1,_SCHEDULE_[#Headers],0)),"-")</f>
        <v>ЗАВЕРШЕН</v>
      </c>
      <c r="T39" s="1" t="str">
        <f>IFERROR(INDEX(_group_[],MATCH(_INDICATOR_[[#This Row],[CONTEST_CODE]],_group_[CONTEST_CODE],0),MATCH($T$1,_group_[#Headers],0)),"-")</f>
        <v>TB</v>
      </c>
      <c r="U39" s="1" t="str">
        <f>IFERROR(INDEX(_DATA_[],MATCH(_INDICATOR_[[#This Row],[CONTEST_CODE]],_DATA_[CONTEST_CODE],0),MATCH($U$1,_DATA_[#Headers],0)),"-")</f>
        <v>Рупии. Максимизируем число новых открытых счетов</v>
      </c>
      <c r="V39" s="1" t="str">
        <f>IFERROR(INDEX(_reward_link_[],MATCH(_INDICATOR_[[#This Row],[CONTEST_CODE]],_reward_link_[CONTEST_CODE],0),MATCH($V$1,_reward_link_[#Headers],0)),"-")</f>
        <v>TB</v>
      </c>
    </row>
    <row r="40" spans="1:22" hidden="1" x14ac:dyDescent="0.25">
      <c r="A40" s="1" t="s">
        <v>109</v>
      </c>
      <c r="B40" s="1" t="s">
        <v>2</v>
      </c>
      <c r="C40" s="14" t="s">
        <v>194</v>
      </c>
      <c r="D40" s="14" t="s">
        <v>575</v>
      </c>
      <c r="E40" s="14" t="s">
        <v>575</v>
      </c>
      <c r="F40" s="14" t="s">
        <v>194</v>
      </c>
      <c r="G40" s="14" t="s">
        <v>194</v>
      </c>
      <c r="H40" s="14" t="s">
        <v>194</v>
      </c>
      <c r="I40" s="14" t="s">
        <v>573</v>
      </c>
      <c r="J40" s="1" t="s">
        <v>574</v>
      </c>
      <c r="K40" s="1" t="s">
        <v>194</v>
      </c>
      <c r="L40" s="1" t="s">
        <v>194</v>
      </c>
      <c r="M40" s="1" t="s">
        <v>194</v>
      </c>
      <c r="N40" s="14" t="s">
        <v>194</v>
      </c>
      <c r="O40" s="1" t="s">
        <v>2</v>
      </c>
      <c r="P40" s="1" t="s">
        <v>1320</v>
      </c>
      <c r="Q40" s="1"/>
      <c r="R40" s="1"/>
      <c r="S40" t="str">
        <f>IFERROR(INDEX(_SCHEDULE_[],MATCH(_INDICATOR_[[#This Row],[CONTEST_CODE]],_SCHEDULE_[CONTEST_CODE],0),MATCH($S$1,_SCHEDULE_[#Headers],0)),"-")</f>
        <v>ЗАВЕРШЕН</v>
      </c>
      <c r="T40" s="1" t="str">
        <f>IFERROR(INDEX(_group_[],MATCH(_INDICATOR_[[#This Row],[CONTEST_CODE]],_group_[CONTEST_CODE],0),MATCH($T$1,_group_[#Headers],0)),"-")</f>
        <v>BANK</v>
      </c>
      <c r="U40" s="1" t="str">
        <f>IFERROR(INDEX(_DATA_[],MATCH(_INDICATOR_[[#This Row],[CONTEST_CODE]],_DATA_[CONTEST_CODE],0),MATCH($U$1,_DATA_[#Headers],0)),"-")</f>
        <v>ТФиДО. Максимизируй комиссию</v>
      </c>
      <c r="V40" s="1" t="str">
        <f>IFERROR(INDEX(_reward_link_[],MATCH(_INDICATOR_[[#This Row],[CONTEST_CODE]],_reward_link_[CONTEST_CODE],0),MATCH($V$1,_reward_link_[#Headers],0)),"-")</f>
        <v>BANK</v>
      </c>
    </row>
    <row r="41" spans="1:22" hidden="1" x14ac:dyDescent="0.25">
      <c r="A41" s="1" t="s">
        <v>124</v>
      </c>
      <c r="B41" s="1" t="s">
        <v>2</v>
      </c>
      <c r="C41" s="14" t="s">
        <v>194</v>
      </c>
      <c r="D41" s="14" t="s">
        <v>575</v>
      </c>
      <c r="E41" s="14" t="s">
        <v>575</v>
      </c>
      <c r="F41" s="14" t="s">
        <v>194</v>
      </c>
      <c r="G41" s="14" t="s">
        <v>194</v>
      </c>
      <c r="H41" s="14" t="s">
        <v>194</v>
      </c>
      <c r="I41" s="14" t="s">
        <v>562</v>
      </c>
      <c r="J41" s="1" t="s">
        <v>563</v>
      </c>
      <c r="K41" s="1" t="s">
        <v>2</v>
      </c>
      <c r="L41" s="1" t="s">
        <v>194</v>
      </c>
      <c r="M41" s="1" t="s">
        <v>194</v>
      </c>
      <c r="N41" s="14" t="s">
        <v>194</v>
      </c>
      <c r="O41" s="1" t="s">
        <v>2</v>
      </c>
      <c r="P41" s="1" t="s">
        <v>1321</v>
      </c>
      <c r="Q41" s="1"/>
      <c r="R41" s="1"/>
      <c r="S41" t="str">
        <f>IFERROR(INDEX(_SCHEDULE_[],MATCH(_INDICATOR_[[#This Row],[CONTEST_CODE]],_SCHEDULE_[CONTEST_CODE],0),MATCH($S$1,_SCHEDULE_[#Headers],0)),"-")</f>
        <v>УДАЛЕН</v>
      </c>
      <c r="T41" s="1" t="str">
        <f>IFERROR(INDEX(_group_[],MATCH(_INDICATOR_[[#This Row],[CONTEST_CODE]],_group_[CONTEST_CODE],0),MATCH($T$1,_group_[#Headers],0)),"-")</f>
        <v>BANK</v>
      </c>
      <c r="U41" s="1" t="str">
        <f>IFERROR(INDEX(_DATA_[],MATCH(_INDICATOR_[[#This Row],[CONTEST_CODE]],_DATA_[CONTEST_CODE],0),MATCH($U$1,_DATA_[#Headers],0)),"-")</f>
        <v>CAPMAN 1 клиент</v>
      </c>
      <c r="V41" s="1" t="str">
        <f>IFERROR(INDEX(_reward_link_[],MATCH(_INDICATOR_[[#This Row],[CONTEST_CODE]],_reward_link_[CONTEST_CODE],0),MATCH($V$1,_reward_link_[#Headers],0)),"-")</f>
        <v>BANK</v>
      </c>
    </row>
    <row r="42" spans="1:22" hidden="1" x14ac:dyDescent="0.25">
      <c r="A42" s="1" t="s">
        <v>127</v>
      </c>
      <c r="B42" s="1" t="s">
        <v>2</v>
      </c>
      <c r="C42" s="14" t="s">
        <v>194</v>
      </c>
      <c r="D42" s="14" t="s">
        <v>575</v>
      </c>
      <c r="E42" s="14" t="s">
        <v>575</v>
      </c>
      <c r="F42" s="14" t="s">
        <v>194</v>
      </c>
      <c r="G42" s="14" t="s">
        <v>194</v>
      </c>
      <c r="H42" s="14" t="s">
        <v>194</v>
      </c>
      <c r="I42" s="14" t="s">
        <v>562</v>
      </c>
      <c r="J42" s="1" t="s">
        <v>563</v>
      </c>
      <c r="K42" s="1" t="s">
        <v>314</v>
      </c>
      <c r="L42" s="1" t="s">
        <v>194</v>
      </c>
      <c r="M42" s="1" t="s">
        <v>194</v>
      </c>
      <c r="N42" s="14" t="s">
        <v>194</v>
      </c>
      <c r="O42" s="1" t="s">
        <v>2</v>
      </c>
      <c r="P42" s="1" t="s">
        <v>1322</v>
      </c>
      <c r="Q42" s="1"/>
      <c r="R42" s="1"/>
      <c r="S42" t="str">
        <f>IFERROR(INDEX(_SCHEDULE_[],MATCH(_INDICATOR_[[#This Row],[CONTEST_CODE]],_SCHEDULE_[CONTEST_CODE],0),MATCH($S$1,_SCHEDULE_[#Headers],0)),"-")</f>
        <v>ЗАВЕРШЕН</v>
      </c>
      <c r="T42" s="1" t="str">
        <f>IFERROR(INDEX(_group_[],MATCH(_INDICATOR_[[#This Row],[CONTEST_CODE]],_group_[CONTEST_CODE],0),MATCH($T$1,_group_[#Headers],0)),"-")</f>
        <v>BANK</v>
      </c>
      <c r="U42" s="1" t="str">
        <f>IFERROR(INDEX(_DATA_[],MATCH(_INDICATOR_[[#This Row],[CONTEST_CODE]],_DATA_[CONTEST_CODE],0),MATCH($U$1,_DATA_[#Headers],0)),"-")</f>
        <v>CAPMAN 3 клиента</v>
      </c>
      <c r="V42" s="1" t="str">
        <f>IFERROR(INDEX(_reward_link_[],MATCH(_INDICATOR_[[#This Row],[CONTEST_CODE]],_reward_link_[CONTEST_CODE],0),MATCH($V$1,_reward_link_[#Headers],0)),"-")</f>
        <v>BANK</v>
      </c>
    </row>
    <row r="43" spans="1:22" hidden="1" x14ac:dyDescent="0.25">
      <c r="A43" s="1" t="s">
        <v>130</v>
      </c>
      <c r="B43" s="1" t="s">
        <v>2</v>
      </c>
      <c r="C43" s="14" t="s">
        <v>194</v>
      </c>
      <c r="D43" s="14" t="s">
        <v>575</v>
      </c>
      <c r="E43" s="14" t="s">
        <v>575</v>
      </c>
      <c r="F43" s="14" t="s">
        <v>194</v>
      </c>
      <c r="G43" s="14" t="s">
        <v>194</v>
      </c>
      <c r="H43" s="14" t="s">
        <v>194</v>
      </c>
      <c r="I43" s="14" t="s">
        <v>562</v>
      </c>
      <c r="J43" s="1" t="s">
        <v>563</v>
      </c>
      <c r="K43" s="1" t="s">
        <v>36</v>
      </c>
      <c r="L43" s="1" t="s">
        <v>194</v>
      </c>
      <c r="M43" s="1" t="s">
        <v>194</v>
      </c>
      <c r="N43" s="14" t="s">
        <v>194</v>
      </c>
      <c r="O43" s="1" t="s">
        <v>2</v>
      </c>
      <c r="P43" s="1" t="s">
        <v>963</v>
      </c>
      <c r="Q43" s="1"/>
      <c r="R43" s="1"/>
      <c r="S43" t="str">
        <f>IFERROR(INDEX(_SCHEDULE_[],MATCH(_INDICATOR_[[#This Row],[CONTEST_CODE]],_SCHEDULE_[CONTEST_CODE],0),MATCH($S$1,_SCHEDULE_[#Headers],0)),"-")</f>
        <v>ЗАВЕРШЕН</v>
      </c>
      <c r="T43" s="1" t="str">
        <f>IFERROR(INDEX(_group_[],MATCH(_INDICATOR_[[#This Row],[CONTEST_CODE]],_group_[CONTEST_CODE],0),MATCH($T$1,_group_[#Headers],0)),"-")</f>
        <v>BANK</v>
      </c>
      <c r="U43" s="1" t="str">
        <f>IFERROR(INDEX(_DATA_[],MATCH(_INDICATOR_[[#This Row],[CONTEST_CODE]],_DATA_[CONTEST_CODE],0),MATCH($U$1,_DATA_[#Headers],0)),"-")</f>
        <v>CAPMAN 10 клиентов</v>
      </c>
      <c r="V43" s="1" t="str">
        <f>IFERROR(INDEX(_reward_link_[],MATCH(_INDICATOR_[[#This Row],[CONTEST_CODE]],_reward_link_[CONTEST_CODE],0),MATCH($V$1,_reward_link_[#Headers],0)),"-")</f>
        <v>BANK</v>
      </c>
    </row>
    <row r="44" spans="1:22" hidden="1" x14ac:dyDescent="0.25">
      <c r="A44" s="1" t="s">
        <v>86</v>
      </c>
      <c r="B44" s="1" t="s">
        <v>2</v>
      </c>
      <c r="C44" s="14" t="s">
        <v>194</v>
      </c>
      <c r="D44" s="14" t="s">
        <v>575</v>
      </c>
      <c r="E44" s="14" t="s">
        <v>575</v>
      </c>
      <c r="F44" s="14" t="s">
        <v>194</v>
      </c>
      <c r="G44" s="14" t="s">
        <v>194</v>
      </c>
      <c r="H44" s="14" t="s">
        <v>194</v>
      </c>
      <c r="I44" s="14" t="s">
        <v>573</v>
      </c>
      <c r="J44" s="1" t="s">
        <v>574</v>
      </c>
      <c r="K44" s="1" t="s">
        <v>194</v>
      </c>
      <c r="L44" s="1" t="s">
        <v>194</v>
      </c>
      <c r="M44" s="1" t="s">
        <v>194</v>
      </c>
      <c r="N44" s="14" t="s">
        <v>194</v>
      </c>
      <c r="O44" s="1" t="s">
        <v>2</v>
      </c>
      <c r="P44" s="1" t="s">
        <v>1323</v>
      </c>
      <c r="Q44" s="1"/>
      <c r="R44" s="1"/>
      <c r="S44" t="str">
        <f>IFERROR(INDEX(_SCHEDULE_[],MATCH(_INDICATOR_[[#This Row],[CONTEST_CODE]],_SCHEDULE_[CONTEST_CODE],0),MATCH($S$1,_SCHEDULE_[#Headers],0)),"-")</f>
        <v>ЗАВЕРШЕН</v>
      </c>
      <c r="T44" s="1" t="str">
        <f>IFERROR(INDEX(_group_[],MATCH(_INDICATOR_[[#This Row],[CONTEST_CODE]],_group_[CONTEST_CODE],0),MATCH($T$1,_group_[#Headers],0)),"-")</f>
        <v>BANK</v>
      </c>
      <c r="U44" s="1" t="str">
        <f>IFERROR(INDEX(_DATA_[],MATCH(_INDICATOR_[[#This Row],[CONTEST_CODE]],_DATA_[CONTEST_CODE],0),MATCH($U$1,_DATA_[#Headers],0)),"-")</f>
        <v>Активы. Максимизируй прирост остатка</v>
      </c>
      <c r="V44" s="1" t="str">
        <f>IFERROR(INDEX(_reward_link_[],MATCH(_INDICATOR_[[#This Row],[CONTEST_CODE]],_reward_link_[CONTEST_CODE],0),MATCH($V$1,_reward_link_[#Headers],0)),"-")</f>
        <v>GOSB</v>
      </c>
    </row>
    <row r="45" spans="1:22" hidden="1" x14ac:dyDescent="0.25">
      <c r="A45" s="1" t="s">
        <v>53</v>
      </c>
      <c r="B45" s="1" t="s">
        <v>2</v>
      </c>
      <c r="C45" s="14" t="s">
        <v>194</v>
      </c>
      <c r="D45" s="14" t="s">
        <v>575</v>
      </c>
      <c r="E45" s="14" t="s">
        <v>575</v>
      </c>
      <c r="F45" s="14" t="s">
        <v>194</v>
      </c>
      <c r="G45" s="14" t="s">
        <v>194</v>
      </c>
      <c r="H45" s="14" t="s">
        <v>194</v>
      </c>
      <c r="I45" s="14" t="s">
        <v>573</v>
      </c>
      <c r="J45" s="1" t="s">
        <v>574</v>
      </c>
      <c r="K45" s="1" t="s">
        <v>194</v>
      </c>
      <c r="L45" s="1" t="s">
        <v>194</v>
      </c>
      <c r="M45" s="1" t="s">
        <v>194</v>
      </c>
      <c r="N45" s="14" t="s">
        <v>194</v>
      </c>
      <c r="O45" s="1" t="s">
        <v>2</v>
      </c>
      <c r="P45" s="1" t="s">
        <v>1324</v>
      </c>
      <c r="Q45" s="1"/>
      <c r="R45" s="1"/>
      <c r="S45" t="str">
        <f>IFERROR(INDEX(_SCHEDULE_[],MATCH(_INDICATOR_[[#This Row],[CONTEST_CODE]],_SCHEDULE_[CONTEST_CODE],0),MATCH($S$1,_SCHEDULE_[#Headers],0)),"-")</f>
        <v>УДАЛЕН</v>
      </c>
      <c r="T45" s="1" t="str">
        <f>IFERROR(INDEX(_group_[],MATCH(_INDICATOR_[[#This Row],[CONTEST_CODE]],_group_[CONTEST_CODE],0),MATCH($T$1,_group_[#Headers],0)),"-")</f>
        <v>BANK</v>
      </c>
      <c r="U45" s="1" t="str">
        <f>IFERROR(INDEX(_DATA_[],MATCH(_INDICATOR_[[#This Row],[CONTEST_CODE]],_DATA_[CONTEST_CODE],0),MATCH($U$1,_DATA_[#Headers],0)),"-")</f>
        <v>Активы. ТОП-1 по условным сделкам</v>
      </c>
      <c r="V45" s="1" t="str">
        <f>IFERROR(INDEX(_reward_link_[],MATCH(_INDICATOR_[[#This Row],[CONTEST_CODE]],_reward_link_[CONTEST_CODE],0),MATCH($V$1,_reward_link_[#Headers],0)),"-")</f>
        <v>TB</v>
      </c>
    </row>
    <row r="46" spans="1:22" hidden="1" x14ac:dyDescent="0.25">
      <c r="A46" s="1" t="s">
        <v>138</v>
      </c>
      <c r="B46" s="1" t="s">
        <v>2</v>
      </c>
      <c r="C46" s="14" t="s">
        <v>194</v>
      </c>
      <c r="D46" s="14" t="s">
        <v>575</v>
      </c>
      <c r="E46" s="14" t="s">
        <v>575</v>
      </c>
      <c r="F46" s="14" t="s">
        <v>194</v>
      </c>
      <c r="G46" s="14" t="s">
        <v>194</v>
      </c>
      <c r="H46" s="14" t="s">
        <v>194</v>
      </c>
      <c r="I46" s="14" t="s">
        <v>562</v>
      </c>
      <c r="J46" s="1" t="s">
        <v>576</v>
      </c>
      <c r="K46" s="1" t="s">
        <v>2</v>
      </c>
      <c r="L46" s="1" t="s">
        <v>194</v>
      </c>
      <c r="M46" s="1" t="s">
        <v>194</v>
      </c>
      <c r="N46" s="14" t="s">
        <v>194</v>
      </c>
      <c r="O46" s="1" t="s">
        <v>2</v>
      </c>
      <c r="P46" s="1" t="s">
        <v>1325</v>
      </c>
      <c r="Q46" s="1"/>
      <c r="R46" s="1"/>
      <c r="S46" t="str">
        <f>IFERROR(INDEX(_SCHEDULE_[],MATCH(_INDICATOR_[[#This Row],[CONTEST_CODE]],_SCHEDULE_[CONTEST_CODE],0),MATCH($S$1,_SCHEDULE_[#Headers],0)),"-")</f>
        <v>ЗАВЕРШЕН</v>
      </c>
      <c r="T46" s="1" t="str">
        <f>IFERROR(INDEX(_group_[],MATCH(_INDICATOR_[[#This Row],[CONTEST_CODE]],_group_[CONTEST_CODE],0),MATCH($T$1,_group_[#Headers],0)),"-")</f>
        <v>BANK</v>
      </c>
      <c r="U46" s="1" t="str">
        <f>IFERROR(INDEX(_DATA_[],MATCH(_INDICATOR_[[#This Row],[CONTEST_CODE]],_DATA_[CONTEST_CODE],0),MATCH($U$1,_DATA_[#Headers],0)),"-")</f>
        <v>Первая сделка в ЦКП</v>
      </c>
      <c r="V46" s="1" t="str">
        <f>IFERROR(INDEX(_reward_link_[],MATCH(_INDICATOR_[[#This Row],[CONTEST_CODE]],_reward_link_[CONTEST_CODE],0),MATCH($V$1,_reward_link_[#Headers],0)),"-")</f>
        <v>BANK</v>
      </c>
    </row>
    <row r="47" spans="1:22" hidden="1" x14ac:dyDescent="0.25">
      <c r="A47" s="1" t="s">
        <v>1227</v>
      </c>
      <c r="B47" s="1" t="s">
        <v>2</v>
      </c>
      <c r="C47" s="14" t="s">
        <v>194</v>
      </c>
      <c r="D47" s="14" t="s">
        <v>575</v>
      </c>
      <c r="E47" s="14" t="s">
        <v>575</v>
      </c>
      <c r="F47" s="14" t="s">
        <v>194</v>
      </c>
      <c r="G47" s="14" t="s">
        <v>194</v>
      </c>
      <c r="H47" s="14" t="s">
        <v>194</v>
      </c>
      <c r="I47" s="14" t="s">
        <v>573</v>
      </c>
      <c r="J47" s="1" t="s">
        <v>574</v>
      </c>
      <c r="K47" s="1" t="s">
        <v>194</v>
      </c>
      <c r="L47" s="1" t="s">
        <v>194</v>
      </c>
      <c r="M47" s="1" t="s">
        <v>194</v>
      </c>
      <c r="N47" s="14" t="s">
        <v>194</v>
      </c>
      <c r="O47" s="1" t="s">
        <v>2</v>
      </c>
      <c r="P47" s="1" t="s">
        <v>615</v>
      </c>
      <c r="Q47" s="1"/>
      <c r="R47" s="1"/>
      <c r="S47" t="str">
        <f>IFERROR(INDEX(_SCHEDULE_[],MATCH(_INDICATOR_[[#This Row],[CONTEST_CODE]],_SCHEDULE_[CONTEST_CODE],0),MATCH($S$1,_SCHEDULE_[#Headers],0)),"-")</f>
        <v>УДАЛЕН</v>
      </c>
      <c r="T47" s="1" t="str">
        <f>IFERROR(INDEX(_group_[],MATCH(_INDICATOR_[[#This Row],[CONTEST_CODE]],_group_[CONTEST_CODE],0),MATCH($T$1,_group_[#Headers],0)),"-")</f>
        <v>TB</v>
      </c>
      <c r="U47" s="1" t="str">
        <f>IFERROR(INDEX(_DATA_[],MATCH(_INDICATOR_[[#This Row],[CONTEST_CODE]],_DATA_[CONTEST_CODE],0),MATCH($U$1,_DATA_[#Headers],0)),"-")</f>
        <v>Кредитные продукты. Наращиваем сделки в ЦКП</v>
      </c>
      <c r="V47" s="1" t="str">
        <f>IFERROR(INDEX(_reward_link_[],MATCH(_INDICATOR_[[#This Row],[CONTEST_CODE]],_reward_link_[CONTEST_CODE],0),MATCH($V$1,_reward_link_[#Headers],0)),"-")</f>
        <v>TB</v>
      </c>
    </row>
    <row r="48" spans="1:22" hidden="1" x14ac:dyDescent="0.25">
      <c r="A48" s="1" t="s">
        <v>83</v>
      </c>
      <c r="B48" s="1" t="s">
        <v>2</v>
      </c>
      <c r="C48" s="14" t="s">
        <v>194</v>
      </c>
      <c r="D48" s="14" t="s">
        <v>575</v>
      </c>
      <c r="E48" s="14" t="s">
        <v>575</v>
      </c>
      <c r="F48" s="14" t="s">
        <v>194</v>
      </c>
      <c r="G48" s="14" t="s">
        <v>194</v>
      </c>
      <c r="H48" s="14" t="s">
        <v>194</v>
      </c>
      <c r="I48" s="14" t="s">
        <v>573</v>
      </c>
      <c r="J48" s="1" t="s">
        <v>574</v>
      </c>
      <c r="K48" s="1" t="s">
        <v>194</v>
      </c>
      <c r="L48" s="1" t="s">
        <v>194</v>
      </c>
      <c r="M48" s="1" t="s">
        <v>194</v>
      </c>
      <c r="N48" s="14" t="s">
        <v>194</v>
      </c>
      <c r="O48" s="1" t="s">
        <v>2</v>
      </c>
      <c r="P48" s="1" t="s">
        <v>616</v>
      </c>
      <c r="Q48" s="1"/>
      <c r="R48" s="1"/>
      <c r="S48" t="str">
        <f>IFERROR(INDEX(_SCHEDULE_[],MATCH(_INDICATOR_[[#This Row],[CONTEST_CODE]],_SCHEDULE_[CONTEST_CODE],0),MATCH($S$1,_SCHEDULE_[#Headers],0)),"-")</f>
        <v>ЗАВЕРШЕН</v>
      </c>
      <c r="T48" s="1" t="str">
        <f>IFERROR(INDEX(_group_[],MATCH(_INDICATOR_[[#This Row],[CONTEST_CODE]],_group_[CONTEST_CODE],0),MATCH($T$1,_group_[#Headers],0)),"-")</f>
        <v>BANK</v>
      </c>
      <c r="U48" s="1" t="str">
        <f>IFERROR(INDEX(_DATA_[],MATCH(_INDICATOR_[[#This Row],[CONTEST_CODE]],_DATA_[CONTEST_CODE],0),MATCH($U$1,_DATA_[#Headers],0)),"-")</f>
        <v>Факторинг Онлайн. Максимизируй портфель</v>
      </c>
      <c r="V48" s="1" t="str">
        <f>IFERROR(INDEX(_reward_link_[],MATCH(_INDICATOR_[[#This Row],[CONTEST_CODE]],_reward_link_[CONTEST_CODE],0),MATCH($V$1,_reward_link_[#Headers],0)),"-")</f>
        <v>BANK</v>
      </c>
    </row>
    <row r="49" spans="1:22" hidden="1" x14ac:dyDescent="0.25">
      <c r="A49" s="1" t="s">
        <v>79</v>
      </c>
      <c r="B49" s="1" t="s">
        <v>2</v>
      </c>
      <c r="C49" s="14" t="s">
        <v>194</v>
      </c>
      <c r="D49" s="14" t="s">
        <v>575</v>
      </c>
      <c r="E49" s="14" t="s">
        <v>575</v>
      </c>
      <c r="F49" s="14" t="s">
        <v>194</v>
      </c>
      <c r="G49" s="14" t="s">
        <v>194</v>
      </c>
      <c r="H49" s="14" t="s">
        <v>194</v>
      </c>
      <c r="I49" s="14" t="s">
        <v>573</v>
      </c>
      <c r="J49" s="1" t="s">
        <v>574</v>
      </c>
      <c r="K49" s="1" t="s">
        <v>194</v>
      </c>
      <c r="L49" s="1" t="s">
        <v>194</v>
      </c>
      <c r="M49" s="1" t="s">
        <v>194</v>
      </c>
      <c r="N49" s="14" t="s">
        <v>194</v>
      </c>
      <c r="O49" s="1" t="s">
        <v>2</v>
      </c>
      <c r="P49" s="1" t="s">
        <v>1407</v>
      </c>
      <c r="Q49" s="1"/>
      <c r="R49" s="1"/>
      <c r="S49" t="str">
        <f>IFERROR(INDEX(_SCHEDULE_[],MATCH(_INDICATOR_[[#This Row],[CONTEST_CODE]],_SCHEDULE_[CONTEST_CODE],0),MATCH($S$1,_SCHEDULE_[#Headers],0)),"-")</f>
        <v>УДАЛЕН</v>
      </c>
      <c r="T49" s="1" t="str">
        <f>IFERROR(INDEX(_group_[],MATCH(_INDICATOR_[[#This Row],[CONTEST_CODE]],_group_[CONTEST_CODE],0),MATCH($T$1,_group_[#Headers],0)),"-")</f>
        <v>BANK</v>
      </c>
      <c r="U49" s="1" t="str">
        <f>IFERROR(INDEX(_DATA_[],MATCH(_INDICATOR_[[#This Row],[CONTEST_CODE]],_DATA_[CONTEST_CODE],0),MATCH($U$1,_DATA_[#Headers],0)),"-")</f>
        <v>Факторинг. Лучший по продажам</v>
      </c>
      <c r="V49" s="1" t="str">
        <f>IFERROR(INDEX(_reward_link_[],MATCH(_INDICATOR_[[#This Row],[CONTEST_CODE]],_reward_link_[CONTEST_CODE],0),MATCH($V$1,_reward_link_[#Headers],0)),"-")</f>
        <v>BANK</v>
      </c>
    </row>
    <row r="50" spans="1:22" hidden="1" x14ac:dyDescent="0.25">
      <c r="A50" s="1" t="s">
        <v>116</v>
      </c>
      <c r="B50" s="1" t="s">
        <v>2</v>
      </c>
      <c r="C50" s="14" t="s">
        <v>194</v>
      </c>
      <c r="D50" s="14" t="s">
        <v>575</v>
      </c>
      <c r="E50" s="14" t="s">
        <v>575</v>
      </c>
      <c r="F50" s="14" t="s">
        <v>194</v>
      </c>
      <c r="G50" s="14" t="s">
        <v>194</v>
      </c>
      <c r="H50" s="14" t="s">
        <v>194</v>
      </c>
      <c r="I50" s="14" t="s">
        <v>573</v>
      </c>
      <c r="J50" s="1" t="s">
        <v>574</v>
      </c>
      <c r="K50" s="1" t="s">
        <v>194</v>
      </c>
      <c r="L50" s="1" t="s">
        <v>194</v>
      </c>
      <c r="M50" s="1" t="s">
        <v>194</v>
      </c>
      <c r="N50" s="14" t="s">
        <v>194</v>
      </c>
      <c r="O50" s="1" t="s">
        <v>2</v>
      </c>
      <c r="P50" s="1" t="s">
        <v>1408</v>
      </c>
      <c r="Q50" s="1"/>
      <c r="R50" s="1"/>
      <c r="S50" t="str">
        <f>IFERROR(INDEX(_SCHEDULE_[],MATCH(_INDICATOR_[[#This Row],[CONTEST_CODE]],_SCHEDULE_[CONTEST_CODE],0),MATCH($S$1,_SCHEDULE_[#Headers],0)),"-")</f>
        <v>ЗАВЕРШЕН</v>
      </c>
      <c r="T50" s="1" t="str">
        <f>IFERROR(INDEX(_group_[],MATCH(_INDICATOR_[[#This Row],[CONTEST_CODE]],_group_[CONTEST_CODE],0),MATCH($T$1,_group_[#Headers],0)),"-")</f>
        <v>BANK</v>
      </c>
      <c r="U50" s="1" t="str">
        <f>IFERROR(INDEX(_DATA_[],MATCH(_INDICATOR_[[#This Row],[CONTEST_CODE]],_DATA_[CONTEST_CODE],0),MATCH($U$1,_DATA_[#Headers],0)),"-")</f>
        <v>Лизинг. Максимизируй сумму договоров</v>
      </c>
      <c r="V50" s="1" t="str">
        <f>IFERROR(INDEX(_reward_link_[],MATCH(_INDICATOR_[[#This Row],[CONTEST_CODE]],_reward_link_[CONTEST_CODE],0),MATCH($V$1,_reward_link_[#Headers],0)),"-")</f>
        <v>BANK</v>
      </c>
    </row>
    <row r="51" spans="1:22" hidden="1" x14ac:dyDescent="0.25">
      <c r="A51" s="1" t="s">
        <v>119</v>
      </c>
      <c r="B51" s="1" t="s">
        <v>2</v>
      </c>
      <c r="C51" s="14" t="s">
        <v>194</v>
      </c>
      <c r="D51" s="14" t="s">
        <v>575</v>
      </c>
      <c r="E51" s="14" t="s">
        <v>575</v>
      </c>
      <c r="F51" s="14" t="s">
        <v>194</v>
      </c>
      <c r="G51" s="14" t="s">
        <v>194</v>
      </c>
      <c r="H51" s="14" t="s">
        <v>194</v>
      </c>
      <c r="I51" s="14" t="s">
        <v>573</v>
      </c>
      <c r="J51" s="1" t="s">
        <v>574</v>
      </c>
      <c r="K51" s="1" t="s">
        <v>194</v>
      </c>
      <c r="L51" s="1" t="s">
        <v>194</v>
      </c>
      <c r="M51" s="1" t="s">
        <v>194</v>
      </c>
      <c r="N51" s="14" t="s">
        <v>194</v>
      </c>
      <c r="O51" s="1" t="s">
        <v>2</v>
      </c>
      <c r="P51" s="1" t="s">
        <v>1409</v>
      </c>
      <c r="Q51" s="1"/>
      <c r="R51" s="1"/>
      <c r="S51" t="str">
        <f>IFERROR(INDEX(_SCHEDULE_[],MATCH(_INDICATOR_[[#This Row],[CONTEST_CODE]],_SCHEDULE_[CONTEST_CODE],0),MATCH($S$1,_SCHEDULE_[#Headers],0)),"-")</f>
        <v>ЗАВЕРШЕН</v>
      </c>
      <c r="T51" s="1" t="str">
        <f>IFERROR(INDEX(_group_[],MATCH(_INDICATOR_[[#This Row],[CONTEST_CODE]],_group_[CONTEST_CODE],0),MATCH($T$1,_group_[#Headers],0)),"-")</f>
        <v>BANK</v>
      </c>
      <c r="U51" s="1" t="str">
        <f>IFERROR(INDEX(_DATA_[],MATCH(_INDICATOR_[[#This Row],[CONTEST_CODE]],_DATA_[CONTEST_CODE],0),MATCH($U$1,_DATA_[#Headers],0)),"-")</f>
        <v>Лизинг. Максимизируй число клиентов</v>
      </c>
      <c r="V51" s="1" t="str">
        <f>IFERROR(INDEX(_reward_link_[],MATCH(_INDICATOR_[[#This Row],[CONTEST_CODE]],_reward_link_[CONTEST_CODE],0),MATCH($V$1,_reward_link_[#Headers],0)),"-")</f>
        <v>BANK</v>
      </c>
    </row>
    <row r="52" spans="1:22" hidden="1" x14ac:dyDescent="0.25">
      <c r="A52" s="1" t="s">
        <v>647</v>
      </c>
      <c r="B52" s="1" t="s">
        <v>2</v>
      </c>
      <c r="C52" s="14" t="s">
        <v>194</v>
      </c>
      <c r="D52" s="14" t="s">
        <v>575</v>
      </c>
      <c r="E52" s="14" t="s">
        <v>575</v>
      </c>
      <c r="F52" s="14" t="s">
        <v>194</v>
      </c>
      <c r="G52" s="14" t="s">
        <v>194</v>
      </c>
      <c r="H52" s="14" t="s">
        <v>194</v>
      </c>
      <c r="I52" s="14" t="s">
        <v>562</v>
      </c>
      <c r="J52" s="1" t="s">
        <v>563</v>
      </c>
      <c r="K52" s="1" t="s">
        <v>1234</v>
      </c>
      <c r="L52" s="1" t="s">
        <v>194</v>
      </c>
      <c r="M52" s="1" t="s">
        <v>194</v>
      </c>
      <c r="N52" s="14" t="s">
        <v>194</v>
      </c>
      <c r="O52" s="1" t="s">
        <v>2</v>
      </c>
      <c r="P52" s="1" t="s">
        <v>1410</v>
      </c>
      <c r="Q52" s="1"/>
      <c r="R52" s="1"/>
      <c r="S52" t="str">
        <f>IFERROR(INDEX(_SCHEDULE_[],MATCH(_INDICATOR_[[#This Row],[CONTEST_CODE]],_SCHEDULE_[CONTEST_CODE],0),MATCH($S$1,_SCHEDULE_[#Headers],0)),"-")</f>
        <v>ЗАВЕРШЕН</v>
      </c>
      <c r="T52" s="1" t="str">
        <f>IFERROR(INDEX(_group_[],MATCH(_INDICATOR_[[#This Row],[CONTEST_CODE]],_group_[CONTEST_CODE],0),MATCH($T$1,_group_[#Headers],0)),"-")</f>
        <v>BANK</v>
      </c>
      <c r="U52" s="1" t="str">
        <f>IFERROR(INDEX(_DATA_[],MATCH(_INDICATOR_[[#This Row],[CONTEST_CODE]],_DATA_[CONTEST_CODE],0),MATCH($U$1,_DATA_[#Headers],0)),"-")</f>
        <v>Лизинговый миллардер</v>
      </c>
      <c r="V52" s="1" t="str">
        <f>IFERROR(INDEX(_reward_link_[],MATCH(_INDICATOR_[[#This Row],[CONTEST_CODE]],_reward_link_[CONTEST_CODE],0),MATCH($V$1,_reward_link_[#Headers],0)),"-")</f>
        <v>BANK</v>
      </c>
    </row>
    <row r="53" spans="1:22" hidden="1" x14ac:dyDescent="0.25">
      <c r="A53" s="1" t="s">
        <v>56</v>
      </c>
      <c r="B53" s="1" t="s">
        <v>2</v>
      </c>
      <c r="C53" s="14" t="s">
        <v>194</v>
      </c>
      <c r="D53" s="14" t="s">
        <v>575</v>
      </c>
      <c r="E53" s="14" t="s">
        <v>2798</v>
      </c>
      <c r="F53" s="14" t="s">
        <v>194</v>
      </c>
      <c r="G53" s="14" t="s">
        <v>194</v>
      </c>
      <c r="H53" s="14" t="s">
        <v>194</v>
      </c>
      <c r="I53" s="14" t="s">
        <v>562</v>
      </c>
      <c r="J53" s="1" t="s">
        <v>576</v>
      </c>
      <c r="K53" s="1" t="s">
        <v>2</v>
      </c>
      <c r="L53" s="1" t="s">
        <v>194</v>
      </c>
      <c r="M53" s="1" t="s">
        <v>194</v>
      </c>
      <c r="N53" s="14" t="s">
        <v>194</v>
      </c>
      <c r="O53" s="1" t="s">
        <v>308</v>
      </c>
      <c r="P53" s="1" t="s">
        <v>1411</v>
      </c>
      <c r="Q53" s="1"/>
      <c r="R53" s="1"/>
      <c r="S53" t="str">
        <f>IFERROR(INDEX(_SCHEDULE_[],MATCH(_INDICATOR_[[#This Row],[CONTEST_CODE]],_SCHEDULE_[CONTEST_CODE],0),MATCH($S$1,_SCHEDULE_[#Headers],0)),"-")</f>
        <v>УДАЛЕН</v>
      </c>
      <c r="T53" s="1" t="str">
        <f>IFERROR(INDEX(_group_[],MATCH(_INDICATOR_[[#This Row],[CONTEST_CODE]],_group_[CONTEST_CODE],0),MATCH($T$1,_group_[#Headers],0)),"-")</f>
        <v>BANK</v>
      </c>
      <c r="U53" s="1" t="str">
        <f>IFERROR(INDEX(_DATA_[],MATCH(_INDICATOR_[[#This Row],[CONTEST_CODE]],_DATA_[CONTEST_CODE],0),MATCH($U$1,_DATA_[#Headers],0)),"-")</f>
        <v>Лига Чемпионов 1ПГ 2023</v>
      </c>
      <c r="V53" s="1" t="str">
        <f>IFERROR(INDEX(_reward_link_[],MATCH(_INDICATOR_[[#This Row],[CONTEST_CODE]],_reward_link_[CONTEST_CODE],0),MATCH($V$1,_reward_link_[#Headers],0)),"-")</f>
        <v>BANK</v>
      </c>
    </row>
    <row r="54" spans="1:22" hidden="1" x14ac:dyDescent="0.25">
      <c r="A54" s="1" t="s">
        <v>1848</v>
      </c>
      <c r="B54" s="1" t="s">
        <v>2</v>
      </c>
      <c r="C54" s="14" t="s">
        <v>194</v>
      </c>
      <c r="D54" s="14" t="s">
        <v>575</v>
      </c>
      <c r="E54" s="14" t="s">
        <v>575</v>
      </c>
      <c r="F54" s="14" t="s">
        <v>1313</v>
      </c>
      <c r="G54" s="14" t="s">
        <v>2</v>
      </c>
      <c r="H54" s="14" t="s">
        <v>194</v>
      </c>
      <c r="I54" s="14" t="s">
        <v>562</v>
      </c>
      <c r="J54" s="1" t="s">
        <v>576</v>
      </c>
      <c r="K54" s="1" t="s">
        <v>2</v>
      </c>
      <c r="L54" s="1" t="s">
        <v>194</v>
      </c>
      <c r="M54" s="1" t="s">
        <v>194</v>
      </c>
      <c r="N54" s="14" t="s">
        <v>194</v>
      </c>
      <c r="O54" s="1" t="s">
        <v>2</v>
      </c>
      <c r="P54" s="1" t="s">
        <v>1412</v>
      </c>
      <c r="Q54" s="1"/>
      <c r="R54" s="1"/>
      <c r="S54" t="str">
        <f>IFERROR(INDEX(_SCHEDULE_[],MATCH(_INDICATOR_[[#This Row],[CONTEST_CODE]],_SCHEDULE_[CONTEST_CODE],0),MATCH($S$1,_SCHEDULE_[#Headers],0)),"-")</f>
        <v>ЗАВЕРШЕН</v>
      </c>
      <c r="T54" s="1" t="str">
        <f>IFERROR(INDEX(_group_[],MATCH(_INDICATOR_[[#This Row],[CONTEST_CODE]],_group_[CONTEST_CODE],0),MATCH($T$1,_group_[#Headers],0)),"-")</f>
        <v>BANK</v>
      </c>
      <c r="U54" s="1" t="str">
        <f>IFERROR(INDEX(_DATA_[],MATCH(_INDICATOR_[[#This Row],[CONTEST_CODE]],_DATA_[CONTEST_CODE],0),MATCH($U$1,_DATA_[#Headers],0)),"-")</f>
        <v>Лига Чемпионов 1ПГ 2024</v>
      </c>
      <c r="V54" s="1" t="str">
        <f>IFERROR(INDEX(_reward_link_[],MATCH(_INDICATOR_[[#This Row],[CONTEST_CODE]],_reward_link_[CONTEST_CODE],0),MATCH($V$1,_reward_link_[#Headers],0)),"-")</f>
        <v>BANK</v>
      </c>
    </row>
    <row r="55" spans="1:22" hidden="1" x14ac:dyDescent="0.25">
      <c r="A55" s="1" t="s">
        <v>58</v>
      </c>
      <c r="B55" s="1" t="s">
        <v>2</v>
      </c>
      <c r="C55" s="14" t="s">
        <v>194</v>
      </c>
      <c r="D55" s="14" t="s">
        <v>575</v>
      </c>
      <c r="E55" s="14" t="s">
        <v>575</v>
      </c>
      <c r="F55" s="14" t="s">
        <v>194</v>
      </c>
      <c r="G55" s="14" t="s">
        <v>194</v>
      </c>
      <c r="H55" s="14" t="s">
        <v>194</v>
      </c>
      <c r="I55" s="14" t="s">
        <v>562</v>
      </c>
      <c r="J55" s="1" t="s">
        <v>576</v>
      </c>
      <c r="K55" s="1" t="s">
        <v>2</v>
      </c>
      <c r="L55" s="1" t="s">
        <v>194</v>
      </c>
      <c r="M55" s="1" t="s">
        <v>194</v>
      </c>
      <c r="N55" s="14" t="s">
        <v>194</v>
      </c>
      <c r="O55" s="1" t="s">
        <v>2</v>
      </c>
      <c r="P55" s="1" t="s">
        <v>1413</v>
      </c>
      <c r="Q55" s="1"/>
      <c r="R55" s="1"/>
      <c r="S55" t="str">
        <f>IFERROR(INDEX(_SCHEDULE_[],MATCH(_INDICATOR_[[#This Row],[CONTEST_CODE]],_SCHEDULE_[CONTEST_CODE],0),MATCH($S$1,_SCHEDULE_[#Headers],0)),"-")</f>
        <v>УДАЛЕН</v>
      </c>
      <c r="T55" s="1" t="str">
        <f>IFERROR(INDEX(_group_[],MATCH(_INDICATOR_[[#This Row],[CONTEST_CODE]],_group_[CONTEST_CODE],0),MATCH($T$1,_group_[#Headers],0)),"-")</f>
        <v>BANK</v>
      </c>
      <c r="U55" s="1" t="str">
        <f>IFERROR(INDEX(_DATA_[],MATCH(_INDICATOR_[[#This Row],[CONTEST_CODE]],_DATA_[CONTEST_CODE],0),MATCH($U$1,_DATA_[#Headers],0)),"-")</f>
        <v>Лига Чемпионов 2ПГ 2023</v>
      </c>
      <c r="V55" s="1" t="str">
        <f>IFERROR(INDEX(_reward_link_[],MATCH(_INDICATOR_[[#This Row],[CONTEST_CODE]],_reward_link_[CONTEST_CODE],0),MATCH($V$1,_reward_link_[#Headers],0)),"-")</f>
        <v>BANK</v>
      </c>
    </row>
    <row r="56" spans="1:22" hidden="1" x14ac:dyDescent="0.25">
      <c r="A56" s="1" t="s">
        <v>1850</v>
      </c>
      <c r="B56" s="1" t="s">
        <v>2</v>
      </c>
      <c r="C56" s="14" t="s">
        <v>194</v>
      </c>
      <c r="D56" s="14" t="s">
        <v>1907</v>
      </c>
      <c r="E56" s="14" t="s">
        <v>1907</v>
      </c>
      <c r="F56" s="14" t="s">
        <v>1313</v>
      </c>
      <c r="G56" s="14" t="s">
        <v>2</v>
      </c>
      <c r="H56" s="14" t="s">
        <v>194</v>
      </c>
      <c r="I56" s="14" t="s">
        <v>562</v>
      </c>
      <c r="J56" s="1" t="s">
        <v>576</v>
      </c>
      <c r="K56" s="1" t="s">
        <v>2</v>
      </c>
      <c r="L56" s="1" t="s">
        <v>194</v>
      </c>
      <c r="M56" s="1" t="s">
        <v>194</v>
      </c>
      <c r="N56" s="14" t="s">
        <v>194</v>
      </c>
      <c r="O56" s="1" t="s">
        <v>32</v>
      </c>
      <c r="P56" s="1" t="s">
        <v>1414</v>
      </c>
      <c r="Q56" s="1"/>
      <c r="R56" s="1"/>
      <c r="S56" t="str">
        <f>IFERROR(INDEX(_SCHEDULE_[],MATCH(_INDICATOR_[[#This Row],[CONTEST_CODE]],_SCHEDULE_[CONTEST_CODE],0),MATCH($S$1,_SCHEDULE_[#Headers],0)),"-")</f>
        <v>ЗАВЕРШЕН</v>
      </c>
      <c r="T56" s="1" t="str">
        <f>IFERROR(INDEX(_group_[],MATCH(_INDICATOR_[[#This Row],[CONTEST_CODE]],_group_[CONTEST_CODE],0),MATCH($T$1,_group_[#Headers],0)),"-")</f>
        <v>BANK</v>
      </c>
      <c r="U56" s="1" t="str">
        <f>IFERROR(INDEX(_DATA_[],MATCH(_INDICATOR_[[#This Row],[CONTEST_CODE]],_DATA_[CONTEST_CODE],0),MATCH($U$1,_DATA_[#Headers],0)),"-")</f>
        <v>Лига Чемпионов 2ПГ 2024</v>
      </c>
      <c r="V56" s="1" t="str">
        <f>IFERROR(INDEX(_reward_link_[],MATCH(_INDICATOR_[[#This Row],[CONTEST_CODE]],_reward_link_[CONTEST_CODE],0),MATCH($V$1,_reward_link_[#Headers],0)),"-")</f>
        <v>BANK</v>
      </c>
    </row>
    <row r="57" spans="1:22" hidden="1" x14ac:dyDescent="0.25">
      <c r="A57" s="1" t="s">
        <v>60</v>
      </c>
      <c r="B57" s="1" t="s">
        <v>2</v>
      </c>
      <c r="C57" s="14" t="s">
        <v>194</v>
      </c>
      <c r="D57" s="14" t="s">
        <v>575</v>
      </c>
      <c r="E57" s="14" t="s">
        <v>575</v>
      </c>
      <c r="F57" s="14" t="s">
        <v>194</v>
      </c>
      <c r="G57" s="14" t="s">
        <v>194</v>
      </c>
      <c r="H57" s="14" t="s">
        <v>194</v>
      </c>
      <c r="I57" s="14" t="s">
        <v>562</v>
      </c>
      <c r="J57" s="1" t="s">
        <v>576</v>
      </c>
      <c r="K57" s="1" t="s">
        <v>2</v>
      </c>
      <c r="L57" s="1" t="s">
        <v>194</v>
      </c>
      <c r="M57" s="1" t="s">
        <v>194</v>
      </c>
      <c r="N57" s="14" t="s">
        <v>194</v>
      </c>
      <c r="O57" s="1" t="s">
        <v>2</v>
      </c>
      <c r="P57" s="1" t="s">
        <v>862</v>
      </c>
      <c r="Q57" s="1"/>
      <c r="R57" s="1"/>
      <c r="S57" t="str">
        <f>IFERROR(INDEX(_SCHEDULE_[],MATCH(_INDICATOR_[[#This Row],[CONTEST_CODE]],_SCHEDULE_[CONTEST_CODE],0),MATCH($S$1,_SCHEDULE_[#Headers],0)),"-")</f>
        <v>УДАЛЕН</v>
      </c>
      <c r="T57" s="1" t="str">
        <f>IFERROR(INDEX(_group_[],MATCH(_INDICATOR_[[#This Row],[CONTEST_CODE]],_group_[CONTEST_CODE],0),MATCH($T$1,_group_[#Headers],0)),"-")</f>
        <v>BANK</v>
      </c>
      <c r="U57" s="1" t="str">
        <f>IFERROR(INDEX(_DATA_[],MATCH(_INDICATOR_[[#This Row],[CONTEST_CODE]],_DATA_[CONTEST_CODE],0),MATCH($U$1,_DATA_[#Headers],0)),"-")</f>
        <v>Суперкубок 2023</v>
      </c>
      <c r="V57" s="1" t="str">
        <f>IFERROR(INDEX(_reward_link_[],MATCH(_INDICATOR_[[#This Row],[CONTEST_CODE]],_reward_link_[CONTEST_CODE],0),MATCH($V$1,_reward_link_[#Headers],0)),"-")</f>
        <v>BANK</v>
      </c>
    </row>
    <row r="58" spans="1:22" hidden="1" x14ac:dyDescent="0.25">
      <c r="A58" s="1" t="s">
        <v>1852</v>
      </c>
      <c r="B58" s="1" t="s">
        <v>2</v>
      </c>
      <c r="C58" s="14" t="s">
        <v>194</v>
      </c>
      <c r="D58" s="14" t="s">
        <v>575</v>
      </c>
      <c r="E58" s="14" t="s">
        <v>575</v>
      </c>
      <c r="F58" s="14" t="s">
        <v>194</v>
      </c>
      <c r="G58" s="14" t="s">
        <v>194</v>
      </c>
      <c r="H58" s="14" t="s">
        <v>194</v>
      </c>
      <c r="I58" s="14" t="s">
        <v>562</v>
      </c>
      <c r="J58" s="1" t="s">
        <v>576</v>
      </c>
      <c r="K58" s="1" t="s">
        <v>2</v>
      </c>
      <c r="L58" s="1" t="s">
        <v>194</v>
      </c>
      <c r="M58" s="1" t="s">
        <v>194</v>
      </c>
      <c r="N58" s="14" t="s">
        <v>194</v>
      </c>
      <c r="O58" s="1" t="s">
        <v>2</v>
      </c>
      <c r="P58" s="1" t="s">
        <v>1415</v>
      </c>
      <c r="Q58" s="1"/>
      <c r="R58" s="1"/>
      <c r="S58" t="str">
        <f>IFERROR(INDEX(_SCHEDULE_[],MATCH(_INDICATOR_[[#This Row],[CONTEST_CODE]],_SCHEDULE_[CONTEST_CODE],0),MATCH($S$1,_SCHEDULE_[#Headers],0)),"-")</f>
        <v>ПОДВЕДЕНИЕ ИТОГОВ</v>
      </c>
      <c r="T58" s="1" t="str">
        <f>IFERROR(INDEX(_group_[],MATCH(_INDICATOR_[[#This Row],[CONTEST_CODE]],_group_[CONTEST_CODE],0),MATCH($T$1,_group_[#Headers],0)),"-")</f>
        <v>BANK</v>
      </c>
      <c r="U58" s="1" t="str">
        <f>IFERROR(INDEX(_DATA_[],MATCH(_INDICATOR_[[#This Row],[CONTEST_CODE]],_DATA_[CONTEST_CODE],0),MATCH($U$1,_DATA_[#Headers],0)),"-")</f>
        <v>Суперкубок 2024</v>
      </c>
      <c r="V58" s="1" t="str">
        <f>IFERROR(INDEX(_reward_link_[],MATCH(_INDICATOR_[[#This Row],[CONTEST_CODE]],_reward_link_[CONTEST_CODE],0),MATCH($V$1,_reward_link_[#Headers],0)),"-")</f>
        <v>BANK</v>
      </c>
    </row>
    <row r="59" spans="1:22" hidden="1" x14ac:dyDescent="0.25">
      <c r="A59" s="1" t="s">
        <v>63</v>
      </c>
      <c r="B59" s="1" t="s">
        <v>2</v>
      </c>
      <c r="C59" s="14" t="s">
        <v>194</v>
      </c>
      <c r="D59" s="14" t="s">
        <v>575</v>
      </c>
      <c r="E59" s="14" t="s">
        <v>575</v>
      </c>
      <c r="F59" s="14" t="s">
        <v>194</v>
      </c>
      <c r="G59" s="14" t="s">
        <v>194</v>
      </c>
      <c r="H59" s="14" t="s">
        <v>194</v>
      </c>
      <c r="I59" s="14" t="s">
        <v>562</v>
      </c>
      <c r="J59" s="1" t="s">
        <v>576</v>
      </c>
      <c r="K59" s="1" t="s">
        <v>2</v>
      </c>
      <c r="L59" s="1" t="s">
        <v>194</v>
      </c>
      <c r="M59" s="1" t="s">
        <v>194</v>
      </c>
      <c r="N59" s="14" t="s">
        <v>194</v>
      </c>
      <c r="O59" s="1" t="s">
        <v>2</v>
      </c>
      <c r="P59" s="1" t="s">
        <v>1416</v>
      </c>
      <c r="Q59" s="1"/>
      <c r="R59" s="1"/>
      <c r="S59" t="str">
        <f>IFERROR(INDEX(_SCHEDULE_[],MATCH(_INDICATOR_[[#This Row],[CONTEST_CODE]],_SCHEDULE_[CONTEST_CODE],0),MATCH($S$1,_SCHEDULE_[#Headers],0)),"-")</f>
        <v>ЗАВЕРШЕН</v>
      </c>
      <c r="T59" s="1" t="str">
        <f>IFERROR(INDEX(_group_[],MATCH(_INDICATOR_[[#This Row],[CONTEST_CODE]],_group_[CONTEST_CODE],0),MATCH($T$1,_group_[#Headers],0)),"-")</f>
        <v>BANK</v>
      </c>
      <c r="U59" s="1" t="str">
        <f>IFERROR(INDEX(_DATA_[],MATCH(_INDICATOR_[[#This Row],[CONTEST_CODE]],_DATA_[CONTEST_CODE],0),MATCH($U$1,_DATA_[#Headers],0)),"-")</f>
        <v>СВЕРХБОНУС 1 место</v>
      </c>
      <c r="V59" s="1" t="str">
        <f>IFERROR(INDEX(_reward_link_[],MATCH(_INDICATOR_[[#This Row],[CONTEST_CODE]],_reward_link_[CONTEST_CODE],0),MATCH($V$1,_reward_link_[#Headers],0)),"-")</f>
        <v>BANK</v>
      </c>
    </row>
    <row r="60" spans="1:22" hidden="1" x14ac:dyDescent="0.25">
      <c r="A60" s="1" t="s">
        <v>65</v>
      </c>
      <c r="B60" s="1" t="s">
        <v>2</v>
      </c>
      <c r="C60" s="14" t="s">
        <v>194</v>
      </c>
      <c r="D60" s="14" t="s">
        <v>575</v>
      </c>
      <c r="E60" s="14" t="s">
        <v>575</v>
      </c>
      <c r="F60" s="14" t="s">
        <v>194</v>
      </c>
      <c r="G60" s="14" t="s">
        <v>194</v>
      </c>
      <c r="H60" s="14" t="s">
        <v>194</v>
      </c>
      <c r="I60" s="14" t="s">
        <v>562</v>
      </c>
      <c r="J60" s="1" t="s">
        <v>576</v>
      </c>
      <c r="K60" s="1" t="s">
        <v>2</v>
      </c>
      <c r="L60" s="1" t="s">
        <v>194</v>
      </c>
      <c r="M60" s="1" t="s">
        <v>194</v>
      </c>
      <c r="N60" s="14" t="s">
        <v>194</v>
      </c>
      <c r="O60" s="1" t="s">
        <v>2</v>
      </c>
      <c r="P60" s="1" t="s">
        <v>1697</v>
      </c>
      <c r="Q60" s="1"/>
      <c r="R60" s="1"/>
      <c r="S60" t="str">
        <f>IFERROR(INDEX(_SCHEDULE_[],MATCH(_INDICATOR_[[#This Row],[CONTEST_CODE]],_SCHEDULE_[CONTEST_CODE],0),MATCH($S$1,_SCHEDULE_[#Headers],0)),"-")</f>
        <v>ЗАВЕРШЕН</v>
      </c>
      <c r="T60" s="1" t="str">
        <f>IFERROR(INDEX(_group_[],MATCH(_INDICATOR_[[#This Row],[CONTEST_CODE]],_group_[CONTEST_CODE],0),MATCH($T$1,_group_[#Headers],0)),"-")</f>
        <v>BANK</v>
      </c>
      <c r="U60" s="1" t="str">
        <f>IFERROR(INDEX(_DATA_[],MATCH(_INDICATOR_[[#This Row],[CONTEST_CODE]],_DATA_[CONTEST_CODE],0),MATCH($U$1,_DATA_[#Headers],0)),"-")</f>
        <v>СВЕРХБОНУС ТОП - 10%</v>
      </c>
      <c r="V60" s="1" t="str">
        <f>IFERROR(INDEX(_reward_link_[],MATCH(_INDICATOR_[[#This Row],[CONTEST_CODE]],_reward_link_[CONTEST_CODE],0),MATCH($V$1,_reward_link_[#Headers],0)),"-")</f>
        <v>BANK</v>
      </c>
    </row>
    <row r="61" spans="1:22" hidden="1" x14ac:dyDescent="0.25">
      <c r="A61" s="1" t="s">
        <v>67</v>
      </c>
      <c r="B61" s="1" t="s">
        <v>2</v>
      </c>
      <c r="C61" s="14" t="s">
        <v>194</v>
      </c>
      <c r="D61" s="14" t="s">
        <v>575</v>
      </c>
      <c r="E61" s="14" t="s">
        <v>575</v>
      </c>
      <c r="F61" s="14" t="s">
        <v>194</v>
      </c>
      <c r="G61" s="14" t="s">
        <v>194</v>
      </c>
      <c r="H61" s="14" t="s">
        <v>194</v>
      </c>
      <c r="I61" s="14" t="s">
        <v>562</v>
      </c>
      <c r="J61" s="1" t="s">
        <v>576</v>
      </c>
      <c r="K61" s="1" t="s">
        <v>2</v>
      </c>
      <c r="L61" s="1" t="s">
        <v>194</v>
      </c>
      <c r="M61" s="1" t="s">
        <v>194</v>
      </c>
      <c r="N61" s="14" t="s">
        <v>194</v>
      </c>
      <c r="O61" s="1" t="s">
        <v>2</v>
      </c>
      <c r="P61" s="1" t="s">
        <v>1698</v>
      </c>
      <c r="Q61" s="1"/>
      <c r="R61" s="1"/>
      <c r="S61" t="str">
        <f>IFERROR(INDEX(_SCHEDULE_[],MATCH(_INDICATOR_[[#This Row],[CONTEST_CODE]],_SCHEDULE_[CONTEST_CODE],0),MATCH($S$1,_SCHEDULE_[#Headers],0)),"-")</f>
        <v>ЗАВЕРШЕН</v>
      </c>
      <c r="T61" s="1" t="str">
        <f>IFERROR(INDEX(_group_[],MATCH(_INDICATOR_[[#This Row],[CONTEST_CODE]],_group_[CONTEST_CODE],0),MATCH($T$1,_group_[#Headers],0)),"-")</f>
        <v>BANK</v>
      </c>
      <c r="U61" s="1" t="str">
        <f>IFERROR(INDEX(_DATA_[],MATCH(_INDICATOR_[[#This Row],[CONTEST_CODE]],_DATA_[CONTEST_CODE],0),MATCH($U$1,_DATA_[#Headers],0)),"-")</f>
        <v>СВЕРХБОНУС ТОП - 20%</v>
      </c>
      <c r="V61" s="1" t="str">
        <f>IFERROR(INDEX(_reward_link_[],MATCH(_INDICATOR_[[#This Row],[CONTEST_CODE]],_reward_link_[CONTEST_CODE],0),MATCH($V$1,_reward_link_[#Headers],0)),"-")</f>
        <v>BANK</v>
      </c>
    </row>
    <row r="62" spans="1:22" hidden="1" x14ac:dyDescent="0.25">
      <c r="A62" s="1" t="s">
        <v>69</v>
      </c>
      <c r="B62" s="1" t="s">
        <v>2</v>
      </c>
      <c r="C62" s="14" t="s">
        <v>194</v>
      </c>
      <c r="D62" s="14" t="s">
        <v>575</v>
      </c>
      <c r="E62" s="14" t="s">
        <v>575</v>
      </c>
      <c r="F62" s="14" t="s">
        <v>194</v>
      </c>
      <c r="G62" s="14" t="s">
        <v>194</v>
      </c>
      <c r="H62" s="14" t="s">
        <v>194</v>
      </c>
      <c r="I62" s="14" t="s">
        <v>562</v>
      </c>
      <c r="J62" s="1" t="s">
        <v>576</v>
      </c>
      <c r="K62" s="1" t="s">
        <v>2</v>
      </c>
      <c r="L62" s="1" t="s">
        <v>194</v>
      </c>
      <c r="M62" s="1" t="s">
        <v>194</v>
      </c>
      <c r="N62" s="14" t="s">
        <v>194</v>
      </c>
      <c r="O62" s="1" t="s">
        <v>2</v>
      </c>
      <c r="P62" s="1" t="s">
        <v>1699</v>
      </c>
      <c r="Q62" s="1"/>
      <c r="R62" s="1"/>
      <c r="S62" t="str">
        <f>IFERROR(INDEX(_SCHEDULE_[],MATCH(_INDICATOR_[[#This Row],[CONTEST_CODE]],_SCHEDULE_[CONTEST_CODE],0),MATCH($S$1,_SCHEDULE_[#Headers],0)),"-")</f>
        <v>ЗАВЕРШЕН</v>
      </c>
      <c r="T62" s="1" t="str">
        <f>IFERROR(INDEX(_group_[],MATCH(_INDICATOR_[[#This Row],[CONTEST_CODE]],_group_[CONTEST_CODE],0),MATCH($T$1,_group_[#Headers],0)),"-")</f>
        <v>BANK</v>
      </c>
      <c r="U62" s="1" t="str">
        <f>IFERROR(INDEX(_DATA_[],MATCH(_INDICATOR_[[#This Row],[CONTEST_CODE]],_DATA_[CONTEST_CODE],0),MATCH($U$1,_DATA_[#Headers],0)),"-")</f>
        <v>СВЕРХБОНУС ТОП - 20+%</v>
      </c>
      <c r="V62" s="1" t="str">
        <f>IFERROR(INDEX(_reward_link_[],MATCH(_INDICATOR_[[#This Row],[CONTEST_CODE]],_reward_link_[CONTEST_CODE],0),MATCH($V$1,_reward_link_[#Headers],0)),"-")</f>
        <v>BANK</v>
      </c>
    </row>
    <row r="63" spans="1:22" hidden="1" x14ac:dyDescent="0.25">
      <c r="A63" s="1" t="s">
        <v>2206</v>
      </c>
      <c r="B63" s="1" t="s">
        <v>2</v>
      </c>
      <c r="C63" s="14" t="s">
        <v>194</v>
      </c>
      <c r="D63" s="14" t="s">
        <v>575</v>
      </c>
      <c r="E63" s="14" t="s">
        <v>575</v>
      </c>
      <c r="F63" s="14" t="s">
        <v>194</v>
      </c>
      <c r="G63" s="14" t="s">
        <v>194</v>
      </c>
      <c r="H63" s="14" t="s">
        <v>194</v>
      </c>
      <c r="I63" s="14" t="s">
        <v>562</v>
      </c>
      <c r="J63" s="1" t="s">
        <v>563</v>
      </c>
      <c r="K63" s="1" t="s">
        <v>565</v>
      </c>
      <c r="L63" s="1" t="s">
        <v>194</v>
      </c>
      <c r="M63" s="1" t="s">
        <v>194</v>
      </c>
      <c r="N63" s="14" t="s">
        <v>194</v>
      </c>
      <c r="O63" s="1" t="s">
        <v>2</v>
      </c>
      <c r="P63" s="1" t="s">
        <v>617</v>
      </c>
      <c r="Q63" s="1"/>
      <c r="R63" s="1"/>
      <c r="S63" t="str">
        <f>IFERROR(INDEX(_SCHEDULE_[],MATCH(_INDICATOR_[[#This Row],[CONTEST_CODE]],_SCHEDULE_[CONTEST_CODE],0),MATCH($S$1,_SCHEDULE_[#Headers],0)),"-")</f>
        <v>ЗАВЕРШЕН</v>
      </c>
      <c r="T63" s="1" t="str">
        <f>IFERROR(INDEX(_group_[],MATCH(_INDICATOR_[[#This Row],[CONTEST_CODE]],_group_[CONTEST_CODE],0),MATCH($T$1,_group_[#Headers],0)),"-")</f>
        <v>BANK</v>
      </c>
      <c r="U63" s="1" t="str">
        <f>IFERROR(INDEX(_DATA_[],MATCH(_INDICATOR_[[#This Row],[CONTEST_CODE]],_DATA_[CONTEST_CODE],0),MATCH($U$1,_DATA_[#Headers],0)),"-")</f>
        <v>Защита 360. Накопи 500</v>
      </c>
      <c r="V63" s="1" t="str">
        <f>IFERROR(INDEX(_reward_link_[],MATCH(_INDICATOR_[[#This Row],[CONTEST_CODE]],_reward_link_[CONTEST_CODE],0),MATCH($V$1,_reward_link_[#Headers],0)),"-")</f>
        <v>BANK</v>
      </c>
    </row>
    <row r="64" spans="1:22" hidden="1" x14ac:dyDescent="0.25">
      <c r="A64" s="1" t="s">
        <v>2902</v>
      </c>
      <c r="B64" s="1" t="s">
        <v>2</v>
      </c>
      <c r="C64" s="14" t="s">
        <v>194</v>
      </c>
      <c r="D64" s="14" t="s">
        <v>575</v>
      </c>
      <c r="E64" s="14" t="s">
        <v>575</v>
      </c>
      <c r="F64" s="14" t="s">
        <v>194</v>
      </c>
      <c r="G64" s="14" t="s">
        <v>194</v>
      </c>
      <c r="H64" s="14" t="s">
        <v>194</v>
      </c>
      <c r="I64" s="14" t="s">
        <v>573</v>
      </c>
      <c r="J64" s="1" t="s">
        <v>574</v>
      </c>
      <c r="K64" s="1" t="s">
        <v>194</v>
      </c>
      <c r="L64" s="1" t="s">
        <v>194</v>
      </c>
      <c r="M64" s="1" t="s">
        <v>194</v>
      </c>
      <c r="N64" s="14" t="s">
        <v>194</v>
      </c>
      <c r="O64" s="1" t="s">
        <v>2</v>
      </c>
      <c r="P64" s="1" t="s">
        <v>1700</v>
      </c>
      <c r="Q64" s="1"/>
      <c r="R64" s="1"/>
      <c r="S64" t="str">
        <f>IFERROR(INDEX(_SCHEDULE_[],MATCH(_INDICATOR_[[#This Row],[CONTEST_CODE]],_SCHEDULE_[CONTEST_CODE],0),MATCH($S$1,_SCHEDULE_[#Headers],0)),"-")</f>
        <v>ЗАВЕРШЕН</v>
      </c>
      <c r="T64" s="1" t="str">
        <f>IFERROR(INDEX(_group_[],MATCH(_INDICATOR_[[#This Row],[CONTEST_CODE]],_group_[CONTEST_CODE],0),MATCH($T$1,_group_[#Headers],0)),"-")</f>
        <v>TB</v>
      </c>
      <c r="U64" s="1" t="str">
        <f>IFERROR(INDEX(_DATA_[],MATCH(_INDICATOR_[[#This Row],[CONTEST_CODE]],_DATA_[CONTEST_CODE],0),MATCH($U$1,_DATA_[#Headers],0)),"-")</f>
        <v>Защита Бизнеса 360. Максимизируй комиссию</v>
      </c>
      <c r="V64" s="1" t="str">
        <f>IFERROR(INDEX(_reward_link_[],MATCH(_INDICATOR_[[#This Row],[CONTEST_CODE]],_reward_link_[CONTEST_CODE],0),MATCH($V$1,_reward_link_[#Headers],0)),"-")</f>
        <v>TB</v>
      </c>
    </row>
    <row r="65" spans="1:22" hidden="1" x14ac:dyDescent="0.25">
      <c r="A65" s="1" t="s">
        <v>2208</v>
      </c>
      <c r="B65" s="1" t="s">
        <v>2</v>
      </c>
      <c r="C65" s="14" t="s">
        <v>194</v>
      </c>
      <c r="D65" s="14" t="s">
        <v>575</v>
      </c>
      <c r="E65" s="14" t="s">
        <v>575</v>
      </c>
      <c r="F65" s="14" t="s">
        <v>194</v>
      </c>
      <c r="G65" s="14" t="s">
        <v>194</v>
      </c>
      <c r="H65" s="14" t="s">
        <v>194</v>
      </c>
      <c r="I65" s="14" t="s">
        <v>562</v>
      </c>
      <c r="J65" s="1" t="s">
        <v>563</v>
      </c>
      <c r="K65" s="1" t="s">
        <v>2</v>
      </c>
      <c r="L65" s="1" t="s">
        <v>194</v>
      </c>
      <c r="M65" s="1" t="s">
        <v>194</v>
      </c>
      <c r="N65" s="14" t="s">
        <v>194</v>
      </c>
      <c r="O65" s="1" t="s">
        <v>2</v>
      </c>
      <c r="P65" s="1" t="s">
        <v>1701</v>
      </c>
      <c r="Q65" s="1"/>
      <c r="R65" s="1"/>
      <c r="S65" t="str">
        <f>IFERROR(INDEX(_SCHEDULE_[],MATCH(_INDICATOR_[[#This Row],[CONTEST_CODE]],_SCHEDULE_[CONTEST_CODE],0),MATCH($S$1,_SCHEDULE_[#Headers],0)),"-")</f>
        <v>АКТИВНЫЙ</v>
      </c>
      <c r="T65" s="1" t="str">
        <f>IFERROR(INDEX(_group_[],MATCH(_INDICATOR_[[#This Row],[CONTEST_CODE]],_group_[CONTEST_CODE],0),MATCH($T$1,_group_[#Headers],0)),"-")</f>
        <v>BANK</v>
      </c>
      <c r="U65" s="1" t="str">
        <f>IFERROR(INDEX(_DATA_[],MATCH(_INDICATOR_[[#This Row],[CONTEST_CODE]],_DATA_[CONTEST_CODE],0),MATCH($U$1,_DATA_[#Headers],0)),"-")</f>
        <v>Страхование залога в СберБизнес. Первая продажа</v>
      </c>
      <c r="V65" s="1" t="str">
        <f>IFERROR(INDEX(_reward_link_[],MATCH(_INDICATOR_[[#This Row],[CONTEST_CODE]],_reward_link_[CONTEST_CODE],0),MATCH($V$1,_reward_link_[#Headers],0)),"-")</f>
        <v>BANK</v>
      </c>
    </row>
    <row r="66" spans="1:22" hidden="1" x14ac:dyDescent="0.25">
      <c r="A66" s="1" t="s">
        <v>2177</v>
      </c>
      <c r="B66" s="1" t="s">
        <v>2</v>
      </c>
      <c r="C66" s="14" t="s">
        <v>194</v>
      </c>
      <c r="D66" s="14" t="s">
        <v>561</v>
      </c>
      <c r="E66" s="14" t="s">
        <v>561</v>
      </c>
      <c r="F66" s="14" t="s">
        <v>1313</v>
      </c>
      <c r="G66" s="14" t="s">
        <v>2</v>
      </c>
      <c r="H66" s="14" t="s">
        <v>194</v>
      </c>
      <c r="I66" s="14" t="s">
        <v>562</v>
      </c>
      <c r="J66" s="1" t="s">
        <v>563</v>
      </c>
      <c r="K66" s="1" t="s">
        <v>564</v>
      </c>
      <c r="L66" s="1" t="s">
        <v>194</v>
      </c>
      <c r="M66" s="1" t="s">
        <v>194</v>
      </c>
      <c r="N66" s="14" t="s">
        <v>194</v>
      </c>
      <c r="O66" s="1" t="s">
        <v>32</v>
      </c>
      <c r="P66" s="1" t="s">
        <v>1908</v>
      </c>
      <c r="Q66" s="1"/>
      <c r="R66" s="1"/>
      <c r="S66" t="str">
        <f>IFERROR(INDEX(_SCHEDULE_[],MATCH(_INDICATOR_[[#This Row],[CONTEST_CODE]],_SCHEDULE_[CONTEST_CODE],0),MATCH($S$1,_SCHEDULE_[#Headers],0)),"-")</f>
        <v>АКТИВНЫЙ</v>
      </c>
      <c r="T66" s="1" t="str">
        <f>IFERROR(INDEX(_group_[],MATCH(_INDICATOR_[[#This Row],[CONTEST_CODE]],_group_[CONTEST_CODE],0),MATCH($T$1,_group_[#Headers],0)),"-")</f>
        <v>BANK</v>
      </c>
      <c r="U66" s="1" t="str">
        <f>IFERROR(INDEX(_DATA_[],MATCH(_INDICATOR_[[#This Row],[CONTEST_CODE]],_DATA_[CONTEST_CODE],0),MATCH($U$1,_DATA_[#Headers],0)),"-")</f>
        <v>Индия накопи 100</v>
      </c>
      <c r="V66" s="1" t="str">
        <f>IFERROR(INDEX(_reward_link_[],MATCH(_INDICATOR_[[#This Row],[CONTEST_CODE]],_reward_link_[CONTEST_CODE],0),MATCH($V$1,_reward_link_[#Headers],0)),"-")</f>
        <v>BANK</v>
      </c>
    </row>
    <row r="67" spans="1:22" hidden="1" x14ac:dyDescent="0.25">
      <c r="A67" s="1" t="s">
        <v>2179</v>
      </c>
      <c r="B67" s="1" t="s">
        <v>2</v>
      </c>
      <c r="C67" s="14" t="s">
        <v>194</v>
      </c>
      <c r="D67" s="14" t="s">
        <v>561</v>
      </c>
      <c r="E67" s="14" t="s">
        <v>561</v>
      </c>
      <c r="F67" s="14" t="s">
        <v>1313</v>
      </c>
      <c r="G67" s="14" t="s">
        <v>2</v>
      </c>
      <c r="H67" s="14" t="s">
        <v>194</v>
      </c>
      <c r="I67" s="14" t="s">
        <v>562</v>
      </c>
      <c r="J67" s="1" t="s">
        <v>563</v>
      </c>
      <c r="K67" s="1" t="s">
        <v>565</v>
      </c>
      <c r="L67" s="1" t="s">
        <v>194</v>
      </c>
      <c r="M67" s="1" t="s">
        <v>194</v>
      </c>
      <c r="N67" s="14" t="s">
        <v>194</v>
      </c>
      <c r="O67" s="1" t="s">
        <v>32</v>
      </c>
      <c r="P67" s="1" t="s">
        <v>1909</v>
      </c>
      <c r="Q67" s="1"/>
      <c r="R67" s="1"/>
      <c r="S67" t="str">
        <f>IFERROR(INDEX(_SCHEDULE_[],MATCH(_INDICATOR_[[#This Row],[CONTEST_CODE]],_SCHEDULE_[CONTEST_CODE],0),MATCH($S$1,_SCHEDULE_[#Headers],0)),"-")</f>
        <v>АКТИВНЫЙ</v>
      </c>
      <c r="T67" s="1" t="str">
        <f>IFERROR(INDEX(_group_[],MATCH(_INDICATOR_[[#This Row],[CONTEST_CODE]],_group_[CONTEST_CODE],0),MATCH($T$1,_group_[#Headers],0)),"-")</f>
        <v>BANK</v>
      </c>
      <c r="U67" s="1" t="str">
        <f>IFERROR(INDEX(_DATA_[],MATCH(_INDICATOR_[[#This Row],[CONTEST_CODE]],_DATA_[CONTEST_CODE],0),MATCH($U$1,_DATA_[#Headers],0)),"-")</f>
        <v>Индия накопи 500</v>
      </c>
      <c r="V67" s="1" t="str">
        <f>IFERROR(INDEX(_reward_link_[],MATCH(_INDICATOR_[[#This Row],[CONTEST_CODE]],_reward_link_[CONTEST_CODE],0),MATCH($V$1,_reward_link_[#Headers],0)),"-")</f>
        <v>BANK</v>
      </c>
    </row>
    <row r="68" spans="1:22" hidden="1" x14ac:dyDescent="0.25">
      <c r="A68" s="1" t="s">
        <v>2181</v>
      </c>
      <c r="B68" s="1" t="s">
        <v>2</v>
      </c>
      <c r="C68" s="14" t="s">
        <v>194</v>
      </c>
      <c r="D68" s="14" t="s">
        <v>561</v>
      </c>
      <c r="E68" s="14" t="s">
        <v>561</v>
      </c>
      <c r="F68" s="14" t="s">
        <v>1313</v>
      </c>
      <c r="G68" s="14" t="s">
        <v>2</v>
      </c>
      <c r="H68" s="14" t="s">
        <v>194</v>
      </c>
      <c r="I68" s="14" t="s">
        <v>562</v>
      </c>
      <c r="J68" s="1" t="s">
        <v>563</v>
      </c>
      <c r="K68" s="1" t="s">
        <v>566</v>
      </c>
      <c r="L68" s="1" t="s">
        <v>194</v>
      </c>
      <c r="M68" s="1" t="s">
        <v>194</v>
      </c>
      <c r="N68" s="14" t="s">
        <v>194</v>
      </c>
      <c r="O68" s="1" t="s">
        <v>32</v>
      </c>
      <c r="P68" s="1" t="s">
        <v>1910</v>
      </c>
      <c r="Q68" s="1"/>
      <c r="R68" s="1"/>
      <c r="S68" t="str">
        <f>IFERROR(INDEX(_SCHEDULE_[],MATCH(_INDICATOR_[[#This Row],[CONTEST_CODE]],_SCHEDULE_[CONTEST_CODE],0),MATCH($S$1,_SCHEDULE_[#Headers],0)),"-")</f>
        <v>АКТИВНЫЙ</v>
      </c>
      <c r="T68" s="1" t="str">
        <f>IFERROR(INDEX(_group_[],MATCH(_INDICATOR_[[#This Row],[CONTEST_CODE]],_group_[CONTEST_CODE],0),MATCH($T$1,_group_[#Headers],0)),"-")</f>
        <v>BANK</v>
      </c>
      <c r="U68" s="1" t="str">
        <f>IFERROR(INDEX(_DATA_[],MATCH(_INDICATOR_[[#This Row],[CONTEST_CODE]],_DATA_[CONTEST_CODE],0),MATCH($U$1,_DATA_[#Headers],0)),"-")</f>
        <v>Индия накопи 3000</v>
      </c>
      <c r="V68" s="1" t="str">
        <f>IFERROR(INDEX(_reward_link_[],MATCH(_INDICATOR_[[#This Row],[CONTEST_CODE]],_reward_link_[CONTEST_CODE],0),MATCH($V$1,_reward_link_[#Headers],0)),"-")</f>
        <v>BANK</v>
      </c>
    </row>
    <row r="69" spans="1:22" hidden="1" x14ac:dyDescent="0.25">
      <c r="A69" s="1" t="s">
        <v>2183</v>
      </c>
      <c r="B69" s="1" t="s">
        <v>2</v>
      </c>
      <c r="C69" s="14" t="s">
        <v>194</v>
      </c>
      <c r="D69" s="14" t="s">
        <v>561</v>
      </c>
      <c r="E69" s="14" t="s">
        <v>561</v>
      </c>
      <c r="F69" s="14" t="s">
        <v>1313</v>
      </c>
      <c r="G69" s="14" t="s">
        <v>2</v>
      </c>
      <c r="H69" s="14" t="s">
        <v>194</v>
      </c>
      <c r="I69" s="14" t="s">
        <v>562</v>
      </c>
      <c r="J69" s="1" t="s">
        <v>563</v>
      </c>
      <c r="K69" s="1" t="s">
        <v>567</v>
      </c>
      <c r="L69" s="1" t="s">
        <v>194</v>
      </c>
      <c r="M69" s="1" t="s">
        <v>194</v>
      </c>
      <c r="N69" s="14" t="s">
        <v>194</v>
      </c>
      <c r="O69" s="1" t="s">
        <v>32</v>
      </c>
      <c r="P69" s="1" t="s">
        <v>1911</v>
      </c>
      <c r="Q69" s="1"/>
      <c r="R69" s="1"/>
      <c r="S69" t="str">
        <f>IFERROR(INDEX(_SCHEDULE_[],MATCH(_INDICATOR_[[#This Row],[CONTEST_CODE]],_SCHEDULE_[CONTEST_CODE],0),MATCH($S$1,_SCHEDULE_[#Headers],0)),"-")</f>
        <v>АКТИВНЫЙ</v>
      </c>
      <c r="T69" s="1" t="str">
        <f>IFERROR(INDEX(_group_[],MATCH(_INDICATOR_[[#This Row],[CONTEST_CODE]],_group_[CONTEST_CODE],0),MATCH($T$1,_group_[#Headers],0)),"-")</f>
        <v>BANK</v>
      </c>
      <c r="U69" s="1" t="str">
        <f>IFERROR(INDEX(_DATA_[],MATCH(_INDICATOR_[[#This Row],[CONTEST_CODE]],_DATA_[CONTEST_CODE],0),MATCH($U$1,_DATA_[#Headers],0)),"-")</f>
        <v>Индия накопи 10000</v>
      </c>
      <c r="V69" s="1" t="str">
        <f>IFERROR(INDEX(_reward_link_[],MATCH(_INDICATOR_[[#This Row],[CONTEST_CODE]],_reward_link_[CONTEST_CODE],0),MATCH($V$1,_reward_link_[#Headers],0)),"-")</f>
        <v>BANK</v>
      </c>
    </row>
    <row r="70" spans="1:22" hidden="1" x14ac:dyDescent="0.25">
      <c r="A70" s="1" t="s">
        <v>3688</v>
      </c>
      <c r="B70" s="1" t="s">
        <v>2</v>
      </c>
      <c r="C70" s="14" t="s">
        <v>194</v>
      </c>
      <c r="D70" s="14" t="s">
        <v>575</v>
      </c>
      <c r="E70" s="14" t="s">
        <v>575</v>
      </c>
      <c r="F70" s="14" t="s">
        <v>194</v>
      </c>
      <c r="G70" s="14" t="s">
        <v>194</v>
      </c>
      <c r="H70" s="14" t="s">
        <v>194</v>
      </c>
      <c r="I70" s="14" t="s">
        <v>562</v>
      </c>
      <c r="J70" s="1" t="s">
        <v>563</v>
      </c>
      <c r="K70" s="1" t="s">
        <v>2</v>
      </c>
      <c r="L70" s="1" t="s">
        <v>194</v>
      </c>
      <c r="M70" s="1" t="s">
        <v>194</v>
      </c>
      <c r="N70" s="14" t="s">
        <v>194</v>
      </c>
      <c r="O70" s="1" t="s">
        <v>2</v>
      </c>
      <c r="P70" s="1" t="s">
        <v>1912</v>
      </c>
      <c r="Q70" s="1"/>
      <c r="R70" s="1"/>
      <c r="S70" t="str">
        <f>IFERROR(INDEX(_SCHEDULE_[],MATCH(_INDICATOR_[[#This Row],[CONTEST_CODE]],_SCHEDULE_[CONTEST_CODE],0),MATCH($S$1,_SCHEDULE_[#Headers],0)),"-")</f>
        <v>АКТИВНЫЙ</v>
      </c>
      <c r="T70" s="1" t="str">
        <f>IFERROR(INDEX(_group_[],MATCH(_INDICATOR_[[#This Row],[CONTEST_CODE]],_group_[CONTEST_CODE],0),MATCH($T$1,_group_[#Headers],0)),"-")</f>
        <v>BANK</v>
      </c>
      <c r="U70" s="1" t="str">
        <f>IFERROR(INDEX(_DATA_[],MATCH(_INDICATOR_[[#This Row],[CONTEST_CODE]],_DATA_[CONTEST_CODE],0),MATCH($U$1,_DATA_[#Headers],0)),"-")</f>
        <v>Бизнес девелопмент 1 договор</v>
      </c>
      <c r="V70" s="1" t="str">
        <f>IFERROR(INDEX(_reward_link_[],MATCH(_INDICATOR_[[#This Row],[CONTEST_CODE]],_reward_link_[CONTEST_CODE],0),MATCH($V$1,_reward_link_[#Headers],0)),"-")</f>
        <v>BANK</v>
      </c>
    </row>
    <row r="71" spans="1:22" hidden="1" x14ac:dyDescent="0.25">
      <c r="A71" s="1" t="s">
        <v>3692</v>
      </c>
      <c r="B71" s="1" t="s">
        <v>2</v>
      </c>
      <c r="C71" s="14" t="s">
        <v>194</v>
      </c>
      <c r="D71" s="14" t="s">
        <v>575</v>
      </c>
      <c r="E71" s="14" t="s">
        <v>575</v>
      </c>
      <c r="F71" s="14" t="s">
        <v>194</v>
      </c>
      <c r="G71" s="14" t="s">
        <v>194</v>
      </c>
      <c r="H71" s="14" t="s">
        <v>194</v>
      </c>
      <c r="I71" s="14" t="s">
        <v>562</v>
      </c>
      <c r="J71" s="1" t="s">
        <v>563</v>
      </c>
      <c r="K71" s="1" t="s">
        <v>317</v>
      </c>
      <c r="L71" s="1" t="s">
        <v>194</v>
      </c>
      <c r="M71" s="1" t="s">
        <v>194</v>
      </c>
      <c r="N71" s="14" t="s">
        <v>194</v>
      </c>
      <c r="O71" s="1" t="s">
        <v>2</v>
      </c>
      <c r="P71" s="1" t="s">
        <v>1001</v>
      </c>
      <c r="Q71" s="1"/>
      <c r="R71" s="1"/>
      <c r="S71" t="str">
        <f>IFERROR(INDEX(_SCHEDULE_[],MATCH(_INDICATOR_[[#This Row],[CONTEST_CODE]],_SCHEDULE_[CONTEST_CODE],0),MATCH($S$1,_SCHEDULE_[#Headers],0)),"-")</f>
        <v>АКТИВНЫЙ</v>
      </c>
      <c r="T71" s="1" t="str">
        <f>IFERROR(INDEX(_group_[],MATCH(_INDICATOR_[[#This Row],[CONTEST_CODE]],_group_[CONTEST_CODE],0),MATCH($T$1,_group_[#Headers],0)),"-")</f>
        <v>BANK</v>
      </c>
      <c r="U71" s="1" t="str">
        <f>IFERROR(INDEX(_DATA_[],MATCH(_INDICATOR_[[#This Row],[CONTEST_CODE]],_DATA_[CONTEST_CODE],0),MATCH($U$1,_DATA_[#Headers],0)),"-")</f>
        <v>Бизнес девелопмент 5 договоров</v>
      </c>
      <c r="V71" s="1" t="str">
        <f>IFERROR(INDEX(_reward_link_[],MATCH(_INDICATOR_[[#This Row],[CONTEST_CODE]],_reward_link_[CONTEST_CODE],0),MATCH($V$1,_reward_link_[#Headers],0)),"-")</f>
        <v>BANK</v>
      </c>
    </row>
    <row r="72" spans="1:22" hidden="1" x14ac:dyDescent="0.25">
      <c r="A72" s="1" t="s">
        <v>3696</v>
      </c>
      <c r="B72" s="1" t="s">
        <v>2</v>
      </c>
      <c r="C72" s="14" t="s">
        <v>194</v>
      </c>
      <c r="D72" s="14" t="s">
        <v>575</v>
      </c>
      <c r="E72" s="14" t="s">
        <v>575</v>
      </c>
      <c r="F72" s="14" t="s">
        <v>194</v>
      </c>
      <c r="G72" s="14" t="s">
        <v>194</v>
      </c>
      <c r="H72" s="14" t="s">
        <v>194</v>
      </c>
      <c r="I72" s="14" t="s">
        <v>562</v>
      </c>
      <c r="J72" s="1" t="s">
        <v>563</v>
      </c>
      <c r="K72" s="1" t="s">
        <v>36</v>
      </c>
      <c r="L72" s="1" t="s">
        <v>194</v>
      </c>
      <c r="M72" s="1" t="s">
        <v>194</v>
      </c>
      <c r="N72" s="14" t="s">
        <v>194</v>
      </c>
      <c r="O72" s="1" t="s">
        <v>2</v>
      </c>
      <c r="P72" s="1" t="s">
        <v>1913</v>
      </c>
      <c r="Q72" s="1"/>
      <c r="R72" s="1"/>
      <c r="S72" t="str">
        <f>IFERROR(INDEX(_SCHEDULE_[],MATCH(_INDICATOR_[[#This Row],[CONTEST_CODE]],_SCHEDULE_[CONTEST_CODE],0),MATCH($S$1,_SCHEDULE_[#Headers],0)),"-")</f>
        <v>АКТИВНЫЙ</v>
      </c>
      <c r="T72" s="1" t="str">
        <f>IFERROR(INDEX(_group_[],MATCH(_INDICATOR_[[#This Row],[CONTEST_CODE]],_group_[CONTEST_CODE],0),MATCH($T$1,_group_[#Headers],0)),"-")</f>
        <v>BANK</v>
      </c>
      <c r="U72" s="1" t="str">
        <f>IFERROR(INDEX(_DATA_[],MATCH(_INDICATOR_[[#This Row],[CONTEST_CODE]],_DATA_[CONTEST_CODE],0),MATCH($U$1,_DATA_[#Headers],0)),"-")</f>
        <v>Бизнес девелопмент 10 договоров</v>
      </c>
      <c r="V72" s="1" t="str">
        <f>IFERROR(INDEX(_reward_link_[],MATCH(_INDICATOR_[[#This Row],[CONTEST_CODE]],_reward_link_[CONTEST_CODE],0),MATCH($V$1,_reward_link_[#Headers],0)),"-")</f>
        <v>BANK</v>
      </c>
    </row>
    <row r="73" spans="1:22" hidden="1" x14ac:dyDescent="0.25">
      <c r="A73" s="1" t="s">
        <v>2175</v>
      </c>
      <c r="B73" s="1" t="s">
        <v>2</v>
      </c>
      <c r="C73" s="14" t="s">
        <v>194</v>
      </c>
      <c r="D73" s="14" t="s">
        <v>575</v>
      </c>
      <c r="E73" s="14" t="s">
        <v>575</v>
      </c>
      <c r="F73" s="14" t="s">
        <v>194</v>
      </c>
      <c r="G73" s="14" t="s">
        <v>194</v>
      </c>
      <c r="H73" s="14" t="s">
        <v>194</v>
      </c>
      <c r="I73" s="14" t="s">
        <v>562</v>
      </c>
      <c r="J73" s="1" t="s">
        <v>576</v>
      </c>
      <c r="K73" s="1" t="s">
        <v>2</v>
      </c>
      <c r="L73" s="1" t="s">
        <v>194</v>
      </c>
      <c r="M73" s="1" t="s">
        <v>194</v>
      </c>
      <c r="N73" s="14" t="s">
        <v>194</v>
      </c>
      <c r="O73" s="1" t="s">
        <v>2</v>
      </c>
      <c r="P73" s="1" t="s">
        <v>1914</v>
      </c>
      <c r="Q73" s="1"/>
      <c r="R73" s="1"/>
      <c r="S73" t="str">
        <f>IFERROR(INDEX(_SCHEDULE_[],MATCH(_INDICATOR_[[#This Row],[CONTEST_CODE]],_SCHEDULE_[CONTEST_CODE],0),MATCH($S$1,_SCHEDULE_[#Headers],0)),"-")</f>
        <v>АКТИВНЫЙ</v>
      </c>
      <c r="T73" s="1" t="str">
        <f>IFERROR(INDEX(_group_[],MATCH(_INDICATOR_[[#This Row],[CONTEST_CODE]],_group_[CONTEST_CODE],0),MATCH($T$1,_group_[#Headers],0)),"-")</f>
        <v>BANK</v>
      </c>
      <c r="U73" s="1" t="str">
        <f>IFERROR(INDEX(_DATA_[],MATCH(_INDICATOR_[[#This Row],[CONTEST_CODE]],_DATA_[CONTEST_CODE],0),MATCH($U$1,_DATA_[#Headers],0)),"-")</f>
        <v>Участник ТОП-проекта цифровой транcформации</v>
      </c>
      <c r="V73" s="1" t="str">
        <f>IFERROR(INDEX(_reward_link_[],MATCH(_INDICATOR_[[#This Row],[CONTEST_CODE]],_reward_link_[CONTEST_CODE],0),MATCH($V$1,_reward_link_[#Headers],0)),"-")</f>
        <v>BANK</v>
      </c>
    </row>
    <row r="74" spans="1:22" hidden="1" x14ac:dyDescent="0.25">
      <c r="A74" s="1" t="s">
        <v>2188</v>
      </c>
      <c r="B74" s="1" t="s">
        <v>2</v>
      </c>
      <c r="C74" s="14" t="s">
        <v>194</v>
      </c>
      <c r="D74" s="14" t="s">
        <v>2963</v>
      </c>
      <c r="E74" s="14" t="s">
        <v>2963</v>
      </c>
      <c r="F74" s="14" t="s">
        <v>2964</v>
      </c>
      <c r="G74" s="14" t="s">
        <v>2</v>
      </c>
      <c r="H74" s="14" t="s">
        <v>194</v>
      </c>
      <c r="I74" s="14" t="s">
        <v>562</v>
      </c>
      <c r="J74" s="1" t="s">
        <v>563</v>
      </c>
      <c r="K74" s="1" t="s">
        <v>2</v>
      </c>
      <c r="L74" s="1" t="s">
        <v>194</v>
      </c>
      <c r="M74" s="1" t="s">
        <v>4020</v>
      </c>
      <c r="N74" s="14" t="s">
        <v>194</v>
      </c>
      <c r="O74" s="1" t="s">
        <v>32</v>
      </c>
      <c r="P74" s="1" t="s">
        <v>1915</v>
      </c>
      <c r="Q74" s="1"/>
      <c r="R74" s="1"/>
      <c r="S74" t="str">
        <f>IFERROR(INDEX(_SCHEDULE_[],MATCH(_INDICATOR_[[#This Row],[CONTEST_CODE]],_SCHEDULE_[CONTEST_CODE],0),MATCH($S$1,_SCHEDULE_[#Headers],0)),"-")</f>
        <v>АКТИВНЫЙ</v>
      </c>
      <c r="T74" s="1" t="str">
        <f>IFERROR(INDEX(_group_[],MATCH(_INDICATOR_[[#This Row],[CONTEST_CODE]],_group_[CONTEST_CODE],0),MATCH($T$1,_group_[#Headers],0)),"-")</f>
        <v>BANK</v>
      </c>
      <c r="U74" s="1" t="str">
        <f>IFERROR(INDEX(_DATA_[],MATCH(_INDICATOR_[[#This Row],[CONTEST_CODE]],_DATA_[CONTEST_CODE],0),MATCH($U$1,_DATA_[#Headers],0)),"-")</f>
        <v>CAPMAN 1 клиент</v>
      </c>
      <c r="V74" s="1" t="str">
        <f>IFERROR(INDEX(_reward_link_[],MATCH(_INDICATOR_[[#This Row],[CONTEST_CODE]],_reward_link_[CONTEST_CODE],0),MATCH($V$1,_reward_link_[#Headers],0)),"-")</f>
        <v>BANK</v>
      </c>
    </row>
    <row r="75" spans="1:22" hidden="1" x14ac:dyDescent="0.25">
      <c r="A75" s="1" t="s">
        <v>2190</v>
      </c>
      <c r="B75" s="1" t="s">
        <v>2</v>
      </c>
      <c r="C75" s="14" t="s">
        <v>194</v>
      </c>
      <c r="D75" s="14" t="s">
        <v>2963</v>
      </c>
      <c r="E75" s="14" t="s">
        <v>2963</v>
      </c>
      <c r="F75" s="14" t="s">
        <v>2964</v>
      </c>
      <c r="G75" s="14" t="s">
        <v>2</v>
      </c>
      <c r="H75" s="14" t="s">
        <v>194</v>
      </c>
      <c r="I75" s="14" t="s">
        <v>562</v>
      </c>
      <c r="J75" s="1" t="s">
        <v>563</v>
      </c>
      <c r="K75" s="1" t="s">
        <v>314</v>
      </c>
      <c r="L75" s="1" t="s">
        <v>194</v>
      </c>
      <c r="M75" s="1" t="s">
        <v>4020</v>
      </c>
      <c r="N75" s="14" t="s">
        <v>194</v>
      </c>
      <c r="O75" s="1" t="s">
        <v>32</v>
      </c>
      <c r="P75" s="1" t="s">
        <v>1916</v>
      </c>
      <c r="Q75" s="1"/>
      <c r="R75" s="1"/>
      <c r="S75" t="str">
        <f>IFERROR(INDEX(_SCHEDULE_[],MATCH(_INDICATOR_[[#This Row],[CONTEST_CODE]],_SCHEDULE_[CONTEST_CODE],0),MATCH($S$1,_SCHEDULE_[#Headers],0)),"-")</f>
        <v>АКТИВНЫЙ</v>
      </c>
      <c r="T75" s="1" t="str">
        <f>IFERROR(INDEX(_group_[],MATCH(_INDICATOR_[[#This Row],[CONTEST_CODE]],_group_[CONTEST_CODE],0),MATCH($T$1,_group_[#Headers],0)),"-")</f>
        <v>BANK</v>
      </c>
      <c r="U75" s="1" t="str">
        <f>IFERROR(INDEX(_DATA_[],MATCH(_INDICATOR_[[#This Row],[CONTEST_CODE]],_DATA_[CONTEST_CODE],0),MATCH($U$1,_DATA_[#Headers],0)),"-")</f>
        <v>CAPMAN 3 клиента</v>
      </c>
      <c r="V75" s="1" t="str">
        <f>IFERROR(INDEX(_reward_link_[],MATCH(_INDICATOR_[[#This Row],[CONTEST_CODE]],_reward_link_[CONTEST_CODE],0),MATCH($V$1,_reward_link_[#Headers],0)),"-")</f>
        <v>BANK</v>
      </c>
    </row>
    <row r="76" spans="1:22" hidden="1" x14ac:dyDescent="0.25">
      <c r="A76" s="1" t="s">
        <v>2192</v>
      </c>
      <c r="B76" s="1" t="s">
        <v>2</v>
      </c>
      <c r="C76" s="14" t="s">
        <v>194</v>
      </c>
      <c r="D76" s="14" t="s">
        <v>2963</v>
      </c>
      <c r="E76" s="14" t="s">
        <v>2963</v>
      </c>
      <c r="F76" s="14" t="s">
        <v>2964</v>
      </c>
      <c r="G76" s="14" t="s">
        <v>2</v>
      </c>
      <c r="H76" s="14" t="s">
        <v>194</v>
      </c>
      <c r="I76" s="14" t="s">
        <v>562</v>
      </c>
      <c r="J76" s="1" t="s">
        <v>563</v>
      </c>
      <c r="K76" s="1" t="s">
        <v>36</v>
      </c>
      <c r="L76" s="1" t="s">
        <v>194</v>
      </c>
      <c r="M76" s="1" t="s">
        <v>4020</v>
      </c>
      <c r="N76" s="14" t="s">
        <v>194</v>
      </c>
      <c r="O76" s="1" t="s">
        <v>32</v>
      </c>
      <c r="P76" s="1" t="s">
        <v>1917</v>
      </c>
      <c r="Q76" s="1"/>
      <c r="R76" s="1"/>
      <c r="S76" t="str">
        <f>IFERROR(INDEX(_SCHEDULE_[],MATCH(_INDICATOR_[[#This Row],[CONTEST_CODE]],_SCHEDULE_[CONTEST_CODE],0),MATCH($S$1,_SCHEDULE_[#Headers],0)),"-")</f>
        <v>АКТИВНЫЙ</v>
      </c>
      <c r="T76" s="1" t="str">
        <f>IFERROR(INDEX(_group_[],MATCH(_INDICATOR_[[#This Row],[CONTEST_CODE]],_group_[CONTEST_CODE],0),MATCH($T$1,_group_[#Headers],0)),"-")</f>
        <v>BANK</v>
      </c>
      <c r="U76" s="1" t="str">
        <f>IFERROR(INDEX(_DATA_[],MATCH(_INDICATOR_[[#This Row],[CONTEST_CODE]],_DATA_[CONTEST_CODE],0),MATCH($U$1,_DATA_[#Headers],0)),"-")</f>
        <v>CAPMAN 10 клиентов</v>
      </c>
      <c r="V76" s="1" t="str">
        <f>IFERROR(INDEX(_reward_link_[],MATCH(_INDICATOR_[[#This Row],[CONTEST_CODE]],_reward_link_[CONTEST_CODE],0),MATCH($V$1,_reward_link_[#Headers],0)),"-")</f>
        <v>BANK</v>
      </c>
    </row>
    <row r="77" spans="1:22" hidden="1" x14ac:dyDescent="0.25">
      <c r="A77" s="1" t="s">
        <v>2916</v>
      </c>
      <c r="B77" s="1" t="s">
        <v>2</v>
      </c>
      <c r="C77" s="14" t="s">
        <v>194</v>
      </c>
      <c r="D77" s="14" t="s">
        <v>575</v>
      </c>
      <c r="E77" s="14" t="s">
        <v>575</v>
      </c>
      <c r="F77" s="14" t="s">
        <v>194</v>
      </c>
      <c r="G77" s="14" t="s">
        <v>194</v>
      </c>
      <c r="H77" s="14" t="s">
        <v>194</v>
      </c>
      <c r="I77" s="14" t="s">
        <v>562</v>
      </c>
      <c r="J77" s="1" t="s">
        <v>563</v>
      </c>
      <c r="K77" s="1" t="s">
        <v>2</v>
      </c>
      <c r="L77" s="1" t="s">
        <v>194</v>
      </c>
      <c r="M77" s="1" t="s">
        <v>194</v>
      </c>
      <c r="N77" s="14" t="s">
        <v>194</v>
      </c>
      <c r="O77" s="1" t="s">
        <v>2</v>
      </c>
      <c r="P77" s="1" t="s">
        <v>2799</v>
      </c>
      <c r="Q77" s="1"/>
      <c r="R77" s="1"/>
      <c r="S77" t="str">
        <f>IFERROR(INDEX(_SCHEDULE_[],MATCH(_INDICATOR_[[#This Row],[CONTEST_CODE]],_SCHEDULE_[CONTEST_CODE],0),MATCH($S$1,_SCHEDULE_[#Headers],0)),"-")</f>
        <v>АКТИВНЫЙ</v>
      </c>
      <c r="T77" s="1" t="str">
        <f>IFERROR(INDEX(_group_[],MATCH(_INDICATOR_[[#This Row],[CONTEST_CODE]],_group_[CONTEST_CODE],0),MATCH($T$1,_group_[#Headers],0)),"-")</f>
        <v>BANK</v>
      </c>
      <c r="U77" s="1" t="str">
        <f>IFERROR(INDEX(_DATA_[],MATCH(_INDICATOR_[[#This Row],[CONTEST_CODE]],_DATA_[CONTEST_CODE],0),MATCH($U$1,_DATA_[#Headers],0)),"-")</f>
        <v>1 клиент на пакет услуг</v>
      </c>
      <c r="V77" s="1" t="str">
        <f>IFERROR(INDEX(_reward_link_[],MATCH(_INDICATOR_[[#This Row],[CONTEST_CODE]],_reward_link_[CONTEST_CODE],0),MATCH($V$1,_reward_link_[#Headers],0)),"-")</f>
        <v>BANK</v>
      </c>
    </row>
    <row r="78" spans="1:22" hidden="1" x14ac:dyDescent="0.25">
      <c r="A78" s="1" t="s">
        <v>2918</v>
      </c>
      <c r="B78" s="1" t="s">
        <v>2</v>
      </c>
      <c r="C78" s="14" t="s">
        <v>194</v>
      </c>
      <c r="D78" s="14" t="s">
        <v>575</v>
      </c>
      <c r="E78" s="14" t="s">
        <v>575</v>
      </c>
      <c r="F78" s="14" t="s">
        <v>194</v>
      </c>
      <c r="G78" s="14" t="s">
        <v>194</v>
      </c>
      <c r="H78" s="14" t="s">
        <v>194</v>
      </c>
      <c r="I78" s="14" t="s">
        <v>562</v>
      </c>
      <c r="J78" s="1" t="s">
        <v>563</v>
      </c>
      <c r="K78" s="1" t="s">
        <v>314</v>
      </c>
      <c r="L78" s="1" t="s">
        <v>194</v>
      </c>
      <c r="M78" s="1" t="s">
        <v>194</v>
      </c>
      <c r="N78" s="14" t="s">
        <v>194</v>
      </c>
      <c r="O78" s="1" t="s">
        <v>2</v>
      </c>
      <c r="P78" s="1" t="s">
        <v>2800</v>
      </c>
      <c r="Q78" s="1"/>
      <c r="R78" s="1"/>
      <c r="S78" t="str">
        <f>IFERROR(INDEX(_SCHEDULE_[],MATCH(_INDICATOR_[[#This Row],[CONTEST_CODE]],_SCHEDULE_[CONTEST_CODE],0),MATCH($S$1,_SCHEDULE_[#Headers],0)),"-")</f>
        <v>АКТИВНЫЙ</v>
      </c>
      <c r="T78" s="1" t="str">
        <f>IFERROR(INDEX(_group_[],MATCH(_INDICATOR_[[#This Row],[CONTEST_CODE]],_group_[CONTEST_CODE],0),MATCH($T$1,_group_[#Headers],0)),"-")</f>
        <v>BANK</v>
      </c>
      <c r="U78" s="1" t="str">
        <f>IFERROR(INDEX(_DATA_[],MATCH(_INDICATOR_[[#This Row],[CONTEST_CODE]],_DATA_[CONTEST_CODE],0),MATCH($U$1,_DATA_[#Headers],0)),"-")</f>
        <v>3 клиента на пакет услуг</v>
      </c>
      <c r="V78" s="1" t="str">
        <f>IFERROR(INDEX(_reward_link_[],MATCH(_INDICATOR_[[#This Row],[CONTEST_CODE]],_reward_link_[CONTEST_CODE],0),MATCH($V$1,_reward_link_[#Headers],0)),"-")</f>
        <v>BANK</v>
      </c>
    </row>
    <row r="79" spans="1:22" hidden="1" x14ac:dyDescent="0.25">
      <c r="A79" s="1" t="s">
        <v>2920</v>
      </c>
      <c r="B79" s="1" t="s">
        <v>2</v>
      </c>
      <c r="C79" s="14" t="s">
        <v>194</v>
      </c>
      <c r="D79" s="14" t="s">
        <v>575</v>
      </c>
      <c r="E79" s="14" t="s">
        <v>575</v>
      </c>
      <c r="F79" s="14" t="s">
        <v>194</v>
      </c>
      <c r="G79" s="14" t="s">
        <v>194</v>
      </c>
      <c r="H79" s="14" t="s">
        <v>194</v>
      </c>
      <c r="I79" s="14" t="s">
        <v>562</v>
      </c>
      <c r="J79" s="1" t="s">
        <v>563</v>
      </c>
      <c r="K79" s="1" t="s">
        <v>317</v>
      </c>
      <c r="L79" s="1" t="s">
        <v>194</v>
      </c>
      <c r="M79" s="1" t="s">
        <v>194</v>
      </c>
      <c r="N79" s="14" t="s">
        <v>194</v>
      </c>
      <c r="O79" s="1" t="s">
        <v>2</v>
      </c>
      <c r="P79" s="1" t="s">
        <v>2801</v>
      </c>
      <c r="Q79" s="1"/>
      <c r="R79" s="1"/>
      <c r="S79" t="str">
        <f>IFERROR(INDEX(_SCHEDULE_[],MATCH(_INDICATOR_[[#This Row],[CONTEST_CODE]],_SCHEDULE_[CONTEST_CODE],0),MATCH($S$1,_SCHEDULE_[#Headers],0)),"-")</f>
        <v>АКТИВНЫЙ</v>
      </c>
      <c r="T79" s="1" t="str">
        <f>IFERROR(INDEX(_group_[],MATCH(_INDICATOR_[[#This Row],[CONTEST_CODE]],_group_[CONTEST_CODE],0),MATCH($T$1,_group_[#Headers],0)),"-")</f>
        <v>BANK</v>
      </c>
      <c r="U79" s="1" t="str">
        <f>IFERROR(INDEX(_DATA_[],MATCH(_INDICATOR_[[#This Row],[CONTEST_CODE]],_DATA_[CONTEST_CODE],0),MATCH($U$1,_DATA_[#Headers],0)),"-")</f>
        <v>5 клиентов на пакет услуг</v>
      </c>
      <c r="V79" s="1" t="str">
        <f>IFERROR(INDEX(_reward_link_[],MATCH(_INDICATOR_[[#This Row],[CONTEST_CODE]],_reward_link_[CONTEST_CODE],0),MATCH($V$1,_reward_link_[#Headers],0)),"-")</f>
        <v>BANK</v>
      </c>
    </row>
    <row r="80" spans="1:22" hidden="1" x14ac:dyDescent="0.25">
      <c r="A80" s="1" t="s">
        <v>2922</v>
      </c>
      <c r="B80" s="1" t="s">
        <v>2</v>
      </c>
      <c r="C80" s="14" t="s">
        <v>194</v>
      </c>
      <c r="D80" s="14" t="s">
        <v>575</v>
      </c>
      <c r="E80" s="14" t="s">
        <v>575</v>
      </c>
      <c r="F80" s="14" t="s">
        <v>194</v>
      </c>
      <c r="G80" s="14" t="s">
        <v>194</v>
      </c>
      <c r="H80" s="14" t="s">
        <v>194</v>
      </c>
      <c r="I80" s="14" t="s">
        <v>562</v>
      </c>
      <c r="J80" s="1" t="s">
        <v>563</v>
      </c>
      <c r="K80" s="1" t="s">
        <v>36</v>
      </c>
      <c r="L80" s="1" t="s">
        <v>194</v>
      </c>
      <c r="M80" s="1" t="s">
        <v>194</v>
      </c>
      <c r="N80" s="14" t="s">
        <v>194</v>
      </c>
      <c r="O80" s="1" t="s">
        <v>2</v>
      </c>
      <c r="P80" s="1" t="s">
        <v>2802</v>
      </c>
      <c r="Q80" s="1"/>
      <c r="R80" s="1"/>
      <c r="S80" t="str">
        <f>IFERROR(INDEX(_SCHEDULE_[],MATCH(_INDICATOR_[[#This Row],[CONTEST_CODE]],_SCHEDULE_[CONTEST_CODE],0),MATCH($S$1,_SCHEDULE_[#Headers],0)),"-")</f>
        <v>АКТИВНЫЙ</v>
      </c>
      <c r="T80" s="1" t="str">
        <f>IFERROR(INDEX(_group_[],MATCH(_INDICATOR_[[#This Row],[CONTEST_CODE]],_group_[CONTEST_CODE],0),MATCH($T$1,_group_[#Headers],0)),"-")</f>
        <v>BANK</v>
      </c>
      <c r="U80" s="1" t="str">
        <f>IFERROR(INDEX(_DATA_[],MATCH(_INDICATOR_[[#This Row],[CONTEST_CODE]],_DATA_[CONTEST_CODE],0),MATCH($U$1,_DATA_[#Headers],0)),"-")</f>
        <v>10 клиентов на пакет услуг</v>
      </c>
      <c r="V80" s="1" t="str">
        <f>IFERROR(INDEX(_reward_link_[],MATCH(_INDICATOR_[[#This Row],[CONTEST_CODE]],_reward_link_[CONTEST_CODE],0),MATCH($V$1,_reward_link_[#Headers],0)),"-")</f>
        <v>BANK</v>
      </c>
    </row>
    <row r="81" spans="1:22" hidden="1" x14ac:dyDescent="0.25">
      <c r="A81" s="1" t="s">
        <v>2232</v>
      </c>
      <c r="B81" s="1" t="s">
        <v>2</v>
      </c>
      <c r="C81" s="14" t="s">
        <v>194</v>
      </c>
      <c r="D81" s="14" t="s">
        <v>575</v>
      </c>
      <c r="E81" s="14" t="s">
        <v>575</v>
      </c>
      <c r="F81" s="14" t="s">
        <v>194</v>
      </c>
      <c r="G81" s="14" t="s">
        <v>194</v>
      </c>
      <c r="H81" s="14" t="s">
        <v>194</v>
      </c>
      <c r="I81" s="14" t="s">
        <v>562</v>
      </c>
      <c r="J81" s="1" t="s">
        <v>576</v>
      </c>
      <c r="K81" s="1" t="s">
        <v>2</v>
      </c>
      <c r="L81" s="1" t="s">
        <v>194</v>
      </c>
      <c r="M81" s="1" t="s">
        <v>194</v>
      </c>
      <c r="N81" s="14" t="s">
        <v>194</v>
      </c>
      <c r="O81" s="1" t="s">
        <v>2</v>
      </c>
      <c r="P81" s="1" t="s">
        <v>2803</v>
      </c>
      <c r="Q81" s="1"/>
      <c r="R81" s="1"/>
      <c r="S81" t="str">
        <f>IFERROR(INDEX(_SCHEDULE_[],MATCH(_INDICATOR_[[#This Row],[CONTEST_CODE]],_SCHEDULE_[CONTEST_CODE],0),MATCH($S$1,_SCHEDULE_[#Headers],0)),"-")</f>
        <v>АКТИВНЫЙ</v>
      </c>
      <c r="T81" s="1" t="str">
        <f>IFERROR(INDEX(_group_[],MATCH(_INDICATOR_[[#This Row],[CONTEST_CODE]],_group_[CONTEST_CODE],0),MATCH($T$1,_group_[#Headers],0)),"-")</f>
        <v>BANK</v>
      </c>
      <c r="U81" s="1" t="str">
        <f>IFERROR(INDEX(_DATA_[],MATCH(_INDICATOR_[[#This Row],[CONTEST_CODE]],_DATA_[CONTEST_CODE],0),MATCH($U$1,_DATA_[#Headers],0)),"-")</f>
        <v>Благотворительность</v>
      </c>
      <c r="V81" s="1" t="str">
        <f>IFERROR(INDEX(_reward_link_[],MATCH(_INDICATOR_[[#This Row],[CONTEST_CODE]],_reward_link_[CONTEST_CODE],0),MATCH($V$1,_reward_link_[#Headers],0)),"-")</f>
        <v>BANK</v>
      </c>
    </row>
    <row r="82" spans="1:22" hidden="1" x14ac:dyDescent="0.25">
      <c r="A82" s="1" t="s">
        <v>3117</v>
      </c>
      <c r="B82" s="1" t="s">
        <v>2</v>
      </c>
      <c r="C82" s="14" t="s">
        <v>194</v>
      </c>
      <c r="D82" s="14" t="s">
        <v>575</v>
      </c>
      <c r="E82" s="14" t="s">
        <v>575</v>
      </c>
      <c r="F82" s="14" t="s">
        <v>194</v>
      </c>
      <c r="G82" s="14" t="s">
        <v>194</v>
      </c>
      <c r="H82" s="14" t="s">
        <v>194</v>
      </c>
      <c r="I82" s="14" t="s">
        <v>573</v>
      </c>
      <c r="J82" s="1" t="s">
        <v>574</v>
      </c>
      <c r="K82" s="1" t="s">
        <v>194</v>
      </c>
      <c r="L82" s="1" t="s">
        <v>194</v>
      </c>
      <c r="M82" s="1" t="s">
        <v>194</v>
      </c>
      <c r="N82" s="14" t="s">
        <v>194</v>
      </c>
      <c r="O82" s="1" t="s">
        <v>2</v>
      </c>
      <c r="P82" s="1" t="s">
        <v>2804</v>
      </c>
      <c r="Q82" s="1"/>
      <c r="R82" s="1"/>
      <c r="S82" t="str">
        <f>IFERROR(INDEX(_SCHEDULE_[],MATCH(_INDICATOR_[[#This Row],[CONTEST_CODE]],_SCHEDULE_[CONTEST_CODE],0),MATCH($S$1,_SCHEDULE_[#Headers],0)),"-")</f>
        <v>АКТИВНЫЙ</v>
      </c>
      <c r="T82" s="1" t="str">
        <f>IFERROR(INDEX(_group_[],MATCH(_INDICATOR_[[#This Row],[CONTEST_CODE]],_group_[CONTEST_CODE],0),MATCH($T$1,_group_[#Headers],0)),"-")</f>
        <v>BANK</v>
      </c>
      <c r="U82" s="1" t="str">
        <f>IFERROR(INDEX(_DATA_[],MATCH(_INDICATOR_[[#This Row],[CONTEST_CODE]],_DATA_[CONTEST_CODE],0),MATCH($U$1,_DATA_[#Headers],0)),"-")</f>
        <v>Марафон исследований</v>
      </c>
      <c r="V82" s="1" t="str">
        <f>IFERROR(INDEX(_reward_link_[],MATCH(_INDICATOR_[[#This Row],[CONTEST_CODE]],_reward_link_[CONTEST_CODE],0),MATCH($V$1,_reward_link_[#Headers],0)),"-")</f>
        <v>BANK</v>
      </c>
    </row>
    <row r="83" spans="1:22" x14ac:dyDescent="0.25">
      <c r="A83" s="1" t="s">
        <v>2172</v>
      </c>
      <c r="B83" s="1" t="s">
        <v>2</v>
      </c>
      <c r="C83" s="14" t="s">
        <v>194</v>
      </c>
      <c r="D83" s="14" t="s">
        <v>3543</v>
      </c>
      <c r="E83" s="14" t="s">
        <v>3543</v>
      </c>
      <c r="F83" s="14" t="s">
        <v>1313</v>
      </c>
      <c r="G83" s="14" t="s">
        <v>2</v>
      </c>
      <c r="H83" s="14" t="s">
        <v>194</v>
      </c>
      <c r="I83" s="14" t="s">
        <v>573</v>
      </c>
      <c r="J83" s="1" t="s">
        <v>574</v>
      </c>
      <c r="K83" s="1" t="s">
        <v>194</v>
      </c>
      <c r="L83" s="1" t="s">
        <v>194</v>
      </c>
      <c r="M83" s="1" t="s">
        <v>4021</v>
      </c>
      <c r="N83" s="14" t="s">
        <v>2</v>
      </c>
      <c r="O83" s="1" t="s">
        <v>32</v>
      </c>
      <c r="P83" s="1" t="s">
        <v>2805</v>
      </c>
      <c r="Q83" s="1"/>
      <c r="R83" s="1"/>
      <c r="S83" t="str">
        <f>IFERROR(INDEX(_SCHEDULE_[],MATCH(_INDICATOR_[[#This Row],[CONTEST_CODE]],_SCHEDULE_[CONTEST_CODE],0),MATCH($S$1,_SCHEDULE_[#Headers],0)),"-")</f>
        <v>ЗАВЕРШЕН</v>
      </c>
      <c r="T83" s="1" t="str">
        <f>IFERROR(INDEX(_group_[],MATCH(_INDICATOR_[[#This Row],[CONTEST_CODE]],_group_[CONTEST_CODE],0),MATCH($T$1,_group_[#Headers],0)),"-")</f>
        <v>BANK</v>
      </c>
      <c r="U83" s="1" t="str">
        <f>IFERROR(INDEX(_DATA_[],MATCH(_INDICATOR_[[#This Row],[CONTEST_CODE]],_DATA_[CONTEST_CODE],0),MATCH($U$1,_DATA_[#Headers],0)),"-")</f>
        <v>Пассивы. Максимизируй прирост остатка</v>
      </c>
      <c r="V83" s="1" t="str">
        <f>IFERROR(INDEX(_reward_link_[],MATCH(_INDICATOR_[[#This Row],[CONTEST_CODE]],_reward_link_[CONTEST_CODE],0),MATCH($V$1,_reward_link_[#Headers],0)),"-")</f>
        <v>BANK</v>
      </c>
    </row>
    <row r="84" spans="1:22" hidden="1" x14ac:dyDescent="0.25">
      <c r="A84" s="1" t="s">
        <v>3403</v>
      </c>
      <c r="B84" s="1" t="s">
        <v>2</v>
      </c>
      <c r="C84" s="14" t="s">
        <v>194</v>
      </c>
      <c r="D84" s="14" t="s">
        <v>575</v>
      </c>
      <c r="E84" s="14" t="s">
        <v>575</v>
      </c>
      <c r="F84" s="14" t="s">
        <v>194</v>
      </c>
      <c r="G84" s="14" t="s">
        <v>194</v>
      </c>
      <c r="H84" s="14" t="s">
        <v>194</v>
      </c>
      <c r="I84" s="14" t="s">
        <v>573</v>
      </c>
      <c r="J84" s="1" t="s">
        <v>574</v>
      </c>
      <c r="K84" s="1" t="s">
        <v>194</v>
      </c>
      <c r="L84" s="1" t="s">
        <v>194</v>
      </c>
      <c r="M84" s="1" t="s">
        <v>194</v>
      </c>
      <c r="N84" s="14" t="s">
        <v>194</v>
      </c>
      <c r="O84" s="1" t="s">
        <v>2</v>
      </c>
      <c r="P84" s="1" t="s">
        <v>2806</v>
      </c>
      <c r="Q84" s="1"/>
      <c r="R84" s="1"/>
      <c r="S84" t="str">
        <f>IFERROR(INDEX(_SCHEDULE_[],MATCH(_INDICATOR_[[#This Row],[CONTEST_CODE]],_SCHEDULE_[CONTEST_CODE],0),MATCH($S$1,_SCHEDULE_[#Headers],0)),"-")</f>
        <v>АКТИВНЫЙ</v>
      </c>
      <c r="T84" s="1" t="str">
        <f>IFERROR(INDEX(_group_[],MATCH(_INDICATOR_[[#This Row],[CONTEST_CODE]],_group_[CONTEST_CODE],0),MATCH($T$1,_group_[#Headers],0)),"-")</f>
        <v>TB</v>
      </c>
      <c r="U84" s="1" t="str">
        <f>IFERROR(INDEX(_DATA_[],MATCH(_INDICATOR_[[#This Row],[CONTEST_CODE]],_DATA_[CONTEST_CODE],0),MATCH($U$1,_DATA_[#Headers],0)),"-")</f>
        <v>Пассивы. Зарабатывай на привлечении</v>
      </c>
      <c r="V84" s="1" t="str">
        <f>IFERROR(INDEX(_reward_link_[],MATCH(_INDICATOR_[[#This Row],[CONTEST_CODE]],_reward_link_[CONTEST_CODE],0),MATCH($V$1,_reward_link_[#Headers],0)),"-")</f>
        <v>TB</v>
      </c>
    </row>
    <row r="85" spans="1:22" x14ac:dyDescent="0.25">
      <c r="A85" s="1" t="s">
        <v>2200</v>
      </c>
      <c r="B85" s="1" t="s">
        <v>2</v>
      </c>
      <c r="C85" s="14" t="s">
        <v>194</v>
      </c>
      <c r="D85" s="14" t="s">
        <v>3543</v>
      </c>
      <c r="E85" s="14" t="s">
        <v>3543</v>
      </c>
      <c r="F85" s="14" t="s">
        <v>1313</v>
      </c>
      <c r="G85" s="14" t="s">
        <v>2</v>
      </c>
      <c r="H85" s="14" t="s">
        <v>194</v>
      </c>
      <c r="I85" s="14" t="s">
        <v>573</v>
      </c>
      <c r="J85" s="1" t="s">
        <v>574</v>
      </c>
      <c r="K85" s="1" t="s">
        <v>194</v>
      </c>
      <c r="L85" s="1" t="s">
        <v>194</v>
      </c>
      <c r="M85" s="1" t="s">
        <v>4022</v>
      </c>
      <c r="N85" s="14" t="s">
        <v>2</v>
      </c>
      <c r="O85" s="1" t="s">
        <v>32</v>
      </c>
      <c r="P85" s="1" t="s">
        <v>2807</v>
      </c>
      <c r="Q85" s="1"/>
      <c r="R85" s="1"/>
      <c r="S85" t="str">
        <f>IFERROR(INDEX(_SCHEDULE_[],MATCH(_INDICATOR_[[#This Row],[CONTEST_CODE]],_SCHEDULE_[CONTEST_CODE],0),MATCH($S$1,_SCHEDULE_[#Headers],0)),"-")</f>
        <v>ЗАВЕРШЕН</v>
      </c>
      <c r="T85" s="1" t="str">
        <f>IFERROR(INDEX(_group_[],MATCH(_INDICATOR_[[#This Row],[CONTEST_CODE]],_group_[CONTEST_CODE],0),MATCH($T$1,_group_[#Headers],0)),"-")</f>
        <v>BANK</v>
      </c>
      <c r="U85" s="1" t="str">
        <f>IFERROR(INDEX(_DATA_[],MATCH(_INDICATOR_[[#This Row],[CONTEST_CODE]],_DATA_[CONTEST_CODE],0),MATCH($U$1,_DATA_[#Headers],0)),"-")</f>
        <v>Пассивы. Прирост остатка долгосрочных депозитов</v>
      </c>
      <c r="V85" s="1" t="str">
        <f>IFERROR(INDEX(_reward_link_[],MATCH(_INDICATOR_[[#This Row],[CONTEST_CODE]],_reward_link_[CONTEST_CODE],0),MATCH($V$1,_reward_link_[#Headers],0)),"-")</f>
        <v>BANK</v>
      </c>
    </row>
    <row r="86" spans="1:22" hidden="1" x14ac:dyDescent="0.25">
      <c r="A86" s="1" t="s">
        <v>2228</v>
      </c>
      <c r="B86" s="1" t="s">
        <v>2</v>
      </c>
      <c r="C86" s="14" t="s">
        <v>194</v>
      </c>
      <c r="D86" s="14" t="s">
        <v>575</v>
      </c>
      <c r="E86" s="14" t="s">
        <v>575</v>
      </c>
      <c r="F86" s="14" t="s">
        <v>194</v>
      </c>
      <c r="G86" s="14" t="s">
        <v>194</v>
      </c>
      <c r="H86" s="14" t="s">
        <v>194</v>
      </c>
      <c r="I86" s="14" t="s">
        <v>573</v>
      </c>
      <c r="J86" s="1" t="s">
        <v>574</v>
      </c>
      <c r="K86" s="1" t="s">
        <v>194</v>
      </c>
      <c r="L86" s="1" t="s">
        <v>194</v>
      </c>
      <c r="M86" s="1" t="s">
        <v>194</v>
      </c>
      <c r="N86" s="14" t="s">
        <v>194</v>
      </c>
      <c r="O86" s="1" t="s">
        <v>2</v>
      </c>
      <c r="P86" s="1" t="s">
        <v>2808</v>
      </c>
      <c r="Q86" s="1"/>
      <c r="R86" s="1"/>
      <c r="S86" t="str">
        <f>IFERROR(INDEX(_SCHEDULE_[],MATCH(_INDICATOR_[[#This Row],[CONTEST_CODE]],_SCHEDULE_[CONTEST_CODE],0),MATCH($S$1,_SCHEDULE_[#Headers],0)),"-")</f>
        <v>ЗАВЕРШЕН</v>
      </c>
      <c r="T86" s="1" t="str">
        <f>IFERROR(INDEX(_group_[],MATCH(_INDICATOR_[[#This Row],[CONTEST_CODE]],_group_[CONTEST_CODE],0),MATCH($T$1,_group_[#Headers],0)),"-")</f>
        <v>BANK</v>
      </c>
      <c r="U86" s="1" t="str">
        <f>IFERROR(INDEX(_DATA_[],MATCH(_INDICATOR_[[#This Row],[CONTEST_CODE]],_DATA_[CONTEST_CODE],0),MATCH($U$1,_DATA_[#Headers],0)),"-")</f>
        <v>ФОТ. Прирост объема перечислений</v>
      </c>
      <c r="V86" s="1" t="str">
        <f>IFERROR(INDEX(_reward_link_[],MATCH(_INDICATOR_[[#This Row],[CONTEST_CODE]],_reward_link_[CONTEST_CODE],0),MATCH($V$1,_reward_link_[#Headers],0)),"-")</f>
        <v>BANK</v>
      </c>
    </row>
    <row r="87" spans="1:22" hidden="1" x14ac:dyDescent="0.25">
      <c r="A87" s="1" t="s">
        <v>3087</v>
      </c>
      <c r="B87" s="1" t="s">
        <v>2</v>
      </c>
      <c r="C87" s="14" t="s">
        <v>194</v>
      </c>
      <c r="D87" s="14" t="s">
        <v>575</v>
      </c>
      <c r="E87" s="14" t="s">
        <v>575</v>
      </c>
      <c r="F87" s="14" t="s">
        <v>194</v>
      </c>
      <c r="G87" s="14" t="s">
        <v>194</v>
      </c>
      <c r="H87" s="14" t="s">
        <v>194</v>
      </c>
      <c r="I87" s="14" t="s">
        <v>562</v>
      </c>
      <c r="J87" s="1" t="s">
        <v>563</v>
      </c>
      <c r="K87" s="1" t="s">
        <v>2</v>
      </c>
      <c r="L87" s="1" t="s">
        <v>194</v>
      </c>
      <c r="M87" s="1" t="s">
        <v>194</v>
      </c>
      <c r="N87" s="14" t="s">
        <v>194</v>
      </c>
      <c r="O87" s="1" t="s">
        <v>2</v>
      </c>
      <c r="P87" s="1" t="s">
        <v>2809</v>
      </c>
      <c r="Q87" s="1"/>
      <c r="R87" s="1"/>
      <c r="S87" t="str">
        <f>IFERROR(INDEX(_SCHEDULE_[],MATCH(_INDICATOR_[[#This Row],[CONTEST_CODE]],_SCHEDULE_[CONTEST_CODE],0),MATCH($S$1,_SCHEDULE_[#Headers],0)),"-")</f>
        <v>АКТИВНЫЙ</v>
      </c>
      <c r="T87" s="1" t="str">
        <f>IFERROR(INDEX(_group_[],MATCH(_INDICATOR_[[#This Row],[CONTEST_CODE]],_group_[CONTEST_CODE],0),MATCH($T$1,_group_[#Headers],0)),"-")</f>
        <v>BANK</v>
      </c>
      <c r="U87" s="1" t="str">
        <f>IFERROR(INDEX(_DATA_[],MATCH(_INDICATOR_[[#This Row],[CONTEST_CODE]],_DATA_[CONTEST_CODE],0),MATCH($U$1,_DATA_[#Headers],0)),"-")</f>
        <v>1 млн руб по Process Mining</v>
      </c>
      <c r="V87" s="1" t="str">
        <f>IFERROR(INDEX(_reward_link_[],MATCH(_INDICATOR_[[#This Row],[CONTEST_CODE]],_reward_link_[CONTEST_CODE],0),MATCH($V$1,_reward_link_[#Headers],0)),"-")</f>
        <v>BANK</v>
      </c>
    </row>
    <row r="88" spans="1:22" hidden="1" x14ac:dyDescent="0.25">
      <c r="A88" s="1" t="s">
        <v>3135</v>
      </c>
      <c r="B88" s="1" t="s">
        <v>2</v>
      </c>
      <c r="C88" s="14" t="s">
        <v>194</v>
      </c>
      <c r="D88" s="14" t="s">
        <v>575</v>
      </c>
      <c r="E88" s="14" t="s">
        <v>575</v>
      </c>
      <c r="F88" s="14" t="s">
        <v>194</v>
      </c>
      <c r="G88" s="14" t="s">
        <v>194</v>
      </c>
      <c r="H88" s="14" t="s">
        <v>194</v>
      </c>
      <c r="I88" s="14" t="s">
        <v>562</v>
      </c>
      <c r="J88" s="1" t="s">
        <v>563</v>
      </c>
      <c r="K88" s="1" t="s">
        <v>308</v>
      </c>
      <c r="L88" s="1" t="s">
        <v>194</v>
      </c>
      <c r="M88" s="1" t="s">
        <v>194</v>
      </c>
      <c r="N88" s="14" t="s">
        <v>194</v>
      </c>
      <c r="O88" s="1" t="s">
        <v>2</v>
      </c>
      <c r="P88" s="1" t="s">
        <v>2810</v>
      </c>
      <c r="Q88" s="1"/>
      <c r="R88" s="1"/>
      <c r="S88" t="str">
        <f>IFERROR(INDEX(_SCHEDULE_[],MATCH(_INDICATOR_[[#This Row],[CONTEST_CODE]],_SCHEDULE_[CONTEST_CODE],0),MATCH($S$1,_SCHEDULE_[#Headers],0)),"-")</f>
        <v>АКТИВНЫЙ</v>
      </c>
      <c r="T88" s="1" t="str">
        <f>IFERROR(INDEX(_group_[],MATCH(_INDICATOR_[[#This Row],[CONTEST_CODE]],_group_[CONTEST_CODE],0),MATCH($T$1,_group_[#Headers],0)),"-")</f>
        <v>BANK</v>
      </c>
      <c r="U88" s="1" t="str">
        <f>IFERROR(INDEX(_DATA_[],MATCH(_INDICATOR_[[#This Row],[CONTEST_CODE]],_DATA_[CONTEST_CODE],0),MATCH($U$1,_DATA_[#Headers],0)),"-")</f>
        <v>2 клиента по СберИндексПро</v>
      </c>
      <c r="V88" s="1" t="str">
        <f>IFERROR(INDEX(_reward_link_[],MATCH(_INDICATOR_[[#This Row],[CONTEST_CODE]],_reward_link_[CONTEST_CODE],0),MATCH($V$1,_reward_link_[#Headers],0)),"-")</f>
        <v>BANK</v>
      </c>
    </row>
    <row r="89" spans="1:22" hidden="1" x14ac:dyDescent="0.25">
      <c r="A89" s="1" t="s">
        <v>3089</v>
      </c>
      <c r="B89" s="1" t="s">
        <v>2</v>
      </c>
      <c r="C89" s="14" t="s">
        <v>194</v>
      </c>
      <c r="D89" s="14" t="s">
        <v>575</v>
      </c>
      <c r="E89" s="14" t="s">
        <v>575</v>
      </c>
      <c r="F89" s="14" t="s">
        <v>194</v>
      </c>
      <c r="G89" s="14" t="s">
        <v>194</v>
      </c>
      <c r="H89" s="14" t="s">
        <v>194</v>
      </c>
      <c r="I89" s="14" t="s">
        <v>562</v>
      </c>
      <c r="J89" s="1" t="s">
        <v>563</v>
      </c>
      <c r="K89" s="1" t="s">
        <v>2</v>
      </c>
      <c r="L89" s="1" t="s">
        <v>194</v>
      </c>
      <c r="M89" s="1" t="s">
        <v>194</v>
      </c>
      <c r="N89" s="14" t="s">
        <v>194</v>
      </c>
      <c r="O89" s="1" t="s">
        <v>2</v>
      </c>
      <c r="P89" s="1" t="s">
        <v>2811</v>
      </c>
      <c r="Q89" s="1"/>
      <c r="R89" s="1"/>
      <c r="S89" t="str">
        <f>IFERROR(INDEX(_SCHEDULE_[],MATCH(_INDICATOR_[[#This Row],[CONTEST_CODE]],_SCHEDULE_[CONTEST_CODE],0),MATCH($S$1,_SCHEDULE_[#Headers],0)),"-")</f>
        <v>АКТИВНЫЙ</v>
      </c>
      <c r="T89" s="1" t="str">
        <f>IFERROR(INDEX(_group_[],MATCH(_INDICATOR_[[#This Row],[CONTEST_CODE]],_group_[CONTEST_CODE],0),MATCH($T$1,_group_[#Headers],0)),"-")</f>
        <v>BANK</v>
      </c>
      <c r="U89" s="1" t="str">
        <f>IFERROR(INDEX(_DATA_[],MATCH(_INDICATOR_[[#This Row],[CONTEST_CODE]],_DATA_[CONTEST_CODE],0),MATCH($U$1,_DATA_[#Headers],0)),"-")</f>
        <v>1 млн руб по Навигатор BI</v>
      </c>
      <c r="V89" s="1" t="str">
        <f>IFERROR(INDEX(_reward_link_[],MATCH(_INDICATOR_[[#This Row],[CONTEST_CODE]],_reward_link_[CONTEST_CODE],0),MATCH($V$1,_reward_link_[#Headers],0)),"-")</f>
        <v>BANK</v>
      </c>
    </row>
    <row r="90" spans="1:22" hidden="1" x14ac:dyDescent="0.25">
      <c r="A90" s="1" t="s">
        <v>3091</v>
      </c>
      <c r="B90" s="1" t="s">
        <v>2</v>
      </c>
      <c r="C90" s="14" t="s">
        <v>194</v>
      </c>
      <c r="D90" s="14" t="s">
        <v>575</v>
      </c>
      <c r="E90" s="14" t="s">
        <v>575</v>
      </c>
      <c r="F90" s="14" t="s">
        <v>194</v>
      </c>
      <c r="G90" s="14" t="s">
        <v>194</v>
      </c>
      <c r="H90" s="14" t="s">
        <v>194</v>
      </c>
      <c r="I90" s="14" t="s">
        <v>562</v>
      </c>
      <c r="J90" s="1" t="s">
        <v>563</v>
      </c>
      <c r="K90" s="1" t="s">
        <v>2</v>
      </c>
      <c r="L90" s="1" t="s">
        <v>194</v>
      </c>
      <c r="M90" s="1" t="s">
        <v>194</v>
      </c>
      <c r="N90" s="14" t="s">
        <v>194</v>
      </c>
      <c r="O90" s="1" t="s">
        <v>2</v>
      </c>
      <c r="P90" s="1" t="s">
        <v>2812</v>
      </c>
      <c r="Q90" s="1"/>
      <c r="R90" s="1"/>
      <c r="S90" t="str">
        <f>IFERROR(INDEX(_SCHEDULE_[],MATCH(_INDICATOR_[[#This Row],[CONTEST_CODE]],_SCHEDULE_[CONTEST_CODE],0),MATCH($S$1,_SCHEDULE_[#Headers],0)),"-")</f>
        <v>АКТИВНЫЙ</v>
      </c>
      <c r="T90" s="1" t="str">
        <f>IFERROR(INDEX(_group_[],MATCH(_INDICATOR_[[#This Row],[CONTEST_CODE]],_group_[CONTEST_CODE],0),MATCH($T$1,_group_[#Headers],0)),"-")</f>
        <v>BANK</v>
      </c>
      <c r="U90" s="1" t="str">
        <f>IFERROR(INDEX(_DATA_[],MATCH(_INDICATOR_[[#This Row],[CONTEST_CODE]],_DATA_[CONTEST_CODE],0),MATCH($U$1,_DATA_[#Headers],0)),"-")</f>
        <v>250 тыс. руб. по СберИндексПро</v>
      </c>
      <c r="V90" s="1" t="str">
        <f>IFERROR(INDEX(_reward_link_[],MATCH(_INDICATOR_[[#This Row],[CONTEST_CODE]],_reward_link_[CONTEST_CODE],0),MATCH($V$1,_reward_link_[#Headers],0)),"-")</f>
        <v>BANK</v>
      </c>
    </row>
    <row r="91" spans="1:22" hidden="1" x14ac:dyDescent="0.25">
      <c r="A91" s="1" t="s">
        <v>3119</v>
      </c>
      <c r="B91" s="1" t="s">
        <v>2</v>
      </c>
      <c r="C91" s="14" t="s">
        <v>194</v>
      </c>
      <c r="D91" s="14" t="s">
        <v>575</v>
      </c>
      <c r="E91" s="14" t="s">
        <v>575</v>
      </c>
      <c r="F91" s="14" t="s">
        <v>194</v>
      </c>
      <c r="G91" s="14" t="s">
        <v>194</v>
      </c>
      <c r="H91" s="14" t="s">
        <v>194</v>
      </c>
      <c r="I91" s="14" t="s">
        <v>573</v>
      </c>
      <c r="J91" s="1" t="s">
        <v>574</v>
      </c>
      <c r="K91" s="1" t="s">
        <v>194</v>
      </c>
      <c r="L91" s="1" t="s">
        <v>194</v>
      </c>
      <c r="M91" s="1" t="s">
        <v>194</v>
      </c>
      <c r="N91" s="14" t="s">
        <v>194</v>
      </c>
      <c r="O91" s="1" t="s">
        <v>2</v>
      </c>
      <c r="P91" s="1" t="s">
        <v>2813</v>
      </c>
      <c r="Q91" s="1"/>
      <c r="R91" s="1"/>
      <c r="S91" t="str">
        <f>IFERROR(INDEX(_SCHEDULE_[],MATCH(_INDICATOR_[[#This Row],[CONTEST_CODE]],_SCHEDULE_[CONTEST_CODE],0),MATCH($S$1,_SCHEDULE_[#Headers],0)),"-")</f>
        <v>АКТИВНЫЙ</v>
      </c>
      <c r="T91" s="1" t="str">
        <f>IFERROR(INDEX(_group_[],MATCH(_INDICATOR_[[#This Row],[CONTEST_CODE]],_group_[CONTEST_CODE],0),MATCH($T$1,_group_[#Headers],0)),"-")</f>
        <v>BANK</v>
      </c>
      <c r="U91" s="1" t="str">
        <f>IFERROR(INDEX(_DATA_[],MATCH(_INDICATOR_[[#This Row],[CONTEST_CODE]],_DATA_[CONTEST_CODE],0),MATCH($U$1,_DATA_[#Headers],0)),"-")</f>
        <v>Process Mining. Максимизируй комиссию</v>
      </c>
      <c r="V91" s="1" t="str">
        <f>IFERROR(INDEX(_reward_link_[],MATCH(_INDICATOR_[[#This Row],[CONTEST_CODE]],_reward_link_[CONTEST_CODE],0),MATCH($V$1,_reward_link_[#Headers],0)),"-")</f>
        <v>BANK</v>
      </c>
    </row>
    <row r="92" spans="1:22" hidden="1" x14ac:dyDescent="0.25">
      <c r="A92" s="1" t="s">
        <v>3121</v>
      </c>
      <c r="B92" s="1" t="s">
        <v>2</v>
      </c>
      <c r="C92" s="14" t="s">
        <v>194</v>
      </c>
      <c r="D92" s="14" t="s">
        <v>575</v>
      </c>
      <c r="E92" s="14" t="s">
        <v>575</v>
      </c>
      <c r="F92" s="14" t="s">
        <v>194</v>
      </c>
      <c r="G92" s="14" t="s">
        <v>194</v>
      </c>
      <c r="H92" s="14" t="s">
        <v>194</v>
      </c>
      <c r="I92" s="14" t="s">
        <v>573</v>
      </c>
      <c r="J92" s="1" t="s">
        <v>574</v>
      </c>
      <c r="K92" s="1" t="s">
        <v>194</v>
      </c>
      <c r="L92" s="1" t="s">
        <v>194</v>
      </c>
      <c r="M92" s="1" t="s">
        <v>194</v>
      </c>
      <c r="N92" s="14" t="s">
        <v>194</v>
      </c>
      <c r="O92" s="1" t="s">
        <v>2</v>
      </c>
      <c r="P92" s="1" t="s">
        <v>618</v>
      </c>
      <c r="Q92" s="1"/>
      <c r="R92" s="1"/>
      <c r="S92" t="str">
        <f>IFERROR(INDEX(_SCHEDULE_[],MATCH(_INDICATOR_[[#This Row],[CONTEST_CODE]],_SCHEDULE_[CONTEST_CODE],0),MATCH($S$1,_SCHEDULE_[#Headers],0)),"-")</f>
        <v>АКТИВНЫЙ</v>
      </c>
      <c r="T92" s="1" t="str">
        <f>IFERROR(INDEX(_group_[],MATCH(_INDICATOR_[[#This Row],[CONTEST_CODE]],_group_[CONTEST_CODE],0),MATCH($T$1,_group_[#Headers],0)),"-")</f>
        <v>BANK</v>
      </c>
      <c r="U92" s="1" t="str">
        <f>IFERROR(INDEX(_DATA_[],MATCH(_INDICATOR_[[#This Row],[CONTEST_CODE]],_DATA_[CONTEST_CODE],0),MATCH($U$1,_DATA_[#Headers],0)),"-")</f>
        <v>Навигатор BI. Максимизируй комиссию</v>
      </c>
      <c r="V92" s="1" t="str">
        <f>IFERROR(INDEX(_reward_link_[],MATCH(_INDICATOR_[[#This Row],[CONTEST_CODE]],_reward_link_[CONTEST_CODE],0),MATCH($V$1,_reward_link_[#Headers],0)),"-")</f>
        <v>BANK</v>
      </c>
    </row>
    <row r="93" spans="1:22" hidden="1" x14ac:dyDescent="0.25">
      <c r="A93" s="1" t="s">
        <v>3123</v>
      </c>
      <c r="B93" s="1" t="s">
        <v>2</v>
      </c>
      <c r="C93" s="14" t="s">
        <v>194</v>
      </c>
      <c r="D93" s="14" t="s">
        <v>575</v>
      </c>
      <c r="E93" s="14" t="s">
        <v>575</v>
      </c>
      <c r="F93" s="14" t="s">
        <v>194</v>
      </c>
      <c r="G93" s="14" t="s">
        <v>194</v>
      </c>
      <c r="H93" s="14" t="s">
        <v>194</v>
      </c>
      <c r="I93" s="14" t="s">
        <v>573</v>
      </c>
      <c r="J93" s="1" t="s">
        <v>574</v>
      </c>
      <c r="K93" s="1" t="s">
        <v>194</v>
      </c>
      <c r="L93" s="1" t="s">
        <v>194</v>
      </c>
      <c r="M93" s="1" t="s">
        <v>194</v>
      </c>
      <c r="N93" s="14" t="s">
        <v>194</v>
      </c>
      <c r="O93" s="1" t="s">
        <v>2</v>
      </c>
      <c r="P93" s="1" t="s">
        <v>783</v>
      </c>
      <c r="Q93" s="1"/>
      <c r="R93" s="1"/>
      <c r="S93" t="str">
        <f>IFERROR(INDEX(_SCHEDULE_[],MATCH(_INDICATOR_[[#This Row],[CONTEST_CODE]],_SCHEDULE_[CONTEST_CODE],0),MATCH($S$1,_SCHEDULE_[#Headers],0)),"-")</f>
        <v>АКТИВНЫЙ</v>
      </c>
      <c r="T93" s="1" t="str">
        <f>IFERROR(INDEX(_group_[],MATCH(_INDICATOR_[[#This Row],[CONTEST_CODE]],_group_[CONTEST_CODE],0),MATCH($T$1,_group_[#Headers],0)),"-")</f>
        <v>BANK</v>
      </c>
      <c r="U93" s="1" t="str">
        <f>IFERROR(INDEX(_DATA_[],MATCH(_INDICATOR_[[#This Row],[CONTEST_CODE]],_DATA_[CONTEST_CODE],0),MATCH($U$1,_DATA_[#Headers],0)),"-")</f>
        <v>СберИндексПро. Максимизируй комиссию</v>
      </c>
      <c r="V93" s="1" t="str">
        <f>IFERROR(INDEX(_reward_link_[],MATCH(_INDICATOR_[[#This Row],[CONTEST_CODE]],_reward_link_[CONTEST_CODE],0),MATCH($V$1,_reward_link_[#Headers],0)),"-")</f>
        <v>BANK</v>
      </c>
    </row>
    <row r="94" spans="1:22" hidden="1" x14ac:dyDescent="0.25">
      <c r="A94" s="1" t="s">
        <v>3131</v>
      </c>
      <c r="B94" s="1" t="s">
        <v>2</v>
      </c>
      <c r="C94" s="14" t="s">
        <v>194</v>
      </c>
      <c r="D94" s="14" t="s">
        <v>575</v>
      </c>
      <c r="E94" s="14" t="s">
        <v>575</v>
      </c>
      <c r="F94" s="14" t="s">
        <v>194</v>
      </c>
      <c r="G94" s="14" t="s">
        <v>194</v>
      </c>
      <c r="H94" s="14" t="s">
        <v>194</v>
      </c>
      <c r="I94" s="14" t="s">
        <v>562</v>
      </c>
      <c r="J94" s="1" t="s">
        <v>563</v>
      </c>
      <c r="K94" s="1" t="s">
        <v>308</v>
      </c>
      <c r="L94" s="1" t="s">
        <v>194</v>
      </c>
      <c r="M94" s="1" t="s">
        <v>194</v>
      </c>
      <c r="N94" s="14" t="s">
        <v>194</v>
      </c>
      <c r="O94" s="1" t="s">
        <v>2</v>
      </c>
      <c r="P94" s="1" t="s">
        <v>620</v>
      </c>
      <c r="Q94" s="1"/>
      <c r="R94" s="1"/>
      <c r="S94" t="str">
        <f>IFERROR(INDEX(_SCHEDULE_[],MATCH(_INDICATOR_[[#This Row],[CONTEST_CODE]],_SCHEDULE_[CONTEST_CODE],0),MATCH($S$1,_SCHEDULE_[#Headers],0)),"-")</f>
        <v>АКТИВНЫЙ</v>
      </c>
      <c r="T94" s="1" t="str">
        <f>IFERROR(INDEX(_group_[],MATCH(_INDICATOR_[[#This Row],[CONTEST_CODE]],_group_[CONTEST_CODE],0),MATCH($T$1,_group_[#Headers],0)),"-")</f>
        <v>BANK</v>
      </c>
      <c r="U94" s="1" t="str">
        <f>IFERROR(INDEX(_DATA_[],MATCH(_INDICATOR_[[#This Row],[CONTEST_CODE]],_DATA_[CONTEST_CODE],0),MATCH($U$1,_DATA_[#Headers],0)),"-")</f>
        <v>2 клиента по Process Mining</v>
      </c>
      <c r="V94" s="1" t="str">
        <f>IFERROR(INDEX(_reward_link_[],MATCH(_INDICATOR_[[#This Row],[CONTEST_CODE]],_reward_link_[CONTEST_CODE],0),MATCH($V$1,_reward_link_[#Headers],0)),"-")</f>
        <v>BANK</v>
      </c>
    </row>
    <row r="95" spans="1:22" hidden="1" x14ac:dyDescent="0.25">
      <c r="A95" s="1" t="s">
        <v>3133</v>
      </c>
      <c r="B95" s="1" t="s">
        <v>2</v>
      </c>
      <c r="C95" s="14" t="s">
        <v>194</v>
      </c>
      <c r="D95" s="14" t="s">
        <v>575</v>
      </c>
      <c r="E95" s="14" t="s">
        <v>575</v>
      </c>
      <c r="F95" s="14" t="s">
        <v>194</v>
      </c>
      <c r="G95" s="14" t="s">
        <v>194</v>
      </c>
      <c r="H95" s="14" t="s">
        <v>194</v>
      </c>
      <c r="I95" s="14" t="s">
        <v>562</v>
      </c>
      <c r="J95" s="1" t="s">
        <v>563</v>
      </c>
      <c r="K95" s="1" t="s">
        <v>308</v>
      </c>
      <c r="L95" s="1" t="s">
        <v>194</v>
      </c>
      <c r="M95" s="1" t="s">
        <v>194</v>
      </c>
      <c r="N95" s="14" t="s">
        <v>194</v>
      </c>
      <c r="O95" s="1" t="s">
        <v>2</v>
      </c>
      <c r="P95" s="1" t="s">
        <v>621</v>
      </c>
      <c r="Q95" s="1"/>
      <c r="R95" s="1"/>
      <c r="S95" t="str">
        <f>IFERROR(INDEX(_SCHEDULE_[],MATCH(_INDICATOR_[[#This Row],[CONTEST_CODE]],_SCHEDULE_[CONTEST_CODE],0),MATCH($S$1,_SCHEDULE_[#Headers],0)),"-")</f>
        <v>АКТИВНЫЙ</v>
      </c>
      <c r="T95" s="1" t="str">
        <f>IFERROR(INDEX(_group_[],MATCH(_INDICATOR_[[#This Row],[CONTEST_CODE]],_group_[CONTEST_CODE],0),MATCH($T$1,_group_[#Headers],0)),"-")</f>
        <v>BANK</v>
      </c>
      <c r="U95" s="1" t="str">
        <f>IFERROR(INDEX(_DATA_[],MATCH(_INDICATOR_[[#This Row],[CONTEST_CODE]],_DATA_[CONTEST_CODE],0),MATCH($U$1,_DATA_[#Headers],0)),"-")</f>
        <v>2 клиента по Навигатор BI</v>
      </c>
      <c r="V95" s="1" t="str">
        <f>IFERROR(INDEX(_reward_link_[],MATCH(_INDICATOR_[[#This Row],[CONTEST_CODE]],_reward_link_[CONTEST_CODE],0),MATCH($V$1,_reward_link_[#Headers],0)),"-")</f>
        <v>BANK</v>
      </c>
    </row>
    <row r="96" spans="1:22" hidden="1" x14ac:dyDescent="0.25">
      <c r="A96" s="1" t="s">
        <v>2210</v>
      </c>
      <c r="B96" s="1" t="s">
        <v>2</v>
      </c>
      <c r="C96" s="14" t="s">
        <v>194</v>
      </c>
      <c r="D96" s="14" t="s">
        <v>575</v>
      </c>
      <c r="E96" s="14" t="s">
        <v>575</v>
      </c>
      <c r="F96" s="14" t="s">
        <v>194</v>
      </c>
      <c r="G96" s="14" t="s">
        <v>194</v>
      </c>
      <c r="H96" s="14" t="s">
        <v>194</v>
      </c>
      <c r="I96" s="14" t="s">
        <v>573</v>
      </c>
      <c r="J96" s="1" t="s">
        <v>574</v>
      </c>
      <c r="K96" s="1" t="s">
        <v>194</v>
      </c>
      <c r="L96" s="1" t="s">
        <v>194</v>
      </c>
      <c r="M96" s="1" t="s">
        <v>194</v>
      </c>
      <c r="N96" s="14" t="s">
        <v>194</v>
      </c>
      <c r="O96" s="1" t="s">
        <v>2</v>
      </c>
      <c r="P96" s="1" t="s">
        <v>2814</v>
      </c>
      <c r="Q96" s="1"/>
      <c r="R96" s="1"/>
      <c r="S96" t="str">
        <f>IFERROR(INDEX(_SCHEDULE_[],MATCH(_INDICATOR_[[#This Row],[CONTEST_CODE]],_SCHEDULE_[CONTEST_CODE],0),MATCH($S$1,_SCHEDULE_[#Headers],0)),"-")</f>
        <v>ЗАВЕРШЕН</v>
      </c>
      <c r="T96" s="1" t="str">
        <f>IFERROR(INDEX(_group_[],MATCH(_INDICATOR_[[#This Row],[CONTEST_CODE]],_group_[CONTEST_CODE],0),MATCH($T$1,_group_[#Headers],0)),"-")</f>
        <v>BANK</v>
      </c>
      <c r="U96" s="1" t="str">
        <f>IFERROR(INDEX(_DATA_[],MATCH(_INDICATOR_[[#This Row],[CONTEST_CODE]],_DATA_[CONTEST_CODE],0),MATCH($U$1,_DATA_[#Headers],0)),"-")</f>
        <v>Страхование. Рыночные продажи</v>
      </c>
      <c r="V96" s="1" t="str">
        <f>IFERROR(INDEX(_reward_link_[],MATCH(_INDICATOR_[[#This Row],[CONTEST_CODE]],_reward_link_[CONTEST_CODE],0),MATCH($V$1,_reward_link_[#Headers],0)),"-")</f>
        <v>BANK</v>
      </c>
    </row>
    <row r="97" spans="1:22" hidden="1" x14ac:dyDescent="0.25">
      <c r="A97" s="1" t="s">
        <v>2185</v>
      </c>
      <c r="B97" s="1" t="s">
        <v>2</v>
      </c>
      <c r="C97" s="14" t="s">
        <v>194</v>
      </c>
      <c r="D97" s="14" t="s">
        <v>575</v>
      </c>
      <c r="E97" s="14" t="s">
        <v>575</v>
      </c>
      <c r="F97" s="14" t="s">
        <v>194</v>
      </c>
      <c r="G97" s="14" t="s">
        <v>194</v>
      </c>
      <c r="H97" s="14" t="s">
        <v>194</v>
      </c>
      <c r="I97" s="14" t="s">
        <v>573</v>
      </c>
      <c r="J97" s="1" t="s">
        <v>574</v>
      </c>
      <c r="K97" s="1" t="s">
        <v>194</v>
      </c>
      <c r="L97" s="1" t="s">
        <v>194</v>
      </c>
      <c r="M97" s="1" t="s">
        <v>194</v>
      </c>
      <c r="N97" s="14" t="s">
        <v>194</v>
      </c>
      <c r="O97" s="1" t="s">
        <v>2</v>
      </c>
      <c r="P97" s="1" t="s">
        <v>2815</v>
      </c>
      <c r="Q97" s="1"/>
      <c r="R97" s="1"/>
      <c r="S97" t="str">
        <f>IFERROR(INDEX(_SCHEDULE_[],MATCH(_INDICATOR_[[#This Row],[CONTEST_CODE]],_SCHEDULE_[CONTEST_CODE],0),MATCH($S$1,_SCHEDULE_[#Headers],0)),"-")</f>
        <v>ЗАВЕРШЕН</v>
      </c>
      <c r="T97" s="1" t="str">
        <f>IFERROR(INDEX(_group_[],MATCH(_INDICATOR_[[#This Row],[CONTEST_CODE]],_group_[CONTEST_CODE],0),MATCH($T$1,_group_[#Headers],0)),"-")</f>
        <v>BANK</v>
      </c>
      <c r="U97" s="1" t="str">
        <f>IFERROR(INDEX(_DATA_[],MATCH(_INDICATOR_[[#This Row],[CONTEST_CODE]],_DATA_[CONTEST_CODE],0),MATCH($U$1,_DATA_[#Headers],0)),"-")</f>
        <v>Гарантии. Прирост комиссии</v>
      </c>
      <c r="V97" s="1" t="str">
        <f>IFERROR(INDEX(_reward_link_[],MATCH(_INDICATOR_[[#This Row],[CONTEST_CODE]],_reward_link_[CONTEST_CODE],0),MATCH($V$1,_reward_link_[#Headers],0)),"-")</f>
        <v>BANK</v>
      </c>
    </row>
    <row r="98" spans="1:22" hidden="1" x14ac:dyDescent="0.25">
      <c r="A98" s="1" t="s">
        <v>2194</v>
      </c>
      <c r="B98" s="1" t="s">
        <v>2</v>
      </c>
      <c r="C98" s="14" t="s">
        <v>194</v>
      </c>
      <c r="D98" s="14" t="s">
        <v>575</v>
      </c>
      <c r="E98" s="14" t="s">
        <v>575</v>
      </c>
      <c r="F98" s="14" t="s">
        <v>194</v>
      </c>
      <c r="G98" s="14" t="s">
        <v>194</v>
      </c>
      <c r="H98" s="14" t="s">
        <v>194</v>
      </c>
      <c r="I98" s="14" t="s">
        <v>573</v>
      </c>
      <c r="J98" s="1" t="s">
        <v>574</v>
      </c>
      <c r="K98" s="1" t="s">
        <v>194</v>
      </c>
      <c r="L98" s="1" t="s">
        <v>194</v>
      </c>
      <c r="M98" s="1" t="s">
        <v>194</v>
      </c>
      <c r="N98" s="14" t="s">
        <v>194</v>
      </c>
      <c r="O98" s="1" t="s">
        <v>2</v>
      </c>
      <c r="P98" s="1" t="s">
        <v>2816</v>
      </c>
      <c r="Q98" s="1"/>
      <c r="R98" s="1"/>
      <c r="S98" t="str">
        <f>IFERROR(INDEX(_SCHEDULE_[],MATCH(_INDICATOR_[[#This Row],[CONTEST_CODE]],_SCHEDULE_[CONTEST_CODE],0),MATCH($S$1,_SCHEDULE_[#Headers],0)),"-")</f>
        <v>ЗАВЕРШЕН</v>
      </c>
      <c r="T98" s="1" t="str">
        <f>IFERROR(INDEX(_group_[],MATCH(_INDICATOR_[[#This Row],[CONTEST_CODE]],_group_[CONTEST_CODE],0),MATCH($T$1,_group_[#Headers],0)),"-")</f>
        <v>BANK</v>
      </c>
      <c r="U98" s="1" t="str">
        <f>IFERROR(INDEX(_DATA_[],MATCH(_INDICATOR_[[#This Row],[CONTEST_CODE]],_DATA_[CONTEST_CODE],0),MATCH($U$1,_DATA_[#Headers],0)),"-")</f>
        <v>Активы. Максимизируй прирост остатка</v>
      </c>
      <c r="V98" s="1" t="str">
        <f>IFERROR(INDEX(_reward_link_[],MATCH(_INDICATOR_[[#This Row],[CONTEST_CODE]],_reward_link_[CONTEST_CODE],0),MATCH($V$1,_reward_link_[#Headers],0)),"-")</f>
        <v>BANK</v>
      </c>
    </row>
    <row r="99" spans="1:22" hidden="1" x14ac:dyDescent="0.25">
      <c r="A99" s="1" t="s">
        <v>2214</v>
      </c>
      <c r="B99" s="1" t="s">
        <v>2</v>
      </c>
      <c r="C99" s="14" t="s">
        <v>194</v>
      </c>
      <c r="D99" s="14" t="s">
        <v>575</v>
      </c>
      <c r="E99" s="14" t="s">
        <v>575</v>
      </c>
      <c r="F99" s="14" t="s">
        <v>194</v>
      </c>
      <c r="G99" s="14" t="s">
        <v>194</v>
      </c>
      <c r="H99" s="14" t="s">
        <v>194</v>
      </c>
      <c r="I99" s="14" t="s">
        <v>573</v>
      </c>
      <c r="J99" s="1" t="s">
        <v>574</v>
      </c>
      <c r="K99" s="1" t="s">
        <v>194</v>
      </c>
      <c r="L99" s="1" t="s">
        <v>194</v>
      </c>
      <c r="M99" s="1" t="s">
        <v>194</v>
      </c>
      <c r="N99" s="14" t="s">
        <v>194</v>
      </c>
      <c r="O99" s="1" t="s">
        <v>2</v>
      </c>
      <c r="P99" s="1" t="s">
        <v>2817</v>
      </c>
      <c r="Q99" s="1"/>
      <c r="R99" s="1"/>
      <c r="S99" t="str">
        <f>IFERROR(INDEX(_SCHEDULE_[],MATCH(_INDICATOR_[[#This Row],[CONTEST_CODE]],_SCHEDULE_[CONTEST_CODE],0),MATCH($S$1,_SCHEDULE_[#Headers],0)),"-")</f>
        <v>ЗАВЕРШЕН</v>
      </c>
      <c r="T99" s="1" t="str">
        <f>IFERROR(INDEX(_group_[],MATCH(_INDICATOR_[[#This Row],[CONTEST_CODE]],_group_[CONTEST_CODE],0),MATCH($T$1,_group_[#Headers],0)),"-")</f>
        <v>BANK</v>
      </c>
      <c r="U99" s="1" t="str">
        <f>IFERROR(INDEX(_DATA_[],MATCH(_INDICATOR_[[#This Row],[CONTEST_CODE]],_DATA_[CONTEST_CODE],0),MATCH($U$1,_DATA_[#Headers],0)),"-")</f>
        <v>Факторинг. Лучший по продажам</v>
      </c>
      <c r="V99" s="1" t="str">
        <f>IFERROR(INDEX(_reward_link_[],MATCH(_INDICATOR_[[#This Row],[CONTEST_CODE]],_reward_link_[CONTEST_CODE],0),MATCH($V$1,_reward_link_[#Headers],0)),"-")</f>
        <v>BANK</v>
      </c>
    </row>
    <row r="100" spans="1:22" hidden="1" x14ac:dyDescent="0.25">
      <c r="A100" s="1" t="s">
        <v>2198</v>
      </c>
      <c r="B100" s="1" t="s">
        <v>2</v>
      </c>
      <c r="C100" s="14" t="s">
        <v>194</v>
      </c>
      <c r="D100" s="14" t="s">
        <v>575</v>
      </c>
      <c r="E100" s="14" t="s">
        <v>575</v>
      </c>
      <c r="F100" s="14" t="s">
        <v>194</v>
      </c>
      <c r="G100" s="14" t="s">
        <v>194</v>
      </c>
      <c r="H100" s="14" t="s">
        <v>194</v>
      </c>
      <c r="I100" s="14" t="s">
        <v>573</v>
      </c>
      <c r="J100" s="1" t="s">
        <v>574</v>
      </c>
      <c r="K100" s="1" t="s">
        <v>194</v>
      </c>
      <c r="L100" s="1" t="s">
        <v>194</v>
      </c>
      <c r="M100" s="1" t="s">
        <v>194</v>
      </c>
      <c r="N100" s="14" t="s">
        <v>194</v>
      </c>
      <c r="O100" s="1" t="s">
        <v>2</v>
      </c>
      <c r="P100" s="1" t="s">
        <v>2818</v>
      </c>
      <c r="Q100" s="1"/>
      <c r="R100" s="1"/>
      <c r="S100" t="str">
        <f>IFERROR(INDEX(_SCHEDULE_[],MATCH(_INDICATOR_[[#This Row],[CONTEST_CODE]],_SCHEDULE_[CONTEST_CODE],0),MATCH($S$1,_SCHEDULE_[#Headers],0)),"-")</f>
        <v>ЗАВЕРШЕН</v>
      </c>
      <c r="T100" s="1" t="str">
        <f>IFERROR(INDEX(_group_[],MATCH(_INDICATOR_[[#This Row],[CONTEST_CODE]],_group_[CONTEST_CODE],0),MATCH($T$1,_group_[#Headers],0)),"-")</f>
        <v>BANK</v>
      </c>
      <c r="U100" s="1" t="str">
        <f>IFERROR(INDEX(_DATA_[],MATCH(_INDICATOR_[[#This Row],[CONTEST_CODE]],_DATA_[CONTEST_CODE],0),MATCH($U$1,_DATA_[#Headers],0)),"-")</f>
        <v>Лизинг. Максимизируй сумму договоров</v>
      </c>
      <c r="V100" s="1" t="str">
        <f>IFERROR(INDEX(_reward_link_[],MATCH(_INDICATOR_[[#This Row],[CONTEST_CODE]],_reward_link_[CONTEST_CODE],0),MATCH($V$1,_reward_link_[#Headers],0)),"-")</f>
        <v>BANK</v>
      </c>
    </row>
    <row r="101" spans="1:22" hidden="1" x14ac:dyDescent="0.25">
      <c r="A101" s="1" t="s">
        <v>1679</v>
      </c>
      <c r="B101" s="1" t="s">
        <v>2</v>
      </c>
      <c r="C101" s="14" t="s">
        <v>194</v>
      </c>
      <c r="D101" s="14" t="s">
        <v>575</v>
      </c>
      <c r="E101" s="14" t="s">
        <v>575</v>
      </c>
      <c r="F101" s="14" t="s">
        <v>194</v>
      </c>
      <c r="G101" s="14" t="s">
        <v>194</v>
      </c>
      <c r="H101" s="14" t="s">
        <v>194</v>
      </c>
      <c r="I101" s="14" t="s">
        <v>562</v>
      </c>
      <c r="J101" s="1" t="s">
        <v>576</v>
      </c>
      <c r="K101" s="1" t="s">
        <v>2</v>
      </c>
      <c r="L101" s="1" t="s">
        <v>194</v>
      </c>
      <c r="M101" s="1" t="s">
        <v>194</v>
      </c>
      <c r="N101" s="14" t="s">
        <v>194</v>
      </c>
      <c r="O101" s="1" t="s">
        <v>2</v>
      </c>
      <c r="P101" s="1" t="s">
        <v>2819</v>
      </c>
      <c r="Q101" s="1"/>
      <c r="R101" s="1"/>
      <c r="S101" t="str">
        <f>IFERROR(INDEX(_SCHEDULE_[],MATCH(_INDICATOR_[[#This Row],[CONTEST_CODE]],_SCHEDULE_[CONTEST_CODE],0),MATCH($S$1,_SCHEDULE_[#Headers],0)),"-")</f>
        <v>-</v>
      </c>
      <c r="T101" s="1" t="str">
        <f>IFERROR(INDEX(_group_[],MATCH(_INDICATOR_[[#This Row],[CONTEST_CODE]],_group_[CONTEST_CODE],0),MATCH($T$1,_group_[#Headers],0)),"-")</f>
        <v>BANK</v>
      </c>
      <c r="U101" s="1" t="str">
        <f>IFERROR(INDEX(_DATA_[],MATCH(_INDICATOR_[[#This Row],[CONTEST_CODE]],_DATA_[CONTEST_CODE],0),MATCH($U$1,_DATA_[#Headers],0)),"-")</f>
        <v>Победитель конкурса лучший по профессии</v>
      </c>
      <c r="V101" s="1" t="str">
        <f>IFERROR(INDEX(_reward_link_[],MATCH(_INDICATOR_[[#This Row],[CONTEST_CODE]],_reward_link_[CONTEST_CODE],0),MATCH($V$1,_reward_link_[#Headers],0)),"-")</f>
        <v>BANK</v>
      </c>
    </row>
    <row r="102" spans="1:22" hidden="1" x14ac:dyDescent="0.25">
      <c r="A102" s="1" t="s">
        <v>1677</v>
      </c>
      <c r="B102" s="1" t="s">
        <v>2</v>
      </c>
      <c r="C102" s="14" t="s">
        <v>194</v>
      </c>
      <c r="D102" s="14" t="s">
        <v>575</v>
      </c>
      <c r="E102" s="14" t="s">
        <v>575</v>
      </c>
      <c r="F102" s="14" t="s">
        <v>194</v>
      </c>
      <c r="G102" s="14" t="s">
        <v>194</v>
      </c>
      <c r="H102" s="14" t="s">
        <v>194</v>
      </c>
      <c r="I102" s="14" t="s">
        <v>562</v>
      </c>
      <c r="J102" s="1" t="s">
        <v>576</v>
      </c>
      <c r="K102" s="1" t="s">
        <v>2</v>
      </c>
      <c r="L102" s="1" t="s">
        <v>194</v>
      </c>
      <c r="M102" s="1" t="s">
        <v>194</v>
      </c>
      <c r="N102" s="14" t="s">
        <v>194</v>
      </c>
      <c r="O102" s="1" t="s">
        <v>2</v>
      </c>
      <c r="P102" s="1" t="s">
        <v>2820</v>
      </c>
      <c r="Q102" s="1"/>
      <c r="R102" s="1"/>
      <c r="S102" t="str">
        <f>IFERROR(INDEX(_SCHEDULE_[],MATCH(_INDICATOR_[[#This Row],[CONTEST_CODE]],_SCHEDULE_[CONTEST_CODE],0),MATCH($S$1,_SCHEDULE_[#Headers],0)),"-")</f>
        <v>-</v>
      </c>
      <c r="T102" s="1" t="str">
        <f>IFERROR(INDEX(_group_[],MATCH(_INDICATOR_[[#This Row],[CONTEST_CODE]],_group_[CONTEST_CODE],0),MATCH($T$1,_group_[#Headers],0)),"-")</f>
        <v>BANK</v>
      </c>
      <c r="U102" s="1" t="str">
        <f>IFERROR(INDEX(_DATA_[],MATCH(_INDICATOR_[[#This Row],[CONTEST_CODE]],_DATA_[CONTEST_CODE],0),MATCH($U$1,_DATA_[#Headers],0)),"-")</f>
        <v>Призер конкурса лучший по профессии</v>
      </c>
      <c r="V102" s="1" t="str">
        <f>IFERROR(INDEX(_reward_link_[],MATCH(_INDICATOR_[[#This Row],[CONTEST_CODE]],_reward_link_[CONTEST_CODE],0),MATCH($V$1,_reward_link_[#Headers],0)),"-")</f>
        <v>BANK</v>
      </c>
    </row>
    <row r="103" spans="1:22" hidden="1" x14ac:dyDescent="0.25">
      <c r="A103" s="1" t="s">
        <v>1675</v>
      </c>
      <c r="B103" s="1" t="s">
        <v>2</v>
      </c>
      <c r="C103" s="14" t="s">
        <v>194</v>
      </c>
      <c r="D103" s="14" t="s">
        <v>575</v>
      </c>
      <c r="E103" s="14" t="s">
        <v>575</v>
      </c>
      <c r="F103" s="14" t="s">
        <v>194</v>
      </c>
      <c r="G103" s="14" t="s">
        <v>194</v>
      </c>
      <c r="H103" s="14" t="s">
        <v>194</v>
      </c>
      <c r="I103" s="14" t="s">
        <v>562</v>
      </c>
      <c r="J103" s="1" t="s">
        <v>576</v>
      </c>
      <c r="K103" s="1" t="s">
        <v>2</v>
      </c>
      <c r="L103" s="1" t="s">
        <v>194</v>
      </c>
      <c r="M103" s="1" t="s">
        <v>194</v>
      </c>
      <c r="N103" s="14" t="s">
        <v>194</v>
      </c>
      <c r="O103" s="1" t="s">
        <v>2</v>
      </c>
      <c r="P103" s="1" t="s">
        <v>2821</v>
      </c>
      <c r="Q103" s="1"/>
      <c r="R103" s="1"/>
      <c r="S103" t="str">
        <f>IFERROR(INDEX(_SCHEDULE_[],MATCH(_INDICATOR_[[#This Row],[CONTEST_CODE]],_SCHEDULE_[CONTEST_CODE],0),MATCH($S$1,_SCHEDULE_[#Headers],0)),"-")</f>
        <v>ОТМЕНЕН</v>
      </c>
      <c r="T103" s="1" t="str">
        <f>IFERROR(INDEX(_group_[],MATCH(_INDICATOR_[[#This Row],[CONTEST_CODE]],_group_[CONTEST_CODE],0),MATCH($T$1,_group_[#Headers],0)),"-")</f>
        <v>BANK</v>
      </c>
      <c r="U103" s="1" t="str">
        <f>IFERROR(INDEX(_DATA_[],MATCH(_INDICATOR_[[#This Row],[CONTEST_CODE]],_DATA_[CONTEST_CODE],0),MATCH($U$1,_DATA_[#Headers],0)),"-")</f>
        <v>Финалист конкурса лучший по профессии</v>
      </c>
      <c r="V103" s="1" t="str">
        <f>IFERROR(INDEX(_reward_link_[],MATCH(_INDICATOR_[[#This Row],[CONTEST_CODE]],_reward_link_[CONTEST_CODE],0),MATCH($V$1,_reward_link_[#Headers],0)),"-")</f>
        <v>BANK</v>
      </c>
    </row>
    <row r="104" spans="1:22" hidden="1" x14ac:dyDescent="0.25">
      <c r="A104" s="1" t="s">
        <v>645</v>
      </c>
      <c r="B104" s="1" t="s">
        <v>2</v>
      </c>
      <c r="C104" s="14" t="s">
        <v>194</v>
      </c>
      <c r="D104" s="14" t="s">
        <v>575</v>
      </c>
      <c r="E104" s="14" t="s">
        <v>575</v>
      </c>
      <c r="F104" s="14" t="s">
        <v>194</v>
      </c>
      <c r="G104" s="14" t="s">
        <v>194</v>
      </c>
      <c r="H104" s="14" t="s">
        <v>194</v>
      </c>
      <c r="I104" s="14" t="s">
        <v>573</v>
      </c>
      <c r="J104" s="1" t="s">
        <v>574</v>
      </c>
      <c r="K104" s="1" t="s">
        <v>194</v>
      </c>
      <c r="L104" s="1" t="s">
        <v>194</v>
      </c>
      <c r="M104" s="1" t="s">
        <v>194</v>
      </c>
      <c r="N104" s="14" t="s">
        <v>194</v>
      </c>
      <c r="O104" s="1" t="s">
        <v>2</v>
      </c>
      <c r="P104" s="1" t="s">
        <v>2822</v>
      </c>
      <c r="Q104" s="1"/>
      <c r="R104" s="1"/>
      <c r="S104" t="str">
        <f>IFERROR(INDEX(_SCHEDULE_[],MATCH(_INDICATOR_[[#This Row],[CONTEST_CODE]],_SCHEDULE_[CONTEST_CODE],0),MATCH($S$1,_SCHEDULE_[#Headers],0)),"-")</f>
        <v>ЗАВЕРШЕН</v>
      </c>
      <c r="T104" s="1" t="str">
        <f>IFERROR(INDEX(_group_[],MATCH(_INDICATOR_[[#This Row],[CONTEST_CODE]],_group_[CONTEST_CODE],0),MATCH($T$1,_group_[#Headers],0)),"-")</f>
        <v>BANK</v>
      </c>
      <c r="U104" s="1" t="str">
        <f>IFERROR(INDEX(_DATA_[],MATCH(_INDICATOR_[[#This Row],[CONTEST_CODE]],_DATA_[CONTEST_CODE],0),MATCH($U$1,_DATA_[#Headers],0)),"-")</f>
        <v>Экосистема. Лучший СМНС по продажам продуктов экосистемы</v>
      </c>
      <c r="V104" s="1" t="str">
        <f>IFERROR(INDEX(_reward_link_[],MATCH(_INDICATOR_[[#This Row],[CONTEST_CODE]],_reward_link_[CONTEST_CODE],0),MATCH($V$1,_reward_link_[#Headers],0)),"-")</f>
        <v>TB</v>
      </c>
    </row>
    <row r="105" spans="1:22" hidden="1" x14ac:dyDescent="0.25">
      <c r="A105" s="1" t="s">
        <v>1352</v>
      </c>
      <c r="B105" s="1" t="s">
        <v>2</v>
      </c>
      <c r="C105" s="14" t="s">
        <v>194</v>
      </c>
      <c r="D105" s="14" t="s">
        <v>575</v>
      </c>
      <c r="E105" s="14" t="s">
        <v>575</v>
      </c>
      <c r="F105" s="14" t="s">
        <v>194</v>
      </c>
      <c r="G105" s="14" t="s">
        <v>194</v>
      </c>
      <c r="H105" s="14" t="s">
        <v>194</v>
      </c>
      <c r="I105" s="14" t="s">
        <v>573</v>
      </c>
      <c r="J105" s="1" t="s">
        <v>574</v>
      </c>
      <c r="K105" s="1" t="s">
        <v>194</v>
      </c>
      <c r="L105" s="1" t="s">
        <v>194</v>
      </c>
      <c r="M105" s="1" t="s">
        <v>194</v>
      </c>
      <c r="N105" s="14" t="s">
        <v>194</v>
      </c>
      <c r="O105" s="1" t="s">
        <v>2</v>
      </c>
      <c r="P105" s="1" t="s">
        <v>2823</v>
      </c>
      <c r="Q105" s="1"/>
      <c r="R105" s="1"/>
      <c r="S105" t="str">
        <f>IFERROR(INDEX(_SCHEDULE_[],MATCH(_INDICATOR_[[#This Row],[CONTEST_CODE]],_SCHEDULE_[CONTEST_CODE],0),MATCH($S$1,_SCHEDULE_[#Headers],0)),"-")</f>
        <v>ЗАВЕРШЕН</v>
      </c>
      <c r="T105" s="1" t="str">
        <f>IFERROR(INDEX(_group_[],MATCH(_INDICATOR_[[#This Row],[CONTEST_CODE]],_group_[CONTEST_CODE],0),MATCH($T$1,_group_[#Headers],0)),"-")</f>
        <v>BANK</v>
      </c>
      <c r="U105" s="1" t="str">
        <f>IFERROR(INDEX(_DATA_[],MATCH(_INDICATOR_[[#This Row],[CONTEST_CODE]],_DATA_[CONTEST_CODE],0),MATCH($U$1,_DATA_[#Headers],0)),"-")</f>
        <v>Экосистема. Лидер по числу сделок</v>
      </c>
      <c r="V105" s="1" t="str">
        <f>IFERROR(INDEX(_reward_link_[],MATCH(_INDICATOR_[[#This Row],[CONTEST_CODE]],_reward_link_[CONTEST_CODE],0),MATCH($V$1,_reward_link_[#Headers],0)),"-")</f>
        <v>TB</v>
      </c>
    </row>
    <row r="106" spans="1:22" hidden="1" x14ac:dyDescent="0.25">
      <c r="A106" s="1" t="s">
        <v>646</v>
      </c>
      <c r="B106" s="1" t="s">
        <v>2</v>
      </c>
      <c r="C106" s="14" t="s">
        <v>194</v>
      </c>
      <c r="D106" s="14" t="s">
        <v>575</v>
      </c>
      <c r="E106" s="14" t="s">
        <v>575</v>
      </c>
      <c r="F106" s="14" t="s">
        <v>194</v>
      </c>
      <c r="G106" s="14" t="s">
        <v>194</v>
      </c>
      <c r="H106" s="14" t="s">
        <v>194</v>
      </c>
      <c r="I106" s="14" t="s">
        <v>573</v>
      </c>
      <c r="J106" s="1" t="s">
        <v>574</v>
      </c>
      <c r="K106" s="1" t="s">
        <v>194</v>
      </c>
      <c r="L106" s="1" t="s">
        <v>194</v>
      </c>
      <c r="M106" s="1" t="s">
        <v>194</v>
      </c>
      <c r="N106" s="14" t="s">
        <v>194</v>
      </c>
      <c r="O106" s="1" t="s">
        <v>2</v>
      </c>
      <c r="P106" s="1" t="s">
        <v>2824</v>
      </c>
      <c r="Q106" s="1"/>
      <c r="R106" s="1"/>
      <c r="S106" t="str">
        <f>IFERROR(INDEX(_SCHEDULE_[],MATCH(_INDICATOR_[[#This Row],[CONTEST_CODE]],_SCHEDULE_[CONTEST_CODE],0),MATCH($S$1,_SCHEDULE_[#Headers],0)),"-")</f>
        <v>УДАЛЕН</v>
      </c>
      <c r="T106" s="1" t="str">
        <f>IFERROR(INDEX(_group_[],MATCH(_INDICATOR_[[#This Row],[CONTEST_CODE]],_group_[CONTEST_CODE],0),MATCH($T$1,_group_[#Headers],0)),"-")</f>
        <v>BANK</v>
      </c>
      <c r="U106" s="1" t="str">
        <f>IFERROR(INDEX(_DATA_[],MATCH(_INDICATOR_[[#This Row],[CONTEST_CODE]],_DATA_[CONTEST_CODE],0),MATCH($U$1,_DATA_[#Headers],0)),"-")</f>
        <v>Экосистема. Лучший директор по продажам продуктов экосистемы</v>
      </c>
      <c r="V106" s="1" t="str">
        <f>IFERROR(INDEX(_reward_link_[],MATCH(_INDICATOR_[[#This Row],[CONTEST_CODE]],_reward_link_[CONTEST_CODE],0),MATCH($V$1,_reward_link_[#Headers],0)),"-")</f>
        <v>BANK</v>
      </c>
    </row>
    <row r="107" spans="1:22" hidden="1" x14ac:dyDescent="0.25">
      <c r="A107" s="1" t="s">
        <v>74</v>
      </c>
      <c r="B107" s="1" t="s">
        <v>2</v>
      </c>
      <c r="C107" s="14" t="s">
        <v>194</v>
      </c>
      <c r="D107" s="14" t="s">
        <v>575</v>
      </c>
      <c r="E107" s="14" t="s">
        <v>575</v>
      </c>
      <c r="F107" s="14" t="s">
        <v>194</v>
      </c>
      <c r="G107" s="14" t="s">
        <v>194</v>
      </c>
      <c r="H107" s="14" t="s">
        <v>194</v>
      </c>
      <c r="I107" s="14" t="s">
        <v>573</v>
      </c>
      <c r="J107" s="1" t="s">
        <v>574</v>
      </c>
      <c r="K107" s="1" t="s">
        <v>194</v>
      </c>
      <c r="L107" s="1" t="s">
        <v>194</v>
      </c>
      <c r="M107" s="1" t="s">
        <v>194</v>
      </c>
      <c r="N107" s="14" t="s">
        <v>194</v>
      </c>
      <c r="O107" s="1" t="s">
        <v>2</v>
      </c>
      <c r="P107" s="1" t="s">
        <v>2825</v>
      </c>
      <c r="Q107" s="1"/>
      <c r="R107" s="1"/>
      <c r="S107" t="str">
        <f>IFERROR(INDEX(_SCHEDULE_[],MATCH(_INDICATOR_[[#This Row],[CONTEST_CODE]],_SCHEDULE_[CONTEST_CODE],0),MATCH($S$1,_SCHEDULE_[#Headers],0)),"-")</f>
        <v>УДАЛЕН</v>
      </c>
      <c r="T107" s="1" t="str">
        <f>IFERROR(INDEX(_group_[],MATCH(_INDICATOR_[[#This Row],[CONTEST_CODE]],_group_[CONTEST_CODE],0),MATCH($T$1,_group_[#Headers],0)),"-")</f>
        <v>BANK</v>
      </c>
      <c r="U107" s="1" t="str">
        <f>IFERROR(INDEX(_DATA_[],MATCH(_INDICATOR_[[#This Row],[CONTEST_CODE]],_DATA_[CONTEST_CODE],0),MATCH($U$1,_DATA_[#Headers],0)),"-")</f>
        <v>Максимальный полученный доход от продажи продуктов СберЗдоровье</v>
      </c>
      <c r="V107" s="1" t="str">
        <f>IFERROR(INDEX(_reward_link_[],MATCH(_INDICATOR_[[#This Row],[CONTEST_CODE]],_reward_link_[CONTEST_CODE],0),MATCH($V$1,_reward_link_[#Headers],0)),"-")</f>
        <v>TB</v>
      </c>
    </row>
    <row r="108" spans="1:22" hidden="1" x14ac:dyDescent="0.25">
      <c r="A108" s="1" t="s">
        <v>1359</v>
      </c>
      <c r="B108" s="1" t="s">
        <v>2</v>
      </c>
      <c r="C108" s="14" t="s">
        <v>194</v>
      </c>
      <c r="D108" s="14" t="s">
        <v>575</v>
      </c>
      <c r="E108" s="14" t="s">
        <v>575</v>
      </c>
      <c r="F108" s="14" t="s">
        <v>194</v>
      </c>
      <c r="G108" s="14" t="s">
        <v>194</v>
      </c>
      <c r="H108" s="14" t="s">
        <v>194</v>
      </c>
      <c r="I108" s="14" t="s">
        <v>573</v>
      </c>
      <c r="J108" s="1" t="s">
        <v>574</v>
      </c>
      <c r="K108" s="1" t="s">
        <v>194</v>
      </c>
      <c r="L108" s="1" t="s">
        <v>194</v>
      </c>
      <c r="M108" s="1" t="s">
        <v>194</v>
      </c>
      <c r="N108" s="14" t="s">
        <v>194</v>
      </c>
      <c r="O108" s="1" t="s">
        <v>2</v>
      </c>
      <c r="P108" s="1" t="s">
        <v>2826</v>
      </c>
      <c r="Q108" s="1"/>
      <c r="R108" s="1"/>
      <c r="S108" t="str">
        <f>IFERROR(INDEX(_SCHEDULE_[],MATCH(_INDICATOR_[[#This Row],[CONTEST_CODE]],_SCHEDULE_[CONTEST_CODE],0),MATCH($S$1,_SCHEDULE_[#Headers],0)),"-")</f>
        <v>ЗАВЕРШЕН</v>
      </c>
      <c r="T108" s="1" t="str">
        <f>IFERROR(INDEX(_group_[],MATCH(_INDICATOR_[[#This Row],[CONTEST_CODE]],_group_[CONTEST_CODE],0),MATCH($T$1,_group_[#Headers],0)),"-")</f>
        <v>BANK</v>
      </c>
      <c r="U108" s="1" t="str">
        <f>IFERROR(INDEX(_DATA_[],MATCH(_INDICATOR_[[#This Row],[CONTEST_CODE]],_DATA_[CONTEST_CODE],0),MATCH($U$1,_DATA_[#Headers],0)),"-")</f>
        <v>Лидер по продаже образовательных услуг</v>
      </c>
      <c r="V108" s="1" t="str">
        <f>IFERROR(INDEX(_reward_link_[],MATCH(_INDICATOR_[[#This Row],[CONTEST_CODE]],_reward_link_[CONTEST_CODE],0),MATCH($V$1,_reward_link_[#Headers],0)),"-")</f>
        <v>TB</v>
      </c>
    </row>
    <row r="109" spans="1:22" hidden="1" x14ac:dyDescent="0.25">
      <c r="A109" s="1" t="s">
        <v>1380</v>
      </c>
      <c r="B109" s="1" t="s">
        <v>2</v>
      </c>
      <c r="C109" s="14" t="s">
        <v>194</v>
      </c>
      <c r="D109" s="14" t="s">
        <v>575</v>
      </c>
      <c r="E109" s="14" t="s">
        <v>575</v>
      </c>
      <c r="F109" s="14" t="s">
        <v>194</v>
      </c>
      <c r="G109" s="14" t="s">
        <v>194</v>
      </c>
      <c r="H109" s="14" t="s">
        <v>194</v>
      </c>
      <c r="I109" s="14" t="s">
        <v>573</v>
      </c>
      <c r="J109" s="1" t="s">
        <v>574</v>
      </c>
      <c r="K109" s="1" t="s">
        <v>194</v>
      </c>
      <c r="L109" s="1" t="s">
        <v>194</v>
      </c>
      <c r="M109" s="1" t="s">
        <v>194</v>
      </c>
      <c r="N109" s="14" t="s">
        <v>194</v>
      </c>
      <c r="O109" s="1" t="s">
        <v>2</v>
      </c>
      <c r="P109" s="1" t="s">
        <v>2827</v>
      </c>
      <c r="Q109" s="1"/>
      <c r="R109" s="1"/>
      <c r="S109" t="str">
        <f>IFERROR(INDEX(_SCHEDULE_[],MATCH(_INDICATOR_[[#This Row],[CONTEST_CODE]],_SCHEDULE_[CONTEST_CODE],0),MATCH($S$1,_SCHEDULE_[#Headers],0)),"-")</f>
        <v>ЗАВЕРШЕН</v>
      </c>
      <c r="T109" s="1" t="str">
        <f>IFERROR(INDEX(_group_[],MATCH(_INDICATOR_[[#This Row],[CONTEST_CODE]],_group_[CONTEST_CODE],0),MATCH($T$1,_group_[#Headers],0)),"-")</f>
        <v>BANK</v>
      </c>
      <c r="U109" s="1" t="str">
        <f>IFERROR(INDEX(_DATA_[],MATCH(_INDICATOR_[[#This Row],[CONTEST_CODE]],_DATA_[CONTEST_CODE],0),MATCH($U$1,_DATA_[#Headers],0)),"-")</f>
        <v>Лидер по продажам продуктов AI-featured</v>
      </c>
      <c r="V109" s="1" t="str">
        <f>IFERROR(INDEX(_reward_link_[],MATCH(_INDICATOR_[[#This Row],[CONTEST_CODE]],_reward_link_[CONTEST_CODE],0),MATCH($V$1,_reward_link_[#Headers],0)),"-")</f>
        <v>TB</v>
      </c>
    </row>
    <row r="110" spans="1:22" hidden="1" x14ac:dyDescent="0.25">
      <c r="A110" s="1" t="s">
        <v>1373</v>
      </c>
      <c r="B110" s="1" t="s">
        <v>2</v>
      </c>
      <c r="C110" s="14" t="s">
        <v>194</v>
      </c>
      <c r="D110" s="14" t="s">
        <v>575</v>
      </c>
      <c r="E110" s="14" t="s">
        <v>575</v>
      </c>
      <c r="F110" s="14" t="s">
        <v>194</v>
      </c>
      <c r="G110" s="14" t="s">
        <v>194</v>
      </c>
      <c r="H110" s="14" t="s">
        <v>194</v>
      </c>
      <c r="I110" s="14" t="s">
        <v>573</v>
      </c>
      <c r="J110" s="1" t="s">
        <v>574</v>
      </c>
      <c r="K110" s="1" t="s">
        <v>194</v>
      </c>
      <c r="L110" s="1" t="s">
        <v>194</v>
      </c>
      <c r="M110" s="1" t="s">
        <v>194</v>
      </c>
      <c r="N110" s="14" t="s">
        <v>194</v>
      </c>
      <c r="O110" s="1" t="s">
        <v>2</v>
      </c>
      <c r="P110" s="1" t="s">
        <v>2828</v>
      </c>
      <c r="Q110" s="1"/>
      <c r="R110" s="1"/>
      <c r="S110" t="str">
        <f>IFERROR(INDEX(_SCHEDULE_[],MATCH(_INDICATOR_[[#This Row],[CONTEST_CODE]],_SCHEDULE_[CONTEST_CODE],0),MATCH($S$1,_SCHEDULE_[#Headers],0)),"-")</f>
        <v>ЗАВЕРШЕН</v>
      </c>
      <c r="T110" s="1" t="str">
        <f>IFERROR(INDEX(_group_[],MATCH(_INDICATOR_[[#This Row],[CONTEST_CODE]],_group_[CONTEST_CODE],0),MATCH($T$1,_group_[#Headers],0)),"-")</f>
        <v>BANK</v>
      </c>
      <c r="U110" s="1" t="str">
        <f>IFERROR(INDEX(_DATA_[],MATCH(_INDICATOR_[[#This Row],[CONTEST_CODE]],_DATA_[CONTEST_CODE],0),MATCH($U$1,_DATA_[#Headers],0)),"-")</f>
        <v>Лидер по продажам продуктов AI-native</v>
      </c>
      <c r="V110" s="1" t="str">
        <f>IFERROR(INDEX(_reward_link_[],MATCH(_INDICATOR_[[#This Row],[CONTEST_CODE]],_reward_link_[CONTEST_CODE],0),MATCH($V$1,_reward_link_[#Headers],0)),"-")</f>
        <v>TB</v>
      </c>
    </row>
    <row r="111" spans="1:22" hidden="1" x14ac:dyDescent="0.25">
      <c r="A111" s="1" t="s">
        <v>1366</v>
      </c>
      <c r="B111" s="1" t="s">
        <v>2</v>
      </c>
      <c r="C111" s="14" t="s">
        <v>194</v>
      </c>
      <c r="D111" s="14" t="s">
        <v>575</v>
      </c>
      <c r="E111" s="14" t="s">
        <v>575</v>
      </c>
      <c r="F111" s="14" t="s">
        <v>194</v>
      </c>
      <c r="G111" s="14" t="s">
        <v>194</v>
      </c>
      <c r="H111" s="14" t="s">
        <v>194</v>
      </c>
      <c r="I111" s="14" t="s">
        <v>573</v>
      </c>
      <c r="J111" s="1" t="s">
        <v>574</v>
      </c>
      <c r="K111" s="1" t="s">
        <v>194</v>
      </c>
      <c r="L111" s="1" t="s">
        <v>194</v>
      </c>
      <c r="M111" s="1" t="s">
        <v>194</v>
      </c>
      <c r="N111" s="14" t="s">
        <v>194</v>
      </c>
      <c r="O111" s="1" t="s">
        <v>2</v>
      </c>
      <c r="P111" s="1" t="s">
        <v>2829</v>
      </c>
      <c r="Q111" s="1"/>
      <c r="R111" s="1"/>
      <c r="S111" t="str">
        <f>IFERROR(INDEX(_SCHEDULE_[],MATCH(_INDICATOR_[[#This Row],[CONTEST_CODE]],_SCHEDULE_[CONTEST_CODE],0),MATCH($S$1,_SCHEDULE_[#Headers],0)),"-")</f>
        <v>ЗАВЕРШЕН</v>
      </c>
      <c r="T111" s="1" t="str">
        <f>IFERROR(INDEX(_group_[],MATCH(_INDICATOR_[[#This Row],[CONTEST_CODE]],_group_[CONTEST_CODE],0),MATCH($T$1,_group_[#Headers],0)),"-")</f>
        <v>BANK</v>
      </c>
      <c r="U111" s="1" t="str">
        <f>IFERROR(INDEX(_DATA_[],MATCH(_INDICATOR_[[#This Row],[CONTEST_CODE]],_DATA_[CONTEST_CODE],0),MATCH($U$1,_DATA_[#Headers],0)),"-")</f>
        <v>Лидер по продажам RAIT-продуктов</v>
      </c>
      <c r="V111" s="1" t="str">
        <f>IFERROR(INDEX(_reward_link_[],MATCH(_INDICATOR_[[#This Row],[CONTEST_CODE]],_reward_link_[CONTEST_CODE],0),MATCH($V$1,_reward_link_[#Headers],0)),"-")</f>
        <v>TB</v>
      </c>
    </row>
    <row r="112" spans="1:22" hidden="1" x14ac:dyDescent="0.25">
      <c r="A112" s="1" t="s">
        <v>3102</v>
      </c>
      <c r="B112" s="1" t="s">
        <v>2</v>
      </c>
      <c r="C112" s="14" t="s">
        <v>194</v>
      </c>
      <c r="D112" s="14" t="s">
        <v>575</v>
      </c>
      <c r="E112" s="14" t="s">
        <v>575</v>
      </c>
      <c r="F112" s="14" t="s">
        <v>194</v>
      </c>
      <c r="G112" s="14" t="s">
        <v>194</v>
      </c>
      <c r="H112" s="14" t="s">
        <v>194</v>
      </c>
      <c r="I112" s="14" t="s">
        <v>573</v>
      </c>
      <c r="J112" s="1" t="s">
        <v>574</v>
      </c>
      <c r="K112" s="1" t="s">
        <v>194</v>
      </c>
      <c r="L112" s="1" t="s">
        <v>194</v>
      </c>
      <c r="M112" s="1" t="s">
        <v>194</v>
      </c>
      <c r="N112" s="14" t="s">
        <v>194</v>
      </c>
      <c r="O112" s="1" t="s">
        <v>2</v>
      </c>
      <c r="P112" s="1" t="s">
        <v>2830</v>
      </c>
      <c r="Q112" s="1"/>
      <c r="R112" s="1"/>
      <c r="S112" t="str">
        <f>IFERROR(INDEX(_SCHEDULE_[],MATCH(_INDICATOR_[[#This Row],[CONTEST_CODE]],_SCHEDULE_[CONTEST_CODE],0),MATCH($S$1,_SCHEDULE_[#Headers],0)),"-")</f>
        <v>ЗАВЕРШЕН</v>
      </c>
      <c r="T112" s="1" t="str">
        <f>IFERROR(INDEX(_group_[],MATCH(_INDICATOR_[[#This Row],[CONTEST_CODE]],_group_[CONTEST_CODE],0),MATCH($T$1,_group_[#Headers],0)),"-")</f>
        <v>BANK</v>
      </c>
      <c r="U112" s="1" t="str">
        <f>IFERROR(INDEX(_DATA_[],MATCH(_INDICATOR_[[#This Row],[CONTEST_CODE]],_DATA_[CONTEST_CODE],0),MATCH($U$1,_DATA_[#Headers],0)),"-")</f>
        <v>Экосистема. Лидер по числу сделок</v>
      </c>
      <c r="V112" s="1" t="str">
        <f>IFERROR(INDEX(_reward_link_[],MATCH(_INDICATOR_[[#This Row],[CONTEST_CODE]],_reward_link_[CONTEST_CODE],0),MATCH($V$1,_reward_link_[#Headers],0)),"-")</f>
        <v>BANK</v>
      </c>
    </row>
    <row r="113" spans="1:22" hidden="1" x14ac:dyDescent="0.25">
      <c r="A113" s="1" t="s">
        <v>3099</v>
      </c>
      <c r="B113" s="1" t="s">
        <v>2</v>
      </c>
      <c r="C113" s="14" t="s">
        <v>194</v>
      </c>
      <c r="D113" s="14" t="s">
        <v>575</v>
      </c>
      <c r="E113" s="14" t="s">
        <v>575</v>
      </c>
      <c r="F113" s="14" t="s">
        <v>194</v>
      </c>
      <c r="G113" s="14" t="s">
        <v>194</v>
      </c>
      <c r="H113" s="14" t="s">
        <v>194</v>
      </c>
      <c r="I113" s="14" t="s">
        <v>573</v>
      </c>
      <c r="J113" s="1" t="s">
        <v>574</v>
      </c>
      <c r="K113" s="1" t="s">
        <v>194</v>
      </c>
      <c r="L113" s="1" t="s">
        <v>194</v>
      </c>
      <c r="M113" s="1" t="s">
        <v>194</v>
      </c>
      <c r="N113" s="14" t="s">
        <v>194</v>
      </c>
      <c r="O113" s="1" t="s">
        <v>2</v>
      </c>
      <c r="P113" s="1" t="s">
        <v>2831</v>
      </c>
      <c r="Q113" s="1"/>
      <c r="R113" s="1"/>
      <c r="S113" t="str">
        <f>IFERROR(INDEX(_SCHEDULE_[],MATCH(_INDICATOR_[[#This Row],[CONTEST_CODE]],_SCHEDULE_[CONTEST_CODE],0),MATCH($S$1,_SCHEDULE_[#Headers],0)),"-")</f>
        <v>ЗАВЕРШЕН</v>
      </c>
      <c r="T113" s="1" t="str">
        <f>IFERROR(INDEX(_group_[],MATCH(_INDICATOR_[[#This Row],[CONTEST_CODE]],_group_[CONTEST_CODE],0),MATCH($T$1,_group_[#Headers],0)),"-")</f>
        <v>BANK</v>
      </c>
      <c r="U113" s="1" t="str">
        <f>IFERROR(INDEX(_DATA_[],MATCH(_INDICATOR_[[#This Row],[CONTEST_CODE]],_DATA_[CONTEST_CODE],0),MATCH($U$1,_DATA_[#Headers],0)),"-")</f>
        <v>Максимальный полученный доход от продажи продуктов СберЗдоровье</v>
      </c>
      <c r="V113" s="1" t="str">
        <f>IFERROR(INDEX(_reward_link_[],MATCH(_INDICATOR_[[#This Row],[CONTEST_CODE]],_reward_link_[CONTEST_CODE],0),MATCH($V$1,_reward_link_[#Headers],0)),"-")</f>
        <v>BANK</v>
      </c>
    </row>
    <row r="114" spans="1:22" hidden="1" x14ac:dyDescent="0.25">
      <c r="A114" s="1" t="s">
        <v>3093</v>
      </c>
      <c r="B114" s="1" t="s">
        <v>2</v>
      </c>
      <c r="C114" s="14" t="s">
        <v>194</v>
      </c>
      <c r="D114" s="14" t="s">
        <v>575</v>
      </c>
      <c r="E114" s="14" t="s">
        <v>575</v>
      </c>
      <c r="F114" s="14" t="s">
        <v>194</v>
      </c>
      <c r="G114" s="14" t="s">
        <v>194</v>
      </c>
      <c r="H114" s="14" t="s">
        <v>194</v>
      </c>
      <c r="I114" s="14" t="s">
        <v>562</v>
      </c>
      <c r="J114" s="1" t="s">
        <v>563</v>
      </c>
      <c r="K114" s="1" t="s">
        <v>3290</v>
      </c>
      <c r="L114" s="1" t="s">
        <v>194</v>
      </c>
      <c r="M114" s="1" t="s">
        <v>194</v>
      </c>
      <c r="N114" s="14" t="s">
        <v>194</v>
      </c>
      <c r="O114" s="1" t="s">
        <v>2</v>
      </c>
      <c r="P114" s="1" t="s">
        <v>2832</v>
      </c>
      <c r="Q114" s="1"/>
      <c r="R114" s="1"/>
      <c r="S114" t="str">
        <f>IFERROR(INDEX(_SCHEDULE_[],MATCH(_INDICATOR_[[#This Row],[CONTEST_CODE]],_SCHEDULE_[CONTEST_CODE],0),MATCH($S$1,_SCHEDULE_[#Headers],0)),"-")</f>
        <v>АКТИВНЫЙ</v>
      </c>
      <c r="T114" s="1" t="str">
        <f>IFERROR(INDEX(_group_[],MATCH(_INDICATOR_[[#This Row],[CONTEST_CODE]],_group_[CONTEST_CODE],0),MATCH($T$1,_group_[#Headers],0)),"-")</f>
        <v>BANK</v>
      </c>
      <c r="U114" s="1" t="str">
        <f>IFERROR(INDEX(_DATA_[],MATCH(_INDICATOR_[[#This Row],[CONTEST_CODE]],_DATA_[CONTEST_CODE],0),MATCH($U$1,_DATA_[#Headers],0)),"-")</f>
        <v>5 млн руб. по Process Mining</v>
      </c>
      <c r="V114" s="1" t="str">
        <f>IFERROR(INDEX(_reward_link_[],MATCH(_INDICATOR_[[#This Row],[CONTEST_CODE]],_reward_link_[CONTEST_CODE],0),MATCH($V$1,_reward_link_[#Headers],0)),"-")</f>
        <v>BANK</v>
      </c>
    </row>
    <row r="115" spans="1:22" hidden="1" x14ac:dyDescent="0.25">
      <c r="A115" s="1" t="s">
        <v>3141</v>
      </c>
      <c r="B115" s="1" t="s">
        <v>2</v>
      </c>
      <c r="C115" s="14" t="s">
        <v>194</v>
      </c>
      <c r="D115" s="14" t="s">
        <v>575</v>
      </c>
      <c r="E115" s="14" t="s">
        <v>575</v>
      </c>
      <c r="F115" s="14" t="s">
        <v>194</v>
      </c>
      <c r="G115" s="14" t="s">
        <v>194</v>
      </c>
      <c r="H115" s="14" t="s">
        <v>194</v>
      </c>
      <c r="I115" s="14" t="s">
        <v>562</v>
      </c>
      <c r="J115" s="1" t="s">
        <v>563</v>
      </c>
      <c r="K115" s="1" t="s">
        <v>308</v>
      </c>
      <c r="L115" s="1" t="s">
        <v>194</v>
      </c>
      <c r="M115" s="1" t="s">
        <v>194</v>
      </c>
      <c r="N115" s="14" t="s">
        <v>194</v>
      </c>
      <c r="O115" s="1" t="s">
        <v>2</v>
      </c>
      <c r="P115" s="1" t="s">
        <v>2833</v>
      </c>
      <c r="Q115" s="1"/>
      <c r="R115" s="1"/>
      <c r="S115" t="str">
        <f>IFERROR(INDEX(_SCHEDULE_[],MATCH(_INDICATOR_[[#This Row],[CONTEST_CODE]],_SCHEDULE_[CONTEST_CODE],0),MATCH($S$1,_SCHEDULE_[#Headers],0)),"-")</f>
        <v>АКТИВНЫЙ</v>
      </c>
      <c r="T115" s="1" t="str">
        <f>IFERROR(INDEX(_group_[],MATCH(_INDICATOR_[[#This Row],[CONTEST_CODE]],_group_[CONTEST_CODE],0),MATCH($T$1,_group_[#Headers],0)),"-")</f>
        <v>BANK</v>
      </c>
      <c r="U115" s="1" t="str">
        <f>IFERROR(INDEX(_DATA_[],MATCH(_INDICATOR_[[#This Row],[CONTEST_CODE]],_DATA_[CONTEST_CODE],0),MATCH($U$1,_DATA_[#Headers],0)),"-")</f>
        <v>2 клиента по СберИндексПро</v>
      </c>
      <c r="V115" s="1" t="str">
        <f>IFERROR(INDEX(_reward_link_[],MATCH(_INDICATOR_[[#This Row],[CONTEST_CODE]],_reward_link_[CONTEST_CODE],0),MATCH($V$1,_reward_link_[#Headers],0)),"-")</f>
        <v>BANK</v>
      </c>
    </row>
    <row r="116" spans="1:22" hidden="1" x14ac:dyDescent="0.25">
      <c r="A116" s="1" t="s">
        <v>3095</v>
      </c>
      <c r="B116" s="1" t="s">
        <v>2</v>
      </c>
      <c r="C116" s="14" t="s">
        <v>194</v>
      </c>
      <c r="D116" s="14" t="s">
        <v>575</v>
      </c>
      <c r="E116" s="14" t="s">
        <v>575</v>
      </c>
      <c r="F116" s="14" t="s">
        <v>194</v>
      </c>
      <c r="G116" s="14" t="s">
        <v>194</v>
      </c>
      <c r="H116" s="14" t="s">
        <v>194</v>
      </c>
      <c r="I116" s="14" t="s">
        <v>562</v>
      </c>
      <c r="J116" s="1" t="s">
        <v>563</v>
      </c>
      <c r="K116" s="1" t="s">
        <v>3290</v>
      </c>
      <c r="L116" s="1" t="s">
        <v>194</v>
      </c>
      <c r="M116" s="1" t="s">
        <v>194</v>
      </c>
      <c r="N116" s="14" t="s">
        <v>194</v>
      </c>
      <c r="O116" s="1" t="s">
        <v>2</v>
      </c>
      <c r="P116" s="1" t="s">
        <v>2834</v>
      </c>
      <c r="Q116" s="1"/>
      <c r="R116" s="1"/>
      <c r="S116" t="str">
        <f>IFERROR(INDEX(_SCHEDULE_[],MATCH(_INDICATOR_[[#This Row],[CONTEST_CODE]],_SCHEDULE_[CONTEST_CODE],0),MATCH($S$1,_SCHEDULE_[#Headers],0)),"-")</f>
        <v>АКТИВНЫЙ</v>
      </c>
      <c r="T116" s="1" t="str">
        <f>IFERROR(INDEX(_group_[],MATCH(_INDICATOR_[[#This Row],[CONTEST_CODE]],_group_[CONTEST_CODE],0),MATCH($T$1,_group_[#Headers],0)),"-")</f>
        <v>BANK</v>
      </c>
      <c r="U116" s="1" t="str">
        <f>IFERROR(INDEX(_DATA_[],MATCH(_INDICATOR_[[#This Row],[CONTEST_CODE]],_DATA_[CONTEST_CODE],0),MATCH($U$1,_DATA_[#Headers],0)),"-")</f>
        <v>5 млн руб. по Навигатор BI</v>
      </c>
      <c r="V116" s="1" t="str">
        <f>IFERROR(INDEX(_reward_link_[],MATCH(_INDICATOR_[[#This Row],[CONTEST_CODE]],_reward_link_[CONTEST_CODE],0),MATCH($V$1,_reward_link_[#Headers],0)),"-")</f>
        <v>BANK</v>
      </c>
    </row>
    <row r="117" spans="1:22" hidden="1" x14ac:dyDescent="0.25">
      <c r="A117" s="1" t="s">
        <v>3097</v>
      </c>
      <c r="B117" s="1" t="s">
        <v>2</v>
      </c>
      <c r="C117" s="14" t="s">
        <v>194</v>
      </c>
      <c r="D117" s="14" t="s">
        <v>575</v>
      </c>
      <c r="E117" s="14" t="s">
        <v>575</v>
      </c>
      <c r="F117" s="14" t="s">
        <v>194</v>
      </c>
      <c r="G117" s="14" t="s">
        <v>194</v>
      </c>
      <c r="H117" s="14" t="s">
        <v>194</v>
      </c>
      <c r="I117" s="14" t="s">
        <v>562</v>
      </c>
      <c r="J117" s="1" t="s">
        <v>563</v>
      </c>
      <c r="K117" s="1" t="s">
        <v>565</v>
      </c>
      <c r="L117" s="1" t="s">
        <v>194</v>
      </c>
      <c r="M117" s="1" t="s">
        <v>194</v>
      </c>
      <c r="N117" s="14" t="s">
        <v>194</v>
      </c>
      <c r="O117" s="1" t="s">
        <v>2</v>
      </c>
      <c r="P117" s="1" t="s">
        <v>2835</v>
      </c>
      <c r="Q117" s="1"/>
      <c r="R117" s="1"/>
      <c r="S117" t="str">
        <f>IFERROR(INDEX(_SCHEDULE_[],MATCH(_INDICATOR_[[#This Row],[CONTEST_CODE]],_SCHEDULE_[CONTEST_CODE],0),MATCH($S$1,_SCHEDULE_[#Headers],0)),"-")</f>
        <v>АКТИВНЫЙ</v>
      </c>
      <c r="T117" s="1" t="str">
        <f>IFERROR(INDEX(_group_[],MATCH(_INDICATOR_[[#This Row],[CONTEST_CODE]],_group_[CONTEST_CODE],0),MATCH($T$1,_group_[#Headers],0)),"-")</f>
        <v>BANK</v>
      </c>
      <c r="U117" s="1" t="str">
        <f>IFERROR(INDEX(_DATA_[],MATCH(_INDICATOR_[[#This Row],[CONTEST_CODE]],_DATA_[CONTEST_CODE],0),MATCH($U$1,_DATA_[#Headers],0)),"-")</f>
        <v>500 тыс. руб. по СберИндексПро</v>
      </c>
      <c r="V117" s="1" t="str">
        <f>IFERROR(INDEX(_reward_link_[],MATCH(_INDICATOR_[[#This Row],[CONTEST_CODE]],_reward_link_[CONTEST_CODE],0),MATCH($V$1,_reward_link_[#Headers],0)),"-")</f>
        <v>BANK</v>
      </c>
    </row>
    <row r="118" spans="1:22" hidden="1" x14ac:dyDescent="0.25">
      <c r="A118" s="1" t="s">
        <v>3105</v>
      </c>
      <c r="B118" s="1" t="s">
        <v>2</v>
      </c>
      <c r="C118" s="14" t="s">
        <v>194</v>
      </c>
      <c r="D118" s="14" t="s">
        <v>575</v>
      </c>
      <c r="E118" s="14" t="s">
        <v>575</v>
      </c>
      <c r="F118" s="14" t="s">
        <v>194</v>
      </c>
      <c r="G118" s="14" t="s">
        <v>194</v>
      </c>
      <c r="H118" s="14" t="s">
        <v>194</v>
      </c>
      <c r="I118" s="14" t="s">
        <v>573</v>
      </c>
      <c r="J118" s="1" t="s">
        <v>574</v>
      </c>
      <c r="K118" s="1" t="s">
        <v>194</v>
      </c>
      <c r="L118" s="1" t="s">
        <v>194</v>
      </c>
      <c r="M118" s="1" t="s">
        <v>194</v>
      </c>
      <c r="N118" s="14" t="s">
        <v>194</v>
      </c>
      <c r="O118" s="1" t="s">
        <v>2</v>
      </c>
      <c r="P118" s="1" t="s">
        <v>2951</v>
      </c>
      <c r="Q118" s="1"/>
      <c r="R118" s="1"/>
      <c r="S118" t="str">
        <f>IFERROR(INDEX(_SCHEDULE_[],MATCH(_INDICATOR_[[#This Row],[CONTEST_CODE]],_SCHEDULE_[CONTEST_CODE],0),MATCH($S$1,_SCHEDULE_[#Headers],0)),"-")</f>
        <v>ЗАВЕРШЕН</v>
      </c>
      <c r="T118" s="1" t="str">
        <f>IFERROR(INDEX(_group_[],MATCH(_INDICATOR_[[#This Row],[CONTEST_CODE]],_group_[CONTEST_CODE],0),MATCH($T$1,_group_[#Headers],0)),"-")</f>
        <v>BANK</v>
      </c>
      <c r="U118" s="1" t="str">
        <f>IFERROR(INDEX(_DATA_[],MATCH(_INDICATOR_[[#This Row],[CONTEST_CODE]],_DATA_[CONTEST_CODE],0),MATCH($U$1,_DATA_[#Headers],0)),"-")</f>
        <v>Лидер по продажам продуктов AI-native</v>
      </c>
      <c r="V118" s="1" t="str">
        <f>IFERROR(INDEX(_reward_link_[],MATCH(_INDICATOR_[[#This Row],[CONTEST_CODE]],_reward_link_[CONTEST_CODE],0),MATCH($V$1,_reward_link_[#Headers],0)),"-")</f>
        <v>BANK</v>
      </c>
    </row>
    <row r="119" spans="1:22" hidden="1" x14ac:dyDescent="0.25">
      <c r="A119" s="1" t="s">
        <v>3125</v>
      </c>
      <c r="B119" s="1" t="s">
        <v>2</v>
      </c>
      <c r="C119" s="14" t="s">
        <v>194</v>
      </c>
      <c r="D119" s="14" t="s">
        <v>575</v>
      </c>
      <c r="E119" s="14" t="s">
        <v>575</v>
      </c>
      <c r="F119" s="14" t="s">
        <v>194</v>
      </c>
      <c r="G119" s="14" t="s">
        <v>194</v>
      </c>
      <c r="H119" s="14" t="s">
        <v>194</v>
      </c>
      <c r="I119" s="14" t="s">
        <v>573</v>
      </c>
      <c r="J119" s="1" t="s">
        <v>574</v>
      </c>
      <c r="K119" s="1" t="s">
        <v>194</v>
      </c>
      <c r="L119" s="1" t="s">
        <v>194</v>
      </c>
      <c r="M119" s="1" t="s">
        <v>194</v>
      </c>
      <c r="N119" s="14" t="s">
        <v>194</v>
      </c>
      <c r="O119" s="1" t="s">
        <v>2</v>
      </c>
      <c r="P119" s="1" t="s">
        <v>2952</v>
      </c>
      <c r="Q119" s="1"/>
      <c r="R119" s="1"/>
      <c r="S119" t="str">
        <f>IFERROR(INDEX(_SCHEDULE_[],MATCH(_INDICATOR_[[#This Row],[CONTEST_CODE]],_SCHEDULE_[CONTEST_CODE],0),MATCH($S$1,_SCHEDULE_[#Headers],0)),"-")</f>
        <v>АКТИВНЫЙ</v>
      </c>
      <c r="T119" s="1" t="str">
        <f>IFERROR(INDEX(_group_[],MATCH(_INDICATOR_[[#This Row],[CONTEST_CODE]],_group_[CONTEST_CODE],0),MATCH($T$1,_group_[#Headers],0)),"-")</f>
        <v>BANK</v>
      </c>
      <c r="U119" s="1" t="str">
        <f>IFERROR(INDEX(_DATA_[],MATCH(_INDICATOR_[[#This Row],[CONTEST_CODE]],_DATA_[CONTEST_CODE],0),MATCH($U$1,_DATA_[#Headers],0)),"-")</f>
        <v>Process Mining. Максимизируй комиссию</v>
      </c>
      <c r="V119" s="1" t="str">
        <f>IFERROR(INDEX(_reward_link_[],MATCH(_INDICATOR_[[#This Row],[CONTEST_CODE]],_reward_link_[CONTEST_CODE],0),MATCH($V$1,_reward_link_[#Headers],0)),"-")</f>
        <v>BANK</v>
      </c>
    </row>
    <row r="120" spans="1:22" hidden="1" x14ac:dyDescent="0.25">
      <c r="A120" s="1" t="s">
        <v>3127</v>
      </c>
      <c r="B120" s="1" t="s">
        <v>2</v>
      </c>
      <c r="C120" s="14" t="s">
        <v>194</v>
      </c>
      <c r="D120" s="14" t="s">
        <v>575</v>
      </c>
      <c r="E120" s="14" t="s">
        <v>575</v>
      </c>
      <c r="F120" s="14" t="s">
        <v>194</v>
      </c>
      <c r="G120" s="14" t="s">
        <v>194</v>
      </c>
      <c r="H120" s="14" t="s">
        <v>194</v>
      </c>
      <c r="I120" s="14" t="s">
        <v>573</v>
      </c>
      <c r="J120" s="1" t="s">
        <v>574</v>
      </c>
      <c r="K120" s="1" t="s">
        <v>194</v>
      </c>
      <c r="L120" s="1" t="s">
        <v>194</v>
      </c>
      <c r="M120" s="1" t="s">
        <v>194</v>
      </c>
      <c r="N120" s="14" t="s">
        <v>194</v>
      </c>
      <c r="O120" s="1" t="s">
        <v>2</v>
      </c>
      <c r="P120" s="1" t="s">
        <v>2891</v>
      </c>
      <c r="Q120" s="1"/>
      <c r="R120" s="1"/>
      <c r="S120" t="str">
        <f>IFERROR(INDEX(_SCHEDULE_[],MATCH(_INDICATOR_[[#This Row],[CONTEST_CODE]],_SCHEDULE_[CONTEST_CODE],0),MATCH($S$1,_SCHEDULE_[#Headers],0)),"-")</f>
        <v>АКТИВНЫЙ</v>
      </c>
      <c r="T120" s="1" t="str">
        <f>IFERROR(INDEX(_group_[],MATCH(_INDICATOR_[[#This Row],[CONTEST_CODE]],_group_[CONTEST_CODE],0),MATCH($T$1,_group_[#Headers],0)),"-")</f>
        <v>BANK</v>
      </c>
      <c r="U120" s="1" t="str">
        <f>IFERROR(INDEX(_DATA_[],MATCH(_INDICATOR_[[#This Row],[CONTEST_CODE]],_DATA_[CONTEST_CODE],0),MATCH($U$1,_DATA_[#Headers],0)),"-")</f>
        <v>Навигатор BI. Максимизируй комиссию</v>
      </c>
      <c r="V120" s="1" t="str">
        <f>IFERROR(INDEX(_reward_link_[],MATCH(_INDICATOR_[[#This Row],[CONTEST_CODE]],_reward_link_[CONTEST_CODE],0),MATCH($V$1,_reward_link_[#Headers],0)),"-")</f>
        <v>BANK</v>
      </c>
    </row>
    <row r="121" spans="1:22" hidden="1" x14ac:dyDescent="0.25">
      <c r="A121" s="1" t="s">
        <v>3129</v>
      </c>
      <c r="B121" s="1" t="s">
        <v>2</v>
      </c>
      <c r="C121" s="14" t="s">
        <v>194</v>
      </c>
      <c r="D121" s="14" t="s">
        <v>575</v>
      </c>
      <c r="E121" s="14" t="s">
        <v>575</v>
      </c>
      <c r="F121" s="14" t="s">
        <v>194</v>
      </c>
      <c r="G121" s="14" t="s">
        <v>194</v>
      </c>
      <c r="H121" s="14" t="s">
        <v>194</v>
      </c>
      <c r="I121" s="14" t="s">
        <v>573</v>
      </c>
      <c r="J121" s="1" t="s">
        <v>574</v>
      </c>
      <c r="K121" s="1" t="s">
        <v>194</v>
      </c>
      <c r="L121" s="1" t="s">
        <v>194</v>
      </c>
      <c r="M121" s="1" t="s">
        <v>194</v>
      </c>
      <c r="N121" s="14" t="s">
        <v>194</v>
      </c>
      <c r="O121" s="1" t="s">
        <v>2</v>
      </c>
      <c r="P121" s="1" t="s">
        <v>2953</v>
      </c>
      <c r="Q121" s="1"/>
      <c r="R121" s="1"/>
      <c r="S121" t="str">
        <f>IFERROR(INDEX(_SCHEDULE_[],MATCH(_INDICATOR_[[#This Row],[CONTEST_CODE]],_SCHEDULE_[CONTEST_CODE],0),MATCH($S$1,_SCHEDULE_[#Headers],0)),"-")</f>
        <v>АКТИВНЫЙ</v>
      </c>
      <c r="T121" s="1" t="str">
        <f>IFERROR(INDEX(_group_[],MATCH(_INDICATOR_[[#This Row],[CONTEST_CODE]],_group_[CONTEST_CODE],0),MATCH($T$1,_group_[#Headers],0)),"-")</f>
        <v>BANK</v>
      </c>
      <c r="U121" s="1" t="str">
        <f>IFERROR(INDEX(_DATA_[],MATCH(_INDICATOR_[[#This Row],[CONTEST_CODE]],_DATA_[CONTEST_CODE],0),MATCH($U$1,_DATA_[#Headers],0)),"-")</f>
        <v>СберИндексПро. Максимизируй комиссию</v>
      </c>
      <c r="V121" s="1" t="str">
        <f>IFERROR(INDEX(_reward_link_[],MATCH(_INDICATOR_[[#This Row],[CONTEST_CODE]],_reward_link_[CONTEST_CODE],0),MATCH($V$1,_reward_link_[#Headers],0)),"-")</f>
        <v>BANK</v>
      </c>
    </row>
    <row r="122" spans="1:22" hidden="1" x14ac:dyDescent="0.25">
      <c r="A122" s="1" t="s">
        <v>3137</v>
      </c>
      <c r="B122" s="1" t="s">
        <v>2</v>
      </c>
      <c r="C122" s="14" t="s">
        <v>194</v>
      </c>
      <c r="D122" s="14" t="s">
        <v>575</v>
      </c>
      <c r="E122" s="14" t="s">
        <v>575</v>
      </c>
      <c r="F122" s="14" t="s">
        <v>194</v>
      </c>
      <c r="G122" s="14" t="s">
        <v>194</v>
      </c>
      <c r="H122" s="14" t="s">
        <v>194</v>
      </c>
      <c r="I122" s="14" t="s">
        <v>562</v>
      </c>
      <c r="J122" s="1" t="s">
        <v>563</v>
      </c>
      <c r="K122" s="1" t="s">
        <v>314</v>
      </c>
      <c r="L122" s="1" t="s">
        <v>194</v>
      </c>
      <c r="M122" s="1" t="s">
        <v>194</v>
      </c>
      <c r="N122" s="14" t="s">
        <v>194</v>
      </c>
      <c r="O122" s="1" t="s">
        <v>2</v>
      </c>
      <c r="P122" s="1" t="s">
        <v>2954</v>
      </c>
      <c r="Q122" s="1"/>
      <c r="R122" s="1"/>
      <c r="S122" t="str">
        <f>IFERROR(INDEX(_SCHEDULE_[],MATCH(_INDICATOR_[[#This Row],[CONTEST_CODE]],_SCHEDULE_[CONTEST_CODE],0),MATCH($S$1,_SCHEDULE_[#Headers],0)),"-")</f>
        <v>АКТИВНЫЙ</v>
      </c>
      <c r="T122" s="1" t="str">
        <f>IFERROR(INDEX(_group_[],MATCH(_INDICATOR_[[#This Row],[CONTEST_CODE]],_group_[CONTEST_CODE],0),MATCH($T$1,_group_[#Headers],0)),"-")</f>
        <v>BANK</v>
      </c>
      <c r="U122" s="1" t="str">
        <f>IFERROR(INDEX(_DATA_[],MATCH(_INDICATOR_[[#This Row],[CONTEST_CODE]],_DATA_[CONTEST_CODE],0),MATCH($U$1,_DATA_[#Headers],0)),"-")</f>
        <v>3 клиента по Process Mining</v>
      </c>
      <c r="V122" s="1" t="str">
        <f>IFERROR(INDEX(_reward_link_[],MATCH(_INDICATOR_[[#This Row],[CONTEST_CODE]],_reward_link_[CONTEST_CODE],0),MATCH($V$1,_reward_link_[#Headers],0)),"-")</f>
        <v>BANK</v>
      </c>
    </row>
    <row r="123" spans="1:22" hidden="1" x14ac:dyDescent="0.25">
      <c r="A123" s="1" t="s">
        <v>3139</v>
      </c>
      <c r="B123" s="1" t="s">
        <v>2</v>
      </c>
      <c r="C123" s="14" t="s">
        <v>194</v>
      </c>
      <c r="D123" s="14" t="s">
        <v>575</v>
      </c>
      <c r="E123" s="14" t="s">
        <v>575</v>
      </c>
      <c r="F123" s="14" t="s">
        <v>194</v>
      </c>
      <c r="G123" s="14" t="s">
        <v>194</v>
      </c>
      <c r="H123" s="14" t="s">
        <v>194</v>
      </c>
      <c r="I123" s="14" t="s">
        <v>562</v>
      </c>
      <c r="J123" s="1" t="s">
        <v>563</v>
      </c>
      <c r="K123" s="1" t="s">
        <v>314</v>
      </c>
      <c r="L123" s="1" t="s">
        <v>194</v>
      </c>
      <c r="M123" s="1" t="s">
        <v>194</v>
      </c>
      <c r="N123" s="14" t="s">
        <v>194</v>
      </c>
      <c r="O123" s="1" t="s">
        <v>2</v>
      </c>
      <c r="P123" s="1" t="s">
        <v>2892</v>
      </c>
      <c r="Q123" s="1"/>
      <c r="R123" s="1"/>
      <c r="S123" t="str">
        <f>IFERROR(INDEX(_SCHEDULE_[],MATCH(_INDICATOR_[[#This Row],[CONTEST_CODE]],_SCHEDULE_[CONTEST_CODE],0),MATCH($S$1,_SCHEDULE_[#Headers],0)),"-")</f>
        <v>АКТИВНЫЙ</v>
      </c>
      <c r="T123" s="1" t="str">
        <f>IFERROR(INDEX(_group_[],MATCH(_INDICATOR_[[#This Row],[CONTEST_CODE]],_group_[CONTEST_CODE],0),MATCH($T$1,_group_[#Headers],0)),"-")</f>
        <v>BANK</v>
      </c>
      <c r="U123" s="1" t="str">
        <f>IFERROR(INDEX(_DATA_[],MATCH(_INDICATOR_[[#This Row],[CONTEST_CODE]],_DATA_[CONTEST_CODE],0),MATCH($U$1,_DATA_[#Headers],0)),"-")</f>
        <v>3 клиента по Навигатор BI</v>
      </c>
      <c r="V123" s="1" t="str">
        <f>IFERROR(INDEX(_reward_link_[],MATCH(_INDICATOR_[[#This Row],[CONTEST_CODE]],_reward_link_[CONTEST_CODE],0),MATCH($V$1,_reward_link_[#Headers],0)),"-")</f>
        <v>BANK</v>
      </c>
    </row>
    <row r="124" spans="1:22" hidden="1" x14ac:dyDescent="0.25">
      <c r="A124" s="1" t="s">
        <v>3108</v>
      </c>
      <c r="B124" s="1" t="s">
        <v>2</v>
      </c>
      <c r="C124" s="14" t="s">
        <v>194</v>
      </c>
      <c r="D124" s="14" t="s">
        <v>575</v>
      </c>
      <c r="E124" s="14" t="s">
        <v>575</v>
      </c>
      <c r="F124" s="14" t="s">
        <v>194</v>
      </c>
      <c r="G124" s="14" t="s">
        <v>194</v>
      </c>
      <c r="H124" s="14" t="s">
        <v>194</v>
      </c>
      <c r="I124" s="14" t="s">
        <v>573</v>
      </c>
      <c r="J124" s="1" t="s">
        <v>574</v>
      </c>
      <c r="K124" s="1" t="s">
        <v>194</v>
      </c>
      <c r="L124" s="1" t="s">
        <v>194</v>
      </c>
      <c r="M124" s="1" t="s">
        <v>194</v>
      </c>
      <c r="N124" s="14" t="s">
        <v>194</v>
      </c>
      <c r="O124" s="1" t="s">
        <v>2</v>
      </c>
      <c r="P124" s="1" t="s">
        <v>2955</v>
      </c>
      <c r="Q124" s="1"/>
      <c r="R124" s="1"/>
      <c r="S124" t="str">
        <f>IFERROR(INDEX(_SCHEDULE_[],MATCH(_INDICATOR_[[#This Row],[CONTEST_CODE]],_SCHEDULE_[CONTEST_CODE],0),MATCH($S$1,_SCHEDULE_[#Headers],0)),"-")</f>
        <v>ЗАВЕРШЕН</v>
      </c>
      <c r="T124" s="1" t="str">
        <f>IFERROR(INDEX(_group_[],MATCH(_INDICATOR_[[#This Row],[CONTEST_CODE]],_group_[CONTEST_CODE],0),MATCH($T$1,_group_[#Headers],0)),"-")</f>
        <v>BANK</v>
      </c>
      <c r="U124" s="1" t="str">
        <f>IFERROR(INDEX(_DATA_[],MATCH(_INDICATOR_[[#This Row],[CONTEST_CODE]],_DATA_[CONTEST_CODE],0),MATCH($U$1,_DATA_[#Headers],0)),"-")</f>
        <v>Лидер по продажам продуктов HR направления</v>
      </c>
      <c r="V124" s="1" t="str">
        <f>IFERROR(INDEX(_reward_link_[],MATCH(_INDICATOR_[[#This Row],[CONTEST_CODE]],_reward_link_[CONTEST_CODE],0),MATCH($V$1,_reward_link_[#Headers],0)),"-")</f>
        <v>BANK</v>
      </c>
    </row>
    <row r="125" spans="1:22" hidden="1" x14ac:dyDescent="0.25">
      <c r="A125" s="1" t="s">
        <v>3111</v>
      </c>
      <c r="B125" s="1" t="s">
        <v>2</v>
      </c>
      <c r="C125" s="14" t="s">
        <v>194</v>
      </c>
      <c r="D125" s="14" t="s">
        <v>575</v>
      </c>
      <c r="E125" s="14" t="s">
        <v>575</v>
      </c>
      <c r="F125" s="14" t="s">
        <v>194</v>
      </c>
      <c r="G125" s="14" t="s">
        <v>194</v>
      </c>
      <c r="H125" s="14" t="s">
        <v>194</v>
      </c>
      <c r="I125" s="14" t="s">
        <v>573</v>
      </c>
      <c r="J125" s="1" t="s">
        <v>574</v>
      </c>
      <c r="K125" s="1" t="s">
        <v>194</v>
      </c>
      <c r="L125" s="1" t="s">
        <v>194</v>
      </c>
      <c r="M125" s="1" t="s">
        <v>194</v>
      </c>
      <c r="N125" s="14" t="s">
        <v>194</v>
      </c>
      <c r="O125" s="1" t="s">
        <v>2</v>
      </c>
      <c r="P125" s="1" t="s">
        <v>2956</v>
      </c>
      <c r="Q125" s="1"/>
      <c r="R125" s="1"/>
      <c r="S125" t="str">
        <f>IFERROR(INDEX(_SCHEDULE_[],MATCH(_INDICATOR_[[#This Row],[CONTEST_CODE]],_SCHEDULE_[CONTEST_CODE],0),MATCH($S$1,_SCHEDULE_[#Headers],0)),"-")</f>
        <v>ЗАВЕРШЕН</v>
      </c>
      <c r="T125" s="1" t="str">
        <f>IFERROR(INDEX(_group_[],MATCH(_INDICATOR_[[#This Row],[CONTEST_CODE]],_group_[CONTEST_CODE],0),MATCH($T$1,_group_[#Headers],0)),"-")</f>
        <v>BANK</v>
      </c>
      <c r="U125" s="1" t="str">
        <f>IFERROR(INDEX(_DATA_[],MATCH(_INDICATOR_[[#This Row],[CONTEST_CODE]],_DATA_[CONTEST_CODE],0),MATCH($U$1,_DATA_[#Headers],0)),"-")</f>
        <v>Лидер по продажам продуктов IT направления</v>
      </c>
      <c r="V125" s="1" t="str">
        <f>IFERROR(INDEX(_reward_link_[],MATCH(_INDICATOR_[[#This Row],[CONTEST_CODE]],_reward_link_[CONTEST_CODE],0),MATCH($V$1,_reward_link_[#Headers],0)),"-")</f>
        <v>BANK</v>
      </c>
    </row>
    <row r="126" spans="1:22" hidden="1" x14ac:dyDescent="0.25">
      <c r="A126" s="1" t="s">
        <v>3114</v>
      </c>
      <c r="B126" s="1" t="s">
        <v>2</v>
      </c>
      <c r="C126" s="14" t="s">
        <v>194</v>
      </c>
      <c r="D126" s="14" t="s">
        <v>575</v>
      </c>
      <c r="E126" s="14" t="s">
        <v>575</v>
      </c>
      <c r="F126" s="14" t="s">
        <v>194</v>
      </c>
      <c r="G126" s="14" t="s">
        <v>194</v>
      </c>
      <c r="H126" s="14" t="s">
        <v>194</v>
      </c>
      <c r="I126" s="14" t="s">
        <v>573</v>
      </c>
      <c r="J126" s="1" t="s">
        <v>574</v>
      </c>
      <c r="K126" s="1" t="s">
        <v>194</v>
      </c>
      <c r="L126" s="1" t="s">
        <v>194</v>
      </c>
      <c r="M126" s="1" t="s">
        <v>194</v>
      </c>
      <c r="N126" s="14" t="s">
        <v>194</v>
      </c>
      <c r="O126" s="1" t="s">
        <v>2</v>
      </c>
      <c r="P126" s="1" t="s">
        <v>2893</v>
      </c>
      <c r="Q126" s="1"/>
      <c r="R126" s="1"/>
      <c r="S126" t="str">
        <f>IFERROR(INDEX(_SCHEDULE_[],MATCH(_INDICATOR_[[#This Row],[CONTEST_CODE]],_SCHEDULE_[CONTEST_CODE],0),MATCH($S$1,_SCHEDULE_[#Headers],0)),"-")</f>
        <v>ЗАВЕРШЕН</v>
      </c>
      <c r="T126" s="1" t="str">
        <f>IFERROR(INDEX(_group_[],MATCH(_INDICATOR_[[#This Row],[CONTEST_CODE]],_group_[CONTEST_CODE],0),MATCH($T$1,_group_[#Headers],0)),"-")</f>
        <v>BANK</v>
      </c>
      <c r="U126" s="1" t="str">
        <f>IFERROR(INDEX(_DATA_[],MATCH(_INDICATOR_[[#This Row],[CONTEST_CODE]],_DATA_[CONTEST_CODE],0),MATCH($U$1,_DATA_[#Headers],0)),"-")</f>
        <v>Лидер по продажам продуктов COM направления</v>
      </c>
      <c r="V126" s="1" t="str">
        <f>IFERROR(INDEX(_reward_link_[],MATCH(_INDICATOR_[[#This Row],[CONTEST_CODE]],_reward_link_[CONTEST_CODE],0),MATCH($V$1,_reward_link_[#Headers],0)),"-")</f>
        <v>BANK</v>
      </c>
    </row>
    <row r="127" spans="1:22" hidden="1" x14ac:dyDescent="0.25">
      <c r="A127" s="1" t="s">
        <v>1403</v>
      </c>
      <c r="B127" s="1" t="s">
        <v>2</v>
      </c>
      <c r="C127" s="14" t="s">
        <v>194</v>
      </c>
      <c r="D127" s="14" t="s">
        <v>575</v>
      </c>
      <c r="E127" s="14" t="s">
        <v>575</v>
      </c>
      <c r="F127" s="14" t="s">
        <v>194</v>
      </c>
      <c r="G127" s="14" t="s">
        <v>194</v>
      </c>
      <c r="H127" s="14" t="s">
        <v>194</v>
      </c>
      <c r="I127" s="14" t="s">
        <v>562</v>
      </c>
      <c r="J127" s="1" t="s">
        <v>576</v>
      </c>
      <c r="K127" s="1" t="s">
        <v>2</v>
      </c>
      <c r="L127" s="1" t="s">
        <v>194</v>
      </c>
      <c r="M127" s="1" t="s">
        <v>194</v>
      </c>
      <c r="N127" s="14" t="s">
        <v>194</v>
      </c>
      <c r="O127" s="1" t="s">
        <v>2</v>
      </c>
      <c r="P127" s="1" t="s">
        <v>3315</v>
      </c>
      <c r="Q127" s="1"/>
      <c r="R127" s="1"/>
      <c r="S127" t="str">
        <f>IFERROR(INDEX(_SCHEDULE_[],MATCH(_INDICATOR_[[#This Row],[CONTEST_CODE]],_SCHEDULE_[CONTEST_CODE],0),MATCH($S$1,_SCHEDULE_[#Headers],0)),"-")</f>
        <v>УДАЛЕН</v>
      </c>
      <c r="T127" s="1" t="str">
        <f>IFERROR(INDEX(_group_[],MATCH(_INDICATOR_[[#This Row],[CONTEST_CODE]],_group_[CONTEST_CODE],0),MATCH($T$1,_group_[#Headers],0)),"-")</f>
        <v>BANK</v>
      </c>
      <c r="U127" s="1" t="str">
        <f>IFERROR(INDEX(_DATA_[],MATCH(_INDICATOR_[[#This Row],[CONTEST_CODE]],_DATA_[CONTEST_CODE],0),MATCH($U$1,_DATA_[#Headers],0)),"-")</f>
        <v>Победитель конкурса лучший по профессии</v>
      </c>
      <c r="V127" s="1" t="str">
        <f>IFERROR(INDEX(_reward_link_[],MATCH(_INDICATOR_[[#This Row],[CONTEST_CODE]],_reward_link_[CONTEST_CODE],0),MATCH($V$1,_reward_link_[#Headers],0)),"-")</f>
        <v>BANK</v>
      </c>
    </row>
    <row r="128" spans="1:22" hidden="1" x14ac:dyDescent="0.25">
      <c r="A128" s="1" t="s">
        <v>1399</v>
      </c>
      <c r="B128" s="1" t="s">
        <v>2</v>
      </c>
      <c r="C128" s="14" t="s">
        <v>194</v>
      </c>
      <c r="D128" s="14" t="s">
        <v>575</v>
      </c>
      <c r="E128" s="14" t="s">
        <v>575</v>
      </c>
      <c r="F128" s="14" t="s">
        <v>194</v>
      </c>
      <c r="G128" s="14" t="s">
        <v>194</v>
      </c>
      <c r="H128" s="14" t="s">
        <v>194</v>
      </c>
      <c r="I128" s="14" t="s">
        <v>562</v>
      </c>
      <c r="J128" s="1" t="s">
        <v>576</v>
      </c>
      <c r="K128" s="1" t="s">
        <v>2</v>
      </c>
      <c r="L128" s="1" t="s">
        <v>194</v>
      </c>
      <c r="M128" s="1" t="s">
        <v>194</v>
      </c>
      <c r="N128" s="14" t="s">
        <v>194</v>
      </c>
      <c r="O128" s="1" t="s">
        <v>2</v>
      </c>
      <c r="P128" s="1" t="s">
        <v>3316</v>
      </c>
      <c r="Q128" s="1"/>
      <c r="R128" s="1"/>
      <c r="S128" t="str">
        <f>IFERROR(INDEX(_SCHEDULE_[],MATCH(_INDICATOR_[[#This Row],[CONTEST_CODE]],_SCHEDULE_[CONTEST_CODE],0),MATCH($S$1,_SCHEDULE_[#Headers],0)),"-")</f>
        <v>ОТМЕНЕН</v>
      </c>
      <c r="T128" s="1" t="str">
        <f>IFERROR(INDEX(_group_[],MATCH(_INDICATOR_[[#This Row],[CONTEST_CODE]],_group_[CONTEST_CODE],0),MATCH($T$1,_group_[#Headers],0)),"-")</f>
        <v>BANK</v>
      </c>
      <c r="U128" s="1" t="str">
        <f>IFERROR(INDEX(_DATA_[],MATCH(_INDICATOR_[[#This Row],[CONTEST_CODE]],_DATA_[CONTEST_CODE],0),MATCH($U$1,_DATA_[#Headers],0)),"-")</f>
        <v>Призер конкурса лучший по профессии</v>
      </c>
      <c r="V128" s="1" t="str">
        <f>IFERROR(INDEX(_reward_link_[],MATCH(_INDICATOR_[[#This Row],[CONTEST_CODE]],_reward_link_[CONTEST_CODE],0),MATCH($V$1,_reward_link_[#Headers],0)),"-")</f>
        <v>BANK</v>
      </c>
    </row>
    <row r="129" spans="1:22" hidden="1" x14ac:dyDescent="0.25">
      <c r="A129" s="1" t="s">
        <v>1395</v>
      </c>
      <c r="B129" s="1" t="s">
        <v>2</v>
      </c>
      <c r="C129" s="14" t="s">
        <v>194</v>
      </c>
      <c r="D129" s="14" t="s">
        <v>575</v>
      </c>
      <c r="E129" s="14" t="s">
        <v>575</v>
      </c>
      <c r="F129" s="14" t="s">
        <v>194</v>
      </c>
      <c r="G129" s="14" t="s">
        <v>194</v>
      </c>
      <c r="H129" s="14" t="s">
        <v>194</v>
      </c>
      <c r="I129" s="14" t="s">
        <v>562</v>
      </c>
      <c r="J129" s="1" t="s">
        <v>576</v>
      </c>
      <c r="K129" s="1" t="s">
        <v>2</v>
      </c>
      <c r="L129" s="1" t="s">
        <v>194</v>
      </c>
      <c r="M129" s="1" t="s">
        <v>194</v>
      </c>
      <c r="N129" s="14" t="s">
        <v>194</v>
      </c>
      <c r="O129" s="1" t="s">
        <v>2</v>
      </c>
      <c r="P129" s="1" t="s">
        <v>2894</v>
      </c>
      <c r="Q129" s="1"/>
      <c r="R129" s="1"/>
      <c r="S129" t="str">
        <f>IFERROR(INDEX(_SCHEDULE_[],MATCH(_INDICATOR_[[#This Row],[CONTEST_CODE]],_SCHEDULE_[CONTEST_CODE],0),MATCH($S$1,_SCHEDULE_[#Headers],0)),"-")</f>
        <v>ОТМЕНЕН</v>
      </c>
      <c r="T129" s="1" t="str">
        <f>IFERROR(INDEX(_group_[],MATCH(_INDICATOR_[[#This Row],[CONTEST_CODE]],_group_[CONTEST_CODE],0),MATCH($T$1,_group_[#Headers],0)),"-")</f>
        <v>BANK</v>
      </c>
      <c r="U129" s="1" t="str">
        <f>IFERROR(INDEX(_DATA_[],MATCH(_INDICATOR_[[#This Row],[CONTEST_CODE]],_DATA_[CONTEST_CODE],0),MATCH($U$1,_DATA_[#Headers],0)),"-")</f>
        <v>Финалист конкурса лучший по профессии</v>
      </c>
      <c r="V129" s="1" t="str">
        <f>IFERROR(INDEX(_reward_link_[],MATCH(_INDICATOR_[[#This Row],[CONTEST_CODE]],_reward_link_[CONTEST_CODE],0),MATCH($V$1,_reward_link_[#Headers],0)),"-")</f>
        <v>BANK</v>
      </c>
    </row>
    <row r="130" spans="1:22" hidden="1" x14ac:dyDescent="0.25">
      <c r="A130" s="1" t="s">
        <v>1054</v>
      </c>
      <c r="B130" s="1" t="s">
        <v>2</v>
      </c>
      <c r="C130" s="14" t="s">
        <v>194</v>
      </c>
      <c r="D130" s="14" t="s">
        <v>575</v>
      </c>
      <c r="E130" s="14" t="s">
        <v>575</v>
      </c>
      <c r="F130" s="14" t="s">
        <v>194</v>
      </c>
      <c r="G130" s="14" t="s">
        <v>194</v>
      </c>
      <c r="H130" s="14" t="s">
        <v>194</v>
      </c>
      <c r="I130" s="14" t="s">
        <v>562</v>
      </c>
      <c r="J130" s="1" t="s">
        <v>563</v>
      </c>
      <c r="K130" s="1" t="s">
        <v>2</v>
      </c>
      <c r="L130" s="1" t="s">
        <v>194</v>
      </c>
      <c r="M130" s="1" t="s">
        <v>194</v>
      </c>
      <c r="N130" s="14" t="s">
        <v>194</v>
      </c>
      <c r="O130" s="1" t="s">
        <v>2</v>
      </c>
      <c r="P130" s="1" t="s">
        <v>3317</v>
      </c>
      <c r="Q130" s="1"/>
      <c r="R130" s="1"/>
      <c r="S130" t="str">
        <f>IFERROR(INDEX(_SCHEDULE_[],MATCH(_INDICATOR_[[#This Row],[CONTEST_CODE]],_SCHEDULE_[CONTEST_CODE],0),MATCH($S$1,_SCHEDULE_[#Headers],0)),"-")</f>
        <v>АКТИВНЫЙ</v>
      </c>
      <c r="T130" s="1" t="str">
        <f>IFERROR(INDEX(_group_[],MATCH(_INDICATOR_[[#This Row],[CONTEST_CODE]],_group_[CONTEST_CODE],0),MATCH($T$1,_group_[#Headers],0)),"-")</f>
        <v>BANK</v>
      </c>
      <c r="U130" s="1" t="str">
        <f>IFERROR(INDEX(_DATA_[],MATCH(_INDICATOR_[[#This Row],[CONTEST_CODE]],_DATA_[CONTEST_CODE],0),MATCH($U$1,_DATA_[#Headers],0)),"-")</f>
        <v>1 инициатива</v>
      </c>
      <c r="V130" s="1" t="str">
        <f>IFERROR(INDEX(_reward_link_[],MATCH(_INDICATOR_[[#This Row],[CONTEST_CODE]],_reward_link_[CONTEST_CODE],0),MATCH($V$1,_reward_link_[#Headers],0)),"-")</f>
        <v>BANK</v>
      </c>
    </row>
    <row r="131" spans="1:22" hidden="1" x14ac:dyDescent="0.25">
      <c r="A131" s="1" t="s">
        <v>1056</v>
      </c>
      <c r="B131" s="1" t="s">
        <v>2</v>
      </c>
      <c r="C131" s="14" t="s">
        <v>194</v>
      </c>
      <c r="D131" s="14" t="s">
        <v>575</v>
      </c>
      <c r="E131" s="14" t="s">
        <v>575</v>
      </c>
      <c r="F131" s="14" t="s">
        <v>194</v>
      </c>
      <c r="G131" s="14" t="s">
        <v>194</v>
      </c>
      <c r="H131" s="14" t="s">
        <v>194</v>
      </c>
      <c r="I131" s="14" t="s">
        <v>562</v>
      </c>
      <c r="J131" s="1" t="s">
        <v>563</v>
      </c>
      <c r="K131" s="1" t="s">
        <v>314</v>
      </c>
      <c r="L131" s="1" t="s">
        <v>194</v>
      </c>
      <c r="M131" s="1" t="s">
        <v>194</v>
      </c>
      <c r="N131" s="14" t="s">
        <v>194</v>
      </c>
      <c r="O131" s="1" t="s">
        <v>2</v>
      </c>
      <c r="P131" s="1" t="s">
        <v>2895</v>
      </c>
      <c r="Q131" s="1"/>
      <c r="R131" s="1"/>
      <c r="S131" t="str">
        <f>IFERROR(INDEX(_SCHEDULE_[],MATCH(_INDICATOR_[[#This Row],[CONTEST_CODE]],_SCHEDULE_[CONTEST_CODE],0),MATCH($S$1,_SCHEDULE_[#Headers],0)),"-")</f>
        <v>АКТИВНЫЙ</v>
      </c>
      <c r="T131" s="1" t="str">
        <f>IFERROR(INDEX(_group_[],MATCH(_INDICATOR_[[#This Row],[CONTEST_CODE]],_group_[CONTEST_CODE],0),MATCH($T$1,_group_[#Headers],0)),"-")</f>
        <v>BANK</v>
      </c>
      <c r="U131" s="1" t="str">
        <f>IFERROR(INDEX(_DATA_[],MATCH(_INDICATOR_[[#This Row],[CONTEST_CODE]],_DATA_[CONTEST_CODE],0),MATCH($U$1,_DATA_[#Headers],0)),"-")</f>
        <v>3 инициативы</v>
      </c>
      <c r="V131" s="1" t="str">
        <f>IFERROR(INDEX(_reward_link_[],MATCH(_INDICATOR_[[#This Row],[CONTEST_CODE]],_reward_link_[CONTEST_CODE],0),MATCH($V$1,_reward_link_[#Headers],0)),"-")</f>
        <v>BANK</v>
      </c>
    </row>
    <row r="132" spans="1:22" hidden="1" x14ac:dyDescent="0.25">
      <c r="A132" s="1" t="s">
        <v>1057</v>
      </c>
      <c r="B132" s="1" t="s">
        <v>2</v>
      </c>
      <c r="C132" s="14" t="s">
        <v>194</v>
      </c>
      <c r="D132" s="14" t="s">
        <v>575</v>
      </c>
      <c r="E132" s="14" t="s">
        <v>575</v>
      </c>
      <c r="F132" s="14" t="s">
        <v>194</v>
      </c>
      <c r="G132" s="14" t="s">
        <v>194</v>
      </c>
      <c r="H132" s="14" t="s">
        <v>194</v>
      </c>
      <c r="I132" s="14" t="s">
        <v>562</v>
      </c>
      <c r="J132" s="1" t="s">
        <v>563</v>
      </c>
      <c r="K132" s="1" t="s">
        <v>317</v>
      </c>
      <c r="L132" s="1" t="s">
        <v>194</v>
      </c>
      <c r="M132" s="1" t="s">
        <v>194</v>
      </c>
      <c r="N132" s="14" t="s">
        <v>194</v>
      </c>
      <c r="O132" s="1" t="s">
        <v>2</v>
      </c>
      <c r="P132" s="1" t="s">
        <v>3318</v>
      </c>
      <c r="Q132" s="1"/>
      <c r="R132" s="1"/>
      <c r="S132" t="str">
        <f>IFERROR(INDEX(_SCHEDULE_[],MATCH(_INDICATOR_[[#This Row],[CONTEST_CODE]],_SCHEDULE_[CONTEST_CODE],0),MATCH($S$1,_SCHEDULE_[#Headers],0)),"-")</f>
        <v>АКТИВНЫЙ</v>
      </c>
      <c r="T132" s="1" t="str">
        <f>IFERROR(INDEX(_group_[],MATCH(_INDICATOR_[[#This Row],[CONTEST_CODE]],_group_[CONTEST_CODE],0),MATCH($T$1,_group_[#Headers],0)),"-")</f>
        <v>BANK</v>
      </c>
      <c r="U132" s="1" t="str">
        <f>IFERROR(INDEX(_DATA_[],MATCH(_INDICATOR_[[#This Row],[CONTEST_CODE]],_DATA_[CONTEST_CODE],0),MATCH($U$1,_DATA_[#Headers],0)),"-")</f>
        <v>5 инициатив</v>
      </c>
      <c r="V132" s="1" t="str">
        <f>IFERROR(INDEX(_reward_link_[],MATCH(_INDICATOR_[[#This Row],[CONTEST_CODE]],_reward_link_[CONTEST_CODE],0),MATCH($V$1,_reward_link_[#Headers],0)),"-")</f>
        <v>BANK</v>
      </c>
    </row>
    <row r="133" spans="1:22" hidden="1" x14ac:dyDescent="0.25">
      <c r="A133" s="1" t="s">
        <v>1391</v>
      </c>
      <c r="B133" s="1" t="s">
        <v>2</v>
      </c>
      <c r="C133" s="14" t="s">
        <v>194</v>
      </c>
      <c r="D133" s="14" t="s">
        <v>575</v>
      </c>
      <c r="E133" s="14" t="s">
        <v>575</v>
      </c>
      <c r="F133" s="14" t="s">
        <v>194</v>
      </c>
      <c r="G133" s="14" t="s">
        <v>194</v>
      </c>
      <c r="H133" s="14" t="s">
        <v>194</v>
      </c>
      <c r="I133" s="14" t="s">
        <v>562</v>
      </c>
      <c r="J133" s="1" t="s">
        <v>563</v>
      </c>
      <c r="K133" s="1" t="s">
        <v>308</v>
      </c>
      <c r="L133" s="1" t="s">
        <v>194</v>
      </c>
      <c r="M133" s="1" t="s">
        <v>194</v>
      </c>
      <c r="N133" s="14" t="s">
        <v>194</v>
      </c>
      <c r="O133" s="1" t="s">
        <v>2</v>
      </c>
      <c r="P133" s="1" t="s">
        <v>3319</v>
      </c>
      <c r="Q133" s="1"/>
      <c r="R133" s="1"/>
      <c r="S133" t="str">
        <f>IFERROR(INDEX(_SCHEDULE_[],MATCH(_INDICATOR_[[#This Row],[CONTEST_CODE]],_SCHEDULE_[CONTEST_CODE],0),MATCH($S$1,_SCHEDULE_[#Headers],0)),"-")</f>
        <v>ОТМЕНЕН</v>
      </c>
      <c r="T133" s="1" t="str">
        <f>IFERROR(INDEX(_group_[],MATCH(_INDICATOR_[[#This Row],[CONTEST_CODE]],_group_[CONTEST_CODE],0),MATCH($T$1,_group_[#Headers],0)),"-")</f>
        <v>BANK</v>
      </c>
      <c r="U133" s="1" t="str">
        <f>IFERROR(INDEX(_DATA_[],MATCH(_INDICATOR_[[#This Row],[CONTEST_CODE]],_DATA_[CONTEST_CODE],0),MATCH($U$1,_DATA_[#Headers],0)),"-")</f>
        <v xml:space="preserve">SLA на 100% </v>
      </c>
      <c r="V133" s="1" t="str">
        <f>IFERROR(INDEX(_reward_link_[],MATCH(_INDICATOR_[[#This Row],[CONTEST_CODE]],_reward_link_[CONTEST_CODE],0),MATCH($V$1,_reward_link_[#Headers],0)),"-")</f>
        <v>BANK</v>
      </c>
    </row>
    <row r="134" spans="1:22" hidden="1" x14ac:dyDescent="0.25">
      <c r="A134" s="1" t="s">
        <v>1387</v>
      </c>
      <c r="B134" s="1" t="s">
        <v>2</v>
      </c>
      <c r="C134" s="14" t="s">
        <v>194</v>
      </c>
      <c r="D134" s="14" t="s">
        <v>575</v>
      </c>
      <c r="E134" s="14" t="s">
        <v>575</v>
      </c>
      <c r="F134" s="14" t="s">
        <v>194</v>
      </c>
      <c r="G134" s="14" t="s">
        <v>194</v>
      </c>
      <c r="H134" s="14" t="s">
        <v>194</v>
      </c>
      <c r="I134" s="14" t="s">
        <v>562</v>
      </c>
      <c r="J134" s="1" t="s">
        <v>563</v>
      </c>
      <c r="K134" s="1" t="s">
        <v>308</v>
      </c>
      <c r="L134" s="1" t="s">
        <v>194</v>
      </c>
      <c r="M134" s="1" t="s">
        <v>194</v>
      </c>
      <c r="N134" s="14" t="s">
        <v>194</v>
      </c>
      <c r="O134" s="1" t="s">
        <v>2</v>
      </c>
      <c r="P134" s="1" t="s">
        <v>2896</v>
      </c>
      <c r="Q134" s="1"/>
      <c r="R134" s="1"/>
      <c r="S134" t="str">
        <f>IFERROR(INDEX(_SCHEDULE_[],MATCH(_INDICATOR_[[#This Row],[CONTEST_CODE]],_SCHEDULE_[CONTEST_CODE],0),MATCH($S$1,_SCHEDULE_[#Headers],0)),"-")</f>
        <v>ОТМЕНЕН</v>
      </c>
      <c r="T134" s="1" t="str">
        <f>IFERROR(INDEX(_group_[],MATCH(_INDICATOR_[[#This Row],[CONTEST_CODE]],_group_[CONTEST_CODE],0),MATCH($T$1,_group_[#Headers],0)),"-")</f>
        <v>BANK</v>
      </c>
      <c r="U134" s="1" t="str">
        <f>IFERROR(INDEX(_DATA_[],MATCH(_INDICATOR_[[#This Row],[CONTEST_CODE]],_DATA_[CONTEST_CODE],0),MATCH($U$1,_DATA_[#Headers],0)),"-")</f>
        <v xml:space="preserve">CSI на 100% </v>
      </c>
      <c r="V134" s="1" t="str">
        <f>IFERROR(INDEX(_reward_link_[],MATCH(_INDICATOR_[[#This Row],[CONTEST_CODE]],_reward_link_[CONTEST_CODE],0),MATCH($V$1,_reward_link_[#Headers],0)),"-")</f>
        <v>BANK</v>
      </c>
    </row>
    <row r="135" spans="1:22" hidden="1" x14ac:dyDescent="0.25">
      <c r="A135" s="1" t="s">
        <v>2216</v>
      </c>
      <c r="B135" s="1" t="s">
        <v>2</v>
      </c>
      <c r="C135" s="14" t="s">
        <v>194</v>
      </c>
      <c r="D135" s="14" t="s">
        <v>575</v>
      </c>
      <c r="E135" s="14" t="s">
        <v>575</v>
      </c>
      <c r="F135" s="14" t="s">
        <v>194</v>
      </c>
      <c r="G135" s="14" t="s">
        <v>194</v>
      </c>
      <c r="H135" s="14" t="s">
        <v>194</v>
      </c>
      <c r="I135" s="14" t="s">
        <v>573</v>
      </c>
      <c r="J135" s="1" t="s">
        <v>574</v>
      </c>
      <c r="K135" s="1" t="s">
        <v>194</v>
      </c>
      <c r="L135" s="1" t="s">
        <v>194</v>
      </c>
      <c r="M135" s="1" t="s">
        <v>194</v>
      </c>
      <c r="N135" s="14" t="s">
        <v>194</v>
      </c>
      <c r="O135" s="1" t="s">
        <v>2</v>
      </c>
      <c r="P135" s="1" t="s">
        <v>2897</v>
      </c>
      <c r="Q135" s="1"/>
      <c r="R135" s="1"/>
      <c r="S135" t="str">
        <f>IFERROR(INDEX(_SCHEDULE_[],MATCH(_INDICATOR_[[#This Row],[CONTEST_CODE]],_SCHEDULE_[CONTEST_CODE],0),MATCH($S$1,_SCHEDULE_[#Headers],0)),"-")</f>
        <v>ЗАВЕРШЕН</v>
      </c>
      <c r="T135" s="1" t="str">
        <f>IFERROR(INDEX(_group_[],MATCH(_INDICATOR_[[#This Row],[CONTEST_CODE]],_group_[CONTEST_CODE],0),MATCH($T$1,_group_[#Headers],0)),"-")</f>
        <v>BANK</v>
      </c>
      <c r="U135" s="1" t="str">
        <f>IFERROR(INDEX(_DATA_[],MATCH(_INDICATOR_[[#This Row],[CONTEST_CODE]],_DATA_[CONTEST_CODE],0),MATCH($U$1,_DATA_[#Headers],0)),"-")</f>
        <v>Первенство КМ хантер по сумме лимитов реализованных сделок</v>
      </c>
      <c r="V135" s="1" t="str">
        <f>IFERROR(INDEX(_reward_link_[],MATCH(_INDICATOR_[[#This Row],[CONTEST_CODE]],_reward_link_[CONTEST_CODE],0),MATCH($V$1,_reward_link_[#Headers],0)),"-")</f>
        <v>BANK</v>
      </c>
    </row>
    <row r="136" spans="1:22" hidden="1" x14ac:dyDescent="0.25">
      <c r="A136" s="1" t="s">
        <v>2218</v>
      </c>
      <c r="B136" s="1" t="s">
        <v>2</v>
      </c>
      <c r="C136" s="14" t="s">
        <v>194</v>
      </c>
      <c r="D136" s="14" t="s">
        <v>575</v>
      </c>
      <c r="E136" s="14" t="s">
        <v>575</v>
      </c>
      <c r="F136" s="14" t="s">
        <v>194</v>
      </c>
      <c r="G136" s="14" t="s">
        <v>194</v>
      </c>
      <c r="H136" s="14" t="s">
        <v>194</v>
      </c>
      <c r="I136" s="14" t="s">
        <v>573</v>
      </c>
      <c r="J136" s="1" t="s">
        <v>574</v>
      </c>
      <c r="K136" s="1" t="s">
        <v>194</v>
      </c>
      <c r="L136" s="1" t="s">
        <v>194</v>
      </c>
      <c r="M136" s="1" t="s">
        <v>194</v>
      </c>
      <c r="N136" s="14" t="s">
        <v>194</v>
      </c>
      <c r="O136" s="1" t="s">
        <v>2</v>
      </c>
      <c r="P136" s="1" t="s">
        <v>3320</v>
      </c>
      <c r="Q136" s="1"/>
      <c r="R136" s="1"/>
      <c r="S136" t="str">
        <f>IFERROR(INDEX(_SCHEDULE_[],MATCH(_INDICATOR_[[#This Row],[CONTEST_CODE]],_SCHEDULE_[CONTEST_CODE],0),MATCH($S$1,_SCHEDULE_[#Headers],0)),"-")</f>
        <v>ЗАВЕРШЕН</v>
      </c>
      <c r="T136" s="1" t="str">
        <f>IFERROR(INDEX(_group_[],MATCH(_INDICATOR_[[#This Row],[CONTEST_CODE]],_group_[CONTEST_CODE],0),MATCH($T$1,_group_[#Headers],0)),"-")</f>
        <v>BANK</v>
      </c>
      <c r="U136" s="1" t="str">
        <f>IFERROR(INDEX(_DATA_[],MATCH(_INDICATOR_[[#This Row],[CONTEST_CODE]],_DATA_[CONTEST_CODE],0),MATCH($U$1,_DATA_[#Headers],0)),"-")</f>
        <v>Новые деньги. Наращиваем СДО (МРБ)</v>
      </c>
      <c r="V136" s="1" t="str">
        <f>IFERROR(INDEX(_reward_link_[],MATCH(_INDICATOR_[[#This Row],[CONTEST_CODE]],_reward_link_[CONTEST_CODE],0),MATCH($V$1,_reward_link_[#Headers],0)),"-")</f>
        <v>BANK</v>
      </c>
    </row>
    <row r="137" spans="1:22" hidden="1" x14ac:dyDescent="0.25">
      <c r="A137" s="1" t="s">
        <v>2220</v>
      </c>
      <c r="B137" s="1" t="s">
        <v>2</v>
      </c>
      <c r="C137" s="14" t="s">
        <v>194</v>
      </c>
      <c r="D137" s="14" t="s">
        <v>575</v>
      </c>
      <c r="E137" s="14" t="s">
        <v>575</v>
      </c>
      <c r="F137" s="14" t="s">
        <v>194</v>
      </c>
      <c r="G137" s="14" t="s">
        <v>194</v>
      </c>
      <c r="H137" s="14" t="s">
        <v>194</v>
      </c>
      <c r="I137" s="14" t="s">
        <v>573</v>
      </c>
      <c r="J137" s="1" t="s">
        <v>574</v>
      </c>
      <c r="K137" s="1" t="s">
        <v>194</v>
      </c>
      <c r="L137" s="1" t="s">
        <v>194</v>
      </c>
      <c r="M137" s="1" t="s">
        <v>194</v>
      </c>
      <c r="N137" s="14" t="s">
        <v>194</v>
      </c>
      <c r="O137" s="1" t="s">
        <v>2</v>
      </c>
      <c r="P137" s="1" t="s">
        <v>3321</v>
      </c>
      <c r="Q137" s="1"/>
      <c r="R137" s="1"/>
      <c r="S137" t="str">
        <f>IFERROR(INDEX(_SCHEDULE_[],MATCH(_INDICATOR_[[#This Row],[CONTEST_CODE]],_SCHEDULE_[CONTEST_CODE],0),MATCH($S$1,_SCHEDULE_[#Headers],0)),"-")</f>
        <v>ЗАВЕРШЕН</v>
      </c>
      <c r="T137" s="1" t="str">
        <f>IFERROR(INDEX(_group_[],MATCH(_INDICATOR_[[#This Row],[CONTEST_CODE]],_group_[CONTEST_CODE],0),MATCH($T$1,_group_[#Headers],0)),"-")</f>
        <v>BANK</v>
      </c>
      <c r="U137" s="1" t="str">
        <f>IFERROR(INDEX(_DATA_[],MATCH(_INDICATOR_[[#This Row],[CONTEST_CODE]],_DATA_[CONTEST_CODE],0),MATCH($U$1,_DATA_[#Headers],0)),"-")</f>
        <v>Новые деньги. Наращиваем СДО (КМ с портфелем)</v>
      </c>
      <c r="V137" s="1" t="str">
        <f>IFERROR(INDEX(_reward_link_[],MATCH(_INDICATOR_[[#This Row],[CONTEST_CODE]],_reward_link_[CONTEST_CODE],0),MATCH($V$1,_reward_link_[#Headers],0)),"-")</f>
        <v>BANK</v>
      </c>
    </row>
    <row r="138" spans="1:22" hidden="1" x14ac:dyDescent="0.25">
      <c r="A138" s="1" t="s">
        <v>2222</v>
      </c>
      <c r="B138" s="1" t="s">
        <v>2</v>
      </c>
      <c r="C138" s="14" t="s">
        <v>194</v>
      </c>
      <c r="D138" s="14" t="s">
        <v>575</v>
      </c>
      <c r="E138" s="14" t="s">
        <v>575</v>
      </c>
      <c r="F138" s="14" t="s">
        <v>194</v>
      </c>
      <c r="G138" s="14" t="s">
        <v>194</v>
      </c>
      <c r="H138" s="14" t="s">
        <v>194</v>
      </c>
      <c r="I138" s="14" t="s">
        <v>573</v>
      </c>
      <c r="J138" s="1" t="s">
        <v>574</v>
      </c>
      <c r="K138" s="1" t="s">
        <v>194</v>
      </c>
      <c r="L138" s="1" t="s">
        <v>194</v>
      </c>
      <c r="M138" s="1" t="s">
        <v>194</v>
      </c>
      <c r="N138" s="14" t="s">
        <v>194</v>
      </c>
      <c r="O138" s="1" t="s">
        <v>2</v>
      </c>
      <c r="P138" s="1" t="s">
        <v>2898</v>
      </c>
      <c r="Q138" s="1"/>
      <c r="R138" s="1"/>
      <c r="S138" t="str">
        <f>IFERROR(INDEX(_SCHEDULE_[],MATCH(_INDICATOR_[[#This Row],[CONTEST_CODE]],_SCHEDULE_[CONTEST_CODE],0),MATCH($S$1,_SCHEDULE_[#Headers],0)),"-")</f>
        <v>ЗАВЕРШЕН</v>
      </c>
      <c r="T138" s="1" t="str">
        <f>IFERROR(INDEX(_group_[],MATCH(_INDICATOR_[[#This Row],[CONTEST_CODE]],_group_[CONTEST_CODE],0),MATCH($T$1,_group_[#Headers],0)),"-")</f>
        <v>BANK</v>
      </c>
      <c r="U138" s="1" t="str">
        <f>IFERROR(INDEX(_DATA_[],MATCH(_INDICATOR_[[#This Row],[CONTEST_CODE]],_DATA_[CONTEST_CODE],0),MATCH($U$1,_DATA_[#Headers],0)),"-")</f>
        <v>Производительность. Потоковые сделки (МС)</v>
      </c>
      <c r="V138" s="1" t="str">
        <f>IFERROR(INDEX(_reward_link_[],MATCH(_INDICATOR_[[#This Row],[CONTEST_CODE]],_reward_link_[CONTEST_CODE],0),MATCH($V$1,_reward_link_[#Headers],0)),"-")</f>
        <v>BANK</v>
      </c>
    </row>
    <row r="139" spans="1:22" hidden="1" x14ac:dyDescent="0.25">
      <c r="A139" s="1" t="s">
        <v>2224</v>
      </c>
      <c r="B139" s="1" t="s">
        <v>2</v>
      </c>
      <c r="C139" s="14" t="s">
        <v>194</v>
      </c>
      <c r="D139" s="14" t="s">
        <v>575</v>
      </c>
      <c r="E139" s="14" t="s">
        <v>575</v>
      </c>
      <c r="F139" s="14" t="s">
        <v>194</v>
      </c>
      <c r="G139" s="14" t="s">
        <v>194</v>
      </c>
      <c r="H139" s="14" t="s">
        <v>194</v>
      </c>
      <c r="I139" s="14" t="s">
        <v>573</v>
      </c>
      <c r="J139" s="1" t="s">
        <v>574</v>
      </c>
      <c r="K139" s="1" t="s">
        <v>194</v>
      </c>
      <c r="L139" s="1" t="s">
        <v>194</v>
      </c>
      <c r="M139" s="1" t="s">
        <v>194</v>
      </c>
      <c r="N139" s="14" t="s">
        <v>194</v>
      </c>
      <c r="O139" s="1" t="s">
        <v>2</v>
      </c>
      <c r="P139" s="1" t="s">
        <v>3322</v>
      </c>
      <c r="Q139" s="1"/>
      <c r="R139" s="1"/>
      <c r="S139" t="str">
        <f>IFERROR(INDEX(_SCHEDULE_[],MATCH(_INDICATOR_[[#This Row],[CONTEST_CODE]],_SCHEDULE_[CONTEST_CODE],0),MATCH($S$1,_SCHEDULE_[#Headers],0)),"-")</f>
        <v>ЗАВЕРШЕН</v>
      </c>
      <c r="T139" s="1" t="str">
        <f>IFERROR(INDEX(_group_[],MATCH(_INDICATOR_[[#This Row],[CONTEST_CODE]],_group_[CONTEST_CODE],0),MATCH($T$1,_group_[#Headers],0)),"-")</f>
        <v>BANK</v>
      </c>
      <c r="U139" s="1" t="str">
        <f>IFERROR(INDEX(_DATA_[],MATCH(_INDICATOR_[[#This Row],[CONTEST_CODE]],_DATA_[CONTEST_CODE],0),MATCH($U$1,_DATA_[#Headers],0)),"-")</f>
        <v>Производительность. Индивидуальные сделки (МС)</v>
      </c>
      <c r="V139" s="1" t="str">
        <f>IFERROR(INDEX(_reward_link_[],MATCH(_INDICATOR_[[#This Row],[CONTEST_CODE]],_reward_link_[CONTEST_CODE],0),MATCH($V$1,_reward_link_[#Headers],0)),"-")</f>
        <v>BANK</v>
      </c>
    </row>
    <row r="140" spans="1:22" hidden="1" x14ac:dyDescent="0.25">
      <c r="A140" s="1" t="s">
        <v>2226</v>
      </c>
      <c r="B140" s="1" t="s">
        <v>2</v>
      </c>
      <c r="C140" s="14" t="s">
        <v>194</v>
      </c>
      <c r="D140" s="14" t="s">
        <v>575</v>
      </c>
      <c r="E140" s="14" t="s">
        <v>575</v>
      </c>
      <c r="F140" s="14" t="s">
        <v>194</v>
      </c>
      <c r="G140" s="14" t="s">
        <v>194</v>
      </c>
      <c r="H140" s="14" t="s">
        <v>194</v>
      </c>
      <c r="I140" s="14" t="s">
        <v>573</v>
      </c>
      <c r="J140" s="1" t="s">
        <v>574</v>
      </c>
      <c r="K140" s="1" t="s">
        <v>194</v>
      </c>
      <c r="L140" s="1" t="s">
        <v>194</v>
      </c>
      <c r="M140" s="1" t="s">
        <v>194</v>
      </c>
      <c r="N140" s="14" t="s">
        <v>194</v>
      </c>
      <c r="O140" s="1" t="s">
        <v>2</v>
      </c>
      <c r="P140" s="1" t="s">
        <v>3323</v>
      </c>
      <c r="Q140" s="1"/>
      <c r="R140" s="1"/>
      <c r="S140" t="str">
        <f>IFERROR(INDEX(_SCHEDULE_[],MATCH(_INDICATOR_[[#This Row],[CONTEST_CODE]],_SCHEDULE_[CONTEST_CODE],0),MATCH($S$1,_SCHEDULE_[#Headers],0)),"-")</f>
        <v>ЗАВЕРШЕН</v>
      </c>
      <c r="T140" s="1" t="str">
        <f>IFERROR(INDEX(_group_[],MATCH(_INDICATOR_[[#This Row],[CONTEST_CODE]],_group_[CONTEST_CODE],0),MATCH($T$1,_group_[#Headers],0)),"-")</f>
        <v>BANK</v>
      </c>
      <c r="U140" s="1" t="str">
        <f>IFERROR(INDEX(_DATA_[],MATCH(_INDICATOR_[[#This Row],[CONTEST_CODE]],_DATA_[CONTEST_CODE],0),MATCH($U$1,_DATA_[#Headers],0)),"-")</f>
        <v>Производительность. Сделки изменений (МС)</v>
      </c>
      <c r="V140" s="1" t="str">
        <f>IFERROR(INDEX(_reward_link_[],MATCH(_INDICATOR_[[#This Row],[CONTEST_CODE]],_reward_link_[CONTEST_CODE],0),MATCH($V$1,_reward_link_[#Headers],0)),"-")</f>
        <v>BANK</v>
      </c>
    </row>
    <row r="141" spans="1:22" hidden="1" x14ac:dyDescent="0.25">
      <c r="A141" s="1" t="s">
        <v>2248</v>
      </c>
      <c r="B141" s="1" t="s">
        <v>2</v>
      </c>
      <c r="C141" s="14" t="s">
        <v>194</v>
      </c>
      <c r="D141" s="14" t="s">
        <v>575</v>
      </c>
      <c r="E141" s="14" t="s">
        <v>575</v>
      </c>
      <c r="F141" s="14" t="s">
        <v>194</v>
      </c>
      <c r="G141" s="14" t="s">
        <v>194</v>
      </c>
      <c r="H141" s="14" t="s">
        <v>194</v>
      </c>
      <c r="I141" s="14" t="s">
        <v>573</v>
      </c>
      <c r="J141" s="1" t="s">
        <v>574</v>
      </c>
      <c r="K141" s="1" t="s">
        <v>194</v>
      </c>
      <c r="L141" s="1" t="s">
        <v>194</v>
      </c>
      <c r="M141" s="1" t="s">
        <v>194</v>
      </c>
      <c r="N141" s="14" t="s">
        <v>194</v>
      </c>
      <c r="O141" s="1" t="s">
        <v>2</v>
      </c>
      <c r="P141" s="1" t="s">
        <v>2899</v>
      </c>
      <c r="Q141" s="1"/>
      <c r="R141" s="1"/>
      <c r="S141" t="str">
        <f>IFERROR(INDEX(_SCHEDULE_[],MATCH(_INDICATOR_[[#This Row],[CONTEST_CODE]],_SCHEDULE_[CONTEST_CODE],0),MATCH($S$1,_SCHEDULE_[#Headers],0)),"-")</f>
        <v>АКТИВНЫЙ</v>
      </c>
      <c r="T141" s="1" t="str">
        <f>IFERROR(INDEX(_group_[],MATCH(_INDICATOR_[[#This Row],[CONTEST_CODE]],_group_[CONTEST_CODE],0),MATCH($T$1,_group_[#Headers],0)),"-")</f>
        <v>TB</v>
      </c>
      <c r="U141" s="1" t="str">
        <f>IFERROR(INDEX(_DATA_[],MATCH(_INDICATOR_[[#This Row],[CONTEST_CODE]],_DATA_[CONTEST_CODE],0),MATCH($U$1,_DATA_[#Headers],0)),"-")</f>
        <v>Марафон УК Первая</v>
      </c>
      <c r="V141" s="1" t="str">
        <f>IFERROR(INDEX(_reward_link_[],MATCH(_INDICATOR_[[#This Row],[CONTEST_CODE]],_reward_link_[CONTEST_CODE],0),MATCH($V$1,_reward_link_[#Headers],0)),"-")</f>
        <v>TB</v>
      </c>
    </row>
    <row r="142" spans="1:22" hidden="1" x14ac:dyDescent="0.25">
      <c r="A142" s="1" t="s">
        <v>2249</v>
      </c>
      <c r="B142" s="1" t="s">
        <v>2</v>
      </c>
      <c r="C142" s="14" t="s">
        <v>194</v>
      </c>
      <c r="D142" s="14" t="s">
        <v>575</v>
      </c>
      <c r="E142" s="14" t="s">
        <v>575</v>
      </c>
      <c r="F142" s="14" t="s">
        <v>194</v>
      </c>
      <c r="G142" s="14" t="s">
        <v>194</v>
      </c>
      <c r="H142" s="14" t="s">
        <v>194</v>
      </c>
      <c r="I142" s="14" t="s">
        <v>573</v>
      </c>
      <c r="J142" s="1" t="s">
        <v>574</v>
      </c>
      <c r="K142" s="1" t="s">
        <v>194</v>
      </c>
      <c r="L142" s="1" t="s">
        <v>194</v>
      </c>
      <c r="M142" s="1" t="s">
        <v>194</v>
      </c>
      <c r="N142" s="14" t="s">
        <v>194</v>
      </c>
      <c r="O142" s="1" t="s">
        <v>2</v>
      </c>
      <c r="P142" s="1" t="s">
        <v>3324</v>
      </c>
      <c r="Q142" s="1"/>
      <c r="R142" s="1"/>
      <c r="S142" t="str">
        <f>IFERROR(INDEX(_SCHEDULE_[],MATCH(_INDICATOR_[[#This Row],[CONTEST_CODE]],_SCHEDULE_[CONTEST_CODE],0),MATCH($S$1,_SCHEDULE_[#Headers],0)),"-")</f>
        <v>АКТИВНЫЙ</v>
      </c>
      <c r="T142" s="1" t="str">
        <f>IFERROR(INDEX(_group_[],MATCH(_INDICATOR_[[#This Row],[CONTEST_CODE]],_group_[CONTEST_CODE],0),MATCH($T$1,_group_[#Headers],0)),"-")</f>
        <v>BANK</v>
      </c>
      <c r="U142" s="1" t="str">
        <f>IFERROR(INDEX(_DATA_[],MATCH(_INDICATOR_[[#This Row],[CONTEST_CODE]],_DATA_[CONTEST_CODE],0),MATCH($U$1,_DATA_[#Headers],0)),"-")</f>
        <v>Турнир по квадратным метрам</v>
      </c>
      <c r="V142" s="1" t="str">
        <f>IFERROR(INDEX(_reward_link_[],MATCH(_INDICATOR_[[#This Row],[CONTEST_CODE]],_reward_link_[CONTEST_CODE],0),MATCH($V$1,_reward_link_[#Headers],0)),"-")</f>
        <v>TB</v>
      </c>
    </row>
    <row r="143" spans="1:22" hidden="1" x14ac:dyDescent="0.25">
      <c r="A143" s="1" t="s">
        <v>2251</v>
      </c>
      <c r="B143" s="1" t="s">
        <v>2</v>
      </c>
      <c r="C143" s="14" t="s">
        <v>194</v>
      </c>
      <c r="D143" s="14" t="s">
        <v>575</v>
      </c>
      <c r="E143" s="14" t="s">
        <v>575</v>
      </c>
      <c r="F143" s="14" t="s">
        <v>194</v>
      </c>
      <c r="G143" s="14" t="s">
        <v>194</v>
      </c>
      <c r="H143" s="14" t="s">
        <v>194</v>
      </c>
      <c r="I143" s="14" t="s">
        <v>573</v>
      </c>
      <c r="J143" s="1" t="s">
        <v>574</v>
      </c>
      <c r="K143" s="1" t="s">
        <v>194</v>
      </c>
      <c r="L143" s="1" t="s">
        <v>194</v>
      </c>
      <c r="M143" s="1" t="s">
        <v>194</v>
      </c>
      <c r="N143" s="14" t="s">
        <v>194</v>
      </c>
      <c r="O143" s="1" t="s">
        <v>2</v>
      </c>
      <c r="P143" s="1" t="s">
        <v>3325</v>
      </c>
      <c r="Q143" s="1"/>
      <c r="R143" s="1"/>
      <c r="S143" t="str">
        <f>IFERROR(INDEX(_SCHEDULE_[],MATCH(_INDICATOR_[[#This Row],[CONTEST_CODE]],_SCHEDULE_[CONTEST_CODE],0),MATCH($S$1,_SCHEDULE_[#Headers],0)),"-")</f>
        <v>АКТИВНЫЙ</v>
      </c>
      <c r="T143" s="1" t="str">
        <f>IFERROR(INDEX(_group_[],MATCH(_INDICATOR_[[#This Row],[CONTEST_CODE]],_group_[CONTEST_CODE],0),MATCH($T$1,_group_[#Headers],0)),"-")</f>
        <v>TB</v>
      </c>
      <c r="U143" s="1" t="str">
        <f>IFERROR(INDEX(_DATA_[],MATCH(_INDICATOR_[[#This Row],[CONTEST_CODE]],_DATA_[CONTEST_CODE],0),MATCH($U$1,_DATA_[#Headers],0)),"-")</f>
        <v>Ралли брокера</v>
      </c>
      <c r="V143" s="1" t="str">
        <f>IFERROR(INDEX(_reward_link_[],MATCH(_INDICATOR_[[#This Row],[CONTEST_CODE]],_reward_link_[CONTEST_CODE],0),MATCH($V$1,_reward_link_[#Headers],0)),"-")</f>
        <v>TB</v>
      </c>
    </row>
    <row r="144" spans="1:22" hidden="1" x14ac:dyDescent="0.25">
      <c r="A144" s="1" t="s">
        <v>2253</v>
      </c>
      <c r="B144" s="1" t="s">
        <v>2</v>
      </c>
      <c r="C144" s="14" t="s">
        <v>194</v>
      </c>
      <c r="D144" s="14" t="s">
        <v>575</v>
      </c>
      <c r="E144" s="14" t="s">
        <v>575</v>
      </c>
      <c r="F144" s="14" t="s">
        <v>194</v>
      </c>
      <c r="G144" s="14" t="s">
        <v>194</v>
      </c>
      <c r="H144" s="14" t="s">
        <v>194</v>
      </c>
      <c r="I144" s="14" t="s">
        <v>573</v>
      </c>
      <c r="J144" s="1" t="s">
        <v>574</v>
      </c>
      <c r="K144" s="1" t="s">
        <v>194</v>
      </c>
      <c r="L144" s="1" t="s">
        <v>194</v>
      </c>
      <c r="M144" s="1" t="s">
        <v>194</v>
      </c>
      <c r="N144" s="14" t="s">
        <v>194</v>
      </c>
      <c r="O144" s="1" t="s">
        <v>2</v>
      </c>
      <c r="P144" s="1" t="s">
        <v>2900</v>
      </c>
      <c r="Q144" s="1"/>
      <c r="R144" s="1"/>
      <c r="S144" t="str">
        <f>IFERROR(INDEX(_SCHEDULE_[],MATCH(_INDICATOR_[[#This Row],[CONTEST_CODE]],_SCHEDULE_[CONTEST_CODE],0),MATCH($S$1,_SCHEDULE_[#Headers],0)),"-")</f>
        <v>АКТИВНЫЙ</v>
      </c>
      <c r="T144" s="1" t="str">
        <f>IFERROR(INDEX(_group_[],MATCH(_INDICATOR_[[#This Row],[CONTEST_CODE]],_group_[CONTEST_CODE],0),MATCH($T$1,_group_[#Headers],0)),"-")</f>
        <v>TB</v>
      </c>
      <c r="U144" s="1" t="str">
        <f>IFERROR(INDEX(_DATA_[],MATCH(_INDICATOR_[[#This Row],[CONTEST_CODE]],_DATA_[CONTEST_CODE],0),MATCH($U$1,_DATA_[#Headers],0)),"-")</f>
        <v>Страховой олимп</v>
      </c>
      <c r="V144" s="1" t="str">
        <f>IFERROR(INDEX(_reward_link_[],MATCH(_INDICATOR_[[#This Row],[CONTEST_CODE]],_reward_link_[CONTEST_CODE],0),MATCH($V$1,_reward_link_[#Headers],0)),"-")</f>
        <v>TB</v>
      </c>
    </row>
    <row r="145" spans="1:22" hidden="1" x14ac:dyDescent="0.25">
      <c r="A145" s="1" t="s">
        <v>2234</v>
      </c>
      <c r="B145" s="1" t="s">
        <v>2</v>
      </c>
      <c r="C145" s="14" t="s">
        <v>194</v>
      </c>
      <c r="D145" s="14" t="s">
        <v>575</v>
      </c>
      <c r="E145" s="14" t="s">
        <v>575</v>
      </c>
      <c r="F145" s="14" t="s">
        <v>194</v>
      </c>
      <c r="G145" s="14" t="s">
        <v>194</v>
      </c>
      <c r="H145" s="14" t="s">
        <v>194</v>
      </c>
      <c r="I145" s="14" t="s">
        <v>573</v>
      </c>
      <c r="J145" s="1" t="s">
        <v>574</v>
      </c>
      <c r="K145" s="1" t="s">
        <v>194</v>
      </c>
      <c r="L145" s="1" t="s">
        <v>194</v>
      </c>
      <c r="M145" s="1" t="s">
        <v>194</v>
      </c>
      <c r="N145" s="14" t="s">
        <v>194</v>
      </c>
      <c r="O145" s="1" t="s">
        <v>2</v>
      </c>
      <c r="P145" s="1" t="s">
        <v>3326</v>
      </c>
      <c r="Q145" s="1"/>
      <c r="R145" s="1"/>
      <c r="S145" t="str">
        <f>IFERROR(INDEX(_SCHEDULE_[],MATCH(_INDICATOR_[[#This Row],[CONTEST_CODE]],_SCHEDULE_[CONTEST_CODE],0),MATCH($S$1,_SCHEDULE_[#Headers],0)),"-")</f>
        <v>АКТИВНЫЙ</v>
      </c>
      <c r="T145" s="1" t="str">
        <f>IFERROR(INDEX(_group_[],MATCH(_INDICATOR_[[#This Row],[CONTEST_CODE]],_group_[CONTEST_CODE],0),MATCH($T$1,_group_[#Headers],0)),"-")</f>
        <v>BANK</v>
      </c>
      <c r="U145" s="1" t="str">
        <f>IFERROR(INDEX(_DATA_[],MATCH(_INDICATOR_[[#This Row],[CONTEST_CODE]],_DATA_[CONTEST_CODE],0),MATCH($U$1,_DATA_[#Headers],0)),"-")</f>
        <v>Лотос у моря</v>
      </c>
      <c r="V145" s="1" t="str">
        <f>IFERROR(INDEX(_reward_link_[],MATCH(_INDICATOR_[[#This Row],[CONTEST_CODE]],_reward_link_[CONTEST_CODE],0),MATCH($V$1,_reward_link_[#Headers],0)),"-")</f>
        <v>BANK</v>
      </c>
    </row>
    <row r="146" spans="1:22" hidden="1" x14ac:dyDescent="0.25">
      <c r="A146" s="1" t="s">
        <v>2641</v>
      </c>
      <c r="B146" s="1" t="s">
        <v>2</v>
      </c>
      <c r="C146" s="14" t="s">
        <v>194</v>
      </c>
      <c r="D146" s="14" t="s">
        <v>575</v>
      </c>
      <c r="E146" s="14" t="s">
        <v>575</v>
      </c>
      <c r="F146" s="14" t="s">
        <v>194</v>
      </c>
      <c r="G146" s="14" t="s">
        <v>194</v>
      </c>
      <c r="H146" s="14" t="s">
        <v>194</v>
      </c>
      <c r="I146" s="14" t="s">
        <v>573</v>
      </c>
      <c r="J146" s="1" t="s">
        <v>574</v>
      </c>
      <c r="K146" s="1" t="s">
        <v>194</v>
      </c>
      <c r="L146" s="1" t="s">
        <v>194</v>
      </c>
      <c r="M146" s="1" t="s">
        <v>194</v>
      </c>
      <c r="N146" s="14" t="s">
        <v>194</v>
      </c>
      <c r="O146" s="1" t="s">
        <v>2</v>
      </c>
      <c r="P146" s="1" t="s">
        <v>3327</v>
      </c>
      <c r="Q146" s="1"/>
      <c r="R146" s="1"/>
      <c r="S146" t="str">
        <f>IFERROR(INDEX(_SCHEDULE_[],MATCH(_INDICATOR_[[#This Row],[CONTEST_CODE]],_SCHEDULE_[CONTEST_CODE],0),MATCH($S$1,_SCHEDULE_[#Headers],0)),"-")</f>
        <v>АКТИВНЫЙ</v>
      </c>
      <c r="T146" s="1" t="str">
        <f>IFERROR(INDEX(_group_[],MATCH(_INDICATOR_[[#This Row],[CONTEST_CODE]],_group_[CONTEST_CODE],0),MATCH($T$1,_group_[#Headers],0)),"-")</f>
        <v>BANK</v>
      </c>
      <c r="U146" s="1" t="str">
        <f>IFERROR(INDEX(_DATA_[],MATCH(_INDICATOR_[[#This Row],[CONTEST_CODE]],_DATA_[CONTEST_CODE],0),MATCH($U$1,_DATA_[#Headers],0)),"-")</f>
        <v>Загадка Алтая</v>
      </c>
      <c r="V146" s="1" t="str">
        <f>IFERROR(INDEX(_reward_link_[],MATCH(_INDICATOR_[[#This Row],[CONTEST_CODE]],_reward_link_[CONTEST_CODE],0),MATCH($V$1,_reward_link_[#Headers],0)),"-")</f>
        <v>BANK</v>
      </c>
    </row>
    <row r="147" spans="1:22" hidden="1" x14ac:dyDescent="0.25">
      <c r="A147" s="1" t="s">
        <v>2908</v>
      </c>
      <c r="B147" s="1" t="s">
        <v>2</v>
      </c>
      <c r="C147" s="14" t="s">
        <v>194</v>
      </c>
      <c r="D147" s="14" t="s">
        <v>575</v>
      </c>
      <c r="E147" s="14" t="s">
        <v>575</v>
      </c>
      <c r="F147" s="14" t="s">
        <v>194</v>
      </c>
      <c r="G147" s="14" t="s">
        <v>194</v>
      </c>
      <c r="H147" s="14" t="s">
        <v>194</v>
      </c>
      <c r="I147" s="14" t="s">
        <v>562</v>
      </c>
      <c r="J147" s="1" t="s">
        <v>563</v>
      </c>
      <c r="K147" s="1" t="s">
        <v>2</v>
      </c>
      <c r="L147" s="1" t="s">
        <v>194</v>
      </c>
      <c r="M147" s="1" t="s">
        <v>194</v>
      </c>
      <c r="N147" s="14" t="s">
        <v>194</v>
      </c>
      <c r="O147" s="1" t="s">
        <v>2</v>
      </c>
      <c r="P147" s="1" t="s">
        <v>2901</v>
      </c>
      <c r="Q147" s="1"/>
      <c r="R147" s="1"/>
      <c r="S147" t="str">
        <f>IFERROR(INDEX(_SCHEDULE_[],MATCH(_INDICATOR_[[#This Row],[CONTEST_CODE]],_SCHEDULE_[CONTEST_CODE],0),MATCH($S$1,_SCHEDULE_[#Headers],0)),"-")</f>
        <v>АКТИВНЫЙ</v>
      </c>
      <c r="T147" s="1" t="str">
        <f>IFERROR(INDEX(_group_[],MATCH(_INDICATOR_[[#This Row],[CONTEST_CODE]],_group_[CONTEST_CODE],0),MATCH($T$1,_group_[#Headers],0)),"-")</f>
        <v>BANK</v>
      </c>
      <c r="U147" s="1" t="str">
        <f>IFERROR(INDEX(_DATA_[],MATCH(_INDICATOR_[[#This Row],[CONTEST_CODE]],_DATA_[CONTEST_CODE],0),MATCH($U$1,_DATA_[#Headers],0)),"-")</f>
        <v>1 клиент на пакет услуг</v>
      </c>
      <c r="V147" s="1" t="str">
        <f>IFERROR(INDEX(_reward_link_[],MATCH(_INDICATOR_[[#This Row],[CONTEST_CODE]],_reward_link_[CONTEST_CODE],0),MATCH($V$1,_reward_link_[#Headers],0)),"-")</f>
        <v>BANK</v>
      </c>
    </row>
    <row r="148" spans="1:22" hidden="1" x14ac:dyDescent="0.25">
      <c r="A148" s="1" t="s">
        <v>2910</v>
      </c>
      <c r="B148" s="1" t="s">
        <v>2</v>
      </c>
      <c r="C148" s="14" t="s">
        <v>194</v>
      </c>
      <c r="D148" s="14" t="s">
        <v>575</v>
      </c>
      <c r="E148" s="14" t="s">
        <v>575</v>
      </c>
      <c r="F148" s="14" t="s">
        <v>194</v>
      </c>
      <c r="G148" s="14" t="s">
        <v>194</v>
      </c>
      <c r="H148" s="14" t="s">
        <v>194</v>
      </c>
      <c r="I148" s="14" t="s">
        <v>562</v>
      </c>
      <c r="J148" s="1" t="s">
        <v>563</v>
      </c>
      <c r="K148" s="1" t="s">
        <v>314</v>
      </c>
      <c r="L148" s="1" t="s">
        <v>194</v>
      </c>
      <c r="M148" s="1" t="s">
        <v>194</v>
      </c>
      <c r="N148" s="14" t="s">
        <v>194</v>
      </c>
      <c r="O148" s="1" t="s">
        <v>2</v>
      </c>
      <c r="P148" s="1" t="s">
        <v>3328</v>
      </c>
      <c r="Q148" s="1"/>
      <c r="R148" s="1"/>
      <c r="S148" t="str">
        <f>IFERROR(INDEX(_SCHEDULE_[],MATCH(_INDICATOR_[[#This Row],[CONTEST_CODE]],_SCHEDULE_[CONTEST_CODE],0),MATCH($S$1,_SCHEDULE_[#Headers],0)),"-")</f>
        <v>АКТИВНЫЙ</v>
      </c>
      <c r="T148" s="1" t="str">
        <f>IFERROR(INDEX(_group_[],MATCH(_INDICATOR_[[#This Row],[CONTEST_CODE]],_group_[CONTEST_CODE],0),MATCH($T$1,_group_[#Headers],0)),"-")</f>
        <v>BANK</v>
      </c>
      <c r="U148" s="1" t="str">
        <f>IFERROR(INDEX(_DATA_[],MATCH(_INDICATOR_[[#This Row],[CONTEST_CODE]],_DATA_[CONTEST_CODE],0),MATCH($U$1,_DATA_[#Headers],0)),"-")</f>
        <v>3 клиента на пакет услуг</v>
      </c>
      <c r="V148" s="1" t="str">
        <f>IFERROR(INDEX(_reward_link_[],MATCH(_INDICATOR_[[#This Row],[CONTEST_CODE]],_reward_link_[CONTEST_CODE],0),MATCH($V$1,_reward_link_[#Headers],0)),"-")</f>
        <v>BANK</v>
      </c>
    </row>
    <row r="149" spans="1:22" hidden="1" x14ac:dyDescent="0.25">
      <c r="A149" s="1" t="s">
        <v>2912</v>
      </c>
      <c r="B149" s="1" t="s">
        <v>2</v>
      </c>
      <c r="C149" s="14" t="s">
        <v>194</v>
      </c>
      <c r="D149" s="14" t="s">
        <v>575</v>
      </c>
      <c r="E149" s="14" t="s">
        <v>575</v>
      </c>
      <c r="F149" s="14" t="s">
        <v>194</v>
      </c>
      <c r="G149" s="14" t="s">
        <v>194</v>
      </c>
      <c r="H149" s="14" t="s">
        <v>194</v>
      </c>
      <c r="I149" s="14" t="s">
        <v>562</v>
      </c>
      <c r="J149" s="1" t="s">
        <v>563</v>
      </c>
      <c r="K149" s="1" t="s">
        <v>317</v>
      </c>
      <c r="L149" s="1" t="s">
        <v>194</v>
      </c>
      <c r="M149" s="1" t="s">
        <v>194</v>
      </c>
      <c r="N149" s="14" t="s">
        <v>194</v>
      </c>
      <c r="O149" s="1" t="s">
        <v>2</v>
      </c>
      <c r="P149" s="1" t="s">
        <v>3412</v>
      </c>
      <c r="Q149" s="1"/>
      <c r="R149" s="1"/>
      <c r="S149" t="str">
        <f>IFERROR(INDEX(_SCHEDULE_[],MATCH(_INDICATOR_[[#This Row],[CONTEST_CODE]],_SCHEDULE_[CONTEST_CODE],0),MATCH($S$1,_SCHEDULE_[#Headers],0)),"-")</f>
        <v>АКТИВНЫЙ</v>
      </c>
      <c r="T149" s="1" t="str">
        <f>IFERROR(INDEX(_group_[],MATCH(_INDICATOR_[[#This Row],[CONTEST_CODE]],_group_[CONTEST_CODE],0),MATCH($T$1,_group_[#Headers],0)),"-")</f>
        <v>BANK</v>
      </c>
      <c r="U149" s="1" t="str">
        <f>IFERROR(INDEX(_DATA_[],MATCH(_INDICATOR_[[#This Row],[CONTEST_CODE]],_DATA_[CONTEST_CODE],0),MATCH($U$1,_DATA_[#Headers],0)),"-")</f>
        <v>5 клиентов на пакет услуг</v>
      </c>
      <c r="V149" s="1" t="str">
        <f>IFERROR(INDEX(_reward_link_[],MATCH(_INDICATOR_[[#This Row],[CONTEST_CODE]],_reward_link_[CONTEST_CODE],0),MATCH($V$1,_reward_link_[#Headers],0)),"-")</f>
        <v>BANK</v>
      </c>
    </row>
    <row r="150" spans="1:22" hidden="1" x14ac:dyDescent="0.25">
      <c r="A150" s="1" t="s">
        <v>2914</v>
      </c>
      <c r="B150" s="1" t="s">
        <v>2</v>
      </c>
      <c r="C150" s="14" t="s">
        <v>194</v>
      </c>
      <c r="D150" s="14" t="s">
        <v>575</v>
      </c>
      <c r="E150" s="14" t="s">
        <v>575</v>
      </c>
      <c r="F150" s="14" t="s">
        <v>194</v>
      </c>
      <c r="G150" s="14" t="s">
        <v>194</v>
      </c>
      <c r="H150" s="14" t="s">
        <v>194</v>
      </c>
      <c r="I150" s="14" t="s">
        <v>562</v>
      </c>
      <c r="J150" s="1" t="s">
        <v>563</v>
      </c>
      <c r="K150" s="1" t="s">
        <v>36</v>
      </c>
      <c r="L150" s="1" t="s">
        <v>194</v>
      </c>
      <c r="M150" s="1" t="s">
        <v>194</v>
      </c>
      <c r="N150" s="14" t="s">
        <v>194</v>
      </c>
      <c r="O150" s="1" t="s">
        <v>2</v>
      </c>
      <c r="P150" s="1" t="s">
        <v>3765</v>
      </c>
      <c r="Q150" s="1"/>
      <c r="R150" s="1"/>
      <c r="S150" t="str">
        <f>IFERROR(INDEX(_SCHEDULE_[],MATCH(_INDICATOR_[[#This Row],[CONTEST_CODE]],_SCHEDULE_[CONTEST_CODE],0),MATCH($S$1,_SCHEDULE_[#Headers],0)),"-")</f>
        <v>АКТИВНЫЙ</v>
      </c>
      <c r="T150" s="1" t="str">
        <f>IFERROR(INDEX(_group_[],MATCH(_INDICATOR_[[#This Row],[CONTEST_CODE]],_group_[CONTEST_CODE],0),MATCH($T$1,_group_[#Headers],0)),"-")</f>
        <v>BANK</v>
      </c>
      <c r="U150" s="1" t="str">
        <f>IFERROR(INDEX(_DATA_[],MATCH(_INDICATOR_[[#This Row],[CONTEST_CODE]],_DATA_[CONTEST_CODE],0),MATCH($U$1,_DATA_[#Headers],0)),"-")</f>
        <v>10 клиентов на пакет услуг</v>
      </c>
      <c r="V150" s="1" t="str">
        <f>IFERROR(INDEX(_reward_link_[],MATCH(_INDICATOR_[[#This Row],[CONTEST_CODE]],_reward_link_[CONTEST_CODE],0),MATCH($V$1,_reward_link_[#Headers],0)),"-")</f>
        <v>BANK</v>
      </c>
    </row>
    <row r="151" spans="1:22" hidden="1" x14ac:dyDescent="0.25">
      <c r="A151" s="1" t="s">
        <v>2254</v>
      </c>
      <c r="B151" s="1" t="s">
        <v>2</v>
      </c>
      <c r="C151" s="14" t="s">
        <v>194</v>
      </c>
      <c r="D151" s="14" t="s">
        <v>575</v>
      </c>
      <c r="E151" s="14" t="s">
        <v>575</v>
      </c>
      <c r="F151" s="14" t="s">
        <v>194</v>
      </c>
      <c r="G151" s="14" t="s">
        <v>194</v>
      </c>
      <c r="H151" s="14" t="s">
        <v>194</v>
      </c>
      <c r="I151" s="14" t="s">
        <v>573</v>
      </c>
      <c r="J151" s="1" t="s">
        <v>574</v>
      </c>
      <c r="K151" s="1" t="s">
        <v>194</v>
      </c>
      <c r="L151" s="1" t="s">
        <v>194</v>
      </c>
      <c r="M151" s="1" t="s">
        <v>194</v>
      </c>
      <c r="N151" s="14" t="s">
        <v>194</v>
      </c>
      <c r="O151" s="1" t="s">
        <v>2</v>
      </c>
      <c r="P151" s="1" t="s">
        <v>3766</v>
      </c>
      <c r="Q151" s="1"/>
      <c r="R151" s="1"/>
      <c r="S151" t="str">
        <f>IFERROR(INDEX(_SCHEDULE_[],MATCH(_INDICATOR_[[#This Row],[CONTEST_CODE]],_SCHEDULE_[CONTEST_CODE],0),MATCH($S$1,_SCHEDULE_[#Headers],0)),"-")</f>
        <v>АКТИВНЫЙ</v>
      </c>
      <c r="T151" s="1" t="str">
        <f>IFERROR(INDEX(_group_[],MATCH(_INDICATOR_[[#This Row],[CONTEST_CODE]],_group_[CONTEST_CODE],0),MATCH($T$1,_group_[#Headers],0)),"-")</f>
        <v>BANK</v>
      </c>
      <c r="U151" s="1" t="str">
        <f>IFERROR(INDEX(_DATA_[],MATCH(_INDICATOR_[[#This Row],[CONTEST_CODE]],_DATA_[CONTEST_CODE],0),MATCH($U$1,_DATA_[#Headers],0)),"-")</f>
        <v>Марафон УК Первая</v>
      </c>
      <c r="V151" s="1" t="str">
        <f>IFERROR(INDEX(_reward_link_[],MATCH(_INDICATOR_[[#This Row],[CONTEST_CODE]],_reward_link_[CONTEST_CODE],0),MATCH($V$1,_reward_link_[#Headers],0)),"-")</f>
        <v>BANK</v>
      </c>
    </row>
    <row r="152" spans="1:22" hidden="1" x14ac:dyDescent="0.25">
      <c r="A152" s="1" t="s">
        <v>2256</v>
      </c>
      <c r="B152" s="1" t="s">
        <v>2</v>
      </c>
      <c r="C152" s="14" t="s">
        <v>194</v>
      </c>
      <c r="D152" s="14" t="s">
        <v>575</v>
      </c>
      <c r="E152" s="14" t="s">
        <v>575</v>
      </c>
      <c r="F152" s="14" t="s">
        <v>194</v>
      </c>
      <c r="G152" s="14" t="s">
        <v>194</v>
      </c>
      <c r="H152" s="14" t="s">
        <v>194</v>
      </c>
      <c r="I152" s="14" t="s">
        <v>573</v>
      </c>
      <c r="J152" s="1" t="s">
        <v>574</v>
      </c>
      <c r="K152" s="1" t="s">
        <v>194</v>
      </c>
      <c r="L152" s="1" t="s">
        <v>194</v>
      </c>
      <c r="M152" s="1" t="s">
        <v>194</v>
      </c>
      <c r="N152" s="14" t="s">
        <v>194</v>
      </c>
      <c r="O152" s="1" t="s">
        <v>2</v>
      </c>
      <c r="P152" s="1" t="s">
        <v>3767</v>
      </c>
      <c r="Q152" s="1"/>
      <c r="R152" s="1"/>
      <c r="S152" t="str">
        <f>IFERROR(INDEX(_SCHEDULE_[],MATCH(_INDICATOR_[[#This Row],[CONTEST_CODE]],_SCHEDULE_[CONTEST_CODE],0),MATCH($S$1,_SCHEDULE_[#Headers],0)),"-")</f>
        <v>АКТИВНЫЙ</v>
      </c>
      <c r="T152" s="1" t="str">
        <f>IFERROR(INDEX(_group_[],MATCH(_INDICATOR_[[#This Row],[CONTEST_CODE]],_group_[CONTEST_CODE],0),MATCH($T$1,_group_[#Headers],0)),"-")</f>
        <v>BANK</v>
      </c>
      <c r="U152" s="1" t="str">
        <f>IFERROR(INDEX(_DATA_[],MATCH(_INDICATOR_[[#This Row],[CONTEST_CODE]],_DATA_[CONTEST_CODE],0),MATCH($U$1,_DATA_[#Headers],0)),"-")</f>
        <v>Турнир по квадратным метрам</v>
      </c>
      <c r="V152" s="1" t="str">
        <f>IFERROR(INDEX(_reward_link_[],MATCH(_INDICATOR_[[#This Row],[CONTEST_CODE]],_reward_link_[CONTEST_CODE],0),MATCH($V$1,_reward_link_[#Headers],0)),"-")</f>
        <v>BANK</v>
      </c>
    </row>
    <row r="153" spans="1:22" hidden="1" x14ac:dyDescent="0.25">
      <c r="A153" s="1" t="s">
        <v>2258</v>
      </c>
      <c r="B153" s="1" t="s">
        <v>2</v>
      </c>
      <c r="C153" s="14" t="s">
        <v>194</v>
      </c>
      <c r="D153" s="14" t="s">
        <v>575</v>
      </c>
      <c r="E153" s="14" t="s">
        <v>575</v>
      </c>
      <c r="F153" s="14" t="s">
        <v>194</v>
      </c>
      <c r="G153" s="14" t="s">
        <v>194</v>
      </c>
      <c r="H153" s="14" t="s">
        <v>194</v>
      </c>
      <c r="I153" s="14" t="s">
        <v>573</v>
      </c>
      <c r="J153" s="1" t="s">
        <v>574</v>
      </c>
      <c r="K153" s="1" t="s">
        <v>194</v>
      </c>
      <c r="L153" s="1" t="s">
        <v>194</v>
      </c>
      <c r="M153" s="1" t="s">
        <v>194</v>
      </c>
      <c r="N153" s="14" t="s">
        <v>194</v>
      </c>
      <c r="O153" s="1" t="s">
        <v>2</v>
      </c>
      <c r="P153" s="1" t="s">
        <v>3768</v>
      </c>
      <c r="Q153" s="1"/>
      <c r="R153" s="1"/>
      <c r="S153" t="str">
        <f>IFERROR(INDEX(_SCHEDULE_[],MATCH(_INDICATOR_[[#This Row],[CONTEST_CODE]],_SCHEDULE_[CONTEST_CODE],0),MATCH($S$1,_SCHEDULE_[#Headers],0)),"-")</f>
        <v>АКТИВНЫЙ</v>
      </c>
      <c r="T153" s="1" t="str">
        <f>IFERROR(INDEX(_group_[],MATCH(_INDICATOR_[[#This Row],[CONTEST_CODE]],_group_[CONTEST_CODE],0),MATCH($T$1,_group_[#Headers],0)),"-")</f>
        <v>BANK</v>
      </c>
      <c r="U153" s="1" t="str">
        <f>IFERROR(INDEX(_DATA_[],MATCH(_INDICATOR_[[#This Row],[CONTEST_CODE]],_DATA_[CONTEST_CODE],0),MATCH($U$1,_DATA_[#Headers],0)),"-")</f>
        <v>Ралли брокера</v>
      </c>
      <c r="V153" s="1" t="str">
        <f>IFERROR(INDEX(_reward_link_[],MATCH(_INDICATOR_[[#This Row],[CONTEST_CODE]],_reward_link_[CONTEST_CODE],0),MATCH($V$1,_reward_link_[#Headers],0)),"-")</f>
        <v>BANK</v>
      </c>
    </row>
    <row r="154" spans="1:22" hidden="1" x14ac:dyDescent="0.25">
      <c r="A154" s="1" t="s">
        <v>2260</v>
      </c>
      <c r="B154" s="1" t="s">
        <v>2</v>
      </c>
      <c r="C154" s="14" t="s">
        <v>194</v>
      </c>
      <c r="D154" s="14" t="s">
        <v>575</v>
      </c>
      <c r="E154" s="14" t="s">
        <v>575</v>
      </c>
      <c r="F154" s="14" t="s">
        <v>194</v>
      </c>
      <c r="G154" s="14" t="s">
        <v>194</v>
      </c>
      <c r="H154" s="14" t="s">
        <v>194</v>
      </c>
      <c r="I154" s="14" t="s">
        <v>573</v>
      </c>
      <c r="J154" s="1" t="s">
        <v>574</v>
      </c>
      <c r="K154" s="1" t="s">
        <v>194</v>
      </c>
      <c r="L154" s="1" t="s">
        <v>194</v>
      </c>
      <c r="M154" s="1" t="s">
        <v>194</v>
      </c>
      <c r="N154" s="14" t="s">
        <v>194</v>
      </c>
      <c r="O154" s="1" t="s">
        <v>2</v>
      </c>
      <c r="P154" s="1" t="s">
        <v>3769</v>
      </c>
      <c r="Q154" s="1"/>
      <c r="R154" s="1"/>
      <c r="S154" t="str">
        <f>IFERROR(INDEX(_SCHEDULE_[],MATCH(_INDICATOR_[[#This Row],[CONTEST_CODE]],_SCHEDULE_[CONTEST_CODE],0),MATCH($S$1,_SCHEDULE_[#Headers],0)),"-")</f>
        <v>АКТИВНЫЙ</v>
      </c>
      <c r="T154" s="1" t="str">
        <f>IFERROR(INDEX(_group_[],MATCH(_INDICATOR_[[#This Row],[CONTEST_CODE]],_group_[CONTEST_CODE],0),MATCH($T$1,_group_[#Headers],0)),"-")</f>
        <v>BANK</v>
      </c>
      <c r="U154" s="1" t="str">
        <f>IFERROR(INDEX(_DATA_[],MATCH(_INDICATOR_[[#This Row],[CONTEST_CODE]],_DATA_[CONTEST_CODE],0),MATCH($U$1,_DATA_[#Headers],0)),"-")</f>
        <v>Страховой олимп</v>
      </c>
      <c r="V154" s="1" t="str">
        <f>IFERROR(INDEX(_reward_link_[],MATCH(_INDICATOR_[[#This Row],[CONTEST_CODE]],_reward_link_[CONTEST_CODE],0),MATCH($V$1,_reward_link_[#Headers],0)),"-")</f>
        <v>BANK</v>
      </c>
    </row>
    <row r="155" spans="1:22" hidden="1" x14ac:dyDescent="0.25">
      <c r="A155" s="1" t="s">
        <v>2262</v>
      </c>
      <c r="B155" s="1" t="s">
        <v>2</v>
      </c>
      <c r="C155" s="14" t="s">
        <v>194</v>
      </c>
      <c r="D155" s="14" t="s">
        <v>575</v>
      </c>
      <c r="E155" s="14" t="s">
        <v>575</v>
      </c>
      <c r="F155" s="14" t="s">
        <v>194</v>
      </c>
      <c r="G155" s="14" t="s">
        <v>194</v>
      </c>
      <c r="H155" s="14" t="s">
        <v>194</v>
      </c>
      <c r="I155" s="14" t="s">
        <v>573</v>
      </c>
      <c r="J155" s="1" t="s">
        <v>574</v>
      </c>
      <c r="K155" s="1" t="s">
        <v>194</v>
      </c>
      <c r="L155" s="1" t="s">
        <v>194</v>
      </c>
      <c r="M155" s="1" t="s">
        <v>194</v>
      </c>
      <c r="N155" s="14" t="s">
        <v>194</v>
      </c>
      <c r="O155" s="1" t="s">
        <v>2</v>
      </c>
      <c r="P155" s="1" t="s">
        <v>3770</v>
      </c>
      <c r="Q155" s="1"/>
      <c r="R155" s="1"/>
      <c r="S155" t="str">
        <f>IFERROR(INDEX(_SCHEDULE_[],MATCH(_INDICATOR_[[#This Row],[CONTEST_CODE]],_SCHEDULE_[CONTEST_CODE],0),MATCH($S$1,_SCHEDULE_[#Headers],0)),"-")</f>
        <v>АКТИВНЫЙ</v>
      </c>
      <c r="T155" s="1" t="str">
        <f>IFERROR(INDEX(_group_[],MATCH(_INDICATOR_[[#This Row],[CONTEST_CODE]],_group_[CONTEST_CODE],0),MATCH($T$1,_group_[#Headers],0)),"-")</f>
        <v>BANK</v>
      </c>
      <c r="U155" s="1" t="str">
        <f>IFERROR(INDEX(_DATA_[],MATCH(_INDICATOR_[[#This Row],[CONTEST_CODE]],_DATA_[CONTEST_CODE],0),MATCH($U$1,_DATA_[#Headers],0)),"-")</f>
        <v>Марафон УК Первая</v>
      </c>
      <c r="V155" s="1" t="str">
        <f>IFERROR(INDEX(_reward_link_[],MATCH(_INDICATOR_[[#This Row],[CONTEST_CODE]],_reward_link_[CONTEST_CODE],0),MATCH($V$1,_reward_link_[#Headers],0)),"-")</f>
        <v>BANK</v>
      </c>
    </row>
    <row r="156" spans="1:22" hidden="1" x14ac:dyDescent="0.25">
      <c r="A156" s="1" t="s">
        <v>2264</v>
      </c>
      <c r="B156" s="1" t="s">
        <v>2</v>
      </c>
      <c r="C156" s="14" t="s">
        <v>194</v>
      </c>
      <c r="D156" s="14" t="s">
        <v>575</v>
      </c>
      <c r="E156" s="14" t="s">
        <v>575</v>
      </c>
      <c r="F156" s="14" t="s">
        <v>194</v>
      </c>
      <c r="G156" s="14" t="s">
        <v>194</v>
      </c>
      <c r="H156" s="14" t="s">
        <v>194</v>
      </c>
      <c r="I156" s="14" t="s">
        <v>573</v>
      </c>
      <c r="J156" s="1" t="s">
        <v>574</v>
      </c>
      <c r="K156" s="1" t="s">
        <v>194</v>
      </c>
      <c r="L156" s="1" t="s">
        <v>194</v>
      </c>
      <c r="M156" s="1" t="s">
        <v>194</v>
      </c>
      <c r="N156" s="14" t="s">
        <v>194</v>
      </c>
      <c r="O156" s="1" t="s">
        <v>2</v>
      </c>
      <c r="P156" s="1" t="s">
        <v>3771</v>
      </c>
      <c r="Q156" s="1"/>
      <c r="R156" s="1"/>
      <c r="S156" t="str">
        <f>IFERROR(INDEX(_SCHEDULE_[],MATCH(_INDICATOR_[[#This Row],[CONTEST_CODE]],_SCHEDULE_[CONTEST_CODE],0),MATCH($S$1,_SCHEDULE_[#Headers],0)),"-")</f>
        <v>АКТИВНЫЙ</v>
      </c>
      <c r="T156" s="1" t="str">
        <f>IFERROR(INDEX(_group_[],MATCH(_INDICATOR_[[#This Row],[CONTEST_CODE]],_group_[CONTEST_CODE],0),MATCH($T$1,_group_[#Headers],0)),"-")</f>
        <v>BANK</v>
      </c>
      <c r="U156" s="1" t="str">
        <f>IFERROR(INDEX(_DATA_[],MATCH(_INDICATOR_[[#This Row],[CONTEST_CODE]],_DATA_[CONTEST_CODE],0),MATCH($U$1,_DATA_[#Headers],0)),"-")</f>
        <v>Турнир по квадратным метрам</v>
      </c>
      <c r="V156" s="1" t="str">
        <f>IFERROR(INDEX(_reward_link_[],MATCH(_INDICATOR_[[#This Row],[CONTEST_CODE]],_reward_link_[CONTEST_CODE],0),MATCH($V$1,_reward_link_[#Headers],0)),"-")</f>
        <v>BANK</v>
      </c>
    </row>
    <row r="157" spans="1:22" hidden="1" x14ac:dyDescent="0.25">
      <c r="A157" s="1" t="s">
        <v>2266</v>
      </c>
      <c r="B157" s="1" t="s">
        <v>2</v>
      </c>
      <c r="C157" s="14" t="s">
        <v>194</v>
      </c>
      <c r="D157" s="14" t="s">
        <v>575</v>
      </c>
      <c r="E157" s="14" t="s">
        <v>575</v>
      </c>
      <c r="F157" s="14" t="s">
        <v>194</v>
      </c>
      <c r="G157" s="14" t="s">
        <v>194</v>
      </c>
      <c r="H157" s="14" t="s">
        <v>194</v>
      </c>
      <c r="I157" s="14" t="s">
        <v>573</v>
      </c>
      <c r="J157" s="1" t="s">
        <v>574</v>
      </c>
      <c r="K157" s="1" t="s">
        <v>194</v>
      </c>
      <c r="L157" s="1" t="s">
        <v>194</v>
      </c>
      <c r="M157" s="1" t="s">
        <v>194</v>
      </c>
      <c r="N157" s="14" t="s">
        <v>194</v>
      </c>
      <c r="O157" s="1" t="s">
        <v>2</v>
      </c>
      <c r="P157" s="1" t="s">
        <v>3772</v>
      </c>
      <c r="Q157" s="1"/>
      <c r="R157" s="1"/>
      <c r="S157" t="str">
        <f>IFERROR(INDEX(_SCHEDULE_[],MATCH(_INDICATOR_[[#This Row],[CONTEST_CODE]],_SCHEDULE_[CONTEST_CODE],0),MATCH($S$1,_SCHEDULE_[#Headers],0)),"-")</f>
        <v>УДАЛЕН</v>
      </c>
      <c r="T157" s="1" t="str">
        <f>IFERROR(INDEX(_group_[],MATCH(_INDICATOR_[[#This Row],[CONTEST_CODE]],_group_[CONTEST_CODE],0),MATCH($T$1,_group_[#Headers],0)),"-")</f>
        <v>BANK</v>
      </c>
      <c r="U157" s="1" t="str">
        <f>IFERROR(INDEX(_DATA_[],MATCH(_INDICATOR_[[#This Row],[CONTEST_CODE]],_DATA_[CONTEST_CODE],0),MATCH($U$1,_DATA_[#Headers],0)),"-")</f>
        <v>Ралли брокера</v>
      </c>
      <c r="V157" s="1" t="str">
        <f>IFERROR(INDEX(_reward_link_[],MATCH(_INDICATOR_[[#This Row],[CONTEST_CODE]],_reward_link_[CONTEST_CODE],0),MATCH($V$1,_reward_link_[#Headers],0)),"-")</f>
        <v>BANK</v>
      </c>
    </row>
    <row r="158" spans="1:22" hidden="1" x14ac:dyDescent="0.25">
      <c r="A158" s="1" t="s">
        <v>2268</v>
      </c>
      <c r="B158" s="1" t="s">
        <v>2</v>
      </c>
      <c r="C158" s="14" t="s">
        <v>194</v>
      </c>
      <c r="D158" s="14" t="s">
        <v>575</v>
      </c>
      <c r="E158" s="14" t="s">
        <v>575</v>
      </c>
      <c r="F158" s="14" t="s">
        <v>194</v>
      </c>
      <c r="G158" s="14" t="s">
        <v>194</v>
      </c>
      <c r="H158" s="14" t="s">
        <v>194</v>
      </c>
      <c r="I158" s="14" t="s">
        <v>573</v>
      </c>
      <c r="J158" s="1" t="s">
        <v>574</v>
      </c>
      <c r="K158" s="1" t="s">
        <v>194</v>
      </c>
      <c r="L158" s="1" t="s">
        <v>194</v>
      </c>
      <c r="M158" s="1" t="s">
        <v>194</v>
      </c>
      <c r="N158" s="14" t="s">
        <v>194</v>
      </c>
      <c r="O158" s="1" t="s">
        <v>2</v>
      </c>
      <c r="P158" s="1" t="s">
        <v>3773</v>
      </c>
      <c r="Q158" s="1"/>
      <c r="R158" s="1"/>
      <c r="S158" t="str">
        <f>IFERROR(INDEX(_SCHEDULE_[],MATCH(_INDICATOR_[[#This Row],[CONTEST_CODE]],_SCHEDULE_[CONTEST_CODE],0),MATCH($S$1,_SCHEDULE_[#Headers],0)),"-")</f>
        <v>АКТИВНЫЙ</v>
      </c>
      <c r="T158" s="1" t="str">
        <f>IFERROR(INDEX(_group_[],MATCH(_INDICATOR_[[#This Row],[CONTEST_CODE]],_group_[CONTEST_CODE],0),MATCH($T$1,_group_[#Headers],0)),"-")</f>
        <v>BANK</v>
      </c>
      <c r="U158" s="1" t="str">
        <f>IFERROR(INDEX(_DATA_[],MATCH(_INDICATOR_[[#This Row],[CONTEST_CODE]],_DATA_[CONTEST_CODE],0),MATCH($U$1,_DATA_[#Headers],0)),"-")</f>
        <v>Страховой олимп</v>
      </c>
      <c r="V158" s="1" t="str">
        <f>IFERROR(INDEX(_reward_link_[],MATCH(_INDICATOR_[[#This Row],[CONTEST_CODE]],_reward_link_[CONTEST_CODE],0),MATCH($V$1,_reward_link_[#Headers],0)),"-")</f>
        <v>BANK</v>
      </c>
    </row>
    <row r="159" spans="1:22" hidden="1" x14ac:dyDescent="0.25">
      <c r="A159" s="1" t="s">
        <v>2270</v>
      </c>
      <c r="B159" s="1" t="s">
        <v>2</v>
      </c>
      <c r="C159" s="14" t="s">
        <v>194</v>
      </c>
      <c r="D159" s="14" t="s">
        <v>575</v>
      </c>
      <c r="E159" s="14" t="s">
        <v>575</v>
      </c>
      <c r="F159" s="14" t="s">
        <v>194</v>
      </c>
      <c r="G159" s="14" t="s">
        <v>194</v>
      </c>
      <c r="H159" s="14" t="s">
        <v>194</v>
      </c>
      <c r="I159" s="14" t="s">
        <v>573</v>
      </c>
      <c r="J159" s="1" t="s">
        <v>574</v>
      </c>
      <c r="K159" s="1" t="s">
        <v>194</v>
      </c>
      <c r="L159" s="1" t="s">
        <v>194</v>
      </c>
      <c r="M159" s="1" t="s">
        <v>194</v>
      </c>
      <c r="N159" s="14" t="s">
        <v>194</v>
      </c>
      <c r="O159" s="1" t="s">
        <v>2</v>
      </c>
      <c r="P159" s="1" t="s">
        <v>3774</v>
      </c>
      <c r="Q159" s="1"/>
      <c r="R159" s="1"/>
      <c r="S159" t="str">
        <f>IFERROR(INDEX(_SCHEDULE_[],MATCH(_INDICATOR_[[#This Row],[CONTEST_CODE]],_SCHEDULE_[CONTEST_CODE],0),MATCH($S$1,_SCHEDULE_[#Headers],0)),"-")</f>
        <v>АКТИВНЫЙ</v>
      </c>
      <c r="T159" s="1" t="str">
        <f>IFERROR(INDEX(_group_[],MATCH(_INDICATOR_[[#This Row],[CONTEST_CODE]],_group_[CONTEST_CODE],0),MATCH($T$1,_group_[#Headers],0)),"-")</f>
        <v>BANK</v>
      </c>
      <c r="U159" s="1" t="str">
        <f>IFERROR(INDEX(_DATA_[],MATCH(_INDICATOR_[[#This Row],[CONTEST_CODE]],_DATA_[CONTEST_CODE],0),MATCH($U$1,_DATA_[#Headers],0)),"-")</f>
        <v>Марафон УК Первая</v>
      </c>
      <c r="V159" s="1" t="str">
        <f>IFERROR(INDEX(_reward_link_[],MATCH(_INDICATOR_[[#This Row],[CONTEST_CODE]],_reward_link_[CONTEST_CODE],0),MATCH($V$1,_reward_link_[#Headers],0)),"-")</f>
        <v>BANK</v>
      </c>
    </row>
    <row r="160" spans="1:22" hidden="1" x14ac:dyDescent="0.25">
      <c r="A160" s="1" t="s">
        <v>2272</v>
      </c>
      <c r="B160" s="1" t="s">
        <v>2</v>
      </c>
      <c r="C160" s="14" t="s">
        <v>194</v>
      </c>
      <c r="D160" s="14" t="s">
        <v>575</v>
      </c>
      <c r="E160" s="14" t="s">
        <v>575</v>
      </c>
      <c r="F160" s="14" t="s">
        <v>194</v>
      </c>
      <c r="G160" s="14" t="s">
        <v>194</v>
      </c>
      <c r="H160" s="14" t="s">
        <v>194</v>
      </c>
      <c r="I160" s="14" t="s">
        <v>573</v>
      </c>
      <c r="J160" s="1" t="s">
        <v>574</v>
      </c>
      <c r="K160" s="1" t="s">
        <v>194</v>
      </c>
      <c r="L160" s="1" t="s">
        <v>194</v>
      </c>
      <c r="M160" s="1" t="s">
        <v>194</v>
      </c>
      <c r="N160" s="14" t="s">
        <v>194</v>
      </c>
      <c r="O160" s="1" t="s">
        <v>2</v>
      </c>
      <c r="P160" s="1" t="s">
        <v>3775</v>
      </c>
      <c r="Q160" s="1"/>
      <c r="R160" s="1"/>
      <c r="S160" t="str">
        <f>IFERROR(INDEX(_SCHEDULE_[],MATCH(_INDICATOR_[[#This Row],[CONTEST_CODE]],_SCHEDULE_[CONTEST_CODE],0),MATCH($S$1,_SCHEDULE_[#Headers],0)),"-")</f>
        <v>АКТИВНЫЙ</v>
      </c>
      <c r="T160" s="1" t="str">
        <f>IFERROR(INDEX(_group_[],MATCH(_INDICATOR_[[#This Row],[CONTEST_CODE]],_group_[CONTEST_CODE],0),MATCH($T$1,_group_[#Headers],0)),"-")</f>
        <v>BANK</v>
      </c>
      <c r="U160" s="1" t="str">
        <f>IFERROR(INDEX(_DATA_[],MATCH(_INDICATOR_[[#This Row],[CONTEST_CODE]],_DATA_[CONTEST_CODE],0),MATCH($U$1,_DATA_[#Headers],0)),"-")</f>
        <v>Турнир по квадратным метрам</v>
      </c>
      <c r="V160" s="1" t="str">
        <f>IFERROR(INDEX(_reward_link_[],MATCH(_INDICATOR_[[#This Row],[CONTEST_CODE]],_reward_link_[CONTEST_CODE],0),MATCH($V$1,_reward_link_[#Headers],0)),"-")</f>
        <v>BANK</v>
      </c>
    </row>
    <row r="161" spans="1:22" hidden="1" x14ac:dyDescent="0.25">
      <c r="A161" s="1" t="s">
        <v>2274</v>
      </c>
      <c r="B161" s="1" t="s">
        <v>2</v>
      </c>
      <c r="C161" s="14" t="s">
        <v>194</v>
      </c>
      <c r="D161" s="14" t="s">
        <v>575</v>
      </c>
      <c r="E161" s="14" t="s">
        <v>575</v>
      </c>
      <c r="F161" s="14" t="s">
        <v>194</v>
      </c>
      <c r="G161" s="14" t="s">
        <v>194</v>
      </c>
      <c r="H161" s="14" t="s">
        <v>194</v>
      </c>
      <c r="I161" s="14" t="s">
        <v>573</v>
      </c>
      <c r="J161" s="1" t="s">
        <v>574</v>
      </c>
      <c r="K161" s="1" t="s">
        <v>194</v>
      </c>
      <c r="L161" s="1" t="s">
        <v>194</v>
      </c>
      <c r="M161" s="1" t="s">
        <v>194</v>
      </c>
      <c r="N161" s="14" t="s">
        <v>194</v>
      </c>
      <c r="O161" s="1" t="s">
        <v>2</v>
      </c>
      <c r="P161" s="1" t="s">
        <v>3776</v>
      </c>
      <c r="Q161" s="1"/>
      <c r="R161" s="1"/>
      <c r="S161" t="str">
        <f>IFERROR(INDEX(_SCHEDULE_[],MATCH(_INDICATOR_[[#This Row],[CONTEST_CODE]],_SCHEDULE_[CONTEST_CODE],0),MATCH($S$1,_SCHEDULE_[#Headers],0)),"-")</f>
        <v>АКТИВНЫЙ</v>
      </c>
      <c r="T161" s="1" t="str">
        <f>IFERROR(INDEX(_group_[],MATCH(_INDICATOR_[[#This Row],[CONTEST_CODE]],_group_[CONTEST_CODE],0),MATCH($T$1,_group_[#Headers],0)),"-")</f>
        <v>BANK</v>
      </c>
      <c r="U161" s="1" t="str">
        <f>IFERROR(INDEX(_DATA_[],MATCH(_INDICATOR_[[#This Row],[CONTEST_CODE]],_DATA_[CONTEST_CODE],0),MATCH($U$1,_DATA_[#Headers],0)),"-")</f>
        <v>Ралли брокера</v>
      </c>
      <c r="V161" s="1" t="str">
        <f>IFERROR(INDEX(_reward_link_[],MATCH(_INDICATOR_[[#This Row],[CONTEST_CODE]],_reward_link_[CONTEST_CODE],0),MATCH($V$1,_reward_link_[#Headers],0)),"-")</f>
        <v>BANK</v>
      </c>
    </row>
    <row r="162" spans="1:22" hidden="1" x14ac:dyDescent="0.25">
      <c r="A162" s="1" t="s">
        <v>2276</v>
      </c>
      <c r="B162" s="1" t="s">
        <v>2</v>
      </c>
      <c r="C162" s="14" t="s">
        <v>194</v>
      </c>
      <c r="D162" s="14" t="s">
        <v>575</v>
      </c>
      <c r="E162" s="14" t="s">
        <v>575</v>
      </c>
      <c r="F162" s="14" t="s">
        <v>194</v>
      </c>
      <c r="G162" s="14" t="s">
        <v>194</v>
      </c>
      <c r="H162" s="14" t="s">
        <v>194</v>
      </c>
      <c r="I162" s="14" t="s">
        <v>573</v>
      </c>
      <c r="J162" s="1" t="s">
        <v>574</v>
      </c>
      <c r="K162" s="1" t="s">
        <v>194</v>
      </c>
      <c r="L162" s="1" t="s">
        <v>194</v>
      </c>
      <c r="M162" s="1" t="s">
        <v>194</v>
      </c>
      <c r="N162" s="14" t="s">
        <v>194</v>
      </c>
      <c r="O162" s="1" t="s">
        <v>2</v>
      </c>
      <c r="P162" s="1" t="s">
        <v>3777</v>
      </c>
      <c r="Q162" s="1"/>
      <c r="R162" s="1"/>
      <c r="S162" t="str">
        <f>IFERROR(INDEX(_SCHEDULE_[],MATCH(_INDICATOR_[[#This Row],[CONTEST_CODE]],_SCHEDULE_[CONTEST_CODE],0),MATCH($S$1,_SCHEDULE_[#Headers],0)),"-")</f>
        <v>АКТИВНЫЙ</v>
      </c>
      <c r="T162" s="1" t="str">
        <f>IFERROR(INDEX(_group_[],MATCH(_INDICATOR_[[#This Row],[CONTEST_CODE]],_group_[CONTEST_CODE],0),MATCH($T$1,_group_[#Headers],0)),"-")</f>
        <v>BANK</v>
      </c>
      <c r="U162" s="1" t="str">
        <f>IFERROR(INDEX(_DATA_[],MATCH(_INDICATOR_[[#This Row],[CONTEST_CODE]],_DATA_[CONTEST_CODE],0),MATCH($U$1,_DATA_[#Headers],0)),"-")</f>
        <v>Страховой олимп</v>
      </c>
      <c r="V162" s="1" t="str">
        <f>IFERROR(INDEX(_reward_link_[],MATCH(_INDICATOR_[[#This Row],[CONTEST_CODE]],_reward_link_[CONTEST_CODE],0),MATCH($V$1,_reward_link_[#Headers],0)),"-")</f>
        <v>BANK</v>
      </c>
    </row>
    <row r="163" spans="1:22" hidden="1" x14ac:dyDescent="0.25">
      <c r="A163" s="1" t="s">
        <v>4026</v>
      </c>
      <c r="B163" s="1" t="s">
        <v>2</v>
      </c>
      <c r="C163" s="14" t="s">
        <v>194</v>
      </c>
      <c r="D163" s="14" t="s">
        <v>575</v>
      </c>
      <c r="E163" s="14" t="s">
        <v>575</v>
      </c>
      <c r="F163" s="14" t="s">
        <v>194</v>
      </c>
      <c r="G163" s="14" t="s">
        <v>194</v>
      </c>
      <c r="H163" s="14" t="s">
        <v>194</v>
      </c>
      <c r="I163" s="14" t="s">
        <v>562</v>
      </c>
      <c r="J163" s="1" t="s">
        <v>563</v>
      </c>
      <c r="K163" s="1" t="s">
        <v>2</v>
      </c>
      <c r="L163" s="1" t="s">
        <v>194</v>
      </c>
      <c r="M163" s="1" t="s">
        <v>194</v>
      </c>
      <c r="N163" s="14" t="s">
        <v>194</v>
      </c>
      <c r="O163" s="1" t="s">
        <v>2</v>
      </c>
      <c r="P163" s="1" t="s">
        <v>4064</v>
      </c>
      <c r="Q163" s="1"/>
      <c r="R163" s="1"/>
      <c r="S163" t="str">
        <f>IFERROR(INDEX(_SCHEDULE_[],MATCH(_INDICATOR_[[#This Row],[CONTEST_CODE]],_SCHEDULE_[CONTEST_CODE],0),MATCH($S$1,_SCHEDULE_[#Headers],0)),"-")</f>
        <v>АКТИВНЫЙ</v>
      </c>
      <c r="T163" s="1" t="str">
        <f>IFERROR(INDEX(_group_[],MATCH(_INDICATOR_[[#This Row],[CONTEST_CODE]],_group_[CONTEST_CODE],0),MATCH($T$1,_group_[#Headers],0)),"-")</f>
        <v>BANK</v>
      </c>
      <c r="U163" s="1" t="str">
        <f>IFERROR(INDEX(_DATA_[],MATCH(_INDICATOR_[[#This Row],[CONTEST_CODE]],_DATA_[CONTEST_CODE],0),MATCH($U$1,_DATA_[#Headers],0)),"-")</f>
        <v>1 привлеченный клиент ЮЛ</v>
      </c>
      <c r="V163" s="1" t="str">
        <f>IFERROR(INDEX(_reward_link_[],MATCH(_INDICATOR_[[#This Row],[CONTEST_CODE]],_reward_link_[CONTEST_CODE],0),MATCH($V$1,_reward_link_[#Headers],0)),"-")</f>
        <v>BANK</v>
      </c>
    </row>
    <row r="164" spans="1:22" hidden="1" x14ac:dyDescent="0.25">
      <c r="A164" s="1" t="s">
        <v>4028</v>
      </c>
      <c r="B164" s="1" t="s">
        <v>2</v>
      </c>
      <c r="C164" s="14" t="s">
        <v>194</v>
      </c>
      <c r="D164" s="14" t="s">
        <v>575</v>
      </c>
      <c r="E164" s="14" t="s">
        <v>575</v>
      </c>
      <c r="F164" s="14" t="s">
        <v>194</v>
      </c>
      <c r="G164" s="14" t="s">
        <v>194</v>
      </c>
      <c r="H164" s="14" t="s">
        <v>194</v>
      </c>
      <c r="I164" s="14" t="s">
        <v>562</v>
      </c>
      <c r="J164" s="1" t="s">
        <v>563</v>
      </c>
      <c r="K164" s="1" t="s">
        <v>314</v>
      </c>
      <c r="L164" s="1" t="s">
        <v>194</v>
      </c>
      <c r="M164" s="1" t="s">
        <v>194</v>
      </c>
      <c r="N164" s="14" t="s">
        <v>194</v>
      </c>
      <c r="O164" s="1" t="s">
        <v>2</v>
      </c>
      <c r="P164" s="1" t="s">
        <v>4065</v>
      </c>
      <c r="Q164" s="1"/>
      <c r="R164" s="1"/>
      <c r="S164" t="str">
        <f>IFERROR(INDEX(_SCHEDULE_[],MATCH(_INDICATOR_[[#This Row],[CONTEST_CODE]],_SCHEDULE_[CONTEST_CODE],0),MATCH($S$1,_SCHEDULE_[#Headers],0)),"-")</f>
        <v>АКТИВНЫЙ</v>
      </c>
      <c r="T164" s="1" t="str">
        <f>IFERROR(INDEX(_group_[],MATCH(_INDICATOR_[[#This Row],[CONTEST_CODE]],_group_[CONTEST_CODE],0),MATCH($T$1,_group_[#Headers],0)),"-")</f>
        <v>BANK</v>
      </c>
      <c r="U164" s="1" t="str">
        <f>IFERROR(INDEX(_DATA_[],MATCH(_INDICATOR_[[#This Row],[CONTEST_CODE]],_DATA_[CONTEST_CODE],0),MATCH($U$1,_DATA_[#Headers],0)),"-")</f>
        <v>3 привлеченных клиента ЮЛ</v>
      </c>
      <c r="V164" s="1" t="str">
        <f>IFERROR(INDEX(_reward_link_[],MATCH(_INDICATOR_[[#This Row],[CONTEST_CODE]],_reward_link_[CONTEST_CODE],0),MATCH($V$1,_reward_link_[#Headers],0)),"-")</f>
        <v>BANK</v>
      </c>
    </row>
    <row r="165" spans="1:22" hidden="1" x14ac:dyDescent="0.25">
      <c r="A165" s="1" t="s">
        <v>4030</v>
      </c>
      <c r="B165" s="1" t="s">
        <v>2</v>
      </c>
      <c r="C165" s="14" t="s">
        <v>194</v>
      </c>
      <c r="D165" s="14" t="s">
        <v>575</v>
      </c>
      <c r="E165" s="14" t="s">
        <v>575</v>
      </c>
      <c r="F165" s="14" t="s">
        <v>194</v>
      </c>
      <c r="G165" s="14" t="s">
        <v>194</v>
      </c>
      <c r="H165" s="14" t="s">
        <v>194</v>
      </c>
      <c r="I165" s="14" t="s">
        <v>562</v>
      </c>
      <c r="J165" s="1" t="s">
        <v>563</v>
      </c>
      <c r="K165" s="1" t="s">
        <v>317</v>
      </c>
      <c r="L165" s="1" t="s">
        <v>194</v>
      </c>
      <c r="M165" s="1" t="s">
        <v>194</v>
      </c>
      <c r="N165" s="14" t="s">
        <v>194</v>
      </c>
      <c r="O165" s="1" t="s">
        <v>2</v>
      </c>
      <c r="P165" s="1" t="s">
        <v>4066</v>
      </c>
      <c r="Q165" s="1"/>
      <c r="R165" s="1"/>
      <c r="S165" t="str">
        <f>IFERROR(INDEX(_SCHEDULE_[],MATCH(_INDICATOR_[[#This Row],[CONTEST_CODE]],_SCHEDULE_[CONTEST_CODE],0),MATCH($S$1,_SCHEDULE_[#Headers],0)),"-")</f>
        <v>АКТИВНЫЙ</v>
      </c>
      <c r="T165" s="1" t="str">
        <f>IFERROR(INDEX(_group_[],MATCH(_INDICATOR_[[#This Row],[CONTEST_CODE]],_group_[CONTEST_CODE],0),MATCH($T$1,_group_[#Headers],0)),"-")</f>
        <v>BANK</v>
      </c>
      <c r="U165" s="1" t="str">
        <f>IFERROR(INDEX(_DATA_[],MATCH(_INDICATOR_[[#This Row],[CONTEST_CODE]],_DATA_[CONTEST_CODE],0),MATCH($U$1,_DATA_[#Headers],0)),"-")</f>
        <v>5 привлеченных клиентов ЮЛ</v>
      </c>
      <c r="V165" s="1" t="str">
        <f>IFERROR(INDEX(_reward_link_[],MATCH(_INDICATOR_[[#This Row],[CONTEST_CODE]],_reward_link_[CONTEST_CODE],0),MATCH($V$1,_reward_link_[#Headers],0)),"-")</f>
        <v>BANK</v>
      </c>
    </row>
    <row r="166" spans="1:22" hidden="1" x14ac:dyDescent="0.25">
      <c r="A166" s="1" t="s">
        <v>4032</v>
      </c>
      <c r="B166" s="1" t="s">
        <v>2</v>
      </c>
      <c r="C166" s="14" t="s">
        <v>194</v>
      </c>
      <c r="D166" s="14" t="s">
        <v>575</v>
      </c>
      <c r="E166" s="14" t="s">
        <v>575</v>
      </c>
      <c r="F166" s="14" t="s">
        <v>194</v>
      </c>
      <c r="G166" s="14" t="s">
        <v>194</v>
      </c>
      <c r="H166" s="14" t="s">
        <v>194</v>
      </c>
      <c r="I166" s="14" t="s">
        <v>562</v>
      </c>
      <c r="J166" s="1" t="s">
        <v>563</v>
      </c>
      <c r="K166" s="1" t="s">
        <v>36</v>
      </c>
      <c r="L166" s="1" t="s">
        <v>194</v>
      </c>
      <c r="M166" s="1" t="s">
        <v>194</v>
      </c>
      <c r="N166" s="14" t="s">
        <v>194</v>
      </c>
      <c r="O166" s="1" t="s">
        <v>2</v>
      </c>
      <c r="P166" s="1" t="s">
        <v>4067</v>
      </c>
      <c r="Q166" s="1"/>
      <c r="R166" s="1"/>
      <c r="S166" t="str">
        <f>IFERROR(INDEX(_SCHEDULE_[],MATCH(_INDICATOR_[[#This Row],[CONTEST_CODE]],_SCHEDULE_[CONTEST_CODE],0),MATCH($S$1,_SCHEDULE_[#Headers],0)),"-")</f>
        <v>АКТИВНЫЙ</v>
      </c>
      <c r="T166" s="1" t="str">
        <f>IFERROR(INDEX(_group_[],MATCH(_INDICATOR_[[#This Row],[CONTEST_CODE]],_group_[CONTEST_CODE],0),MATCH($T$1,_group_[#Headers],0)),"-")</f>
        <v>BANK</v>
      </c>
      <c r="U166" s="1" t="str">
        <f>IFERROR(INDEX(_DATA_[],MATCH(_INDICATOR_[[#This Row],[CONTEST_CODE]],_DATA_[CONTEST_CODE],0),MATCH($U$1,_DATA_[#Headers],0)),"-")</f>
        <v>10 привлеченных клиентов ЮЛ</v>
      </c>
      <c r="V166" s="1" t="str">
        <f>IFERROR(INDEX(_reward_link_[],MATCH(_INDICATOR_[[#This Row],[CONTEST_CODE]],_reward_link_[CONTEST_CODE],0),MATCH($V$1,_reward_link_[#Headers],0)),"-")</f>
        <v>BANK</v>
      </c>
    </row>
    <row r="167" spans="1:22" hidden="1" x14ac:dyDescent="0.25">
      <c r="A167" s="1" t="s">
        <v>4034</v>
      </c>
      <c r="B167" s="1" t="s">
        <v>2</v>
      </c>
      <c r="C167" s="14" t="s">
        <v>194</v>
      </c>
      <c r="D167" s="14" t="s">
        <v>575</v>
      </c>
      <c r="E167" s="14" t="s">
        <v>575</v>
      </c>
      <c r="F167" s="14" t="s">
        <v>194</v>
      </c>
      <c r="G167" s="14" t="s">
        <v>194</v>
      </c>
      <c r="H167" s="14" t="s">
        <v>194</v>
      </c>
      <c r="I167" s="14" t="s">
        <v>573</v>
      </c>
      <c r="J167" s="1" t="s">
        <v>574</v>
      </c>
      <c r="K167" s="1" t="s">
        <v>194</v>
      </c>
      <c r="L167" s="1" t="s">
        <v>194</v>
      </c>
      <c r="M167" s="1" t="s">
        <v>194</v>
      </c>
      <c r="N167" s="14" t="s">
        <v>194</v>
      </c>
      <c r="O167" s="1" t="s">
        <v>2</v>
      </c>
      <c r="P167" s="1" t="s">
        <v>4068</v>
      </c>
      <c r="Q167" s="1"/>
      <c r="R167" s="1"/>
      <c r="S167" t="str">
        <f>IFERROR(INDEX(_SCHEDULE_[],MATCH(_INDICATOR_[[#This Row],[CONTEST_CODE]],_SCHEDULE_[CONTEST_CODE],0),MATCH($S$1,_SCHEDULE_[#Headers],0)),"-")</f>
        <v>АКТИВНЫЙ</v>
      </c>
      <c r="T167" s="1" t="str">
        <f>IFERROR(INDEX(_group_[],MATCH(_INDICATOR_[[#This Row],[CONTEST_CODE]],_group_[CONTEST_CODE],0),MATCH($T$1,_group_[#Headers],0)),"-")</f>
        <v>TB</v>
      </c>
      <c r="U167" s="1" t="str">
        <f>IFERROR(INDEX(_DATA_[],MATCH(_INDICATOR_[[#This Row],[CONTEST_CODE]],_DATA_[CONTEST_CODE],0),MATCH($U$1,_DATA_[#Headers],0)),"-")</f>
        <v>Защита Бизнеса 360. Максимизируй комиссию</v>
      </c>
      <c r="V167" s="1" t="str">
        <f>IFERROR(INDEX(_reward_link_[],MATCH(_INDICATOR_[[#This Row],[CONTEST_CODE]],_reward_link_[CONTEST_CODE],0),MATCH($V$1,_reward_link_[#Headers],0)),"-")</f>
        <v>TB</v>
      </c>
    </row>
    <row r="168" spans="1:22" x14ac:dyDescent="0.25">
      <c r="A168" s="1" t="s">
        <v>4081</v>
      </c>
      <c r="B168" s="1" t="s">
        <v>2</v>
      </c>
      <c r="C168" s="14" t="s">
        <v>4072</v>
      </c>
      <c r="D168" s="14" t="s">
        <v>4073</v>
      </c>
      <c r="E168" s="14" t="s">
        <v>4073</v>
      </c>
      <c r="F168" s="14" t="s">
        <v>1313</v>
      </c>
      <c r="G168" s="14" t="s">
        <v>2</v>
      </c>
      <c r="H168" s="14" t="s">
        <v>194</v>
      </c>
      <c r="I168" s="14" t="s">
        <v>573</v>
      </c>
      <c r="J168" s="1" t="s">
        <v>574</v>
      </c>
      <c r="K168" s="1" t="s">
        <v>194</v>
      </c>
      <c r="L168" s="1" t="s">
        <v>194</v>
      </c>
      <c r="M168" s="1" t="s">
        <v>194</v>
      </c>
      <c r="N168" s="14" t="s">
        <v>2</v>
      </c>
      <c r="O168" s="1" t="s">
        <v>32</v>
      </c>
      <c r="P168" s="1" t="s">
        <v>4074</v>
      </c>
      <c r="S168" t="str">
        <f>IFERROR(INDEX(_SCHEDULE_[],MATCH(_INDICATOR_[[#This Row],[CONTEST_CODE]],_SCHEDULE_[CONTEST_CODE],0),MATCH($S$1,_SCHEDULE_[#Headers],0)),"-")</f>
        <v>ЗАВЕРШЕН</v>
      </c>
      <c r="T168" s="1" t="str">
        <f>IFERROR(INDEX(_group_[],MATCH(_INDICATOR_[[#This Row],[CONTEST_CODE]],_group_[CONTEST_CODE],0),MATCH($T$1,_group_[#Headers],0)),"-")</f>
        <v>BANK</v>
      </c>
      <c r="U168" s="1" t="str">
        <f>IFERROR(INDEX(_DATA_[],MATCH(_INDICATOR_[[#This Row],[CONTEST_CODE]],_DATA_[CONTEST_CODE],0),MATCH($U$1,_DATA_[#Headers],0)),"-")</f>
        <v>Интернализация</v>
      </c>
      <c r="V168" s="1" t="str">
        <f>IFERROR(INDEX(_reward_link_[],MATCH(_INDICATOR_[[#This Row],[CONTEST_CODE]],_reward_link_[CONTEST_CODE],0),MATCH($V$1,_reward_link_[#Headers],0)),"-")</f>
        <v>GOSB</v>
      </c>
    </row>
    <row r="169" spans="1:22" x14ac:dyDescent="0.25">
      <c r="A169" s="1" t="s">
        <v>4081</v>
      </c>
      <c r="B169" s="1" t="s">
        <v>2</v>
      </c>
      <c r="C169" s="14" t="s">
        <v>4075</v>
      </c>
      <c r="D169" s="14" t="s">
        <v>4076</v>
      </c>
      <c r="E169" s="14" t="s">
        <v>4076</v>
      </c>
      <c r="F169" s="14" t="s">
        <v>1313</v>
      </c>
      <c r="G169" s="14" t="s">
        <v>2</v>
      </c>
      <c r="H169" s="14" t="s">
        <v>194</v>
      </c>
      <c r="I169" s="14" t="s">
        <v>573</v>
      </c>
      <c r="J169" s="1" t="s">
        <v>574</v>
      </c>
      <c r="K169" s="1" t="s">
        <v>194</v>
      </c>
      <c r="L169" s="1" t="s">
        <v>194</v>
      </c>
      <c r="M169" s="1" t="s">
        <v>194</v>
      </c>
      <c r="N169" s="14" t="s">
        <v>2</v>
      </c>
      <c r="O169" s="1" t="s">
        <v>32</v>
      </c>
      <c r="P169" s="1" t="s">
        <v>4077</v>
      </c>
    </row>
    <row r="170" spans="1:22" x14ac:dyDescent="0.25">
      <c r="A170" s="1" t="s">
        <v>4832</v>
      </c>
      <c r="B170" s="1" t="s">
        <v>2</v>
      </c>
      <c r="C170" s="14" t="s">
        <v>194</v>
      </c>
      <c r="D170" s="14" t="s">
        <v>4864</v>
      </c>
      <c r="E170" s="14" t="s">
        <v>4864</v>
      </c>
      <c r="F170" s="14" t="s">
        <v>1313</v>
      </c>
      <c r="G170" s="14" t="s">
        <v>2</v>
      </c>
      <c r="H170" s="14" t="s">
        <v>194</v>
      </c>
      <c r="I170" s="14" t="s">
        <v>573</v>
      </c>
      <c r="J170" s="1" t="s">
        <v>574</v>
      </c>
      <c r="K170" s="1" t="s">
        <v>194</v>
      </c>
      <c r="L170" s="1" t="s">
        <v>194</v>
      </c>
      <c r="M170" s="1" t="s">
        <v>194</v>
      </c>
      <c r="N170" s="14" t="s">
        <v>2</v>
      </c>
      <c r="O170" s="1" t="s">
        <v>32</v>
      </c>
      <c r="P170" s="1" t="s">
        <v>4836</v>
      </c>
    </row>
    <row r="171" spans="1:22" hidden="1" x14ac:dyDescent="0.25">
      <c r="A171" s="1" t="s">
        <v>4626</v>
      </c>
      <c r="B171" s="1" t="s">
        <v>2</v>
      </c>
      <c r="C171" s="14" t="s">
        <v>194</v>
      </c>
      <c r="D171" s="14" t="s">
        <v>575</v>
      </c>
      <c r="E171" s="14" t="s">
        <v>575</v>
      </c>
      <c r="F171" s="14" t="s">
        <v>194</v>
      </c>
      <c r="G171" s="14" t="s">
        <v>194</v>
      </c>
      <c r="H171" s="14" t="s">
        <v>194</v>
      </c>
      <c r="I171" s="14" t="s">
        <v>573</v>
      </c>
      <c r="J171" s="1" t="s">
        <v>574</v>
      </c>
      <c r="K171" s="1" t="s">
        <v>194</v>
      </c>
      <c r="L171" s="1" t="s">
        <v>194</v>
      </c>
      <c r="M171" s="1" t="s">
        <v>194</v>
      </c>
      <c r="N171" s="14" t="s">
        <v>194</v>
      </c>
      <c r="O171" s="1" t="s">
        <v>2</v>
      </c>
      <c r="P171" s="1" t="s">
        <v>4750</v>
      </c>
      <c r="S171" t="str">
        <f>IFERROR(INDEX(_SCHEDULE_[],MATCH(_INDICATOR_[[#This Row],[CONTEST_CODE]],_SCHEDULE_[CONTEST_CODE],0),MATCH($S$1,_SCHEDULE_[#Headers],0)),"-")</f>
        <v>АКТИВНЫЙ</v>
      </c>
      <c r="T171" t="str">
        <f>IFERROR(INDEX(_group_[],MATCH(_INDICATOR_[[#This Row],[CONTEST_CODE]],_group_[CONTEST_CODE],0),MATCH($T$1,_group_[#Headers],0)),"-")</f>
        <v>BANK</v>
      </c>
      <c r="U171" t="str">
        <f>IFERROR(INDEX(_DATA_[],MATCH(_INDICATOR_[[#This Row],[CONTEST_CODE]],_DATA_[CONTEST_CODE],0),MATCH($U$1,_DATA_[#Headers],0)),"-")</f>
        <v>Пакеты услуг. Привлекаем ЛПР на обслуживание в СберПервый</v>
      </c>
      <c r="V171" t="str">
        <f>IFERROR(INDEX(_reward_link_[],MATCH(_INDICATOR_[[#This Row],[CONTEST_CODE]],_reward_link_[CONTEST_CODE],0),MATCH($V$1,_reward_link_[#Headers],0)),"-")</f>
        <v>BANK</v>
      </c>
    </row>
  </sheetData>
  <conditionalFormatting sqref="Q3:R171">
    <cfRule type="duplicateValues" dxfId="2" priority="2387"/>
  </conditionalFormatting>
  <conditionalFormatting sqref="A3:A171">
    <cfRule type="duplicateValues" dxfId="1" priority="2389"/>
  </conditionalFormatting>
  <conditionalFormatting sqref="P3:P171">
    <cfRule type="duplicateValues" dxfId="0" priority="2391"/>
  </conditionalFormatting>
  <dataValidations count="4">
    <dataValidation type="list" allowBlank="1" showInputMessage="1" showErrorMessage="1" sqref="S1">
      <formula1>_sp_shedule</formula1>
    </dataValidation>
    <dataValidation type="list" allowBlank="1" showInputMessage="1" showErrorMessage="1" sqref="T1">
      <formula1>_sp_group</formula1>
    </dataValidation>
    <dataValidation type="list" allowBlank="1" showInputMessage="1" showErrorMessage="1" sqref="U1">
      <formula1>_sp_date</formula1>
    </dataValidation>
    <dataValidation type="list" allowBlank="1" showInputMessage="1" showErrorMessage="1" sqref="V1">
      <formula1>_sp_rewlink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F1" zoomScale="70" zoomScaleNormal="70" workbookViewId="0">
      <selection activeCell="F2" sqref="A2:XFD97"/>
    </sheetView>
  </sheetViews>
  <sheetFormatPr defaultRowHeight="15" x14ac:dyDescent="0.25"/>
  <cols>
    <col min="1" max="1" width="15.140625" bestFit="1" customWidth="1"/>
    <col min="2" max="2" width="19.5703125" bestFit="1" customWidth="1"/>
    <col min="3" max="3" width="76.7109375" bestFit="1" customWidth="1"/>
    <col min="4" max="4" width="80.140625" bestFit="1" customWidth="1"/>
    <col min="5" max="5" width="255.7109375" bestFit="1" customWidth="1"/>
    <col min="6" max="6" width="169.42578125" bestFit="1" customWidth="1"/>
    <col min="7" max="7" width="139.5703125" bestFit="1" customWidth="1"/>
    <col min="8" max="8" width="28.42578125" bestFit="1" customWidth="1"/>
    <col min="9" max="9" width="20.140625" bestFit="1" customWidth="1"/>
    <col min="10" max="10" width="14.7109375" bestFit="1" customWidth="1"/>
    <col min="11" max="11" width="20.42578125" bestFit="1" customWidth="1"/>
    <col min="12" max="12" width="13.140625" bestFit="1" customWidth="1"/>
    <col min="13" max="13" width="15.7109375" bestFit="1" customWidth="1"/>
    <col min="14" max="14" width="6.42578125" bestFit="1" customWidth="1"/>
    <col min="15" max="15" width="15.7109375" bestFit="1" customWidth="1"/>
    <col min="16" max="16" width="14.140625" customWidth="1"/>
    <col min="17" max="17" width="12" customWidth="1"/>
    <col min="18" max="19" width="12" bestFit="1" customWidth="1"/>
  </cols>
  <sheetData>
    <row r="1" spans="1:18" x14ac:dyDescent="0.25">
      <c r="A1" s="1" t="s">
        <v>2881</v>
      </c>
      <c r="B1" s="1" t="s">
        <v>2882</v>
      </c>
      <c r="C1" s="1" t="s">
        <v>2883</v>
      </c>
      <c r="D1" s="1" t="s">
        <v>2885</v>
      </c>
      <c r="E1" s="1" t="s">
        <v>2884</v>
      </c>
      <c r="F1" s="1" t="s">
        <v>2886</v>
      </c>
      <c r="G1" s="1" t="s">
        <v>2887</v>
      </c>
      <c r="H1" s="1" t="s">
        <v>2888</v>
      </c>
      <c r="I1" s="1" t="s">
        <v>602</v>
      </c>
      <c r="J1" s="1" t="s">
        <v>2889</v>
      </c>
      <c r="K1" s="1" t="s">
        <v>2971</v>
      </c>
      <c r="L1" s="1" t="s">
        <v>600</v>
      </c>
      <c r="M1" s="1" t="s">
        <v>601</v>
      </c>
      <c r="N1" t="s">
        <v>2</v>
      </c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1"/>
      <c r="H2" s="1"/>
      <c r="I2" s="1"/>
      <c r="J2" s="1"/>
      <c r="K2" s="1"/>
      <c r="L2" s="1"/>
      <c r="M2" s="1"/>
      <c r="N2" s="1"/>
      <c r="P2" s="1"/>
      <c r="Q2" s="1"/>
      <c r="R2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zoomScale="70" zoomScaleNormal="70" workbookViewId="0">
      <selection activeCell="D32" sqref="D32"/>
    </sheetView>
  </sheetViews>
  <sheetFormatPr defaultRowHeight="15" x14ac:dyDescent="0.25"/>
  <cols>
    <col min="1" max="1" width="14.85546875" bestFit="1" customWidth="1"/>
    <col min="2" max="2" width="19.5703125" bestFit="1" customWidth="1"/>
    <col min="3" max="3" width="76.7109375" bestFit="1" customWidth="1"/>
    <col min="4" max="4" width="78.28515625" bestFit="1" customWidth="1"/>
    <col min="5" max="5" width="255.7109375" bestFit="1" customWidth="1"/>
    <col min="6" max="6" width="165" bestFit="1" customWidth="1"/>
    <col min="7" max="7" width="255.7109375" bestFit="1" customWidth="1"/>
    <col min="8" max="8" width="27.42578125" bestFit="1" customWidth="1"/>
    <col min="9" max="9" width="20.140625" bestFit="1" customWidth="1"/>
    <col min="10" max="10" width="14" bestFit="1" customWidth="1"/>
    <col min="11" max="11" width="20" bestFit="1" customWidth="1"/>
    <col min="12" max="12" width="12.5703125" bestFit="1" customWidth="1"/>
    <col min="13" max="13" width="15.28515625" bestFit="1" customWidth="1"/>
  </cols>
  <sheetData>
    <row r="1" spans="1:13" x14ac:dyDescent="0.25">
      <c r="A1" s="1" t="s">
        <v>2881</v>
      </c>
      <c r="B1" s="1" t="s">
        <v>2882</v>
      </c>
      <c r="C1" s="1" t="s">
        <v>2883</v>
      </c>
      <c r="D1" s="1" t="s">
        <v>2885</v>
      </c>
      <c r="E1" s="1" t="s">
        <v>2884</v>
      </c>
      <c r="F1" s="1" t="s">
        <v>2886</v>
      </c>
      <c r="G1" s="1" t="s">
        <v>2887</v>
      </c>
      <c r="H1" s="1" t="s">
        <v>2888</v>
      </c>
      <c r="I1" s="1" t="s">
        <v>602</v>
      </c>
      <c r="J1" s="1" t="s">
        <v>2889</v>
      </c>
      <c r="K1" s="1" t="s">
        <v>2971</v>
      </c>
      <c r="L1" s="1" t="s">
        <v>600</v>
      </c>
      <c r="M1" s="1" t="s">
        <v>601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31"/>
  <sheetViews>
    <sheetView zoomScale="85" zoomScaleNormal="85" workbookViewId="0">
      <selection activeCell="G457" sqref="G457"/>
    </sheetView>
  </sheetViews>
  <sheetFormatPr defaultRowHeight="15" x14ac:dyDescent="0.25"/>
  <cols>
    <col min="1" max="1" width="18" customWidth="1"/>
    <col min="2" max="2" width="30.28515625" customWidth="1"/>
    <col min="3" max="3" width="21.28515625" customWidth="1"/>
    <col min="4" max="4" width="15.85546875" customWidth="1"/>
    <col min="5" max="5" width="69.5703125" bestFit="1" customWidth="1"/>
    <col min="6" max="6" width="13.5703125" customWidth="1"/>
    <col min="7" max="7" width="12.42578125" customWidth="1"/>
    <col min="8" max="8" width="20" customWidth="1"/>
    <col min="9" max="9" width="37.5703125" bestFit="1" customWidth="1"/>
    <col min="10" max="10" width="12.5703125" customWidth="1"/>
    <col min="11" max="11" width="10.85546875" customWidth="1"/>
    <col min="12" max="12" width="13.5703125" customWidth="1"/>
    <col min="13" max="13" width="24.42578125" customWidth="1"/>
    <col min="14" max="14" width="16.7109375" customWidth="1"/>
    <col min="15" max="15" width="92.42578125" customWidth="1"/>
    <col min="16" max="16" width="7.5703125" customWidth="1"/>
    <col min="17" max="17" width="17.42578125" customWidth="1"/>
    <col min="18" max="18" width="21.5703125" customWidth="1"/>
    <col min="19" max="19" width="12.5703125" customWidth="1"/>
    <col min="20" max="20" width="28.5703125" bestFit="1" customWidth="1"/>
    <col min="21" max="21" width="14.7109375" customWidth="1"/>
    <col min="22" max="22" width="13.140625" customWidth="1"/>
    <col min="23" max="23" width="86.85546875" customWidth="1"/>
    <col min="24" max="24" width="20.85546875" customWidth="1"/>
    <col min="25" max="25" width="18" customWidth="1"/>
    <col min="26" max="26" width="20.85546875" customWidth="1"/>
    <col min="27" max="27" width="25.5703125" customWidth="1"/>
    <col min="28" max="28" width="21" customWidth="1"/>
    <col min="29" max="29" width="45.5703125" bestFit="1" customWidth="1"/>
    <col min="30" max="30" width="69.5703125" bestFit="1" customWidth="1"/>
    <col min="31" max="37" width="12" bestFit="1" customWidth="1"/>
    <col min="38" max="40" width="13" bestFit="1" customWidth="1"/>
    <col min="41" max="41" width="12" bestFit="1" customWidth="1"/>
  </cols>
  <sheetData>
    <row r="1" spans="1:41" x14ac:dyDescent="0.25">
      <c r="R1" t="s">
        <v>144</v>
      </c>
      <c r="S1" t="s">
        <v>577</v>
      </c>
      <c r="T1" t="s">
        <v>1309</v>
      </c>
      <c r="U1" t="s">
        <v>577</v>
      </c>
      <c r="V1" t="s">
        <v>628</v>
      </c>
      <c r="W1" t="s">
        <v>11</v>
      </c>
      <c r="X1" s="51" t="s">
        <v>577</v>
      </c>
      <c r="Y1" s="51" t="s">
        <v>577</v>
      </c>
      <c r="Z1" s="51" t="s">
        <v>577</v>
      </c>
      <c r="AA1" s="51" t="s">
        <v>577</v>
      </c>
    </row>
    <row r="2" spans="1:41" x14ac:dyDescent="0.25">
      <c r="X2" s="51" t="s">
        <v>583</v>
      </c>
      <c r="Y2" s="51" t="s">
        <v>586</v>
      </c>
      <c r="Z2" s="51" t="s">
        <v>584</v>
      </c>
      <c r="AA2" s="51" t="s">
        <v>589</v>
      </c>
      <c r="AB2" s="52" t="s">
        <v>602</v>
      </c>
    </row>
    <row r="3" spans="1:41" x14ac:dyDescent="0.25">
      <c r="A3" s="1" t="s">
        <v>0</v>
      </c>
      <c r="B3" s="1" t="s">
        <v>1</v>
      </c>
      <c r="C3" s="1" t="s">
        <v>298</v>
      </c>
      <c r="D3" s="1" t="s">
        <v>577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141</v>
      </c>
      <c r="K3" s="1" t="s">
        <v>142</v>
      </c>
      <c r="L3" s="1" t="s">
        <v>143</v>
      </c>
      <c r="M3" s="1" t="s">
        <v>144</v>
      </c>
      <c r="N3" s="1" t="s">
        <v>299</v>
      </c>
      <c r="O3" s="1" t="s">
        <v>633</v>
      </c>
      <c r="P3" s="55" t="s">
        <v>2170</v>
      </c>
      <c r="Q3" s="55" t="s">
        <v>2843</v>
      </c>
      <c r="R3" s="32" t="s">
        <v>1631</v>
      </c>
      <c r="S3" s="32" t="s">
        <v>1630</v>
      </c>
      <c r="T3" s="33" t="s">
        <v>1625</v>
      </c>
      <c r="U3" s="32" t="s">
        <v>1636</v>
      </c>
      <c r="V3" s="32" t="s">
        <v>1632</v>
      </c>
      <c r="W3" s="33" t="s">
        <v>1635</v>
      </c>
      <c r="X3" s="33" t="s">
        <v>1963</v>
      </c>
      <c r="Y3" s="33" t="s">
        <v>1964</v>
      </c>
      <c r="Z3" s="33" t="s">
        <v>1965</v>
      </c>
      <c r="AA3" s="33" t="s">
        <v>1966</v>
      </c>
      <c r="AB3" s="50" t="s">
        <v>1626</v>
      </c>
      <c r="AC3" s="1" t="s">
        <v>4774</v>
      </c>
      <c r="AD3" s="1" t="s">
        <v>308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idden="1" x14ac:dyDescent="0.25">
      <c r="A4" s="1" t="s">
        <v>4034</v>
      </c>
      <c r="B4" s="1" t="s">
        <v>4060</v>
      </c>
      <c r="C4" s="1" t="s">
        <v>4048</v>
      </c>
      <c r="D4" s="1" t="s">
        <v>586</v>
      </c>
      <c r="E4" s="1" t="s">
        <v>4120</v>
      </c>
      <c r="F4" s="1" t="s">
        <v>2508</v>
      </c>
      <c r="G4" s="1" t="s">
        <v>27</v>
      </c>
      <c r="H4" s="1" t="s">
        <v>34</v>
      </c>
      <c r="I4" s="1" t="s">
        <v>50</v>
      </c>
      <c r="J4" s="1" t="s">
        <v>4019</v>
      </c>
      <c r="K4" s="1" t="s">
        <v>2542</v>
      </c>
      <c r="L4" s="1" t="s">
        <v>3545</v>
      </c>
      <c r="M4" s="1" t="s">
        <v>34</v>
      </c>
      <c r="N4" s="1" t="s">
        <v>305</v>
      </c>
      <c r="O4" s="1" t="s">
        <v>4114</v>
      </c>
      <c r="P4" s="1"/>
      <c r="Q4" s="1">
        <f>IFERROR(COUNTIFS(_report[TOURNAMENT_CODE],ВСЕ_КОДЫ[[#This Row],[TOURNAMENT_CODE]],_report[CONTEST_CODE],ВСЕ_КОДЫ[[#This Row],[CONTEST_CODE]]),"-")</f>
        <v>0</v>
      </c>
      <c r="R4" s="1" t="str">
        <f>IFERROR(INDEX(_SCHEDULE_[],MATCH(ВСЕ_КОДЫ[[#This Row],[CONTEST_CODE]],_SCHEDULE_[CONTEST_CODE],0),MATCH($R$1,_SCHEDULE_[#Headers],0)),"-")</f>
        <v>АКТИВНЫЙ</v>
      </c>
      <c r="S4" s="1" t="str">
        <f>IFERROR(INDEX(_group_[],MATCH(ВСЕ_КОДЫ[[#This Row],[CONTEST_CODE]],_group_[CONTEST_CODE],0),MATCH($S$1,_group_[#Headers],0)),"-")</f>
        <v>TB</v>
      </c>
      <c r="T4" s="1" t="str">
        <f>IFERROR(INDEX(_INDICATOR_[],MATCH(ВСЕ_КОДЫ[[#This Row],[CONTEST_CODE]],_INDICATOR_[CONTEST_CODE],0),MATCH($T$1,_INDICATOR_[#Headers],0)),"-")</f>
        <v>WAIT</v>
      </c>
      <c r="U4" s="1" t="str">
        <f>IFERROR(INDEX(_reward_link_[],MATCH(ВСЕ_КОДЫ[[#This Row],[CONTEST_CODE]],_reward_link_[CONTEST_CODE],0),MATCH($U$1,_reward_link_[#Headers],0)),"-")</f>
        <v>TB</v>
      </c>
      <c r="V4" s="1" t="str">
        <f>IFERROR(INDEX(_report[],MATCH(ВСЕ_КОДЫ[[#This Row],[CONTEST_CODE]],_report[CONTEST_CODE],0),MATCH($V$1,_report[#Headers],0)),"-")</f>
        <v>-</v>
      </c>
      <c r="W4" s="1" t="str">
        <f>IFERROR(INDEX(_reward_[],MATCH(ВСЕ_КОДЫ[[#This Row],[REWARD_CODE]],_reward_[REWARD_CODE],0),MATCH($W$1,_reward_[#Headers],0)),"-")</f>
        <v>Золото#Защита Бизнеса 360. Максимизируем комиссию</v>
      </c>
      <c r="X4" s="1" t="str">
        <f>IFERROR(INDEX(_group_[],MATCH(CONCATENATE(ВСЕ_КОДЫ[[#This Row],[CONTEST_CODE]],"_",X$2),#REF!,0),MATCH(X$1,_group_[#Headers],0)),"-")</f>
        <v>-</v>
      </c>
      <c r="Y4" s="1" t="str">
        <f>IFERROR(INDEX(_group_[],MATCH(CONCATENATE(ВСЕ_КОДЫ[[#This Row],[CONTEST_CODE]],"_",Y$2),#REF!,0),MATCH(Y$1,_group_[#Headers],0)),"-")</f>
        <v>-</v>
      </c>
      <c r="Z4" s="1" t="str">
        <f>IFERROR(INDEX(_group_[],MATCH(CONCATENATE(ВСЕ_КОДЫ[[#This Row],[CONTEST_CODE]],"_",Z$2),#REF!,0),MATCH(Z$1,_group_[#Headers],0)),"-")</f>
        <v>-</v>
      </c>
      <c r="AA4" s="1" t="str">
        <f>IFERROR(INDEX(_group_[],MATCH(CONCATENATE(ВСЕ_КОДЫ[[#This Row],[CONTEST_CODE]],"_",AA$2),#REF!,0),MATCH(AA$1,_group_[#Headers],0)),"-")</f>
        <v>-</v>
      </c>
      <c r="AB4" s="1" t="str">
        <f>IFERROR(INDEX(_DATA_[],MATCH(ВСЕ_КОДЫ[[#This Row],[CONTEST_CODE]],_DATA_[CONTEST_CODE],0),MATCH($AB$2,_DATA_[#Headers],0)),"-")</f>
        <v>["""KMKKSB"""]</v>
      </c>
      <c r="AC4" s="1" t="str">
        <f>CONCATENATE(ВСЕ_КОДЫ[[#This Row],[CONTEST_CODE]],"_",ВСЕ_КОДЫ[[#This Row],[TOURNAMENT_CODE]])</f>
        <v>01_2025-0_08-2_5_t_01_2025-0_08-2_5_2021</v>
      </c>
      <c r="AD4" s="1" t="str">
        <f>ВСЕ_КОДЫ[[#This Row],[FULL_NAME]]</f>
        <v>Защита Бизнеса 360. Максимизируй комиссию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idden="1" x14ac:dyDescent="0.25">
      <c r="A5" s="1" t="s">
        <v>2206</v>
      </c>
      <c r="B5" s="1" t="s">
        <v>2541</v>
      </c>
      <c r="C5" s="1" t="s">
        <v>2278</v>
      </c>
      <c r="D5" s="1" t="s">
        <v>583</v>
      </c>
      <c r="E5" s="1" t="s">
        <v>2601</v>
      </c>
      <c r="F5" s="1" t="s">
        <v>2508</v>
      </c>
      <c r="G5" s="1" t="s">
        <v>27</v>
      </c>
      <c r="H5" s="1" t="s">
        <v>34</v>
      </c>
      <c r="I5" s="1" t="s">
        <v>35</v>
      </c>
      <c r="J5" s="1" t="s">
        <v>2508</v>
      </c>
      <c r="K5" s="1" t="s">
        <v>2534</v>
      </c>
      <c r="L5" s="1" t="s">
        <v>2543</v>
      </c>
      <c r="M5" s="1" t="s">
        <v>176</v>
      </c>
      <c r="N5" s="1" t="s">
        <v>305</v>
      </c>
      <c r="O5" s="1" t="s">
        <v>3338</v>
      </c>
      <c r="P5" s="1"/>
      <c r="Q5" s="1">
        <f>IFERROR(COUNTIFS(_report[TOURNAMENT_CODE],ВСЕ_КОДЫ[[#This Row],[TOURNAMENT_CODE]],_report[CONTEST_CODE],ВСЕ_КОДЫ[[#This Row],[CONTEST_CODE]]),"-")</f>
        <v>0</v>
      </c>
      <c r="R5" s="1" t="str">
        <f>IFERROR(INDEX(_SCHEDULE_[],MATCH(ВСЕ_КОДЫ[[#This Row],[CONTEST_CODE]],_SCHEDULE_[CONTEST_CODE],0),MATCH($R$1,_SCHEDULE_[#Headers],0)),"-")</f>
        <v>ЗАВЕРШЕН</v>
      </c>
      <c r="S5" s="1" t="str">
        <f>IFERROR(INDEX(_group_[],MATCH(ВСЕ_КОДЫ[[#This Row],[CONTEST_CODE]],_group_[CONTEST_CODE],0),MATCH($S$1,_group_[#Headers],0)),"-")</f>
        <v>BANK</v>
      </c>
      <c r="T5" s="1" t="str">
        <f>IFERROR(INDEX(_INDICATOR_[],MATCH(ВСЕ_КОДЫ[[#This Row],[CONTEST_CODE]],_INDICATOR_[CONTEST_CODE],0),MATCH($T$1,_INDICATOR_[#Headers],0)),"-")</f>
        <v>WAIT</v>
      </c>
      <c r="U5" s="1" t="str">
        <f>IFERROR(INDEX(_reward_link_[],MATCH(ВСЕ_КОДЫ[[#This Row],[CONTEST_CODE]],_reward_link_[CONTEST_CODE],0),MATCH($U$1,_reward_link_[#Headers],0)),"-")</f>
        <v>BANK</v>
      </c>
      <c r="V5" s="1" t="str">
        <f>IFERROR(INDEX(_report[],MATCH(ВСЕ_КОДЫ[[#This Row],[CONTEST_CODE]],_report[CONTEST_CODE],0),MATCH($V$1,_report[#Headers],0)),"-")</f>
        <v>-</v>
      </c>
      <c r="W5" s="1" t="str">
        <f>IFERROR(INDEX(_reward_[],MATCH(ВСЕ_КОДЫ[[#This Row],[REWARD_CODE]],_reward_[REWARD_CODE],0),MATCH($W$1,_reward_[#Headers],0)),"-")</f>
        <v>Защита 360. Накопи 500 тыс. рублей</v>
      </c>
      <c r="X5" s="1" t="str">
        <f>IFERROR(INDEX(_group_[],MATCH(CONCATENATE(ВСЕ_КОДЫ[[#This Row],[CONTEST_CODE]],"_",X$2),#REF!,0),MATCH(X$1,_group_[#Headers],0)),"-")</f>
        <v>-</v>
      </c>
      <c r="Y5" s="1" t="str">
        <f>IFERROR(INDEX(_group_[],MATCH(CONCATENATE(ВСЕ_КОДЫ[[#This Row],[CONTEST_CODE]],"_",Y$2),#REF!,0),MATCH(Y$1,_group_[#Headers],0)),"-")</f>
        <v>-</v>
      </c>
      <c r="Z5" s="1" t="str">
        <f>IFERROR(INDEX(_group_[],MATCH(CONCATENATE(ВСЕ_КОДЫ[[#This Row],[CONTEST_CODE]],"_",Z$2),#REF!,0),MATCH(Z$1,_group_[#Headers],0)),"-")</f>
        <v>-</v>
      </c>
      <c r="AA5" s="1" t="str">
        <f>IFERROR(INDEX(_group_[],MATCH(CONCATENATE(ВСЕ_КОДЫ[[#This Row],[CONTEST_CODE]],"_",AA$2),#REF!,0),MATCH(AA$1,_group_[#Headers],0)),"-")</f>
        <v>-</v>
      </c>
      <c r="AB5" s="1" t="str">
        <f>IFERROR(INDEX(_DATA_[],MATCH(ВСЕ_КОДЫ[[#This Row],[CONTEST_CODE]],_DATA_[CONTEST_CODE],0),MATCH($AB$2,_DATA_[#Headers],0)),"-")</f>
        <v>["""KMKKSB"""]</v>
      </c>
      <c r="AC5" s="1" t="str">
        <f>CONCATENATE(ВСЕ_КОДЫ[[#This Row],[CONTEST_CODE]],"_",ВСЕ_КОДЫ[[#This Row],[TOURNAMENT_CODE]])</f>
        <v>01_2025-0_08-2_3_t_01_2025-0_08-2_3_4001</v>
      </c>
      <c r="AD5" s="1" t="str">
        <f>ВСЕ_КОДЫ[[#This Row],[FULL_NAME]]</f>
        <v>Защита 360. Накопи 500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idden="1" x14ac:dyDescent="0.25">
      <c r="A6" s="1" t="s">
        <v>2206</v>
      </c>
      <c r="B6" s="1" t="s">
        <v>4793</v>
      </c>
      <c r="C6" s="1" t="s">
        <v>2278</v>
      </c>
      <c r="D6" s="1" t="s">
        <v>583</v>
      </c>
      <c r="E6" s="1" t="s">
        <v>2601</v>
      </c>
      <c r="F6" s="1" t="s">
        <v>2508</v>
      </c>
      <c r="G6" s="1" t="s">
        <v>27</v>
      </c>
      <c r="H6" s="1" t="s">
        <v>34</v>
      </c>
      <c r="I6" s="1" t="s">
        <v>35</v>
      </c>
      <c r="J6" s="1" t="s">
        <v>4019</v>
      </c>
      <c r="K6" s="1" t="s">
        <v>2542</v>
      </c>
      <c r="L6" s="1" t="s">
        <v>3659</v>
      </c>
      <c r="M6" s="1" t="s">
        <v>34</v>
      </c>
      <c r="N6" s="1" t="s">
        <v>305</v>
      </c>
      <c r="O6" s="1" t="s">
        <v>3338</v>
      </c>
      <c r="P6" s="1"/>
      <c r="Q6" s="1">
        <f>IFERROR(COUNTIFS(_report[TOURNAMENT_CODE],ВСЕ_КОДЫ[[#This Row],[TOURNAMENT_CODE]],_report[CONTEST_CODE],ВСЕ_КОДЫ[[#This Row],[CONTEST_CODE]]),"-")</f>
        <v>0</v>
      </c>
      <c r="R6" s="1" t="str">
        <f>IFERROR(INDEX(_SCHEDULE_[],MATCH(ВСЕ_КОДЫ[[#This Row],[CONTEST_CODE]],_SCHEDULE_[CONTEST_CODE],0),MATCH($R$1,_SCHEDULE_[#Headers],0)),"-")</f>
        <v>ЗАВЕРШЕН</v>
      </c>
      <c r="S6" s="1" t="str">
        <f>IFERROR(INDEX(_group_[],MATCH(ВСЕ_КОДЫ[[#This Row],[CONTEST_CODE]],_group_[CONTEST_CODE],0),MATCH($S$1,_group_[#Headers],0)),"-")</f>
        <v>BANK</v>
      </c>
      <c r="T6" s="1" t="str">
        <f>IFERROR(INDEX(_INDICATOR_[],MATCH(ВСЕ_КОДЫ[[#This Row],[CONTEST_CODE]],_INDICATOR_[CONTEST_CODE],0),MATCH($T$1,_INDICATOR_[#Headers],0)),"-")</f>
        <v>WAIT</v>
      </c>
      <c r="U6" s="1" t="str">
        <f>IFERROR(INDEX(_reward_link_[],MATCH(ВСЕ_КОДЫ[[#This Row],[CONTEST_CODE]],_reward_link_[CONTEST_CODE],0),MATCH($U$1,_reward_link_[#Headers],0)),"-")</f>
        <v>BANK</v>
      </c>
      <c r="V6" s="1" t="str">
        <f>IFERROR(INDEX(_report[],MATCH(ВСЕ_КОДЫ[[#This Row],[CONTEST_CODE]],_report[CONTEST_CODE],0),MATCH($V$1,_report[#Headers],0)),"-")</f>
        <v>-</v>
      </c>
      <c r="W6" s="1" t="str">
        <f>IFERROR(INDEX(_reward_[],MATCH(ВСЕ_КОДЫ[[#This Row],[REWARD_CODE]],_reward_[REWARD_CODE],0),MATCH($W$1,_reward_[#Headers],0)),"-")</f>
        <v>Защита 360. Накопи 500 тыс. рублей</v>
      </c>
      <c r="X6" s="1" t="str">
        <f>IFERROR(INDEX(_group_[],MATCH(CONCATENATE(ВСЕ_КОДЫ[[#This Row],[CONTEST_CODE]],"_",X$2),#REF!,0),MATCH(X$1,_group_[#Headers],0)),"-")</f>
        <v>-</v>
      </c>
      <c r="Y6" s="1" t="str">
        <f>IFERROR(INDEX(_group_[],MATCH(CONCATENATE(ВСЕ_КОДЫ[[#This Row],[CONTEST_CODE]],"_",Y$2),#REF!,0),MATCH(Y$1,_group_[#Headers],0)),"-")</f>
        <v>-</v>
      </c>
      <c r="Z6" s="1" t="str">
        <f>IFERROR(INDEX(_group_[],MATCH(CONCATENATE(ВСЕ_КОДЫ[[#This Row],[CONTEST_CODE]],"_",Z$2),#REF!,0),MATCH(Z$1,_group_[#Headers],0)),"-")</f>
        <v>-</v>
      </c>
      <c r="AA6" s="1" t="str">
        <f>IFERROR(INDEX(_group_[],MATCH(CONCATENATE(ВСЕ_КОДЫ[[#This Row],[CONTEST_CODE]],"_",AA$2),#REF!,0),MATCH(AA$1,_group_[#Headers],0)),"-")</f>
        <v>-</v>
      </c>
      <c r="AB6" s="1" t="str">
        <f>IFERROR(INDEX(_DATA_[],MATCH(ВСЕ_КОДЫ[[#This Row],[CONTEST_CODE]],_DATA_[CONTEST_CODE],0),MATCH($AB$2,_DATA_[#Headers],0)),"-")</f>
        <v>["""KMKKSB"""]</v>
      </c>
      <c r="AC6" s="1" t="str">
        <f>CONCATENATE(ВСЕ_КОДЫ[[#This Row],[CONTEST_CODE]],"_",ВСЕ_КОДЫ[[#This Row],[TOURNAMENT_CODE]])</f>
        <v>01_2025-0_08-2_3_t_01_2025-0_08-2_3_2021</v>
      </c>
      <c r="AD6" s="1" t="str">
        <f>ВСЕ_КОДЫ[[#This Row],[FULL_NAME]]</f>
        <v>Защита 360. Накопи 500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idden="1" x14ac:dyDescent="0.25">
      <c r="A7" s="1" t="s">
        <v>2641</v>
      </c>
      <c r="B7" s="1" t="s">
        <v>3544</v>
      </c>
      <c r="C7" s="1" t="s">
        <v>2777</v>
      </c>
      <c r="D7" s="1" t="s">
        <v>583</v>
      </c>
      <c r="E7" s="1" t="s">
        <v>2944</v>
      </c>
      <c r="F7" s="1" t="s">
        <v>2508</v>
      </c>
      <c r="G7" s="1" t="s">
        <v>27</v>
      </c>
      <c r="H7" s="1" t="s">
        <v>34</v>
      </c>
      <c r="I7" s="1" t="s">
        <v>50</v>
      </c>
      <c r="J7" s="1" t="s">
        <v>3219</v>
      </c>
      <c r="K7" s="1" t="s">
        <v>2542</v>
      </c>
      <c r="L7" s="1" t="s">
        <v>3545</v>
      </c>
      <c r="M7" s="1" t="s">
        <v>34</v>
      </c>
      <c r="N7" s="1" t="s">
        <v>305</v>
      </c>
      <c r="O7" s="1" t="s">
        <v>2778</v>
      </c>
      <c r="P7" s="1"/>
      <c r="Q7" s="1">
        <f>IFERROR(COUNTIFS(_report[TOURNAMENT_CODE],ВСЕ_КОДЫ[[#This Row],[TOURNAMENT_CODE]],_report[CONTEST_CODE],ВСЕ_КОДЫ[[#This Row],[CONTEST_CODE]]),"-")</f>
        <v>0</v>
      </c>
      <c r="R7" s="1" t="str">
        <f>IFERROR(INDEX(_SCHEDULE_[],MATCH(ВСЕ_КОДЫ[[#This Row],[CONTEST_CODE]],_SCHEDULE_[CONTEST_CODE],0),MATCH($R$1,_SCHEDULE_[#Headers],0)),"-")</f>
        <v>АКТИВНЫЙ</v>
      </c>
      <c r="S7" s="1" t="str">
        <f>IFERROR(INDEX(_group_[],MATCH(ВСЕ_КОДЫ[[#This Row],[CONTEST_CODE]],_group_[CONTEST_CODE],0),MATCH($S$1,_group_[#Headers],0)),"-")</f>
        <v>BANK</v>
      </c>
      <c r="T7" s="1" t="str">
        <f>IFERROR(INDEX(_INDICATOR_[],MATCH(ВСЕ_КОДЫ[[#This Row],[CONTEST_CODE]],_INDICATOR_[CONTEST_CODE],0),MATCH($T$1,_INDICATOR_[#Headers],0)),"-")</f>
        <v>WAIT</v>
      </c>
      <c r="U7" s="1" t="str">
        <f>IFERROR(INDEX(_reward_link_[],MATCH(ВСЕ_КОДЫ[[#This Row],[CONTEST_CODE]],_reward_link_[CONTEST_CODE],0),MATCH($U$1,_reward_link_[#Headers],0)),"-")</f>
        <v>BANK</v>
      </c>
      <c r="V7" s="1" t="str">
        <f>IFERROR(INDEX(_report[],MATCH(ВСЕ_КОДЫ[[#This Row],[CONTEST_CODE]],_report[CONTEST_CODE],0),MATCH($V$1,_report[#Headers],0)),"-")</f>
        <v>-</v>
      </c>
      <c r="W7" s="1" t="str">
        <f>IFERROR(INDEX(_reward_[],MATCH(ВСЕ_КОДЫ[[#This Row],[REWARD_CODE]],_reward_[REWARD_CODE],0),MATCH($W$1,_reward_[#Headers],0)),"-")</f>
        <v>Золото#по Турниру Манжерок</v>
      </c>
      <c r="X7" s="1" t="str">
        <f>IFERROR(INDEX(_group_[],MATCH(CONCATENATE(ВСЕ_КОДЫ[[#This Row],[CONTEST_CODE]],"_",X$2),#REF!,0),MATCH(X$1,_group_[#Headers],0)),"-")</f>
        <v>-</v>
      </c>
      <c r="Y7" s="1" t="str">
        <f>IFERROR(INDEX(_group_[],MATCH(CONCATENATE(ВСЕ_КОДЫ[[#This Row],[CONTEST_CODE]],"_",Y$2),#REF!,0),MATCH(Y$1,_group_[#Headers],0)),"-")</f>
        <v>-</v>
      </c>
      <c r="Z7" s="1" t="str">
        <f>IFERROR(INDEX(_group_[],MATCH(CONCATENATE(ВСЕ_КОДЫ[[#This Row],[CONTEST_CODE]],"_",Z$2),#REF!,0),MATCH(Z$1,_group_[#Headers],0)),"-")</f>
        <v>-</v>
      </c>
      <c r="AA7" s="1" t="str">
        <f>IFERROR(INDEX(_group_[],MATCH(CONCATENATE(ВСЕ_КОДЫ[[#This Row],[CONTEST_CODE]],"_",AA$2),#REF!,0),MATCH(AA$1,_group_[#Headers],0)),"-")</f>
        <v>-</v>
      </c>
      <c r="AB7" s="1" t="str">
        <f>IFERROR(INDEX(_DATA_[],MATCH(ВСЕ_КОДЫ[[#This Row],[CONTEST_CODE]],_DATA_[CONTEST_CODE],0),MATCH($AB$2,_DATA_[#Headers],0)),"-")</f>
        <v>["""KMSB1"""]</v>
      </c>
      <c r="AC7" s="1" t="str">
        <f>CONCATENATE(ВСЕ_КОДЫ[[#This Row],[CONTEST_CODE]],"_",ВСЕ_КОДЫ[[#This Row],[TOURNAMENT_CODE]])</f>
        <v>05_2025-0_18-6_1_t_05_2025-0_18-6_1_4001</v>
      </c>
      <c r="AD7" s="1" t="str">
        <f>ВСЕ_КОДЫ[[#This Row],[FULL_NAME]]</f>
        <v>Загадка Алтая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idden="1" x14ac:dyDescent="0.25">
      <c r="A8" s="1" t="s">
        <v>2641</v>
      </c>
      <c r="B8" s="1" t="s">
        <v>2924</v>
      </c>
      <c r="C8" s="1" t="s">
        <v>2777</v>
      </c>
      <c r="D8" s="1" t="s">
        <v>583</v>
      </c>
      <c r="E8" s="1" t="s">
        <v>2944</v>
      </c>
      <c r="F8" s="1" t="s">
        <v>2508</v>
      </c>
      <c r="G8" s="1" t="s">
        <v>27</v>
      </c>
      <c r="H8" s="1" t="s">
        <v>34</v>
      </c>
      <c r="I8" s="1" t="s">
        <v>50</v>
      </c>
      <c r="J8" s="1" t="s">
        <v>2508</v>
      </c>
      <c r="K8" s="1" t="s">
        <v>2534</v>
      </c>
      <c r="L8" s="1" t="s">
        <v>2535</v>
      </c>
      <c r="M8" s="1" t="s">
        <v>155</v>
      </c>
      <c r="N8" s="1" t="s">
        <v>305</v>
      </c>
      <c r="O8" s="1" t="s">
        <v>2778</v>
      </c>
      <c r="P8" s="1"/>
      <c r="Q8" s="1">
        <f>IFERROR(COUNTIFS(_report[TOURNAMENT_CODE],ВСЕ_КОДЫ[[#This Row],[TOURNAMENT_CODE]],_report[CONTEST_CODE],ВСЕ_КОДЫ[[#This Row],[CONTEST_CODE]]),"-")</f>
        <v>0</v>
      </c>
      <c r="R8" s="1" t="str">
        <f>IFERROR(INDEX(_SCHEDULE_[],MATCH(ВСЕ_КОДЫ[[#This Row],[CONTEST_CODE]],_SCHEDULE_[CONTEST_CODE],0),MATCH($R$1,_SCHEDULE_[#Headers],0)),"-")</f>
        <v>АКТИВНЫЙ</v>
      </c>
      <c r="S8" s="1" t="str">
        <f>IFERROR(INDEX(_group_[],MATCH(ВСЕ_КОДЫ[[#This Row],[CONTEST_CODE]],_group_[CONTEST_CODE],0),MATCH($S$1,_group_[#Headers],0)),"-")</f>
        <v>BANK</v>
      </c>
      <c r="T8" s="1" t="str">
        <f>IFERROR(INDEX(_INDICATOR_[],MATCH(ВСЕ_КОДЫ[[#This Row],[CONTEST_CODE]],_INDICATOR_[CONTEST_CODE],0),MATCH($T$1,_INDICATOR_[#Headers],0)),"-")</f>
        <v>WAIT</v>
      </c>
      <c r="U8" s="1" t="str">
        <f>IFERROR(INDEX(_reward_link_[],MATCH(ВСЕ_КОДЫ[[#This Row],[CONTEST_CODE]],_reward_link_[CONTEST_CODE],0),MATCH($U$1,_reward_link_[#Headers],0)),"-")</f>
        <v>BANK</v>
      </c>
      <c r="V8" s="1" t="str">
        <f>IFERROR(INDEX(_report[],MATCH(ВСЕ_КОДЫ[[#This Row],[CONTEST_CODE]],_report[CONTEST_CODE],0),MATCH($V$1,_report[#Headers],0)),"-")</f>
        <v>-</v>
      </c>
      <c r="W8" s="1" t="str">
        <f>IFERROR(INDEX(_reward_[],MATCH(ВСЕ_КОДЫ[[#This Row],[REWARD_CODE]],_reward_[REWARD_CODE],0),MATCH($W$1,_reward_[#Headers],0)),"-")</f>
        <v>Золото#по Турниру Манжерок</v>
      </c>
      <c r="X8" s="1" t="str">
        <f>IFERROR(INDEX(_group_[],MATCH(CONCATENATE(ВСЕ_КОДЫ[[#This Row],[CONTEST_CODE]],"_",X$2),#REF!,0),MATCH(X$1,_group_[#Headers],0)),"-")</f>
        <v>-</v>
      </c>
      <c r="Y8" s="1" t="str">
        <f>IFERROR(INDEX(_group_[],MATCH(CONCATENATE(ВСЕ_КОДЫ[[#This Row],[CONTEST_CODE]],"_",Y$2),#REF!,0),MATCH(Y$1,_group_[#Headers],0)),"-")</f>
        <v>-</v>
      </c>
      <c r="Z8" s="1" t="str">
        <f>IFERROR(INDEX(_group_[],MATCH(CONCATENATE(ВСЕ_КОДЫ[[#This Row],[CONTEST_CODE]],"_",Z$2),#REF!,0),MATCH(Z$1,_group_[#Headers],0)),"-")</f>
        <v>-</v>
      </c>
      <c r="AA8" s="1" t="str">
        <f>IFERROR(INDEX(_group_[],MATCH(CONCATENATE(ВСЕ_КОДЫ[[#This Row],[CONTEST_CODE]],"_",AA$2),#REF!,0),MATCH(AA$1,_group_[#Headers],0)),"-")</f>
        <v>-</v>
      </c>
      <c r="AB8" s="1" t="str">
        <f>IFERROR(INDEX(_DATA_[],MATCH(ВСЕ_КОДЫ[[#This Row],[CONTEST_CODE]],_DATA_[CONTEST_CODE],0),MATCH($AB$2,_DATA_[#Headers],0)),"-")</f>
        <v>["""KMSB1"""]</v>
      </c>
      <c r="AC8" s="1" t="str">
        <f>CONCATENATE(ВСЕ_КОДЫ[[#This Row],[CONTEST_CODE]],"_",ВСЕ_КОДЫ[[#This Row],[TOURNAMENT_CODE]])</f>
        <v>05_2025-0_18-6_1_t_05_2025-0_18-6_1_2011</v>
      </c>
      <c r="AD8" s="1" t="str">
        <f>ВСЕ_КОДЫ[[#This Row],[FULL_NAME]]</f>
        <v>Загадка Алтая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idden="1" x14ac:dyDescent="0.25">
      <c r="A9" s="1" t="s">
        <v>2266</v>
      </c>
      <c r="B9" s="1" t="s">
        <v>3547</v>
      </c>
      <c r="C9" s="1" t="s">
        <v>2473</v>
      </c>
      <c r="D9" s="1" t="s">
        <v>583</v>
      </c>
      <c r="E9" s="1" t="s">
        <v>2635</v>
      </c>
      <c r="F9" s="1" t="s">
        <v>2508</v>
      </c>
      <c r="G9" s="1" t="s">
        <v>27</v>
      </c>
      <c r="H9" s="1" t="s">
        <v>28</v>
      </c>
      <c r="I9" s="1" t="s">
        <v>50</v>
      </c>
      <c r="J9" s="1" t="s">
        <v>3219</v>
      </c>
      <c r="K9" s="1" t="s">
        <v>2542</v>
      </c>
      <c r="L9" s="1" t="s">
        <v>3545</v>
      </c>
      <c r="M9" s="1" t="s">
        <v>155</v>
      </c>
      <c r="N9" s="1" t="s">
        <v>305</v>
      </c>
      <c r="O9" s="1" t="s">
        <v>2766</v>
      </c>
      <c r="P9" s="1"/>
      <c r="Q9" s="1">
        <f>IFERROR(COUNTIFS(_report[TOURNAMENT_CODE],ВСЕ_КОДЫ[[#This Row],[TOURNAMENT_CODE]],_report[CONTEST_CODE],ВСЕ_КОДЫ[[#This Row],[CONTEST_CODE]]),"-")</f>
        <v>0</v>
      </c>
      <c r="R9" s="1" t="str">
        <f>IFERROR(INDEX(_SCHEDULE_[],MATCH(ВСЕ_КОДЫ[[#This Row],[CONTEST_CODE]],_SCHEDULE_[CONTEST_CODE],0),MATCH($R$1,_SCHEDULE_[#Headers],0)),"-")</f>
        <v>УДАЛЕН</v>
      </c>
      <c r="S9" s="1" t="str">
        <f>IFERROR(INDEX(_group_[],MATCH(ВСЕ_КОДЫ[[#This Row],[CONTEST_CODE]],_group_[CONTEST_CODE],0),MATCH($S$1,_group_[#Headers],0)),"-")</f>
        <v>BANK</v>
      </c>
      <c r="T9" s="1" t="str">
        <f>IFERROR(INDEX(_INDICATOR_[],MATCH(ВСЕ_КОДЫ[[#This Row],[CONTEST_CODE]],_INDICATOR_[CONTEST_CODE],0),MATCH($T$1,_INDICATOR_[#Headers],0)),"-")</f>
        <v>WAIT</v>
      </c>
      <c r="U9" s="1" t="str">
        <f>IFERROR(INDEX(_reward_link_[],MATCH(ВСЕ_КОДЫ[[#This Row],[CONTEST_CODE]],_reward_link_[CONTEST_CODE],0),MATCH($U$1,_reward_link_[#Headers],0)),"-")</f>
        <v>BANK</v>
      </c>
      <c r="V9" s="1" t="str">
        <f>IFERROR(INDEX(_report[],MATCH(ВСЕ_КОДЫ[[#This Row],[CONTEST_CODE]],_report[CONTEST_CODE],0),MATCH($V$1,_report[#Headers],0)),"-")</f>
        <v>-</v>
      </c>
      <c r="W9" s="1" t="str">
        <f>IFERROR(INDEX(_reward_[],MATCH(ВСЕ_КОДЫ[[#This Row],[REWARD_CODE]],_reward_[REWARD_CODE],0),MATCH($W$1,_reward_[#Headers],0)),"-")</f>
        <v>Золото#по Турниру Брокера</v>
      </c>
      <c r="X9" s="1" t="str">
        <f>IFERROR(INDEX(_group_[],MATCH(CONCATENATE(ВСЕ_КОДЫ[[#This Row],[CONTEST_CODE]],"_",X$2),#REF!,0),MATCH(X$1,_group_[#Headers],0)),"-")</f>
        <v>-</v>
      </c>
      <c r="Y9" s="1" t="str">
        <f>IFERROR(INDEX(_group_[],MATCH(CONCATENATE(ВСЕ_КОДЫ[[#This Row],[CONTEST_CODE]],"_",Y$2),#REF!,0),MATCH(Y$1,_group_[#Headers],0)),"-")</f>
        <v>-</v>
      </c>
      <c r="Z9" s="1" t="str">
        <f>IFERROR(INDEX(_group_[],MATCH(CONCATENATE(ВСЕ_КОДЫ[[#This Row],[CONTEST_CODE]],"_",Z$2),#REF!,0),MATCH(Z$1,_group_[#Headers],0)),"-")</f>
        <v>-</v>
      </c>
      <c r="AA9" s="1" t="str">
        <f>IFERROR(INDEX(_group_[],MATCH(CONCATENATE(ВСЕ_КОДЫ[[#This Row],[CONTEST_CODE]],"_",AA$2),#REF!,0),MATCH(AA$1,_group_[#Headers],0)),"-")</f>
        <v>-</v>
      </c>
      <c r="AB9" s="1" t="str">
        <f>IFERROR(INDEX(_DATA_[],MATCH(ВСЕ_КОДЫ[[#This Row],[CONTEST_CODE]],_DATA_[CONTEST_CODE],0),MATCH($AB$2,_DATA_[#Headers],0)),"-")</f>
        <v>["""RNUB"""]</v>
      </c>
      <c r="AC9" s="1" t="str">
        <f>CONCATENATE(ВСЕ_КОДЫ[[#This Row],[CONTEST_CODE]],"_",ВСЕ_КОДЫ[[#This Row],[TOURNAMENT_CODE]])</f>
        <v>07_2025-0_18-3_1_t_07_2025-0_18-3_1_4001</v>
      </c>
      <c r="AD9" s="1" t="str">
        <f>ВСЕ_КОДЫ[[#This Row],[FULL_NAME]]</f>
        <v>Ралли брокера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idden="1" x14ac:dyDescent="0.25">
      <c r="A10" s="1" t="s">
        <v>2266</v>
      </c>
      <c r="B10" s="1" t="s">
        <v>2589</v>
      </c>
      <c r="C10" s="1" t="s">
        <v>2473</v>
      </c>
      <c r="D10" s="1" t="s">
        <v>583</v>
      </c>
      <c r="E10" s="1" t="s">
        <v>2635</v>
      </c>
      <c r="F10" s="1" t="s">
        <v>2508</v>
      </c>
      <c r="G10" s="1" t="s">
        <v>27</v>
      </c>
      <c r="H10" s="1" t="s">
        <v>28</v>
      </c>
      <c r="I10" s="1" t="s">
        <v>50</v>
      </c>
      <c r="J10" s="1" t="s">
        <v>2508</v>
      </c>
      <c r="K10" s="1" t="s">
        <v>2534</v>
      </c>
      <c r="L10" s="1" t="s">
        <v>2554</v>
      </c>
      <c r="M10" s="1" t="s">
        <v>155</v>
      </c>
      <c r="N10" s="1" t="s">
        <v>305</v>
      </c>
      <c r="O10" s="1" t="s">
        <v>2766</v>
      </c>
      <c r="P10" s="1"/>
      <c r="Q10" s="1">
        <f>IFERROR(COUNTIFS(_report[TOURNAMENT_CODE],ВСЕ_КОДЫ[[#This Row],[TOURNAMENT_CODE]],_report[CONTEST_CODE],ВСЕ_КОДЫ[[#This Row],[CONTEST_CODE]]),"-")</f>
        <v>0</v>
      </c>
      <c r="R10" s="1" t="str">
        <f>IFERROR(INDEX(_SCHEDULE_[],MATCH(ВСЕ_КОДЫ[[#This Row],[CONTEST_CODE]],_SCHEDULE_[CONTEST_CODE],0),MATCH($R$1,_SCHEDULE_[#Headers],0)),"-")</f>
        <v>УДАЛЕН</v>
      </c>
      <c r="S10" s="1" t="str">
        <f>IFERROR(INDEX(_group_[],MATCH(ВСЕ_КОДЫ[[#This Row],[CONTEST_CODE]],_group_[CONTEST_CODE],0),MATCH($S$1,_group_[#Headers],0)),"-")</f>
        <v>BANK</v>
      </c>
      <c r="T10" s="1" t="str">
        <f>IFERROR(INDEX(_INDICATOR_[],MATCH(ВСЕ_КОДЫ[[#This Row],[CONTEST_CODE]],_INDICATOR_[CONTEST_CODE],0),MATCH($T$1,_INDICATOR_[#Headers],0)),"-")</f>
        <v>WAIT</v>
      </c>
      <c r="U10" s="1" t="str">
        <f>IFERROR(INDEX(_reward_link_[],MATCH(ВСЕ_КОДЫ[[#This Row],[CONTEST_CODE]],_reward_link_[CONTEST_CODE],0),MATCH($U$1,_reward_link_[#Headers],0)),"-")</f>
        <v>BANK</v>
      </c>
      <c r="V10" s="1" t="str">
        <f>IFERROR(INDEX(_report[],MATCH(ВСЕ_КОДЫ[[#This Row],[CONTEST_CODE]],_report[CONTEST_CODE],0),MATCH($V$1,_report[#Headers],0)),"-")</f>
        <v>-</v>
      </c>
      <c r="W10" s="1" t="str">
        <f>IFERROR(INDEX(_reward_[],MATCH(ВСЕ_КОДЫ[[#This Row],[REWARD_CODE]],_reward_[REWARD_CODE],0),MATCH($W$1,_reward_[#Headers],0)),"-")</f>
        <v>Золото#по Турниру Брокера</v>
      </c>
      <c r="X10" s="1" t="str">
        <f>IFERROR(INDEX(_group_[],MATCH(CONCATENATE(ВСЕ_КОДЫ[[#This Row],[CONTEST_CODE]],"_",X$2),#REF!,0),MATCH(X$1,_group_[#Headers],0)),"-")</f>
        <v>-</v>
      </c>
      <c r="Y10" s="1" t="str">
        <f>IFERROR(INDEX(_group_[],MATCH(CONCATENATE(ВСЕ_КОДЫ[[#This Row],[CONTEST_CODE]],"_",Y$2),#REF!,0),MATCH(Y$1,_group_[#Headers],0)),"-")</f>
        <v>-</v>
      </c>
      <c r="Z10" s="1" t="str">
        <f>IFERROR(INDEX(_group_[],MATCH(CONCATENATE(ВСЕ_КОДЫ[[#This Row],[CONTEST_CODE]],"_",Z$2),#REF!,0),MATCH(Z$1,_group_[#Headers],0)),"-")</f>
        <v>-</v>
      </c>
      <c r="AA10" s="1" t="str">
        <f>IFERROR(INDEX(_group_[],MATCH(CONCATENATE(ВСЕ_КОДЫ[[#This Row],[CONTEST_CODE]],"_",AA$2),#REF!,0),MATCH(AA$1,_group_[#Headers],0)),"-")</f>
        <v>-</v>
      </c>
      <c r="AB10" s="1" t="str">
        <f>IFERROR(INDEX(_DATA_[],MATCH(ВСЕ_КОДЫ[[#This Row],[CONTEST_CODE]],_DATA_[CONTEST_CODE],0),MATCH($AB$2,_DATA_[#Headers],0)),"-")</f>
        <v>["""RNUB"""]</v>
      </c>
      <c r="AC10" s="1" t="str">
        <f>CONCATENATE(ВСЕ_КОДЫ[[#This Row],[CONTEST_CODE]],"_",ВСЕ_КОДЫ[[#This Row],[TOURNAMENT_CODE]])</f>
        <v>07_2025-0_18-3_1_t_07_2025-0_18-3_1_2011</v>
      </c>
      <c r="AD10" s="1" t="str">
        <f>ВСЕ_КОДЫ[[#This Row],[FULL_NAME]]</f>
        <v>Ралли брокера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idden="1" x14ac:dyDescent="0.25">
      <c r="A11" s="1" t="s">
        <v>2266</v>
      </c>
      <c r="B11" s="1" t="s">
        <v>3547</v>
      </c>
      <c r="C11" s="1" t="s">
        <v>2475</v>
      </c>
      <c r="D11" s="1" t="s">
        <v>583</v>
      </c>
      <c r="E11" s="1" t="s">
        <v>2635</v>
      </c>
      <c r="F11" s="1" t="s">
        <v>2508</v>
      </c>
      <c r="G11" s="1" t="s">
        <v>27</v>
      </c>
      <c r="H11" s="1" t="s">
        <v>28</v>
      </c>
      <c r="I11" s="1" t="s">
        <v>50</v>
      </c>
      <c r="J11" s="1" t="s">
        <v>3219</v>
      </c>
      <c r="K11" s="1" t="s">
        <v>2542</v>
      </c>
      <c r="L11" s="1" t="s">
        <v>3545</v>
      </c>
      <c r="M11" s="1" t="s">
        <v>155</v>
      </c>
      <c r="N11" s="1" t="s">
        <v>305</v>
      </c>
      <c r="O11" s="1" t="s">
        <v>2767</v>
      </c>
      <c r="P11" s="1"/>
      <c r="Q11" s="1">
        <f>IFERROR(COUNTIFS(_report[TOURNAMENT_CODE],ВСЕ_КОДЫ[[#This Row],[TOURNAMENT_CODE]],_report[CONTEST_CODE],ВСЕ_КОДЫ[[#This Row],[CONTEST_CODE]]),"-")</f>
        <v>0</v>
      </c>
      <c r="R11" s="1" t="str">
        <f>IFERROR(INDEX(_SCHEDULE_[],MATCH(ВСЕ_КОДЫ[[#This Row],[CONTEST_CODE]],_SCHEDULE_[CONTEST_CODE],0),MATCH($R$1,_SCHEDULE_[#Headers],0)),"-")</f>
        <v>УДАЛЕН</v>
      </c>
      <c r="S11" s="1" t="str">
        <f>IFERROR(INDEX(_group_[],MATCH(ВСЕ_КОДЫ[[#This Row],[CONTEST_CODE]],_group_[CONTEST_CODE],0),MATCH($S$1,_group_[#Headers],0)),"-")</f>
        <v>BANK</v>
      </c>
      <c r="T11" s="1" t="str">
        <f>IFERROR(INDEX(_INDICATOR_[],MATCH(ВСЕ_КОДЫ[[#This Row],[CONTEST_CODE]],_INDICATOR_[CONTEST_CODE],0),MATCH($T$1,_INDICATOR_[#Headers],0)),"-")</f>
        <v>WAIT</v>
      </c>
      <c r="U11" s="1" t="str">
        <f>IFERROR(INDEX(_reward_link_[],MATCH(ВСЕ_КОДЫ[[#This Row],[CONTEST_CODE]],_reward_link_[CONTEST_CODE],0),MATCH($U$1,_reward_link_[#Headers],0)),"-")</f>
        <v>BANK</v>
      </c>
      <c r="V11" s="1" t="str">
        <f>IFERROR(INDEX(_report[],MATCH(ВСЕ_КОДЫ[[#This Row],[CONTEST_CODE]],_report[CONTEST_CODE],0),MATCH($V$1,_report[#Headers],0)),"-")</f>
        <v>-</v>
      </c>
      <c r="W11" s="1" t="str">
        <f>IFERROR(INDEX(_reward_[],MATCH(ВСЕ_КОДЫ[[#This Row],[REWARD_CODE]],_reward_[REWARD_CODE],0),MATCH($W$1,_reward_[#Headers],0)),"-")</f>
        <v>Серебро#по Турниру Брокера</v>
      </c>
      <c r="X11" s="1" t="str">
        <f>IFERROR(INDEX(_group_[],MATCH(CONCATENATE(ВСЕ_КОДЫ[[#This Row],[CONTEST_CODE]],"_",X$2),#REF!,0),MATCH(X$1,_group_[#Headers],0)),"-")</f>
        <v>-</v>
      </c>
      <c r="Y11" s="1" t="str">
        <f>IFERROR(INDEX(_group_[],MATCH(CONCATENATE(ВСЕ_КОДЫ[[#This Row],[CONTEST_CODE]],"_",Y$2),#REF!,0),MATCH(Y$1,_group_[#Headers],0)),"-")</f>
        <v>-</v>
      </c>
      <c r="Z11" s="1" t="str">
        <f>IFERROR(INDEX(_group_[],MATCH(CONCATENATE(ВСЕ_КОДЫ[[#This Row],[CONTEST_CODE]],"_",Z$2),#REF!,0),MATCH(Z$1,_group_[#Headers],0)),"-")</f>
        <v>-</v>
      </c>
      <c r="AA11" s="1" t="str">
        <f>IFERROR(INDEX(_group_[],MATCH(CONCATENATE(ВСЕ_КОДЫ[[#This Row],[CONTEST_CODE]],"_",AA$2),#REF!,0),MATCH(AA$1,_group_[#Headers],0)),"-")</f>
        <v>-</v>
      </c>
      <c r="AB11" s="1" t="str">
        <f>IFERROR(INDEX(_DATA_[],MATCH(ВСЕ_КОДЫ[[#This Row],[CONTEST_CODE]],_DATA_[CONTEST_CODE],0),MATCH($AB$2,_DATA_[#Headers],0)),"-")</f>
        <v>["""RNUB"""]</v>
      </c>
      <c r="AC11" s="1" t="str">
        <f>CONCATENATE(ВСЕ_КОДЫ[[#This Row],[CONTEST_CODE]],"_",ВСЕ_КОДЫ[[#This Row],[TOURNAMENT_CODE]])</f>
        <v>07_2025-0_18-3_1_t_07_2025-0_18-3_1_4001</v>
      </c>
      <c r="AD11" s="1" t="str">
        <f>ВСЕ_КОДЫ[[#This Row],[FULL_NAME]]</f>
        <v>Ралли брокера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idden="1" x14ac:dyDescent="0.25">
      <c r="A12" s="1" t="s">
        <v>2266</v>
      </c>
      <c r="B12" s="1" t="s">
        <v>2589</v>
      </c>
      <c r="C12" s="1" t="s">
        <v>2475</v>
      </c>
      <c r="D12" s="1" t="s">
        <v>583</v>
      </c>
      <c r="E12" s="1" t="s">
        <v>2635</v>
      </c>
      <c r="F12" s="1" t="s">
        <v>2508</v>
      </c>
      <c r="G12" s="1" t="s">
        <v>27</v>
      </c>
      <c r="H12" s="1" t="s">
        <v>28</v>
      </c>
      <c r="I12" s="1" t="s">
        <v>50</v>
      </c>
      <c r="J12" s="1" t="s">
        <v>2508</v>
      </c>
      <c r="K12" s="1" t="s">
        <v>2534</v>
      </c>
      <c r="L12" s="1" t="s">
        <v>2554</v>
      </c>
      <c r="M12" s="1" t="s">
        <v>155</v>
      </c>
      <c r="N12" s="1" t="s">
        <v>305</v>
      </c>
      <c r="O12" s="1" t="s">
        <v>2767</v>
      </c>
      <c r="P12" s="1"/>
      <c r="Q12" s="1">
        <f>IFERROR(COUNTIFS(_report[TOURNAMENT_CODE],ВСЕ_КОДЫ[[#This Row],[TOURNAMENT_CODE]],_report[CONTEST_CODE],ВСЕ_КОДЫ[[#This Row],[CONTEST_CODE]]),"-")</f>
        <v>0</v>
      </c>
      <c r="R12" s="1" t="str">
        <f>IFERROR(INDEX(_SCHEDULE_[],MATCH(ВСЕ_КОДЫ[[#This Row],[CONTEST_CODE]],_SCHEDULE_[CONTEST_CODE],0),MATCH($R$1,_SCHEDULE_[#Headers],0)),"-")</f>
        <v>УДАЛЕН</v>
      </c>
      <c r="S12" s="1" t="str">
        <f>IFERROR(INDEX(_group_[],MATCH(ВСЕ_КОДЫ[[#This Row],[CONTEST_CODE]],_group_[CONTEST_CODE],0),MATCH($S$1,_group_[#Headers],0)),"-")</f>
        <v>BANK</v>
      </c>
      <c r="T12" s="1" t="str">
        <f>IFERROR(INDEX(_INDICATOR_[],MATCH(ВСЕ_КОДЫ[[#This Row],[CONTEST_CODE]],_INDICATOR_[CONTEST_CODE],0),MATCH($T$1,_INDICATOR_[#Headers],0)),"-")</f>
        <v>WAIT</v>
      </c>
      <c r="U12" s="1" t="str">
        <f>IFERROR(INDEX(_reward_link_[],MATCH(ВСЕ_КОДЫ[[#This Row],[CONTEST_CODE]],_reward_link_[CONTEST_CODE],0),MATCH($U$1,_reward_link_[#Headers],0)),"-")</f>
        <v>BANK</v>
      </c>
      <c r="V12" s="1" t="str">
        <f>IFERROR(INDEX(_report[],MATCH(ВСЕ_КОДЫ[[#This Row],[CONTEST_CODE]],_report[CONTEST_CODE],0),MATCH($V$1,_report[#Headers],0)),"-")</f>
        <v>-</v>
      </c>
      <c r="W12" s="1" t="str">
        <f>IFERROR(INDEX(_reward_[],MATCH(ВСЕ_КОДЫ[[#This Row],[REWARD_CODE]],_reward_[REWARD_CODE],0),MATCH($W$1,_reward_[#Headers],0)),"-")</f>
        <v>Серебро#по Турниру Брокера</v>
      </c>
      <c r="X12" s="1" t="str">
        <f>IFERROR(INDEX(_group_[],MATCH(CONCATENATE(ВСЕ_КОДЫ[[#This Row],[CONTEST_CODE]],"_",X$2),#REF!,0),MATCH(X$1,_group_[#Headers],0)),"-")</f>
        <v>-</v>
      </c>
      <c r="Y12" s="1" t="str">
        <f>IFERROR(INDEX(_group_[],MATCH(CONCATENATE(ВСЕ_КОДЫ[[#This Row],[CONTEST_CODE]],"_",Y$2),#REF!,0),MATCH(Y$1,_group_[#Headers],0)),"-")</f>
        <v>-</v>
      </c>
      <c r="Z12" s="1" t="str">
        <f>IFERROR(INDEX(_group_[],MATCH(CONCATENATE(ВСЕ_КОДЫ[[#This Row],[CONTEST_CODE]],"_",Z$2),#REF!,0),MATCH(Z$1,_group_[#Headers],0)),"-")</f>
        <v>-</v>
      </c>
      <c r="AA12" s="1" t="str">
        <f>IFERROR(INDEX(_group_[],MATCH(CONCATENATE(ВСЕ_КОДЫ[[#This Row],[CONTEST_CODE]],"_",AA$2),#REF!,0),MATCH(AA$1,_group_[#Headers],0)),"-")</f>
        <v>-</v>
      </c>
      <c r="AB12" s="1" t="str">
        <f>IFERROR(INDEX(_DATA_[],MATCH(ВСЕ_КОДЫ[[#This Row],[CONTEST_CODE]],_DATA_[CONTEST_CODE],0),MATCH($AB$2,_DATA_[#Headers],0)),"-")</f>
        <v>["""RNUB"""]</v>
      </c>
      <c r="AC12" s="1" t="str">
        <f>CONCATENATE(ВСЕ_КОДЫ[[#This Row],[CONTEST_CODE]],"_",ВСЕ_КОДЫ[[#This Row],[TOURNAMENT_CODE]])</f>
        <v>07_2025-0_18-3_1_t_07_2025-0_18-3_1_2011</v>
      </c>
      <c r="AD12" s="1" t="str">
        <f>ВСЕ_КОДЫ[[#This Row],[FULL_NAME]]</f>
        <v>Ралли брокера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idden="1" x14ac:dyDescent="0.25">
      <c r="A13" s="1" t="s">
        <v>2266</v>
      </c>
      <c r="B13" s="1" t="s">
        <v>3547</v>
      </c>
      <c r="C13" s="1" t="s">
        <v>2477</v>
      </c>
      <c r="D13" s="1" t="s">
        <v>583</v>
      </c>
      <c r="E13" s="1" t="s">
        <v>2635</v>
      </c>
      <c r="F13" s="1" t="s">
        <v>2508</v>
      </c>
      <c r="G13" s="1" t="s">
        <v>27</v>
      </c>
      <c r="H13" s="1" t="s">
        <v>28</v>
      </c>
      <c r="I13" s="1" t="s">
        <v>50</v>
      </c>
      <c r="J13" s="1" t="s">
        <v>3219</v>
      </c>
      <c r="K13" s="1" t="s">
        <v>2542</v>
      </c>
      <c r="L13" s="1" t="s">
        <v>3545</v>
      </c>
      <c r="M13" s="1" t="s">
        <v>155</v>
      </c>
      <c r="N13" s="1" t="s">
        <v>305</v>
      </c>
      <c r="O13" s="1" t="s">
        <v>2768</v>
      </c>
      <c r="P13" s="1"/>
      <c r="Q13" s="1">
        <f>IFERROR(COUNTIFS(_report[TOURNAMENT_CODE],ВСЕ_КОДЫ[[#This Row],[TOURNAMENT_CODE]],_report[CONTEST_CODE],ВСЕ_КОДЫ[[#This Row],[CONTEST_CODE]]),"-")</f>
        <v>0</v>
      </c>
      <c r="R13" s="1" t="str">
        <f>IFERROR(INDEX(_SCHEDULE_[],MATCH(ВСЕ_КОДЫ[[#This Row],[CONTEST_CODE]],_SCHEDULE_[CONTEST_CODE],0),MATCH($R$1,_SCHEDULE_[#Headers],0)),"-")</f>
        <v>УДАЛЕН</v>
      </c>
      <c r="S13" s="1" t="str">
        <f>IFERROR(INDEX(_group_[],MATCH(ВСЕ_КОДЫ[[#This Row],[CONTEST_CODE]],_group_[CONTEST_CODE],0),MATCH($S$1,_group_[#Headers],0)),"-")</f>
        <v>BANK</v>
      </c>
      <c r="T13" s="1" t="str">
        <f>IFERROR(INDEX(_INDICATOR_[],MATCH(ВСЕ_КОДЫ[[#This Row],[CONTEST_CODE]],_INDICATOR_[CONTEST_CODE],0),MATCH($T$1,_INDICATOR_[#Headers],0)),"-")</f>
        <v>WAIT</v>
      </c>
      <c r="U13" s="1" t="str">
        <f>IFERROR(INDEX(_reward_link_[],MATCH(ВСЕ_КОДЫ[[#This Row],[CONTEST_CODE]],_reward_link_[CONTEST_CODE],0),MATCH($U$1,_reward_link_[#Headers],0)),"-")</f>
        <v>BANK</v>
      </c>
      <c r="V13" s="1" t="str">
        <f>IFERROR(INDEX(_report[],MATCH(ВСЕ_КОДЫ[[#This Row],[CONTEST_CODE]],_report[CONTEST_CODE],0),MATCH($V$1,_report[#Headers],0)),"-")</f>
        <v>-</v>
      </c>
      <c r="W13" s="1" t="str">
        <f>IFERROR(INDEX(_reward_[],MATCH(ВСЕ_КОДЫ[[#This Row],[REWARD_CODE]],_reward_[REWARD_CODE],0),MATCH($W$1,_reward_[#Headers],0)),"-")</f>
        <v>Бронза#по Турниру Брокера</v>
      </c>
      <c r="X13" s="1" t="str">
        <f>IFERROR(INDEX(_group_[],MATCH(CONCATENATE(ВСЕ_КОДЫ[[#This Row],[CONTEST_CODE]],"_",X$2),#REF!,0),MATCH(X$1,_group_[#Headers],0)),"-")</f>
        <v>-</v>
      </c>
      <c r="Y13" s="1" t="str">
        <f>IFERROR(INDEX(_group_[],MATCH(CONCATENATE(ВСЕ_КОДЫ[[#This Row],[CONTEST_CODE]],"_",Y$2),#REF!,0),MATCH(Y$1,_group_[#Headers],0)),"-")</f>
        <v>-</v>
      </c>
      <c r="Z13" s="1" t="str">
        <f>IFERROR(INDEX(_group_[],MATCH(CONCATENATE(ВСЕ_КОДЫ[[#This Row],[CONTEST_CODE]],"_",Z$2),#REF!,0),MATCH(Z$1,_group_[#Headers],0)),"-")</f>
        <v>-</v>
      </c>
      <c r="AA13" s="1" t="str">
        <f>IFERROR(INDEX(_group_[],MATCH(CONCATENATE(ВСЕ_КОДЫ[[#This Row],[CONTEST_CODE]],"_",AA$2),#REF!,0),MATCH(AA$1,_group_[#Headers],0)),"-")</f>
        <v>-</v>
      </c>
      <c r="AB13" s="1" t="str">
        <f>IFERROR(INDEX(_DATA_[],MATCH(ВСЕ_КОДЫ[[#This Row],[CONTEST_CODE]],_DATA_[CONTEST_CODE],0),MATCH($AB$2,_DATA_[#Headers],0)),"-")</f>
        <v>["""RNUB"""]</v>
      </c>
      <c r="AC13" s="1" t="str">
        <f>CONCATENATE(ВСЕ_КОДЫ[[#This Row],[CONTEST_CODE]],"_",ВСЕ_КОДЫ[[#This Row],[TOURNAMENT_CODE]])</f>
        <v>07_2025-0_18-3_1_t_07_2025-0_18-3_1_4001</v>
      </c>
      <c r="AD13" s="1" t="str">
        <f>ВСЕ_КОДЫ[[#This Row],[FULL_NAME]]</f>
        <v>Ралли брокера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idden="1" x14ac:dyDescent="0.25">
      <c r="A14" s="1" t="s">
        <v>2266</v>
      </c>
      <c r="B14" s="1" t="s">
        <v>2589</v>
      </c>
      <c r="C14" s="1" t="s">
        <v>2477</v>
      </c>
      <c r="D14" s="1" t="s">
        <v>583</v>
      </c>
      <c r="E14" s="1" t="s">
        <v>2635</v>
      </c>
      <c r="F14" s="1" t="s">
        <v>2508</v>
      </c>
      <c r="G14" s="1" t="s">
        <v>27</v>
      </c>
      <c r="H14" s="1" t="s">
        <v>28</v>
      </c>
      <c r="I14" s="1" t="s">
        <v>50</v>
      </c>
      <c r="J14" s="1" t="s">
        <v>2508</v>
      </c>
      <c r="K14" s="1" t="s">
        <v>2534</v>
      </c>
      <c r="L14" s="1" t="s">
        <v>2554</v>
      </c>
      <c r="M14" s="1" t="s">
        <v>155</v>
      </c>
      <c r="N14" s="1" t="s">
        <v>305</v>
      </c>
      <c r="O14" s="1" t="s">
        <v>2768</v>
      </c>
      <c r="P14" s="1"/>
      <c r="Q14" s="1">
        <f>IFERROR(COUNTIFS(_report[TOURNAMENT_CODE],ВСЕ_КОДЫ[[#This Row],[TOURNAMENT_CODE]],_report[CONTEST_CODE],ВСЕ_КОДЫ[[#This Row],[CONTEST_CODE]]),"-")</f>
        <v>0</v>
      </c>
      <c r="R14" s="1" t="str">
        <f>IFERROR(INDEX(_SCHEDULE_[],MATCH(ВСЕ_КОДЫ[[#This Row],[CONTEST_CODE]],_SCHEDULE_[CONTEST_CODE],0),MATCH($R$1,_SCHEDULE_[#Headers],0)),"-")</f>
        <v>УДАЛЕН</v>
      </c>
      <c r="S14" s="1" t="str">
        <f>IFERROR(INDEX(_group_[],MATCH(ВСЕ_КОДЫ[[#This Row],[CONTEST_CODE]],_group_[CONTEST_CODE],0),MATCH($S$1,_group_[#Headers],0)),"-")</f>
        <v>BANK</v>
      </c>
      <c r="T14" s="1" t="str">
        <f>IFERROR(INDEX(_INDICATOR_[],MATCH(ВСЕ_КОДЫ[[#This Row],[CONTEST_CODE]],_INDICATOR_[CONTEST_CODE],0),MATCH($T$1,_INDICATOR_[#Headers],0)),"-")</f>
        <v>WAIT</v>
      </c>
      <c r="U14" s="1" t="str">
        <f>IFERROR(INDEX(_reward_link_[],MATCH(ВСЕ_КОДЫ[[#This Row],[CONTEST_CODE]],_reward_link_[CONTEST_CODE],0),MATCH($U$1,_reward_link_[#Headers],0)),"-")</f>
        <v>BANK</v>
      </c>
      <c r="V14" s="1" t="str">
        <f>IFERROR(INDEX(_report[],MATCH(ВСЕ_КОДЫ[[#This Row],[CONTEST_CODE]],_report[CONTEST_CODE],0),MATCH($V$1,_report[#Headers],0)),"-")</f>
        <v>-</v>
      </c>
      <c r="W14" s="1" t="str">
        <f>IFERROR(INDEX(_reward_[],MATCH(ВСЕ_КОДЫ[[#This Row],[REWARD_CODE]],_reward_[REWARD_CODE],0),MATCH($W$1,_reward_[#Headers],0)),"-")</f>
        <v>Бронза#по Турниру Брокера</v>
      </c>
      <c r="X14" s="1" t="str">
        <f>IFERROR(INDEX(_group_[],MATCH(CONCATENATE(ВСЕ_КОДЫ[[#This Row],[CONTEST_CODE]],"_",X$2),#REF!,0),MATCH(X$1,_group_[#Headers],0)),"-")</f>
        <v>-</v>
      </c>
      <c r="Y14" s="1" t="str">
        <f>IFERROR(INDEX(_group_[],MATCH(CONCATENATE(ВСЕ_КОДЫ[[#This Row],[CONTEST_CODE]],"_",Y$2),#REF!,0),MATCH(Y$1,_group_[#Headers],0)),"-")</f>
        <v>-</v>
      </c>
      <c r="Z14" s="1" t="str">
        <f>IFERROR(INDEX(_group_[],MATCH(CONCATENATE(ВСЕ_КОДЫ[[#This Row],[CONTEST_CODE]],"_",Z$2),#REF!,0),MATCH(Z$1,_group_[#Headers],0)),"-")</f>
        <v>-</v>
      </c>
      <c r="AA14" s="1" t="str">
        <f>IFERROR(INDEX(_group_[],MATCH(CONCATENATE(ВСЕ_КОДЫ[[#This Row],[CONTEST_CODE]],"_",AA$2),#REF!,0),MATCH(AA$1,_group_[#Headers],0)),"-")</f>
        <v>-</v>
      </c>
      <c r="AB14" s="1" t="str">
        <f>IFERROR(INDEX(_DATA_[],MATCH(ВСЕ_КОДЫ[[#This Row],[CONTEST_CODE]],_DATA_[CONTEST_CODE],0),MATCH($AB$2,_DATA_[#Headers],0)),"-")</f>
        <v>["""RNUB"""]</v>
      </c>
      <c r="AC14" s="1" t="str">
        <f>CONCATENATE(ВСЕ_КОДЫ[[#This Row],[CONTEST_CODE]],"_",ВСЕ_КОДЫ[[#This Row],[TOURNAMENT_CODE]])</f>
        <v>07_2025-0_18-3_1_t_07_2025-0_18-3_1_2011</v>
      </c>
      <c r="AD14" s="1" t="str">
        <f>ВСЕ_КОДЫ[[#This Row],[FULL_NAME]]</f>
        <v>Ралли брокера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idden="1" x14ac:dyDescent="0.25">
      <c r="A15" s="1" t="s">
        <v>2177</v>
      </c>
      <c r="B15" s="1" t="s">
        <v>2512</v>
      </c>
      <c r="C15" s="1" t="s">
        <v>2416</v>
      </c>
      <c r="D15" s="1" t="s">
        <v>583</v>
      </c>
      <c r="E15" s="1" t="s">
        <v>670</v>
      </c>
      <c r="F15" s="1" t="s">
        <v>2508</v>
      </c>
      <c r="G15" s="1" t="s">
        <v>27</v>
      </c>
      <c r="H15" s="1" t="s">
        <v>34</v>
      </c>
      <c r="I15" s="1" t="s">
        <v>35</v>
      </c>
      <c r="J15" s="1" t="s">
        <v>2508</v>
      </c>
      <c r="K15" s="1" t="s">
        <v>2509</v>
      </c>
      <c r="L15" s="1" t="s">
        <v>2510</v>
      </c>
      <c r="M15" s="1" t="s">
        <v>34</v>
      </c>
      <c r="N15" s="1" t="s">
        <v>305</v>
      </c>
      <c r="O15" s="1" t="s">
        <v>313</v>
      </c>
      <c r="P15" s="1"/>
      <c r="Q15" s="1">
        <f>IFERROR(COUNTIFS(_report[TOURNAMENT_CODE],ВСЕ_КОДЫ[[#This Row],[TOURNAMENT_CODE]],_report[CONTEST_CODE],ВСЕ_КОДЫ[[#This Row],[CONTEST_CODE]]),"-")</f>
        <v>0</v>
      </c>
      <c r="R15" s="1" t="str">
        <f>IFERROR(INDEX(_SCHEDULE_[],MATCH(ВСЕ_КОДЫ[[#This Row],[CONTEST_CODE]],_SCHEDULE_[CONTEST_CODE],0),MATCH($R$1,_SCHEDULE_[#Headers],0)),"-")</f>
        <v>АКТИВНЫЙ</v>
      </c>
      <c r="S15" s="1" t="str">
        <f>IFERROR(INDEX(_group_[],MATCH(ВСЕ_КОДЫ[[#This Row],[CONTEST_CODE]],_group_[CONTEST_CODE],0),MATCH($S$1,_group_[#Headers],0)),"-")</f>
        <v>BANK</v>
      </c>
      <c r="T15" s="1" t="str">
        <f>IFERROR(INDEX(_INDICATOR_[],MATCH(ВСЕ_КОДЫ[[#This Row],[CONTEST_CODE]],_INDICATOR_[CONTEST_CODE],0),MATCH($T$1,_INDICATOR_[#Headers],0)),"-")</f>
        <v>INCOME</v>
      </c>
      <c r="U15" s="1" t="str">
        <f>IFERROR(INDEX(_reward_link_[],MATCH(ВСЕ_КОДЫ[[#This Row],[CONTEST_CODE]],_reward_link_[CONTEST_CODE],0),MATCH($U$1,_reward_link_[#Headers],0)),"-")</f>
        <v>BANK</v>
      </c>
      <c r="V15" s="1" t="str">
        <f>IFERROR(INDEX(_report[],MATCH(ВСЕ_КОДЫ[[#This Row],[CONTEST_CODE]],_report[CONTEST_CODE],0),MATCH($V$1,_report[#Headers],0)),"-")</f>
        <v>-</v>
      </c>
      <c r="W15" s="1" t="str">
        <f>IFERROR(INDEX(_reward_[],MATCH(ВСЕ_КОДЫ[[#This Row],[REWARD_CODE]],_reward_[REWARD_CODE],0),MATCH($W$1,_reward_[#Headers],0)),"-")</f>
        <v>100 тыс. руб. комиссии по сделкам с Индией</v>
      </c>
      <c r="X15" s="1" t="str">
        <f>IFERROR(INDEX(_group_[],MATCH(CONCATENATE(ВСЕ_КОДЫ[[#This Row],[CONTEST_CODE]],"_",X$2),#REF!,0),MATCH(X$1,_group_[#Headers],0)),"-")</f>
        <v>-</v>
      </c>
      <c r="Y15" s="1" t="str">
        <f>IFERROR(INDEX(_group_[],MATCH(CONCATENATE(ВСЕ_КОДЫ[[#This Row],[CONTEST_CODE]],"_",Y$2),#REF!,0),MATCH(Y$1,_group_[#Headers],0)),"-")</f>
        <v>-</v>
      </c>
      <c r="Z15" s="1" t="str">
        <f>IFERROR(INDEX(_group_[],MATCH(CONCATENATE(ВСЕ_КОДЫ[[#This Row],[CONTEST_CODE]],"_",Z$2),#REF!,0),MATCH(Z$1,_group_[#Headers],0)),"-")</f>
        <v>-</v>
      </c>
      <c r="AA15" s="1" t="str">
        <f>IFERROR(INDEX(_group_[],MATCH(CONCATENATE(ВСЕ_КОДЫ[[#This Row],[CONTEST_CODE]],"_",AA$2),#REF!,0),MATCH(AA$1,_group_[#Headers],0)),"-")</f>
        <v>-</v>
      </c>
      <c r="AB15" s="1" t="str">
        <f>IFERROR(INDEX(_DATA_[],MATCH(ВСЕ_КОДЫ[[#This Row],[CONTEST_CODE]],_DATA_[CONTEST_CODE],0),MATCH($AB$2,_DATA_[#Headers],0)),"-")</f>
        <v>["""KMKKSB"""]</v>
      </c>
      <c r="AC15" s="1" t="str">
        <f>CONCATENATE(ВСЕ_КОДЫ[[#This Row],[CONTEST_CODE]],"_",ВСЕ_КОДЫ[[#This Row],[TOURNAMENT_CODE]])</f>
        <v>01_2025-0_10-1_1_t_01_2025-0_10-1_1_1001</v>
      </c>
      <c r="AD15" s="1" t="str">
        <f>ВСЕ_КОДЫ[[#This Row],[FULL_NAME]]</f>
        <v>Индия накопи 100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idden="1" x14ac:dyDescent="0.25">
      <c r="A16" s="1" t="s">
        <v>2208</v>
      </c>
      <c r="B16" s="1" t="s">
        <v>2549</v>
      </c>
      <c r="C16" s="1" t="s">
        <v>2280</v>
      </c>
      <c r="D16" s="1" t="s">
        <v>583</v>
      </c>
      <c r="E16" s="1" t="s">
        <v>2643</v>
      </c>
      <c r="F16" s="1" t="s">
        <v>2508</v>
      </c>
      <c r="G16" s="1" t="s">
        <v>27</v>
      </c>
      <c r="H16" s="1" t="s">
        <v>34</v>
      </c>
      <c r="I16" s="1" t="s">
        <v>35</v>
      </c>
      <c r="J16" s="1" t="s">
        <v>2508</v>
      </c>
      <c r="K16" s="1" t="s">
        <v>2542</v>
      </c>
      <c r="L16" s="1" t="s">
        <v>2543</v>
      </c>
      <c r="M16" s="1" t="s">
        <v>34</v>
      </c>
      <c r="N16" s="1" t="s">
        <v>305</v>
      </c>
      <c r="O16" s="1" t="s">
        <v>2643</v>
      </c>
      <c r="P16" s="1"/>
      <c r="Q16" s="1">
        <f>IFERROR(COUNTIFS(_report[TOURNAMENT_CODE],ВСЕ_КОДЫ[[#This Row],[TOURNAMENT_CODE]],_report[CONTEST_CODE],ВСЕ_КОДЫ[[#This Row],[CONTEST_CODE]]),"-")</f>
        <v>0</v>
      </c>
      <c r="R16" s="1" t="str">
        <f>IFERROR(INDEX(_SCHEDULE_[],MATCH(ВСЕ_КОДЫ[[#This Row],[CONTEST_CODE]],_SCHEDULE_[CONTEST_CODE],0),MATCH($R$1,_SCHEDULE_[#Headers],0)),"-")</f>
        <v>АКТИВНЫЙ</v>
      </c>
      <c r="S16" s="1" t="str">
        <f>IFERROR(INDEX(_group_[],MATCH(ВСЕ_КОДЫ[[#This Row],[CONTEST_CODE]],_group_[CONTEST_CODE],0),MATCH($S$1,_group_[#Headers],0)),"-")</f>
        <v>BANK</v>
      </c>
      <c r="T16" s="1" t="str">
        <f>IFERROR(INDEX(_INDICATOR_[],MATCH(ВСЕ_КОДЫ[[#This Row],[CONTEST_CODE]],_INDICATOR_[CONTEST_CODE],0),MATCH($T$1,_INDICATOR_[#Headers],0)),"-")</f>
        <v>WAIT</v>
      </c>
      <c r="U16" s="1" t="str">
        <f>IFERROR(INDEX(_reward_link_[],MATCH(ВСЕ_КОДЫ[[#This Row],[CONTEST_CODE]],_reward_link_[CONTEST_CODE],0),MATCH($U$1,_reward_link_[#Headers],0)),"-")</f>
        <v>BANK</v>
      </c>
      <c r="V16" s="1" t="str">
        <f>IFERROR(INDEX(_report[],MATCH(ВСЕ_КОДЫ[[#This Row],[CONTEST_CODE]],_report[CONTEST_CODE],0),MATCH($V$1,_report[#Headers],0)),"-")</f>
        <v>-</v>
      </c>
      <c r="W16" s="1" t="str">
        <f>IFERROR(INDEX(_reward_[],MATCH(ВСЕ_КОДЫ[[#This Row],[REWARD_CODE]],_reward_[REWARD_CODE],0),MATCH($W$1,_reward_[#Headers],0)),"-")</f>
        <v>Страхование залога в СберБизнес. Первая продажа</v>
      </c>
      <c r="X16" s="1" t="str">
        <f>IFERROR(INDEX(_group_[],MATCH(CONCATENATE(ВСЕ_КОДЫ[[#This Row],[CONTEST_CODE]],"_",X$2),#REF!,0),MATCH(X$1,_group_[#Headers],0)),"-")</f>
        <v>-</v>
      </c>
      <c r="Y16" s="1" t="str">
        <f>IFERROR(INDEX(_group_[],MATCH(CONCATENATE(ВСЕ_КОДЫ[[#This Row],[CONTEST_CODE]],"_",Y$2),#REF!,0),MATCH(Y$1,_group_[#Headers],0)),"-")</f>
        <v>-</v>
      </c>
      <c r="Z16" s="1" t="str">
        <f>IFERROR(INDEX(_group_[],MATCH(CONCATENATE(ВСЕ_КОДЫ[[#This Row],[CONTEST_CODE]],"_",Z$2),#REF!,0),MATCH(Z$1,_group_[#Headers],0)),"-")</f>
        <v>-</v>
      </c>
      <c r="AA16" s="1" t="str">
        <f>IFERROR(INDEX(_group_[],MATCH(CONCATENATE(ВСЕ_КОДЫ[[#This Row],[CONTEST_CODE]],"_",AA$2),#REF!,0),MATCH(AA$1,_group_[#Headers],0)),"-")</f>
        <v>-</v>
      </c>
      <c r="AB16" s="1" t="str">
        <f>IFERROR(INDEX(_DATA_[],MATCH(ВСЕ_КОДЫ[[#This Row],[CONTEST_CODE]],_DATA_[CONTEST_CODE],0),MATCH($AB$2,_DATA_[#Headers],0)),"-")</f>
        <v>["""KMKKSB"""]</v>
      </c>
      <c r="AC16" s="1" t="str">
        <f>CONCATENATE(ВСЕ_КОДЫ[[#This Row],[CONTEST_CODE]],"_",ВСЕ_КОДЫ[[#This Row],[TOURNAMENT_CODE]])</f>
        <v>01_2025-0_08-6_1_t_01_2025-0_08-6_1_4001</v>
      </c>
      <c r="AD16" s="1" t="str">
        <f>ВСЕ_КОДЫ[[#This Row],[FULL_NAME]]</f>
        <v>Страхование залога в СберБизнес. Первая продажа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idden="1" x14ac:dyDescent="0.25">
      <c r="A17" s="1" t="s">
        <v>2179</v>
      </c>
      <c r="B17" s="1" t="s">
        <v>2514</v>
      </c>
      <c r="C17" s="1" t="s">
        <v>2418</v>
      </c>
      <c r="D17" s="1" t="s">
        <v>583</v>
      </c>
      <c r="E17" s="1" t="s">
        <v>38</v>
      </c>
      <c r="F17" s="1" t="s">
        <v>2508</v>
      </c>
      <c r="G17" s="1" t="s">
        <v>27</v>
      </c>
      <c r="H17" s="1" t="s">
        <v>34</v>
      </c>
      <c r="I17" s="1" t="s">
        <v>35</v>
      </c>
      <c r="J17" s="1" t="s">
        <v>2508</v>
      </c>
      <c r="K17" s="1" t="s">
        <v>2509</v>
      </c>
      <c r="L17" s="1" t="s">
        <v>2510</v>
      </c>
      <c r="M17" s="1" t="s">
        <v>34</v>
      </c>
      <c r="N17" s="1" t="s">
        <v>305</v>
      </c>
      <c r="O17" s="1" t="s">
        <v>316</v>
      </c>
      <c r="P17" s="1"/>
      <c r="Q17" s="1">
        <f>IFERROR(COUNTIFS(_report[TOURNAMENT_CODE],ВСЕ_КОДЫ[[#This Row],[TOURNAMENT_CODE]],_report[CONTEST_CODE],ВСЕ_КОДЫ[[#This Row],[CONTEST_CODE]]),"-")</f>
        <v>0</v>
      </c>
      <c r="R17" s="1" t="str">
        <f>IFERROR(INDEX(_SCHEDULE_[],MATCH(ВСЕ_КОДЫ[[#This Row],[CONTEST_CODE]],_SCHEDULE_[CONTEST_CODE],0),MATCH($R$1,_SCHEDULE_[#Headers],0)),"-")</f>
        <v>АКТИВНЫЙ</v>
      </c>
      <c r="S17" s="1" t="str">
        <f>IFERROR(INDEX(_group_[],MATCH(ВСЕ_КОДЫ[[#This Row],[CONTEST_CODE]],_group_[CONTEST_CODE],0),MATCH($S$1,_group_[#Headers],0)),"-")</f>
        <v>BANK</v>
      </c>
      <c r="T17" s="1" t="str">
        <f>IFERROR(INDEX(_INDICATOR_[],MATCH(ВСЕ_КОДЫ[[#This Row],[CONTEST_CODE]],_INDICATOR_[CONTEST_CODE],0),MATCH($T$1,_INDICATOR_[#Headers],0)),"-")</f>
        <v>INCOME</v>
      </c>
      <c r="U17" s="1" t="str">
        <f>IFERROR(INDEX(_reward_link_[],MATCH(ВСЕ_КОДЫ[[#This Row],[CONTEST_CODE]],_reward_link_[CONTEST_CODE],0),MATCH($U$1,_reward_link_[#Headers],0)),"-")</f>
        <v>BANK</v>
      </c>
      <c r="V17" s="1" t="str">
        <f>IFERROR(INDEX(_report[],MATCH(ВСЕ_КОДЫ[[#This Row],[CONTEST_CODE]],_report[CONTEST_CODE],0),MATCH($V$1,_report[#Headers],0)),"-")</f>
        <v>-</v>
      </c>
      <c r="W17" s="1" t="str">
        <f>IFERROR(INDEX(_reward_[],MATCH(ВСЕ_КОДЫ[[#This Row],[REWARD_CODE]],_reward_[REWARD_CODE],0),MATCH($W$1,_reward_[#Headers],0)),"-")</f>
        <v>500 тыс. руб. комиссии по сделкам с Индией</v>
      </c>
      <c r="X17" s="1" t="str">
        <f>IFERROR(INDEX(_group_[],MATCH(CONCATENATE(ВСЕ_КОДЫ[[#This Row],[CONTEST_CODE]],"_",X$2),#REF!,0),MATCH(X$1,_group_[#Headers],0)),"-")</f>
        <v>-</v>
      </c>
      <c r="Y17" s="1" t="str">
        <f>IFERROR(INDEX(_group_[],MATCH(CONCATENATE(ВСЕ_КОДЫ[[#This Row],[CONTEST_CODE]],"_",Y$2),#REF!,0),MATCH(Y$1,_group_[#Headers],0)),"-")</f>
        <v>-</v>
      </c>
      <c r="Z17" s="1" t="str">
        <f>IFERROR(INDEX(_group_[],MATCH(CONCATENATE(ВСЕ_КОДЫ[[#This Row],[CONTEST_CODE]],"_",Z$2),#REF!,0),MATCH(Z$1,_group_[#Headers],0)),"-")</f>
        <v>-</v>
      </c>
      <c r="AA17" s="1" t="str">
        <f>IFERROR(INDEX(_group_[],MATCH(CONCATENATE(ВСЕ_КОДЫ[[#This Row],[CONTEST_CODE]],"_",AA$2),#REF!,0),MATCH(AA$1,_group_[#Headers],0)),"-")</f>
        <v>-</v>
      </c>
      <c r="AB17" s="1" t="str">
        <f>IFERROR(INDEX(_DATA_[],MATCH(ВСЕ_КОДЫ[[#This Row],[CONTEST_CODE]],_DATA_[CONTEST_CODE],0),MATCH($AB$2,_DATA_[#Headers],0)),"-")</f>
        <v>["""KMKKSB"""]</v>
      </c>
      <c r="AC17" s="1" t="str">
        <f>CONCATENATE(ВСЕ_КОДЫ[[#This Row],[CONTEST_CODE]],"_",ВСЕ_КОДЫ[[#This Row],[TOURNAMENT_CODE]])</f>
        <v>01_2025-0_10-1_2_t_01_2025-0_10-1_2_1001</v>
      </c>
      <c r="AD17" s="1" t="str">
        <f>ВСЕ_КОДЫ[[#This Row],[FULL_NAME]]</f>
        <v>Индия накопи 500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idden="1" x14ac:dyDescent="0.25">
      <c r="A18" s="1" t="s">
        <v>33</v>
      </c>
      <c r="B18" s="1" t="s">
        <v>145</v>
      </c>
      <c r="C18" s="1" t="s">
        <v>312</v>
      </c>
      <c r="D18" s="1" t="s">
        <v>583</v>
      </c>
      <c r="E18" s="1" t="s">
        <v>670</v>
      </c>
      <c r="F18" s="1" t="s">
        <v>26</v>
      </c>
      <c r="G18" s="1" t="s">
        <v>27</v>
      </c>
      <c r="H18" s="1" t="s">
        <v>28</v>
      </c>
      <c r="I18" s="1" t="s">
        <v>35</v>
      </c>
      <c r="J18" s="1" t="s">
        <v>147</v>
      </c>
      <c r="K18" s="1" t="s">
        <v>642</v>
      </c>
      <c r="L18" s="1" t="s">
        <v>1987</v>
      </c>
      <c r="M18" s="1" t="s">
        <v>176</v>
      </c>
      <c r="N18" s="1" t="s">
        <v>305</v>
      </c>
      <c r="O18" s="1" t="s">
        <v>313</v>
      </c>
      <c r="P18" s="1"/>
      <c r="Q18" s="1">
        <f>IFERROR(COUNTIFS(_report[TOURNAMENT_CODE],ВСЕ_КОДЫ[[#This Row],[TOURNAMENT_CODE]],_report[CONTEST_CODE],ВСЕ_КОДЫ[[#This Row],[CONTEST_CODE]]),"-")</f>
        <v>0</v>
      </c>
      <c r="R18" s="1" t="str">
        <f>IFERROR(INDEX(_SCHEDULE_[],MATCH(ВСЕ_КОДЫ[[#This Row],[CONTEST_CODE]],_SCHEDULE_[CONTEST_CODE],0),MATCH($R$1,_SCHEDULE_[#Headers],0)),"-")</f>
        <v>ЗАВЕРШЕН</v>
      </c>
      <c r="S18" s="1" t="str">
        <f>IFERROR(INDEX(_group_[],MATCH(ВСЕ_КОДЫ[[#This Row],[CONTEST_CODE]],_group_[CONTEST_CODE],0),MATCH($S$1,_group_[#Headers],0)),"-")</f>
        <v>BANK</v>
      </c>
      <c r="T18" s="1" t="str">
        <f>IFERROR(INDEX(_INDICATOR_[],MATCH(ВСЕ_КОДЫ[[#This Row],[CONTEST_CODE]],_INDICATOR_[CONTEST_CODE],0),MATCH($T$1,_INDICATOR_[#Headers],0)),"-")</f>
        <v>INCOME</v>
      </c>
      <c r="U18" s="1" t="str">
        <f>IFERROR(INDEX(_reward_link_[],MATCH(ВСЕ_КОДЫ[[#This Row],[CONTEST_CODE]],_reward_link_[CONTEST_CODE],0),MATCH($U$1,_reward_link_[#Headers],0)),"-")</f>
        <v>BANK</v>
      </c>
      <c r="V18" s="1" t="str">
        <f>IFERROR(INDEX(_report[],MATCH(ВСЕ_КОДЫ[[#This Row],[CONTEST_CODE]],_report[CONTEST_CODE],0),MATCH($V$1,_report[#Headers],0)),"-")</f>
        <v>-</v>
      </c>
      <c r="W18" s="1" t="str">
        <f>IFERROR(INDEX(_reward_[],MATCH(ВСЕ_КОДЫ[[#This Row],[REWARD_CODE]],_reward_[REWARD_CODE],0),MATCH($W$1,_reward_[#Headers],0)),"-")</f>
        <v>100 тыс. руб. комиссии по сделкам с Индией</v>
      </c>
      <c r="X18" s="1" t="str">
        <f>IFERROR(INDEX(_group_[],MATCH(CONCATENATE(ВСЕ_КОДЫ[[#This Row],[CONTEST_CODE]],"_",X$2),#REF!,0),MATCH(X$1,_group_[#Headers],0)),"-")</f>
        <v>-</v>
      </c>
      <c r="Y18" s="1" t="str">
        <f>IFERROR(INDEX(_group_[],MATCH(CONCATENATE(ВСЕ_КОДЫ[[#This Row],[CONTEST_CODE]],"_",Y$2),#REF!,0),MATCH(Y$1,_group_[#Headers],0)),"-")</f>
        <v>-</v>
      </c>
      <c r="Z18" s="1" t="str">
        <f>IFERROR(INDEX(_group_[],MATCH(CONCATENATE(ВСЕ_КОДЫ[[#This Row],[CONTEST_CODE]],"_",Z$2),#REF!,0),MATCH(Z$1,_group_[#Headers],0)),"-")</f>
        <v>-</v>
      </c>
      <c r="AA18" s="1" t="str">
        <f>IFERROR(INDEX(_group_[],MATCH(CONCATENATE(ВСЕ_КОДЫ[[#This Row],[CONTEST_CODE]],"_",AA$2),#REF!,0),MATCH(AA$1,_group_[#Headers],0)),"-")</f>
        <v>-</v>
      </c>
      <c r="AB18" s="1" t="str">
        <f>IFERROR(INDEX(_DATA_[],MATCH(ВСЕ_КОДЫ[[#This Row],[CONTEST_CODE]],_DATA_[CONTEST_CODE],0),MATCH($AB$2,_DATA_[#Headers],0)),"-")</f>
        <v>["""KMKKSB"""]</v>
      </c>
      <c r="AC18" s="1" t="str">
        <f>CONCATENATE(ВСЕ_КОДЫ[[#This Row],[CONTEST_CODE]],"_",ВСЕ_КОДЫ[[#This Row],[TOURNAMENT_CODE]])</f>
        <v>CONTEST_01_TOURNAMENT_01_01</v>
      </c>
      <c r="AD18" s="1" t="str">
        <f>ВСЕ_КОДЫ[[#This Row],[FULL_NAME]]</f>
        <v>Индия накопи 100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idden="1" x14ac:dyDescent="0.25">
      <c r="A19" s="1" t="s">
        <v>37</v>
      </c>
      <c r="B19" s="1" t="s">
        <v>148</v>
      </c>
      <c r="C19" s="1" t="s">
        <v>315</v>
      </c>
      <c r="D19" s="1" t="s">
        <v>583</v>
      </c>
      <c r="E19" s="1" t="s">
        <v>38</v>
      </c>
      <c r="F19" s="1" t="s">
        <v>26</v>
      </c>
      <c r="G19" s="1" t="s">
        <v>27</v>
      </c>
      <c r="H19" s="1" t="s">
        <v>28</v>
      </c>
      <c r="I19" s="1" t="s">
        <v>35</v>
      </c>
      <c r="J19" s="1" t="s">
        <v>147</v>
      </c>
      <c r="K19" s="1" t="s">
        <v>642</v>
      </c>
      <c r="L19" s="1" t="s">
        <v>1987</v>
      </c>
      <c r="M19" s="1" t="s">
        <v>176</v>
      </c>
      <c r="N19" s="1" t="s">
        <v>305</v>
      </c>
      <c r="O19" s="1" t="s">
        <v>316</v>
      </c>
      <c r="P19" s="1"/>
      <c r="Q19" s="1">
        <f>IFERROR(COUNTIFS(_report[TOURNAMENT_CODE],ВСЕ_КОДЫ[[#This Row],[TOURNAMENT_CODE]],_report[CONTEST_CODE],ВСЕ_КОДЫ[[#This Row],[CONTEST_CODE]]),"-")</f>
        <v>0</v>
      </c>
      <c r="R19" s="1" t="str">
        <f>IFERROR(INDEX(_SCHEDULE_[],MATCH(ВСЕ_КОДЫ[[#This Row],[CONTEST_CODE]],_SCHEDULE_[CONTEST_CODE],0),MATCH($R$1,_SCHEDULE_[#Headers],0)),"-")</f>
        <v>ЗАВЕРШЕН</v>
      </c>
      <c r="S19" s="1" t="str">
        <f>IFERROR(INDEX(_group_[],MATCH(ВСЕ_КОДЫ[[#This Row],[CONTEST_CODE]],_group_[CONTEST_CODE],0),MATCH($S$1,_group_[#Headers],0)),"-")</f>
        <v>BANK</v>
      </c>
      <c r="T19" s="1" t="str">
        <f>IFERROR(INDEX(_INDICATOR_[],MATCH(ВСЕ_КОДЫ[[#This Row],[CONTEST_CODE]],_INDICATOR_[CONTEST_CODE],0),MATCH($T$1,_INDICATOR_[#Headers],0)),"-")</f>
        <v>INCOME</v>
      </c>
      <c r="U19" s="1" t="str">
        <f>IFERROR(INDEX(_reward_link_[],MATCH(ВСЕ_КОДЫ[[#This Row],[CONTEST_CODE]],_reward_link_[CONTEST_CODE],0),MATCH($U$1,_reward_link_[#Headers],0)),"-")</f>
        <v>BANK</v>
      </c>
      <c r="V19" s="1" t="str">
        <f>IFERROR(INDEX(_report[],MATCH(ВСЕ_КОДЫ[[#This Row],[CONTEST_CODE]],_report[CONTEST_CODE],0),MATCH($V$1,_report[#Headers],0)),"-")</f>
        <v>-</v>
      </c>
      <c r="W19" s="1" t="str">
        <f>IFERROR(INDEX(_reward_[],MATCH(ВСЕ_КОДЫ[[#This Row],[REWARD_CODE]],_reward_[REWARD_CODE],0),MATCH($W$1,_reward_[#Headers],0)),"-")</f>
        <v>500 тыс. руб. комиссии по сделкам с Индией</v>
      </c>
      <c r="X19" s="1" t="str">
        <f>IFERROR(INDEX(_group_[],MATCH(CONCATENATE(ВСЕ_КОДЫ[[#This Row],[CONTEST_CODE]],"_",X$2),#REF!,0),MATCH(X$1,_group_[#Headers],0)),"-")</f>
        <v>-</v>
      </c>
      <c r="Y19" s="1" t="str">
        <f>IFERROR(INDEX(_group_[],MATCH(CONCATENATE(ВСЕ_КОДЫ[[#This Row],[CONTEST_CODE]],"_",Y$2),#REF!,0),MATCH(Y$1,_group_[#Headers],0)),"-")</f>
        <v>-</v>
      </c>
      <c r="Z19" s="1" t="str">
        <f>IFERROR(INDEX(_group_[],MATCH(CONCATENATE(ВСЕ_КОДЫ[[#This Row],[CONTEST_CODE]],"_",Z$2),#REF!,0),MATCH(Z$1,_group_[#Headers],0)),"-")</f>
        <v>-</v>
      </c>
      <c r="AA19" s="1" t="str">
        <f>IFERROR(INDEX(_group_[],MATCH(CONCATENATE(ВСЕ_КОДЫ[[#This Row],[CONTEST_CODE]],"_",AA$2),#REF!,0),MATCH(AA$1,_group_[#Headers],0)),"-")</f>
        <v>-</v>
      </c>
      <c r="AB19" s="1" t="str">
        <f>IFERROR(INDEX(_DATA_[],MATCH(ВСЕ_КОДЫ[[#This Row],[CONTEST_CODE]],_DATA_[CONTEST_CODE],0),MATCH($AB$2,_DATA_[#Headers],0)),"-")</f>
        <v>["""KMKKSB"""]</v>
      </c>
      <c r="AC19" s="1" t="str">
        <f>CONCATENATE(ВСЕ_КОДЫ[[#This Row],[CONTEST_CODE]],"_",ВСЕ_КОДЫ[[#This Row],[TOURNAMENT_CODE]])</f>
        <v>CONTEST_02_TOURNAMENT_02_01</v>
      </c>
      <c r="AD19" s="1" t="str">
        <f>ВСЕ_КОДЫ[[#This Row],[FULL_NAME]]</f>
        <v>Индия накопи 500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idden="1" x14ac:dyDescent="0.25">
      <c r="A20" s="1" t="s">
        <v>39</v>
      </c>
      <c r="B20" s="1" t="s">
        <v>149</v>
      </c>
      <c r="C20" s="1" t="s">
        <v>318</v>
      </c>
      <c r="D20" s="1" t="s">
        <v>583</v>
      </c>
      <c r="E20" s="1" t="s">
        <v>40</v>
      </c>
      <c r="F20" s="1" t="s">
        <v>26</v>
      </c>
      <c r="G20" s="1" t="s">
        <v>27</v>
      </c>
      <c r="H20" s="1" t="s">
        <v>28</v>
      </c>
      <c r="I20" s="1" t="s">
        <v>35</v>
      </c>
      <c r="J20" s="1" t="s">
        <v>147</v>
      </c>
      <c r="K20" s="1" t="s">
        <v>642</v>
      </c>
      <c r="L20" s="1" t="s">
        <v>1987</v>
      </c>
      <c r="M20" s="1" t="s">
        <v>176</v>
      </c>
      <c r="N20" s="1" t="s">
        <v>305</v>
      </c>
      <c r="O20" s="1" t="s">
        <v>319</v>
      </c>
      <c r="P20" s="1"/>
      <c r="Q20" s="1">
        <f>IFERROR(COUNTIFS(_report[TOURNAMENT_CODE],ВСЕ_КОДЫ[[#This Row],[TOURNAMENT_CODE]],_report[CONTEST_CODE],ВСЕ_КОДЫ[[#This Row],[CONTEST_CODE]]),"-")</f>
        <v>0</v>
      </c>
      <c r="R20" s="1" t="str">
        <f>IFERROR(INDEX(_SCHEDULE_[],MATCH(ВСЕ_КОДЫ[[#This Row],[CONTEST_CODE]],_SCHEDULE_[CONTEST_CODE],0),MATCH($R$1,_SCHEDULE_[#Headers],0)),"-")</f>
        <v>ЗАВЕРШЕН</v>
      </c>
      <c r="S20" s="1" t="str">
        <f>IFERROR(INDEX(_group_[],MATCH(ВСЕ_КОДЫ[[#This Row],[CONTEST_CODE]],_group_[CONTEST_CODE],0),MATCH($S$1,_group_[#Headers],0)),"-")</f>
        <v>BANK</v>
      </c>
      <c r="T20" s="1" t="str">
        <f>IFERROR(INDEX(_INDICATOR_[],MATCH(ВСЕ_КОДЫ[[#This Row],[CONTEST_CODE]],_INDICATOR_[CONTEST_CODE],0),MATCH($T$1,_INDICATOR_[#Headers],0)),"-")</f>
        <v>INCOME</v>
      </c>
      <c r="U20" s="1" t="str">
        <f>IFERROR(INDEX(_reward_link_[],MATCH(ВСЕ_КОДЫ[[#This Row],[CONTEST_CODE]],_reward_link_[CONTEST_CODE],0),MATCH($U$1,_reward_link_[#Headers],0)),"-")</f>
        <v>BANK</v>
      </c>
      <c r="V20" s="1" t="str">
        <f>IFERROR(INDEX(_report[],MATCH(ВСЕ_КОДЫ[[#This Row],[CONTEST_CODE]],_report[CONTEST_CODE],0),MATCH($V$1,_report[#Headers],0)),"-")</f>
        <v>-</v>
      </c>
      <c r="W20" s="1" t="str">
        <f>IFERROR(INDEX(_reward_[],MATCH(ВСЕ_КОДЫ[[#This Row],[REWARD_CODE]],_reward_[REWARD_CODE],0),MATCH($W$1,_reward_[#Headers],0)),"-")</f>
        <v>3 млн руб. комиссии по сделкам с Индией</v>
      </c>
      <c r="X20" s="1" t="str">
        <f>IFERROR(INDEX(_group_[],MATCH(CONCATENATE(ВСЕ_КОДЫ[[#This Row],[CONTEST_CODE]],"_",X$2),#REF!,0),MATCH(X$1,_group_[#Headers],0)),"-")</f>
        <v>-</v>
      </c>
      <c r="Y20" s="1" t="str">
        <f>IFERROR(INDEX(_group_[],MATCH(CONCATENATE(ВСЕ_КОДЫ[[#This Row],[CONTEST_CODE]],"_",Y$2),#REF!,0),MATCH(Y$1,_group_[#Headers],0)),"-")</f>
        <v>-</v>
      </c>
      <c r="Z20" s="1" t="str">
        <f>IFERROR(INDEX(_group_[],MATCH(CONCATENATE(ВСЕ_КОДЫ[[#This Row],[CONTEST_CODE]],"_",Z$2),#REF!,0),MATCH(Z$1,_group_[#Headers],0)),"-")</f>
        <v>-</v>
      </c>
      <c r="AA20" s="1" t="str">
        <f>IFERROR(INDEX(_group_[],MATCH(CONCATENATE(ВСЕ_КОДЫ[[#This Row],[CONTEST_CODE]],"_",AA$2),#REF!,0),MATCH(AA$1,_group_[#Headers],0)),"-")</f>
        <v>-</v>
      </c>
      <c r="AB20" s="1" t="str">
        <f>IFERROR(INDEX(_DATA_[],MATCH(ВСЕ_КОДЫ[[#This Row],[CONTEST_CODE]],_DATA_[CONTEST_CODE],0),MATCH($AB$2,_DATA_[#Headers],0)),"-")</f>
        <v>["""KMKKSB"""]</v>
      </c>
      <c r="AC20" s="1" t="str">
        <f>CONCATENATE(ВСЕ_КОДЫ[[#This Row],[CONTEST_CODE]],"_",ВСЕ_КОДЫ[[#This Row],[TOURNAMENT_CODE]])</f>
        <v>CONTEST_03_TOURNAMENT_03_01</v>
      </c>
      <c r="AD20" s="1" t="str">
        <f>ВСЕ_КОДЫ[[#This Row],[FULL_NAME]]</f>
        <v>Индия накопи 3000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idden="1" x14ac:dyDescent="0.25">
      <c r="A21" s="1" t="s">
        <v>2181</v>
      </c>
      <c r="B21" s="1" t="s">
        <v>2516</v>
      </c>
      <c r="C21" s="1" t="s">
        <v>2420</v>
      </c>
      <c r="D21" s="1" t="s">
        <v>583</v>
      </c>
      <c r="E21" s="1" t="s">
        <v>40</v>
      </c>
      <c r="F21" s="1" t="s">
        <v>2508</v>
      </c>
      <c r="G21" s="1" t="s">
        <v>27</v>
      </c>
      <c r="H21" s="1" t="s">
        <v>34</v>
      </c>
      <c r="I21" s="1" t="s">
        <v>35</v>
      </c>
      <c r="J21" s="1" t="s">
        <v>2508</v>
      </c>
      <c r="K21" s="1" t="s">
        <v>2509</v>
      </c>
      <c r="L21" s="1" t="s">
        <v>2510</v>
      </c>
      <c r="M21" s="1" t="s">
        <v>34</v>
      </c>
      <c r="N21" s="1" t="s">
        <v>305</v>
      </c>
      <c r="O21" s="1" t="s">
        <v>319</v>
      </c>
      <c r="P21" s="1"/>
      <c r="Q21" s="1">
        <f>IFERROR(COUNTIFS(_report[TOURNAMENT_CODE],ВСЕ_КОДЫ[[#This Row],[TOURNAMENT_CODE]],_report[CONTEST_CODE],ВСЕ_КОДЫ[[#This Row],[CONTEST_CODE]]),"-")</f>
        <v>0</v>
      </c>
      <c r="R21" s="1" t="str">
        <f>IFERROR(INDEX(_SCHEDULE_[],MATCH(ВСЕ_КОДЫ[[#This Row],[CONTEST_CODE]],_SCHEDULE_[CONTEST_CODE],0),MATCH($R$1,_SCHEDULE_[#Headers],0)),"-")</f>
        <v>АКТИВНЫЙ</v>
      </c>
      <c r="S21" s="1" t="str">
        <f>IFERROR(INDEX(_group_[],MATCH(ВСЕ_КОДЫ[[#This Row],[CONTEST_CODE]],_group_[CONTEST_CODE],0),MATCH($S$1,_group_[#Headers],0)),"-")</f>
        <v>BANK</v>
      </c>
      <c r="T21" s="1" t="str">
        <f>IFERROR(INDEX(_INDICATOR_[],MATCH(ВСЕ_КОДЫ[[#This Row],[CONTEST_CODE]],_INDICATOR_[CONTEST_CODE],0),MATCH($T$1,_INDICATOR_[#Headers],0)),"-")</f>
        <v>INCOME</v>
      </c>
      <c r="U21" s="1" t="str">
        <f>IFERROR(INDEX(_reward_link_[],MATCH(ВСЕ_КОДЫ[[#This Row],[CONTEST_CODE]],_reward_link_[CONTEST_CODE],0),MATCH($U$1,_reward_link_[#Headers],0)),"-")</f>
        <v>BANK</v>
      </c>
      <c r="V21" s="1" t="str">
        <f>IFERROR(INDEX(_report[],MATCH(ВСЕ_КОДЫ[[#This Row],[CONTEST_CODE]],_report[CONTEST_CODE],0),MATCH($V$1,_report[#Headers],0)),"-")</f>
        <v>-</v>
      </c>
      <c r="W21" s="1" t="str">
        <f>IFERROR(INDEX(_reward_[],MATCH(ВСЕ_КОДЫ[[#This Row],[REWARD_CODE]],_reward_[REWARD_CODE],0),MATCH($W$1,_reward_[#Headers],0)),"-")</f>
        <v>3 млн руб. комиссии по сделкам с Индией</v>
      </c>
      <c r="X21" s="1" t="str">
        <f>IFERROR(INDEX(_group_[],MATCH(CONCATENATE(ВСЕ_КОДЫ[[#This Row],[CONTEST_CODE]],"_",X$2),#REF!,0),MATCH(X$1,_group_[#Headers],0)),"-")</f>
        <v>-</v>
      </c>
      <c r="Y21" s="1" t="str">
        <f>IFERROR(INDEX(_group_[],MATCH(CONCATENATE(ВСЕ_КОДЫ[[#This Row],[CONTEST_CODE]],"_",Y$2),#REF!,0),MATCH(Y$1,_group_[#Headers],0)),"-")</f>
        <v>-</v>
      </c>
      <c r="Z21" s="1" t="str">
        <f>IFERROR(INDEX(_group_[],MATCH(CONCATENATE(ВСЕ_КОДЫ[[#This Row],[CONTEST_CODE]],"_",Z$2),#REF!,0),MATCH(Z$1,_group_[#Headers],0)),"-")</f>
        <v>-</v>
      </c>
      <c r="AA21" s="1" t="str">
        <f>IFERROR(INDEX(_group_[],MATCH(CONCATENATE(ВСЕ_КОДЫ[[#This Row],[CONTEST_CODE]],"_",AA$2),#REF!,0),MATCH(AA$1,_group_[#Headers],0)),"-")</f>
        <v>-</v>
      </c>
      <c r="AB21" s="1" t="str">
        <f>IFERROR(INDEX(_DATA_[],MATCH(ВСЕ_КОДЫ[[#This Row],[CONTEST_CODE]],_DATA_[CONTEST_CODE],0),MATCH($AB$2,_DATA_[#Headers],0)),"-")</f>
        <v>["""KMKKSB"""]</v>
      </c>
      <c r="AC21" s="1" t="str">
        <f>CONCATENATE(ВСЕ_КОДЫ[[#This Row],[CONTEST_CODE]],"_",ВСЕ_КОДЫ[[#This Row],[TOURNAMENT_CODE]])</f>
        <v>01_2025-0_10-1_3_t_01_2025-0_10-1_3_1001</v>
      </c>
      <c r="AD21" s="1" t="str">
        <f>ВСЕ_КОДЫ[[#This Row],[FULL_NAME]]</f>
        <v>Индия накопи 3000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idden="1" x14ac:dyDescent="0.25">
      <c r="A22" s="1" t="s">
        <v>41</v>
      </c>
      <c r="B22" s="1" t="s">
        <v>150</v>
      </c>
      <c r="C22" s="1" t="s">
        <v>320</v>
      </c>
      <c r="D22" s="1" t="s">
        <v>583</v>
      </c>
      <c r="E22" s="1" t="s">
        <v>42</v>
      </c>
      <c r="F22" s="1" t="s">
        <v>26</v>
      </c>
      <c r="G22" s="1" t="s">
        <v>27</v>
      </c>
      <c r="H22" s="1" t="s">
        <v>28</v>
      </c>
      <c r="I22" s="1" t="s">
        <v>35</v>
      </c>
      <c r="J22" s="1" t="s">
        <v>147</v>
      </c>
      <c r="K22" s="1" t="s">
        <v>642</v>
      </c>
      <c r="L22" s="1" t="s">
        <v>1987</v>
      </c>
      <c r="M22" s="1" t="s">
        <v>176</v>
      </c>
      <c r="N22" s="1" t="s">
        <v>305</v>
      </c>
      <c r="O22" s="1" t="s">
        <v>321</v>
      </c>
      <c r="P22" s="1"/>
      <c r="Q22" s="1">
        <f>IFERROR(COUNTIFS(_report[TOURNAMENT_CODE],ВСЕ_КОДЫ[[#This Row],[TOURNAMENT_CODE]],_report[CONTEST_CODE],ВСЕ_КОДЫ[[#This Row],[CONTEST_CODE]]),"-")</f>
        <v>0</v>
      </c>
      <c r="R22" s="1" t="str">
        <f>IFERROR(INDEX(_SCHEDULE_[],MATCH(ВСЕ_КОДЫ[[#This Row],[CONTEST_CODE]],_SCHEDULE_[CONTEST_CODE],0),MATCH($R$1,_SCHEDULE_[#Headers],0)),"-")</f>
        <v>ЗАВЕРШЕН</v>
      </c>
      <c r="S22" s="1" t="str">
        <f>IFERROR(INDEX(_group_[],MATCH(ВСЕ_КОДЫ[[#This Row],[CONTEST_CODE]],_group_[CONTEST_CODE],0),MATCH($S$1,_group_[#Headers],0)),"-")</f>
        <v>BANK</v>
      </c>
      <c r="T22" s="1" t="str">
        <f>IFERROR(INDEX(_INDICATOR_[],MATCH(ВСЕ_КОДЫ[[#This Row],[CONTEST_CODE]],_INDICATOR_[CONTEST_CODE],0),MATCH($T$1,_INDICATOR_[#Headers],0)),"-")</f>
        <v>INCOME</v>
      </c>
      <c r="U22" s="1" t="str">
        <f>IFERROR(INDEX(_reward_link_[],MATCH(ВСЕ_КОДЫ[[#This Row],[CONTEST_CODE]],_reward_link_[CONTEST_CODE],0),MATCH($U$1,_reward_link_[#Headers],0)),"-")</f>
        <v>BANK</v>
      </c>
      <c r="V22" s="1" t="str">
        <f>IFERROR(INDEX(_report[],MATCH(ВСЕ_КОДЫ[[#This Row],[CONTEST_CODE]],_report[CONTEST_CODE],0),MATCH($V$1,_report[#Headers],0)),"-")</f>
        <v>-</v>
      </c>
      <c r="W22" s="1" t="str">
        <f>IFERROR(INDEX(_reward_[],MATCH(ВСЕ_КОДЫ[[#This Row],[REWARD_CODE]],_reward_[REWARD_CODE],0),MATCH($W$1,_reward_[#Headers],0)),"-")</f>
        <v>10 млн руб. комиссии по сделкам с Индией</v>
      </c>
      <c r="X22" s="1" t="str">
        <f>IFERROR(INDEX(_group_[],MATCH(CONCATENATE(ВСЕ_КОДЫ[[#This Row],[CONTEST_CODE]],"_",X$2),#REF!,0),MATCH(X$1,_group_[#Headers],0)),"-")</f>
        <v>-</v>
      </c>
      <c r="Y22" s="1" t="str">
        <f>IFERROR(INDEX(_group_[],MATCH(CONCATENATE(ВСЕ_КОДЫ[[#This Row],[CONTEST_CODE]],"_",Y$2),#REF!,0),MATCH(Y$1,_group_[#Headers],0)),"-")</f>
        <v>-</v>
      </c>
      <c r="Z22" s="1" t="str">
        <f>IFERROR(INDEX(_group_[],MATCH(CONCATENATE(ВСЕ_КОДЫ[[#This Row],[CONTEST_CODE]],"_",Z$2),#REF!,0),MATCH(Z$1,_group_[#Headers],0)),"-")</f>
        <v>-</v>
      </c>
      <c r="AA22" s="1" t="str">
        <f>IFERROR(INDEX(_group_[],MATCH(CONCATENATE(ВСЕ_КОДЫ[[#This Row],[CONTEST_CODE]],"_",AA$2),#REF!,0),MATCH(AA$1,_group_[#Headers],0)),"-")</f>
        <v>-</v>
      </c>
      <c r="AB22" s="1" t="str">
        <f>IFERROR(INDEX(_DATA_[],MATCH(ВСЕ_КОДЫ[[#This Row],[CONTEST_CODE]],_DATA_[CONTEST_CODE],0),MATCH($AB$2,_DATA_[#Headers],0)),"-")</f>
        <v>["""KMKKSB"""]</v>
      </c>
      <c r="AC22" s="1" t="str">
        <f>CONCATENATE(ВСЕ_КОДЫ[[#This Row],[CONTEST_CODE]],"_",ВСЕ_КОДЫ[[#This Row],[TOURNAMENT_CODE]])</f>
        <v>CONTEST_04_TOURNAMENT_04_01</v>
      </c>
      <c r="AD22" s="1" t="str">
        <f>ВСЕ_КОДЫ[[#This Row],[FULL_NAME]]</f>
        <v>Индия накопи 10000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idden="1" x14ac:dyDescent="0.25">
      <c r="A23" s="1" t="s">
        <v>2183</v>
      </c>
      <c r="B23" s="1" t="s">
        <v>2518</v>
      </c>
      <c r="C23" s="1" t="s">
        <v>2422</v>
      </c>
      <c r="D23" s="1" t="s">
        <v>583</v>
      </c>
      <c r="E23" s="1" t="s">
        <v>42</v>
      </c>
      <c r="F23" s="1" t="s">
        <v>2508</v>
      </c>
      <c r="G23" s="1" t="s">
        <v>27</v>
      </c>
      <c r="H23" s="1" t="s">
        <v>34</v>
      </c>
      <c r="I23" s="1" t="s">
        <v>35</v>
      </c>
      <c r="J23" s="1" t="s">
        <v>2508</v>
      </c>
      <c r="K23" s="1" t="s">
        <v>2509</v>
      </c>
      <c r="L23" s="1" t="s">
        <v>2510</v>
      </c>
      <c r="M23" s="1" t="s">
        <v>34</v>
      </c>
      <c r="N23" s="1" t="s">
        <v>305</v>
      </c>
      <c r="O23" s="1" t="s">
        <v>321</v>
      </c>
      <c r="P23" s="1"/>
      <c r="Q23" s="1">
        <f>IFERROR(COUNTIFS(_report[TOURNAMENT_CODE],ВСЕ_КОДЫ[[#This Row],[TOURNAMENT_CODE]],_report[CONTEST_CODE],ВСЕ_КОДЫ[[#This Row],[CONTEST_CODE]]),"-")</f>
        <v>0</v>
      </c>
      <c r="R23" s="1" t="str">
        <f>IFERROR(INDEX(_SCHEDULE_[],MATCH(ВСЕ_КОДЫ[[#This Row],[CONTEST_CODE]],_SCHEDULE_[CONTEST_CODE],0),MATCH($R$1,_SCHEDULE_[#Headers],0)),"-")</f>
        <v>АКТИВНЫЙ</v>
      </c>
      <c r="S23" s="1" t="str">
        <f>IFERROR(INDEX(_group_[],MATCH(ВСЕ_КОДЫ[[#This Row],[CONTEST_CODE]],_group_[CONTEST_CODE],0),MATCH($S$1,_group_[#Headers],0)),"-")</f>
        <v>BANK</v>
      </c>
      <c r="T23" s="1" t="str">
        <f>IFERROR(INDEX(_INDICATOR_[],MATCH(ВСЕ_КОДЫ[[#This Row],[CONTEST_CODE]],_INDICATOR_[CONTEST_CODE],0),MATCH($T$1,_INDICATOR_[#Headers],0)),"-")</f>
        <v>INCOME</v>
      </c>
      <c r="U23" s="1" t="str">
        <f>IFERROR(INDEX(_reward_link_[],MATCH(ВСЕ_КОДЫ[[#This Row],[CONTEST_CODE]],_reward_link_[CONTEST_CODE],0),MATCH($U$1,_reward_link_[#Headers],0)),"-")</f>
        <v>BANK</v>
      </c>
      <c r="V23" s="1" t="str">
        <f>IFERROR(INDEX(_report[],MATCH(ВСЕ_КОДЫ[[#This Row],[CONTEST_CODE]],_report[CONTEST_CODE],0),MATCH($V$1,_report[#Headers],0)),"-")</f>
        <v>-</v>
      </c>
      <c r="W23" s="1" t="str">
        <f>IFERROR(INDEX(_reward_[],MATCH(ВСЕ_КОДЫ[[#This Row],[REWARD_CODE]],_reward_[REWARD_CODE],0),MATCH($W$1,_reward_[#Headers],0)),"-")</f>
        <v>10 млн руб. комиссии по сделкам с Индией</v>
      </c>
      <c r="X23" s="1" t="str">
        <f>IFERROR(INDEX(_group_[],MATCH(CONCATENATE(ВСЕ_КОДЫ[[#This Row],[CONTEST_CODE]],"_",X$2),#REF!,0),MATCH(X$1,_group_[#Headers],0)),"-")</f>
        <v>-</v>
      </c>
      <c r="Y23" s="1" t="str">
        <f>IFERROR(INDEX(_group_[],MATCH(CONCATENATE(ВСЕ_КОДЫ[[#This Row],[CONTEST_CODE]],"_",Y$2),#REF!,0),MATCH(Y$1,_group_[#Headers],0)),"-")</f>
        <v>-</v>
      </c>
      <c r="Z23" s="1" t="str">
        <f>IFERROR(INDEX(_group_[],MATCH(CONCATENATE(ВСЕ_КОДЫ[[#This Row],[CONTEST_CODE]],"_",Z$2),#REF!,0),MATCH(Z$1,_group_[#Headers],0)),"-")</f>
        <v>-</v>
      </c>
      <c r="AA23" s="1" t="str">
        <f>IFERROR(INDEX(_group_[],MATCH(CONCATENATE(ВСЕ_КОДЫ[[#This Row],[CONTEST_CODE]],"_",AA$2),#REF!,0),MATCH(AA$1,_group_[#Headers],0)),"-")</f>
        <v>-</v>
      </c>
      <c r="AB23" s="1" t="str">
        <f>IFERROR(INDEX(_DATA_[],MATCH(ВСЕ_КОДЫ[[#This Row],[CONTEST_CODE]],_DATA_[CONTEST_CODE],0),MATCH($AB$2,_DATA_[#Headers],0)),"-")</f>
        <v>["""KMKKSB"""]</v>
      </c>
      <c r="AC23" s="1" t="str">
        <f>CONCATENATE(ВСЕ_КОДЫ[[#This Row],[CONTEST_CODE]],"_",ВСЕ_КОДЫ[[#This Row],[TOURNAMENT_CODE]])</f>
        <v>01_2025-0_10-1_4_t_01_2025-0_10-1_4_1001</v>
      </c>
      <c r="AD23" s="1" t="str">
        <f>ВСЕ_КОДЫ[[#This Row],[FULL_NAME]]</f>
        <v>Индия накопи 10000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idden="1" x14ac:dyDescent="0.25">
      <c r="A24" s="1" t="s">
        <v>43</v>
      </c>
      <c r="B24" s="1" t="s">
        <v>151</v>
      </c>
      <c r="C24" s="1" t="s">
        <v>323</v>
      </c>
      <c r="D24" s="1" t="s">
        <v>583</v>
      </c>
      <c r="E24" s="1" t="s">
        <v>44</v>
      </c>
      <c r="F24" s="1" t="s">
        <v>26</v>
      </c>
      <c r="G24" s="1" t="s">
        <v>27</v>
      </c>
      <c r="H24" s="1" t="s">
        <v>28</v>
      </c>
      <c r="I24" s="1" t="s">
        <v>35</v>
      </c>
      <c r="J24" s="1" t="s">
        <v>26</v>
      </c>
      <c r="K24" s="1" t="s">
        <v>153</v>
      </c>
      <c r="L24" s="1" t="s">
        <v>154</v>
      </c>
      <c r="M24" s="1" t="s">
        <v>155</v>
      </c>
      <c r="N24" s="1" t="s">
        <v>305</v>
      </c>
      <c r="O24" s="1" t="s">
        <v>324</v>
      </c>
      <c r="P24" s="1"/>
      <c r="Q24" s="1">
        <f>IFERROR(COUNTIFS(_report[TOURNAMENT_CODE],ВСЕ_КОДЫ[[#This Row],[TOURNAMENT_CODE]],_report[CONTEST_CODE],ВСЕ_КОДЫ[[#This Row],[CONTEST_CODE]]),"-")</f>
        <v>0</v>
      </c>
      <c r="R24" s="1" t="str">
        <f>IFERROR(INDEX(_SCHEDULE_[],MATCH(ВСЕ_КОДЫ[[#This Row],[CONTEST_CODE]],_SCHEDULE_[CONTEST_CODE],0),MATCH($R$1,_SCHEDULE_[#Headers],0)),"-")</f>
        <v>УДАЛЕН</v>
      </c>
      <c r="S24" s="1" t="str">
        <f>IFERROR(INDEX(_group_[],MATCH(ВСЕ_КОДЫ[[#This Row],[CONTEST_CODE]],_group_[CONTEST_CODE],0),MATCH($S$1,_group_[#Headers],0)),"-")</f>
        <v>BANK</v>
      </c>
      <c r="T24" s="1" t="str">
        <f>IFERROR(INDEX(_INDICATOR_[],MATCH(ВСЕ_КОДЫ[[#This Row],[CONTEST_CODE]],_INDICATOR_[CONTEST_CODE],0),MATCH($T$1,_INDICATOR_[#Headers],0)),"-")</f>
        <v>INCOME</v>
      </c>
      <c r="U24" s="1" t="str">
        <f>IFERROR(INDEX(_reward_link_[],MATCH(ВСЕ_КОДЫ[[#This Row],[CONTEST_CODE]],_reward_link_[CONTEST_CODE],0),MATCH($U$1,_reward_link_[#Headers],0)),"-")</f>
        <v>BANK</v>
      </c>
      <c r="V24" s="1" t="str">
        <f>IFERROR(INDEX(_report[],MATCH(ВСЕ_КОДЫ[[#This Row],[CONTEST_CODE]],_report[CONTEST_CODE],0),MATCH($V$1,_report[#Headers],0)),"-")</f>
        <v>-</v>
      </c>
      <c r="W24" s="1" t="str">
        <f>IFERROR(INDEX(_reward_[],MATCH(ВСЕ_КОДЫ[[#This Row],[REWARD_CODE]],_reward_[REWARD_CODE],0),MATCH($W$1,_reward_[#Headers],0)),"-")</f>
        <v>х2 комиссии по сделкам с Индией</v>
      </c>
      <c r="X24" s="1" t="str">
        <f>IFERROR(INDEX(_group_[],MATCH(CONCATENATE(ВСЕ_КОДЫ[[#This Row],[CONTEST_CODE]],"_",X$2),#REF!,0),MATCH(X$1,_group_[#Headers],0)),"-")</f>
        <v>-</v>
      </c>
      <c r="Y24" s="1" t="str">
        <f>IFERROR(INDEX(_group_[],MATCH(CONCATENATE(ВСЕ_КОДЫ[[#This Row],[CONTEST_CODE]],"_",Y$2),#REF!,0),MATCH(Y$1,_group_[#Headers],0)),"-")</f>
        <v>-</v>
      </c>
      <c r="Z24" s="1" t="str">
        <f>IFERROR(INDEX(_group_[],MATCH(CONCATENATE(ВСЕ_КОДЫ[[#This Row],[CONTEST_CODE]],"_",Z$2),#REF!,0),MATCH(Z$1,_group_[#Headers],0)),"-")</f>
        <v>-</v>
      </c>
      <c r="AA24" s="1" t="str">
        <f>IFERROR(INDEX(_group_[],MATCH(CONCATENATE(ВСЕ_КОДЫ[[#This Row],[CONTEST_CODE]],"_",AA$2),#REF!,0),MATCH(AA$1,_group_[#Headers],0)),"-")</f>
        <v>-</v>
      </c>
      <c r="AB24" s="1" t="str">
        <f>IFERROR(INDEX(_DATA_[],MATCH(ВСЕ_КОДЫ[[#This Row],[CONTEST_CODE]],_DATA_[CONTEST_CODE],0),MATCH($AB$2,_DATA_[#Headers],0)),"-")</f>
        <v>["""KMKKSB"""]</v>
      </c>
      <c r="AC24" s="1" t="str">
        <f>CONCATENATE(ВСЕ_КОДЫ[[#This Row],[CONTEST_CODE]],"_",ВСЕ_КОДЫ[[#This Row],[TOURNAMENT_CODE]])</f>
        <v>CONTEST_05_TOURNAMENT_05_01</v>
      </c>
      <c r="AD24" s="1" t="str">
        <f>ВСЕ_КОДЫ[[#This Row],[FULL_NAME]]</f>
        <v>Индия сделай х2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idden="1" x14ac:dyDescent="0.25">
      <c r="A25" s="1" t="s">
        <v>43</v>
      </c>
      <c r="B25" s="1" t="s">
        <v>156</v>
      </c>
      <c r="C25" s="1" t="s">
        <v>323</v>
      </c>
      <c r="D25" s="1" t="s">
        <v>583</v>
      </c>
      <c r="E25" s="1" t="s">
        <v>44</v>
      </c>
      <c r="F25" s="1" t="s">
        <v>26</v>
      </c>
      <c r="G25" s="1" t="s">
        <v>27</v>
      </c>
      <c r="H25" s="1" t="s">
        <v>28</v>
      </c>
      <c r="I25" s="1" t="s">
        <v>35</v>
      </c>
      <c r="J25" s="1" t="s">
        <v>157</v>
      </c>
      <c r="K25" s="1" t="s">
        <v>154</v>
      </c>
      <c r="L25" s="1" t="s">
        <v>158</v>
      </c>
      <c r="M25" s="1" t="s">
        <v>155</v>
      </c>
      <c r="N25" s="1" t="s">
        <v>305</v>
      </c>
      <c r="O25" s="1" t="s">
        <v>324</v>
      </c>
      <c r="P25" s="1"/>
      <c r="Q25" s="1">
        <f>IFERROR(COUNTIFS(_report[TOURNAMENT_CODE],ВСЕ_КОДЫ[[#This Row],[TOURNAMENT_CODE]],_report[CONTEST_CODE],ВСЕ_КОДЫ[[#This Row],[CONTEST_CODE]]),"-")</f>
        <v>0</v>
      </c>
      <c r="R25" s="1" t="str">
        <f>IFERROR(INDEX(_SCHEDULE_[],MATCH(ВСЕ_КОДЫ[[#This Row],[CONTEST_CODE]],_SCHEDULE_[CONTEST_CODE],0),MATCH($R$1,_SCHEDULE_[#Headers],0)),"-")</f>
        <v>УДАЛЕН</v>
      </c>
      <c r="S25" s="1" t="str">
        <f>IFERROR(INDEX(_group_[],MATCH(ВСЕ_КОДЫ[[#This Row],[CONTEST_CODE]],_group_[CONTEST_CODE],0),MATCH($S$1,_group_[#Headers],0)),"-")</f>
        <v>BANK</v>
      </c>
      <c r="T25" s="1" t="str">
        <f>IFERROR(INDEX(_INDICATOR_[],MATCH(ВСЕ_КОДЫ[[#This Row],[CONTEST_CODE]],_INDICATOR_[CONTEST_CODE],0),MATCH($T$1,_INDICATOR_[#Headers],0)),"-")</f>
        <v>INCOME</v>
      </c>
      <c r="U25" s="1" t="str">
        <f>IFERROR(INDEX(_reward_link_[],MATCH(ВСЕ_КОДЫ[[#This Row],[CONTEST_CODE]],_reward_link_[CONTEST_CODE],0),MATCH($U$1,_reward_link_[#Headers],0)),"-")</f>
        <v>BANK</v>
      </c>
      <c r="V25" s="1" t="str">
        <f>IFERROR(INDEX(_report[],MATCH(ВСЕ_КОДЫ[[#This Row],[CONTEST_CODE]],_report[CONTEST_CODE],0),MATCH($V$1,_report[#Headers],0)),"-")</f>
        <v>-</v>
      </c>
      <c r="W25" s="1" t="str">
        <f>IFERROR(INDEX(_reward_[],MATCH(ВСЕ_КОДЫ[[#This Row],[REWARD_CODE]],_reward_[REWARD_CODE],0),MATCH($W$1,_reward_[#Headers],0)),"-")</f>
        <v>х2 комиссии по сделкам с Индией</v>
      </c>
      <c r="X25" s="1" t="str">
        <f>IFERROR(INDEX(_group_[],MATCH(CONCATENATE(ВСЕ_КОДЫ[[#This Row],[CONTEST_CODE]],"_",X$2),#REF!,0),MATCH(X$1,_group_[#Headers],0)),"-")</f>
        <v>-</v>
      </c>
      <c r="Y25" s="1" t="str">
        <f>IFERROR(INDEX(_group_[],MATCH(CONCATENATE(ВСЕ_КОДЫ[[#This Row],[CONTEST_CODE]],"_",Y$2),#REF!,0),MATCH(Y$1,_group_[#Headers],0)),"-")</f>
        <v>-</v>
      </c>
      <c r="Z25" s="1" t="str">
        <f>IFERROR(INDEX(_group_[],MATCH(CONCATENATE(ВСЕ_КОДЫ[[#This Row],[CONTEST_CODE]],"_",Z$2),#REF!,0),MATCH(Z$1,_group_[#Headers],0)),"-")</f>
        <v>-</v>
      </c>
      <c r="AA25" s="1" t="str">
        <f>IFERROR(INDEX(_group_[],MATCH(CONCATENATE(ВСЕ_КОДЫ[[#This Row],[CONTEST_CODE]],"_",AA$2),#REF!,0),MATCH(AA$1,_group_[#Headers],0)),"-")</f>
        <v>-</v>
      </c>
      <c r="AB25" s="1" t="str">
        <f>IFERROR(INDEX(_DATA_[],MATCH(ВСЕ_КОДЫ[[#This Row],[CONTEST_CODE]],_DATA_[CONTEST_CODE],0),MATCH($AB$2,_DATA_[#Headers],0)),"-")</f>
        <v>["""KMKKSB"""]</v>
      </c>
      <c r="AC25" s="1" t="str">
        <f>CONCATENATE(ВСЕ_КОДЫ[[#This Row],[CONTEST_CODE]],"_",ВСЕ_КОДЫ[[#This Row],[TOURNAMENT_CODE]])</f>
        <v>CONTEST_05_TOURNAMENT_05_02</v>
      </c>
      <c r="AD25" s="1" t="str">
        <f>ВСЕ_КОДЫ[[#This Row],[FULL_NAME]]</f>
        <v>Индия сделай х2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idden="1" x14ac:dyDescent="0.25">
      <c r="A26" s="1" t="s">
        <v>43</v>
      </c>
      <c r="B26" s="1" t="s">
        <v>159</v>
      </c>
      <c r="C26" s="1" t="s">
        <v>323</v>
      </c>
      <c r="D26" s="1" t="s">
        <v>583</v>
      </c>
      <c r="E26" s="1" t="s">
        <v>44</v>
      </c>
      <c r="F26" s="1" t="s">
        <v>26</v>
      </c>
      <c r="G26" s="1" t="s">
        <v>27</v>
      </c>
      <c r="H26" s="1" t="s">
        <v>28</v>
      </c>
      <c r="I26" s="1" t="s">
        <v>35</v>
      </c>
      <c r="J26" s="1" t="s">
        <v>160</v>
      </c>
      <c r="K26" s="1" t="s">
        <v>161</v>
      </c>
      <c r="L26" s="1" t="s">
        <v>162</v>
      </c>
      <c r="M26" s="1" t="s">
        <v>155</v>
      </c>
      <c r="N26" s="1" t="s">
        <v>305</v>
      </c>
      <c r="O26" s="1" t="s">
        <v>324</v>
      </c>
      <c r="P26" s="1"/>
      <c r="Q26" s="1">
        <f>IFERROR(COUNTIFS(_report[TOURNAMENT_CODE],ВСЕ_КОДЫ[[#This Row],[TOURNAMENT_CODE]],_report[CONTEST_CODE],ВСЕ_КОДЫ[[#This Row],[CONTEST_CODE]]),"-")</f>
        <v>0</v>
      </c>
      <c r="R26" s="1" t="str">
        <f>IFERROR(INDEX(_SCHEDULE_[],MATCH(ВСЕ_КОДЫ[[#This Row],[CONTEST_CODE]],_SCHEDULE_[CONTEST_CODE],0),MATCH($R$1,_SCHEDULE_[#Headers],0)),"-")</f>
        <v>УДАЛЕН</v>
      </c>
      <c r="S26" s="1" t="str">
        <f>IFERROR(INDEX(_group_[],MATCH(ВСЕ_КОДЫ[[#This Row],[CONTEST_CODE]],_group_[CONTEST_CODE],0),MATCH($S$1,_group_[#Headers],0)),"-")</f>
        <v>BANK</v>
      </c>
      <c r="T26" s="1" t="str">
        <f>IFERROR(INDEX(_INDICATOR_[],MATCH(ВСЕ_КОДЫ[[#This Row],[CONTEST_CODE]],_INDICATOR_[CONTEST_CODE],0),MATCH($T$1,_INDICATOR_[#Headers],0)),"-")</f>
        <v>INCOME</v>
      </c>
      <c r="U26" s="1" t="str">
        <f>IFERROR(INDEX(_reward_link_[],MATCH(ВСЕ_КОДЫ[[#This Row],[CONTEST_CODE]],_reward_link_[CONTEST_CODE],0),MATCH($U$1,_reward_link_[#Headers],0)),"-")</f>
        <v>BANK</v>
      </c>
      <c r="V26" s="1" t="str">
        <f>IFERROR(INDEX(_report[],MATCH(ВСЕ_КОДЫ[[#This Row],[CONTEST_CODE]],_report[CONTEST_CODE],0),MATCH($V$1,_report[#Headers],0)),"-")</f>
        <v>-</v>
      </c>
      <c r="W26" s="1" t="str">
        <f>IFERROR(INDEX(_reward_[],MATCH(ВСЕ_КОДЫ[[#This Row],[REWARD_CODE]],_reward_[REWARD_CODE],0),MATCH($W$1,_reward_[#Headers],0)),"-")</f>
        <v>х2 комиссии по сделкам с Индией</v>
      </c>
      <c r="X26" s="1" t="str">
        <f>IFERROR(INDEX(_group_[],MATCH(CONCATENATE(ВСЕ_КОДЫ[[#This Row],[CONTEST_CODE]],"_",X$2),#REF!,0),MATCH(X$1,_group_[#Headers],0)),"-")</f>
        <v>-</v>
      </c>
      <c r="Y26" s="1" t="str">
        <f>IFERROR(INDEX(_group_[],MATCH(CONCATENATE(ВСЕ_КОДЫ[[#This Row],[CONTEST_CODE]],"_",Y$2),#REF!,0),MATCH(Y$1,_group_[#Headers],0)),"-")</f>
        <v>-</v>
      </c>
      <c r="Z26" s="1" t="str">
        <f>IFERROR(INDEX(_group_[],MATCH(CONCATENATE(ВСЕ_КОДЫ[[#This Row],[CONTEST_CODE]],"_",Z$2),#REF!,0),MATCH(Z$1,_group_[#Headers],0)),"-")</f>
        <v>-</v>
      </c>
      <c r="AA26" s="1" t="str">
        <f>IFERROR(INDEX(_group_[],MATCH(CONCATENATE(ВСЕ_КОДЫ[[#This Row],[CONTEST_CODE]],"_",AA$2),#REF!,0),MATCH(AA$1,_group_[#Headers],0)),"-")</f>
        <v>-</v>
      </c>
      <c r="AB26" s="1" t="str">
        <f>IFERROR(INDEX(_DATA_[],MATCH(ВСЕ_КОДЫ[[#This Row],[CONTEST_CODE]],_DATA_[CONTEST_CODE],0),MATCH($AB$2,_DATA_[#Headers],0)),"-")</f>
        <v>["""KMKKSB"""]</v>
      </c>
      <c r="AC26" s="1" t="str">
        <f>CONCATENATE(ВСЕ_КОДЫ[[#This Row],[CONTEST_CODE]],"_",ВСЕ_КОДЫ[[#This Row],[TOURNAMENT_CODE]])</f>
        <v>CONTEST_05_TOURNAMENT_05_03</v>
      </c>
      <c r="AD26" s="1" t="str">
        <f>ВСЕ_КОДЫ[[#This Row],[FULL_NAME]]</f>
        <v>Индия сделай х2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idden="1" x14ac:dyDescent="0.25">
      <c r="A27" s="1" t="s">
        <v>43</v>
      </c>
      <c r="B27" s="1" t="s">
        <v>163</v>
      </c>
      <c r="C27" s="1" t="s">
        <v>323</v>
      </c>
      <c r="D27" s="1" t="s">
        <v>583</v>
      </c>
      <c r="E27" s="1" t="s">
        <v>44</v>
      </c>
      <c r="F27" s="1" t="s">
        <v>26</v>
      </c>
      <c r="G27" s="1" t="s">
        <v>27</v>
      </c>
      <c r="H27" s="1" t="s">
        <v>28</v>
      </c>
      <c r="I27" s="1" t="s">
        <v>35</v>
      </c>
      <c r="J27" s="1" t="s">
        <v>147</v>
      </c>
      <c r="K27" s="1" t="s">
        <v>164</v>
      </c>
      <c r="L27" s="1" t="s">
        <v>165</v>
      </c>
      <c r="M27" s="1" t="s">
        <v>155</v>
      </c>
      <c r="N27" s="1" t="s">
        <v>305</v>
      </c>
      <c r="O27" s="1" t="s">
        <v>324</v>
      </c>
      <c r="P27" s="1"/>
      <c r="Q27" s="1">
        <f>IFERROR(COUNTIFS(_report[TOURNAMENT_CODE],ВСЕ_КОДЫ[[#This Row],[TOURNAMENT_CODE]],_report[CONTEST_CODE],ВСЕ_КОДЫ[[#This Row],[CONTEST_CODE]]),"-")</f>
        <v>0</v>
      </c>
      <c r="R27" s="1" t="str">
        <f>IFERROR(INDEX(_SCHEDULE_[],MATCH(ВСЕ_КОДЫ[[#This Row],[CONTEST_CODE]],_SCHEDULE_[CONTEST_CODE],0),MATCH($R$1,_SCHEDULE_[#Headers],0)),"-")</f>
        <v>УДАЛЕН</v>
      </c>
      <c r="S27" s="1" t="str">
        <f>IFERROR(INDEX(_group_[],MATCH(ВСЕ_КОДЫ[[#This Row],[CONTEST_CODE]],_group_[CONTEST_CODE],0),MATCH($S$1,_group_[#Headers],0)),"-")</f>
        <v>BANK</v>
      </c>
      <c r="T27" s="1" t="str">
        <f>IFERROR(INDEX(_INDICATOR_[],MATCH(ВСЕ_КОДЫ[[#This Row],[CONTEST_CODE]],_INDICATOR_[CONTEST_CODE],0),MATCH($T$1,_INDICATOR_[#Headers],0)),"-")</f>
        <v>INCOME</v>
      </c>
      <c r="U27" s="1" t="str">
        <f>IFERROR(INDEX(_reward_link_[],MATCH(ВСЕ_КОДЫ[[#This Row],[CONTEST_CODE]],_reward_link_[CONTEST_CODE],0),MATCH($U$1,_reward_link_[#Headers],0)),"-")</f>
        <v>BANK</v>
      </c>
      <c r="V27" s="1" t="str">
        <f>IFERROR(INDEX(_report[],MATCH(ВСЕ_КОДЫ[[#This Row],[CONTEST_CODE]],_report[CONTEST_CODE],0),MATCH($V$1,_report[#Headers],0)),"-")</f>
        <v>-</v>
      </c>
      <c r="W27" s="1" t="str">
        <f>IFERROR(INDEX(_reward_[],MATCH(ВСЕ_КОДЫ[[#This Row],[REWARD_CODE]],_reward_[REWARD_CODE],0),MATCH($W$1,_reward_[#Headers],0)),"-")</f>
        <v>х2 комиссии по сделкам с Индией</v>
      </c>
      <c r="X27" s="1" t="str">
        <f>IFERROR(INDEX(_group_[],MATCH(CONCATENATE(ВСЕ_КОДЫ[[#This Row],[CONTEST_CODE]],"_",X$2),#REF!,0),MATCH(X$1,_group_[#Headers],0)),"-")</f>
        <v>-</v>
      </c>
      <c r="Y27" s="1" t="str">
        <f>IFERROR(INDEX(_group_[],MATCH(CONCATENATE(ВСЕ_КОДЫ[[#This Row],[CONTEST_CODE]],"_",Y$2),#REF!,0),MATCH(Y$1,_group_[#Headers],0)),"-")</f>
        <v>-</v>
      </c>
      <c r="Z27" s="1" t="str">
        <f>IFERROR(INDEX(_group_[],MATCH(CONCATENATE(ВСЕ_КОДЫ[[#This Row],[CONTEST_CODE]],"_",Z$2),#REF!,0),MATCH(Z$1,_group_[#Headers],0)),"-")</f>
        <v>-</v>
      </c>
      <c r="AA27" s="1" t="str">
        <f>IFERROR(INDEX(_group_[],MATCH(CONCATENATE(ВСЕ_КОДЫ[[#This Row],[CONTEST_CODE]],"_",AA$2),#REF!,0),MATCH(AA$1,_group_[#Headers],0)),"-")</f>
        <v>-</v>
      </c>
      <c r="AB27" s="1" t="str">
        <f>IFERROR(INDEX(_DATA_[],MATCH(ВСЕ_КОДЫ[[#This Row],[CONTEST_CODE]],_DATA_[CONTEST_CODE],0),MATCH($AB$2,_DATA_[#Headers],0)),"-")</f>
        <v>["""KMKKSB"""]</v>
      </c>
      <c r="AC27" s="1" t="str">
        <f>CONCATENATE(ВСЕ_КОДЫ[[#This Row],[CONTEST_CODE]],"_",ВСЕ_КОДЫ[[#This Row],[TOURNAMENT_CODE]])</f>
        <v>CONTEST_05_TOURNAMENT_05_04</v>
      </c>
      <c r="AD27" s="1" t="str">
        <f>ВСЕ_КОДЫ[[#This Row],[FULL_NAME]]</f>
        <v>Индия сделай х2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idden="1" x14ac:dyDescent="0.25">
      <c r="A28" s="1" t="s">
        <v>43</v>
      </c>
      <c r="B28" s="1" t="s">
        <v>166</v>
      </c>
      <c r="C28" s="1" t="s">
        <v>323</v>
      </c>
      <c r="D28" s="1" t="s">
        <v>583</v>
      </c>
      <c r="E28" s="1" t="s">
        <v>44</v>
      </c>
      <c r="F28" s="1" t="s">
        <v>26</v>
      </c>
      <c r="G28" s="1" t="s">
        <v>27</v>
      </c>
      <c r="H28" s="1" t="s">
        <v>28</v>
      </c>
      <c r="I28" s="1" t="s">
        <v>35</v>
      </c>
      <c r="J28" s="1" t="s">
        <v>76</v>
      </c>
      <c r="K28" s="1" t="s">
        <v>167</v>
      </c>
      <c r="L28" s="1" t="s">
        <v>168</v>
      </c>
      <c r="M28" s="1" t="s">
        <v>155</v>
      </c>
      <c r="N28" s="1" t="s">
        <v>305</v>
      </c>
      <c r="O28" s="1" t="s">
        <v>324</v>
      </c>
      <c r="P28" s="1"/>
      <c r="Q28" s="1">
        <f>IFERROR(COUNTIFS(_report[TOURNAMENT_CODE],ВСЕ_КОДЫ[[#This Row],[TOURNAMENT_CODE]],_report[CONTEST_CODE],ВСЕ_КОДЫ[[#This Row],[CONTEST_CODE]]),"-")</f>
        <v>0</v>
      </c>
      <c r="R28" s="1" t="str">
        <f>IFERROR(INDEX(_SCHEDULE_[],MATCH(ВСЕ_КОДЫ[[#This Row],[CONTEST_CODE]],_SCHEDULE_[CONTEST_CODE],0),MATCH($R$1,_SCHEDULE_[#Headers],0)),"-")</f>
        <v>УДАЛЕН</v>
      </c>
      <c r="S28" s="1" t="str">
        <f>IFERROR(INDEX(_group_[],MATCH(ВСЕ_КОДЫ[[#This Row],[CONTEST_CODE]],_group_[CONTEST_CODE],0),MATCH($S$1,_group_[#Headers],0)),"-")</f>
        <v>BANK</v>
      </c>
      <c r="T28" s="1" t="str">
        <f>IFERROR(INDEX(_INDICATOR_[],MATCH(ВСЕ_КОДЫ[[#This Row],[CONTEST_CODE]],_INDICATOR_[CONTEST_CODE],0),MATCH($T$1,_INDICATOR_[#Headers],0)),"-")</f>
        <v>INCOME</v>
      </c>
      <c r="U28" s="1" t="str">
        <f>IFERROR(INDEX(_reward_link_[],MATCH(ВСЕ_КОДЫ[[#This Row],[CONTEST_CODE]],_reward_link_[CONTEST_CODE],0),MATCH($U$1,_reward_link_[#Headers],0)),"-")</f>
        <v>BANK</v>
      </c>
      <c r="V28" s="1" t="str">
        <f>IFERROR(INDEX(_report[],MATCH(ВСЕ_КОДЫ[[#This Row],[CONTEST_CODE]],_report[CONTEST_CODE],0),MATCH($V$1,_report[#Headers],0)),"-")</f>
        <v>-</v>
      </c>
      <c r="W28" s="1" t="str">
        <f>IFERROR(INDEX(_reward_[],MATCH(ВСЕ_КОДЫ[[#This Row],[REWARD_CODE]],_reward_[REWARD_CODE],0),MATCH($W$1,_reward_[#Headers],0)),"-")</f>
        <v>х2 комиссии по сделкам с Индией</v>
      </c>
      <c r="X28" s="1" t="str">
        <f>IFERROR(INDEX(_group_[],MATCH(CONCATENATE(ВСЕ_КОДЫ[[#This Row],[CONTEST_CODE]],"_",X$2),#REF!,0),MATCH(X$1,_group_[#Headers],0)),"-")</f>
        <v>-</v>
      </c>
      <c r="Y28" s="1" t="str">
        <f>IFERROR(INDEX(_group_[],MATCH(CONCATENATE(ВСЕ_КОДЫ[[#This Row],[CONTEST_CODE]],"_",Y$2),#REF!,0),MATCH(Y$1,_group_[#Headers],0)),"-")</f>
        <v>-</v>
      </c>
      <c r="Z28" s="1" t="str">
        <f>IFERROR(INDEX(_group_[],MATCH(CONCATENATE(ВСЕ_КОДЫ[[#This Row],[CONTEST_CODE]],"_",Z$2),#REF!,0),MATCH(Z$1,_group_[#Headers],0)),"-")</f>
        <v>-</v>
      </c>
      <c r="AA28" s="1" t="str">
        <f>IFERROR(INDEX(_group_[],MATCH(CONCATENATE(ВСЕ_КОДЫ[[#This Row],[CONTEST_CODE]],"_",AA$2),#REF!,0),MATCH(AA$1,_group_[#Headers],0)),"-")</f>
        <v>-</v>
      </c>
      <c r="AB28" s="1" t="str">
        <f>IFERROR(INDEX(_DATA_[],MATCH(ВСЕ_КОДЫ[[#This Row],[CONTEST_CODE]],_DATA_[CONTEST_CODE],0),MATCH($AB$2,_DATA_[#Headers],0)),"-")</f>
        <v>["""KMKKSB"""]</v>
      </c>
      <c r="AC28" s="1" t="str">
        <f>CONCATENATE(ВСЕ_КОДЫ[[#This Row],[CONTEST_CODE]],"_",ВСЕ_КОДЫ[[#This Row],[TOURNAMENT_CODE]])</f>
        <v>CONTEST_05_TOURNAMENT_05_05</v>
      </c>
      <c r="AD28" s="1" t="str">
        <f>ВСЕ_КОДЫ[[#This Row],[FULL_NAME]]</f>
        <v>Индия сделай х2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idden="1" x14ac:dyDescent="0.25">
      <c r="A29" s="1" t="s">
        <v>43</v>
      </c>
      <c r="B29" s="1" t="s">
        <v>169</v>
      </c>
      <c r="C29" s="1" t="s">
        <v>323</v>
      </c>
      <c r="D29" s="1" t="s">
        <v>583</v>
      </c>
      <c r="E29" s="1" t="s">
        <v>44</v>
      </c>
      <c r="F29" s="1" t="s">
        <v>26</v>
      </c>
      <c r="G29" s="1" t="s">
        <v>27</v>
      </c>
      <c r="H29" s="1" t="s">
        <v>28</v>
      </c>
      <c r="I29" s="1" t="s">
        <v>35</v>
      </c>
      <c r="J29" s="1" t="s">
        <v>170</v>
      </c>
      <c r="K29" s="1" t="s">
        <v>171</v>
      </c>
      <c r="L29" s="1" t="s">
        <v>172</v>
      </c>
      <c r="M29" s="1" t="s">
        <v>155</v>
      </c>
      <c r="N29" s="1" t="s">
        <v>305</v>
      </c>
      <c r="O29" s="1" t="s">
        <v>324</v>
      </c>
      <c r="P29" s="1"/>
      <c r="Q29" s="1">
        <f>IFERROR(COUNTIFS(_report[TOURNAMENT_CODE],ВСЕ_КОДЫ[[#This Row],[TOURNAMENT_CODE]],_report[CONTEST_CODE],ВСЕ_КОДЫ[[#This Row],[CONTEST_CODE]]),"-")</f>
        <v>0</v>
      </c>
      <c r="R29" s="1" t="str">
        <f>IFERROR(INDEX(_SCHEDULE_[],MATCH(ВСЕ_КОДЫ[[#This Row],[CONTEST_CODE]],_SCHEDULE_[CONTEST_CODE],0),MATCH($R$1,_SCHEDULE_[#Headers],0)),"-")</f>
        <v>УДАЛЕН</v>
      </c>
      <c r="S29" s="1" t="str">
        <f>IFERROR(INDEX(_group_[],MATCH(ВСЕ_КОДЫ[[#This Row],[CONTEST_CODE]],_group_[CONTEST_CODE],0),MATCH($S$1,_group_[#Headers],0)),"-")</f>
        <v>BANK</v>
      </c>
      <c r="T29" s="1" t="str">
        <f>IFERROR(INDEX(_INDICATOR_[],MATCH(ВСЕ_КОДЫ[[#This Row],[CONTEST_CODE]],_INDICATOR_[CONTEST_CODE],0),MATCH($T$1,_INDICATOR_[#Headers],0)),"-")</f>
        <v>INCOME</v>
      </c>
      <c r="U29" s="1" t="str">
        <f>IFERROR(INDEX(_reward_link_[],MATCH(ВСЕ_КОДЫ[[#This Row],[CONTEST_CODE]],_reward_link_[CONTEST_CODE],0),MATCH($U$1,_reward_link_[#Headers],0)),"-")</f>
        <v>BANK</v>
      </c>
      <c r="V29" s="1" t="str">
        <f>IFERROR(INDEX(_report[],MATCH(ВСЕ_КОДЫ[[#This Row],[CONTEST_CODE]],_report[CONTEST_CODE],0),MATCH($V$1,_report[#Headers],0)),"-")</f>
        <v>-</v>
      </c>
      <c r="W29" s="1" t="str">
        <f>IFERROR(INDEX(_reward_[],MATCH(ВСЕ_КОДЫ[[#This Row],[REWARD_CODE]],_reward_[REWARD_CODE],0),MATCH($W$1,_reward_[#Headers],0)),"-")</f>
        <v>х2 комиссии по сделкам с Индией</v>
      </c>
      <c r="X29" s="1" t="str">
        <f>IFERROR(INDEX(_group_[],MATCH(CONCATENATE(ВСЕ_КОДЫ[[#This Row],[CONTEST_CODE]],"_",X$2),#REF!,0),MATCH(X$1,_group_[#Headers],0)),"-")</f>
        <v>-</v>
      </c>
      <c r="Y29" s="1" t="str">
        <f>IFERROR(INDEX(_group_[],MATCH(CONCATENATE(ВСЕ_КОДЫ[[#This Row],[CONTEST_CODE]],"_",Y$2),#REF!,0),MATCH(Y$1,_group_[#Headers],0)),"-")</f>
        <v>-</v>
      </c>
      <c r="Z29" s="1" t="str">
        <f>IFERROR(INDEX(_group_[],MATCH(CONCATENATE(ВСЕ_КОДЫ[[#This Row],[CONTEST_CODE]],"_",Z$2),#REF!,0),MATCH(Z$1,_group_[#Headers],0)),"-")</f>
        <v>-</v>
      </c>
      <c r="AA29" s="1" t="str">
        <f>IFERROR(INDEX(_group_[],MATCH(CONCATENATE(ВСЕ_КОДЫ[[#This Row],[CONTEST_CODE]],"_",AA$2),#REF!,0),MATCH(AA$1,_group_[#Headers],0)),"-")</f>
        <v>-</v>
      </c>
      <c r="AB29" s="1" t="str">
        <f>IFERROR(INDEX(_DATA_[],MATCH(ВСЕ_КОДЫ[[#This Row],[CONTEST_CODE]],_DATA_[CONTEST_CODE],0),MATCH($AB$2,_DATA_[#Headers],0)),"-")</f>
        <v>["""KMKKSB"""]</v>
      </c>
      <c r="AC29" s="1" t="str">
        <f>CONCATENATE(ВСЕ_КОДЫ[[#This Row],[CONTEST_CODE]],"_",ВСЕ_КОДЫ[[#This Row],[TOURNAMENT_CODE]])</f>
        <v>CONTEST_05_TOURNAMENT_05_06</v>
      </c>
      <c r="AD29" s="1" t="str">
        <f>ВСЕ_КОДЫ[[#This Row],[FULL_NAME]]</f>
        <v>Индия сделай х2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idden="1" x14ac:dyDescent="0.25">
      <c r="A30" s="1" t="s">
        <v>43</v>
      </c>
      <c r="B30" s="1" t="s">
        <v>173</v>
      </c>
      <c r="C30" s="1" t="s">
        <v>323</v>
      </c>
      <c r="D30" s="1" t="s">
        <v>583</v>
      </c>
      <c r="E30" s="1" t="s">
        <v>44</v>
      </c>
      <c r="F30" s="1" t="s">
        <v>26</v>
      </c>
      <c r="G30" s="1" t="s">
        <v>27</v>
      </c>
      <c r="H30" s="1" t="s">
        <v>28</v>
      </c>
      <c r="I30" s="1" t="s">
        <v>35</v>
      </c>
      <c r="J30" s="1" t="s">
        <v>76</v>
      </c>
      <c r="K30" s="1" t="s">
        <v>167</v>
      </c>
      <c r="L30" s="1" t="s">
        <v>175</v>
      </c>
      <c r="M30" s="1" t="s">
        <v>176</v>
      </c>
      <c r="N30" s="1" t="s">
        <v>305</v>
      </c>
      <c r="O30" s="1" t="s">
        <v>324</v>
      </c>
      <c r="P30" s="1"/>
      <c r="Q30" s="1">
        <f>IFERROR(COUNTIFS(_report[TOURNAMENT_CODE],ВСЕ_КОДЫ[[#This Row],[TOURNAMENT_CODE]],_report[CONTEST_CODE],ВСЕ_КОДЫ[[#This Row],[CONTEST_CODE]]),"-")</f>
        <v>0</v>
      </c>
      <c r="R30" s="1" t="str">
        <f>IFERROR(INDEX(_SCHEDULE_[],MATCH(ВСЕ_КОДЫ[[#This Row],[CONTEST_CODE]],_SCHEDULE_[CONTEST_CODE],0),MATCH($R$1,_SCHEDULE_[#Headers],0)),"-")</f>
        <v>УДАЛЕН</v>
      </c>
      <c r="S30" s="1" t="str">
        <f>IFERROR(INDEX(_group_[],MATCH(ВСЕ_КОДЫ[[#This Row],[CONTEST_CODE]],_group_[CONTEST_CODE],0),MATCH($S$1,_group_[#Headers],0)),"-")</f>
        <v>BANK</v>
      </c>
      <c r="T30" s="1" t="str">
        <f>IFERROR(INDEX(_INDICATOR_[],MATCH(ВСЕ_КОДЫ[[#This Row],[CONTEST_CODE]],_INDICATOR_[CONTEST_CODE],0),MATCH($T$1,_INDICATOR_[#Headers],0)),"-")</f>
        <v>INCOME</v>
      </c>
      <c r="U30" s="1" t="str">
        <f>IFERROR(INDEX(_reward_link_[],MATCH(ВСЕ_КОДЫ[[#This Row],[CONTEST_CODE]],_reward_link_[CONTEST_CODE],0),MATCH($U$1,_reward_link_[#Headers],0)),"-")</f>
        <v>BANK</v>
      </c>
      <c r="V30" s="1" t="str">
        <f>IFERROR(INDEX(_report[],MATCH(ВСЕ_КОДЫ[[#This Row],[CONTEST_CODE]],_report[CONTEST_CODE],0),MATCH($V$1,_report[#Headers],0)),"-")</f>
        <v>-</v>
      </c>
      <c r="W30" s="1" t="str">
        <f>IFERROR(INDEX(_reward_[],MATCH(ВСЕ_КОДЫ[[#This Row],[REWARD_CODE]],_reward_[REWARD_CODE],0),MATCH($W$1,_reward_[#Headers],0)),"-")</f>
        <v>х2 комиссии по сделкам с Индией</v>
      </c>
      <c r="X30" s="1" t="str">
        <f>IFERROR(INDEX(_group_[],MATCH(CONCATENATE(ВСЕ_КОДЫ[[#This Row],[CONTEST_CODE]],"_",X$2),#REF!,0),MATCH(X$1,_group_[#Headers],0)),"-")</f>
        <v>-</v>
      </c>
      <c r="Y30" s="1" t="str">
        <f>IFERROR(INDEX(_group_[],MATCH(CONCATENATE(ВСЕ_КОДЫ[[#This Row],[CONTEST_CODE]],"_",Y$2),#REF!,0),MATCH(Y$1,_group_[#Headers],0)),"-")</f>
        <v>-</v>
      </c>
      <c r="Z30" s="1" t="str">
        <f>IFERROR(INDEX(_group_[],MATCH(CONCATENATE(ВСЕ_КОДЫ[[#This Row],[CONTEST_CODE]],"_",Z$2),#REF!,0),MATCH(Z$1,_group_[#Headers],0)),"-")</f>
        <v>-</v>
      </c>
      <c r="AA30" s="1" t="str">
        <f>IFERROR(INDEX(_group_[],MATCH(CONCATENATE(ВСЕ_КОДЫ[[#This Row],[CONTEST_CODE]],"_",AA$2),#REF!,0),MATCH(AA$1,_group_[#Headers],0)),"-")</f>
        <v>-</v>
      </c>
      <c r="AB30" s="1" t="str">
        <f>IFERROR(INDEX(_DATA_[],MATCH(ВСЕ_КОДЫ[[#This Row],[CONTEST_CODE]],_DATA_[CONTEST_CODE],0),MATCH($AB$2,_DATA_[#Headers],0)),"-")</f>
        <v>["""KMKKSB"""]</v>
      </c>
      <c r="AC30" s="1" t="str">
        <f>CONCATENATE(ВСЕ_КОДЫ[[#This Row],[CONTEST_CODE]],"_",ВСЕ_КОДЫ[[#This Row],[TOURNAMENT_CODE]])</f>
        <v>CONTEST_05_TOURNAMENT_05_2023_11</v>
      </c>
      <c r="AD30" s="1" t="str">
        <f>ВСЕ_КОДЫ[[#This Row],[FULL_NAME]]</f>
        <v>Индия сделай х2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idden="1" x14ac:dyDescent="0.25">
      <c r="A31" s="1" t="s">
        <v>43</v>
      </c>
      <c r="B31" s="1" t="s">
        <v>177</v>
      </c>
      <c r="C31" s="1" t="s">
        <v>323</v>
      </c>
      <c r="D31" s="1" t="s">
        <v>583</v>
      </c>
      <c r="E31" s="1" t="s">
        <v>44</v>
      </c>
      <c r="F31" s="1" t="s">
        <v>26</v>
      </c>
      <c r="G31" s="1" t="s">
        <v>27</v>
      </c>
      <c r="H31" s="1" t="s">
        <v>28</v>
      </c>
      <c r="I31" s="1" t="s">
        <v>35</v>
      </c>
      <c r="J31" s="1" t="s">
        <v>170</v>
      </c>
      <c r="K31" s="1" t="s">
        <v>171</v>
      </c>
      <c r="L31" s="1" t="s">
        <v>179</v>
      </c>
      <c r="M31" s="1" t="s">
        <v>176</v>
      </c>
      <c r="N31" s="1" t="s">
        <v>305</v>
      </c>
      <c r="O31" s="1" t="s">
        <v>324</v>
      </c>
      <c r="P31" s="1"/>
      <c r="Q31" s="1">
        <f>IFERROR(COUNTIFS(_report[TOURNAMENT_CODE],ВСЕ_КОДЫ[[#This Row],[TOURNAMENT_CODE]],_report[CONTEST_CODE],ВСЕ_КОДЫ[[#This Row],[CONTEST_CODE]]),"-")</f>
        <v>0</v>
      </c>
      <c r="R31" s="1" t="str">
        <f>IFERROR(INDEX(_SCHEDULE_[],MATCH(ВСЕ_КОДЫ[[#This Row],[CONTEST_CODE]],_SCHEDULE_[CONTEST_CODE],0),MATCH($R$1,_SCHEDULE_[#Headers],0)),"-")</f>
        <v>УДАЛЕН</v>
      </c>
      <c r="S31" s="1" t="str">
        <f>IFERROR(INDEX(_group_[],MATCH(ВСЕ_КОДЫ[[#This Row],[CONTEST_CODE]],_group_[CONTEST_CODE],0),MATCH($S$1,_group_[#Headers],0)),"-")</f>
        <v>BANK</v>
      </c>
      <c r="T31" s="1" t="str">
        <f>IFERROR(INDEX(_INDICATOR_[],MATCH(ВСЕ_КОДЫ[[#This Row],[CONTEST_CODE]],_INDICATOR_[CONTEST_CODE],0),MATCH($T$1,_INDICATOR_[#Headers],0)),"-")</f>
        <v>INCOME</v>
      </c>
      <c r="U31" s="1" t="str">
        <f>IFERROR(INDEX(_reward_link_[],MATCH(ВСЕ_КОДЫ[[#This Row],[CONTEST_CODE]],_reward_link_[CONTEST_CODE],0),MATCH($U$1,_reward_link_[#Headers],0)),"-")</f>
        <v>BANK</v>
      </c>
      <c r="V31" s="1" t="str">
        <f>IFERROR(INDEX(_report[],MATCH(ВСЕ_КОДЫ[[#This Row],[CONTEST_CODE]],_report[CONTEST_CODE],0),MATCH($V$1,_report[#Headers],0)),"-")</f>
        <v>-</v>
      </c>
      <c r="W31" s="1" t="str">
        <f>IFERROR(INDEX(_reward_[],MATCH(ВСЕ_КОДЫ[[#This Row],[REWARD_CODE]],_reward_[REWARD_CODE],0),MATCH($W$1,_reward_[#Headers],0)),"-")</f>
        <v>х2 комиссии по сделкам с Индией</v>
      </c>
      <c r="X31" s="1" t="str">
        <f>IFERROR(INDEX(_group_[],MATCH(CONCATENATE(ВСЕ_КОДЫ[[#This Row],[CONTEST_CODE]],"_",X$2),#REF!,0),MATCH(X$1,_group_[#Headers],0)),"-")</f>
        <v>-</v>
      </c>
      <c r="Y31" s="1" t="str">
        <f>IFERROR(INDEX(_group_[],MATCH(CONCATENATE(ВСЕ_КОДЫ[[#This Row],[CONTEST_CODE]],"_",Y$2),#REF!,0),MATCH(Y$1,_group_[#Headers],0)),"-")</f>
        <v>-</v>
      </c>
      <c r="Z31" s="1" t="str">
        <f>IFERROR(INDEX(_group_[],MATCH(CONCATENATE(ВСЕ_КОДЫ[[#This Row],[CONTEST_CODE]],"_",Z$2),#REF!,0),MATCH(Z$1,_group_[#Headers],0)),"-")</f>
        <v>-</v>
      </c>
      <c r="AA31" s="1" t="str">
        <f>IFERROR(INDEX(_group_[],MATCH(CONCATENATE(ВСЕ_КОДЫ[[#This Row],[CONTEST_CODE]],"_",AA$2),#REF!,0),MATCH(AA$1,_group_[#Headers],0)),"-")</f>
        <v>-</v>
      </c>
      <c r="AB31" s="1" t="str">
        <f>IFERROR(INDEX(_DATA_[],MATCH(ВСЕ_КОДЫ[[#This Row],[CONTEST_CODE]],_DATA_[CONTEST_CODE],0),MATCH($AB$2,_DATA_[#Headers],0)),"-")</f>
        <v>["""KMKKSB"""]</v>
      </c>
      <c r="AC31" s="1" t="str">
        <f>CONCATENATE(ВСЕ_КОДЫ[[#This Row],[CONTEST_CODE]],"_",ВСЕ_КОДЫ[[#This Row],[TOURNAMENT_CODE]])</f>
        <v>CONTEST_05_TOURNAMENT_05_2023_12</v>
      </c>
      <c r="AD31" s="1" t="str">
        <f>ВСЕ_КОДЫ[[#This Row],[FULL_NAME]]</f>
        <v>Индия сделай х2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idden="1" x14ac:dyDescent="0.25">
      <c r="A32" s="1" t="s">
        <v>43</v>
      </c>
      <c r="B32" s="1" t="s">
        <v>180</v>
      </c>
      <c r="C32" s="1" t="s">
        <v>323</v>
      </c>
      <c r="D32" s="1" t="s">
        <v>583</v>
      </c>
      <c r="E32" s="1" t="s">
        <v>44</v>
      </c>
      <c r="F32" s="1" t="s">
        <v>26</v>
      </c>
      <c r="G32" s="1" t="s">
        <v>27</v>
      </c>
      <c r="H32" s="1" t="s">
        <v>28</v>
      </c>
      <c r="I32" s="1" t="s">
        <v>35</v>
      </c>
      <c r="J32" s="1" t="s">
        <v>182</v>
      </c>
      <c r="K32" s="1" t="s">
        <v>183</v>
      </c>
      <c r="L32" s="1" t="s">
        <v>179</v>
      </c>
      <c r="M32" s="1" t="s">
        <v>155</v>
      </c>
      <c r="N32" s="1" t="s">
        <v>305</v>
      </c>
      <c r="O32" s="1" t="s">
        <v>324</v>
      </c>
      <c r="P32" s="1"/>
      <c r="Q32" s="1">
        <f>IFERROR(COUNTIFS(_report[TOURNAMENT_CODE],ВСЕ_КОДЫ[[#This Row],[TOURNAMENT_CODE]],_report[CONTEST_CODE],ВСЕ_КОДЫ[[#This Row],[CONTEST_CODE]]),"-")</f>
        <v>0</v>
      </c>
      <c r="R32" s="1" t="str">
        <f>IFERROR(INDEX(_SCHEDULE_[],MATCH(ВСЕ_КОДЫ[[#This Row],[CONTEST_CODE]],_SCHEDULE_[CONTEST_CODE],0),MATCH($R$1,_SCHEDULE_[#Headers],0)),"-")</f>
        <v>УДАЛЕН</v>
      </c>
      <c r="S32" s="1" t="str">
        <f>IFERROR(INDEX(_group_[],MATCH(ВСЕ_КОДЫ[[#This Row],[CONTEST_CODE]],_group_[CONTEST_CODE],0),MATCH($S$1,_group_[#Headers],0)),"-")</f>
        <v>BANK</v>
      </c>
      <c r="T32" s="1" t="str">
        <f>IFERROR(INDEX(_INDICATOR_[],MATCH(ВСЕ_КОДЫ[[#This Row],[CONTEST_CODE]],_INDICATOR_[CONTEST_CODE],0),MATCH($T$1,_INDICATOR_[#Headers],0)),"-")</f>
        <v>INCOME</v>
      </c>
      <c r="U32" s="1" t="str">
        <f>IFERROR(INDEX(_reward_link_[],MATCH(ВСЕ_КОДЫ[[#This Row],[CONTEST_CODE]],_reward_link_[CONTEST_CODE],0),MATCH($U$1,_reward_link_[#Headers],0)),"-")</f>
        <v>BANK</v>
      </c>
      <c r="V32" s="1" t="str">
        <f>IFERROR(INDEX(_report[],MATCH(ВСЕ_КОДЫ[[#This Row],[CONTEST_CODE]],_report[CONTEST_CODE],0),MATCH($V$1,_report[#Headers],0)),"-")</f>
        <v>-</v>
      </c>
      <c r="W32" s="1" t="str">
        <f>IFERROR(INDEX(_reward_[],MATCH(ВСЕ_КОДЫ[[#This Row],[REWARD_CODE]],_reward_[REWARD_CODE],0),MATCH($W$1,_reward_[#Headers],0)),"-")</f>
        <v>х2 комиссии по сделкам с Индией</v>
      </c>
      <c r="X32" s="1" t="str">
        <f>IFERROR(INDEX(_group_[],MATCH(CONCATENATE(ВСЕ_КОДЫ[[#This Row],[CONTEST_CODE]],"_",X$2),#REF!,0),MATCH(X$1,_group_[#Headers],0)),"-")</f>
        <v>-</v>
      </c>
      <c r="Y32" s="1" t="str">
        <f>IFERROR(INDEX(_group_[],MATCH(CONCATENATE(ВСЕ_КОДЫ[[#This Row],[CONTEST_CODE]],"_",Y$2),#REF!,0),MATCH(Y$1,_group_[#Headers],0)),"-")</f>
        <v>-</v>
      </c>
      <c r="Z32" s="1" t="str">
        <f>IFERROR(INDEX(_group_[],MATCH(CONCATENATE(ВСЕ_КОДЫ[[#This Row],[CONTEST_CODE]],"_",Z$2),#REF!,0),MATCH(Z$1,_group_[#Headers],0)),"-")</f>
        <v>-</v>
      </c>
      <c r="AA32" s="1" t="str">
        <f>IFERROR(INDEX(_group_[],MATCH(CONCATENATE(ВСЕ_КОДЫ[[#This Row],[CONTEST_CODE]],"_",AA$2),#REF!,0),MATCH(AA$1,_group_[#Headers],0)),"-")</f>
        <v>-</v>
      </c>
      <c r="AB32" s="1" t="str">
        <f>IFERROR(INDEX(_DATA_[],MATCH(ВСЕ_КОДЫ[[#This Row],[CONTEST_CODE]],_DATA_[CONTEST_CODE],0),MATCH($AB$2,_DATA_[#Headers],0)),"-")</f>
        <v>["""KMKKSB"""]</v>
      </c>
      <c r="AC32" s="1" t="str">
        <f>CONCATENATE(ВСЕ_КОДЫ[[#This Row],[CONTEST_CODE]],"_",ВСЕ_КОДЫ[[#This Row],[TOURNAMENT_CODE]])</f>
        <v>CONTEST_05_TOURNAMENT_05_2024_01</v>
      </c>
      <c r="AD32" s="1" t="str">
        <f>ВСЕ_КОДЫ[[#This Row],[FULL_NAME]]</f>
        <v>Индия сделай х2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idden="1" x14ac:dyDescent="0.25">
      <c r="A33" s="1" t="s">
        <v>43</v>
      </c>
      <c r="B33" s="1" t="s">
        <v>185</v>
      </c>
      <c r="C33" s="1" t="s">
        <v>323</v>
      </c>
      <c r="D33" s="1" t="s">
        <v>583</v>
      </c>
      <c r="E33" s="1" t="s">
        <v>44</v>
      </c>
      <c r="F33" s="1" t="s">
        <v>26</v>
      </c>
      <c r="G33" s="1" t="s">
        <v>27</v>
      </c>
      <c r="H33" s="1" t="s">
        <v>28</v>
      </c>
      <c r="I33" s="1" t="s">
        <v>35</v>
      </c>
      <c r="J33" s="1" t="s">
        <v>187</v>
      </c>
      <c r="K33" s="1" t="s">
        <v>188</v>
      </c>
      <c r="L33" s="1" t="s">
        <v>189</v>
      </c>
      <c r="M33" s="1" t="s">
        <v>176</v>
      </c>
      <c r="N33" s="1" t="s">
        <v>305</v>
      </c>
      <c r="O33" s="1" t="s">
        <v>324</v>
      </c>
      <c r="P33" s="1"/>
      <c r="Q33" s="1">
        <f>IFERROR(COUNTIFS(_report[TOURNAMENT_CODE],ВСЕ_КОДЫ[[#This Row],[TOURNAMENT_CODE]],_report[CONTEST_CODE],ВСЕ_КОДЫ[[#This Row],[CONTEST_CODE]]),"-")</f>
        <v>0</v>
      </c>
      <c r="R33" s="1" t="str">
        <f>IFERROR(INDEX(_SCHEDULE_[],MATCH(ВСЕ_КОДЫ[[#This Row],[CONTEST_CODE]],_SCHEDULE_[CONTEST_CODE],0),MATCH($R$1,_SCHEDULE_[#Headers],0)),"-")</f>
        <v>УДАЛЕН</v>
      </c>
      <c r="S33" s="1" t="str">
        <f>IFERROR(INDEX(_group_[],MATCH(ВСЕ_КОДЫ[[#This Row],[CONTEST_CODE]],_group_[CONTEST_CODE],0),MATCH($S$1,_group_[#Headers],0)),"-")</f>
        <v>BANK</v>
      </c>
      <c r="T33" s="1" t="str">
        <f>IFERROR(INDEX(_INDICATOR_[],MATCH(ВСЕ_КОДЫ[[#This Row],[CONTEST_CODE]],_INDICATOR_[CONTEST_CODE],0),MATCH($T$1,_INDICATOR_[#Headers],0)),"-")</f>
        <v>INCOME</v>
      </c>
      <c r="U33" s="1" t="str">
        <f>IFERROR(INDEX(_reward_link_[],MATCH(ВСЕ_КОДЫ[[#This Row],[CONTEST_CODE]],_reward_link_[CONTEST_CODE],0),MATCH($U$1,_reward_link_[#Headers],0)),"-")</f>
        <v>BANK</v>
      </c>
      <c r="V33" s="1" t="str">
        <f>IFERROR(INDEX(_report[],MATCH(ВСЕ_КОДЫ[[#This Row],[CONTEST_CODE]],_report[CONTEST_CODE],0),MATCH($V$1,_report[#Headers],0)),"-")</f>
        <v>-</v>
      </c>
      <c r="W33" s="1" t="str">
        <f>IFERROR(INDEX(_reward_[],MATCH(ВСЕ_КОДЫ[[#This Row],[REWARD_CODE]],_reward_[REWARD_CODE],0),MATCH($W$1,_reward_[#Headers],0)),"-")</f>
        <v>х2 комиссии по сделкам с Индией</v>
      </c>
      <c r="X33" s="1" t="str">
        <f>IFERROR(INDEX(_group_[],MATCH(CONCATENATE(ВСЕ_КОДЫ[[#This Row],[CONTEST_CODE]],"_",X$2),#REF!,0),MATCH(X$1,_group_[#Headers],0)),"-")</f>
        <v>-</v>
      </c>
      <c r="Y33" s="1" t="str">
        <f>IFERROR(INDEX(_group_[],MATCH(CONCATENATE(ВСЕ_КОДЫ[[#This Row],[CONTEST_CODE]],"_",Y$2),#REF!,0),MATCH(Y$1,_group_[#Headers],0)),"-")</f>
        <v>-</v>
      </c>
      <c r="Z33" s="1" t="str">
        <f>IFERROR(INDEX(_group_[],MATCH(CONCATENATE(ВСЕ_КОДЫ[[#This Row],[CONTEST_CODE]],"_",Z$2),#REF!,0),MATCH(Z$1,_group_[#Headers],0)),"-")</f>
        <v>-</v>
      </c>
      <c r="AA33" s="1" t="str">
        <f>IFERROR(INDEX(_group_[],MATCH(CONCATENATE(ВСЕ_КОДЫ[[#This Row],[CONTEST_CODE]],"_",AA$2),#REF!,0),MATCH(AA$1,_group_[#Headers],0)),"-")</f>
        <v>-</v>
      </c>
      <c r="AB33" s="1" t="str">
        <f>IFERROR(INDEX(_DATA_[],MATCH(ВСЕ_КОДЫ[[#This Row],[CONTEST_CODE]],_DATA_[CONTEST_CODE],0),MATCH($AB$2,_DATA_[#Headers],0)),"-")</f>
        <v>["""KMKKSB"""]</v>
      </c>
      <c r="AC33" s="1" t="str">
        <f>CONCATENATE(ВСЕ_КОДЫ[[#This Row],[CONTEST_CODE]],"_",ВСЕ_КОДЫ[[#This Row],[TOURNAMENT_CODE]])</f>
        <v>CONTEST_05_TOURNAMENT_05_2024_03</v>
      </c>
      <c r="AD33" s="1" t="str">
        <f>ВСЕ_КОДЫ[[#This Row],[FULL_NAME]]</f>
        <v>Индия сделай х2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idden="1" x14ac:dyDescent="0.25">
      <c r="A34" s="1" t="s">
        <v>43</v>
      </c>
      <c r="B34" s="1" t="s">
        <v>190</v>
      </c>
      <c r="C34" s="1" t="s">
        <v>323</v>
      </c>
      <c r="D34" s="1" t="s">
        <v>583</v>
      </c>
      <c r="E34" s="1" t="s">
        <v>44</v>
      </c>
      <c r="F34" s="1" t="s">
        <v>26</v>
      </c>
      <c r="G34" s="1" t="s">
        <v>27</v>
      </c>
      <c r="H34" s="1" t="s">
        <v>28</v>
      </c>
      <c r="I34" s="1" t="s">
        <v>35</v>
      </c>
      <c r="J34" s="1" t="s">
        <v>192</v>
      </c>
      <c r="K34" s="1" t="s">
        <v>193</v>
      </c>
      <c r="L34" s="1" t="s">
        <v>195</v>
      </c>
      <c r="M34" s="1" t="s">
        <v>176</v>
      </c>
      <c r="N34" s="1" t="s">
        <v>305</v>
      </c>
      <c r="O34" s="1" t="s">
        <v>324</v>
      </c>
      <c r="P34" s="1"/>
      <c r="Q34" s="1">
        <f>IFERROR(COUNTIFS(_report[TOURNAMENT_CODE],ВСЕ_КОДЫ[[#This Row],[TOURNAMENT_CODE]],_report[CONTEST_CODE],ВСЕ_КОДЫ[[#This Row],[CONTEST_CODE]]),"-")</f>
        <v>0</v>
      </c>
      <c r="R34" s="1" t="str">
        <f>IFERROR(INDEX(_SCHEDULE_[],MATCH(ВСЕ_КОДЫ[[#This Row],[CONTEST_CODE]],_SCHEDULE_[CONTEST_CODE],0),MATCH($R$1,_SCHEDULE_[#Headers],0)),"-")</f>
        <v>УДАЛЕН</v>
      </c>
      <c r="S34" s="1" t="str">
        <f>IFERROR(INDEX(_group_[],MATCH(ВСЕ_КОДЫ[[#This Row],[CONTEST_CODE]],_group_[CONTEST_CODE],0),MATCH($S$1,_group_[#Headers],0)),"-")</f>
        <v>BANK</v>
      </c>
      <c r="T34" s="1" t="str">
        <f>IFERROR(INDEX(_INDICATOR_[],MATCH(ВСЕ_КОДЫ[[#This Row],[CONTEST_CODE]],_INDICATOR_[CONTEST_CODE],0),MATCH($T$1,_INDICATOR_[#Headers],0)),"-")</f>
        <v>INCOME</v>
      </c>
      <c r="U34" s="1" t="str">
        <f>IFERROR(INDEX(_reward_link_[],MATCH(ВСЕ_КОДЫ[[#This Row],[CONTEST_CODE]],_reward_link_[CONTEST_CODE],0),MATCH($U$1,_reward_link_[#Headers],0)),"-")</f>
        <v>BANK</v>
      </c>
      <c r="V34" s="1" t="str">
        <f>IFERROR(INDEX(_report[],MATCH(ВСЕ_КОДЫ[[#This Row],[CONTEST_CODE]],_report[CONTEST_CODE],0),MATCH($V$1,_report[#Headers],0)),"-")</f>
        <v>-</v>
      </c>
      <c r="W34" s="1" t="str">
        <f>IFERROR(INDEX(_reward_[],MATCH(ВСЕ_КОДЫ[[#This Row],[REWARD_CODE]],_reward_[REWARD_CODE],0),MATCH($W$1,_reward_[#Headers],0)),"-")</f>
        <v>х2 комиссии по сделкам с Индией</v>
      </c>
      <c r="X34" s="1" t="str">
        <f>IFERROR(INDEX(_group_[],MATCH(CONCATENATE(ВСЕ_КОДЫ[[#This Row],[CONTEST_CODE]],"_",X$2),#REF!,0),MATCH(X$1,_group_[#Headers],0)),"-")</f>
        <v>-</v>
      </c>
      <c r="Y34" s="1" t="str">
        <f>IFERROR(INDEX(_group_[],MATCH(CONCATENATE(ВСЕ_КОДЫ[[#This Row],[CONTEST_CODE]],"_",Y$2),#REF!,0),MATCH(Y$1,_group_[#Headers],0)),"-")</f>
        <v>-</v>
      </c>
      <c r="Z34" s="1" t="str">
        <f>IFERROR(INDEX(_group_[],MATCH(CONCATENATE(ВСЕ_КОДЫ[[#This Row],[CONTEST_CODE]],"_",Z$2),#REF!,0),MATCH(Z$1,_group_[#Headers],0)),"-")</f>
        <v>-</v>
      </c>
      <c r="AA34" s="1" t="str">
        <f>IFERROR(INDEX(_group_[],MATCH(CONCATENATE(ВСЕ_КОДЫ[[#This Row],[CONTEST_CODE]],"_",AA$2),#REF!,0),MATCH(AA$1,_group_[#Headers],0)),"-")</f>
        <v>-</v>
      </c>
      <c r="AB34" s="1" t="str">
        <f>IFERROR(INDEX(_DATA_[],MATCH(ВСЕ_КОДЫ[[#This Row],[CONTEST_CODE]],_DATA_[CONTEST_CODE],0),MATCH($AB$2,_DATA_[#Headers],0)),"-")</f>
        <v>["""KMKKSB"""]</v>
      </c>
      <c r="AC34" s="1" t="str">
        <f>CONCATENATE(ВСЕ_КОДЫ[[#This Row],[CONTEST_CODE]],"_",ВСЕ_КОДЫ[[#This Row],[TOURNAMENT_CODE]])</f>
        <v>CONTEST_05_TOURNAMENT_05_2024_04</v>
      </c>
      <c r="AD34" s="1" t="str">
        <f>ВСЕ_КОДЫ[[#This Row],[FULL_NAME]]</f>
        <v>Индия сделай х2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idden="1" x14ac:dyDescent="0.25">
      <c r="A35" s="1" t="s">
        <v>43</v>
      </c>
      <c r="B35" s="1" t="s">
        <v>693</v>
      </c>
      <c r="C35" s="1" t="s">
        <v>323</v>
      </c>
      <c r="D35" s="1" t="s">
        <v>583</v>
      </c>
      <c r="E35" s="1" t="s">
        <v>44</v>
      </c>
      <c r="F35" s="1" t="s">
        <v>26</v>
      </c>
      <c r="G35" s="1" t="s">
        <v>27</v>
      </c>
      <c r="H35" s="1" t="s">
        <v>28</v>
      </c>
      <c r="I35" s="1" t="s">
        <v>35</v>
      </c>
      <c r="J35" s="1" t="s">
        <v>245</v>
      </c>
      <c r="K35" s="1" t="s">
        <v>246</v>
      </c>
      <c r="L35" s="1" t="s">
        <v>247</v>
      </c>
      <c r="M35" s="1" t="s">
        <v>176</v>
      </c>
      <c r="N35" s="1" t="s">
        <v>305</v>
      </c>
      <c r="O35" s="1" t="s">
        <v>324</v>
      </c>
      <c r="P35" s="1"/>
      <c r="Q35" s="1">
        <f>IFERROR(COUNTIFS(_report[TOURNAMENT_CODE],ВСЕ_КОДЫ[[#This Row],[TOURNAMENT_CODE]],_report[CONTEST_CODE],ВСЕ_КОДЫ[[#This Row],[CONTEST_CODE]]),"-")</f>
        <v>0</v>
      </c>
      <c r="R35" s="1" t="str">
        <f>IFERROR(INDEX(_SCHEDULE_[],MATCH(ВСЕ_КОДЫ[[#This Row],[CONTEST_CODE]],_SCHEDULE_[CONTEST_CODE],0),MATCH($R$1,_SCHEDULE_[#Headers],0)),"-")</f>
        <v>УДАЛЕН</v>
      </c>
      <c r="S35" s="1" t="str">
        <f>IFERROR(INDEX(_group_[],MATCH(ВСЕ_КОДЫ[[#This Row],[CONTEST_CODE]],_group_[CONTEST_CODE],0),MATCH($S$1,_group_[#Headers],0)),"-")</f>
        <v>BANK</v>
      </c>
      <c r="T35" s="1" t="str">
        <f>IFERROR(INDEX(_INDICATOR_[],MATCH(ВСЕ_КОДЫ[[#This Row],[CONTEST_CODE]],_INDICATOR_[CONTEST_CODE],0),MATCH($T$1,_INDICATOR_[#Headers],0)),"-")</f>
        <v>INCOME</v>
      </c>
      <c r="U35" s="1" t="str">
        <f>IFERROR(INDEX(_reward_link_[],MATCH(ВСЕ_КОДЫ[[#This Row],[CONTEST_CODE]],_reward_link_[CONTEST_CODE],0),MATCH($U$1,_reward_link_[#Headers],0)),"-")</f>
        <v>BANK</v>
      </c>
      <c r="V35" s="1" t="str">
        <f>IFERROR(INDEX(_report[],MATCH(ВСЕ_КОДЫ[[#This Row],[CONTEST_CODE]],_report[CONTEST_CODE],0),MATCH($V$1,_report[#Headers],0)),"-")</f>
        <v>-</v>
      </c>
      <c r="W35" s="1" t="str">
        <f>IFERROR(INDEX(_reward_[],MATCH(ВСЕ_КОДЫ[[#This Row],[REWARD_CODE]],_reward_[REWARD_CODE],0),MATCH($W$1,_reward_[#Headers],0)),"-")</f>
        <v>х2 комиссии по сделкам с Индией</v>
      </c>
      <c r="X35" s="1" t="str">
        <f>IFERROR(INDEX(_group_[],MATCH(CONCATENATE(ВСЕ_КОДЫ[[#This Row],[CONTEST_CODE]],"_",X$2),#REF!,0),MATCH(X$1,_group_[#Headers],0)),"-")</f>
        <v>-</v>
      </c>
      <c r="Y35" s="1" t="str">
        <f>IFERROR(INDEX(_group_[],MATCH(CONCATENATE(ВСЕ_КОДЫ[[#This Row],[CONTEST_CODE]],"_",Y$2),#REF!,0),MATCH(Y$1,_group_[#Headers],0)),"-")</f>
        <v>-</v>
      </c>
      <c r="Z35" s="1" t="str">
        <f>IFERROR(INDEX(_group_[],MATCH(CONCATENATE(ВСЕ_КОДЫ[[#This Row],[CONTEST_CODE]],"_",Z$2),#REF!,0),MATCH(Z$1,_group_[#Headers],0)),"-")</f>
        <v>-</v>
      </c>
      <c r="AA35" s="1" t="str">
        <f>IFERROR(INDEX(_group_[],MATCH(CONCATENATE(ВСЕ_КОДЫ[[#This Row],[CONTEST_CODE]],"_",AA$2),#REF!,0),MATCH(AA$1,_group_[#Headers],0)),"-")</f>
        <v>-</v>
      </c>
      <c r="AB35" s="1" t="str">
        <f>IFERROR(INDEX(_DATA_[],MATCH(ВСЕ_КОДЫ[[#This Row],[CONTEST_CODE]],_DATA_[CONTEST_CODE],0),MATCH($AB$2,_DATA_[#Headers],0)),"-")</f>
        <v>["""KMKKSB"""]</v>
      </c>
      <c r="AC35" s="1" t="str">
        <f>CONCATENATE(ВСЕ_КОДЫ[[#This Row],[CONTEST_CODE]],"_",ВСЕ_КОДЫ[[#This Row],[TOURNAMENT_CODE]])</f>
        <v>CONTEST_05_TOURNAMENT_05_2024_05</v>
      </c>
      <c r="AD35" s="1" t="str">
        <f>ВСЕ_КОДЫ[[#This Row],[FULL_NAME]]</f>
        <v>Индия сделай х2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idden="1" x14ac:dyDescent="0.25">
      <c r="A36" s="1" t="s">
        <v>43</v>
      </c>
      <c r="B36" s="1" t="s">
        <v>694</v>
      </c>
      <c r="C36" s="1" t="s">
        <v>323</v>
      </c>
      <c r="D36" s="1" t="s">
        <v>583</v>
      </c>
      <c r="E36" s="1" t="s">
        <v>44</v>
      </c>
      <c r="F36" s="1" t="s">
        <v>26</v>
      </c>
      <c r="G36" s="1" t="s">
        <v>27</v>
      </c>
      <c r="H36" s="1" t="s">
        <v>28</v>
      </c>
      <c r="I36" s="1" t="s">
        <v>35</v>
      </c>
      <c r="J36" s="1" t="s">
        <v>695</v>
      </c>
      <c r="K36" s="1" t="s">
        <v>252</v>
      </c>
      <c r="L36" s="1" t="s">
        <v>253</v>
      </c>
      <c r="M36" s="1" t="s">
        <v>176</v>
      </c>
      <c r="N36" s="1" t="s">
        <v>305</v>
      </c>
      <c r="O36" s="1" t="s">
        <v>324</v>
      </c>
      <c r="P36" s="1"/>
      <c r="Q36" s="1">
        <f>IFERROR(COUNTIFS(_report[TOURNAMENT_CODE],ВСЕ_КОДЫ[[#This Row],[TOURNAMENT_CODE]],_report[CONTEST_CODE],ВСЕ_КОДЫ[[#This Row],[CONTEST_CODE]]),"-")</f>
        <v>0</v>
      </c>
      <c r="R36" s="1" t="str">
        <f>IFERROR(INDEX(_SCHEDULE_[],MATCH(ВСЕ_КОДЫ[[#This Row],[CONTEST_CODE]],_SCHEDULE_[CONTEST_CODE],0),MATCH($R$1,_SCHEDULE_[#Headers],0)),"-")</f>
        <v>УДАЛЕН</v>
      </c>
      <c r="S36" s="1" t="str">
        <f>IFERROR(INDEX(_group_[],MATCH(ВСЕ_КОДЫ[[#This Row],[CONTEST_CODE]],_group_[CONTEST_CODE],0),MATCH($S$1,_group_[#Headers],0)),"-")</f>
        <v>BANK</v>
      </c>
      <c r="T36" s="1" t="str">
        <f>IFERROR(INDEX(_INDICATOR_[],MATCH(ВСЕ_КОДЫ[[#This Row],[CONTEST_CODE]],_INDICATOR_[CONTEST_CODE],0),MATCH($T$1,_INDICATOR_[#Headers],0)),"-")</f>
        <v>INCOME</v>
      </c>
      <c r="U36" s="1" t="str">
        <f>IFERROR(INDEX(_reward_link_[],MATCH(ВСЕ_КОДЫ[[#This Row],[CONTEST_CODE]],_reward_link_[CONTEST_CODE],0),MATCH($U$1,_reward_link_[#Headers],0)),"-")</f>
        <v>BANK</v>
      </c>
      <c r="V36" s="1" t="str">
        <f>IFERROR(INDEX(_report[],MATCH(ВСЕ_КОДЫ[[#This Row],[CONTEST_CODE]],_report[CONTEST_CODE],0),MATCH($V$1,_report[#Headers],0)),"-")</f>
        <v>-</v>
      </c>
      <c r="W36" s="1" t="str">
        <f>IFERROR(INDEX(_reward_[],MATCH(ВСЕ_КОДЫ[[#This Row],[REWARD_CODE]],_reward_[REWARD_CODE],0),MATCH($W$1,_reward_[#Headers],0)),"-")</f>
        <v>х2 комиссии по сделкам с Индией</v>
      </c>
      <c r="X36" s="1" t="str">
        <f>IFERROR(INDEX(_group_[],MATCH(CONCATENATE(ВСЕ_КОДЫ[[#This Row],[CONTEST_CODE]],"_",X$2),#REF!,0),MATCH(X$1,_group_[#Headers],0)),"-")</f>
        <v>-</v>
      </c>
      <c r="Y36" s="1" t="str">
        <f>IFERROR(INDEX(_group_[],MATCH(CONCATENATE(ВСЕ_КОДЫ[[#This Row],[CONTEST_CODE]],"_",Y$2),#REF!,0),MATCH(Y$1,_group_[#Headers],0)),"-")</f>
        <v>-</v>
      </c>
      <c r="Z36" s="1" t="str">
        <f>IFERROR(INDEX(_group_[],MATCH(CONCATENATE(ВСЕ_КОДЫ[[#This Row],[CONTEST_CODE]],"_",Z$2),#REF!,0),MATCH(Z$1,_group_[#Headers],0)),"-")</f>
        <v>-</v>
      </c>
      <c r="AA36" s="1" t="str">
        <f>IFERROR(INDEX(_group_[],MATCH(CONCATENATE(ВСЕ_КОДЫ[[#This Row],[CONTEST_CODE]],"_",AA$2),#REF!,0),MATCH(AA$1,_group_[#Headers],0)),"-")</f>
        <v>-</v>
      </c>
      <c r="AB36" s="1" t="str">
        <f>IFERROR(INDEX(_DATA_[],MATCH(ВСЕ_КОДЫ[[#This Row],[CONTEST_CODE]],_DATA_[CONTEST_CODE],0),MATCH($AB$2,_DATA_[#Headers],0)),"-")</f>
        <v>["""KMKKSB"""]</v>
      </c>
      <c r="AC36" s="1" t="str">
        <f>CONCATENATE(ВСЕ_КОДЫ[[#This Row],[CONTEST_CODE]],"_",ВСЕ_КОДЫ[[#This Row],[TOURNAMENT_CODE]])</f>
        <v>CONTEST_05_TOURNAMENT_05_2024_06</v>
      </c>
      <c r="AD36" s="1" t="str">
        <f>ВСЕ_КОДЫ[[#This Row],[FULL_NAME]]</f>
        <v>Индия сделай х2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idden="1" x14ac:dyDescent="0.25">
      <c r="A37" s="1" t="s">
        <v>43</v>
      </c>
      <c r="B37" s="1" t="s">
        <v>1068</v>
      </c>
      <c r="C37" s="1" t="s">
        <v>323</v>
      </c>
      <c r="D37" s="1" t="s">
        <v>583</v>
      </c>
      <c r="E37" s="1" t="s">
        <v>44</v>
      </c>
      <c r="F37" s="1" t="s">
        <v>26</v>
      </c>
      <c r="G37" s="1" t="s">
        <v>27</v>
      </c>
      <c r="H37" s="1" t="s">
        <v>28</v>
      </c>
      <c r="I37" s="1" t="s">
        <v>35</v>
      </c>
      <c r="J37" s="1" t="s">
        <v>703</v>
      </c>
      <c r="K37" s="1" t="s">
        <v>704</v>
      </c>
      <c r="L37" s="1" t="s">
        <v>705</v>
      </c>
      <c r="M37" s="1" t="s">
        <v>176</v>
      </c>
      <c r="N37" s="1" t="s">
        <v>305</v>
      </c>
      <c r="O37" s="1" t="s">
        <v>324</v>
      </c>
      <c r="P37" s="1"/>
      <c r="Q37" s="1">
        <f>IFERROR(COUNTIFS(_report[TOURNAMENT_CODE],ВСЕ_КОДЫ[[#This Row],[TOURNAMENT_CODE]],_report[CONTEST_CODE],ВСЕ_КОДЫ[[#This Row],[CONTEST_CODE]]),"-")</f>
        <v>0</v>
      </c>
      <c r="R37" s="1" t="str">
        <f>IFERROR(INDEX(_SCHEDULE_[],MATCH(ВСЕ_КОДЫ[[#This Row],[CONTEST_CODE]],_SCHEDULE_[CONTEST_CODE],0),MATCH($R$1,_SCHEDULE_[#Headers],0)),"-")</f>
        <v>УДАЛЕН</v>
      </c>
      <c r="S37" s="1" t="str">
        <f>IFERROR(INDEX(_group_[],MATCH(ВСЕ_КОДЫ[[#This Row],[CONTEST_CODE]],_group_[CONTEST_CODE],0),MATCH($S$1,_group_[#Headers],0)),"-")</f>
        <v>BANK</v>
      </c>
      <c r="T37" s="1" t="str">
        <f>IFERROR(INDEX(_INDICATOR_[],MATCH(ВСЕ_КОДЫ[[#This Row],[CONTEST_CODE]],_INDICATOR_[CONTEST_CODE],0),MATCH($T$1,_INDICATOR_[#Headers],0)),"-")</f>
        <v>INCOME</v>
      </c>
      <c r="U37" s="1" t="str">
        <f>IFERROR(INDEX(_reward_link_[],MATCH(ВСЕ_КОДЫ[[#This Row],[CONTEST_CODE]],_reward_link_[CONTEST_CODE],0),MATCH($U$1,_reward_link_[#Headers],0)),"-")</f>
        <v>BANK</v>
      </c>
      <c r="V37" s="1" t="str">
        <f>IFERROR(INDEX(_report[],MATCH(ВСЕ_КОДЫ[[#This Row],[CONTEST_CODE]],_report[CONTEST_CODE],0),MATCH($V$1,_report[#Headers],0)),"-")</f>
        <v>-</v>
      </c>
      <c r="W37" s="1" t="str">
        <f>IFERROR(INDEX(_reward_[],MATCH(ВСЕ_КОДЫ[[#This Row],[REWARD_CODE]],_reward_[REWARD_CODE],0),MATCH($W$1,_reward_[#Headers],0)),"-")</f>
        <v>х2 комиссии по сделкам с Индией</v>
      </c>
      <c r="X37" s="1" t="str">
        <f>IFERROR(INDEX(_group_[],MATCH(CONCATENATE(ВСЕ_КОДЫ[[#This Row],[CONTEST_CODE]],"_",X$2),#REF!,0),MATCH(X$1,_group_[#Headers],0)),"-")</f>
        <v>-</v>
      </c>
      <c r="Y37" s="1" t="str">
        <f>IFERROR(INDEX(_group_[],MATCH(CONCATENATE(ВСЕ_КОДЫ[[#This Row],[CONTEST_CODE]],"_",Y$2),#REF!,0),MATCH(Y$1,_group_[#Headers],0)),"-")</f>
        <v>-</v>
      </c>
      <c r="Z37" s="1" t="str">
        <f>IFERROR(INDEX(_group_[],MATCH(CONCATENATE(ВСЕ_КОДЫ[[#This Row],[CONTEST_CODE]],"_",Z$2),#REF!,0),MATCH(Z$1,_group_[#Headers],0)),"-")</f>
        <v>-</v>
      </c>
      <c r="AA37" s="1" t="str">
        <f>IFERROR(INDEX(_group_[],MATCH(CONCATENATE(ВСЕ_КОДЫ[[#This Row],[CONTEST_CODE]],"_",AA$2),#REF!,0),MATCH(AA$1,_group_[#Headers],0)),"-")</f>
        <v>-</v>
      </c>
      <c r="AB37" s="1" t="str">
        <f>IFERROR(INDEX(_DATA_[],MATCH(ВСЕ_КОДЫ[[#This Row],[CONTEST_CODE]],_DATA_[CONTEST_CODE],0),MATCH($AB$2,_DATA_[#Headers],0)),"-")</f>
        <v>["""KMKKSB"""]</v>
      </c>
      <c r="AC37" s="1" t="str">
        <f>CONCATENATE(ВСЕ_КОДЫ[[#This Row],[CONTEST_CODE]],"_",ВСЕ_КОДЫ[[#This Row],[TOURNAMENT_CODE]])</f>
        <v>CONTEST_05_TOURNAMENT_05_2024_07</v>
      </c>
      <c r="AD37" s="1" t="str">
        <f>ВСЕ_КОДЫ[[#This Row],[FULL_NAME]]</f>
        <v>Индия сделай х2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idden="1" x14ac:dyDescent="0.25">
      <c r="A38" s="1" t="s">
        <v>43</v>
      </c>
      <c r="B38" s="1" t="s">
        <v>1260</v>
      </c>
      <c r="C38" s="1" t="s">
        <v>323</v>
      </c>
      <c r="D38" s="1" t="s">
        <v>583</v>
      </c>
      <c r="E38" s="1" t="s">
        <v>44</v>
      </c>
      <c r="F38" s="1" t="s">
        <v>26</v>
      </c>
      <c r="G38" s="1" t="s">
        <v>27</v>
      </c>
      <c r="H38" s="1" t="s">
        <v>28</v>
      </c>
      <c r="I38" s="1" t="s">
        <v>35</v>
      </c>
      <c r="J38" s="1" t="s">
        <v>1078</v>
      </c>
      <c r="K38" s="1" t="s">
        <v>1173</v>
      </c>
      <c r="L38" s="1" t="s">
        <v>706</v>
      </c>
      <c r="M38" s="1" t="s">
        <v>176</v>
      </c>
      <c r="N38" s="1" t="s">
        <v>305</v>
      </c>
      <c r="O38" s="1" t="s">
        <v>324</v>
      </c>
      <c r="P38" s="1"/>
      <c r="Q38" s="1">
        <f>IFERROR(COUNTIFS(_report[TOURNAMENT_CODE],ВСЕ_КОДЫ[[#This Row],[TOURNAMENT_CODE]],_report[CONTEST_CODE],ВСЕ_КОДЫ[[#This Row],[CONTEST_CODE]]),"-")</f>
        <v>0</v>
      </c>
      <c r="R38" s="1" t="str">
        <f>IFERROR(INDEX(_SCHEDULE_[],MATCH(ВСЕ_КОДЫ[[#This Row],[CONTEST_CODE]],_SCHEDULE_[CONTEST_CODE],0),MATCH($R$1,_SCHEDULE_[#Headers],0)),"-")</f>
        <v>УДАЛЕН</v>
      </c>
      <c r="S38" s="1" t="str">
        <f>IFERROR(INDEX(_group_[],MATCH(ВСЕ_КОДЫ[[#This Row],[CONTEST_CODE]],_group_[CONTEST_CODE],0),MATCH($S$1,_group_[#Headers],0)),"-")</f>
        <v>BANK</v>
      </c>
      <c r="T38" s="1" t="str">
        <f>IFERROR(INDEX(_INDICATOR_[],MATCH(ВСЕ_КОДЫ[[#This Row],[CONTEST_CODE]],_INDICATOR_[CONTEST_CODE],0),MATCH($T$1,_INDICATOR_[#Headers],0)),"-")</f>
        <v>INCOME</v>
      </c>
      <c r="U38" s="1" t="str">
        <f>IFERROR(INDEX(_reward_link_[],MATCH(ВСЕ_КОДЫ[[#This Row],[CONTEST_CODE]],_reward_link_[CONTEST_CODE],0),MATCH($U$1,_reward_link_[#Headers],0)),"-")</f>
        <v>BANK</v>
      </c>
      <c r="V38" s="1" t="str">
        <f>IFERROR(INDEX(_report[],MATCH(ВСЕ_КОДЫ[[#This Row],[CONTEST_CODE]],_report[CONTEST_CODE],0),MATCH($V$1,_report[#Headers],0)),"-")</f>
        <v>-</v>
      </c>
      <c r="W38" s="1" t="str">
        <f>IFERROR(INDEX(_reward_[],MATCH(ВСЕ_КОДЫ[[#This Row],[REWARD_CODE]],_reward_[REWARD_CODE],0),MATCH($W$1,_reward_[#Headers],0)),"-")</f>
        <v>х2 комиссии по сделкам с Индией</v>
      </c>
      <c r="X38" s="1" t="str">
        <f>IFERROR(INDEX(_group_[],MATCH(CONCATENATE(ВСЕ_КОДЫ[[#This Row],[CONTEST_CODE]],"_",X$2),#REF!,0),MATCH(X$1,_group_[#Headers],0)),"-")</f>
        <v>-</v>
      </c>
      <c r="Y38" s="1" t="str">
        <f>IFERROR(INDEX(_group_[],MATCH(CONCATENATE(ВСЕ_КОДЫ[[#This Row],[CONTEST_CODE]],"_",Y$2),#REF!,0),MATCH(Y$1,_group_[#Headers],0)),"-")</f>
        <v>-</v>
      </c>
      <c r="Z38" s="1" t="str">
        <f>IFERROR(INDEX(_group_[],MATCH(CONCATENATE(ВСЕ_КОДЫ[[#This Row],[CONTEST_CODE]],"_",Z$2),#REF!,0),MATCH(Z$1,_group_[#Headers],0)),"-")</f>
        <v>-</v>
      </c>
      <c r="AA38" s="1" t="str">
        <f>IFERROR(INDEX(_group_[],MATCH(CONCATENATE(ВСЕ_КОДЫ[[#This Row],[CONTEST_CODE]],"_",AA$2),#REF!,0),MATCH(AA$1,_group_[#Headers],0)),"-")</f>
        <v>-</v>
      </c>
      <c r="AB38" s="1" t="str">
        <f>IFERROR(INDEX(_DATA_[],MATCH(ВСЕ_КОДЫ[[#This Row],[CONTEST_CODE]],_DATA_[CONTEST_CODE],0),MATCH($AB$2,_DATA_[#Headers],0)),"-")</f>
        <v>["""KMKKSB"""]</v>
      </c>
      <c r="AC38" s="1" t="str">
        <f>CONCATENATE(ВСЕ_КОДЫ[[#This Row],[CONTEST_CODE]],"_",ВСЕ_КОДЫ[[#This Row],[TOURNAMENT_CODE]])</f>
        <v>CONTEST_05_TOURNAMENT_05_2024_08</v>
      </c>
      <c r="AD38" s="1" t="str">
        <f>ВСЕ_КОДЫ[[#This Row],[FULL_NAME]]</f>
        <v>Индия сделай х2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idden="1" x14ac:dyDescent="0.25">
      <c r="A39" s="1" t="s">
        <v>43</v>
      </c>
      <c r="B39" s="1" t="s">
        <v>1277</v>
      </c>
      <c r="C39" s="1" t="s">
        <v>323</v>
      </c>
      <c r="D39" s="1" t="s">
        <v>583</v>
      </c>
      <c r="E39" s="1" t="s">
        <v>44</v>
      </c>
      <c r="F39" s="1" t="s">
        <v>26</v>
      </c>
      <c r="G39" s="1" t="s">
        <v>27</v>
      </c>
      <c r="H39" s="1" t="s">
        <v>28</v>
      </c>
      <c r="I39" s="1" t="s">
        <v>35</v>
      </c>
      <c r="J39" s="1" t="s">
        <v>1225</v>
      </c>
      <c r="K39" s="1" t="s">
        <v>1070</v>
      </c>
      <c r="L39" s="1" t="s">
        <v>1071</v>
      </c>
      <c r="M39" s="1" t="s">
        <v>176</v>
      </c>
      <c r="N39" s="1" t="s">
        <v>305</v>
      </c>
      <c r="O39" s="1" t="s">
        <v>324</v>
      </c>
      <c r="P39" s="1"/>
      <c r="Q39" s="1">
        <f>IFERROR(COUNTIFS(_report[TOURNAMENT_CODE],ВСЕ_КОДЫ[[#This Row],[TOURNAMENT_CODE]],_report[CONTEST_CODE],ВСЕ_КОДЫ[[#This Row],[CONTEST_CODE]]),"-")</f>
        <v>0</v>
      </c>
      <c r="R39" s="1" t="str">
        <f>IFERROR(INDEX(_SCHEDULE_[],MATCH(ВСЕ_КОДЫ[[#This Row],[CONTEST_CODE]],_SCHEDULE_[CONTEST_CODE],0),MATCH($R$1,_SCHEDULE_[#Headers],0)),"-")</f>
        <v>УДАЛЕН</v>
      </c>
      <c r="S39" s="1" t="str">
        <f>IFERROR(INDEX(_group_[],MATCH(ВСЕ_КОДЫ[[#This Row],[CONTEST_CODE]],_group_[CONTEST_CODE],0),MATCH($S$1,_group_[#Headers],0)),"-")</f>
        <v>BANK</v>
      </c>
      <c r="T39" s="1" t="str">
        <f>IFERROR(INDEX(_INDICATOR_[],MATCH(ВСЕ_КОДЫ[[#This Row],[CONTEST_CODE]],_INDICATOR_[CONTEST_CODE],0),MATCH($T$1,_INDICATOR_[#Headers],0)),"-")</f>
        <v>INCOME</v>
      </c>
      <c r="U39" s="1" t="str">
        <f>IFERROR(INDEX(_reward_link_[],MATCH(ВСЕ_КОДЫ[[#This Row],[CONTEST_CODE]],_reward_link_[CONTEST_CODE],0),MATCH($U$1,_reward_link_[#Headers],0)),"-")</f>
        <v>BANK</v>
      </c>
      <c r="V39" s="1" t="str">
        <f>IFERROR(INDEX(_report[],MATCH(ВСЕ_КОДЫ[[#This Row],[CONTEST_CODE]],_report[CONTEST_CODE],0),MATCH($V$1,_report[#Headers],0)),"-")</f>
        <v>-</v>
      </c>
      <c r="W39" s="1" t="str">
        <f>IFERROR(INDEX(_reward_[],MATCH(ВСЕ_КОДЫ[[#This Row],[REWARD_CODE]],_reward_[REWARD_CODE],0),MATCH($W$1,_reward_[#Headers],0)),"-")</f>
        <v>х2 комиссии по сделкам с Индией</v>
      </c>
      <c r="X39" s="1" t="str">
        <f>IFERROR(INDEX(_group_[],MATCH(CONCATENATE(ВСЕ_КОДЫ[[#This Row],[CONTEST_CODE]],"_",X$2),#REF!,0),MATCH(X$1,_group_[#Headers],0)),"-")</f>
        <v>-</v>
      </c>
      <c r="Y39" s="1" t="str">
        <f>IFERROR(INDEX(_group_[],MATCH(CONCATENATE(ВСЕ_КОДЫ[[#This Row],[CONTEST_CODE]],"_",Y$2),#REF!,0),MATCH(Y$1,_group_[#Headers],0)),"-")</f>
        <v>-</v>
      </c>
      <c r="Z39" s="1" t="str">
        <f>IFERROR(INDEX(_group_[],MATCH(CONCATENATE(ВСЕ_КОДЫ[[#This Row],[CONTEST_CODE]],"_",Z$2),#REF!,0),MATCH(Z$1,_group_[#Headers],0)),"-")</f>
        <v>-</v>
      </c>
      <c r="AA39" s="1" t="str">
        <f>IFERROR(INDEX(_group_[],MATCH(CONCATENATE(ВСЕ_КОДЫ[[#This Row],[CONTEST_CODE]],"_",AA$2),#REF!,0),MATCH(AA$1,_group_[#Headers],0)),"-")</f>
        <v>-</v>
      </c>
      <c r="AB39" s="1" t="str">
        <f>IFERROR(INDEX(_DATA_[],MATCH(ВСЕ_КОДЫ[[#This Row],[CONTEST_CODE]],_DATA_[CONTEST_CODE],0),MATCH($AB$2,_DATA_[#Headers],0)),"-")</f>
        <v>["""KMKKSB"""]</v>
      </c>
      <c r="AC39" s="1" t="str">
        <f>CONCATENATE(ВСЕ_КОДЫ[[#This Row],[CONTEST_CODE]],"_",ВСЕ_КОДЫ[[#This Row],[TOURNAMENT_CODE]])</f>
        <v>CONTEST_05_TOURNAMENT_05_2024_09</v>
      </c>
      <c r="AD39" s="1" t="str">
        <f>ВСЕ_КОДЫ[[#This Row],[FULL_NAME]]</f>
        <v>Индия сделай х2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idden="1" x14ac:dyDescent="0.25">
      <c r="A40" s="1" t="s">
        <v>43</v>
      </c>
      <c r="B40" s="1" t="s">
        <v>1637</v>
      </c>
      <c r="C40" s="1" t="s">
        <v>323</v>
      </c>
      <c r="D40" s="1" t="s">
        <v>583</v>
      </c>
      <c r="E40" s="1" t="s">
        <v>44</v>
      </c>
      <c r="F40" s="1" t="s">
        <v>26</v>
      </c>
      <c r="G40" s="1" t="s">
        <v>27</v>
      </c>
      <c r="H40" s="1" t="s">
        <v>28</v>
      </c>
      <c r="I40" s="1" t="s">
        <v>35</v>
      </c>
      <c r="J40" s="1" t="s">
        <v>1308</v>
      </c>
      <c r="K40" s="1" t="s">
        <v>1638</v>
      </c>
      <c r="L40" s="1" t="s">
        <v>1639</v>
      </c>
      <c r="M40" s="1" t="s">
        <v>176</v>
      </c>
      <c r="N40" s="1" t="s">
        <v>305</v>
      </c>
      <c r="O40" s="1" t="s">
        <v>324</v>
      </c>
      <c r="P40" s="1"/>
      <c r="Q40" s="1">
        <f>IFERROR(COUNTIFS(_report[TOURNAMENT_CODE],ВСЕ_КОДЫ[[#This Row],[TOURNAMENT_CODE]],_report[CONTEST_CODE],ВСЕ_КОДЫ[[#This Row],[CONTEST_CODE]]),"-")</f>
        <v>0</v>
      </c>
      <c r="R40" s="1" t="str">
        <f>IFERROR(INDEX(_SCHEDULE_[],MATCH(ВСЕ_КОДЫ[[#This Row],[CONTEST_CODE]],_SCHEDULE_[CONTEST_CODE],0),MATCH($R$1,_SCHEDULE_[#Headers],0)),"-")</f>
        <v>УДАЛЕН</v>
      </c>
      <c r="S40" s="1" t="str">
        <f>IFERROR(INDEX(_group_[],MATCH(ВСЕ_КОДЫ[[#This Row],[CONTEST_CODE]],_group_[CONTEST_CODE],0),MATCH($S$1,_group_[#Headers],0)),"-")</f>
        <v>BANK</v>
      </c>
      <c r="T40" s="1" t="str">
        <f>IFERROR(INDEX(_INDICATOR_[],MATCH(ВСЕ_КОДЫ[[#This Row],[CONTEST_CODE]],_INDICATOR_[CONTEST_CODE],0),MATCH($T$1,_INDICATOR_[#Headers],0)),"-")</f>
        <v>INCOME</v>
      </c>
      <c r="U40" s="1" t="str">
        <f>IFERROR(INDEX(_reward_link_[],MATCH(ВСЕ_КОДЫ[[#This Row],[CONTEST_CODE]],_reward_link_[CONTEST_CODE],0),MATCH($U$1,_reward_link_[#Headers],0)),"-")</f>
        <v>BANK</v>
      </c>
      <c r="V40" s="1" t="str">
        <f>IFERROR(INDEX(_report[],MATCH(ВСЕ_КОДЫ[[#This Row],[CONTEST_CODE]],_report[CONTEST_CODE],0),MATCH($V$1,_report[#Headers],0)),"-")</f>
        <v>-</v>
      </c>
      <c r="W40" s="1" t="str">
        <f>IFERROR(INDEX(_reward_[],MATCH(ВСЕ_КОДЫ[[#This Row],[REWARD_CODE]],_reward_[REWARD_CODE],0),MATCH($W$1,_reward_[#Headers],0)),"-")</f>
        <v>х2 комиссии по сделкам с Индией</v>
      </c>
      <c r="X40" s="1" t="str">
        <f>IFERROR(INDEX(_group_[],MATCH(CONCATENATE(ВСЕ_КОДЫ[[#This Row],[CONTEST_CODE]],"_",X$2),#REF!,0),MATCH(X$1,_group_[#Headers],0)),"-")</f>
        <v>-</v>
      </c>
      <c r="Y40" s="1" t="str">
        <f>IFERROR(INDEX(_group_[],MATCH(CONCATENATE(ВСЕ_КОДЫ[[#This Row],[CONTEST_CODE]],"_",Y$2),#REF!,0),MATCH(Y$1,_group_[#Headers],0)),"-")</f>
        <v>-</v>
      </c>
      <c r="Z40" s="1" t="str">
        <f>IFERROR(INDEX(_group_[],MATCH(CONCATENATE(ВСЕ_КОДЫ[[#This Row],[CONTEST_CODE]],"_",Z$2),#REF!,0),MATCH(Z$1,_group_[#Headers],0)),"-")</f>
        <v>-</v>
      </c>
      <c r="AA40" s="1" t="str">
        <f>IFERROR(INDEX(_group_[],MATCH(CONCATENATE(ВСЕ_КОДЫ[[#This Row],[CONTEST_CODE]],"_",AA$2),#REF!,0),MATCH(AA$1,_group_[#Headers],0)),"-")</f>
        <v>-</v>
      </c>
      <c r="AB40" s="1" t="str">
        <f>IFERROR(INDEX(_DATA_[],MATCH(ВСЕ_КОДЫ[[#This Row],[CONTEST_CODE]],_DATA_[CONTEST_CODE],0),MATCH($AB$2,_DATA_[#Headers],0)),"-")</f>
        <v>["""KMKKSB"""]</v>
      </c>
      <c r="AC40" s="1" t="str">
        <f>CONCATENATE(ВСЕ_КОДЫ[[#This Row],[CONTEST_CODE]],"_",ВСЕ_КОДЫ[[#This Row],[TOURNAMENT_CODE]])</f>
        <v>CONTEST_05_TOURNAMENT_05_2024_M10</v>
      </c>
      <c r="AD40" s="1" t="str">
        <f>ВСЕ_КОДЫ[[#This Row],[FULL_NAME]]</f>
        <v>Индия сделай х2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idden="1" x14ac:dyDescent="0.25">
      <c r="A41" s="1" t="s">
        <v>43</v>
      </c>
      <c r="B41" s="1" t="s">
        <v>1799</v>
      </c>
      <c r="C41" s="1" t="s">
        <v>323</v>
      </c>
      <c r="D41" s="1" t="s">
        <v>583</v>
      </c>
      <c r="E41" s="1" t="s">
        <v>44</v>
      </c>
      <c r="F41" s="1" t="s">
        <v>26</v>
      </c>
      <c r="G41" s="1" t="s">
        <v>27</v>
      </c>
      <c r="H41" s="1" t="s">
        <v>28</v>
      </c>
      <c r="I41" s="1" t="s">
        <v>35</v>
      </c>
      <c r="J41" s="1" t="s">
        <v>1800</v>
      </c>
      <c r="K41" s="1" t="s">
        <v>1801</v>
      </c>
      <c r="L41" s="1" t="s">
        <v>1802</v>
      </c>
      <c r="M41" s="1" t="s">
        <v>155</v>
      </c>
      <c r="N41" s="1" t="s">
        <v>305</v>
      </c>
      <c r="O41" s="1" t="s">
        <v>324</v>
      </c>
      <c r="P41" s="1"/>
      <c r="Q41" s="1">
        <f>IFERROR(COUNTIFS(_report[TOURNAMENT_CODE],ВСЕ_КОДЫ[[#This Row],[TOURNAMENT_CODE]],_report[CONTEST_CODE],ВСЕ_КОДЫ[[#This Row],[CONTEST_CODE]]),"-")</f>
        <v>0</v>
      </c>
      <c r="R41" s="1" t="str">
        <f>IFERROR(INDEX(_SCHEDULE_[],MATCH(ВСЕ_КОДЫ[[#This Row],[CONTEST_CODE]],_SCHEDULE_[CONTEST_CODE],0),MATCH($R$1,_SCHEDULE_[#Headers],0)),"-")</f>
        <v>УДАЛЕН</v>
      </c>
      <c r="S41" s="1" t="str">
        <f>IFERROR(INDEX(_group_[],MATCH(ВСЕ_КОДЫ[[#This Row],[CONTEST_CODE]],_group_[CONTEST_CODE],0),MATCH($S$1,_group_[#Headers],0)),"-")</f>
        <v>BANK</v>
      </c>
      <c r="T41" s="1" t="str">
        <f>IFERROR(INDEX(_INDICATOR_[],MATCH(ВСЕ_КОДЫ[[#This Row],[CONTEST_CODE]],_INDICATOR_[CONTEST_CODE],0),MATCH($T$1,_INDICATOR_[#Headers],0)),"-")</f>
        <v>INCOME</v>
      </c>
      <c r="U41" s="1" t="str">
        <f>IFERROR(INDEX(_reward_link_[],MATCH(ВСЕ_КОДЫ[[#This Row],[CONTEST_CODE]],_reward_link_[CONTEST_CODE],0),MATCH($U$1,_reward_link_[#Headers],0)),"-")</f>
        <v>BANK</v>
      </c>
      <c r="V41" s="1" t="str">
        <f>IFERROR(INDEX(_report[],MATCH(ВСЕ_КОДЫ[[#This Row],[CONTEST_CODE]],_report[CONTEST_CODE],0),MATCH($V$1,_report[#Headers],0)),"-")</f>
        <v>-</v>
      </c>
      <c r="W41" s="1" t="str">
        <f>IFERROR(INDEX(_reward_[],MATCH(ВСЕ_КОДЫ[[#This Row],[REWARD_CODE]],_reward_[REWARD_CODE],0),MATCH($W$1,_reward_[#Headers],0)),"-")</f>
        <v>х2 комиссии по сделкам с Индией</v>
      </c>
      <c r="X41" s="1" t="str">
        <f>IFERROR(INDEX(_group_[],MATCH(CONCATENATE(ВСЕ_КОДЫ[[#This Row],[CONTEST_CODE]],"_",X$2),#REF!,0),MATCH(X$1,_group_[#Headers],0)),"-")</f>
        <v>-</v>
      </c>
      <c r="Y41" s="1" t="str">
        <f>IFERROR(INDEX(_group_[],MATCH(CONCATENATE(ВСЕ_КОДЫ[[#This Row],[CONTEST_CODE]],"_",Y$2),#REF!,0),MATCH(Y$1,_group_[#Headers],0)),"-")</f>
        <v>-</v>
      </c>
      <c r="Z41" s="1" t="str">
        <f>IFERROR(INDEX(_group_[],MATCH(CONCATENATE(ВСЕ_КОДЫ[[#This Row],[CONTEST_CODE]],"_",Z$2),#REF!,0),MATCH(Z$1,_group_[#Headers],0)),"-")</f>
        <v>-</v>
      </c>
      <c r="AA41" s="1" t="str">
        <f>IFERROR(INDEX(_group_[],MATCH(CONCATENATE(ВСЕ_КОДЫ[[#This Row],[CONTEST_CODE]],"_",AA$2),#REF!,0),MATCH(AA$1,_group_[#Headers],0)),"-")</f>
        <v>-</v>
      </c>
      <c r="AB41" s="1" t="str">
        <f>IFERROR(INDEX(_DATA_[],MATCH(ВСЕ_КОДЫ[[#This Row],[CONTEST_CODE]],_DATA_[CONTEST_CODE],0),MATCH($AB$2,_DATA_[#Headers],0)),"-")</f>
        <v>["""KMKKSB"""]</v>
      </c>
      <c r="AC41" s="1" t="str">
        <f>CONCATENATE(ВСЕ_КОДЫ[[#This Row],[CONTEST_CODE]],"_",ВСЕ_КОДЫ[[#This Row],[TOURNAMENT_CODE]])</f>
        <v>CONTEST_05_TOURNAMENT_05_2024_M11</v>
      </c>
      <c r="AD41" s="1" t="str">
        <f>ВСЕ_КОДЫ[[#This Row],[FULL_NAME]]</f>
        <v>Индия сделай х2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idden="1" x14ac:dyDescent="0.25">
      <c r="A42" s="1" t="s">
        <v>2175</v>
      </c>
      <c r="B42" s="1" t="s">
        <v>2507</v>
      </c>
      <c r="C42" s="1" t="s">
        <v>2282</v>
      </c>
      <c r="D42" s="1" t="s">
        <v>583</v>
      </c>
      <c r="E42" s="1" t="s">
        <v>2602</v>
      </c>
      <c r="F42" s="1" t="s">
        <v>2508</v>
      </c>
      <c r="G42" s="1" t="s">
        <v>27</v>
      </c>
      <c r="H42" s="1" t="s">
        <v>34</v>
      </c>
      <c r="I42" s="1" t="s">
        <v>29</v>
      </c>
      <c r="J42" s="1" t="s">
        <v>2508</v>
      </c>
      <c r="K42" s="1" t="s">
        <v>2509</v>
      </c>
      <c r="L42" s="1" t="s">
        <v>2510</v>
      </c>
      <c r="M42" s="1" t="s">
        <v>34</v>
      </c>
      <c r="N42" s="1" t="s">
        <v>305</v>
      </c>
      <c r="O42" s="1" t="s">
        <v>2656</v>
      </c>
      <c r="P42" s="1"/>
      <c r="Q42" s="1">
        <f>IFERROR(COUNTIFS(_report[TOURNAMENT_CODE],ВСЕ_КОДЫ[[#This Row],[TOURNAMENT_CODE]],_report[CONTEST_CODE],ВСЕ_КОДЫ[[#This Row],[CONTEST_CODE]]),"-")</f>
        <v>0</v>
      </c>
      <c r="R42" s="1" t="str">
        <f>IFERROR(INDEX(_SCHEDULE_[],MATCH(ВСЕ_КОДЫ[[#This Row],[CONTEST_CODE]],_SCHEDULE_[CONTEST_CODE],0),MATCH($R$1,_SCHEDULE_[#Headers],0)),"-")</f>
        <v>АКТИВНЫЙ</v>
      </c>
      <c r="S42" s="1" t="str">
        <f>IFERROR(INDEX(_group_[],MATCH(ВСЕ_КОДЫ[[#This Row],[CONTEST_CODE]],_group_[CONTEST_CODE],0),MATCH($S$1,_group_[#Headers],0)),"-")</f>
        <v>BANK</v>
      </c>
      <c r="T42" s="1" t="str">
        <f>IFERROR(INDEX(_INDICATOR_[],MATCH(ВСЕ_КОДЫ[[#This Row],[CONTEST_CODE]],_INDICATOR_[CONTEST_CODE],0),MATCH($T$1,_INDICATOR_[#Headers],0)),"-")</f>
        <v>WAIT</v>
      </c>
      <c r="U42" s="1" t="str">
        <f>IFERROR(INDEX(_reward_link_[],MATCH(ВСЕ_КОДЫ[[#This Row],[CONTEST_CODE]],_reward_link_[CONTEST_CODE],0),MATCH($U$1,_reward_link_[#Headers],0)),"-")</f>
        <v>BANK</v>
      </c>
      <c r="V42" s="1" t="str">
        <f>IFERROR(INDEX(_report[],MATCH(ВСЕ_КОДЫ[[#This Row],[CONTEST_CODE]],_report[CONTEST_CODE],0),MATCH($V$1,_report[#Headers],0)),"-")</f>
        <v>-</v>
      </c>
      <c r="W42" s="1" t="str">
        <f>IFERROR(INDEX(_reward_[],MATCH(ВСЕ_КОДЫ[[#This Row],[REWARD_CODE]],_reward_[REWARD_CODE],0),MATCH($W$1,_reward_[#Headers],0)),"-")</f>
        <v>ТОП-проект DTaaS</v>
      </c>
      <c r="X42" s="1" t="str">
        <f>IFERROR(INDEX(_group_[],MATCH(CONCATENATE(ВСЕ_КОДЫ[[#This Row],[CONTEST_CODE]],"_",X$2),#REF!,0),MATCH(X$1,_group_[#Headers],0)),"-")</f>
        <v>-</v>
      </c>
      <c r="Y42" s="1" t="str">
        <f>IFERROR(INDEX(_group_[],MATCH(CONCATENATE(ВСЕ_КОДЫ[[#This Row],[CONTEST_CODE]],"_",Y$2),#REF!,0),MATCH(Y$1,_group_[#Headers],0)),"-")</f>
        <v>-</v>
      </c>
      <c r="Z42" s="1" t="str">
        <f>IFERROR(INDEX(_group_[],MATCH(CONCATENATE(ВСЕ_КОДЫ[[#This Row],[CONTEST_CODE]],"_",Z$2),#REF!,0),MATCH(Z$1,_group_[#Headers],0)),"-")</f>
        <v>-</v>
      </c>
      <c r="AA42" s="1" t="str">
        <f>IFERROR(INDEX(_group_[],MATCH(CONCATENATE(ВСЕ_КОДЫ[[#This Row],[CONTEST_CODE]],"_",AA$2),#REF!,0),MATCH(AA$1,_group_[#Headers],0)),"-")</f>
        <v>-</v>
      </c>
      <c r="AB42" s="1" t="str">
        <f>IFERROR(INDEX(_DATA_[],MATCH(ВСЕ_КОДЫ[[#This Row],[CONTEST_CODE]],_DATA_[CONTEST_CODE],0),MATCH($AB$2,_DATA_[#Headers],0)),"-")</f>
        <v>["""KMKKSB"""]</v>
      </c>
      <c r="AC42" s="1" t="str">
        <f>CONCATENATE(ВСЕ_КОДЫ[[#This Row],[CONTEST_CODE]],"_",ВСЕ_КОДЫ[[#This Row],[TOURNAMENT_CODE]])</f>
        <v>01_2025-0_12-1_1_t_01_2025-0_12-1_1_1001</v>
      </c>
      <c r="AD42" s="1" t="str">
        <f>ВСЕ_КОДЫ[[#This Row],[FULL_NAME]]</f>
        <v>Участник ТОП-проекта цифровой транcформации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idden="1" x14ac:dyDescent="0.25">
      <c r="A43" s="1" t="s">
        <v>2188</v>
      </c>
      <c r="B43" s="1" t="s">
        <v>2524</v>
      </c>
      <c r="C43" s="1" t="s">
        <v>2284</v>
      </c>
      <c r="D43" s="1" t="s">
        <v>583</v>
      </c>
      <c r="E43" s="1" t="s">
        <v>125</v>
      </c>
      <c r="F43" s="1" t="s">
        <v>2508</v>
      </c>
      <c r="G43" s="1" t="s">
        <v>27</v>
      </c>
      <c r="H43" s="1" t="s">
        <v>34</v>
      </c>
      <c r="I43" s="1" t="s">
        <v>35</v>
      </c>
      <c r="J43" s="1" t="s">
        <v>2508</v>
      </c>
      <c r="K43" s="1" t="s">
        <v>2509</v>
      </c>
      <c r="L43" s="1" t="s">
        <v>2510</v>
      </c>
      <c r="M43" s="1" t="s">
        <v>34</v>
      </c>
      <c r="N43" s="1" t="s">
        <v>305</v>
      </c>
      <c r="O43" s="1" t="s">
        <v>684</v>
      </c>
      <c r="P43" s="1"/>
      <c r="Q43" s="1">
        <f>IFERROR(COUNTIFS(_report[TOURNAMENT_CODE],ВСЕ_КОДЫ[[#This Row],[TOURNAMENT_CODE]],_report[CONTEST_CODE],ВСЕ_КОДЫ[[#This Row],[CONTEST_CODE]]),"-")</f>
        <v>0</v>
      </c>
      <c r="R43" s="1" t="str">
        <f>IFERROR(INDEX(_SCHEDULE_[],MATCH(ВСЕ_КОДЫ[[#This Row],[CONTEST_CODE]],_SCHEDULE_[CONTEST_CODE],0),MATCH($R$1,_SCHEDULE_[#Headers],0)),"-")</f>
        <v>АКТИВНЫЙ</v>
      </c>
      <c r="S43" s="1" t="str">
        <f>IFERROR(INDEX(_group_[],MATCH(ВСЕ_КОДЫ[[#This Row],[CONTEST_CODE]],_group_[CONTEST_CODE],0),MATCH($S$1,_group_[#Headers],0)),"-")</f>
        <v>BANK</v>
      </c>
      <c r="T43" s="1" t="str">
        <f>IFERROR(INDEX(_INDICATOR_[],MATCH(ВСЕ_КОДЫ[[#This Row],[CONTEST_CODE]],_INDICATOR_[CONTEST_CODE],0),MATCH($T$1,_INDICATOR_[#Headers],0)),"-")</f>
        <v>PFIMIS_CUSTOMER_ID</v>
      </c>
      <c r="U43" s="1" t="str">
        <f>IFERROR(INDEX(_reward_link_[],MATCH(ВСЕ_КОДЫ[[#This Row],[CONTEST_CODE]],_reward_link_[CONTEST_CODE],0),MATCH($U$1,_reward_link_[#Headers],0)),"-")</f>
        <v>BANK</v>
      </c>
      <c r="V43" s="1" t="str">
        <f>IFERROR(INDEX(_report[],MATCH(ВСЕ_КОДЫ[[#This Row],[CONTEST_CODE]],_report[CONTEST_CODE],0),MATCH($V$1,_report[#Headers],0)),"-")</f>
        <v>-</v>
      </c>
      <c r="W43" s="1" t="str">
        <f>IFERROR(INDEX(_reward_[],MATCH(ВСЕ_КОДЫ[[#This Row],[REWARD_CODE]],_reward_[REWARD_CODE],0),MATCH($W$1,_reward_[#Headers],0)),"-")</f>
        <v>1 клиент с процентными ПФИ</v>
      </c>
      <c r="X43" s="1" t="str">
        <f>IFERROR(INDEX(_group_[],MATCH(CONCATENATE(ВСЕ_КОДЫ[[#This Row],[CONTEST_CODE]],"_",X$2),#REF!,0),MATCH(X$1,_group_[#Headers],0)),"-")</f>
        <v>-</v>
      </c>
      <c r="Y43" s="1" t="str">
        <f>IFERROR(INDEX(_group_[],MATCH(CONCATENATE(ВСЕ_КОДЫ[[#This Row],[CONTEST_CODE]],"_",Y$2),#REF!,0),MATCH(Y$1,_group_[#Headers],0)),"-")</f>
        <v>-</v>
      </c>
      <c r="Z43" s="1" t="str">
        <f>IFERROR(INDEX(_group_[],MATCH(CONCATENATE(ВСЕ_КОДЫ[[#This Row],[CONTEST_CODE]],"_",Z$2),#REF!,0),MATCH(Z$1,_group_[#Headers],0)),"-")</f>
        <v>-</v>
      </c>
      <c r="AA43" s="1" t="str">
        <f>IFERROR(INDEX(_group_[],MATCH(CONCATENATE(ВСЕ_КОДЫ[[#This Row],[CONTEST_CODE]],"_",AA$2),#REF!,0),MATCH(AA$1,_group_[#Headers],0)),"-")</f>
        <v>-</v>
      </c>
      <c r="AB43" s="1" t="str">
        <f>IFERROR(INDEX(_DATA_[],MATCH(ВСЕ_КОДЫ[[#This Row],[CONTEST_CODE]],_DATA_[CONTEST_CODE],0),MATCH($AB$2,_DATA_[#Headers],0)),"-")</f>
        <v>["""KMKKSB"""]</v>
      </c>
      <c r="AC43" s="1" t="str">
        <f>CONCATENATE(ВСЕ_КОДЫ[[#This Row],[CONTEST_CODE]],"_",ВСЕ_КОДЫ[[#This Row],[TOURNAMENT_CODE]])</f>
        <v>01_2025-0_13-1_1_t_01_2025-0_13-1_1_1001</v>
      </c>
      <c r="AD43" s="1" t="str">
        <f>ВСЕ_КОДЫ[[#This Row],[FULL_NAME]]</f>
        <v>CAPMAN 1 клиент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idden="1" x14ac:dyDescent="0.25">
      <c r="A44" s="1" t="s">
        <v>2190</v>
      </c>
      <c r="B44" s="1" t="s">
        <v>2526</v>
      </c>
      <c r="C44" s="1" t="s">
        <v>2286</v>
      </c>
      <c r="D44" s="1" t="s">
        <v>583</v>
      </c>
      <c r="E44" s="1" t="s">
        <v>128</v>
      </c>
      <c r="F44" s="1" t="s">
        <v>2508</v>
      </c>
      <c r="G44" s="1" t="s">
        <v>27</v>
      </c>
      <c r="H44" s="1" t="s">
        <v>34</v>
      </c>
      <c r="I44" s="1" t="s">
        <v>35</v>
      </c>
      <c r="J44" s="1" t="s">
        <v>2508</v>
      </c>
      <c r="K44" s="1" t="s">
        <v>2509</v>
      </c>
      <c r="L44" s="1" t="s">
        <v>2510</v>
      </c>
      <c r="M44" s="1" t="s">
        <v>34</v>
      </c>
      <c r="N44" s="1" t="s">
        <v>305</v>
      </c>
      <c r="O44" s="1" t="s">
        <v>686</v>
      </c>
      <c r="P44" s="1"/>
      <c r="Q44" s="1">
        <f>IFERROR(COUNTIFS(_report[TOURNAMENT_CODE],ВСЕ_КОДЫ[[#This Row],[TOURNAMENT_CODE]],_report[CONTEST_CODE],ВСЕ_КОДЫ[[#This Row],[CONTEST_CODE]]),"-")</f>
        <v>0</v>
      </c>
      <c r="R44" s="1" t="str">
        <f>IFERROR(INDEX(_SCHEDULE_[],MATCH(ВСЕ_КОДЫ[[#This Row],[CONTEST_CODE]],_SCHEDULE_[CONTEST_CODE],0),MATCH($R$1,_SCHEDULE_[#Headers],0)),"-")</f>
        <v>АКТИВНЫЙ</v>
      </c>
      <c r="S44" s="1" t="str">
        <f>IFERROR(INDEX(_group_[],MATCH(ВСЕ_КОДЫ[[#This Row],[CONTEST_CODE]],_group_[CONTEST_CODE],0),MATCH($S$1,_group_[#Headers],0)),"-")</f>
        <v>BANK</v>
      </c>
      <c r="T44" s="1" t="str">
        <f>IFERROR(INDEX(_INDICATOR_[],MATCH(ВСЕ_КОДЫ[[#This Row],[CONTEST_CODE]],_INDICATOR_[CONTEST_CODE],0),MATCH($T$1,_INDICATOR_[#Headers],0)),"-")</f>
        <v>PFIMIS_CUSTOMER_ID</v>
      </c>
      <c r="U44" s="1" t="str">
        <f>IFERROR(INDEX(_reward_link_[],MATCH(ВСЕ_КОДЫ[[#This Row],[CONTEST_CODE]],_reward_link_[CONTEST_CODE],0),MATCH($U$1,_reward_link_[#Headers],0)),"-")</f>
        <v>BANK</v>
      </c>
      <c r="V44" s="1" t="str">
        <f>IFERROR(INDEX(_report[],MATCH(ВСЕ_КОДЫ[[#This Row],[CONTEST_CODE]],_report[CONTEST_CODE],0),MATCH($V$1,_report[#Headers],0)),"-")</f>
        <v>-</v>
      </c>
      <c r="W44" s="1" t="str">
        <f>IFERROR(INDEX(_reward_[],MATCH(ВСЕ_КОДЫ[[#This Row],[REWARD_CODE]],_reward_[REWARD_CODE],0),MATCH($W$1,_reward_[#Headers],0)),"-")</f>
        <v>3 клиента с процентными ПФИ</v>
      </c>
      <c r="X44" s="1" t="str">
        <f>IFERROR(INDEX(_group_[],MATCH(CONCATENATE(ВСЕ_КОДЫ[[#This Row],[CONTEST_CODE]],"_",X$2),#REF!,0),MATCH(X$1,_group_[#Headers],0)),"-")</f>
        <v>-</v>
      </c>
      <c r="Y44" s="1" t="str">
        <f>IFERROR(INDEX(_group_[],MATCH(CONCATENATE(ВСЕ_КОДЫ[[#This Row],[CONTEST_CODE]],"_",Y$2),#REF!,0),MATCH(Y$1,_group_[#Headers],0)),"-")</f>
        <v>-</v>
      </c>
      <c r="Z44" s="1" t="str">
        <f>IFERROR(INDEX(_group_[],MATCH(CONCATENATE(ВСЕ_КОДЫ[[#This Row],[CONTEST_CODE]],"_",Z$2),#REF!,0),MATCH(Z$1,_group_[#Headers],0)),"-")</f>
        <v>-</v>
      </c>
      <c r="AA44" s="1" t="str">
        <f>IFERROR(INDEX(_group_[],MATCH(CONCATENATE(ВСЕ_КОДЫ[[#This Row],[CONTEST_CODE]],"_",AA$2),#REF!,0),MATCH(AA$1,_group_[#Headers],0)),"-")</f>
        <v>-</v>
      </c>
      <c r="AB44" s="1" t="str">
        <f>IFERROR(INDEX(_DATA_[],MATCH(ВСЕ_КОДЫ[[#This Row],[CONTEST_CODE]],_DATA_[CONTEST_CODE],0),MATCH($AB$2,_DATA_[#Headers],0)),"-")</f>
        <v>["""KMKKSB"""]</v>
      </c>
      <c r="AC44" s="1" t="str">
        <f>CONCATENATE(ВСЕ_КОДЫ[[#This Row],[CONTEST_CODE]],"_",ВСЕ_КОДЫ[[#This Row],[TOURNAMENT_CODE]])</f>
        <v>01_2025-0_13-1_2_t_01_2025-0_13-1_2_1001</v>
      </c>
      <c r="AD44" s="1" t="str">
        <f>ВСЕ_КОДЫ[[#This Row],[FULL_NAME]]</f>
        <v>CAPMAN 3 клиента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idden="1" x14ac:dyDescent="0.25">
      <c r="A45" s="1" t="s">
        <v>2192</v>
      </c>
      <c r="B45" s="1" t="s">
        <v>2528</v>
      </c>
      <c r="C45" s="1" t="s">
        <v>2288</v>
      </c>
      <c r="D45" s="1" t="s">
        <v>583</v>
      </c>
      <c r="E45" s="1" t="s">
        <v>131</v>
      </c>
      <c r="F45" s="1" t="s">
        <v>2508</v>
      </c>
      <c r="G45" s="1" t="s">
        <v>27</v>
      </c>
      <c r="H45" s="1" t="s">
        <v>34</v>
      </c>
      <c r="I45" s="1" t="s">
        <v>35</v>
      </c>
      <c r="J45" s="1" t="s">
        <v>2508</v>
      </c>
      <c r="K45" s="1" t="s">
        <v>2509</v>
      </c>
      <c r="L45" s="1" t="s">
        <v>2510</v>
      </c>
      <c r="M45" s="1" t="s">
        <v>34</v>
      </c>
      <c r="N45" s="1" t="s">
        <v>305</v>
      </c>
      <c r="O45" s="1" t="s">
        <v>688</v>
      </c>
      <c r="P45" s="1"/>
      <c r="Q45" s="1">
        <f>IFERROR(COUNTIFS(_report[TOURNAMENT_CODE],ВСЕ_КОДЫ[[#This Row],[TOURNAMENT_CODE]],_report[CONTEST_CODE],ВСЕ_КОДЫ[[#This Row],[CONTEST_CODE]]),"-")</f>
        <v>0</v>
      </c>
      <c r="R45" s="1" t="str">
        <f>IFERROR(INDEX(_SCHEDULE_[],MATCH(ВСЕ_КОДЫ[[#This Row],[CONTEST_CODE]],_SCHEDULE_[CONTEST_CODE],0),MATCH($R$1,_SCHEDULE_[#Headers],0)),"-")</f>
        <v>АКТИВНЫЙ</v>
      </c>
      <c r="S45" s="1" t="str">
        <f>IFERROR(INDEX(_group_[],MATCH(ВСЕ_КОДЫ[[#This Row],[CONTEST_CODE]],_group_[CONTEST_CODE],0),MATCH($S$1,_group_[#Headers],0)),"-")</f>
        <v>BANK</v>
      </c>
      <c r="T45" s="1" t="str">
        <f>IFERROR(INDEX(_INDICATOR_[],MATCH(ВСЕ_КОДЫ[[#This Row],[CONTEST_CODE]],_INDICATOR_[CONTEST_CODE],0),MATCH($T$1,_INDICATOR_[#Headers],0)),"-")</f>
        <v>PFIMIS_CUSTOMER_ID</v>
      </c>
      <c r="U45" s="1" t="str">
        <f>IFERROR(INDEX(_reward_link_[],MATCH(ВСЕ_КОДЫ[[#This Row],[CONTEST_CODE]],_reward_link_[CONTEST_CODE],0),MATCH($U$1,_reward_link_[#Headers],0)),"-")</f>
        <v>BANK</v>
      </c>
      <c r="V45" s="1" t="str">
        <f>IFERROR(INDEX(_report[],MATCH(ВСЕ_КОДЫ[[#This Row],[CONTEST_CODE]],_report[CONTEST_CODE],0),MATCH($V$1,_report[#Headers],0)),"-")</f>
        <v>-</v>
      </c>
      <c r="W45" s="1" t="str">
        <f>IFERROR(INDEX(_reward_[],MATCH(ВСЕ_КОДЫ[[#This Row],[REWARD_CODE]],_reward_[REWARD_CODE],0),MATCH($W$1,_reward_[#Headers],0)),"-")</f>
        <v>10 клиентов с процентными ПФИ</v>
      </c>
      <c r="X45" s="1" t="str">
        <f>IFERROR(INDEX(_group_[],MATCH(CONCATENATE(ВСЕ_КОДЫ[[#This Row],[CONTEST_CODE]],"_",X$2),#REF!,0),MATCH(X$1,_group_[#Headers],0)),"-")</f>
        <v>-</v>
      </c>
      <c r="Y45" s="1" t="str">
        <f>IFERROR(INDEX(_group_[],MATCH(CONCATENATE(ВСЕ_КОДЫ[[#This Row],[CONTEST_CODE]],"_",Y$2),#REF!,0),MATCH(Y$1,_group_[#Headers],0)),"-")</f>
        <v>-</v>
      </c>
      <c r="Z45" s="1" t="str">
        <f>IFERROR(INDEX(_group_[],MATCH(CONCATENATE(ВСЕ_КОДЫ[[#This Row],[CONTEST_CODE]],"_",Z$2),#REF!,0),MATCH(Z$1,_group_[#Headers],0)),"-")</f>
        <v>-</v>
      </c>
      <c r="AA45" s="1" t="str">
        <f>IFERROR(INDEX(_group_[],MATCH(CONCATENATE(ВСЕ_КОДЫ[[#This Row],[CONTEST_CODE]],"_",AA$2),#REF!,0),MATCH(AA$1,_group_[#Headers],0)),"-")</f>
        <v>-</v>
      </c>
      <c r="AB45" s="1" t="str">
        <f>IFERROR(INDEX(_DATA_[],MATCH(ВСЕ_КОДЫ[[#This Row],[CONTEST_CODE]],_DATA_[CONTEST_CODE],0),MATCH($AB$2,_DATA_[#Headers],0)),"-")</f>
        <v>["""KMKKSB"""]</v>
      </c>
      <c r="AC45" s="1" t="str">
        <f>CONCATENATE(ВСЕ_КОДЫ[[#This Row],[CONTEST_CODE]],"_",ВСЕ_КОДЫ[[#This Row],[TOURNAMENT_CODE]])</f>
        <v>01_2025-0_13-1_3_t_01_2025-0_13-1_3_1001</v>
      </c>
      <c r="AD45" s="1" t="str">
        <f>ВСЕ_КОДЫ[[#This Row],[FULL_NAME]]</f>
        <v>CAPMAN 10 клиентов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idden="1" x14ac:dyDescent="0.25">
      <c r="A46" s="1" t="s">
        <v>2172</v>
      </c>
      <c r="B46" s="1" t="s">
        <v>2537</v>
      </c>
      <c r="C46" s="1" t="s">
        <v>2298</v>
      </c>
      <c r="D46" s="1" t="s">
        <v>583</v>
      </c>
      <c r="E46" s="1" t="s">
        <v>95</v>
      </c>
      <c r="F46" s="1" t="s">
        <v>2508</v>
      </c>
      <c r="G46" s="1" t="s">
        <v>2542</v>
      </c>
      <c r="H46" s="1" t="s">
        <v>34</v>
      </c>
      <c r="I46" s="1" t="s">
        <v>50</v>
      </c>
      <c r="J46" s="1" t="s">
        <v>2521</v>
      </c>
      <c r="K46" s="1" t="s">
        <v>2522</v>
      </c>
      <c r="L46" s="1" t="s">
        <v>4119</v>
      </c>
      <c r="M46" s="1" t="s">
        <v>176</v>
      </c>
      <c r="N46" s="1" t="s">
        <v>305</v>
      </c>
      <c r="O46" s="1" t="s">
        <v>2671</v>
      </c>
      <c r="P46" s="1"/>
      <c r="Q46" s="1">
        <f>IFERROR(COUNTIFS(_report[TOURNAMENT_CODE],ВСЕ_КОДЫ[[#This Row],[TOURNAMENT_CODE]],_report[CONTEST_CODE],ВСЕ_КОДЫ[[#This Row],[CONTEST_CODE]]),"-")</f>
        <v>0</v>
      </c>
      <c r="R46" s="1" t="str">
        <f>IFERROR(INDEX(_SCHEDULE_[],MATCH(ВСЕ_КОДЫ[[#This Row],[CONTEST_CODE]],_SCHEDULE_[CONTEST_CODE],0),MATCH($R$1,_SCHEDULE_[#Headers],0)),"-")</f>
        <v>ЗАВЕРШЕН</v>
      </c>
      <c r="S46" s="1" t="str">
        <f>IFERROR(INDEX(_group_[],MATCH(ВСЕ_КОДЫ[[#This Row],[CONTEST_CODE]],_group_[CONTEST_CODE],0),MATCH($S$1,_group_[#Headers],0)),"-")</f>
        <v>BANK</v>
      </c>
      <c r="T46" s="1" t="str">
        <f>IFERROR(INDEX(_INDICATOR_[],MATCH(ВСЕ_КОДЫ[[#This Row],[CONTEST_CODE]],_INDICATOR_[CONTEST_CODE],0),MATCH($T$1,_INDICATOR_[#Headers],0)),"-")</f>
        <v>PULMIS_BALANCE_OUT_RUB</v>
      </c>
      <c r="U46" s="1" t="str">
        <f>IFERROR(INDEX(_reward_link_[],MATCH(ВСЕ_КОДЫ[[#This Row],[CONTEST_CODE]],_reward_link_[CONTEST_CODE],0),MATCH($U$1,_reward_link_[#Headers],0)),"-")</f>
        <v>BANK</v>
      </c>
      <c r="V46" s="1" t="str">
        <f>IFERROR(INDEX(_report[],MATCH(ВСЕ_КОДЫ[[#This Row],[CONTEST_CODE]],_report[CONTEST_CODE],0),MATCH($V$1,_report[#Headers],0)),"-")</f>
        <v>-</v>
      </c>
      <c r="W46" s="1" t="str">
        <f>IFERROR(INDEX(_reward_[],MATCH(ВСЕ_КОДЫ[[#This Row],[REWARD_CODE]],_reward_[REWARD_CODE],0),MATCH($W$1,_reward_[#Headers],0)),"-")</f>
        <v>Золото#по приросту остатка Пассивов</v>
      </c>
      <c r="X46" s="1" t="str">
        <f>IFERROR(INDEX(_group_[],MATCH(CONCATENATE(ВСЕ_КОДЫ[[#This Row],[CONTEST_CODE]],"_",X$2),#REF!,0),MATCH(X$1,_group_[#Headers],0)),"-")</f>
        <v>-</v>
      </c>
      <c r="Y46" s="1" t="str">
        <f>IFERROR(INDEX(_group_[],MATCH(CONCATENATE(ВСЕ_КОДЫ[[#This Row],[CONTEST_CODE]],"_",Y$2),#REF!,0),MATCH(Y$1,_group_[#Headers],0)),"-")</f>
        <v>-</v>
      </c>
      <c r="Z46" s="1" t="str">
        <f>IFERROR(INDEX(_group_[],MATCH(CONCATENATE(ВСЕ_КОДЫ[[#This Row],[CONTEST_CODE]],"_",Z$2),#REF!,0),MATCH(Z$1,_group_[#Headers],0)),"-")</f>
        <v>-</v>
      </c>
      <c r="AA46" s="1" t="str">
        <f>IFERROR(INDEX(_group_[],MATCH(CONCATENATE(ВСЕ_КОДЫ[[#This Row],[CONTEST_CODE]],"_",AA$2),#REF!,0),MATCH(AA$1,_group_[#Headers],0)),"-")</f>
        <v>-</v>
      </c>
      <c r="AB46" s="1" t="str">
        <f>IFERROR(INDEX(_DATA_[],MATCH(ВСЕ_КОДЫ[[#This Row],[CONTEST_CODE]],_DATA_[CONTEST_CODE],0),MATCH($AB$2,_DATA_[#Headers],0)),"-")</f>
        <v>["""KMKKSB"""]</v>
      </c>
      <c r="AC46" s="1" t="str">
        <f>CONCATENATE(ВСЕ_КОДЫ[[#This Row],[CONTEST_CODE]],"_",ВСЕ_КОДЫ[[#This Row],[TOURNAMENT_CODE]])</f>
        <v>01_2025-1_02-1_1_t_01_2025-1_02-1_1_3021</v>
      </c>
      <c r="AD46" s="1" t="str">
        <f>ВСЕ_КОДЫ[[#This Row],[FULL_NAME]]</f>
        <v>Пассивы. Максимизируй прирост остатка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idden="1" x14ac:dyDescent="0.25">
      <c r="A47" s="1" t="s">
        <v>2172</v>
      </c>
      <c r="B47" s="1" t="s">
        <v>3223</v>
      </c>
      <c r="C47" s="1" t="s">
        <v>2298</v>
      </c>
      <c r="D47" s="1" t="s">
        <v>583</v>
      </c>
      <c r="E47" s="1" t="s">
        <v>95</v>
      </c>
      <c r="F47" s="1" t="s">
        <v>2508</v>
      </c>
      <c r="G47" s="1" t="s">
        <v>2542</v>
      </c>
      <c r="H47" s="1" t="s">
        <v>34</v>
      </c>
      <c r="I47" s="1" t="s">
        <v>50</v>
      </c>
      <c r="J47" s="1" t="s">
        <v>3219</v>
      </c>
      <c r="K47" s="1" t="s">
        <v>2534</v>
      </c>
      <c r="L47" s="1" t="s">
        <v>2535</v>
      </c>
      <c r="M47" s="1" t="s">
        <v>176</v>
      </c>
      <c r="N47" s="1" t="s">
        <v>305</v>
      </c>
      <c r="O47" s="1" t="s">
        <v>2671</v>
      </c>
      <c r="P47" s="1"/>
      <c r="Q47" s="1">
        <f>IFERROR(COUNTIFS(_report[TOURNAMENT_CODE],ВСЕ_КОДЫ[[#This Row],[TOURNAMENT_CODE]],_report[CONTEST_CODE],ВСЕ_КОДЫ[[#This Row],[CONTEST_CODE]]),"-")</f>
        <v>0</v>
      </c>
      <c r="R47" s="1" t="str">
        <f>IFERROR(INDEX(_SCHEDULE_[],MATCH(ВСЕ_КОДЫ[[#This Row],[CONTEST_CODE]],_SCHEDULE_[CONTEST_CODE],0),MATCH($R$1,_SCHEDULE_[#Headers],0)),"-")</f>
        <v>ЗАВЕРШЕН</v>
      </c>
      <c r="S47" s="1" t="str">
        <f>IFERROR(INDEX(_group_[],MATCH(ВСЕ_КОДЫ[[#This Row],[CONTEST_CODE]],_group_[CONTEST_CODE],0),MATCH($S$1,_group_[#Headers],0)),"-")</f>
        <v>BANK</v>
      </c>
      <c r="T47" s="1" t="str">
        <f>IFERROR(INDEX(_INDICATOR_[],MATCH(ВСЕ_КОДЫ[[#This Row],[CONTEST_CODE]],_INDICATOR_[CONTEST_CODE],0),MATCH($T$1,_INDICATOR_[#Headers],0)),"-")</f>
        <v>PULMIS_BALANCE_OUT_RUB</v>
      </c>
      <c r="U47" s="1" t="str">
        <f>IFERROR(INDEX(_reward_link_[],MATCH(ВСЕ_КОДЫ[[#This Row],[CONTEST_CODE]],_reward_link_[CONTEST_CODE],0),MATCH($U$1,_reward_link_[#Headers],0)),"-")</f>
        <v>BANK</v>
      </c>
      <c r="V47" s="1" t="str">
        <f>IFERROR(INDEX(_report[],MATCH(ВСЕ_КОДЫ[[#This Row],[CONTEST_CODE]],_report[CONTEST_CODE],0),MATCH($V$1,_report[#Headers],0)),"-")</f>
        <v>-</v>
      </c>
      <c r="W47" s="1" t="str">
        <f>IFERROR(INDEX(_reward_[],MATCH(ВСЕ_КОДЫ[[#This Row],[REWARD_CODE]],_reward_[REWARD_CODE],0),MATCH($W$1,_reward_[#Headers],0)),"-")</f>
        <v>Золото#по приросту остатка Пассивов</v>
      </c>
      <c r="X47" s="1" t="str">
        <f>IFERROR(INDEX(_group_[],MATCH(CONCATENATE(ВСЕ_КОДЫ[[#This Row],[CONTEST_CODE]],"_",X$2),#REF!,0),MATCH(X$1,_group_[#Headers],0)),"-")</f>
        <v>-</v>
      </c>
      <c r="Y47" s="1" t="str">
        <f>IFERROR(INDEX(_group_[],MATCH(CONCATENATE(ВСЕ_КОДЫ[[#This Row],[CONTEST_CODE]],"_",Y$2),#REF!,0),MATCH(Y$1,_group_[#Headers],0)),"-")</f>
        <v>-</v>
      </c>
      <c r="Z47" s="1" t="str">
        <f>IFERROR(INDEX(_group_[],MATCH(CONCATENATE(ВСЕ_КОДЫ[[#This Row],[CONTEST_CODE]],"_",Z$2),#REF!,0),MATCH(Z$1,_group_[#Headers],0)),"-")</f>
        <v>-</v>
      </c>
      <c r="AA47" s="1" t="str">
        <f>IFERROR(INDEX(_group_[],MATCH(CONCATENATE(ВСЕ_КОДЫ[[#This Row],[CONTEST_CODE]],"_",AA$2),#REF!,0),MATCH(AA$1,_group_[#Headers],0)),"-")</f>
        <v>-</v>
      </c>
      <c r="AB47" s="1" t="str">
        <f>IFERROR(INDEX(_DATA_[],MATCH(ВСЕ_КОДЫ[[#This Row],[CONTEST_CODE]],_DATA_[CONTEST_CODE],0),MATCH($AB$2,_DATA_[#Headers],0)),"-")</f>
        <v>["""KMKKSB"""]</v>
      </c>
      <c r="AC47" s="1" t="str">
        <f>CONCATENATE(ВСЕ_КОДЫ[[#This Row],[CONTEST_CODE]],"_",ВСЕ_КОДЫ[[#This Row],[TOURNAMENT_CODE]])</f>
        <v>01_2025-1_02-1_1_t_01_2025-1_02-1_1_3031</v>
      </c>
      <c r="AD47" s="1" t="str">
        <f>ВСЕ_КОДЫ[[#This Row],[FULL_NAME]]</f>
        <v>Пассивы. Максимизируй прирост остатка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idden="1" x14ac:dyDescent="0.25">
      <c r="A48" s="1" t="s">
        <v>2172</v>
      </c>
      <c r="B48" s="1" t="s">
        <v>2537</v>
      </c>
      <c r="C48" s="1" t="s">
        <v>2300</v>
      </c>
      <c r="D48" s="1" t="s">
        <v>583</v>
      </c>
      <c r="E48" s="1" t="s">
        <v>95</v>
      </c>
      <c r="F48" s="1" t="s">
        <v>2508</v>
      </c>
      <c r="G48" s="1" t="s">
        <v>2542</v>
      </c>
      <c r="H48" s="1" t="s">
        <v>34</v>
      </c>
      <c r="I48" s="1" t="s">
        <v>50</v>
      </c>
      <c r="J48" s="1" t="s">
        <v>2521</v>
      </c>
      <c r="K48" s="1" t="s">
        <v>2522</v>
      </c>
      <c r="L48" s="1" t="s">
        <v>4119</v>
      </c>
      <c r="M48" s="1" t="s">
        <v>176</v>
      </c>
      <c r="N48" s="1" t="s">
        <v>305</v>
      </c>
      <c r="O48" s="1" t="s">
        <v>2673</v>
      </c>
      <c r="P48" s="1"/>
      <c r="Q48" s="1">
        <f>IFERROR(COUNTIFS(_report[TOURNAMENT_CODE],ВСЕ_КОДЫ[[#This Row],[TOURNAMENT_CODE]],_report[CONTEST_CODE],ВСЕ_КОДЫ[[#This Row],[CONTEST_CODE]]),"-")</f>
        <v>0</v>
      </c>
      <c r="R48" s="1" t="str">
        <f>IFERROR(INDEX(_SCHEDULE_[],MATCH(ВСЕ_КОДЫ[[#This Row],[CONTEST_CODE]],_SCHEDULE_[CONTEST_CODE],0),MATCH($R$1,_SCHEDULE_[#Headers],0)),"-")</f>
        <v>ЗАВЕРШЕН</v>
      </c>
      <c r="S48" s="1" t="str">
        <f>IFERROR(INDEX(_group_[],MATCH(ВСЕ_КОДЫ[[#This Row],[CONTEST_CODE]],_group_[CONTEST_CODE],0),MATCH($S$1,_group_[#Headers],0)),"-")</f>
        <v>BANK</v>
      </c>
      <c r="T48" s="1" t="str">
        <f>IFERROR(INDEX(_INDICATOR_[],MATCH(ВСЕ_КОДЫ[[#This Row],[CONTEST_CODE]],_INDICATOR_[CONTEST_CODE],0),MATCH($T$1,_INDICATOR_[#Headers],0)),"-")</f>
        <v>PULMIS_BALANCE_OUT_RUB</v>
      </c>
      <c r="U48" s="1" t="str">
        <f>IFERROR(INDEX(_reward_link_[],MATCH(ВСЕ_КОДЫ[[#This Row],[CONTEST_CODE]],_reward_link_[CONTEST_CODE],0),MATCH($U$1,_reward_link_[#Headers],0)),"-")</f>
        <v>BANK</v>
      </c>
      <c r="V48" s="1" t="str">
        <f>IFERROR(INDEX(_report[],MATCH(ВСЕ_КОДЫ[[#This Row],[CONTEST_CODE]],_report[CONTEST_CODE],0),MATCH($V$1,_report[#Headers],0)),"-")</f>
        <v>-</v>
      </c>
      <c r="W48" s="1" t="str">
        <f>IFERROR(INDEX(_reward_[],MATCH(ВСЕ_КОДЫ[[#This Row],[REWARD_CODE]],_reward_[REWARD_CODE],0),MATCH($W$1,_reward_[#Headers],0)),"-")</f>
        <v>Серебро#по приросту остатка Пассивов</v>
      </c>
      <c r="X48" s="1" t="str">
        <f>IFERROR(INDEX(_group_[],MATCH(CONCATENATE(ВСЕ_КОДЫ[[#This Row],[CONTEST_CODE]],"_",X$2),#REF!,0),MATCH(X$1,_group_[#Headers],0)),"-")</f>
        <v>-</v>
      </c>
      <c r="Y48" s="1" t="str">
        <f>IFERROR(INDEX(_group_[],MATCH(CONCATENATE(ВСЕ_КОДЫ[[#This Row],[CONTEST_CODE]],"_",Y$2),#REF!,0),MATCH(Y$1,_group_[#Headers],0)),"-")</f>
        <v>-</v>
      </c>
      <c r="Z48" s="1" t="str">
        <f>IFERROR(INDEX(_group_[],MATCH(CONCATENATE(ВСЕ_КОДЫ[[#This Row],[CONTEST_CODE]],"_",Z$2),#REF!,0),MATCH(Z$1,_group_[#Headers],0)),"-")</f>
        <v>-</v>
      </c>
      <c r="AA48" s="1" t="str">
        <f>IFERROR(INDEX(_group_[],MATCH(CONCATENATE(ВСЕ_КОДЫ[[#This Row],[CONTEST_CODE]],"_",AA$2),#REF!,0),MATCH(AA$1,_group_[#Headers],0)),"-")</f>
        <v>-</v>
      </c>
      <c r="AB48" s="1" t="str">
        <f>IFERROR(INDEX(_DATA_[],MATCH(ВСЕ_КОДЫ[[#This Row],[CONTEST_CODE]],_DATA_[CONTEST_CODE],0),MATCH($AB$2,_DATA_[#Headers],0)),"-")</f>
        <v>["""KMKKSB"""]</v>
      </c>
      <c r="AC48" s="1" t="str">
        <f>CONCATENATE(ВСЕ_КОДЫ[[#This Row],[CONTEST_CODE]],"_",ВСЕ_КОДЫ[[#This Row],[TOURNAMENT_CODE]])</f>
        <v>01_2025-1_02-1_1_t_01_2025-1_02-1_1_3021</v>
      </c>
      <c r="AD48" s="1" t="str">
        <f>ВСЕ_КОДЫ[[#This Row],[FULL_NAME]]</f>
        <v>Пассивы. Максимизируй прирост остатка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idden="1" x14ac:dyDescent="0.25">
      <c r="A49" s="1" t="s">
        <v>2172</v>
      </c>
      <c r="B49" s="1" t="s">
        <v>3223</v>
      </c>
      <c r="C49" s="1" t="s">
        <v>2300</v>
      </c>
      <c r="D49" s="1" t="s">
        <v>583</v>
      </c>
      <c r="E49" s="1" t="s">
        <v>95</v>
      </c>
      <c r="F49" s="1" t="s">
        <v>2508</v>
      </c>
      <c r="G49" s="1" t="s">
        <v>2542</v>
      </c>
      <c r="H49" s="1" t="s">
        <v>34</v>
      </c>
      <c r="I49" s="1" t="s">
        <v>50</v>
      </c>
      <c r="J49" s="1" t="s">
        <v>3219</v>
      </c>
      <c r="K49" s="1" t="s">
        <v>2534</v>
      </c>
      <c r="L49" s="1" t="s">
        <v>2535</v>
      </c>
      <c r="M49" s="1" t="s">
        <v>176</v>
      </c>
      <c r="N49" s="1" t="s">
        <v>305</v>
      </c>
      <c r="O49" s="1" t="s">
        <v>2673</v>
      </c>
      <c r="P49" s="1"/>
      <c r="Q49" s="1">
        <f>IFERROR(COUNTIFS(_report[TOURNAMENT_CODE],ВСЕ_КОДЫ[[#This Row],[TOURNAMENT_CODE]],_report[CONTEST_CODE],ВСЕ_КОДЫ[[#This Row],[CONTEST_CODE]]),"-")</f>
        <v>0</v>
      </c>
      <c r="R49" s="1" t="str">
        <f>IFERROR(INDEX(_SCHEDULE_[],MATCH(ВСЕ_КОДЫ[[#This Row],[CONTEST_CODE]],_SCHEDULE_[CONTEST_CODE],0),MATCH($R$1,_SCHEDULE_[#Headers],0)),"-")</f>
        <v>ЗАВЕРШЕН</v>
      </c>
      <c r="S49" s="1" t="str">
        <f>IFERROR(INDEX(_group_[],MATCH(ВСЕ_КОДЫ[[#This Row],[CONTEST_CODE]],_group_[CONTEST_CODE],0),MATCH($S$1,_group_[#Headers],0)),"-")</f>
        <v>BANK</v>
      </c>
      <c r="T49" s="1" t="str">
        <f>IFERROR(INDEX(_INDICATOR_[],MATCH(ВСЕ_КОДЫ[[#This Row],[CONTEST_CODE]],_INDICATOR_[CONTEST_CODE],0),MATCH($T$1,_INDICATOR_[#Headers],0)),"-")</f>
        <v>PULMIS_BALANCE_OUT_RUB</v>
      </c>
      <c r="U49" s="1" t="str">
        <f>IFERROR(INDEX(_reward_link_[],MATCH(ВСЕ_КОДЫ[[#This Row],[CONTEST_CODE]],_reward_link_[CONTEST_CODE],0),MATCH($U$1,_reward_link_[#Headers],0)),"-")</f>
        <v>BANK</v>
      </c>
      <c r="V49" s="1" t="str">
        <f>IFERROR(INDEX(_report[],MATCH(ВСЕ_КОДЫ[[#This Row],[CONTEST_CODE]],_report[CONTEST_CODE],0),MATCH($V$1,_report[#Headers],0)),"-")</f>
        <v>-</v>
      </c>
      <c r="W49" s="1" t="str">
        <f>IFERROR(INDEX(_reward_[],MATCH(ВСЕ_КОДЫ[[#This Row],[REWARD_CODE]],_reward_[REWARD_CODE],0),MATCH($W$1,_reward_[#Headers],0)),"-")</f>
        <v>Серебро#по приросту остатка Пассивов</v>
      </c>
      <c r="X49" s="1" t="str">
        <f>IFERROR(INDEX(_group_[],MATCH(CONCATENATE(ВСЕ_КОДЫ[[#This Row],[CONTEST_CODE]],"_",X$2),#REF!,0),MATCH(X$1,_group_[#Headers],0)),"-")</f>
        <v>-</v>
      </c>
      <c r="Y49" s="1" t="str">
        <f>IFERROR(INDEX(_group_[],MATCH(CONCATENATE(ВСЕ_КОДЫ[[#This Row],[CONTEST_CODE]],"_",Y$2),#REF!,0),MATCH(Y$1,_group_[#Headers],0)),"-")</f>
        <v>-</v>
      </c>
      <c r="Z49" s="1" t="str">
        <f>IFERROR(INDEX(_group_[],MATCH(CONCATENATE(ВСЕ_КОДЫ[[#This Row],[CONTEST_CODE]],"_",Z$2),#REF!,0),MATCH(Z$1,_group_[#Headers],0)),"-")</f>
        <v>-</v>
      </c>
      <c r="AA49" s="1" t="str">
        <f>IFERROR(INDEX(_group_[],MATCH(CONCATENATE(ВСЕ_КОДЫ[[#This Row],[CONTEST_CODE]],"_",AA$2),#REF!,0),MATCH(AA$1,_group_[#Headers],0)),"-")</f>
        <v>-</v>
      </c>
      <c r="AB49" s="1" t="str">
        <f>IFERROR(INDEX(_DATA_[],MATCH(ВСЕ_КОДЫ[[#This Row],[CONTEST_CODE]],_DATA_[CONTEST_CODE],0),MATCH($AB$2,_DATA_[#Headers],0)),"-")</f>
        <v>["""KMKKSB"""]</v>
      </c>
      <c r="AC49" s="1" t="str">
        <f>CONCATENATE(ВСЕ_КОДЫ[[#This Row],[CONTEST_CODE]],"_",ВСЕ_КОДЫ[[#This Row],[TOURNAMENT_CODE]])</f>
        <v>01_2025-1_02-1_1_t_01_2025-1_02-1_1_3031</v>
      </c>
      <c r="AD49" s="1" t="str">
        <f>ВСЕ_КОДЫ[[#This Row],[FULL_NAME]]</f>
        <v>Пассивы. Максимизируй прирост остатка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idden="1" x14ac:dyDescent="0.25">
      <c r="A50" s="1" t="s">
        <v>2172</v>
      </c>
      <c r="B50" s="1" t="s">
        <v>2537</v>
      </c>
      <c r="C50" s="1" t="s">
        <v>2675</v>
      </c>
      <c r="D50" s="1" t="s">
        <v>586</v>
      </c>
      <c r="E50" s="1" t="s">
        <v>95</v>
      </c>
      <c r="F50" s="1" t="s">
        <v>2508</v>
      </c>
      <c r="G50" s="1" t="s">
        <v>2542</v>
      </c>
      <c r="H50" s="1" t="s">
        <v>34</v>
      </c>
      <c r="I50" s="1" t="s">
        <v>50</v>
      </c>
      <c r="J50" s="1" t="s">
        <v>2521</v>
      </c>
      <c r="K50" s="1" t="s">
        <v>2522</v>
      </c>
      <c r="L50" s="1" t="s">
        <v>4119</v>
      </c>
      <c r="M50" s="1" t="s">
        <v>176</v>
      </c>
      <c r="N50" s="1" t="s">
        <v>305</v>
      </c>
      <c r="O50" s="1" t="s">
        <v>2676</v>
      </c>
      <c r="P50" s="1"/>
      <c r="Q50" s="1">
        <f>IFERROR(COUNTIFS(_report[TOURNAMENT_CODE],ВСЕ_КОДЫ[[#This Row],[TOURNAMENT_CODE]],_report[CONTEST_CODE],ВСЕ_КОДЫ[[#This Row],[CONTEST_CODE]]),"-")</f>
        <v>0</v>
      </c>
      <c r="R50" s="1" t="str">
        <f>IFERROR(INDEX(_SCHEDULE_[],MATCH(ВСЕ_КОДЫ[[#This Row],[CONTEST_CODE]],_SCHEDULE_[CONTEST_CODE],0),MATCH($R$1,_SCHEDULE_[#Headers],0)),"-")</f>
        <v>ЗАВЕРШЕН</v>
      </c>
      <c r="S50" s="1" t="str">
        <f>IFERROR(INDEX(_group_[],MATCH(ВСЕ_КОДЫ[[#This Row],[CONTEST_CODE]],_group_[CONTEST_CODE],0),MATCH($S$1,_group_[#Headers],0)),"-")</f>
        <v>BANK</v>
      </c>
      <c r="T50" s="1" t="str">
        <f>IFERROR(INDEX(_INDICATOR_[],MATCH(ВСЕ_КОДЫ[[#This Row],[CONTEST_CODE]],_INDICATOR_[CONTEST_CODE],0),MATCH($T$1,_INDICATOR_[#Headers],0)),"-")</f>
        <v>PULMIS_BALANCE_OUT_RUB</v>
      </c>
      <c r="U50" s="1" t="str">
        <f>IFERROR(INDEX(_reward_link_[],MATCH(ВСЕ_КОДЫ[[#This Row],[CONTEST_CODE]],_reward_link_[CONTEST_CODE],0),MATCH($U$1,_reward_link_[#Headers],0)),"-")</f>
        <v>BANK</v>
      </c>
      <c r="V50" s="1" t="str">
        <f>IFERROR(INDEX(_report[],MATCH(ВСЕ_КОДЫ[[#This Row],[CONTEST_CODE]],_report[CONTEST_CODE],0),MATCH($V$1,_report[#Headers],0)),"-")</f>
        <v>-</v>
      </c>
      <c r="W50" s="1" t="str">
        <f>IFERROR(INDEX(_reward_[],MATCH(ВСЕ_КОДЫ[[#This Row],[REWARD_CODE]],_reward_[REWARD_CODE],0),MATCH($W$1,_reward_[#Headers],0)),"-")</f>
        <v>Бронза#по приросту остатка Пассивов</v>
      </c>
      <c r="X50" s="1" t="str">
        <f>IFERROR(INDEX(_group_[],MATCH(CONCATENATE(ВСЕ_КОДЫ[[#This Row],[CONTEST_CODE]],"_",X$2),#REF!,0),MATCH(X$1,_group_[#Headers],0)),"-")</f>
        <v>-</v>
      </c>
      <c r="Y50" s="1" t="str">
        <f>IFERROR(INDEX(_group_[],MATCH(CONCATENATE(ВСЕ_КОДЫ[[#This Row],[CONTEST_CODE]],"_",Y$2),#REF!,0),MATCH(Y$1,_group_[#Headers],0)),"-")</f>
        <v>-</v>
      </c>
      <c r="Z50" s="1" t="str">
        <f>IFERROR(INDEX(_group_[],MATCH(CONCATENATE(ВСЕ_КОДЫ[[#This Row],[CONTEST_CODE]],"_",Z$2),#REF!,0),MATCH(Z$1,_group_[#Headers],0)),"-")</f>
        <v>-</v>
      </c>
      <c r="AA50" s="1" t="str">
        <f>IFERROR(INDEX(_group_[],MATCH(CONCATENATE(ВСЕ_КОДЫ[[#This Row],[CONTEST_CODE]],"_",AA$2),#REF!,0),MATCH(AA$1,_group_[#Headers],0)),"-")</f>
        <v>-</v>
      </c>
      <c r="AB50" s="1" t="str">
        <f>IFERROR(INDEX(_DATA_[],MATCH(ВСЕ_КОДЫ[[#This Row],[CONTEST_CODE]],_DATA_[CONTEST_CODE],0),MATCH($AB$2,_DATA_[#Headers],0)),"-")</f>
        <v>["""KMKKSB"""]</v>
      </c>
      <c r="AC50" s="1" t="str">
        <f>CONCATENATE(ВСЕ_КОДЫ[[#This Row],[CONTEST_CODE]],"_",ВСЕ_КОДЫ[[#This Row],[TOURNAMENT_CODE]])</f>
        <v>01_2025-1_02-1_1_t_01_2025-1_02-1_1_3021</v>
      </c>
      <c r="AD50" s="1" t="str">
        <f>ВСЕ_КОДЫ[[#This Row],[FULL_NAME]]</f>
        <v>Пассивы. Максимизируй прирост остатка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idden="1" x14ac:dyDescent="0.25">
      <c r="A51" s="1" t="s">
        <v>2172</v>
      </c>
      <c r="B51" s="1" t="s">
        <v>3223</v>
      </c>
      <c r="C51" s="1" t="s">
        <v>2675</v>
      </c>
      <c r="D51" s="1" t="s">
        <v>586</v>
      </c>
      <c r="E51" s="1" t="s">
        <v>95</v>
      </c>
      <c r="F51" s="1" t="s">
        <v>2508</v>
      </c>
      <c r="G51" s="1" t="s">
        <v>2542</v>
      </c>
      <c r="H51" s="1" t="s">
        <v>34</v>
      </c>
      <c r="I51" s="1" t="s">
        <v>50</v>
      </c>
      <c r="J51" s="1" t="s">
        <v>3219</v>
      </c>
      <c r="K51" s="1" t="s">
        <v>2534</v>
      </c>
      <c r="L51" s="1" t="s">
        <v>2535</v>
      </c>
      <c r="M51" s="1" t="s">
        <v>176</v>
      </c>
      <c r="N51" s="1" t="s">
        <v>305</v>
      </c>
      <c r="O51" s="1" t="s">
        <v>2676</v>
      </c>
      <c r="P51" s="1"/>
      <c r="Q51" s="1">
        <f>IFERROR(COUNTIFS(_report[TOURNAMENT_CODE],ВСЕ_КОДЫ[[#This Row],[TOURNAMENT_CODE]],_report[CONTEST_CODE],ВСЕ_КОДЫ[[#This Row],[CONTEST_CODE]]),"-")</f>
        <v>0</v>
      </c>
      <c r="R51" s="1" t="str">
        <f>IFERROR(INDEX(_SCHEDULE_[],MATCH(ВСЕ_КОДЫ[[#This Row],[CONTEST_CODE]],_SCHEDULE_[CONTEST_CODE],0),MATCH($R$1,_SCHEDULE_[#Headers],0)),"-")</f>
        <v>ЗАВЕРШЕН</v>
      </c>
      <c r="S51" s="1" t="str">
        <f>IFERROR(INDEX(_group_[],MATCH(ВСЕ_КОДЫ[[#This Row],[CONTEST_CODE]],_group_[CONTEST_CODE],0),MATCH($S$1,_group_[#Headers],0)),"-")</f>
        <v>BANK</v>
      </c>
      <c r="T51" s="1" t="str">
        <f>IFERROR(INDEX(_INDICATOR_[],MATCH(ВСЕ_КОДЫ[[#This Row],[CONTEST_CODE]],_INDICATOR_[CONTEST_CODE],0),MATCH($T$1,_INDICATOR_[#Headers],0)),"-")</f>
        <v>PULMIS_BALANCE_OUT_RUB</v>
      </c>
      <c r="U51" s="1" t="str">
        <f>IFERROR(INDEX(_reward_link_[],MATCH(ВСЕ_КОДЫ[[#This Row],[CONTEST_CODE]],_reward_link_[CONTEST_CODE],0),MATCH($U$1,_reward_link_[#Headers],0)),"-")</f>
        <v>BANK</v>
      </c>
      <c r="V51" s="1" t="str">
        <f>IFERROR(INDEX(_report[],MATCH(ВСЕ_КОДЫ[[#This Row],[CONTEST_CODE]],_report[CONTEST_CODE],0),MATCH($V$1,_report[#Headers],0)),"-")</f>
        <v>-</v>
      </c>
      <c r="W51" s="1" t="str">
        <f>IFERROR(INDEX(_reward_[],MATCH(ВСЕ_КОДЫ[[#This Row],[REWARD_CODE]],_reward_[REWARD_CODE],0),MATCH($W$1,_reward_[#Headers],0)),"-")</f>
        <v>Бронза#по приросту остатка Пассивов</v>
      </c>
      <c r="X51" s="1" t="str">
        <f>IFERROR(INDEX(_group_[],MATCH(CONCATENATE(ВСЕ_КОДЫ[[#This Row],[CONTEST_CODE]],"_",X$2),#REF!,0),MATCH(X$1,_group_[#Headers],0)),"-")</f>
        <v>-</v>
      </c>
      <c r="Y51" s="1" t="str">
        <f>IFERROR(INDEX(_group_[],MATCH(CONCATENATE(ВСЕ_КОДЫ[[#This Row],[CONTEST_CODE]],"_",Y$2),#REF!,0),MATCH(Y$1,_group_[#Headers],0)),"-")</f>
        <v>-</v>
      </c>
      <c r="Z51" s="1" t="str">
        <f>IFERROR(INDEX(_group_[],MATCH(CONCATENATE(ВСЕ_КОДЫ[[#This Row],[CONTEST_CODE]],"_",Z$2),#REF!,0),MATCH(Z$1,_group_[#Headers],0)),"-")</f>
        <v>-</v>
      </c>
      <c r="AA51" s="1" t="str">
        <f>IFERROR(INDEX(_group_[],MATCH(CONCATENATE(ВСЕ_КОДЫ[[#This Row],[CONTEST_CODE]],"_",AA$2),#REF!,0),MATCH(AA$1,_group_[#Headers],0)),"-")</f>
        <v>-</v>
      </c>
      <c r="AB51" s="1" t="str">
        <f>IFERROR(INDEX(_DATA_[],MATCH(ВСЕ_КОДЫ[[#This Row],[CONTEST_CODE]],_DATA_[CONTEST_CODE],0),MATCH($AB$2,_DATA_[#Headers],0)),"-")</f>
        <v>["""KMKKSB"""]</v>
      </c>
      <c r="AC51" s="1" t="str">
        <f>CONCATENATE(ВСЕ_КОДЫ[[#This Row],[CONTEST_CODE]],"_",ВСЕ_КОДЫ[[#This Row],[TOURNAMENT_CODE]])</f>
        <v>01_2025-1_02-1_1_t_01_2025-1_02-1_1_3031</v>
      </c>
      <c r="AD51" s="1" t="str">
        <f>ВСЕ_КОДЫ[[#This Row],[FULL_NAME]]</f>
        <v>Пассивы. Максимизируй прирост остатка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idden="1" x14ac:dyDescent="0.25">
      <c r="A52" s="1" t="s">
        <v>2194</v>
      </c>
      <c r="B52" s="1" t="s">
        <v>2530</v>
      </c>
      <c r="C52" s="1" t="s">
        <v>2317</v>
      </c>
      <c r="D52" s="1" t="s">
        <v>583</v>
      </c>
      <c r="E52" s="1" t="s">
        <v>87</v>
      </c>
      <c r="F52" s="1" t="s">
        <v>2508</v>
      </c>
      <c r="G52" s="1" t="s">
        <v>2542</v>
      </c>
      <c r="H52" s="1" t="s">
        <v>34</v>
      </c>
      <c r="I52" s="1" t="s">
        <v>50</v>
      </c>
      <c r="J52" s="1" t="s">
        <v>2521</v>
      </c>
      <c r="K52" s="1" t="s">
        <v>2522</v>
      </c>
      <c r="L52" s="1" t="s">
        <v>4105</v>
      </c>
      <c r="M52" s="1" t="s">
        <v>176</v>
      </c>
      <c r="N52" s="1" t="s">
        <v>305</v>
      </c>
      <c r="O52" s="1" t="s">
        <v>2701</v>
      </c>
      <c r="P52" s="1"/>
      <c r="Q52" s="1">
        <f>IFERROR(COUNTIFS(_report[TOURNAMENT_CODE],ВСЕ_КОДЫ[[#This Row],[TOURNAMENT_CODE]],_report[CONTEST_CODE],ВСЕ_КОДЫ[[#This Row],[CONTEST_CODE]]),"-")</f>
        <v>0</v>
      </c>
      <c r="R52" s="1" t="str">
        <f>IFERROR(INDEX(_SCHEDULE_[],MATCH(ВСЕ_КОДЫ[[#This Row],[CONTEST_CODE]],_SCHEDULE_[CONTEST_CODE],0),MATCH($R$1,_SCHEDULE_[#Headers],0)),"-")</f>
        <v>ЗАВЕРШЕН</v>
      </c>
      <c r="S52" s="1" t="str">
        <f>IFERROR(INDEX(_group_[],MATCH(ВСЕ_КОДЫ[[#This Row],[CONTEST_CODE]],_group_[CONTEST_CODE],0),MATCH($S$1,_group_[#Headers],0)),"-")</f>
        <v>BANK</v>
      </c>
      <c r="T52" s="1" t="str">
        <f>IFERROR(INDEX(_INDICATOR_[],MATCH(ВСЕ_КОДЫ[[#This Row],[CONTEST_CODE]],_INDICATOR_[CONTEST_CODE],0),MATCH($T$1,_INDICATOR_[#Headers],0)),"-")</f>
        <v>WAIT</v>
      </c>
      <c r="U52" s="1" t="str">
        <f>IFERROR(INDEX(_reward_link_[],MATCH(ВСЕ_КОДЫ[[#This Row],[CONTEST_CODE]],_reward_link_[CONTEST_CODE],0),MATCH($U$1,_reward_link_[#Headers],0)),"-")</f>
        <v>BANK</v>
      </c>
      <c r="V52" s="1" t="str">
        <f>IFERROR(INDEX(_report[],MATCH(ВСЕ_КОДЫ[[#This Row],[CONTEST_CODE]],_report[CONTEST_CODE],0),MATCH($V$1,_report[#Headers],0)),"-")</f>
        <v>-</v>
      </c>
      <c r="W52" s="1" t="str">
        <f>IFERROR(INDEX(_reward_[],MATCH(ВСЕ_КОДЫ[[#This Row],[REWARD_CODE]],_reward_[REWARD_CODE],0),MATCH($W$1,_reward_[#Headers],0)),"-")</f>
        <v>Золото#по приросту остатка Активов</v>
      </c>
      <c r="X52" s="1" t="str">
        <f>IFERROR(INDEX(_group_[],MATCH(CONCATENATE(ВСЕ_КОДЫ[[#This Row],[CONTEST_CODE]],"_",X$2),#REF!,0),MATCH(X$1,_group_[#Headers],0)),"-")</f>
        <v>-</v>
      </c>
      <c r="Y52" s="1" t="str">
        <f>IFERROR(INDEX(_group_[],MATCH(CONCATENATE(ВСЕ_КОДЫ[[#This Row],[CONTEST_CODE]],"_",Y$2),#REF!,0),MATCH(Y$1,_group_[#Headers],0)),"-")</f>
        <v>-</v>
      </c>
      <c r="Z52" s="1" t="str">
        <f>IFERROR(INDEX(_group_[],MATCH(CONCATENATE(ВСЕ_КОДЫ[[#This Row],[CONTEST_CODE]],"_",Z$2),#REF!,0),MATCH(Z$1,_group_[#Headers],0)),"-")</f>
        <v>-</v>
      </c>
      <c r="AA52" s="1" t="str">
        <f>IFERROR(INDEX(_group_[],MATCH(CONCATENATE(ВСЕ_КОДЫ[[#This Row],[CONTEST_CODE]],"_",AA$2),#REF!,0),MATCH(AA$1,_group_[#Headers],0)),"-")</f>
        <v>-</v>
      </c>
      <c r="AB52" s="1" t="str">
        <f>IFERROR(INDEX(_DATA_[],MATCH(ВСЕ_КОДЫ[[#This Row],[CONTEST_CODE]],_DATA_[CONTEST_CODE],0),MATCH($AB$2,_DATA_[#Headers],0)),"-")</f>
        <v>["""KMKKSB"""]</v>
      </c>
      <c r="AC52" s="1" t="str">
        <f>CONCATENATE(ВСЕ_КОДЫ[[#This Row],[CONTEST_CODE]],"_",ВСЕ_КОДЫ[[#This Row],[TOURNAMENT_CODE]])</f>
        <v>01_2025-1_14-1_1_t_01_2025-1_14-1_1_3021</v>
      </c>
      <c r="AD52" s="1" t="str">
        <f>ВСЕ_КОДЫ[[#This Row],[FULL_NAME]]</f>
        <v>Активы. Максимизируй прирост остатка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idden="1" x14ac:dyDescent="0.25">
      <c r="A53" s="1" t="s">
        <v>2194</v>
      </c>
      <c r="B53" s="1" t="s">
        <v>3221</v>
      </c>
      <c r="C53" s="1" t="s">
        <v>2317</v>
      </c>
      <c r="D53" s="1" t="s">
        <v>583</v>
      </c>
      <c r="E53" s="1" t="s">
        <v>87</v>
      </c>
      <c r="F53" s="1" t="s">
        <v>2508</v>
      </c>
      <c r="G53" s="1" t="s">
        <v>2542</v>
      </c>
      <c r="H53" s="1" t="s">
        <v>34</v>
      </c>
      <c r="I53" s="1" t="s">
        <v>50</v>
      </c>
      <c r="J53" s="1" t="s">
        <v>3219</v>
      </c>
      <c r="K53" s="1" t="s">
        <v>2534</v>
      </c>
      <c r="L53" s="1" t="s">
        <v>4154</v>
      </c>
      <c r="M53" s="1" t="s">
        <v>176</v>
      </c>
      <c r="N53" s="1" t="s">
        <v>305</v>
      </c>
      <c r="O53" s="1" t="s">
        <v>2701</v>
      </c>
      <c r="P53" s="1"/>
      <c r="Q53" s="1">
        <f>IFERROR(COUNTIFS(_report[TOURNAMENT_CODE],ВСЕ_КОДЫ[[#This Row],[TOURNAMENT_CODE]],_report[CONTEST_CODE],ВСЕ_КОДЫ[[#This Row],[CONTEST_CODE]]),"-")</f>
        <v>0</v>
      </c>
      <c r="R53" s="1" t="str">
        <f>IFERROR(INDEX(_SCHEDULE_[],MATCH(ВСЕ_КОДЫ[[#This Row],[CONTEST_CODE]],_SCHEDULE_[CONTEST_CODE],0),MATCH($R$1,_SCHEDULE_[#Headers],0)),"-")</f>
        <v>ЗАВЕРШЕН</v>
      </c>
      <c r="S53" s="1" t="str">
        <f>IFERROR(INDEX(_group_[],MATCH(ВСЕ_КОДЫ[[#This Row],[CONTEST_CODE]],_group_[CONTEST_CODE],0),MATCH($S$1,_group_[#Headers],0)),"-")</f>
        <v>BANK</v>
      </c>
      <c r="T53" s="1" t="str">
        <f>IFERROR(INDEX(_INDICATOR_[],MATCH(ВСЕ_КОДЫ[[#This Row],[CONTEST_CODE]],_INDICATOR_[CONTEST_CODE],0),MATCH($T$1,_INDICATOR_[#Headers],0)),"-")</f>
        <v>WAIT</v>
      </c>
      <c r="U53" s="1" t="str">
        <f>IFERROR(INDEX(_reward_link_[],MATCH(ВСЕ_КОДЫ[[#This Row],[CONTEST_CODE]],_reward_link_[CONTEST_CODE],0),MATCH($U$1,_reward_link_[#Headers],0)),"-")</f>
        <v>BANK</v>
      </c>
      <c r="V53" s="1" t="str">
        <f>IFERROR(INDEX(_report[],MATCH(ВСЕ_КОДЫ[[#This Row],[CONTEST_CODE]],_report[CONTEST_CODE],0),MATCH($V$1,_report[#Headers],0)),"-")</f>
        <v>-</v>
      </c>
      <c r="W53" s="1" t="str">
        <f>IFERROR(INDEX(_reward_[],MATCH(ВСЕ_КОДЫ[[#This Row],[REWARD_CODE]],_reward_[REWARD_CODE],0),MATCH($W$1,_reward_[#Headers],0)),"-")</f>
        <v>Золото#по приросту остатка Активов</v>
      </c>
      <c r="X53" s="1" t="str">
        <f>IFERROR(INDEX(_group_[],MATCH(CONCATENATE(ВСЕ_КОДЫ[[#This Row],[CONTEST_CODE]],"_",X$2),#REF!,0),MATCH(X$1,_group_[#Headers],0)),"-")</f>
        <v>-</v>
      </c>
      <c r="Y53" s="1" t="str">
        <f>IFERROR(INDEX(_group_[],MATCH(CONCATENATE(ВСЕ_КОДЫ[[#This Row],[CONTEST_CODE]],"_",Y$2),#REF!,0),MATCH(Y$1,_group_[#Headers],0)),"-")</f>
        <v>-</v>
      </c>
      <c r="Z53" s="1" t="str">
        <f>IFERROR(INDEX(_group_[],MATCH(CONCATENATE(ВСЕ_КОДЫ[[#This Row],[CONTEST_CODE]],"_",Z$2),#REF!,0),MATCH(Z$1,_group_[#Headers],0)),"-")</f>
        <v>-</v>
      </c>
      <c r="AA53" s="1" t="str">
        <f>IFERROR(INDEX(_group_[],MATCH(CONCATENATE(ВСЕ_КОДЫ[[#This Row],[CONTEST_CODE]],"_",AA$2),#REF!,0),MATCH(AA$1,_group_[#Headers],0)),"-")</f>
        <v>-</v>
      </c>
      <c r="AB53" s="1" t="str">
        <f>IFERROR(INDEX(_DATA_[],MATCH(ВСЕ_КОДЫ[[#This Row],[CONTEST_CODE]],_DATA_[CONTEST_CODE],0),MATCH($AB$2,_DATA_[#Headers],0)),"-")</f>
        <v>["""KMKKSB"""]</v>
      </c>
      <c r="AC53" s="1" t="str">
        <f>CONCATENATE(ВСЕ_КОДЫ[[#This Row],[CONTEST_CODE]],"_",ВСЕ_КОДЫ[[#This Row],[TOURNAMENT_CODE]])</f>
        <v>01_2025-1_14-1_1_t_01_2025-1_14-1_1_3031</v>
      </c>
      <c r="AD53" s="1" t="str">
        <f>ВСЕ_КОДЫ[[#This Row],[FULL_NAME]]</f>
        <v>Активы. Максимизируй прирост остатка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idden="1" x14ac:dyDescent="0.25">
      <c r="A54" s="1" t="s">
        <v>2194</v>
      </c>
      <c r="B54" s="1" t="s">
        <v>3649</v>
      </c>
      <c r="C54" s="1" t="s">
        <v>2317</v>
      </c>
      <c r="D54" s="1" t="s">
        <v>583</v>
      </c>
      <c r="E54" s="1" t="s">
        <v>87</v>
      </c>
      <c r="F54" s="1" t="s">
        <v>2508</v>
      </c>
      <c r="G54" s="1" t="s">
        <v>2542</v>
      </c>
      <c r="H54" s="1" t="s">
        <v>34</v>
      </c>
      <c r="I54" s="1" t="s">
        <v>50</v>
      </c>
      <c r="J54" s="1" t="s">
        <v>4019</v>
      </c>
      <c r="K54" s="1" t="s">
        <v>3647</v>
      </c>
      <c r="L54" s="1" t="s">
        <v>4776</v>
      </c>
      <c r="M54" s="1" t="s">
        <v>176</v>
      </c>
      <c r="N54" s="1" t="s">
        <v>305</v>
      </c>
      <c r="O54" s="1" t="s">
        <v>2701</v>
      </c>
      <c r="P54" s="1"/>
      <c r="Q54" s="1">
        <f>IFERROR(COUNTIFS(_report[TOURNAMENT_CODE],ВСЕ_КОДЫ[[#This Row],[TOURNAMENT_CODE]],_report[CONTEST_CODE],ВСЕ_КОДЫ[[#This Row],[CONTEST_CODE]]),"-")</f>
        <v>0</v>
      </c>
      <c r="R54" s="1" t="str">
        <f>IFERROR(INDEX(_SCHEDULE_[],MATCH(ВСЕ_КОДЫ[[#This Row],[CONTEST_CODE]],_SCHEDULE_[CONTEST_CODE],0),MATCH($R$1,_SCHEDULE_[#Headers],0)),"-")</f>
        <v>ЗАВЕРШЕН</v>
      </c>
      <c r="S54" s="1" t="str">
        <f>IFERROR(INDEX(_group_[],MATCH(ВСЕ_КОДЫ[[#This Row],[CONTEST_CODE]],_group_[CONTEST_CODE],0),MATCH($S$1,_group_[#Headers],0)),"-")</f>
        <v>BANK</v>
      </c>
      <c r="T54" s="1" t="str">
        <f>IFERROR(INDEX(_INDICATOR_[],MATCH(ВСЕ_КОДЫ[[#This Row],[CONTEST_CODE]],_INDICATOR_[CONTEST_CODE],0),MATCH($T$1,_INDICATOR_[#Headers],0)),"-")</f>
        <v>WAIT</v>
      </c>
      <c r="U54" s="1" t="str">
        <f>IFERROR(INDEX(_reward_link_[],MATCH(ВСЕ_КОДЫ[[#This Row],[CONTEST_CODE]],_reward_link_[CONTEST_CODE],0),MATCH($U$1,_reward_link_[#Headers],0)),"-")</f>
        <v>BANK</v>
      </c>
      <c r="V54" s="1" t="str">
        <f>IFERROR(INDEX(_report[],MATCH(ВСЕ_КОДЫ[[#This Row],[CONTEST_CODE]],_report[CONTEST_CODE],0),MATCH($V$1,_report[#Headers],0)),"-")</f>
        <v>-</v>
      </c>
      <c r="W54" s="1" t="str">
        <f>IFERROR(INDEX(_reward_[],MATCH(ВСЕ_КОДЫ[[#This Row],[REWARD_CODE]],_reward_[REWARD_CODE],0),MATCH($W$1,_reward_[#Headers],0)),"-")</f>
        <v>Золото#по приросту остатка Активов</v>
      </c>
      <c r="X54" s="1" t="str">
        <f>IFERROR(INDEX(_group_[],MATCH(CONCATENATE(ВСЕ_КОДЫ[[#This Row],[CONTEST_CODE]],"_",X$2),#REF!,0),MATCH(X$1,_group_[#Headers],0)),"-")</f>
        <v>-</v>
      </c>
      <c r="Y54" s="1" t="str">
        <f>IFERROR(INDEX(_group_[],MATCH(CONCATENATE(ВСЕ_КОДЫ[[#This Row],[CONTEST_CODE]],"_",Y$2),#REF!,0),MATCH(Y$1,_group_[#Headers],0)),"-")</f>
        <v>-</v>
      </c>
      <c r="Z54" s="1" t="str">
        <f>IFERROR(INDEX(_group_[],MATCH(CONCATENATE(ВСЕ_КОДЫ[[#This Row],[CONTEST_CODE]],"_",Z$2),#REF!,0),MATCH(Z$1,_group_[#Headers],0)),"-")</f>
        <v>-</v>
      </c>
      <c r="AA54" s="1" t="str">
        <f>IFERROR(INDEX(_group_[],MATCH(CONCATENATE(ВСЕ_КОДЫ[[#This Row],[CONTEST_CODE]],"_",AA$2),#REF!,0),MATCH(AA$1,_group_[#Headers],0)),"-")</f>
        <v>-</v>
      </c>
      <c r="AB54" s="1" t="str">
        <f>IFERROR(INDEX(_DATA_[],MATCH(ВСЕ_КОДЫ[[#This Row],[CONTEST_CODE]],_DATA_[CONTEST_CODE],0),MATCH($AB$2,_DATA_[#Headers],0)),"-")</f>
        <v>["""KMKKSB"""]</v>
      </c>
      <c r="AC54" s="1" t="str">
        <f>CONCATENATE(ВСЕ_КОДЫ[[#This Row],[CONTEST_CODE]],"_",ВСЕ_КОДЫ[[#This Row],[TOURNAMENT_CODE]])</f>
        <v>01_2025-1_14-1_1_t_01_2025-1_14-1_1_3041</v>
      </c>
      <c r="AD54" s="1" t="str">
        <f>ВСЕ_КОДЫ[[#This Row],[FULL_NAME]]</f>
        <v>Активы. Максимизируй прирост остатка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idden="1" x14ac:dyDescent="0.25">
      <c r="A55" s="1" t="s">
        <v>2194</v>
      </c>
      <c r="B55" s="1" t="s">
        <v>4759</v>
      </c>
      <c r="C55" s="1" t="s">
        <v>2317</v>
      </c>
      <c r="D55" s="1" t="s">
        <v>583</v>
      </c>
      <c r="E55" s="1" t="s">
        <v>87</v>
      </c>
      <c r="F55" s="1" t="s">
        <v>2508</v>
      </c>
      <c r="G55" s="1" t="s">
        <v>2542</v>
      </c>
      <c r="H55" s="1" t="s">
        <v>34</v>
      </c>
      <c r="I55" s="1" t="s">
        <v>50</v>
      </c>
      <c r="J55" s="1" t="s">
        <v>2554</v>
      </c>
      <c r="K55" s="1" t="s">
        <v>4756</v>
      </c>
      <c r="L55" s="1" t="s">
        <v>4757</v>
      </c>
      <c r="M55" s="1" t="s">
        <v>34</v>
      </c>
      <c r="N55" s="1" t="s">
        <v>305</v>
      </c>
      <c r="O55" s="1" t="s">
        <v>2701</v>
      </c>
      <c r="P55" s="1"/>
      <c r="Q55" s="1">
        <f>IFERROR(COUNTIFS(_report[TOURNAMENT_CODE],ВСЕ_КОДЫ[[#This Row],[TOURNAMENT_CODE]],_report[CONTEST_CODE],ВСЕ_КОДЫ[[#This Row],[CONTEST_CODE]]),"-")</f>
        <v>0</v>
      </c>
      <c r="R55" s="1" t="str">
        <f>IFERROR(INDEX(_SCHEDULE_[],MATCH(ВСЕ_КОДЫ[[#This Row],[CONTEST_CODE]],_SCHEDULE_[CONTEST_CODE],0),MATCH($R$1,_SCHEDULE_[#Headers],0)),"-")</f>
        <v>ЗАВЕРШЕН</v>
      </c>
      <c r="S55" s="1" t="str">
        <f>IFERROR(INDEX(_group_[],MATCH(ВСЕ_КОДЫ[[#This Row],[CONTEST_CODE]],_group_[CONTEST_CODE],0),MATCH($S$1,_group_[#Headers],0)),"-")</f>
        <v>BANK</v>
      </c>
      <c r="T55" s="1" t="str">
        <f>IFERROR(INDEX(_INDICATOR_[],MATCH(ВСЕ_КОДЫ[[#This Row],[CONTEST_CODE]],_INDICATOR_[CONTEST_CODE],0),MATCH($T$1,_INDICATOR_[#Headers],0)),"-")</f>
        <v>WAIT</v>
      </c>
      <c r="U55" s="1" t="str">
        <f>IFERROR(INDEX(_reward_link_[],MATCH(ВСЕ_КОДЫ[[#This Row],[CONTEST_CODE]],_reward_link_[CONTEST_CODE],0),MATCH($U$1,_reward_link_[#Headers],0)),"-")</f>
        <v>BANK</v>
      </c>
      <c r="V55" s="1" t="str">
        <f>IFERROR(INDEX(_report[],MATCH(ВСЕ_КОДЫ[[#This Row],[CONTEST_CODE]],_report[CONTEST_CODE],0),MATCH($V$1,_report[#Headers],0)),"-")</f>
        <v>-</v>
      </c>
      <c r="W55" s="1" t="str">
        <f>IFERROR(INDEX(_reward_[],MATCH(ВСЕ_КОДЫ[[#This Row],[REWARD_CODE]],_reward_[REWARD_CODE],0),MATCH($W$1,_reward_[#Headers],0)),"-")</f>
        <v>Золото#по приросту остатка Активов</v>
      </c>
      <c r="X55" s="1" t="str">
        <f>IFERROR(INDEX(_group_[],MATCH(CONCATENATE(ВСЕ_КОДЫ[[#This Row],[CONTEST_CODE]],"_",X$2),#REF!,0),MATCH(X$1,_group_[#Headers],0)),"-")</f>
        <v>-</v>
      </c>
      <c r="Y55" s="1" t="str">
        <f>IFERROR(INDEX(_group_[],MATCH(CONCATENATE(ВСЕ_КОДЫ[[#This Row],[CONTEST_CODE]],"_",Y$2),#REF!,0),MATCH(Y$1,_group_[#Headers],0)),"-")</f>
        <v>-</v>
      </c>
      <c r="Z55" s="1" t="str">
        <f>IFERROR(INDEX(_group_[],MATCH(CONCATENATE(ВСЕ_КОДЫ[[#This Row],[CONTEST_CODE]],"_",Z$2),#REF!,0),MATCH(Z$1,_group_[#Headers],0)),"-")</f>
        <v>-</v>
      </c>
      <c r="AA55" s="1" t="str">
        <f>IFERROR(INDEX(_group_[],MATCH(CONCATENATE(ВСЕ_КОДЫ[[#This Row],[CONTEST_CODE]],"_",AA$2),#REF!,0),MATCH(AA$1,_group_[#Headers],0)),"-")</f>
        <v>-</v>
      </c>
      <c r="AB55" s="1" t="str">
        <f>IFERROR(INDEX(_DATA_[],MATCH(ВСЕ_КОДЫ[[#This Row],[CONTEST_CODE]],_DATA_[CONTEST_CODE],0),MATCH($AB$2,_DATA_[#Headers],0)),"-")</f>
        <v>["""KMKKSB"""]</v>
      </c>
      <c r="AC55" s="1" t="str">
        <f>CONCATENATE(ВСЕ_КОДЫ[[#This Row],[CONTEST_CODE]],"_",ВСЕ_КОДЫ[[#This Row],[TOURNAMENT_CODE]])</f>
        <v>01_2025-1_14-1_1_t_01_2025-1_14-1_1_3051</v>
      </c>
      <c r="AD55" s="1" t="str">
        <f>ВСЕ_КОДЫ[[#This Row],[FULL_NAME]]</f>
        <v>Активы. Максимизируй прирост остатка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idden="1" x14ac:dyDescent="0.25">
      <c r="A56" s="1" t="s">
        <v>2194</v>
      </c>
      <c r="B56" s="1" t="s">
        <v>4811</v>
      </c>
      <c r="C56" s="1" t="s">
        <v>2317</v>
      </c>
      <c r="D56" s="1" t="s">
        <v>583</v>
      </c>
      <c r="E56" s="1" t="s">
        <v>87</v>
      </c>
      <c r="F56" s="1" t="s">
        <v>2508</v>
      </c>
      <c r="G56" s="1" t="s">
        <v>2542</v>
      </c>
      <c r="H56" s="1" t="s">
        <v>34</v>
      </c>
      <c r="I56" s="1" t="s">
        <v>50</v>
      </c>
      <c r="J56" s="1" t="s">
        <v>4809</v>
      </c>
      <c r="K56" s="1" t="s">
        <v>2542</v>
      </c>
      <c r="L56" s="1" t="s">
        <v>3545</v>
      </c>
      <c r="M56" s="1" t="s">
        <v>34</v>
      </c>
      <c r="N56" s="1" t="s">
        <v>305</v>
      </c>
      <c r="O56" s="1" t="s">
        <v>2701</v>
      </c>
      <c r="P56" s="1"/>
      <c r="Q56" s="1">
        <f>IFERROR(COUNTIFS(_report[TOURNAMENT_CODE],ВСЕ_КОДЫ[[#This Row],[TOURNAMENT_CODE]],_report[CONTEST_CODE],ВСЕ_КОДЫ[[#This Row],[CONTEST_CODE]]),"-")</f>
        <v>0</v>
      </c>
      <c r="R56" s="1" t="str">
        <f>IFERROR(INDEX(_SCHEDULE_[],MATCH(ВСЕ_КОДЫ[[#This Row],[CONTEST_CODE]],_SCHEDULE_[CONTEST_CODE],0),MATCH($R$1,_SCHEDULE_[#Headers],0)),"-")</f>
        <v>ЗАВЕРШЕН</v>
      </c>
      <c r="S56" s="1" t="str">
        <f>IFERROR(INDEX(_group_[],MATCH(ВСЕ_КОДЫ[[#This Row],[CONTEST_CODE]],_group_[CONTEST_CODE],0),MATCH($S$1,_group_[#Headers],0)),"-")</f>
        <v>BANK</v>
      </c>
      <c r="T56" s="1" t="str">
        <f>IFERROR(INDEX(_INDICATOR_[],MATCH(ВСЕ_КОДЫ[[#This Row],[CONTEST_CODE]],_INDICATOR_[CONTEST_CODE],0),MATCH($T$1,_INDICATOR_[#Headers],0)),"-")</f>
        <v>WAIT</v>
      </c>
      <c r="U56" s="1" t="str">
        <f>IFERROR(INDEX(_reward_link_[],MATCH(ВСЕ_КОДЫ[[#This Row],[CONTEST_CODE]],_reward_link_[CONTEST_CODE],0),MATCH($U$1,_reward_link_[#Headers],0)),"-")</f>
        <v>BANK</v>
      </c>
      <c r="V56" s="1" t="str">
        <f>IFERROR(INDEX(_report[],MATCH(ВСЕ_КОДЫ[[#This Row],[CONTEST_CODE]],_report[CONTEST_CODE],0),MATCH($V$1,_report[#Headers],0)),"-")</f>
        <v>-</v>
      </c>
      <c r="W56" s="1" t="str">
        <f>IFERROR(INDEX(_reward_[],MATCH(ВСЕ_КОДЫ[[#This Row],[REWARD_CODE]],_reward_[REWARD_CODE],0),MATCH($W$1,_reward_[#Headers],0)),"-")</f>
        <v>Золото#по приросту остатка Активов</v>
      </c>
      <c r="X56" s="1" t="str">
        <f>IFERROR(INDEX(_group_[],MATCH(CONCATENATE(ВСЕ_КОДЫ[[#This Row],[CONTEST_CODE]],"_",X$2),#REF!,0),MATCH(X$1,_group_[#Headers],0)),"-")</f>
        <v>-</v>
      </c>
      <c r="Y56" s="1" t="str">
        <f>IFERROR(INDEX(_group_[],MATCH(CONCATENATE(ВСЕ_КОДЫ[[#This Row],[CONTEST_CODE]],"_",Y$2),#REF!,0),MATCH(Y$1,_group_[#Headers],0)),"-")</f>
        <v>-</v>
      </c>
      <c r="Z56" s="1" t="str">
        <f>IFERROR(INDEX(_group_[],MATCH(CONCATENATE(ВСЕ_КОДЫ[[#This Row],[CONTEST_CODE]],"_",Z$2),#REF!,0),MATCH(Z$1,_group_[#Headers],0)),"-")</f>
        <v>-</v>
      </c>
      <c r="AA56" s="1" t="str">
        <f>IFERROR(INDEX(_group_[],MATCH(CONCATENATE(ВСЕ_КОДЫ[[#This Row],[CONTEST_CODE]],"_",AA$2),#REF!,0),MATCH(AA$1,_group_[#Headers],0)),"-")</f>
        <v>-</v>
      </c>
      <c r="AB56" s="1" t="str">
        <f>IFERROR(INDEX(_DATA_[],MATCH(ВСЕ_КОДЫ[[#This Row],[CONTEST_CODE]],_DATA_[CONTEST_CODE],0),MATCH($AB$2,_DATA_[#Headers],0)),"-")</f>
        <v>["""KMKKSB"""]</v>
      </c>
      <c r="AC56" s="1" t="str">
        <f>CONCATENATE(ВСЕ_КОДЫ[[#This Row],[CONTEST_CODE]],"_",ВСЕ_КОДЫ[[#This Row],[TOURNAMENT_CODE]])</f>
        <v>01_2025-1_14-1_1_t_01_2025-1_14-1_1_3061</v>
      </c>
      <c r="AD56" s="1" t="str">
        <f>ВСЕ_КОДЫ[[#This Row],[FULL_NAME]]</f>
        <v>Активы. Максимизируй прирост остатка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idden="1" x14ac:dyDescent="0.25">
      <c r="A57" s="1" t="s">
        <v>2194</v>
      </c>
      <c r="B57" s="1" t="s">
        <v>2530</v>
      </c>
      <c r="C57" s="1" t="s">
        <v>2319</v>
      </c>
      <c r="D57" s="1" t="s">
        <v>586</v>
      </c>
      <c r="E57" s="1" t="s">
        <v>87</v>
      </c>
      <c r="F57" s="1" t="s">
        <v>2508</v>
      </c>
      <c r="G57" s="1" t="s">
        <v>2542</v>
      </c>
      <c r="H57" s="1" t="s">
        <v>34</v>
      </c>
      <c r="I57" s="1" t="s">
        <v>50</v>
      </c>
      <c r="J57" s="1" t="s">
        <v>2521</v>
      </c>
      <c r="K57" s="1" t="s">
        <v>2522</v>
      </c>
      <c r="L57" s="1" t="s">
        <v>4105</v>
      </c>
      <c r="M57" s="1" t="s">
        <v>176</v>
      </c>
      <c r="N57" s="1" t="s">
        <v>305</v>
      </c>
      <c r="O57" s="1" t="s">
        <v>2704</v>
      </c>
      <c r="P57" s="1"/>
      <c r="Q57" s="1">
        <f>IFERROR(COUNTIFS(_report[TOURNAMENT_CODE],ВСЕ_КОДЫ[[#This Row],[TOURNAMENT_CODE]],_report[CONTEST_CODE],ВСЕ_КОДЫ[[#This Row],[CONTEST_CODE]]),"-")</f>
        <v>0</v>
      </c>
      <c r="R57" s="1" t="str">
        <f>IFERROR(INDEX(_SCHEDULE_[],MATCH(ВСЕ_КОДЫ[[#This Row],[CONTEST_CODE]],_SCHEDULE_[CONTEST_CODE],0),MATCH($R$1,_SCHEDULE_[#Headers],0)),"-")</f>
        <v>ЗАВЕРШЕН</v>
      </c>
      <c r="S57" s="1" t="str">
        <f>IFERROR(INDEX(_group_[],MATCH(ВСЕ_КОДЫ[[#This Row],[CONTEST_CODE]],_group_[CONTEST_CODE],0),MATCH($S$1,_group_[#Headers],0)),"-")</f>
        <v>BANK</v>
      </c>
      <c r="T57" s="1" t="str">
        <f>IFERROR(INDEX(_INDICATOR_[],MATCH(ВСЕ_КОДЫ[[#This Row],[CONTEST_CODE]],_INDICATOR_[CONTEST_CODE],0),MATCH($T$1,_INDICATOR_[#Headers],0)),"-")</f>
        <v>WAIT</v>
      </c>
      <c r="U57" s="1" t="str">
        <f>IFERROR(INDEX(_reward_link_[],MATCH(ВСЕ_КОДЫ[[#This Row],[CONTEST_CODE]],_reward_link_[CONTEST_CODE],0),MATCH($U$1,_reward_link_[#Headers],0)),"-")</f>
        <v>BANK</v>
      </c>
      <c r="V57" s="1" t="str">
        <f>IFERROR(INDEX(_report[],MATCH(ВСЕ_КОДЫ[[#This Row],[CONTEST_CODE]],_report[CONTEST_CODE],0),MATCH($V$1,_report[#Headers],0)),"-")</f>
        <v>-</v>
      </c>
      <c r="W57" s="1" t="str">
        <f>IFERROR(INDEX(_reward_[],MATCH(ВСЕ_КОДЫ[[#This Row],[REWARD_CODE]],_reward_[REWARD_CODE],0),MATCH($W$1,_reward_[#Headers],0)),"-")</f>
        <v>Серебро#по приросту остатка Активов</v>
      </c>
      <c r="X57" s="1" t="str">
        <f>IFERROR(INDEX(_group_[],MATCH(CONCATENATE(ВСЕ_КОДЫ[[#This Row],[CONTEST_CODE]],"_",X$2),#REF!,0),MATCH(X$1,_group_[#Headers],0)),"-")</f>
        <v>-</v>
      </c>
      <c r="Y57" s="1" t="str">
        <f>IFERROR(INDEX(_group_[],MATCH(CONCATENATE(ВСЕ_КОДЫ[[#This Row],[CONTEST_CODE]],"_",Y$2),#REF!,0),MATCH(Y$1,_group_[#Headers],0)),"-")</f>
        <v>-</v>
      </c>
      <c r="Z57" s="1" t="str">
        <f>IFERROR(INDEX(_group_[],MATCH(CONCATENATE(ВСЕ_КОДЫ[[#This Row],[CONTEST_CODE]],"_",Z$2),#REF!,0),MATCH(Z$1,_group_[#Headers],0)),"-")</f>
        <v>-</v>
      </c>
      <c r="AA57" s="1" t="str">
        <f>IFERROR(INDEX(_group_[],MATCH(CONCATENATE(ВСЕ_КОДЫ[[#This Row],[CONTEST_CODE]],"_",AA$2),#REF!,0),MATCH(AA$1,_group_[#Headers],0)),"-")</f>
        <v>-</v>
      </c>
      <c r="AB57" s="1" t="str">
        <f>IFERROR(INDEX(_DATA_[],MATCH(ВСЕ_КОДЫ[[#This Row],[CONTEST_CODE]],_DATA_[CONTEST_CODE],0),MATCH($AB$2,_DATA_[#Headers],0)),"-")</f>
        <v>["""KMKKSB"""]</v>
      </c>
      <c r="AC57" s="1" t="str">
        <f>CONCATENATE(ВСЕ_КОДЫ[[#This Row],[CONTEST_CODE]],"_",ВСЕ_КОДЫ[[#This Row],[TOURNAMENT_CODE]])</f>
        <v>01_2025-1_14-1_1_t_01_2025-1_14-1_1_3021</v>
      </c>
      <c r="AD57" s="1" t="str">
        <f>ВСЕ_КОДЫ[[#This Row],[FULL_NAME]]</f>
        <v>Активы. Максимизируй прирост остатка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idden="1" x14ac:dyDescent="0.25">
      <c r="A58" s="1" t="s">
        <v>2194</v>
      </c>
      <c r="B58" s="1" t="s">
        <v>3221</v>
      </c>
      <c r="C58" s="1" t="s">
        <v>2319</v>
      </c>
      <c r="D58" s="1" t="s">
        <v>586</v>
      </c>
      <c r="E58" s="1" t="s">
        <v>87</v>
      </c>
      <c r="F58" s="1" t="s">
        <v>2508</v>
      </c>
      <c r="G58" s="1" t="s">
        <v>2542</v>
      </c>
      <c r="H58" s="1" t="s">
        <v>34</v>
      </c>
      <c r="I58" s="1" t="s">
        <v>50</v>
      </c>
      <c r="J58" s="1" t="s">
        <v>3219</v>
      </c>
      <c r="K58" s="1" t="s">
        <v>2534</v>
      </c>
      <c r="L58" s="1" t="s">
        <v>4154</v>
      </c>
      <c r="M58" s="1" t="s">
        <v>176</v>
      </c>
      <c r="N58" s="1" t="s">
        <v>305</v>
      </c>
      <c r="O58" s="1" t="s">
        <v>2704</v>
      </c>
      <c r="P58" s="1"/>
      <c r="Q58" s="1">
        <f>IFERROR(COUNTIFS(_report[TOURNAMENT_CODE],ВСЕ_КОДЫ[[#This Row],[TOURNAMENT_CODE]],_report[CONTEST_CODE],ВСЕ_КОДЫ[[#This Row],[CONTEST_CODE]]),"-")</f>
        <v>0</v>
      </c>
      <c r="R58" s="1" t="str">
        <f>IFERROR(INDEX(_SCHEDULE_[],MATCH(ВСЕ_КОДЫ[[#This Row],[CONTEST_CODE]],_SCHEDULE_[CONTEST_CODE],0),MATCH($R$1,_SCHEDULE_[#Headers],0)),"-")</f>
        <v>ЗАВЕРШЕН</v>
      </c>
      <c r="S58" s="1" t="str">
        <f>IFERROR(INDEX(_group_[],MATCH(ВСЕ_КОДЫ[[#This Row],[CONTEST_CODE]],_group_[CONTEST_CODE],0),MATCH($S$1,_group_[#Headers],0)),"-")</f>
        <v>BANK</v>
      </c>
      <c r="T58" s="1" t="str">
        <f>IFERROR(INDEX(_INDICATOR_[],MATCH(ВСЕ_КОДЫ[[#This Row],[CONTEST_CODE]],_INDICATOR_[CONTEST_CODE],0),MATCH($T$1,_INDICATOR_[#Headers],0)),"-")</f>
        <v>WAIT</v>
      </c>
      <c r="U58" s="1" t="str">
        <f>IFERROR(INDEX(_reward_link_[],MATCH(ВСЕ_КОДЫ[[#This Row],[CONTEST_CODE]],_reward_link_[CONTEST_CODE],0),MATCH($U$1,_reward_link_[#Headers],0)),"-")</f>
        <v>BANK</v>
      </c>
      <c r="V58" s="1" t="str">
        <f>IFERROR(INDEX(_report[],MATCH(ВСЕ_КОДЫ[[#This Row],[CONTEST_CODE]],_report[CONTEST_CODE],0),MATCH($V$1,_report[#Headers],0)),"-")</f>
        <v>-</v>
      </c>
      <c r="W58" s="1" t="str">
        <f>IFERROR(INDEX(_reward_[],MATCH(ВСЕ_КОДЫ[[#This Row],[REWARD_CODE]],_reward_[REWARD_CODE],0),MATCH($W$1,_reward_[#Headers],0)),"-")</f>
        <v>Серебро#по приросту остатка Активов</v>
      </c>
      <c r="X58" s="1" t="str">
        <f>IFERROR(INDEX(_group_[],MATCH(CONCATENATE(ВСЕ_КОДЫ[[#This Row],[CONTEST_CODE]],"_",X$2),#REF!,0),MATCH(X$1,_group_[#Headers],0)),"-")</f>
        <v>-</v>
      </c>
      <c r="Y58" s="1" t="str">
        <f>IFERROR(INDEX(_group_[],MATCH(CONCATENATE(ВСЕ_КОДЫ[[#This Row],[CONTEST_CODE]],"_",Y$2),#REF!,0),MATCH(Y$1,_group_[#Headers],0)),"-")</f>
        <v>-</v>
      </c>
      <c r="Z58" s="1" t="str">
        <f>IFERROR(INDEX(_group_[],MATCH(CONCATENATE(ВСЕ_КОДЫ[[#This Row],[CONTEST_CODE]],"_",Z$2),#REF!,0),MATCH(Z$1,_group_[#Headers],0)),"-")</f>
        <v>-</v>
      </c>
      <c r="AA58" s="1" t="str">
        <f>IFERROR(INDEX(_group_[],MATCH(CONCATENATE(ВСЕ_КОДЫ[[#This Row],[CONTEST_CODE]],"_",AA$2),#REF!,0),MATCH(AA$1,_group_[#Headers],0)),"-")</f>
        <v>-</v>
      </c>
      <c r="AB58" s="1" t="str">
        <f>IFERROR(INDEX(_DATA_[],MATCH(ВСЕ_КОДЫ[[#This Row],[CONTEST_CODE]],_DATA_[CONTEST_CODE],0),MATCH($AB$2,_DATA_[#Headers],0)),"-")</f>
        <v>["""KMKKSB"""]</v>
      </c>
      <c r="AC58" s="1" t="str">
        <f>CONCATENATE(ВСЕ_КОДЫ[[#This Row],[CONTEST_CODE]],"_",ВСЕ_КОДЫ[[#This Row],[TOURNAMENT_CODE]])</f>
        <v>01_2025-1_14-1_1_t_01_2025-1_14-1_1_3031</v>
      </c>
      <c r="AD58" s="1" t="str">
        <f>ВСЕ_КОДЫ[[#This Row],[FULL_NAME]]</f>
        <v>Активы. Максимизируй прирост остатка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idden="1" x14ac:dyDescent="0.25">
      <c r="A59" s="1" t="s">
        <v>2194</v>
      </c>
      <c r="B59" s="1" t="s">
        <v>3649</v>
      </c>
      <c r="C59" s="1" t="s">
        <v>2319</v>
      </c>
      <c r="D59" s="1" t="s">
        <v>586</v>
      </c>
      <c r="E59" s="1" t="s">
        <v>87</v>
      </c>
      <c r="F59" s="1" t="s">
        <v>2508</v>
      </c>
      <c r="G59" s="1" t="s">
        <v>2542</v>
      </c>
      <c r="H59" s="1" t="s">
        <v>34</v>
      </c>
      <c r="I59" s="1" t="s">
        <v>50</v>
      </c>
      <c r="J59" s="1" t="s">
        <v>4019</v>
      </c>
      <c r="K59" s="1" t="s">
        <v>3647</v>
      </c>
      <c r="L59" s="1" t="s">
        <v>4776</v>
      </c>
      <c r="M59" s="1" t="s">
        <v>176</v>
      </c>
      <c r="N59" s="1" t="s">
        <v>305</v>
      </c>
      <c r="O59" s="1" t="s">
        <v>2704</v>
      </c>
      <c r="P59" s="1"/>
      <c r="Q59" s="1">
        <f>IFERROR(COUNTIFS(_report[TOURNAMENT_CODE],ВСЕ_КОДЫ[[#This Row],[TOURNAMENT_CODE]],_report[CONTEST_CODE],ВСЕ_КОДЫ[[#This Row],[CONTEST_CODE]]),"-")</f>
        <v>0</v>
      </c>
      <c r="R59" s="1" t="str">
        <f>IFERROR(INDEX(_SCHEDULE_[],MATCH(ВСЕ_КОДЫ[[#This Row],[CONTEST_CODE]],_SCHEDULE_[CONTEST_CODE],0),MATCH($R$1,_SCHEDULE_[#Headers],0)),"-")</f>
        <v>ЗАВЕРШЕН</v>
      </c>
      <c r="S59" s="1" t="str">
        <f>IFERROR(INDEX(_group_[],MATCH(ВСЕ_КОДЫ[[#This Row],[CONTEST_CODE]],_group_[CONTEST_CODE],0),MATCH($S$1,_group_[#Headers],0)),"-")</f>
        <v>BANK</v>
      </c>
      <c r="T59" s="1" t="str">
        <f>IFERROR(INDEX(_INDICATOR_[],MATCH(ВСЕ_КОДЫ[[#This Row],[CONTEST_CODE]],_INDICATOR_[CONTEST_CODE],0),MATCH($T$1,_INDICATOR_[#Headers],0)),"-")</f>
        <v>WAIT</v>
      </c>
      <c r="U59" s="1" t="str">
        <f>IFERROR(INDEX(_reward_link_[],MATCH(ВСЕ_КОДЫ[[#This Row],[CONTEST_CODE]],_reward_link_[CONTEST_CODE],0),MATCH($U$1,_reward_link_[#Headers],0)),"-")</f>
        <v>BANK</v>
      </c>
      <c r="V59" s="1" t="str">
        <f>IFERROR(INDEX(_report[],MATCH(ВСЕ_КОДЫ[[#This Row],[CONTEST_CODE]],_report[CONTEST_CODE],0),MATCH($V$1,_report[#Headers],0)),"-")</f>
        <v>-</v>
      </c>
      <c r="W59" s="1" t="str">
        <f>IFERROR(INDEX(_reward_[],MATCH(ВСЕ_КОДЫ[[#This Row],[REWARD_CODE]],_reward_[REWARD_CODE],0),MATCH($W$1,_reward_[#Headers],0)),"-")</f>
        <v>Серебро#по приросту остатка Активов</v>
      </c>
      <c r="X59" s="1" t="str">
        <f>IFERROR(INDEX(_group_[],MATCH(CONCATENATE(ВСЕ_КОДЫ[[#This Row],[CONTEST_CODE]],"_",X$2),#REF!,0),MATCH(X$1,_group_[#Headers],0)),"-")</f>
        <v>-</v>
      </c>
      <c r="Y59" s="1" t="str">
        <f>IFERROR(INDEX(_group_[],MATCH(CONCATENATE(ВСЕ_КОДЫ[[#This Row],[CONTEST_CODE]],"_",Y$2),#REF!,0),MATCH(Y$1,_group_[#Headers],0)),"-")</f>
        <v>-</v>
      </c>
      <c r="Z59" s="1" t="str">
        <f>IFERROR(INDEX(_group_[],MATCH(CONCATENATE(ВСЕ_КОДЫ[[#This Row],[CONTEST_CODE]],"_",Z$2),#REF!,0),MATCH(Z$1,_group_[#Headers],0)),"-")</f>
        <v>-</v>
      </c>
      <c r="AA59" s="1" t="str">
        <f>IFERROR(INDEX(_group_[],MATCH(CONCATENATE(ВСЕ_КОДЫ[[#This Row],[CONTEST_CODE]],"_",AA$2),#REF!,0),MATCH(AA$1,_group_[#Headers],0)),"-")</f>
        <v>-</v>
      </c>
      <c r="AB59" s="1" t="str">
        <f>IFERROR(INDEX(_DATA_[],MATCH(ВСЕ_КОДЫ[[#This Row],[CONTEST_CODE]],_DATA_[CONTEST_CODE],0),MATCH($AB$2,_DATA_[#Headers],0)),"-")</f>
        <v>["""KMKKSB"""]</v>
      </c>
      <c r="AC59" s="1" t="str">
        <f>CONCATENATE(ВСЕ_КОДЫ[[#This Row],[CONTEST_CODE]],"_",ВСЕ_КОДЫ[[#This Row],[TOURNAMENT_CODE]])</f>
        <v>01_2025-1_14-1_1_t_01_2025-1_14-1_1_3041</v>
      </c>
      <c r="AD59" s="1" t="str">
        <f>ВСЕ_КОДЫ[[#This Row],[FULL_NAME]]</f>
        <v>Активы. Максимизируй прирост остатка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idden="1" x14ac:dyDescent="0.25">
      <c r="A60" s="1" t="s">
        <v>2194</v>
      </c>
      <c r="B60" s="1" t="s">
        <v>4759</v>
      </c>
      <c r="C60" s="1" t="s">
        <v>2319</v>
      </c>
      <c r="D60" s="1" t="s">
        <v>586</v>
      </c>
      <c r="E60" s="1" t="s">
        <v>87</v>
      </c>
      <c r="F60" s="1" t="s">
        <v>2508</v>
      </c>
      <c r="G60" s="1" t="s">
        <v>2542</v>
      </c>
      <c r="H60" s="1" t="s">
        <v>34</v>
      </c>
      <c r="I60" s="1" t="s">
        <v>50</v>
      </c>
      <c r="J60" s="1" t="s">
        <v>2554</v>
      </c>
      <c r="K60" s="1" t="s">
        <v>4756</v>
      </c>
      <c r="L60" s="1" t="s">
        <v>4757</v>
      </c>
      <c r="M60" s="1" t="s">
        <v>34</v>
      </c>
      <c r="N60" s="1" t="s">
        <v>305</v>
      </c>
      <c r="O60" s="1" t="s">
        <v>2704</v>
      </c>
      <c r="P60" s="1"/>
      <c r="Q60" s="1">
        <f>IFERROR(COUNTIFS(_report[TOURNAMENT_CODE],ВСЕ_КОДЫ[[#This Row],[TOURNAMENT_CODE]],_report[CONTEST_CODE],ВСЕ_КОДЫ[[#This Row],[CONTEST_CODE]]),"-")</f>
        <v>0</v>
      </c>
      <c r="R60" s="1" t="str">
        <f>IFERROR(INDEX(_SCHEDULE_[],MATCH(ВСЕ_КОДЫ[[#This Row],[CONTEST_CODE]],_SCHEDULE_[CONTEST_CODE],0),MATCH($R$1,_SCHEDULE_[#Headers],0)),"-")</f>
        <v>ЗАВЕРШЕН</v>
      </c>
      <c r="S60" s="1" t="str">
        <f>IFERROR(INDEX(_group_[],MATCH(ВСЕ_КОДЫ[[#This Row],[CONTEST_CODE]],_group_[CONTEST_CODE],0),MATCH($S$1,_group_[#Headers],0)),"-")</f>
        <v>BANK</v>
      </c>
      <c r="T60" s="1" t="str">
        <f>IFERROR(INDEX(_INDICATOR_[],MATCH(ВСЕ_КОДЫ[[#This Row],[CONTEST_CODE]],_INDICATOR_[CONTEST_CODE],0),MATCH($T$1,_INDICATOR_[#Headers],0)),"-")</f>
        <v>WAIT</v>
      </c>
      <c r="U60" s="1" t="str">
        <f>IFERROR(INDEX(_reward_link_[],MATCH(ВСЕ_КОДЫ[[#This Row],[CONTEST_CODE]],_reward_link_[CONTEST_CODE],0),MATCH($U$1,_reward_link_[#Headers],0)),"-")</f>
        <v>BANK</v>
      </c>
      <c r="V60" s="1" t="str">
        <f>IFERROR(INDEX(_report[],MATCH(ВСЕ_КОДЫ[[#This Row],[CONTEST_CODE]],_report[CONTEST_CODE],0),MATCH($V$1,_report[#Headers],0)),"-")</f>
        <v>-</v>
      </c>
      <c r="W60" s="1" t="str">
        <f>IFERROR(INDEX(_reward_[],MATCH(ВСЕ_КОДЫ[[#This Row],[REWARD_CODE]],_reward_[REWARD_CODE],0),MATCH($W$1,_reward_[#Headers],0)),"-")</f>
        <v>Серебро#по приросту остатка Активов</v>
      </c>
      <c r="X60" s="1" t="str">
        <f>IFERROR(INDEX(_group_[],MATCH(CONCATENATE(ВСЕ_КОДЫ[[#This Row],[CONTEST_CODE]],"_",X$2),#REF!,0),MATCH(X$1,_group_[#Headers],0)),"-")</f>
        <v>-</v>
      </c>
      <c r="Y60" s="1" t="str">
        <f>IFERROR(INDEX(_group_[],MATCH(CONCATENATE(ВСЕ_КОДЫ[[#This Row],[CONTEST_CODE]],"_",Y$2),#REF!,0),MATCH(Y$1,_group_[#Headers],0)),"-")</f>
        <v>-</v>
      </c>
      <c r="Z60" s="1" t="str">
        <f>IFERROR(INDEX(_group_[],MATCH(CONCATENATE(ВСЕ_КОДЫ[[#This Row],[CONTEST_CODE]],"_",Z$2),#REF!,0),MATCH(Z$1,_group_[#Headers],0)),"-")</f>
        <v>-</v>
      </c>
      <c r="AA60" s="1" t="str">
        <f>IFERROR(INDEX(_group_[],MATCH(CONCATENATE(ВСЕ_КОДЫ[[#This Row],[CONTEST_CODE]],"_",AA$2),#REF!,0),MATCH(AA$1,_group_[#Headers],0)),"-")</f>
        <v>-</v>
      </c>
      <c r="AB60" s="1" t="str">
        <f>IFERROR(INDEX(_DATA_[],MATCH(ВСЕ_КОДЫ[[#This Row],[CONTEST_CODE]],_DATA_[CONTEST_CODE],0),MATCH($AB$2,_DATA_[#Headers],0)),"-")</f>
        <v>["""KMKKSB"""]</v>
      </c>
      <c r="AC60" s="1" t="str">
        <f>CONCATENATE(ВСЕ_КОДЫ[[#This Row],[CONTEST_CODE]],"_",ВСЕ_КОДЫ[[#This Row],[TOURNAMENT_CODE]])</f>
        <v>01_2025-1_14-1_1_t_01_2025-1_14-1_1_3051</v>
      </c>
      <c r="AD60" s="1" t="str">
        <f>ВСЕ_КОДЫ[[#This Row],[FULL_NAME]]</f>
        <v>Активы. Максимизируй прирост остатка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idden="1" x14ac:dyDescent="0.25">
      <c r="A61" s="1" t="s">
        <v>2194</v>
      </c>
      <c r="B61" s="1" t="s">
        <v>4811</v>
      </c>
      <c r="C61" s="1" t="s">
        <v>2319</v>
      </c>
      <c r="D61" s="1" t="s">
        <v>586</v>
      </c>
      <c r="E61" s="1" t="s">
        <v>87</v>
      </c>
      <c r="F61" s="1" t="s">
        <v>2508</v>
      </c>
      <c r="G61" s="1" t="s">
        <v>2542</v>
      </c>
      <c r="H61" s="1" t="s">
        <v>34</v>
      </c>
      <c r="I61" s="1" t="s">
        <v>50</v>
      </c>
      <c r="J61" s="1" t="s">
        <v>4809</v>
      </c>
      <c r="K61" s="1" t="s">
        <v>2542</v>
      </c>
      <c r="L61" s="1" t="s">
        <v>3545</v>
      </c>
      <c r="M61" s="1" t="s">
        <v>34</v>
      </c>
      <c r="N61" s="1" t="s">
        <v>305</v>
      </c>
      <c r="O61" s="1" t="s">
        <v>2704</v>
      </c>
      <c r="P61" s="1"/>
      <c r="Q61" s="1">
        <f>IFERROR(COUNTIFS(_report[TOURNAMENT_CODE],ВСЕ_КОДЫ[[#This Row],[TOURNAMENT_CODE]],_report[CONTEST_CODE],ВСЕ_КОДЫ[[#This Row],[CONTEST_CODE]]),"-")</f>
        <v>0</v>
      </c>
      <c r="R61" s="1" t="str">
        <f>IFERROR(INDEX(_SCHEDULE_[],MATCH(ВСЕ_КОДЫ[[#This Row],[CONTEST_CODE]],_SCHEDULE_[CONTEST_CODE],0),MATCH($R$1,_SCHEDULE_[#Headers],0)),"-")</f>
        <v>ЗАВЕРШЕН</v>
      </c>
      <c r="S61" s="1" t="str">
        <f>IFERROR(INDEX(_group_[],MATCH(ВСЕ_КОДЫ[[#This Row],[CONTEST_CODE]],_group_[CONTEST_CODE],0),MATCH($S$1,_group_[#Headers],0)),"-")</f>
        <v>BANK</v>
      </c>
      <c r="T61" s="1" t="str">
        <f>IFERROR(INDEX(_INDICATOR_[],MATCH(ВСЕ_КОДЫ[[#This Row],[CONTEST_CODE]],_INDICATOR_[CONTEST_CODE],0),MATCH($T$1,_INDICATOR_[#Headers],0)),"-")</f>
        <v>WAIT</v>
      </c>
      <c r="U61" s="1" t="str">
        <f>IFERROR(INDEX(_reward_link_[],MATCH(ВСЕ_КОДЫ[[#This Row],[CONTEST_CODE]],_reward_link_[CONTEST_CODE],0),MATCH($U$1,_reward_link_[#Headers],0)),"-")</f>
        <v>BANK</v>
      </c>
      <c r="V61" s="1" t="str">
        <f>IFERROR(INDEX(_report[],MATCH(ВСЕ_КОДЫ[[#This Row],[CONTEST_CODE]],_report[CONTEST_CODE],0),MATCH($V$1,_report[#Headers],0)),"-")</f>
        <v>-</v>
      </c>
      <c r="W61" s="1" t="str">
        <f>IFERROR(INDEX(_reward_[],MATCH(ВСЕ_КОДЫ[[#This Row],[REWARD_CODE]],_reward_[REWARD_CODE],0),MATCH($W$1,_reward_[#Headers],0)),"-")</f>
        <v>Серебро#по приросту остатка Активов</v>
      </c>
      <c r="X61" s="1" t="str">
        <f>IFERROR(INDEX(_group_[],MATCH(CONCATENATE(ВСЕ_КОДЫ[[#This Row],[CONTEST_CODE]],"_",X$2),#REF!,0),MATCH(X$1,_group_[#Headers],0)),"-")</f>
        <v>-</v>
      </c>
      <c r="Y61" s="1" t="str">
        <f>IFERROR(INDEX(_group_[],MATCH(CONCATENATE(ВСЕ_КОДЫ[[#This Row],[CONTEST_CODE]],"_",Y$2),#REF!,0),MATCH(Y$1,_group_[#Headers],0)),"-")</f>
        <v>-</v>
      </c>
      <c r="Z61" s="1" t="str">
        <f>IFERROR(INDEX(_group_[],MATCH(CONCATENATE(ВСЕ_КОДЫ[[#This Row],[CONTEST_CODE]],"_",Z$2),#REF!,0),MATCH(Z$1,_group_[#Headers],0)),"-")</f>
        <v>-</v>
      </c>
      <c r="AA61" s="1" t="str">
        <f>IFERROR(INDEX(_group_[],MATCH(CONCATENATE(ВСЕ_КОДЫ[[#This Row],[CONTEST_CODE]],"_",AA$2),#REF!,0),MATCH(AA$1,_group_[#Headers],0)),"-")</f>
        <v>-</v>
      </c>
      <c r="AB61" s="1" t="str">
        <f>IFERROR(INDEX(_DATA_[],MATCH(ВСЕ_КОДЫ[[#This Row],[CONTEST_CODE]],_DATA_[CONTEST_CODE],0),MATCH($AB$2,_DATA_[#Headers],0)),"-")</f>
        <v>["""KMKKSB"""]</v>
      </c>
      <c r="AC61" s="1" t="str">
        <f>CONCATENATE(ВСЕ_КОДЫ[[#This Row],[CONTEST_CODE]],"_",ВСЕ_КОДЫ[[#This Row],[TOURNAMENT_CODE]])</f>
        <v>01_2025-1_14-1_1_t_01_2025-1_14-1_1_3061</v>
      </c>
      <c r="AD61" s="1" t="str">
        <f>ВСЕ_КОДЫ[[#This Row],[FULL_NAME]]</f>
        <v>Активы. Максимизируй прирост остатка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idden="1" x14ac:dyDescent="0.25">
      <c r="A62" s="1" t="s">
        <v>2194</v>
      </c>
      <c r="B62" s="1" t="s">
        <v>2530</v>
      </c>
      <c r="C62" s="1" t="s">
        <v>2321</v>
      </c>
      <c r="D62" s="1" t="s">
        <v>584</v>
      </c>
      <c r="E62" s="1" t="s">
        <v>87</v>
      </c>
      <c r="F62" s="1" t="s">
        <v>2508</v>
      </c>
      <c r="G62" s="1" t="s">
        <v>2542</v>
      </c>
      <c r="H62" s="1" t="s">
        <v>34</v>
      </c>
      <c r="I62" s="1" t="s">
        <v>50</v>
      </c>
      <c r="J62" s="1" t="s">
        <v>2521</v>
      </c>
      <c r="K62" s="1" t="s">
        <v>2522</v>
      </c>
      <c r="L62" s="1" t="s">
        <v>4105</v>
      </c>
      <c r="M62" s="1" t="s">
        <v>176</v>
      </c>
      <c r="N62" s="1" t="s">
        <v>305</v>
      </c>
      <c r="O62" s="1" t="s">
        <v>2707</v>
      </c>
      <c r="P62" s="1"/>
      <c r="Q62" s="1">
        <f>IFERROR(COUNTIFS(_report[TOURNAMENT_CODE],ВСЕ_КОДЫ[[#This Row],[TOURNAMENT_CODE]],_report[CONTEST_CODE],ВСЕ_КОДЫ[[#This Row],[CONTEST_CODE]]),"-")</f>
        <v>0</v>
      </c>
      <c r="R62" s="1" t="str">
        <f>IFERROR(INDEX(_SCHEDULE_[],MATCH(ВСЕ_КОДЫ[[#This Row],[CONTEST_CODE]],_SCHEDULE_[CONTEST_CODE],0),MATCH($R$1,_SCHEDULE_[#Headers],0)),"-")</f>
        <v>ЗАВЕРШЕН</v>
      </c>
      <c r="S62" s="1" t="str">
        <f>IFERROR(INDEX(_group_[],MATCH(ВСЕ_КОДЫ[[#This Row],[CONTEST_CODE]],_group_[CONTEST_CODE],0),MATCH($S$1,_group_[#Headers],0)),"-")</f>
        <v>BANK</v>
      </c>
      <c r="T62" s="1" t="str">
        <f>IFERROR(INDEX(_INDICATOR_[],MATCH(ВСЕ_КОДЫ[[#This Row],[CONTEST_CODE]],_INDICATOR_[CONTEST_CODE],0),MATCH($T$1,_INDICATOR_[#Headers],0)),"-")</f>
        <v>WAIT</v>
      </c>
      <c r="U62" s="1" t="str">
        <f>IFERROR(INDEX(_reward_link_[],MATCH(ВСЕ_КОДЫ[[#This Row],[CONTEST_CODE]],_reward_link_[CONTEST_CODE],0),MATCH($U$1,_reward_link_[#Headers],0)),"-")</f>
        <v>BANK</v>
      </c>
      <c r="V62" s="1" t="str">
        <f>IFERROR(INDEX(_report[],MATCH(ВСЕ_КОДЫ[[#This Row],[CONTEST_CODE]],_report[CONTEST_CODE],0),MATCH($V$1,_report[#Headers],0)),"-")</f>
        <v>-</v>
      </c>
      <c r="W62" s="1" t="str">
        <f>IFERROR(INDEX(_reward_[],MATCH(ВСЕ_КОДЫ[[#This Row],[REWARD_CODE]],_reward_[REWARD_CODE],0),MATCH($W$1,_reward_[#Headers],0)),"-")</f>
        <v>Бронза#по приросту остатка Активов</v>
      </c>
      <c r="X62" s="1" t="str">
        <f>IFERROR(INDEX(_group_[],MATCH(CONCATENATE(ВСЕ_КОДЫ[[#This Row],[CONTEST_CODE]],"_",X$2),#REF!,0),MATCH(X$1,_group_[#Headers],0)),"-")</f>
        <v>-</v>
      </c>
      <c r="Y62" s="1" t="str">
        <f>IFERROR(INDEX(_group_[],MATCH(CONCATENATE(ВСЕ_КОДЫ[[#This Row],[CONTEST_CODE]],"_",Y$2),#REF!,0),MATCH(Y$1,_group_[#Headers],0)),"-")</f>
        <v>-</v>
      </c>
      <c r="Z62" s="1" t="str">
        <f>IFERROR(INDEX(_group_[],MATCH(CONCATENATE(ВСЕ_КОДЫ[[#This Row],[CONTEST_CODE]],"_",Z$2),#REF!,0),MATCH(Z$1,_group_[#Headers],0)),"-")</f>
        <v>-</v>
      </c>
      <c r="AA62" s="1" t="str">
        <f>IFERROR(INDEX(_group_[],MATCH(CONCATENATE(ВСЕ_КОДЫ[[#This Row],[CONTEST_CODE]],"_",AA$2),#REF!,0),MATCH(AA$1,_group_[#Headers],0)),"-")</f>
        <v>-</v>
      </c>
      <c r="AB62" s="1" t="str">
        <f>IFERROR(INDEX(_DATA_[],MATCH(ВСЕ_КОДЫ[[#This Row],[CONTEST_CODE]],_DATA_[CONTEST_CODE],0),MATCH($AB$2,_DATA_[#Headers],0)),"-")</f>
        <v>["""KMKKSB"""]</v>
      </c>
      <c r="AC62" s="1" t="str">
        <f>CONCATENATE(ВСЕ_КОДЫ[[#This Row],[CONTEST_CODE]],"_",ВСЕ_КОДЫ[[#This Row],[TOURNAMENT_CODE]])</f>
        <v>01_2025-1_14-1_1_t_01_2025-1_14-1_1_3021</v>
      </c>
      <c r="AD62" s="1" t="str">
        <f>ВСЕ_КОДЫ[[#This Row],[FULL_NAME]]</f>
        <v>Активы. Максимизируй прирост остатка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idden="1" x14ac:dyDescent="0.25">
      <c r="A63" s="1" t="s">
        <v>2194</v>
      </c>
      <c r="B63" s="1" t="s">
        <v>3221</v>
      </c>
      <c r="C63" s="1" t="s">
        <v>2321</v>
      </c>
      <c r="D63" s="1" t="s">
        <v>584</v>
      </c>
      <c r="E63" s="1" t="s">
        <v>87</v>
      </c>
      <c r="F63" s="1" t="s">
        <v>2508</v>
      </c>
      <c r="G63" s="1" t="s">
        <v>2542</v>
      </c>
      <c r="H63" s="1" t="s">
        <v>34</v>
      </c>
      <c r="I63" s="1" t="s">
        <v>50</v>
      </c>
      <c r="J63" s="1" t="s">
        <v>3219</v>
      </c>
      <c r="K63" s="1" t="s">
        <v>2534</v>
      </c>
      <c r="L63" s="1" t="s">
        <v>4154</v>
      </c>
      <c r="M63" s="1" t="s">
        <v>176</v>
      </c>
      <c r="N63" s="1" t="s">
        <v>305</v>
      </c>
      <c r="O63" s="1" t="s">
        <v>2707</v>
      </c>
      <c r="P63" s="1"/>
      <c r="Q63" s="1">
        <f>IFERROR(COUNTIFS(_report[TOURNAMENT_CODE],ВСЕ_КОДЫ[[#This Row],[TOURNAMENT_CODE]],_report[CONTEST_CODE],ВСЕ_КОДЫ[[#This Row],[CONTEST_CODE]]),"-")</f>
        <v>0</v>
      </c>
      <c r="R63" s="1" t="str">
        <f>IFERROR(INDEX(_SCHEDULE_[],MATCH(ВСЕ_КОДЫ[[#This Row],[CONTEST_CODE]],_SCHEDULE_[CONTEST_CODE],0),MATCH($R$1,_SCHEDULE_[#Headers],0)),"-")</f>
        <v>ЗАВЕРШЕН</v>
      </c>
      <c r="S63" s="1" t="str">
        <f>IFERROR(INDEX(_group_[],MATCH(ВСЕ_КОДЫ[[#This Row],[CONTEST_CODE]],_group_[CONTEST_CODE],0),MATCH($S$1,_group_[#Headers],0)),"-")</f>
        <v>BANK</v>
      </c>
      <c r="T63" s="1" t="str">
        <f>IFERROR(INDEX(_INDICATOR_[],MATCH(ВСЕ_КОДЫ[[#This Row],[CONTEST_CODE]],_INDICATOR_[CONTEST_CODE],0),MATCH($T$1,_INDICATOR_[#Headers],0)),"-")</f>
        <v>WAIT</v>
      </c>
      <c r="U63" s="1" t="str">
        <f>IFERROR(INDEX(_reward_link_[],MATCH(ВСЕ_КОДЫ[[#This Row],[CONTEST_CODE]],_reward_link_[CONTEST_CODE],0),MATCH($U$1,_reward_link_[#Headers],0)),"-")</f>
        <v>BANK</v>
      </c>
      <c r="V63" s="1" t="str">
        <f>IFERROR(INDEX(_report[],MATCH(ВСЕ_КОДЫ[[#This Row],[CONTEST_CODE]],_report[CONTEST_CODE],0),MATCH($V$1,_report[#Headers],0)),"-")</f>
        <v>-</v>
      </c>
      <c r="W63" s="1" t="str">
        <f>IFERROR(INDEX(_reward_[],MATCH(ВСЕ_КОДЫ[[#This Row],[REWARD_CODE]],_reward_[REWARD_CODE],0),MATCH($W$1,_reward_[#Headers],0)),"-")</f>
        <v>Бронза#по приросту остатка Активов</v>
      </c>
      <c r="X63" s="1" t="str">
        <f>IFERROR(INDEX(_group_[],MATCH(CONCATENATE(ВСЕ_КОДЫ[[#This Row],[CONTEST_CODE]],"_",X$2),#REF!,0),MATCH(X$1,_group_[#Headers],0)),"-")</f>
        <v>-</v>
      </c>
      <c r="Y63" s="1" t="str">
        <f>IFERROR(INDEX(_group_[],MATCH(CONCATENATE(ВСЕ_КОДЫ[[#This Row],[CONTEST_CODE]],"_",Y$2),#REF!,0),MATCH(Y$1,_group_[#Headers],0)),"-")</f>
        <v>-</v>
      </c>
      <c r="Z63" s="1" t="str">
        <f>IFERROR(INDEX(_group_[],MATCH(CONCATENATE(ВСЕ_КОДЫ[[#This Row],[CONTEST_CODE]],"_",Z$2),#REF!,0),MATCH(Z$1,_group_[#Headers],0)),"-")</f>
        <v>-</v>
      </c>
      <c r="AA63" s="1" t="str">
        <f>IFERROR(INDEX(_group_[],MATCH(CONCATENATE(ВСЕ_КОДЫ[[#This Row],[CONTEST_CODE]],"_",AA$2),#REF!,0),MATCH(AA$1,_group_[#Headers],0)),"-")</f>
        <v>-</v>
      </c>
      <c r="AB63" s="1" t="str">
        <f>IFERROR(INDEX(_DATA_[],MATCH(ВСЕ_КОДЫ[[#This Row],[CONTEST_CODE]],_DATA_[CONTEST_CODE],0),MATCH($AB$2,_DATA_[#Headers],0)),"-")</f>
        <v>["""KMKKSB"""]</v>
      </c>
      <c r="AC63" s="1" t="str">
        <f>CONCATENATE(ВСЕ_КОДЫ[[#This Row],[CONTEST_CODE]],"_",ВСЕ_КОДЫ[[#This Row],[TOURNAMENT_CODE]])</f>
        <v>01_2025-1_14-1_1_t_01_2025-1_14-1_1_3031</v>
      </c>
      <c r="AD63" s="1" t="str">
        <f>ВСЕ_КОДЫ[[#This Row],[FULL_NAME]]</f>
        <v>Активы. Максимизируй прирост остатка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idden="1" x14ac:dyDescent="0.25">
      <c r="A64" s="1" t="s">
        <v>2194</v>
      </c>
      <c r="B64" s="1" t="s">
        <v>3649</v>
      </c>
      <c r="C64" s="1" t="s">
        <v>2321</v>
      </c>
      <c r="D64" s="1" t="s">
        <v>584</v>
      </c>
      <c r="E64" s="1" t="s">
        <v>87</v>
      </c>
      <c r="F64" s="1" t="s">
        <v>2508</v>
      </c>
      <c r="G64" s="1" t="s">
        <v>2542</v>
      </c>
      <c r="H64" s="1" t="s">
        <v>34</v>
      </c>
      <c r="I64" s="1" t="s">
        <v>50</v>
      </c>
      <c r="J64" s="1" t="s">
        <v>4019</v>
      </c>
      <c r="K64" s="1" t="s">
        <v>3647</v>
      </c>
      <c r="L64" s="1" t="s">
        <v>4776</v>
      </c>
      <c r="M64" s="1" t="s">
        <v>176</v>
      </c>
      <c r="N64" s="1" t="s">
        <v>305</v>
      </c>
      <c r="O64" s="1" t="s">
        <v>2707</v>
      </c>
      <c r="P64" s="1"/>
      <c r="Q64" s="1">
        <f>IFERROR(COUNTIFS(_report[TOURNAMENT_CODE],ВСЕ_КОДЫ[[#This Row],[TOURNAMENT_CODE]],_report[CONTEST_CODE],ВСЕ_КОДЫ[[#This Row],[CONTEST_CODE]]),"-")</f>
        <v>0</v>
      </c>
      <c r="R64" s="1" t="str">
        <f>IFERROR(INDEX(_SCHEDULE_[],MATCH(ВСЕ_КОДЫ[[#This Row],[CONTEST_CODE]],_SCHEDULE_[CONTEST_CODE],0),MATCH($R$1,_SCHEDULE_[#Headers],0)),"-")</f>
        <v>ЗАВЕРШЕН</v>
      </c>
      <c r="S64" s="1" t="str">
        <f>IFERROR(INDEX(_group_[],MATCH(ВСЕ_КОДЫ[[#This Row],[CONTEST_CODE]],_group_[CONTEST_CODE],0),MATCH($S$1,_group_[#Headers],0)),"-")</f>
        <v>BANK</v>
      </c>
      <c r="T64" s="1" t="str">
        <f>IFERROR(INDEX(_INDICATOR_[],MATCH(ВСЕ_КОДЫ[[#This Row],[CONTEST_CODE]],_INDICATOR_[CONTEST_CODE],0),MATCH($T$1,_INDICATOR_[#Headers],0)),"-")</f>
        <v>WAIT</v>
      </c>
      <c r="U64" s="1" t="str">
        <f>IFERROR(INDEX(_reward_link_[],MATCH(ВСЕ_КОДЫ[[#This Row],[CONTEST_CODE]],_reward_link_[CONTEST_CODE],0),MATCH($U$1,_reward_link_[#Headers],0)),"-")</f>
        <v>BANK</v>
      </c>
      <c r="V64" s="1" t="str">
        <f>IFERROR(INDEX(_report[],MATCH(ВСЕ_КОДЫ[[#This Row],[CONTEST_CODE]],_report[CONTEST_CODE],0),MATCH($V$1,_report[#Headers],0)),"-")</f>
        <v>-</v>
      </c>
      <c r="W64" s="1" t="str">
        <f>IFERROR(INDEX(_reward_[],MATCH(ВСЕ_КОДЫ[[#This Row],[REWARD_CODE]],_reward_[REWARD_CODE],0),MATCH($W$1,_reward_[#Headers],0)),"-")</f>
        <v>Бронза#по приросту остатка Активов</v>
      </c>
      <c r="X64" s="1" t="str">
        <f>IFERROR(INDEX(_group_[],MATCH(CONCATENATE(ВСЕ_КОДЫ[[#This Row],[CONTEST_CODE]],"_",X$2),#REF!,0),MATCH(X$1,_group_[#Headers],0)),"-")</f>
        <v>-</v>
      </c>
      <c r="Y64" s="1" t="str">
        <f>IFERROR(INDEX(_group_[],MATCH(CONCATENATE(ВСЕ_КОДЫ[[#This Row],[CONTEST_CODE]],"_",Y$2),#REF!,0),MATCH(Y$1,_group_[#Headers],0)),"-")</f>
        <v>-</v>
      </c>
      <c r="Z64" s="1" t="str">
        <f>IFERROR(INDEX(_group_[],MATCH(CONCATENATE(ВСЕ_КОДЫ[[#This Row],[CONTEST_CODE]],"_",Z$2),#REF!,0),MATCH(Z$1,_group_[#Headers],0)),"-")</f>
        <v>-</v>
      </c>
      <c r="AA64" s="1" t="str">
        <f>IFERROR(INDEX(_group_[],MATCH(CONCATENATE(ВСЕ_КОДЫ[[#This Row],[CONTEST_CODE]],"_",AA$2),#REF!,0),MATCH(AA$1,_group_[#Headers],0)),"-")</f>
        <v>-</v>
      </c>
      <c r="AB64" s="1" t="str">
        <f>IFERROR(INDEX(_DATA_[],MATCH(ВСЕ_КОДЫ[[#This Row],[CONTEST_CODE]],_DATA_[CONTEST_CODE],0),MATCH($AB$2,_DATA_[#Headers],0)),"-")</f>
        <v>["""KMKKSB"""]</v>
      </c>
      <c r="AC64" s="1" t="str">
        <f>CONCATENATE(ВСЕ_КОДЫ[[#This Row],[CONTEST_CODE]],"_",ВСЕ_КОДЫ[[#This Row],[TOURNAMENT_CODE]])</f>
        <v>01_2025-1_14-1_1_t_01_2025-1_14-1_1_3041</v>
      </c>
      <c r="AD64" s="1" t="str">
        <f>ВСЕ_КОДЫ[[#This Row],[FULL_NAME]]</f>
        <v>Активы. Максимизируй прирост остатка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idden="1" x14ac:dyDescent="0.25">
      <c r="A65" s="1" t="s">
        <v>2194</v>
      </c>
      <c r="B65" s="1" t="s">
        <v>4759</v>
      </c>
      <c r="C65" s="1" t="s">
        <v>2321</v>
      </c>
      <c r="D65" s="1" t="s">
        <v>584</v>
      </c>
      <c r="E65" s="1" t="s">
        <v>87</v>
      </c>
      <c r="F65" s="1" t="s">
        <v>2508</v>
      </c>
      <c r="G65" s="1" t="s">
        <v>2542</v>
      </c>
      <c r="H65" s="1" t="s">
        <v>34</v>
      </c>
      <c r="I65" s="1" t="s">
        <v>50</v>
      </c>
      <c r="J65" s="1" t="s">
        <v>2554</v>
      </c>
      <c r="K65" s="1" t="s">
        <v>4756</v>
      </c>
      <c r="L65" s="1" t="s">
        <v>4757</v>
      </c>
      <c r="M65" s="1" t="s">
        <v>34</v>
      </c>
      <c r="N65" s="1" t="s">
        <v>305</v>
      </c>
      <c r="O65" s="1" t="s">
        <v>2707</v>
      </c>
      <c r="P65" s="1"/>
      <c r="Q65" s="1">
        <f>IFERROR(COUNTIFS(_report[TOURNAMENT_CODE],ВСЕ_КОДЫ[[#This Row],[TOURNAMENT_CODE]],_report[CONTEST_CODE],ВСЕ_КОДЫ[[#This Row],[CONTEST_CODE]]),"-")</f>
        <v>0</v>
      </c>
      <c r="R65" s="1" t="str">
        <f>IFERROR(INDEX(_SCHEDULE_[],MATCH(ВСЕ_КОДЫ[[#This Row],[CONTEST_CODE]],_SCHEDULE_[CONTEST_CODE],0),MATCH($R$1,_SCHEDULE_[#Headers],0)),"-")</f>
        <v>ЗАВЕРШЕН</v>
      </c>
      <c r="S65" s="1" t="str">
        <f>IFERROR(INDEX(_group_[],MATCH(ВСЕ_КОДЫ[[#This Row],[CONTEST_CODE]],_group_[CONTEST_CODE],0),MATCH($S$1,_group_[#Headers],0)),"-")</f>
        <v>BANK</v>
      </c>
      <c r="T65" s="1" t="str">
        <f>IFERROR(INDEX(_INDICATOR_[],MATCH(ВСЕ_КОДЫ[[#This Row],[CONTEST_CODE]],_INDICATOR_[CONTEST_CODE],0),MATCH($T$1,_INDICATOR_[#Headers],0)),"-")</f>
        <v>WAIT</v>
      </c>
      <c r="U65" s="1" t="str">
        <f>IFERROR(INDEX(_reward_link_[],MATCH(ВСЕ_КОДЫ[[#This Row],[CONTEST_CODE]],_reward_link_[CONTEST_CODE],0),MATCH($U$1,_reward_link_[#Headers],0)),"-")</f>
        <v>BANK</v>
      </c>
      <c r="V65" s="1" t="str">
        <f>IFERROR(INDEX(_report[],MATCH(ВСЕ_КОДЫ[[#This Row],[CONTEST_CODE]],_report[CONTEST_CODE],0),MATCH($V$1,_report[#Headers],0)),"-")</f>
        <v>-</v>
      </c>
      <c r="W65" s="1" t="str">
        <f>IFERROR(INDEX(_reward_[],MATCH(ВСЕ_КОДЫ[[#This Row],[REWARD_CODE]],_reward_[REWARD_CODE],0),MATCH($W$1,_reward_[#Headers],0)),"-")</f>
        <v>Бронза#по приросту остатка Активов</v>
      </c>
      <c r="X65" s="1" t="str">
        <f>IFERROR(INDEX(_group_[],MATCH(CONCATENATE(ВСЕ_КОДЫ[[#This Row],[CONTEST_CODE]],"_",X$2),#REF!,0),MATCH(X$1,_group_[#Headers],0)),"-")</f>
        <v>-</v>
      </c>
      <c r="Y65" s="1" t="str">
        <f>IFERROR(INDEX(_group_[],MATCH(CONCATENATE(ВСЕ_КОДЫ[[#This Row],[CONTEST_CODE]],"_",Y$2),#REF!,0),MATCH(Y$1,_group_[#Headers],0)),"-")</f>
        <v>-</v>
      </c>
      <c r="Z65" s="1" t="str">
        <f>IFERROR(INDEX(_group_[],MATCH(CONCATENATE(ВСЕ_КОДЫ[[#This Row],[CONTEST_CODE]],"_",Z$2),#REF!,0),MATCH(Z$1,_group_[#Headers],0)),"-")</f>
        <v>-</v>
      </c>
      <c r="AA65" s="1" t="str">
        <f>IFERROR(INDEX(_group_[],MATCH(CONCATENATE(ВСЕ_КОДЫ[[#This Row],[CONTEST_CODE]],"_",AA$2),#REF!,0),MATCH(AA$1,_group_[#Headers],0)),"-")</f>
        <v>-</v>
      </c>
      <c r="AB65" s="1" t="str">
        <f>IFERROR(INDEX(_DATA_[],MATCH(ВСЕ_КОДЫ[[#This Row],[CONTEST_CODE]],_DATA_[CONTEST_CODE],0),MATCH($AB$2,_DATA_[#Headers],0)),"-")</f>
        <v>["""KMKKSB"""]</v>
      </c>
      <c r="AC65" s="1" t="str">
        <f>CONCATENATE(ВСЕ_КОДЫ[[#This Row],[CONTEST_CODE]],"_",ВСЕ_КОДЫ[[#This Row],[TOURNAMENT_CODE]])</f>
        <v>01_2025-1_14-1_1_t_01_2025-1_14-1_1_3051</v>
      </c>
      <c r="AD65" s="1" t="str">
        <f>ВСЕ_КОДЫ[[#This Row],[FULL_NAME]]</f>
        <v>Активы. Максимизируй прирост остатка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idden="1" x14ac:dyDescent="0.25">
      <c r="A66" s="1" t="s">
        <v>2194</v>
      </c>
      <c r="B66" s="1" t="s">
        <v>4811</v>
      </c>
      <c r="C66" s="1" t="s">
        <v>2321</v>
      </c>
      <c r="D66" s="1" t="s">
        <v>584</v>
      </c>
      <c r="E66" s="1" t="s">
        <v>87</v>
      </c>
      <c r="F66" s="1" t="s">
        <v>2508</v>
      </c>
      <c r="G66" s="1" t="s">
        <v>2542</v>
      </c>
      <c r="H66" s="1" t="s">
        <v>34</v>
      </c>
      <c r="I66" s="1" t="s">
        <v>50</v>
      </c>
      <c r="J66" s="1" t="s">
        <v>4809</v>
      </c>
      <c r="K66" s="1" t="s">
        <v>2542</v>
      </c>
      <c r="L66" s="1" t="s">
        <v>3545</v>
      </c>
      <c r="M66" s="1" t="s">
        <v>34</v>
      </c>
      <c r="N66" s="1" t="s">
        <v>305</v>
      </c>
      <c r="O66" s="1" t="s">
        <v>2707</v>
      </c>
      <c r="P66" s="1"/>
      <c r="Q66" s="1">
        <f>IFERROR(COUNTIFS(_report[TOURNAMENT_CODE],ВСЕ_КОДЫ[[#This Row],[TOURNAMENT_CODE]],_report[CONTEST_CODE],ВСЕ_КОДЫ[[#This Row],[CONTEST_CODE]]),"-")</f>
        <v>0</v>
      </c>
      <c r="R66" s="1" t="str">
        <f>IFERROR(INDEX(_SCHEDULE_[],MATCH(ВСЕ_КОДЫ[[#This Row],[CONTEST_CODE]],_SCHEDULE_[CONTEST_CODE],0),MATCH($R$1,_SCHEDULE_[#Headers],0)),"-")</f>
        <v>ЗАВЕРШЕН</v>
      </c>
      <c r="S66" s="1" t="str">
        <f>IFERROR(INDEX(_group_[],MATCH(ВСЕ_КОДЫ[[#This Row],[CONTEST_CODE]],_group_[CONTEST_CODE],0),MATCH($S$1,_group_[#Headers],0)),"-")</f>
        <v>BANK</v>
      </c>
      <c r="T66" s="1" t="str">
        <f>IFERROR(INDEX(_INDICATOR_[],MATCH(ВСЕ_КОДЫ[[#This Row],[CONTEST_CODE]],_INDICATOR_[CONTEST_CODE],0),MATCH($T$1,_INDICATOR_[#Headers],0)),"-")</f>
        <v>WAIT</v>
      </c>
      <c r="U66" s="1" t="str">
        <f>IFERROR(INDEX(_reward_link_[],MATCH(ВСЕ_КОДЫ[[#This Row],[CONTEST_CODE]],_reward_link_[CONTEST_CODE],0),MATCH($U$1,_reward_link_[#Headers],0)),"-")</f>
        <v>BANK</v>
      </c>
      <c r="V66" s="1" t="str">
        <f>IFERROR(INDEX(_report[],MATCH(ВСЕ_КОДЫ[[#This Row],[CONTEST_CODE]],_report[CONTEST_CODE],0),MATCH($V$1,_report[#Headers],0)),"-")</f>
        <v>-</v>
      </c>
      <c r="W66" s="1" t="str">
        <f>IFERROR(INDEX(_reward_[],MATCH(ВСЕ_КОДЫ[[#This Row],[REWARD_CODE]],_reward_[REWARD_CODE],0),MATCH($W$1,_reward_[#Headers],0)),"-")</f>
        <v>Бронза#по приросту остатка Активов</v>
      </c>
      <c r="X66" s="1" t="str">
        <f>IFERROR(INDEX(_group_[],MATCH(CONCATENATE(ВСЕ_КОДЫ[[#This Row],[CONTEST_CODE]],"_",X$2),#REF!,0),MATCH(X$1,_group_[#Headers],0)),"-")</f>
        <v>-</v>
      </c>
      <c r="Y66" s="1" t="str">
        <f>IFERROR(INDEX(_group_[],MATCH(CONCATENATE(ВСЕ_КОДЫ[[#This Row],[CONTEST_CODE]],"_",Y$2),#REF!,0),MATCH(Y$1,_group_[#Headers],0)),"-")</f>
        <v>-</v>
      </c>
      <c r="Z66" s="1" t="str">
        <f>IFERROR(INDEX(_group_[],MATCH(CONCATENATE(ВСЕ_КОДЫ[[#This Row],[CONTEST_CODE]],"_",Z$2),#REF!,0),MATCH(Z$1,_group_[#Headers],0)),"-")</f>
        <v>-</v>
      </c>
      <c r="AA66" s="1" t="str">
        <f>IFERROR(INDEX(_group_[],MATCH(CONCATENATE(ВСЕ_КОДЫ[[#This Row],[CONTEST_CODE]],"_",AA$2),#REF!,0),MATCH(AA$1,_group_[#Headers],0)),"-")</f>
        <v>-</v>
      </c>
      <c r="AB66" s="1" t="str">
        <f>IFERROR(INDEX(_DATA_[],MATCH(ВСЕ_КОДЫ[[#This Row],[CONTEST_CODE]],_DATA_[CONTEST_CODE],0),MATCH($AB$2,_DATA_[#Headers],0)),"-")</f>
        <v>["""KMKKSB"""]</v>
      </c>
      <c r="AC66" s="1" t="str">
        <f>CONCATENATE(ВСЕ_КОДЫ[[#This Row],[CONTEST_CODE]],"_",ВСЕ_КОДЫ[[#This Row],[TOURNAMENT_CODE]])</f>
        <v>01_2025-1_14-1_1_t_01_2025-1_14-1_1_3061</v>
      </c>
      <c r="AD66" s="1" t="str">
        <f>ВСЕ_КОДЫ[[#This Row],[FULL_NAME]]</f>
        <v>Активы. Максимизируй прирост остатка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idden="1" x14ac:dyDescent="0.25">
      <c r="A67" s="1" t="s">
        <v>45</v>
      </c>
      <c r="B67" s="1" t="s">
        <v>196</v>
      </c>
      <c r="C67" s="1" t="s">
        <v>326</v>
      </c>
      <c r="D67" s="1" t="s">
        <v>583</v>
      </c>
      <c r="E67" s="1" t="s">
        <v>46</v>
      </c>
      <c r="F67" s="1" t="s">
        <v>26</v>
      </c>
      <c r="G67" s="1" t="s">
        <v>27</v>
      </c>
      <c r="H67" s="1" t="s">
        <v>28</v>
      </c>
      <c r="I67" s="1" t="s">
        <v>35</v>
      </c>
      <c r="J67" s="1" t="s">
        <v>26</v>
      </c>
      <c r="K67" s="1" t="s">
        <v>153</v>
      </c>
      <c r="L67" s="1" t="s">
        <v>158</v>
      </c>
      <c r="M67" s="1" t="s">
        <v>155</v>
      </c>
      <c r="N67" s="1" t="s">
        <v>305</v>
      </c>
      <c r="O67" s="1" t="s">
        <v>327</v>
      </c>
      <c r="P67" s="1"/>
      <c r="Q67" s="1">
        <f>IFERROR(COUNTIFS(_report[TOURNAMENT_CODE],ВСЕ_КОДЫ[[#This Row],[TOURNAMENT_CODE]],_report[CONTEST_CODE],ВСЕ_КОДЫ[[#This Row],[CONTEST_CODE]]),"-")</f>
        <v>0</v>
      </c>
      <c r="R67" s="1" t="str">
        <f>IFERROR(INDEX(_SCHEDULE_[],MATCH(ВСЕ_КОДЫ[[#This Row],[CONTEST_CODE]],_SCHEDULE_[CONTEST_CODE],0),MATCH($R$1,_SCHEDULE_[#Headers],0)),"-")</f>
        <v>УДАЛЕН</v>
      </c>
      <c r="S67" s="1" t="str">
        <f>IFERROR(INDEX(_group_[],MATCH(ВСЕ_КОДЫ[[#This Row],[CONTEST_CODE]],_group_[CONTEST_CODE],0),MATCH($S$1,_group_[#Headers],0)),"-")</f>
        <v>BANK</v>
      </c>
      <c r="T67" s="1" t="str">
        <f>IFERROR(INDEX(_INDICATOR_[],MATCH(ВСЕ_КОДЫ[[#This Row],[CONTEST_CODE]],_INDICATOR_[CONTEST_CODE],0),MATCH($T$1,_INDICATOR_[#Headers],0)),"-")</f>
        <v>INCOME</v>
      </c>
      <c r="U67" s="1" t="str">
        <f>IFERROR(INDEX(_reward_link_[],MATCH(ВСЕ_КОДЫ[[#This Row],[CONTEST_CODE]],_reward_link_[CONTEST_CODE],0),MATCH($U$1,_reward_link_[#Headers],0)),"-")</f>
        <v>BANK</v>
      </c>
      <c r="V67" s="1" t="str">
        <f>IFERROR(INDEX(_report[],MATCH(ВСЕ_КОДЫ[[#This Row],[CONTEST_CODE]],_report[CONTEST_CODE],0),MATCH($V$1,_report[#Headers],0)),"-")</f>
        <v>-</v>
      </c>
      <c r="W67" s="1" t="str">
        <f>IFERROR(INDEX(_reward_[],MATCH(ВСЕ_КОДЫ[[#This Row],[REWARD_CODE]],_reward_[REWARD_CODE],0),MATCH($W$1,_reward_[#Headers],0)),"-")</f>
        <v>х3 комиссии по сделкам с Индией</v>
      </c>
      <c r="X67" s="1" t="str">
        <f>IFERROR(INDEX(_group_[],MATCH(CONCATENATE(ВСЕ_КОДЫ[[#This Row],[CONTEST_CODE]],"_",X$2),#REF!,0),MATCH(X$1,_group_[#Headers],0)),"-")</f>
        <v>-</v>
      </c>
      <c r="Y67" s="1" t="str">
        <f>IFERROR(INDEX(_group_[],MATCH(CONCATENATE(ВСЕ_КОДЫ[[#This Row],[CONTEST_CODE]],"_",Y$2),#REF!,0),MATCH(Y$1,_group_[#Headers],0)),"-")</f>
        <v>-</v>
      </c>
      <c r="Z67" s="1" t="str">
        <f>IFERROR(INDEX(_group_[],MATCH(CONCATENATE(ВСЕ_КОДЫ[[#This Row],[CONTEST_CODE]],"_",Z$2),#REF!,0),MATCH(Z$1,_group_[#Headers],0)),"-")</f>
        <v>-</v>
      </c>
      <c r="AA67" s="1" t="str">
        <f>IFERROR(INDEX(_group_[],MATCH(CONCATENATE(ВСЕ_КОДЫ[[#This Row],[CONTEST_CODE]],"_",AA$2),#REF!,0),MATCH(AA$1,_group_[#Headers],0)),"-")</f>
        <v>-</v>
      </c>
      <c r="AB67" s="1" t="str">
        <f>IFERROR(INDEX(_DATA_[],MATCH(ВСЕ_КОДЫ[[#This Row],[CONTEST_CODE]],_DATA_[CONTEST_CODE],0),MATCH($AB$2,_DATA_[#Headers],0)),"-")</f>
        <v>["""KMKKSB"""]</v>
      </c>
      <c r="AC67" s="1" t="str">
        <f>CONCATENATE(ВСЕ_КОДЫ[[#This Row],[CONTEST_CODE]],"_",ВСЕ_КОДЫ[[#This Row],[TOURNAMENT_CODE]])</f>
        <v>CONTEST_06_TOURNAMENT_06_01</v>
      </c>
      <c r="AD67" s="1" t="str">
        <f>ВСЕ_КОДЫ[[#This Row],[FULL_NAME]]</f>
        <v>Индия сделай х3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idden="1" x14ac:dyDescent="0.25">
      <c r="A68" s="1" t="s">
        <v>45</v>
      </c>
      <c r="B68" s="1" t="s">
        <v>197</v>
      </c>
      <c r="C68" s="1" t="s">
        <v>326</v>
      </c>
      <c r="D68" s="1" t="s">
        <v>583</v>
      </c>
      <c r="E68" s="1" t="s">
        <v>46</v>
      </c>
      <c r="F68" s="1" t="s">
        <v>26</v>
      </c>
      <c r="G68" s="1" t="s">
        <v>27</v>
      </c>
      <c r="H68" s="1" t="s">
        <v>28</v>
      </c>
      <c r="I68" s="1" t="s">
        <v>35</v>
      </c>
      <c r="J68" s="1" t="s">
        <v>157</v>
      </c>
      <c r="K68" s="1" t="s">
        <v>154</v>
      </c>
      <c r="L68" s="1" t="s">
        <v>158</v>
      </c>
      <c r="M68" s="1" t="s">
        <v>155</v>
      </c>
      <c r="N68" s="1" t="s">
        <v>305</v>
      </c>
      <c r="O68" s="1" t="s">
        <v>327</v>
      </c>
      <c r="P68" s="1"/>
      <c r="Q68" s="1">
        <f>IFERROR(COUNTIFS(_report[TOURNAMENT_CODE],ВСЕ_КОДЫ[[#This Row],[TOURNAMENT_CODE]],_report[CONTEST_CODE],ВСЕ_КОДЫ[[#This Row],[CONTEST_CODE]]),"-")</f>
        <v>0</v>
      </c>
      <c r="R68" s="1" t="str">
        <f>IFERROR(INDEX(_SCHEDULE_[],MATCH(ВСЕ_КОДЫ[[#This Row],[CONTEST_CODE]],_SCHEDULE_[CONTEST_CODE],0),MATCH($R$1,_SCHEDULE_[#Headers],0)),"-")</f>
        <v>УДАЛЕН</v>
      </c>
      <c r="S68" s="1" t="str">
        <f>IFERROR(INDEX(_group_[],MATCH(ВСЕ_КОДЫ[[#This Row],[CONTEST_CODE]],_group_[CONTEST_CODE],0),MATCH($S$1,_group_[#Headers],0)),"-")</f>
        <v>BANK</v>
      </c>
      <c r="T68" s="1" t="str">
        <f>IFERROR(INDEX(_INDICATOR_[],MATCH(ВСЕ_КОДЫ[[#This Row],[CONTEST_CODE]],_INDICATOR_[CONTEST_CODE],0),MATCH($T$1,_INDICATOR_[#Headers],0)),"-")</f>
        <v>INCOME</v>
      </c>
      <c r="U68" s="1" t="str">
        <f>IFERROR(INDEX(_reward_link_[],MATCH(ВСЕ_КОДЫ[[#This Row],[CONTEST_CODE]],_reward_link_[CONTEST_CODE],0),MATCH($U$1,_reward_link_[#Headers],0)),"-")</f>
        <v>BANK</v>
      </c>
      <c r="V68" s="1" t="str">
        <f>IFERROR(INDEX(_report[],MATCH(ВСЕ_КОДЫ[[#This Row],[CONTEST_CODE]],_report[CONTEST_CODE],0),MATCH($V$1,_report[#Headers],0)),"-")</f>
        <v>-</v>
      </c>
      <c r="W68" s="1" t="str">
        <f>IFERROR(INDEX(_reward_[],MATCH(ВСЕ_КОДЫ[[#This Row],[REWARD_CODE]],_reward_[REWARD_CODE],0),MATCH($W$1,_reward_[#Headers],0)),"-")</f>
        <v>х3 комиссии по сделкам с Индией</v>
      </c>
      <c r="X68" s="1" t="str">
        <f>IFERROR(INDEX(_group_[],MATCH(CONCATENATE(ВСЕ_КОДЫ[[#This Row],[CONTEST_CODE]],"_",X$2),#REF!,0),MATCH(X$1,_group_[#Headers],0)),"-")</f>
        <v>-</v>
      </c>
      <c r="Y68" s="1" t="str">
        <f>IFERROR(INDEX(_group_[],MATCH(CONCATENATE(ВСЕ_КОДЫ[[#This Row],[CONTEST_CODE]],"_",Y$2),#REF!,0),MATCH(Y$1,_group_[#Headers],0)),"-")</f>
        <v>-</v>
      </c>
      <c r="Z68" s="1" t="str">
        <f>IFERROR(INDEX(_group_[],MATCH(CONCATENATE(ВСЕ_КОДЫ[[#This Row],[CONTEST_CODE]],"_",Z$2),#REF!,0),MATCH(Z$1,_group_[#Headers],0)),"-")</f>
        <v>-</v>
      </c>
      <c r="AA68" s="1" t="str">
        <f>IFERROR(INDEX(_group_[],MATCH(CONCATENATE(ВСЕ_КОДЫ[[#This Row],[CONTEST_CODE]],"_",AA$2),#REF!,0),MATCH(AA$1,_group_[#Headers],0)),"-")</f>
        <v>-</v>
      </c>
      <c r="AB68" s="1" t="str">
        <f>IFERROR(INDEX(_DATA_[],MATCH(ВСЕ_КОДЫ[[#This Row],[CONTEST_CODE]],_DATA_[CONTEST_CODE],0),MATCH($AB$2,_DATA_[#Headers],0)),"-")</f>
        <v>["""KMKKSB"""]</v>
      </c>
      <c r="AC68" s="1" t="str">
        <f>CONCATENATE(ВСЕ_КОДЫ[[#This Row],[CONTEST_CODE]],"_",ВСЕ_КОДЫ[[#This Row],[TOURNAMENT_CODE]])</f>
        <v>CONTEST_06_TOURNAMENT_06_02</v>
      </c>
      <c r="AD68" s="1" t="str">
        <f>ВСЕ_КОДЫ[[#This Row],[FULL_NAME]]</f>
        <v>Индия сделай х3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idden="1" x14ac:dyDescent="0.25">
      <c r="A69" s="1" t="s">
        <v>45</v>
      </c>
      <c r="B69" s="1" t="s">
        <v>198</v>
      </c>
      <c r="C69" s="1" t="s">
        <v>326</v>
      </c>
      <c r="D69" s="1" t="s">
        <v>583</v>
      </c>
      <c r="E69" s="1" t="s">
        <v>46</v>
      </c>
      <c r="F69" s="1" t="s">
        <v>26</v>
      </c>
      <c r="G69" s="1" t="s">
        <v>27</v>
      </c>
      <c r="H69" s="1" t="s">
        <v>28</v>
      </c>
      <c r="I69" s="1" t="s">
        <v>35</v>
      </c>
      <c r="J69" s="1" t="s">
        <v>160</v>
      </c>
      <c r="K69" s="1" t="s">
        <v>161</v>
      </c>
      <c r="L69" s="1" t="s">
        <v>162</v>
      </c>
      <c r="M69" s="1" t="s">
        <v>155</v>
      </c>
      <c r="N69" s="1" t="s">
        <v>305</v>
      </c>
      <c r="O69" s="1" t="s">
        <v>327</v>
      </c>
      <c r="P69" s="1"/>
      <c r="Q69" s="1">
        <f>IFERROR(COUNTIFS(_report[TOURNAMENT_CODE],ВСЕ_КОДЫ[[#This Row],[TOURNAMENT_CODE]],_report[CONTEST_CODE],ВСЕ_КОДЫ[[#This Row],[CONTEST_CODE]]),"-")</f>
        <v>0</v>
      </c>
      <c r="R69" s="1" t="str">
        <f>IFERROR(INDEX(_SCHEDULE_[],MATCH(ВСЕ_КОДЫ[[#This Row],[CONTEST_CODE]],_SCHEDULE_[CONTEST_CODE],0),MATCH($R$1,_SCHEDULE_[#Headers],0)),"-")</f>
        <v>УДАЛЕН</v>
      </c>
      <c r="S69" s="1" t="str">
        <f>IFERROR(INDEX(_group_[],MATCH(ВСЕ_КОДЫ[[#This Row],[CONTEST_CODE]],_group_[CONTEST_CODE],0),MATCH($S$1,_group_[#Headers],0)),"-")</f>
        <v>BANK</v>
      </c>
      <c r="T69" s="1" t="str">
        <f>IFERROR(INDEX(_INDICATOR_[],MATCH(ВСЕ_КОДЫ[[#This Row],[CONTEST_CODE]],_INDICATOR_[CONTEST_CODE],0),MATCH($T$1,_INDICATOR_[#Headers],0)),"-")</f>
        <v>INCOME</v>
      </c>
      <c r="U69" s="1" t="str">
        <f>IFERROR(INDEX(_reward_link_[],MATCH(ВСЕ_КОДЫ[[#This Row],[CONTEST_CODE]],_reward_link_[CONTEST_CODE],0),MATCH($U$1,_reward_link_[#Headers],0)),"-")</f>
        <v>BANK</v>
      </c>
      <c r="V69" s="1" t="str">
        <f>IFERROR(INDEX(_report[],MATCH(ВСЕ_КОДЫ[[#This Row],[CONTEST_CODE]],_report[CONTEST_CODE],0),MATCH($V$1,_report[#Headers],0)),"-")</f>
        <v>-</v>
      </c>
      <c r="W69" s="1" t="str">
        <f>IFERROR(INDEX(_reward_[],MATCH(ВСЕ_КОДЫ[[#This Row],[REWARD_CODE]],_reward_[REWARD_CODE],0),MATCH($W$1,_reward_[#Headers],0)),"-")</f>
        <v>х3 комиссии по сделкам с Индией</v>
      </c>
      <c r="X69" s="1" t="str">
        <f>IFERROR(INDEX(_group_[],MATCH(CONCATENATE(ВСЕ_КОДЫ[[#This Row],[CONTEST_CODE]],"_",X$2),#REF!,0),MATCH(X$1,_group_[#Headers],0)),"-")</f>
        <v>-</v>
      </c>
      <c r="Y69" s="1" t="str">
        <f>IFERROR(INDEX(_group_[],MATCH(CONCATENATE(ВСЕ_КОДЫ[[#This Row],[CONTEST_CODE]],"_",Y$2),#REF!,0),MATCH(Y$1,_group_[#Headers],0)),"-")</f>
        <v>-</v>
      </c>
      <c r="Z69" s="1" t="str">
        <f>IFERROR(INDEX(_group_[],MATCH(CONCATENATE(ВСЕ_КОДЫ[[#This Row],[CONTEST_CODE]],"_",Z$2),#REF!,0),MATCH(Z$1,_group_[#Headers],0)),"-")</f>
        <v>-</v>
      </c>
      <c r="AA69" s="1" t="str">
        <f>IFERROR(INDEX(_group_[],MATCH(CONCATENATE(ВСЕ_КОДЫ[[#This Row],[CONTEST_CODE]],"_",AA$2),#REF!,0),MATCH(AA$1,_group_[#Headers],0)),"-")</f>
        <v>-</v>
      </c>
      <c r="AB69" s="1" t="str">
        <f>IFERROR(INDEX(_DATA_[],MATCH(ВСЕ_КОДЫ[[#This Row],[CONTEST_CODE]],_DATA_[CONTEST_CODE],0),MATCH($AB$2,_DATA_[#Headers],0)),"-")</f>
        <v>["""KMKKSB"""]</v>
      </c>
      <c r="AC69" s="1" t="str">
        <f>CONCATENATE(ВСЕ_КОДЫ[[#This Row],[CONTEST_CODE]],"_",ВСЕ_КОДЫ[[#This Row],[TOURNAMENT_CODE]])</f>
        <v>CONTEST_06_TOURNAMENT_06_03</v>
      </c>
      <c r="AD69" s="1" t="str">
        <f>ВСЕ_КОДЫ[[#This Row],[FULL_NAME]]</f>
        <v>Индия сделай х3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idden="1" x14ac:dyDescent="0.25">
      <c r="A70" s="1" t="s">
        <v>45</v>
      </c>
      <c r="B70" s="1" t="s">
        <v>199</v>
      </c>
      <c r="C70" s="1" t="s">
        <v>326</v>
      </c>
      <c r="D70" s="1" t="s">
        <v>583</v>
      </c>
      <c r="E70" s="1" t="s">
        <v>46</v>
      </c>
      <c r="F70" s="1" t="s">
        <v>26</v>
      </c>
      <c r="G70" s="1" t="s">
        <v>27</v>
      </c>
      <c r="H70" s="1" t="s">
        <v>28</v>
      </c>
      <c r="I70" s="1" t="s">
        <v>35</v>
      </c>
      <c r="J70" s="1" t="s">
        <v>147</v>
      </c>
      <c r="K70" s="1" t="s">
        <v>164</v>
      </c>
      <c r="L70" s="1" t="s">
        <v>165</v>
      </c>
      <c r="M70" s="1" t="s">
        <v>155</v>
      </c>
      <c r="N70" s="1" t="s">
        <v>305</v>
      </c>
      <c r="O70" s="1" t="s">
        <v>327</v>
      </c>
      <c r="P70" s="1"/>
      <c r="Q70" s="1">
        <f>IFERROR(COUNTIFS(_report[TOURNAMENT_CODE],ВСЕ_КОДЫ[[#This Row],[TOURNAMENT_CODE]],_report[CONTEST_CODE],ВСЕ_КОДЫ[[#This Row],[CONTEST_CODE]]),"-")</f>
        <v>0</v>
      </c>
      <c r="R70" s="1" t="str">
        <f>IFERROR(INDEX(_SCHEDULE_[],MATCH(ВСЕ_КОДЫ[[#This Row],[CONTEST_CODE]],_SCHEDULE_[CONTEST_CODE],0),MATCH($R$1,_SCHEDULE_[#Headers],0)),"-")</f>
        <v>УДАЛЕН</v>
      </c>
      <c r="S70" s="1" t="str">
        <f>IFERROR(INDEX(_group_[],MATCH(ВСЕ_КОДЫ[[#This Row],[CONTEST_CODE]],_group_[CONTEST_CODE],0),MATCH($S$1,_group_[#Headers],0)),"-")</f>
        <v>BANK</v>
      </c>
      <c r="T70" s="1" t="str">
        <f>IFERROR(INDEX(_INDICATOR_[],MATCH(ВСЕ_КОДЫ[[#This Row],[CONTEST_CODE]],_INDICATOR_[CONTEST_CODE],0),MATCH($T$1,_INDICATOR_[#Headers],0)),"-")</f>
        <v>INCOME</v>
      </c>
      <c r="U70" s="1" t="str">
        <f>IFERROR(INDEX(_reward_link_[],MATCH(ВСЕ_КОДЫ[[#This Row],[CONTEST_CODE]],_reward_link_[CONTEST_CODE],0),MATCH($U$1,_reward_link_[#Headers],0)),"-")</f>
        <v>BANK</v>
      </c>
      <c r="V70" s="1" t="str">
        <f>IFERROR(INDEX(_report[],MATCH(ВСЕ_КОДЫ[[#This Row],[CONTEST_CODE]],_report[CONTEST_CODE],0),MATCH($V$1,_report[#Headers],0)),"-")</f>
        <v>-</v>
      </c>
      <c r="W70" s="1" t="str">
        <f>IFERROR(INDEX(_reward_[],MATCH(ВСЕ_КОДЫ[[#This Row],[REWARD_CODE]],_reward_[REWARD_CODE],0),MATCH($W$1,_reward_[#Headers],0)),"-")</f>
        <v>х3 комиссии по сделкам с Индией</v>
      </c>
      <c r="X70" s="1" t="str">
        <f>IFERROR(INDEX(_group_[],MATCH(CONCATENATE(ВСЕ_КОДЫ[[#This Row],[CONTEST_CODE]],"_",X$2),#REF!,0),MATCH(X$1,_group_[#Headers],0)),"-")</f>
        <v>-</v>
      </c>
      <c r="Y70" s="1" t="str">
        <f>IFERROR(INDEX(_group_[],MATCH(CONCATENATE(ВСЕ_КОДЫ[[#This Row],[CONTEST_CODE]],"_",Y$2),#REF!,0),MATCH(Y$1,_group_[#Headers],0)),"-")</f>
        <v>-</v>
      </c>
      <c r="Z70" s="1" t="str">
        <f>IFERROR(INDEX(_group_[],MATCH(CONCATENATE(ВСЕ_КОДЫ[[#This Row],[CONTEST_CODE]],"_",Z$2),#REF!,0),MATCH(Z$1,_group_[#Headers],0)),"-")</f>
        <v>-</v>
      </c>
      <c r="AA70" s="1" t="str">
        <f>IFERROR(INDEX(_group_[],MATCH(CONCATENATE(ВСЕ_КОДЫ[[#This Row],[CONTEST_CODE]],"_",AA$2),#REF!,0),MATCH(AA$1,_group_[#Headers],0)),"-")</f>
        <v>-</v>
      </c>
      <c r="AB70" s="1" t="str">
        <f>IFERROR(INDEX(_DATA_[],MATCH(ВСЕ_КОДЫ[[#This Row],[CONTEST_CODE]],_DATA_[CONTEST_CODE],0),MATCH($AB$2,_DATA_[#Headers],0)),"-")</f>
        <v>["""KMKKSB"""]</v>
      </c>
      <c r="AC70" s="1" t="str">
        <f>CONCATENATE(ВСЕ_КОДЫ[[#This Row],[CONTEST_CODE]],"_",ВСЕ_КОДЫ[[#This Row],[TOURNAMENT_CODE]])</f>
        <v>CONTEST_06_TOURNAMENT_06_04</v>
      </c>
      <c r="AD70" s="1" t="str">
        <f>ВСЕ_КОДЫ[[#This Row],[FULL_NAME]]</f>
        <v>Индия сделай х3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idden="1" x14ac:dyDescent="0.25">
      <c r="A71" s="1" t="s">
        <v>45</v>
      </c>
      <c r="B71" s="1" t="s">
        <v>200</v>
      </c>
      <c r="C71" s="1" t="s">
        <v>326</v>
      </c>
      <c r="D71" s="1" t="s">
        <v>583</v>
      </c>
      <c r="E71" s="1" t="s">
        <v>46</v>
      </c>
      <c r="F71" s="1" t="s">
        <v>26</v>
      </c>
      <c r="G71" s="1" t="s">
        <v>27</v>
      </c>
      <c r="H71" s="1" t="s">
        <v>28</v>
      </c>
      <c r="I71" s="1" t="s">
        <v>35</v>
      </c>
      <c r="J71" s="1" t="s">
        <v>76</v>
      </c>
      <c r="K71" s="1" t="s">
        <v>167</v>
      </c>
      <c r="L71" s="1" t="s">
        <v>168</v>
      </c>
      <c r="M71" s="1" t="s">
        <v>155</v>
      </c>
      <c r="N71" s="1" t="s">
        <v>305</v>
      </c>
      <c r="O71" s="1" t="s">
        <v>327</v>
      </c>
      <c r="P71" s="1"/>
      <c r="Q71" s="1">
        <f>IFERROR(COUNTIFS(_report[TOURNAMENT_CODE],ВСЕ_КОДЫ[[#This Row],[TOURNAMENT_CODE]],_report[CONTEST_CODE],ВСЕ_КОДЫ[[#This Row],[CONTEST_CODE]]),"-")</f>
        <v>0</v>
      </c>
      <c r="R71" s="1" t="str">
        <f>IFERROR(INDEX(_SCHEDULE_[],MATCH(ВСЕ_КОДЫ[[#This Row],[CONTEST_CODE]],_SCHEDULE_[CONTEST_CODE],0),MATCH($R$1,_SCHEDULE_[#Headers],0)),"-")</f>
        <v>УДАЛЕН</v>
      </c>
      <c r="S71" s="1" t="str">
        <f>IFERROR(INDEX(_group_[],MATCH(ВСЕ_КОДЫ[[#This Row],[CONTEST_CODE]],_group_[CONTEST_CODE],0),MATCH($S$1,_group_[#Headers],0)),"-")</f>
        <v>BANK</v>
      </c>
      <c r="T71" s="1" t="str">
        <f>IFERROR(INDEX(_INDICATOR_[],MATCH(ВСЕ_КОДЫ[[#This Row],[CONTEST_CODE]],_INDICATOR_[CONTEST_CODE],0),MATCH($T$1,_INDICATOR_[#Headers],0)),"-")</f>
        <v>INCOME</v>
      </c>
      <c r="U71" s="1" t="str">
        <f>IFERROR(INDEX(_reward_link_[],MATCH(ВСЕ_КОДЫ[[#This Row],[CONTEST_CODE]],_reward_link_[CONTEST_CODE],0),MATCH($U$1,_reward_link_[#Headers],0)),"-")</f>
        <v>BANK</v>
      </c>
      <c r="V71" s="1" t="str">
        <f>IFERROR(INDEX(_report[],MATCH(ВСЕ_КОДЫ[[#This Row],[CONTEST_CODE]],_report[CONTEST_CODE],0),MATCH($V$1,_report[#Headers],0)),"-")</f>
        <v>-</v>
      </c>
      <c r="W71" s="1" t="str">
        <f>IFERROR(INDEX(_reward_[],MATCH(ВСЕ_КОДЫ[[#This Row],[REWARD_CODE]],_reward_[REWARD_CODE],0),MATCH($W$1,_reward_[#Headers],0)),"-")</f>
        <v>х3 комиссии по сделкам с Индией</v>
      </c>
      <c r="X71" s="1" t="str">
        <f>IFERROR(INDEX(_group_[],MATCH(CONCATENATE(ВСЕ_КОДЫ[[#This Row],[CONTEST_CODE]],"_",X$2),#REF!,0),MATCH(X$1,_group_[#Headers],0)),"-")</f>
        <v>-</v>
      </c>
      <c r="Y71" s="1" t="str">
        <f>IFERROR(INDEX(_group_[],MATCH(CONCATENATE(ВСЕ_КОДЫ[[#This Row],[CONTEST_CODE]],"_",Y$2),#REF!,0),MATCH(Y$1,_group_[#Headers],0)),"-")</f>
        <v>-</v>
      </c>
      <c r="Z71" s="1" t="str">
        <f>IFERROR(INDEX(_group_[],MATCH(CONCATENATE(ВСЕ_КОДЫ[[#This Row],[CONTEST_CODE]],"_",Z$2),#REF!,0),MATCH(Z$1,_group_[#Headers],0)),"-")</f>
        <v>-</v>
      </c>
      <c r="AA71" s="1" t="str">
        <f>IFERROR(INDEX(_group_[],MATCH(CONCATENATE(ВСЕ_КОДЫ[[#This Row],[CONTEST_CODE]],"_",AA$2),#REF!,0),MATCH(AA$1,_group_[#Headers],0)),"-")</f>
        <v>-</v>
      </c>
      <c r="AB71" s="1" t="str">
        <f>IFERROR(INDEX(_DATA_[],MATCH(ВСЕ_КОДЫ[[#This Row],[CONTEST_CODE]],_DATA_[CONTEST_CODE],0),MATCH($AB$2,_DATA_[#Headers],0)),"-")</f>
        <v>["""KMKKSB"""]</v>
      </c>
      <c r="AC71" s="1" t="str">
        <f>CONCATENATE(ВСЕ_КОДЫ[[#This Row],[CONTEST_CODE]],"_",ВСЕ_КОДЫ[[#This Row],[TOURNAMENT_CODE]])</f>
        <v>CONTEST_06_TOURNAMENT_06_05</v>
      </c>
      <c r="AD71" s="1" t="str">
        <f>ВСЕ_КОДЫ[[#This Row],[FULL_NAME]]</f>
        <v>Индия сделай х3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idden="1" x14ac:dyDescent="0.25">
      <c r="A72" s="1" t="s">
        <v>45</v>
      </c>
      <c r="B72" s="1" t="s">
        <v>201</v>
      </c>
      <c r="C72" s="1" t="s">
        <v>326</v>
      </c>
      <c r="D72" s="1" t="s">
        <v>583</v>
      </c>
      <c r="E72" s="1" t="s">
        <v>46</v>
      </c>
      <c r="F72" s="1" t="s">
        <v>26</v>
      </c>
      <c r="G72" s="1" t="s">
        <v>27</v>
      </c>
      <c r="H72" s="1" t="s">
        <v>28</v>
      </c>
      <c r="I72" s="1" t="s">
        <v>35</v>
      </c>
      <c r="J72" s="1" t="s">
        <v>170</v>
      </c>
      <c r="K72" s="1" t="s">
        <v>171</v>
      </c>
      <c r="L72" s="1" t="s">
        <v>172</v>
      </c>
      <c r="M72" s="1" t="s">
        <v>155</v>
      </c>
      <c r="N72" s="1" t="s">
        <v>305</v>
      </c>
      <c r="O72" s="1" t="s">
        <v>327</v>
      </c>
      <c r="P72" s="1"/>
      <c r="Q72" s="1">
        <f>IFERROR(COUNTIFS(_report[TOURNAMENT_CODE],ВСЕ_КОДЫ[[#This Row],[TOURNAMENT_CODE]],_report[CONTEST_CODE],ВСЕ_КОДЫ[[#This Row],[CONTEST_CODE]]),"-")</f>
        <v>0</v>
      </c>
      <c r="R72" s="1" t="str">
        <f>IFERROR(INDEX(_SCHEDULE_[],MATCH(ВСЕ_КОДЫ[[#This Row],[CONTEST_CODE]],_SCHEDULE_[CONTEST_CODE],0),MATCH($R$1,_SCHEDULE_[#Headers],0)),"-")</f>
        <v>УДАЛЕН</v>
      </c>
      <c r="S72" s="1" t="str">
        <f>IFERROR(INDEX(_group_[],MATCH(ВСЕ_КОДЫ[[#This Row],[CONTEST_CODE]],_group_[CONTEST_CODE],0),MATCH($S$1,_group_[#Headers],0)),"-")</f>
        <v>BANK</v>
      </c>
      <c r="T72" s="1" t="str">
        <f>IFERROR(INDEX(_INDICATOR_[],MATCH(ВСЕ_КОДЫ[[#This Row],[CONTEST_CODE]],_INDICATOR_[CONTEST_CODE],0),MATCH($T$1,_INDICATOR_[#Headers],0)),"-")</f>
        <v>INCOME</v>
      </c>
      <c r="U72" s="1" t="str">
        <f>IFERROR(INDEX(_reward_link_[],MATCH(ВСЕ_КОДЫ[[#This Row],[CONTEST_CODE]],_reward_link_[CONTEST_CODE],0),MATCH($U$1,_reward_link_[#Headers],0)),"-")</f>
        <v>BANK</v>
      </c>
      <c r="V72" s="1" t="str">
        <f>IFERROR(INDEX(_report[],MATCH(ВСЕ_КОДЫ[[#This Row],[CONTEST_CODE]],_report[CONTEST_CODE],0),MATCH($V$1,_report[#Headers],0)),"-")</f>
        <v>-</v>
      </c>
      <c r="W72" s="1" t="str">
        <f>IFERROR(INDEX(_reward_[],MATCH(ВСЕ_КОДЫ[[#This Row],[REWARD_CODE]],_reward_[REWARD_CODE],0),MATCH($W$1,_reward_[#Headers],0)),"-")</f>
        <v>х3 комиссии по сделкам с Индией</v>
      </c>
      <c r="X72" s="1" t="str">
        <f>IFERROR(INDEX(_group_[],MATCH(CONCATENATE(ВСЕ_КОДЫ[[#This Row],[CONTEST_CODE]],"_",X$2),#REF!,0),MATCH(X$1,_group_[#Headers],0)),"-")</f>
        <v>-</v>
      </c>
      <c r="Y72" s="1" t="str">
        <f>IFERROR(INDEX(_group_[],MATCH(CONCATENATE(ВСЕ_КОДЫ[[#This Row],[CONTEST_CODE]],"_",Y$2),#REF!,0),MATCH(Y$1,_group_[#Headers],0)),"-")</f>
        <v>-</v>
      </c>
      <c r="Z72" s="1" t="str">
        <f>IFERROR(INDEX(_group_[],MATCH(CONCATENATE(ВСЕ_КОДЫ[[#This Row],[CONTEST_CODE]],"_",Z$2),#REF!,0),MATCH(Z$1,_group_[#Headers],0)),"-")</f>
        <v>-</v>
      </c>
      <c r="AA72" s="1" t="str">
        <f>IFERROR(INDEX(_group_[],MATCH(CONCATENATE(ВСЕ_КОДЫ[[#This Row],[CONTEST_CODE]],"_",AA$2),#REF!,0),MATCH(AA$1,_group_[#Headers],0)),"-")</f>
        <v>-</v>
      </c>
      <c r="AB72" s="1" t="str">
        <f>IFERROR(INDEX(_DATA_[],MATCH(ВСЕ_КОДЫ[[#This Row],[CONTEST_CODE]],_DATA_[CONTEST_CODE],0),MATCH($AB$2,_DATA_[#Headers],0)),"-")</f>
        <v>["""KMKKSB"""]</v>
      </c>
      <c r="AC72" s="1" t="str">
        <f>CONCATENATE(ВСЕ_КОДЫ[[#This Row],[CONTEST_CODE]],"_",ВСЕ_КОДЫ[[#This Row],[TOURNAMENT_CODE]])</f>
        <v>CONTEST_06_TOURNAMENT_06_06</v>
      </c>
      <c r="AD72" s="1" t="str">
        <f>ВСЕ_КОДЫ[[#This Row],[FULL_NAME]]</f>
        <v>Индия сделай х3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idden="1" x14ac:dyDescent="0.25">
      <c r="A73" s="1" t="s">
        <v>47</v>
      </c>
      <c r="B73" s="1" t="s">
        <v>202</v>
      </c>
      <c r="C73" s="1" t="s">
        <v>329</v>
      </c>
      <c r="D73" s="1" t="s">
        <v>583</v>
      </c>
      <c r="E73" s="1" t="s">
        <v>48</v>
      </c>
      <c r="F73" s="1" t="s">
        <v>26</v>
      </c>
      <c r="G73" s="1" t="s">
        <v>27</v>
      </c>
      <c r="H73" s="1" t="s">
        <v>28</v>
      </c>
      <c r="I73" s="1" t="s">
        <v>35</v>
      </c>
      <c r="J73" s="1" t="s">
        <v>26</v>
      </c>
      <c r="K73" s="1" t="s">
        <v>153</v>
      </c>
      <c r="L73" s="1" t="s">
        <v>154</v>
      </c>
      <c r="M73" s="1" t="s">
        <v>155</v>
      </c>
      <c r="N73" s="1" t="s">
        <v>305</v>
      </c>
      <c r="O73" s="1" t="s">
        <v>330</v>
      </c>
      <c r="P73" s="1"/>
      <c r="Q73" s="1">
        <f>IFERROR(COUNTIFS(_report[TOURNAMENT_CODE],ВСЕ_КОДЫ[[#This Row],[TOURNAMENT_CODE]],_report[CONTEST_CODE],ВСЕ_КОДЫ[[#This Row],[CONTEST_CODE]]),"-")</f>
        <v>0</v>
      </c>
      <c r="R73" s="1" t="str">
        <f>IFERROR(INDEX(_SCHEDULE_[],MATCH(ВСЕ_КОДЫ[[#This Row],[CONTEST_CODE]],_SCHEDULE_[CONTEST_CODE],0),MATCH($R$1,_SCHEDULE_[#Headers],0)),"-")</f>
        <v>УДАЛЕН</v>
      </c>
      <c r="S73" s="1" t="str">
        <f>IFERROR(INDEX(_group_[],MATCH(ВСЕ_КОДЫ[[#This Row],[CONTEST_CODE]],_group_[CONTEST_CODE],0),MATCH($S$1,_group_[#Headers],0)),"-")</f>
        <v>BANK</v>
      </c>
      <c r="T73" s="1" t="str">
        <f>IFERROR(INDEX(_INDICATOR_[],MATCH(ВСЕ_КОДЫ[[#This Row],[CONTEST_CODE]],_INDICATOR_[CONTEST_CODE],0),MATCH($T$1,_INDICATOR_[#Headers],0)),"-")</f>
        <v>INCOME</v>
      </c>
      <c r="U73" s="1" t="str">
        <f>IFERROR(INDEX(_reward_link_[],MATCH(ВСЕ_КОДЫ[[#This Row],[CONTEST_CODE]],_reward_link_[CONTEST_CODE],0),MATCH($U$1,_reward_link_[#Headers],0)),"-")</f>
        <v>BANK</v>
      </c>
      <c r="V73" s="1" t="str">
        <f>IFERROR(INDEX(_report[],MATCH(ВСЕ_КОДЫ[[#This Row],[CONTEST_CODE]],_report[CONTEST_CODE],0),MATCH($V$1,_report[#Headers],0)),"-")</f>
        <v>-</v>
      </c>
      <c r="W73" s="1" t="str">
        <f>IFERROR(INDEX(_reward_[],MATCH(ВСЕ_КОДЫ[[#This Row],[REWARD_CODE]],_reward_[REWARD_CODE],0),MATCH($W$1,_reward_[#Headers],0)),"-")</f>
        <v>х4 комиссии по сделкам с Индией</v>
      </c>
      <c r="X73" s="1" t="str">
        <f>IFERROR(INDEX(_group_[],MATCH(CONCATENATE(ВСЕ_КОДЫ[[#This Row],[CONTEST_CODE]],"_",X$2),#REF!,0),MATCH(X$1,_group_[#Headers],0)),"-")</f>
        <v>-</v>
      </c>
      <c r="Y73" s="1" t="str">
        <f>IFERROR(INDEX(_group_[],MATCH(CONCATENATE(ВСЕ_КОДЫ[[#This Row],[CONTEST_CODE]],"_",Y$2),#REF!,0),MATCH(Y$1,_group_[#Headers],0)),"-")</f>
        <v>-</v>
      </c>
      <c r="Z73" s="1" t="str">
        <f>IFERROR(INDEX(_group_[],MATCH(CONCATENATE(ВСЕ_КОДЫ[[#This Row],[CONTEST_CODE]],"_",Z$2),#REF!,0),MATCH(Z$1,_group_[#Headers],0)),"-")</f>
        <v>-</v>
      </c>
      <c r="AA73" s="1" t="str">
        <f>IFERROR(INDEX(_group_[],MATCH(CONCATENATE(ВСЕ_КОДЫ[[#This Row],[CONTEST_CODE]],"_",AA$2),#REF!,0),MATCH(AA$1,_group_[#Headers],0)),"-")</f>
        <v>-</v>
      </c>
      <c r="AB73" s="1" t="str">
        <f>IFERROR(INDEX(_DATA_[],MATCH(ВСЕ_КОДЫ[[#This Row],[CONTEST_CODE]],_DATA_[CONTEST_CODE],0),MATCH($AB$2,_DATA_[#Headers],0)),"-")</f>
        <v>["""KMKKSB"""]</v>
      </c>
      <c r="AC73" s="1" t="str">
        <f>CONCATENATE(ВСЕ_КОДЫ[[#This Row],[CONTEST_CODE]],"_",ВСЕ_КОДЫ[[#This Row],[TOURNAMENT_CODE]])</f>
        <v>CONTEST_07_TOURNAMENT_07_01</v>
      </c>
      <c r="AD73" s="1" t="str">
        <f>ВСЕ_КОДЫ[[#This Row],[FULL_NAME]]</f>
        <v>Индия сделай х4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idden="1" x14ac:dyDescent="0.25">
      <c r="A74" s="1" t="s">
        <v>47</v>
      </c>
      <c r="B74" s="1" t="s">
        <v>203</v>
      </c>
      <c r="C74" s="1" t="s">
        <v>329</v>
      </c>
      <c r="D74" s="1" t="s">
        <v>583</v>
      </c>
      <c r="E74" s="1" t="s">
        <v>48</v>
      </c>
      <c r="F74" s="1" t="s">
        <v>26</v>
      </c>
      <c r="G74" s="1" t="s">
        <v>27</v>
      </c>
      <c r="H74" s="1" t="s">
        <v>28</v>
      </c>
      <c r="I74" s="1" t="s">
        <v>35</v>
      </c>
      <c r="J74" s="1" t="s">
        <v>157</v>
      </c>
      <c r="K74" s="1" t="s">
        <v>154</v>
      </c>
      <c r="L74" s="1" t="s">
        <v>158</v>
      </c>
      <c r="M74" s="1" t="s">
        <v>155</v>
      </c>
      <c r="N74" s="1" t="s">
        <v>305</v>
      </c>
      <c r="O74" s="1" t="s">
        <v>330</v>
      </c>
      <c r="P74" s="1"/>
      <c r="Q74" s="1">
        <f>IFERROR(COUNTIFS(_report[TOURNAMENT_CODE],ВСЕ_КОДЫ[[#This Row],[TOURNAMENT_CODE]],_report[CONTEST_CODE],ВСЕ_КОДЫ[[#This Row],[CONTEST_CODE]]),"-")</f>
        <v>0</v>
      </c>
      <c r="R74" s="1" t="str">
        <f>IFERROR(INDEX(_SCHEDULE_[],MATCH(ВСЕ_КОДЫ[[#This Row],[CONTEST_CODE]],_SCHEDULE_[CONTEST_CODE],0),MATCH($R$1,_SCHEDULE_[#Headers],0)),"-")</f>
        <v>УДАЛЕН</v>
      </c>
      <c r="S74" s="1" t="str">
        <f>IFERROR(INDEX(_group_[],MATCH(ВСЕ_КОДЫ[[#This Row],[CONTEST_CODE]],_group_[CONTEST_CODE],0),MATCH($S$1,_group_[#Headers],0)),"-")</f>
        <v>BANK</v>
      </c>
      <c r="T74" s="1" t="str">
        <f>IFERROR(INDEX(_INDICATOR_[],MATCH(ВСЕ_КОДЫ[[#This Row],[CONTEST_CODE]],_INDICATOR_[CONTEST_CODE],0),MATCH($T$1,_INDICATOR_[#Headers],0)),"-")</f>
        <v>INCOME</v>
      </c>
      <c r="U74" s="1" t="str">
        <f>IFERROR(INDEX(_reward_link_[],MATCH(ВСЕ_КОДЫ[[#This Row],[CONTEST_CODE]],_reward_link_[CONTEST_CODE],0),MATCH($U$1,_reward_link_[#Headers],0)),"-")</f>
        <v>BANK</v>
      </c>
      <c r="V74" s="1" t="str">
        <f>IFERROR(INDEX(_report[],MATCH(ВСЕ_КОДЫ[[#This Row],[CONTEST_CODE]],_report[CONTEST_CODE],0),MATCH($V$1,_report[#Headers],0)),"-")</f>
        <v>-</v>
      </c>
      <c r="W74" s="1" t="str">
        <f>IFERROR(INDEX(_reward_[],MATCH(ВСЕ_КОДЫ[[#This Row],[REWARD_CODE]],_reward_[REWARD_CODE],0),MATCH($W$1,_reward_[#Headers],0)),"-")</f>
        <v>х4 комиссии по сделкам с Индией</v>
      </c>
      <c r="X74" s="1" t="str">
        <f>IFERROR(INDEX(_group_[],MATCH(CONCATENATE(ВСЕ_КОДЫ[[#This Row],[CONTEST_CODE]],"_",X$2),#REF!,0),MATCH(X$1,_group_[#Headers],0)),"-")</f>
        <v>-</v>
      </c>
      <c r="Y74" s="1" t="str">
        <f>IFERROR(INDEX(_group_[],MATCH(CONCATENATE(ВСЕ_КОДЫ[[#This Row],[CONTEST_CODE]],"_",Y$2),#REF!,0),MATCH(Y$1,_group_[#Headers],0)),"-")</f>
        <v>-</v>
      </c>
      <c r="Z74" s="1" t="str">
        <f>IFERROR(INDEX(_group_[],MATCH(CONCATENATE(ВСЕ_КОДЫ[[#This Row],[CONTEST_CODE]],"_",Z$2),#REF!,0),MATCH(Z$1,_group_[#Headers],0)),"-")</f>
        <v>-</v>
      </c>
      <c r="AA74" s="1" t="str">
        <f>IFERROR(INDEX(_group_[],MATCH(CONCATENATE(ВСЕ_КОДЫ[[#This Row],[CONTEST_CODE]],"_",AA$2),#REF!,0),MATCH(AA$1,_group_[#Headers],0)),"-")</f>
        <v>-</v>
      </c>
      <c r="AB74" s="1" t="str">
        <f>IFERROR(INDEX(_DATA_[],MATCH(ВСЕ_КОДЫ[[#This Row],[CONTEST_CODE]],_DATA_[CONTEST_CODE],0),MATCH($AB$2,_DATA_[#Headers],0)),"-")</f>
        <v>["""KMKKSB"""]</v>
      </c>
      <c r="AC74" s="1" t="str">
        <f>CONCATENATE(ВСЕ_КОДЫ[[#This Row],[CONTEST_CODE]],"_",ВСЕ_КОДЫ[[#This Row],[TOURNAMENT_CODE]])</f>
        <v>CONTEST_07_TOURNAMENT_07_02</v>
      </c>
      <c r="AD74" s="1" t="str">
        <f>ВСЕ_КОДЫ[[#This Row],[FULL_NAME]]</f>
        <v>Индия сделай х4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idden="1" x14ac:dyDescent="0.25">
      <c r="A75" s="1" t="s">
        <v>47</v>
      </c>
      <c r="B75" s="1" t="s">
        <v>204</v>
      </c>
      <c r="C75" s="1" t="s">
        <v>329</v>
      </c>
      <c r="D75" s="1" t="s">
        <v>583</v>
      </c>
      <c r="E75" s="1" t="s">
        <v>48</v>
      </c>
      <c r="F75" s="1" t="s">
        <v>26</v>
      </c>
      <c r="G75" s="1" t="s">
        <v>27</v>
      </c>
      <c r="H75" s="1" t="s">
        <v>28</v>
      </c>
      <c r="I75" s="1" t="s">
        <v>35</v>
      </c>
      <c r="J75" s="1" t="s">
        <v>160</v>
      </c>
      <c r="K75" s="1" t="s">
        <v>161</v>
      </c>
      <c r="L75" s="1" t="s">
        <v>162</v>
      </c>
      <c r="M75" s="1" t="s">
        <v>155</v>
      </c>
      <c r="N75" s="1" t="s">
        <v>305</v>
      </c>
      <c r="O75" s="1" t="s">
        <v>330</v>
      </c>
      <c r="P75" s="1"/>
      <c r="Q75" s="1">
        <f>IFERROR(COUNTIFS(_report[TOURNAMENT_CODE],ВСЕ_КОДЫ[[#This Row],[TOURNAMENT_CODE]],_report[CONTEST_CODE],ВСЕ_КОДЫ[[#This Row],[CONTEST_CODE]]),"-")</f>
        <v>0</v>
      </c>
      <c r="R75" s="1" t="str">
        <f>IFERROR(INDEX(_SCHEDULE_[],MATCH(ВСЕ_КОДЫ[[#This Row],[CONTEST_CODE]],_SCHEDULE_[CONTEST_CODE],0),MATCH($R$1,_SCHEDULE_[#Headers],0)),"-")</f>
        <v>УДАЛЕН</v>
      </c>
      <c r="S75" s="1" t="str">
        <f>IFERROR(INDEX(_group_[],MATCH(ВСЕ_КОДЫ[[#This Row],[CONTEST_CODE]],_group_[CONTEST_CODE],0),MATCH($S$1,_group_[#Headers],0)),"-")</f>
        <v>BANK</v>
      </c>
      <c r="T75" s="1" t="str">
        <f>IFERROR(INDEX(_INDICATOR_[],MATCH(ВСЕ_КОДЫ[[#This Row],[CONTEST_CODE]],_INDICATOR_[CONTEST_CODE],0),MATCH($T$1,_INDICATOR_[#Headers],0)),"-")</f>
        <v>INCOME</v>
      </c>
      <c r="U75" s="1" t="str">
        <f>IFERROR(INDEX(_reward_link_[],MATCH(ВСЕ_КОДЫ[[#This Row],[CONTEST_CODE]],_reward_link_[CONTEST_CODE],0),MATCH($U$1,_reward_link_[#Headers],0)),"-")</f>
        <v>BANK</v>
      </c>
      <c r="V75" s="1" t="str">
        <f>IFERROR(INDEX(_report[],MATCH(ВСЕ_КОДЫ[[#This Row],[CONTEST_CODE]],_report[CONTEST_CODE],0),MATCH($V$1,_report[#Headers],0)),"-")</f>
        <v>-</v>
      </c>
      <c r="W75" s="1" t="str">
        <f>IFERROR(INDEX(_reward_[],MATCH(ВСЕ_КОДЫ[[#This Row],[REWARD_CODE]],_reward_[REWARD_CODE],0),MATCH($W$1,_reward_[#Headers],0)),"-")</f>
        <v>х4 комиссии по сделкам с Индией</v>
      </c>
      <c r="X75" s="1" t="str">
        <f>IFERROR(INDEX(_group_[],MATCH(CONCATENATE(ВСЕ_КОДЫ[[#This Row],[CONTEST_CODE]],"_",X$2),#REF!,0),MATCH(X$1,_group_[#Headers],0)),"-")</f>
        <v>-</v>
      </c>
      <c r="Y75" s="1" t="str">
        <f>IFERROR(INDEX(_group_[],MATCH(CONCATENATE(ВСЕ_КОДЫ[[#This Row],[CONTEST_CODE]],"_",Y$2),#REF!,0),MATCH(Y$1,_group_[#Headers],0)),"-")</f>
        <v>-</v>
      </c>
      <c r="Z75" s="1" t="str">
        <f>IFERROR(INDEX(_group_[],MATCH(CONCATENATE(ВСЕ_КОДЫ[[#This Row],[CONTEST_CODE]],"_",Z$2),#REF!,0),MATCH(Z$1,_group_[#Headers],0)),"-")</f>
        <v>-</v>
      </c>
      <c r="AA75" s="1" t="str">
        <f>IFERROR(INDEX(_group_[],MATCH(CONCATENATE(ВСЕ_КОДЫ[[#This Row],[CONTEST_CODE]],"_",AA$2),#REF!,0),MATCH(AA$1,_group_[#Headers],0)),"-")</f>
        <v>-</v>
      </c>
      <c r="AB75" s="1" t="str">
        <f>IFERROR(INDEX(_DATA_[],MATCH(ВСЕ_КОДЫ[[#This Row],[CONTEST_CODE]],_DATA_[CONTEST_CODE],0),MATCH($AB$2,_DATA_[#Headers],0)),"-")</f>
        <v>["""KMKKSB"""]</v>
      </c>
      <c r="AC75" s="1" t="str">
        <f>CONCATENATE(ВСЕ_КОДЫ[[#This Row],[CONTEST_CODE]],"_",ВСЕ_КОДЫ[[#This Row],[TOURNAMENT_CODE]])</f>
        <v>CONTEST_07_TOURNAMENT_07_03</v>
      </c>
      <c r="AD75" s="1" t="str">
        <f>ВСЕ_КОДЫ[[#This Row],[FULL_NAME]]</f>
        <v>Индия сделай х4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idden="1" x14ac:dyDescent="0.25">
      <c r="A76" s="1" t="s">
        <v>47</v>
      </c>
      <c r="B76" s="1" t="s">
        <v>205</v>
      </c>
      <c r="C76" s="1" t="s">
        <v>329</v>
      </c>
      <c r="D76" s="1" t="s">
        <v>583</v>
      </c>
      <c r="E76" s="1" t="s">
        <v>48</v>
      </c>
      <c r="F76" s="1" t="s">
        <v>26</v>
      </c>
      <c r="G76" s="1" t="s">
        <v>27</v>
      </c>
      <c r="H76" s="1" t="s">
        <v>28</v>
      </c>
      <c r="I76" s="1" t="s">
        <v>35</v>
      </c>
      <c r="J76" s="1" t="s">
        <v>147</v>
      </c>
      <c r="K76" s="1" t="s">
        <v>164</v>
      </c>
      <c r="L76" s="1" t="s">
        <v>165</v>
      </c>
      <c r="M76" s="1" t="s">
        <v>155</v>
      </c>
      <c r="N76" s="1" t="s">
        <v>305</v>
      </c>
      <c r="O76" s="1" t="s">
        <v>330</v>
      </c>
      <c r="P76" s="1"/>
      <c r="Q76" s="1">
        <f>IFERROR(COUNTIFS(_report[TOURNAMENT_CODE],ВСЕ_КОДЫ[[#This Row],[TOURNAMENT_CODE]],_report[CONTEST_CODE],ВСЕ_КОДЫ[[#This Row],[CONTEST_CODE]]),"-")</f>
        <v>0</v>
      </c>
      <c r="R76" s="1" t="str">
        <f>IFERROR(INDEX(_SCHEDULE_[],MATCH(ВСЕ_КОДЫ[[#This Row],[CONTEST_CODE]],_SCHEDULE_[CONTEST_CODE],0),MATCH($R$1,_SCHEDULE_[#Headers],0)),"-")</f>
        <v>УДАЛЕН</v>
      </c>
      <c r="S76" s="1" t="str">
        <f>IFERROR(INDEX(_group_[],MATCH(ВСЕ_КОДЫ[[#This Row],[CONTEST_CODE]],_group_[CONTEST_CODE],0),MATCH($S$1,_group_[#Headers],0)),"-")</f>
        <v>BANK</v>
      </c>
      <c r="T76" s="1" t="str">
        <f>IFERROR(INDEX(_INDICATOR_[],MATCH(ВСЕ_КОДЫ[[#This Row],[CONTEST_CODE]],_INDICATOR_[CONTEST_CODE],0),MATCH($T$1,_INDICATOR_[#Headers],0)),"-")</f>
        <v>INCOME</v>
      </c>
      <c r="U76" s="1" t="str">
        <f>IFERROR(INDEX(_reward_link_[],MATCH(ВСЕ_КОДЫ[[#This Row],[CONTEST_CODE]],_reward_link_[CONTEST_CODE],0),MATCH($U$1,_reward_link_[#Headers],0)),"-")</f>
        <v>BANK</v>
      </c>
      <c r="V76" s="1" t="str">
        <f>IFERROR(INDEX(_report[],MATCH(ВСЕ_КОДЫ[[#This Row],[CONTEST_CODE]],_report[CONTEST_CODE],0),MATCH($V$1,_report[#Headers],0)),"-")</f>
        <v>-</v>
      </c>
      <c r="W76" s="1" t="str">
        <f>IFERROR(INDEX(_reward_[],MATCH(ВСЕ_КОДЫ[[#This Row],[REWARD_CODE]],_reward_[REWARD_CODE],0),MATCH($W$1,_reward_[#Headers],0)),"-")</f>
        <v>х4 комиссии по сделкам с Индией</v>
      </c>
      <c r="X76" s="1" t="str">
        <f>IFERROR(INDEX(_group_[],MATCH(CONCATENATE(ВСЕ_КОДЫ[[#This Row],[CONTEST_CODE]],"_",X$2),#REF!,0),MATCH(X$1,_group_[#Headers],0)),"-")</f>
        <v>-</v>
      </c>
      <c r="Y76" s="1" t="str">
        <f>IFERROR(INDEX(_group_[],MATCH(CONCATENATE(ВСЕ_КОДЫ[[#This Row],[CONTEST_CODE]],"_",Y$2),#REF!,0),MATCH(Y$1,_group_[#Headers],0)),"-")</f>
        <v>-</v>
      </c>
      <c r="Z76" s="1" t="str">
        <f>IFERROR(INDEX(_group_[],MATCH(CONCATENATE(ВСЕ_КОДЫ[[#This Row],[CONTEST_CODE]],"_",Z$2),#REF!,0),MATCH(Z$1,_group_[#Headers],0)),"-")</f>
        <v>-</v>
      </c>
      <c r="AA76" s="1" t="str">
        <f>IFERROR(INDEX(_group_[],MATCH(CONCATENATE(ВСЕ_КОДЫ[[#This Row],[CONTEST_CODE]],"_",AA$2),#REF!,0),MATCH(AA$1,_group_[#Headers],0)),"-")</f>
        <v>-</v>
      </c>
      <c r="AB76" s="1" t="str">
        <f>IFERROR(INDEX(_DATA_[],MATCH(ВСЕ_КОДЫ[[#This Row],[CONTEST_CODE]],_DATA_[CONTEST_CODE],0),MATCH($AB$2,_DATA_[#Headers],0)),"-")</f>
        <v>["""KMKKSB"""]</v>
      </c>
      <c r="AC76" s="1" t="str">
        <f>CONCATENATE(ВСЕ_КОДЫ[[#This Row],[CONTEST_CODE]],"_",ВСЕ_КОДЫ[[#This Row],[TOURNAMENT_CODE]])</f>
        <v>CONTEST_07_TOURNAMENT_07_04</v>
      </c>
      <c r="AD76" s="1" t="str">
        <f>ВСЕ_КОДЫ[[#This Row],[FULL_NAME]]</f>
        <v>Индия сделай х4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idden="1" x14ac:dyDescent="0.25">
      <c r="A77" s="1" t="s">
        <v>47</v>
      </c>
      <c r="B77" s="1" t="s">
        <v>206</v>
      </c>
      <c r="C77" s="1" t="s">
        <v>329</v>
      </c>
      <c r="D77" s="1" t="s">
        <v>583</v>
      </c>
      <c r="E77" s="1" t="s">
        <v>48</v>
      </c>
      <c r="F77" s="1" t="s">
        <v>26</v>
      </c>
      <c r="G77" s="1" t="s">
        <v>27</v>
      </c>
      <c r="H77" s="1" t="s">
        <v>28</v>
      </c>
      <c r="I77" s="1" t="s">
        <v>35</v>
      </c>
      <c r="J77" s="1" t="s">
        <v>76</v>
      </c>
      <c r="K77" s="1" t="s">
        <v>167</v>
      </c>
      <c r="L77" s="1" t="s">
        <v>168</v>
      </c>
      <c r="M77" s="1" t="s">
        <v>155</v>
      </c>
      <c r="N77" s="1" t="s">
        <v>305</v>
      </c>
      <c r="O77" s="1" t="s">
        <v>330</v>
      </c>
      <c r="P77" s="1"/>
      <c r="Q77" s="1">
        <f>IFERROR(COUNTIFS(_report[TOURNAMENT_CODE],ВСЕ_КОДЫ[[#This Row],[TOURNAMENT_CODE]],_report[CONTEST_CODE],ВСЕ_КОДЫ[[#This Row],[CONTEST_CODE]]),"-")</f>
        <v>0</v>
      </c>
      <c r="R77" s="1" t="str">
        <f>IFERROR(INDEX(_SCHEDULE_[],MATCH(ВСЕ_КОДЫ[[#This Row],[CONTEST_CODE]],_SCHEDULE_[CONTEST_CODE],0),MATCH($R$1,_SCHEDULE_[#Headers],0)),"-")</f>
        <v>УДАЛЕН</v>
      </c>
      <c r="S77" s="1" t="str">
        <f>IFERROR(INDEX(_group_[],MATCH(ВСЕ_КОДЫ[[#This Row],[CONTEST_CODE]],_group_[CONTEST_CODE],0),MATCH($S$1,_group_[#Headers],0)),"-")</f>
        <v>BANK</v>
      </c>
      <c r="T77" s="1" t="str">
        <f>IFERROR(INDEX(_INDICATOR_[],MATCH(ВСЕ_КОДЫ[[#This Row],[CONTEST_CODE]],_INDICATOR_[CONTEST_CODE],0),MATCH($T$1,_INDICATOR_[#Headers],0)),"-")</f>
        <v>INCOME</v>
      </c>
      <c r="U77" s="1" t="str">
        <f>IFERROR(INDEX(_reward_link_[],MATCH(ВСЕ_КОДЫ[[#This Row],[CONTEST_CODE]],_reward_link_[CONTEST_CODE],0),MATCH($U$1,_reward_link_[#Headers],0)),"-")</f>
        <v>BANK</v>
      </c>
      <c r="V77" s="1" t="str">
        <f>IFERROR(INDEX(_report[],MATCH(ВСЕ_КОДЫ[[#This Row],[CONTEST_CODE]],_report[CONTEST_CODE],0),MATCH($V$1,_report[#Headers],0)),"-")</f>
        <v>-</v>
      </c>
      <c r="W77" s="1" t="str">
        <f>IFERROR(INDEX(_reward_[],MATCH(ВСЕ_КОДЫ[[#This Row],[REWARD_CODE]],_reward_[REWARD_CODE],0),MATCH($W$1,_reward_[#Headers],0)),"-")</f>
        <v>х4 комиссии по сделкам с Индией</v>
      </c>
      <c r="X77" s="1" t="str">
        <f>IFERROR(INDEX(_group_[],MATCH(CONCATENATE(ВСЕ_КОДЫ[[#This Row],[CONTEST_CODE]],"_",X$2),#REF!,0),MATCH(X$1,_group_[#Headers],0)),"-")</f>
        <v>-</v>
      </c>
      <c r="Y77" s="1" t="str">
        <f>IFERROR(INDEX(_group_[],MATCH(CONCATENATE(ВСЕ_КОДЫ[[#This Row],[CONTEST_CODE]],"_",Y$2),#REF!,0),MATCH(Y$1,_group_[#Headers],0)),"-")</f>
        <v>-</v>
      </c>
      <c r="Z77" s="1" t="str">
        <f>IFERROR(INDEX(_group_[],MATCH(CONCATENATE(ВСЕ_КОДЫ[[#This Row],[CONTEST_CODE]],"_",Z$2),#REF!,0),MATCH(Z$1,_group_[#Headers],0)),"-")</f>
        <v>-</v>
      </c>
      <c r="AA77" s="1" t="str">
        <f>IFERROR(INDEX(_group_[],MATCH(CONCATENATE(ВСЕ_КОДЫ[[#This Row],[CONTEST_CODE]],"_",AA$2),#REF!,0),MATCH(AA$1,_group_[#Headers],0)),"-")</f>
        <v>-</v>
      </c>
      <c r="AB77" s="1" t="str">
        <f>IFERROR(INDEX(_DATA_[],MATCH(ВСЕ_КОДЫ[[#This Row],[CONTEST_CODE]],_DATA_[CONTEST_CODE],0),MATCH($AB$2,_DATA_[#Headers],0)),"-")</f>
        <v>["""KMKKSB"""]</v>
      </c>
      <c r="AC77" s="1" t="str">
        <f>CONCATENATE(ВСЕ_КОДЫ[[#This Row],[CONTEST_CODE]],"_",ВСЕ_КОДЫ[[#This Row],[TOURNAMENT_CODE]])</f>
        <v>CONTEST_07_TOURNAMENT_07_05</v>
      </c>
      <c r="AD77" s="1" t="str">
        <f>ВСЕ_КОДЫ[[#This Row],[FULL_NAME]]</f>
        <v>Индия сделай х4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idden="1" x14ac:dyDescent="0.25">
      <c r="A78" s="1" t="s">
        <v>47</v>
      </c>
      <c r="B78" s="1" t="s">
        <v>207</v>
      </c>
      <c r="C78" s="1" t="s">
        <v>329</v>
      </c>
      <c r="D78" s="1" t="s">
        <v>583</v>
      </c>
      <c r="E78" s="1" t="s">
        <v>48</v>
      </c>
      <c r="F78" s="1" t="s">
        <v>26</v>
      </c>
      <c r="G78" s="1" t="s">
        <v>27</v>
      </c>
      <c r="H78" s="1" t="s">
        <v>28</v>
      </c>
      <c r="I78" s="1" t="s">
        <v>35</v>
      </c>
      <c r="J78" s="1" t="s">
        <v>170</v>
      </c>
      <c r="K78" s="1" t="s">
        <v>171</v>
      </c>
      <c r="L78" s="1" t="s">
        <v>172</v>
      </c>
      <c r="M78" s="1" t="s">
        <v>155</v>
      </c>
      <c r="N78" s="1" t="s">
        <v>305</v>
      </c>
      <c r="O78" s="1" t="s">
        <v>330</v>
      </c>
      <c r="P78" s="1"/>
      <c r="Q78" s="1">
        <f>IFERROR(COUNTIFS(_report[TOURNAMENT_CODE],ВСЕ_КОДЫ[[#This Row],[TOURNAMENT_CODE]],_report[CONTEST_CODE],ВСЕ_КОДЫ[[#This Row],[CONTEST_CODE]]),"-")</f>
        <v>0</v>
      </c>
      <c r="R78" s="1" t="str">
        <f>IFERROR(INDEX(_SCHEDULE_[],MATCH(ВСЕ_КОДЫ[[#This Row],[CONTEST_CODE]],_SCHEDULE_[CONTEST_CODE],0),MATCH($R$1,_SCHEDULE_[#Headers],0)),"-")</f>
        <v>УДАЛЕН</v>
      </c>
      <c r="S78" s="1" t="str">
        <f>IFERROR(INDEX(_group_[],MATCH(ВСЕ_КОДЫ[[#This Row],[CONTEST_CODE]],_group_[CONTEST_CODE],0),MATCH($S$1,_group_[#Headers],0)),"-")</f>
        <v>BANK</v>
      </c>
      <c r="T78" s="1" t="str">
        <f>IFERROR(INDEX(_INDICATOR_[],MATCH(ВСЕ_КОДЫ[[#This Row],[CONTEST_CODE]],_INDICATOR_[CONTEST_CODE],0),MATCH($T$1,_INDICATOR_[#Headers],0)),"-")</f>
        <v>INCOME</v>
      </c>
      <c r="U78" s="1" t="str">
        <f>IFERROR(INDEX(_reward_link_[],MATCH(ВСЕ_КОДЫ[[#This Row],[CONTEST_CODE]],_reward_link_[CONTEST_CODE],0),MATCH($U$1,_reward_link_[#Headers],0)),"-")</f>
        <v>BANK</v>
      </c>
      <c r="V78" s="1" t="str">
        <f>IFERROR(INDEX(_report[],MATCH(ВСЕ_КОДЫ[[#This Row],[CONTEST_CODE]],_report[CONTEST_CODE],0),MATCH($V$1,_report[#Headers],0)),"-")</f>
        <v>-</v>
      </c>
      <c r="W78" s="1" t="str">
        <f>IFERROR(INDEX(_reward_[],MATCH(ВСЕ_КОДЫ[[#This Row],[REWARD_CODE]],_reward_[REWARD_CODE],0),MATCH($W$1,_reward_[#Headers],0)),"-")</f>
        <v>х4 комиссии по сделкам с Индией</v>
      </c>
      <c r="X78" s="1" t="str">
        <f>IFERROR(INDEX(_group_[],MATCH(CONCATENATE(ВСЕ_КОДЫ[[#This Row],[CONTEST_CODE]],"_",X$2),#REF!,0),MATCH(X$1,_group_[#Headers],0)),"-")</f>
        <v>-</v>
      </c>
      <c r="Y78" s="1" t="str">
        <f>IFERROR(INDEX(_group_[],MATCH(CONCATENATE(ВСЕ_КОДЫ[[#This Row],[CONTEST_CODE]],"_",Y$2),#REF!,0),MATCH(Y$1,_group_[#Headers],0)),"-")</f>
        <v>-</v>
      </c>
      <c r="Z78" s="1" t="str">
        <f>IFERROR(INDEX(_group_[],MATCH(CONCATENATE(ВСЕ_КОДЫ[[#This Row],[CONTEST_CODE]],"_",Z$2),#REF!,0),MATCH(Z$1,_group_[#Headers],0)),"-")</f>
        <v>-</v>
      </c>
      <c r="AA78" s="1" t="str">
        <f>IFERROR(INDEX(_group_[],MATCH(CONCATENATE(ВСЕ_КОДЫ[[#This Row],[CONTEST_CODE]],"_",AA$2),#REF!,0),MATCH(AA$1,_group_[#Headers],0)),"-")</f>
        <v>-</v>
      </c>
      <c r="AB78" s="1" t="str">
        <f>IFERROR(INDEX(_DATA_[],MATCH(ВСЕ_КОДЫ[[#This Row],[CONTEST_CODE]],_DATA_[CONTEST_CODE],0),MATCH($AB$2,_DATA_[#Headers],0)),"-")</f>
        <v>["""KMKKSB"""]</v>
      </c>
      <c r="AC78" s="1" t="str">
        <f>CONCATENATE(ВСЕ_КОДЫ[[#This Row],[CONTEST_CODE]],"_",ВСЕ_КОДЫ[[#This Row],[TOURNAMENT_CODE]])</f>
        <v>CONTEST_07_TOURNAMENT_07_06</v>
      </c>
      <c r="AD78" s="1" t="str">
        <f>ВСЕ_КОДЫ[[#This Row],[FULL_NAME]]</f>
        <v>Индия сделай х4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idden="1" x14ac:dyDescent="0.25">
      <c r="A79" s="1" t="s">
        <v>78</v>
      </c>
      <c r="B79" s="1" t="s">
        <v>232</v>
      </c>
      <c r="C79" s="1" t="s">
        <v>343</v>
      </c>
      <c r="D79" s="1" t="s">
        <v>583</v>
      </c>
      <c r="E79" s="1" t="s">
        <v>49</v>
      </c>
      <c r="F79" s="1" t="s">
        <v>62</v>
      </c>
      <c r="G79" s="1" t="s">
        <v>27</v>
      </c>
      <c r="H79" s="1" t="s">
        <v>28</v>
      </c>
      <c r="I79" s="1" t="s">
        <v>50</v>
      </c>
      <c r="J79" s="1" t="s">
        <v>76</v>
      </c>
      <c r="K79" s="1" t="s">
        <v>167</v>
      </c>
      <c r="L79" s="1" t="s">
        <v>233</v>
      </c>
      <c r="M79" s="1" t="s">
        <v>155</v>
      </c>
      <c r="N79" s="1" t="s">
        <v>305</v>
      </c>
      <c r="O79" s="1" t="s">
        <v>338</v>
      </c>
      <c r="P79" s="1"/>
      <c r="Q79" s="1">
        <f>IFERROR(COUNTIFS(_report[TOURNAMENT_CODE],ВСЕ_КОДЫ[[#This Row],[TOURNAMENT_CODE]],_report[CONTEST_CODE],ВСЕ_КОДЫ[[#This Row],[CONTEST_CODE]]),"-")</f>
        <v>0</v>
      </c>
      <c r="R79" s="1" t="str">
        <f>IFERROR(INDEX(_SCHEDULE_[],MATCH(ВСЕ_КОДЫ[[#This Row],[CONTEST_CODE]],_SCHEDULE_[CONTEST_CODE],0),MATCH($R$1,_SCHEDULE_[#Headers],0)),"-")</f>
        <v>УДАЛЕН</v>
      </c>
      <c r="S79" s="1" t="str">
        <f>IFERROR(INDEX(_group_[],MATCH(ВСЕ_КОДЫ[[#This Row],[CONTEST_CODE]],_group_[CONTEST_CODE],0),MATCH($S$1,_group_[#Headers],0)),"-")</f>
        <v>BANK</v>
      </c>
      <c r="T79" s="1" t="str">
        <f>IFERROR(INDEX(_INDICATOR_[],MATCH(ВСЕ_КОДЫ[[#This Row],[CONTEST_CODE]],_INDICATOR_[CONTEST_CODE],0),MATCH($T$1,_INDICATOR_[#Headers],0)),"-")</f>
        <v>WD</v>
      </c>
      <c r="U79" s="1" t="str">
        <f>IFERROR(INDEX(_reward_link_[],MATCH(ВСЕ_КОДЫ[[#This Row],[CONTEST_CODE]],_reward_link_[CONTEST_CODE],0),MATCH($U$1,_reward_link_[#Headers],0)),"-")</f>
        <v>GOSB</v>
      </c>
      <c r="V79" s="1" t="str">
        <f>IFERROR(INDEX(_report[],MATCH(ВСЕ_КОДЫ[[#This Row],[CONTEST_CODE]],_report[CONTEST_CODE],0),MATCH($V$1,_report[#Headers],0)),"-")</f>
        <v>-</v>
      </c>
      <c r="W79" s="1" t="str">
        <f>IFERROR(INDEX(_reward_[],MATCH(ВСЕ_КОДЫ[[#This Row],[REWARD_CODE]],_reward_[REWARD_CODE],0),MATCH($W$1,_reward_[#Headers],0)),"-")</f>
        <v>Чемпион страны по условным сделкам</v>
      </c>
      <c r="X79" s="1" t="str">
        <f>IFERROR(INDEX(_group_[],MATCH(CONCATENATE(ВСЕ_КОДЫ[[#This Row],[CONTEST_CODE]],"_",X$2),#REF!,0),MATCH(X$1,_group_[#Headers],0)),"-")</f>
        <v>-</v>
      </c>
      <c r="Y79" s="1" t="str">
        <f>IFERROR(INDEX(_group_[],MATCH(CONCATENATE(ВСЕ_КОДЫ[[#This Row],[CONTEST_CODE]],"_",Y$2),#REF!,0),MATCH(Y$1,_group_[#Headers],0)),"-")</f>
        <v>-</v>
      </c>
      <c r="Z79" s="1" t="str">
        <f>IFERROR(INDEX(_group_[],MATCH(CONCATENATE(ВСЕ_КОДЫ[[#This Row],[CONTEST_CODE]],"_",Z$2),#REF!,0),MATCH(Z$1,_group_[#Headers],0)),"-")</f>
        <v>-</v>
      </c>
      <c r="AA79" s="1" t="str">
        <f>IFERROR(INDEX(_group_[],MATCH(CONCATENATE(ВСЕ_КОДЫ[[#This Row],[CONTEST_CODE]],"_",AA$2),#REF!,0),MATCH(AA$1,_group_[#Headers],0)),"-")</f>
        <v>-</v>
      </c>
      <c r="AB79" s="1" t="str">
        <f>IFERROR(INDEX(_DATA_[],MATCH(ВСЕ_КОДЫ[[#This Row],[CONTEST_CODE]],_DATA_[CONTEST_CODE],0),MATCH($AB$2,_DATA_[#Headers],0)),"-")</f>
        <v>["""KMKKSB"""]</v>
      </c>
      <c r="AC79" s="1" t="str">
        <f>CONCATENATE(ВСЕ_КОДЫ[[#This Row],[CONTEST_CODE]],"_",ВСЕ_КОДЫ[[#This Row],[TOURNAMENT_CODE]])</f>
        <v>CONTEST_08_01_TOURNAMENT_08_01_2023_11</v>
      </c>
      <c r="AD79" s="1" t="str">
        <f>ВСЕ_КОДЫ[[#This Row],[FULL_NAME]]</f>
        <v>Марафон по условным сделкам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idden="1" x14ac:dyDescent="0.25">
      <c r="A80" s="1" t="s">
        <v>78</v>
      </c>
      <c r="B80" s="1" t="s">
        <v>234</v>
      </c>
      <c r="C80" s="1" t="s">
        <v>343</v>
      </c>
      <c r="D80" s="1" t="s">
        <v>583</v>
      </c>
      <c r="E80" s="1" t="s">
        <v>49</v>
      </c>
      <c r="F80" s="1" t="s">
        <v>62</v>
      </c>
      <c r="G80" s="1" t="s">
        <v>27</v>
      </c>
      <c r="H80" s="1" t="s">
        <v>28</v>
      </c>
      <c r="I80" s="1" t="s">
        <v>50</v>
      </c>
      <c r="J80" s="1" t="s">
        <v>170</v>
      </c>
      <c r="K80" s="1" t="s">
        <v>171</v>
      </c>
      <c r="L80" s="1" t="s">
        <v>235</v>
      </c>
      <c r="M80" s="1" t="s">
        <v>176</v>
      </c>
      <c r="N80" s="1" t="s">
        <v>305</v>
      </c>
      <c r="O80" s="1" t="s">
        <v>338</v>
      </c>
      <c r="P80" s="1"/>
      <c r="Q80" s="1">
        <f>IFERROR(COUNTIFS(_report[TOURNAMENT_CODE],ВСЕ_КОДЫ[[#This Row],[TOURNAMENT_CODE]],_report[CONTEST_CODE],ВСЕ_КОДЫ[[#This Row],[CONTEST_CODE]]),"-")</f>
        <v>0</v>
      </c>
      <c r="R80" s="1" t="str">
        <f>IFERROR(INDEX(_SCHEDULE_[],MATCH(ВСЕ_КОДЫ[[#This Row],[CONTEST_CODE]],_SCHEDULE_[CONTEST_CODE],0),MATCH($R$1,_SCHEDULE_[#Headers],0)),"-")</f>
        <v>УДАЛЕН</v>
      </c>
      <c r="S80" s="1" t="str">
        <f>IFERROR(INDEX(_group_[],MATCH(ВСЕ_КОДЫ[[#This Row],[CONTEST_CODE]],_group_[CONTEST_CODE],0),MATCH($S$1,_group_[#Headers],0)),"-")</f>
        <v>BANK</v>
      </c>
      <c r="T80" s="1" t="str">
        <f>IFERROR(INDEX(_INDICATOR_[],MATCH(ВСЕ_КОДЫ[[#This Row],[CONTEST_CODE]],_INDICATOR_[CONTEST_CODE],0),MATCH($T$1,_INDICATOR_[#Headers],0)),"-")</f>
        <v>WD</v>
      </c>
      <c r="U80" s="1" t="str">
        <f>IFERROR(INDEX(_reward_link_[],MATCH(ВСЕ_КОДЫ[[#This Row],[CONTEST_CODE]],_reward_link_[CONTEST_CODE],0),MATCH($U$1,_reward_link_[#Headers],0)),"-")</f>
        <v>GOSB</v>
      </c>
      <c r="V80" s="1" t="str">
        <f>IFERROR(INDEX(_report[],MATCH(ВСЕ_КОДЫ[[#This Row],[CONTEST_CODE]],_report[CONTEST_CODE],0),MATCH($V$1,_report[#Headers],0)),"-")</f>
        <v>-</v>
      </c>
      <c r="W80" s="1" t="str">
        <f>IFERROR(INDEX(_reward_[],MATCH(ВСЕ_КОДЫ[[#This Row],[REWARD_CODE]],_reward_[REWARD_CODE],0),MATCH($W$1,_reward_[#Headers],0)),"-")</f>
        <v>Чемпион страны по условным сделкам</v>
      </c>
      <c r="X80" s="1" t="str">
        <f>IFERROR(INDEX(_group_[],MATCH(CONCATENATE(ВСЕ_КОДЫ[[#This Row],[CONTEST_CODE]],"_",X$2),#REF!,0),MATCH(X$1,_group_[#Headers],0)),"-")</f>
        <v>-</v>
      </c>
      <c r="Y80" s="1" t="str">
        <f>IFERROR(INDEX(_group_[],MATCH(CONCATENATE(ВСЕ_КОДЫ[[#This Row],[CONTEST_CODE]],"_",Y$2),#REF!,0),MATCH(Y$1,_group_[#Headers],0)),"-")</f>
        <v>-</v>
      </c>
      <c r="Z80" s="1" t="str">
        <f>IFERROR(INDEX(_group_[],MATCH(CONCATENATE(ВСЕ_КОДЫ[[#This Row],[CONTEST_CODE]],"_",Z$2),#REF!,0),MATCH(Z$1,_group_[#Headers],0)),"-")</f>
        <v>-</v>
      </c>
      <c r="AA80" s="1" t="str">
        <f>IFERROR(INDEX(_group_[],MATCH(CONCATENATE(ВСЕ_КОДЫ[[#This Row],[CONTEST_CODE]],"_",AA$2),#REF!,0),MATCH(AA$1,_group_[#Headers],0)),"-")</f>
        <v>-</v>
      </c>
      <c r="AB80" s="1" t="str">
        <f>IFERROR(INDEX(_DATA_[],MATCH(ВСЕ_КОДЫ[[#This Row],[CONTEST_CODE]],_DATA_[CONTEST_CODE],0),MATCH($AB$2,_DATA_[#Headers],0)),"-")</f>
        <v>["""KMKKSB"""]</v>
      </c>
      <c r="AC80" s="1" t="str">
        <f>CONCATENATE(ВСЕ_КОДЫ[[#This Row],[CONTEST_CODE]],"_",ВСЕ_КОДЫ[[#This Row],[TOURNAMENT_CODE]])</f>
        <v>CONTEST_08_01_TOURNAMENT_08_01_2023_12</v>
      </c>
      <c r="AD80" s="1" t="str">
        <f>ВСЕ_КОДЫ[[#This Row],[FULL_NAME]]</f>
        <v>Марафон по условным сделкам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idden="1" x14ac:dyDescent="0.25">
      <c r="A81" s="1" t="s">
        <v>78</v>
      </c>
      <c r="B81" s="1" t="s">
        <v>236</v>
      </c>
      <c r="C81" s="1" t="s">
        <v>343</v>
      </c>
      <c r="D81" s="1" t="s">
        <v>583</v>
      </c>
      <c r="E81" s="1" t="s">
        <v>49</v>
      </c>
      <c r="F81" s="1" t="s">
        <v>62</v>
      </c>
      <c r="G81" s="1" t="s">
        <v>27</v>
      </c>
      <c r="H81" s="1" t="s">
        <v>28</v>
      </c>
      <c r="I81" s="1" t="s">
        <v>50</v>
      </c>
      <c r="J81" s="1" t="s">
        <v>182</v>
      </c>
      <c r="K81" s="1" t="s">
        <v>183</v>
      </c>
      <c r="L81" s="1" t="s">
        <v>237</v>
      </c>
      <c r="M81" s="1" t="s">
        <v>176</v>
      </c>
      <c r="N81" s="1" t="s">
        <v>305</v>
      </c>
      <c r="O81" s="1" t="s">
        <v>338</v>
      </c>
      <c r="P81" s="1"/>
      <c r="Q81" s="1">
        <f>IFERROR(COUNTIFS(_report[TOURNAMENT_CODE],ВСЕ_КОДЫ[[#This Row],[TOURNAMENT_CODE]],_report[CONTEST_CODE],ВСЕ_КОДЫ[[#This Row],[CONTEST_CODE]]),"-")</f>
        <v>0</v>
      </c>
      <c r="R81" s="1" t="str">
        <f>IFERROR(INDEX(_SCHEDULE_[],MATCH(ВСЕ_КОДЫ[[#This Row],[CONTEST_CODE]],_SCHEDULE_[CONTEST_CODE],0),MATCH($R$1,_SCHEDULE_[#Headers],0)),"-")</f>
        <v>УДАЛЕН</v>
      </c>
      <c r="S81" s="1" t="str">
        <f>IFERROR(INDEX(_group_[],MATCH(ВСЕ_КОДЫ[[#This Row],[CONTEST_CODE]],_group_[CONTEST_CODE],0),MATCH($S$1,_group_[#Headers],0)),"-")</f>
        <v>BANK</v>
      </c>
      <c r="T81" s="1" t="str">
        <f>IFERROR(INDEX(_INDICATOR_[],MATCH(ВСЕ_КОДЫ[[#This Row],[CONTEST_CODE]],_INDICATOR_[CONTEST_CODE],0),MATCH($T$1,_INDICATOR_[#Headers],0)),"-")</f>
        <v>WD</v>
      </c>
      <c r="U81" s="1" t="str">
        <f>IFERROR(INDEX(_reward_link_[],MATCH(ВСЕ_КОДЫ[[#This Row],[CONTEST_CODE]],_reward_link_[CONTEST_CODE],0),MATCH($U$1,_reward_link_[#Headers],0)),"-")</f>
        <v>GOSB</v>
      </c>
      <c r="V81" s="1" t="str">
        <f>IFERROR(INDEX(_report[],MATCH(ВСЕ_КОДЫ[[#This Row],[CONTEST_CODE]],_report[CONTEST_CODE],0),MATCH($V$1,_report[#Headers],0)),"-")</f>
        <v>-</v>
      </c>
      <c r="W81" s="1" t="str">
        <f>IFERROR(INDEX(_reward_[],MATCH(ВСЕ_КОДЫ[[#This Row],[REWARD_CODE]],_reward_[REWARD_CODE],0),MATCH($W$1,_reward_[#Headers],0)),"-")</f>
        <v>Чемпион страны по условным сделкам</v>
      </c>
      <c r="X81" s="1" t="str">
        <f>IFERROR(INDEX(_group_[],MATCH(CONCATENATE(ВСЕ_КОДЫ[[#This Row],[CONTEST_CODE]],"_",X$2),#REF!,0),MATCH(X$1,_group_[#Headers],0)),"-")</f>
        <v>-</v>
      </c>
      <c r="Y81" s="1" t="str">
        <f>IFERROR(INDEX(_group_[],MATCH(CONCATENATE(ВСЕ_КОДЫ[[#This Row],[CONTEST_CODE]],"_",Y$2),#REF!,0),MATCH(Y$1,_group_[#Headers],0)),"-")</f>
        <v>-</v>
      </c>
      <c r="Z81" s="1" t="str">
        <f>IFERROR(INDEX(_group_[],MATCH(CONCATENATE(ВСЕ_КОДЫ[[#This Row],[CONTEST_CODE]],"_",Z$2),#REF!,0),MATCH(Z$1,_group_[#Headers],0)),"-")</f>
        <v>-</v>
      </c>
      <c r="AA81" s="1" t="str">
        <f>IFERROR(INDEX(_group_[],MATCH(CONCATENATE(ВСЕ_КОДЫ[[#This Row],[CONTEST_CODE]],"_",AA$2),#REF!,0),MATCH(AA$1,_group_[#Headers],0)),"-")</f>
        <v>-</v>
      </c>
      <c r="AB81" s="1" t="str">
        <f>IFERROR(INDEX(_DATA_[],MATCH(ВСЕ_КОДЫ[[#This Row],[CONTEST_CODE]],_DATA_[CONTEST_CODE],0),MATCH($AB$2,_DATA_[#Headers],0)),"-")</f>
        <v>["""KMKKSB"""]</v>
      </c>
      <c r="AC81" s="1" t="str">
        <f>CONCATENATE(ВСЕ_КОДЫ[[#This Row],[CONTEST_CODE]],"_",ВСЕ_КОДЫ[[#This Row],[TOURNAMENT_CODE]])</f>
        <v>CONTEST_08_01_TOURNAMENT_08_01_2024_01</v>
      </c>
      <c r="AD81" s="1" t="str">
        <f>ВСЕ_КОДЫ[[#This Row],[FULL_NAME]]</f>
        <v>Марафон по условным сделкам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idden="1" x14ac:dyDescent="0.25">
      <c r="A82" s="1" t="s">
        <v>78</v>
      </c>
      <c r="B82" s="1" t="s">
        <v>238</v>
      </c>
      <c r="C82" s="1" t="s">
        <v>343</v>
      </c>
      <c r="D82" s="1" t="s">
        <v>583</v>
      </c>
      <c r="E82" s="1" t="s">
        <v>49</v>
      </c>
      <c r="F82" s="1" t="s">
        <v>62</v>
      </c>
      <c r="G82" s="1" t="s">
        <v>27</v>
      </c>
      <c r="H82" s="1" t="s">
        <v>28</v>
      </c>
      <c r="I82" s="1" t="s">
        <v>50</v>
      </c>
      <c r="J82" s="1" t="s">
        <v>239</v>
      </c>
      <c r="K82" s="1" t="s">
        <v>240</v>
      </c>
      <c r="L82" s="1" t="s">
        <v>241</v>
      </c>
      <c r="M82" s="1" t="s">
        <v>176</v>
      </c>
      <c r="N82" s="1" t="s">
        <v>305</v>
      </c>
      <c r="O82" s="1" t="s">
        <v>338</v>
      </c>
      <c r="P82" s="1"/>
      <c r="Q82" s="1">
        <f>IFERROR(COUNTIFS(_report[TOURNAMENT_CODE],ВСЕ_КОДЫ[[#This Row],[TOURNAMENT_CODE]],_report[CONTEST_CODE],ВСЕ_КОДЫ[[#This Row],[CONTEST_CODE]]),"-")</f>
        <v>0</v>
      </c>
      <c r="R82" s="1" t="str">
        <f>IFERROR(INDEX(_SCHEDULE_[],MATCH(ВСЕ_КОДЫ[[#This Row],[CONTEST_CODE]],_SCHEDULE_[CONTEST_CODE],0),MATCH($R$1,_SCHEDULE_[#Headers],0)),"-")</f>
        <v>УДАЛЕН</v>
      </c>
      <c r="S82" s="1" t="str">
        <f>IFERROR(INDEX(_group_[],MATCH(ВСЕ_КОДЫ[[#This Row],[CONTEST_CODE]],_group_[CONTEST_CODE],0),MATCH($S$1,_group_[#Headers],0)),"-")</f>
        <v>BANK</v>
      </c>
      <c r="T82" s="1" t="str">
        <f>IFERROR(INDEX(_INDICATOR_[],MATCH(ВСЕ_КОДЫ[[#This Row],[CONTEST_CODE]],_INDICATOR_[CONTEST_CODE],0),MATCH($T$1,_INDICATOR_[#Headers],0)),"-")</f>
        <v>WD</v>
      </c>
      <c r="U82" s="1" t="str">
        <f>IFERROR(INDEX(_reward_link_[],MATCH(ВСЕ_КОДЫ[[#This Row],[CONTEST_CODE]],_reward_link_[CONTEST_CODE],0),MATCH($U$1,_reward_link_[#Headers],0)),"-")</f>
        <v>GOSB</v>
      </c>
      <c r="V82" s="1" t="str">
        <f>IFERROR(INDEX(_report[],MATCH(ВСЕ_КОДЫ[[#This Row],[CONTEST_CODE]],_report[CONTEST_CODE],0),MATCH($V$1,_report[#Headers],0)),"-")</f>
        <v>-</v>
      </c>
      <c r="W82" s="1" t="str">
        <f>IFERROR(INDEX(_reward_[],MATCH(ВСЕ_КОДЫ[[#This Row],[REWARD_CODE]],_reward_[REWARD_CODE],0),MATCH($W$1,_reward_[#Headers],0)),"-")</f>
        <v>Чемпион страны по условным сделкам</v>
      </c>
      <c r="X82" s="1" t="str">
        <f>IFERROR(INDEX(_group_[],MATCH(CONCATENATE(ВСЕ_КОДЫ[[#This Row],[CONTEST_CODE]],"_",X$2),#REF!,0),MATCH(X$1,_group_[#Headers],0)),"-")</f>
        <v>-</v>
      </c>
      <c r="Y82" s="1" t="str">
        <f>IFERROR(INDEX(_group_[],MATCH(CONCATENATE(ВСЕ_КОДЫ[[#This Row],[CONTEST_CODE]],"_",Y$2),#REF!,0),MATCH(Y$1,_group_[#Headers],0)),"-")</f>
        <v>-</v>
      </c>
      <c r="Z82" s="1" t="str">
        <f>IFERROR(INDEX(_group_[],MATCH(CONCATENATE(ВСЕ_КОДЫ[[#This Row],[CONTEST_CODE]],"_",Z$2),#REF!,0),MATCH(Z$1,_group_[#Headers],0)),"-")</f>
        <v>-</v>
      </c>
      <c r="AA82" s="1" t="str">
        <f>IFERROR(INDEX(_group_[],MATCH(CONCATENATE(ВСЕ_КОДЫ[[#This Row],[CONTEST_CODE]],"_",AA$2),#REF!,0),MATCH(AA$1,_group_[#Headers],0)),"-")</f>
        <v>-</v>
      </c>
      <c r="AB82" s="1" t="str">
        <f>IFERROR(INDEX(_DATA_[],MATCH(ВСЕ_КОДЫ[[#This Row],[CONTEST_CODE]],_DATA_[CONTEST_CODE],0),MATCH($AB$2,_DATA_[#Headers],0)),"-")</f>
        <v>["""KMKKSB"""]</v>
      </c>
      <c r="AC82" s="1" t="str">
        <f>CONCATENATE(ВСЕ_КОДЫ[[#This Row],[CONTEST_CODE]],"_",ВСЕ_КОДЫ[[#This Row],[TOURNAMENT_CODE]])</f>
        <v>CONTEST_08_01_TOURNAMENT_08_01_2024_02</v>
      </c>
      <c r="AD82" s="1" t="str">
        <f>ВСЕ_КОДЫ[[#This Row],[FULL_NAME]]</f>
        <v>Марафон по условным сделкам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idden="1" x14ac:dyDescent="0.25">
      <c r="A83" s="1" t="s">
        <v>78</v>
      </c>
      <c r="B83" s="1" t="s">
        <v>242</v>
      </c>
      <c r="C83" s="1" t="s">
        <v>343</v>
      </c>
      <c r="D83" s="1" t="s">
        <v>583</v>
      </c>
      <c r="E83" s="1" t="s">
        <v>49</v>
      </c>
      <c r="F83" s="1" t="s">
        <v>62</v>
      </c>
      <c r="G83" s="1" t="s">
        <v>27</v>
      </c>
      <c r="H83" s="1" t="s">
        <v>28</v>
      </c>
      <c r="I83" s="1" t="s">
        <v>50</v>
      </c>
      <c r="J83" s="1" t="s">
        <v>187</v>
      </c>
      <c r="K83" s="1" t="s">
        <v>188</v>
      </c>
      <c r="L83" s="1" t="s">
        <v>189</v>
      </c>
      <c r="M83" s="1" t="s">
        <v>176</v>
      </c>
      <c r="N83" s="1" t="s">
        <v>305</v>
      </c>
      <c r="O83" s="1" t="s">
        <v>338</v>
      </c>
      <c r="P83" s="1"/>
      <c r="Q83" s="1">
        <f>IFERROR(COUNTIFS(_report[TOURNAMENT_CODE],ВСЕ_КОДЫ[[#This Row],[TOURNAMENT_CODE]],_report[CONTEST_CODE],ВСЕ_КОДЫ[[#This Row],[CONTEST_CODE]]),"-")</f>
        <v>0</v>
      </c>
      <c r="R83" s="1" t="str">
        <f>IFERROR(INDEX(_SCHEDULE_[],MATCH(ВСЕ_КОДЫ[[#This Row],[CONTEST_CODE]],_SCHEDULE_[CONTEST_CODE],0),MATCH($R$1,_SCHEDULE_[#Headers],0)),"-")</f>
        <v>УДАЛЕН</v>
      </c>
      <c r="S83" s="1" t="str">
        <f>IFERROR(INDEX(_group_[],MATCH(ВСЕ_КОДЫ[[#This Row],[CONTEST_CODE]],_group_[CONTEST_CODE],0),MATCH($S$1,_group_[#Headers],0)),"-")</f>
        <v>BANK</v>
      </c>
      <c r="T83" s="1" t="str">
        <f>IFERROR(INDEX(_INDICATOR_[],MATCH(ВСЕ_КОДЫ[[#This Row],[CONTEST_CODE]],_INDICATOR_[CONTEST_CODE],0),MATCH($T$1,_INDICATOR_[#Headers],0)),"-")</f>
        <v>WD</v>
      </c>
      <c r="U83" s="1" t="str">
        <f>IFERROR(INDEX(_reward_link_[],MATCH(ВСЕ_КОДЫ[[#This Row],[CONTEST_CODE]],_reward_link_[CONTEST_CODE],0),MATCH($U$1,_reward_link_[#Headers],0)),"-")</f>
        <v>GOSB</v>
      </c>
      <c r="V83" s="1" t="str">
        <f>IFERROR(INDEX(_report[],MATCH(ВСЕ_КОДЫ[[#This Row],[CONTEST_CODE]],_report[CONTEST_CODE],0),MATCH($V$1,_report[#Headers],0)),"-")</f>
        <v>-</v>
      </c>
      <c r="W83" s="1" t="str">
        <f>IFERROR(INDEX(_reward_[],MATCH(ВСЕ_КОДЫ[[#This Row],[REWARD_CODE]],_reward_[REWARD_CODE],0),MATCH($W$1,_reward_[#Headers],0)),"-")</f>
        <v>Чемпион страны по условным сделкам</v>
      </c>
      <c r="X83" s="1" t="str">
        <f>IFERROR(INDEX(_group_[],MATCH(CONCATENATE(ВСЕ_КОДЫ[[#This Row],[CONTEST_CODE]],"_",X$2),#REF!,0),MATCH(X$1,_group_[#Headers],0)),"-")</f>
        <v>-</v>
      </c>
      <c r="Y83" s="1" t="str">
        <f>IFERROR(INDEX(_group_[],MATCH(CONCATENATE(ВСЕ_КОДЫ[[#This Row],[CONTEST_CODE]],"_",Y$2),#REF!,0),MATCH(Y$1,_group_[#Headers],0)),"-")</f>
        <v>-</v>
      </c>
      <c r="Z83" s="1" t="str">
        <f>IFERROR(INDEX(_group_[],MATCH(CONCATENATE(ВСЕ_КОДЫ[[#This Row],[CONTEST_CODE]],"_",Z$2),#REF!,0),MATCH(Z$1,_group_[#Headers],0)),"-")</f>
        <v>-</v>
      </c>
      <c r="AA83" s="1" t="str">
        <f>IFERROR(INDEX(_group_[],MATCH(CONCATENATE(ВСЕ_КОДЫ[[#This Row],[CONTEST_CODE]],"_",AA$2),#REF!,0),MATCH(AA$1,_group_[#Headers],0)),"-")</f>
        <v>-</v>
      </c>
      <c r="AB83" s="1" t="str">
        <f>IFERROR(INDEX(_DATA_[],MATCH(ВСЕ_КОДЫ[[#This Row],[CONTEST_CODE]],_DATA_[CONTEST_CODE],0),MATCH($AB$2,_DATA_[#Headers],0)),"-")</f>
        <v>["""KMKKSB"""]</v>
      </c>
      <c r="AC83" s="1" t="str">
        <f>CONCATENATE(ВСЕ_КОДЫ[[#This Row],[CONTEST_CODE]],"_",ВСЕ_КОДЫ[[#This Row],[TOURNAMENT_CODE]])</f>
        <v>CONTEST_08_01_TOURNAMENT_08_01_2024_03</v>
      </c>
      <c r="AD83" s="1" t="str">
        <f>ВСЕ_КОДЫ[[#This Row],[FULL_NAME]]</f>
        <v>Марафон по условным сделкам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idden="1" x14ac:dyDescent="0.25">
      <c r="A84" s="1" t="s">
        <v>78</v>
      </c>
      <c r="B84" s="1" t="s">
        <v>243</v>
      </c>
      <c r="C84" s="1" t="s">
        <v>343</v>
      </c>
      <c r="D84" s="1" t="s">
        <v>583</v>
      </c>
      <c r="E84" s="1" t="s">
        <v>49</v>
      </c>
      <c r="F84" s="1" t="s">
        <v>62</v>
      </c>
      <c r="G84" s="1" t="s">
        <v>27</v>
      </c>
      <c r="H84" s="1" t="s">
        <v>28</v>
      </c>
      <c r="I84" s="1" t="s">
        <v>50</v>
      </c>
      <c r="J84" s="1" t="s">
        <v>192</v>
      </c>
      <c r="K84" s="1" t="s">
        <v>193</v>
      </c>
      <c r="L84" s="1" t="s">
        <v>1046</v>
      </c>
      <c r="M84" s="1" t="s">
        <v>176</v>
      </c>
      <c r="N84" s="1" t="s">
        <v>305</v>
      </c>
      <c r="O84" s="1" t="s">
        <v>338</v>
      </c>
      <c r="P84" s="1"/>
      <c r="Q84" s="1">
        <f>IFERROR(COUNTIFS(_report[TOURNAMENT_CODE],ВСЕ_КОДЫ[[#This Row],[TOURNAMENT_CODE]],_report[CONTEST_CODE],ВСЕ_КОДЫ[[#This Row],[CONTEST_CODE]]),"-")</f>
        <v>0</v>
      </c>
      <c r="R84" s="1" t="str">
        <f>IFERROR(INDEX(_SCHEDULE_[],MATCH(ВСЕ_КОДЫ[[#This Row],[CONTEST_CODE]],_SCHEDULE_[CONTEST_CODE],0),MATCH($R$1,_SCHEDULE_[#Headers],0)),"-")</f>
        <v>УДАЛЕН</v>
      </c>
      <c r="S84" s="1" t="str">
        <f>IFERROR(INDEX(_group_[],MATCH(ВСЕ_КОДЫ[[#This Row],[CONTEST_CODE]],_group_[CONTEST_CODE],0),MATCH($S$1,_group_[#Headers],0)),"-")</f>
        <v>BANK</v>
      </c>
      <c r="T84" s="1" t="str">
        <f>IFERROR(INDEX(_INDICATOR_[],MATCH(ВСЕ_КОДЫ[[#This Row],[CONTEST_CODE]],_INDICATOR_[CONTEST_CODE],0),MATCH($T$1,_INDICATOR_[#Headers],0)),"-")</f>
        <v>WD</v>
      </c>
      <c r="U84" s="1" t="str">
        <f>IFERROR(INDEX(_reward_link_[],MATCH(ВСЕ_КОДЫ[[#This Row],[CONTEST_CODE]],_reward_link_[CONTEST_CODE],0),MATCH($U$1,_reward_link_[#Headers],0)),"-")</f>
        <v>GOSB</v>
      </c>
      <c r="V84" s="1" t="str">
        <f>IFERROR(INDEX(_report[],MATCH(ВСЕ_КОДЫ[[#This Row],[CONTEST_CODE]],_report[CONTEST_CODE],0),MATCH($V$1,_report[#Headers],0)),"-")</f>
        <v>-</v>
      </c>
      <c r="W84" s="1" t="str">
        <f>IFERROR(INDEX(_reward_[],MATCH(ВСЕ_КОДЫ[[#This Row],[REWARD_CODE]],_reward_[REWARD_CODE],0),MATCH($W$1,_reward_[#Headers],0)),"-")</f>
        <v>Чемпион страны по условным сделкам</v>
      </c>
      <c r="X84" s="1" t="str">
        <f>IFERROR(INDEX(_group_[],MATCH(CONCATENATE(ВСЕ_КОДЫ[[#This Row],[CONTEST_CODE]],"_",X$2),#REF!,0),MATCH(X$1,_group_[#Headers],0)),"-")</f>
        <v>-</v>
      </c>
      <c r="Y84" s="1" t="str">
        <f>IFERROR(INDEX(_group_[],MATCH(CONCATENATE(ВСЕ_КОДЫ[[#This Row],[CONTEST_CODE]],"_",Y$2),#REF!,0),MATCH(Y$1,_group_[#Headers],0)),"-")</f>
        <v>-</v>
      </c>
      <c r="Z84" s="1" t="str">
        <f>IFERROR(INDEX(_group_[],MATCH(CONCATENATE(ВСЕ_КОДЫ[[#This Row],[CONTEST_CODE]],"_",Z$2),#REF!,0),MATCH(Z$1,_group_[#Headers],0)),"-")</f>
        <v>-</v>
      </c>
      <c r="AA84" s="1" t="str">
        <f>IFERROR(INDEX(_group_[],MATCH(CONCATENATE(ВСЕ_КОДЫ[[#This Row],[CONTEST_CODE]],"_",AA$2),#REF!,0),MATCH(AA$1,_group_[#Headers],0)),"-")</f>
        <v>-</v>
      </c>
      <c r="AB84" s="1" t="str">
        <f>IFERROR(INDEX(_DATA_[],MATCH(ВСЕ_КОДЫ[[#This Row],[CONTEST_CODE]],_DATA_[CONTEST_CODE],0),MATCH($AB$2,_DATA_[#Headers],0)),"-")</f>
        <v>["""KMKKSB"""]</v>
      </c>
      <c r="AC84" s="1" t="str">
        <f>CONCATENATE(ВСЕ_КОДЫ[[#This Row],[CONTEST_CODE]],"_",ВСЕ_КОДЫ[[#This Row],[TOURNAMENT_CODE]])</f>
        <v>CONTEST_08_01_TOURNAMENT_08_01_2024_04</v>
      </c>
      <c r="AD84" s="1" t="str">
        <f>ВСЕ_КОДЫ[[#This Row],[FULL_NAME]]</f>
        <v>Марафон по условным сделкам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idden="1" x14ac:dyDescent="0.25">
      <c r="A85" s="1" t="s">
        <v>78</v>
      </c>
      <c r="B85" s="1" t="s">
        <v>244</v>
      </c>
      <c r="C85" s="1" t="s">
        <v>343</v>
      </c>
      <c r="D85" s="1" t="s">
        <v>583</v>
      </c>
      <c r="E85" s="1" t="s">
        <v>49</v>
      </c>
      <c r="F85" s="1" t="s">
        <v>62</v>
      </c>
      <c r="G85" s="1" t="s">
        <v>27</v>
      </c>
      <c r="H85" s="1" t="s">
        <v>28</v>
      </c>
      <c r="I85" s="1" t="s">
        <v>50</v>
      </c>
      <c r="J85" s="1" t="s">
        <v>245</v>
      </c>
      <c r="K85" s="1" t="s">
        <v>246</v>
      </c>
      <c r="L85" s="1" t="s">
        <v>1046</v>
      </c>
      <c r="M85" s="1" t="s">
        <v>176</v>
      </c>
      <c r="N85" s="1" t="s">
        <v>305</v>
      </c>
      <c r="O85" s="1" t="s">
        <v>338</v>
      </c>
      <c r="P85" s="1"/>
      <c r="Q85" s="1">
        <f>IFERROR(COUNTIFS(_report[TOURNAMENT_CODE],ВСЕ_КОДЫ[[#This Row],[TOURNAMENT_CODE]],_report[CONTEST_CODE],ВСЕ_КОДЫ[[#This Row],[CONTEST_CODE]]),"-")</f>
        <v>0</v>
      </c>
      <c r="R85" s="1" t="str">
        <f>IFERROR(INDEX(_SCHEDULE_[],MATCH(ВСЕ_КОДЫ[[#This Row],[CONTEST_CODE]],_SCHEDULE_[CONTEST_CODE],0),MATCH($R$1,_SCHEDULE_[#Headers],0)),"-")</f>
        <v>УДАЛЕН</v>
      </c>
      <c r="S85" s="1" t="str">
        <f>IFERROR(INDEX(_group_[],MATCH(ВСЕ_КОДЫ[[#This Row],[CONTEST_CODE]],_group_[CONTEST_CODE],0),MATCH($S$1,_group_[#Headers],0)),"-")</f>
        <v>BANK</v>
      </c>
      <c r="T85" s="1" t="str">
        <f>IFERROR(INDEX(_INDICATOR_[],MATCH(ВСЕ_КОДЫ[[#This Row],[CONTEST_CODE]],_INDICATOR_[CONTEST_CODE],0),MATCH($T$1,_INDICATOR_[#Headers],0)),"-")</f>
        <v>WD</v>
      </c>
      <c r="U85" s="1" t="str">
        <f>IFERROR(INDEX(_reward_link_[],MATCH(ВСЕ_КОДЫ[[#This Row],[CONTEST_CODE]],_reward_link_[CONTEST_CODE],0),MATCH($U$1,_reward_link_[#Headers],0)),"-")</f>
        <v>GOSB</v>
      </c>
      <c r="V85" s="1" t="str">
        <f>IFERROR(INDEX(_report[],MATCH(ВСЕ_КОДЫ[[#This Row],[CONTEST_CODE]],_report[CONTEST_CODE],0),MATCH($V$1,_report[#Headers],0)),"-")</f>
        <v>-</v>
      </c>
      <c r="W85" s="1" t="str">
        <f>IFERROR(INDEX(_reward_[],MATCH(ВСЕ_КОДЫ[[#This Row],[REWARD_CODE]],_reward_[REWARD_CODE],0),MATCH($W$1,_reward_[#Headers],0)),"-")</f>
        <v>Чемпион страны по условным сделкам</v>
      </c>
      <c r="X85" s="1" t="str">
        <f>IFERROR(INDEX(_group_[],MATCH(CONCATENATE(ВСЕ_КОДЫ[[#This Row],[CONTEST_CODE]],"_",X$2),#REF!,0),MATCH(X$1,_group_[#Headers],0)),"-")</f>
        <v>-</v>
      </c>
      <c r="Y85" s="1" t="str">
        <f>IFERROR(INDEX(_group_[],MATCH(CONCATENATE(ВСЕ_КОДЫ[[#This Row],[CONTEST_CODE]],"_",Y$2),#REF!,0),MATCH(Y$1,_group_[#Headers],0)),"-")</f>
        <v>-</v>
      </c>
      <c r="Z85" s="1" t="str">
        <f>IFERROR(INDEX(_group_[],MATCH(CONCATENATE(ВСЕ_КОДЫ[[#This Row],[CONTEST_CODE]],"_",Z$2),#REF!,0),MATCH(Z$1,_group_[#Headers],0)),"-")</f>
        <v>-</v>
      </c>
      <c r="AA85" s="1" t="str">
        <f>IFERROR(INDEX(_group_[],MATCH(CONCATENATE(ВСЕ_КОДЫ[[#This Row],[CONTEST_CODE]],"_",AA$2),#REF!,0),MATCH(AA$1,_group_[#Headers],0)),"-")</f>
        <v>-</v>
      </c>
      <c r="AB85" s="1" t="str">
        <f>IFERROR(INDEX(_DATA_[],MATCH(ВСЕ_КОДЫ[[#This Row],[CONTEST_CODE]],_DATA_[CONTEST_CODE],0),MATCH($AB$2,_DATA_[#Headers],0)),"-")</f>
        <v>["""KMKKSB"""]</v>
      </c>
      <c r="AC85" s="1" t="str">
        <f>CONCATENATE(ВСЕ_КОДЫ[[#This Row],[CONTEST_CODE]],"_",ВСЕ_КОДЫ[[#This Row],[TOURNAMENT_CODE]])</f>
        <v>CONTEST_08_01_TOURNAMENT_08_01_2024_05</v>
      </c>
      <c r="AD85" s="1" t="str">
        <f>ВСЕ_КОДЫ[[#This Row],[FULL_NAME]]</f>
        <v>Марафон по условным сделкам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idden="1" x14ac:dyDescent="0.25">
      <c r="A86" s="1" t="s">
        <v>78</v>
      </c>
      <c r="B86" s="1" t="s">
        <v>696</v>
      </c>
      <c r="C86" s="1" t="s">
        <v>343</v>
      </c>
      <c r="D86" s="1" t="s">
        <v>583</v>
      </c>
      <c r="E86" s="1" t="s">
        <v>49</v>
      </c>
      <c r="F86" s="1" t="s">
        <v>62</v>
      </c>
      <c r="G86" s="1" t="s">
        <v>27</v>
      </c>
      <c r="H86" s="1" t="s">
        <v>28</v>
      </c>
      <c r="I86" s="1" t="s">
        <v>50</v>
      </c>
      <c r="J86" s="1" t="s">
        <v>695</v>
      </c>
      <c r="K86" s="1" t="s">
        <v>252</v>
      </c>
      <c r="L86" s="1" t="s">
        <v>253</v>
      </c>
      <c r="M86" s="1" t="s">
        <v>176</v>
      </c>
      <c r="N86" s="1" t="s">
        <v>305</v>
      </c>
      <c r="O86" s="1" t="s">
        <v>338</v>
      </c>
      <c r="P86" s="1"/>
      <c r="Q86" s="1">
        <f>IFERROR(COUNTIFS(_report[TOURNAMENT_CODE],ВСЕ_КОДЫ[[#This Row],[TOURNAMENT_CODE]],_report[CONTEST_CODE],ВСЕ_КОДЫ[[#This Row],[CONTEST_CODE]]),"-")</f>
        <v>0</v>
      </c>
      <c r="R86" s="1" t="str">
        <f>IFERROR(INDEX(_SCHEDULE_[],MATCH(ВСЕ_КОДЫ[[#This Row],[CONTEST_CODE]],_SCHEDULE_[CONTEST_CODE],0),MATCH($R$1,_SCHEDULE_[#Headers],0)),"-")</f>
        <v>УДАЛЕН</v>
      </c>
      <c r="S86" s="1" t="str">
        <f>IFERROR(INDEX(_group_[],MATCH(ВСЕ_КОДЫ[[#This Row],[CONTEST_CODE]],_group_[CONTEST_CODE],0),MATCH($S$1,_group_[#Headers],0)),"-")</f>
        <v>BANK</v>
      </c>
      <c r="T86" s="1" t="str">
        <f>IFERROR(INDEX(_INDICATOR_[],MATCH(ВСЕ_КОДЫ[[#This Row],[CONTEST_CODE]],_INDICATOR_[CONTEST_CODE],0),MATCH($T$1,_INDICATOR_[#Headers],0)),"-")</f>
        <v>WD</v>
      </c>
      <c r="U86" s="1" t="str">
        <f>IFERROR(INDEX(_reward_link_[],MATCH(ВСЕ_КОДЫ[[#This Row],[CONTEST_CODE]],_reward_link_[CONTEST_CODE],0),MATCH($U$1,_reward_link_[#Headers],0)),"-")</f>
        <v>GOSB</v>
      </c>
      <c r="V86" s="1" t="str">
        <f>IFERROR(INDEX(_report[],MATCH(ВСЕ_КОДЫ[[#This Row],[CONTEST_CODE]],_report[CONTEST_CODE],0),MATCH($V$1,_report[#Headers],0)),"-")</f>
        <v>-</v>
      </c>
      <c r="W86" s="1" t="str">
        <f>IFERROR(INDEX(_reward_[],MATCH(ВСЕ_КОДЫ[[#This Row],[REWARD_CODE]],_reward_[REWARD_CODE],0),MATCH($W$1,_reward_[#Headers],0)),"-")</f>
        <v>Чемпион страны по условным сделкам</v>
      </c>
      <c r="X86" s="1" t="str">
        <f>IFERROR(INDEX(_group_[],MATCH(CONCATENATE(ВСЕ_КОДЫ[[#This Row],[CONTEST_CODE]],"_",X$2),#REF!,0),MATCH(X$1,_group_[#Headers],0)),"-")</f>
        <v>-</v>
      </c>
      <c r="Y86" s="1" t="str">
        <f>IFERROR(INDEX(_group_[],MATCH(CONCATENATE(ВСЕ_КОДЫ[[#This Row],[CONTEST_CODE]],"_",Y$2),#REF!,0),MATCH(Y$1,_group_[#Headers],0)),"-")</f>
        <v>-</v>
      </c>
      <c r="Z86" s="1" t="str">
        <f>IFERROR(INDEX(_group_[],MATCH(CONCATENATE(ВСЕ_КОДЫ[[#This Row],[CONTEST_CODE]],"_",Z$2),#REF!,0),MATCH(Z$1,_group_[#Headers],0)),"-")</f>
        <v>-</v>
      </c>
      <c r="AA86" s="1" t="str">
        <f>IFERROR(INDEX(_group_[],MATCH(CONCATENATE(ВСЕ_КОДЫ[[#This Row],[CONTEST_CODE]],"_",AA$2),#REF!,0),MATCH(AA$1,_group_[#Headers],0)),"-")</f>
        <v>-</v>
      </c>
      <c r="AB86" s="1" t="str">
        <f>IFERROR(INDEX(_DATA_[],MATCH(ВСЕ_КОДЫ[[#This Row],[CONTEST_CODE]],_DATA_[CONTEST_CODE],0),MATCH($AB$2,_DATA_[#Headers],0)),"-")</f>
        <v>["""KMKKSB"""]</v>
      </c>
      <c r="AC86" s="1" t="str">
        <f>CONCATENATE(ВСЕ_КОДЫ[[#This Row],[CONTEST_CODE]],"_",ВСЕ_КОДЫ[[#This Row],[TOURNAMENT_CODE]])</f>
        <v>CONTEST_08_01_TOURNAMENT_08_01_2024_06</v>
      </c>
      <c r="AD86" s="1" t="str">
        <f>ВСЕ_КОДЫ[[#This Row],[FULL_NAME]]</f>
        <v>Марафон по условным сделкам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idden="1" x14ac:dyDescent="0.25">
      <c r="A87" s="1" t="s">
        <v>78</v>
      </c>
      <c r="B87" s="1" t="s">
        <v>1069</v>
      </c>
      <c r="C87" s="1" t="s">
        <v>343</v>
      </c>
      <c r="D87" s="1" t="s">
        <v>583</v>
      </c>
      <c r="E87" s="1" t="s">
        <v>49</v>
      </c>
      <c r="F87" s="1" t="s">
        <v>62</v>
      </c>
      <c r="G87" s="1" t="s">
        <v>27</v>
      </c>
      <c r="H87" s="1" t="s">
        <v>28</v>
      </c>
      <c r="I87" s="1" t="s">
        <v>50</v>
      </c>
      <c r="J87" s="1" t="s">
        <v>703</v>
      </c>
      <c r="K87" s="1" t="s">
        <v>704</v>
      </c>
      <c r="L87" s="1" t="s">
        <v>705</v>
      </c>
      <c r="M87" s="1" t="s">
        <v>176</v>
      </c>
      <c r="N87" s="1" t="s">
        <v>305</v>
      </c>
      <c r="O87" s="1" t="s">
        <v>338</v>
      </c>
      <c r="P87" s="1"/>
      <c r="Q87" s="1">
        <f>IFERROR(COUNTIFS(_report[TOURNAMENT_CODE],ВСЕ_КОДЫ[[#This Row],[TOURNAMENT_CODE]],_report[CONTEST_CODE],ВСЕ_КОДЫ[[#This Row],[CONTEST_CODE]]),"-")</f>
        <v>0</v>
      </c>
      <c r="R87" s="1" t="str">
        <f>IFERROR(INDEX(_SCHEDULE_[],MATCH(ВСЕ_КОДЫ[[#This Row],[CONTEST_CODE]],_SCHEDULE_[CONTEST_CODE],0),MATCH($R$1,_SCHEDULE_[#Headers],0)),"-")</f>
        <v>УДАЛЕН</v>
      </c>
      <c r="S87" s="1" t="str">
        <f>IFERROR(INDEX(_group_[],MATCH(ВСЕ_КОДЫ[[#This Row],[CONTEST_CODE]],_group_[CONTEST_CODE],0),MATCH($S$1,_group_[#Headers],0)),"-")</f>
        <v>BANK</v>
      </c>
      <c r="T87" s="1" t="str">
        <f>IFERROR(INDEX(_INDICATOR_[],MATCH(ВСЕ_КОДЫ[[#This Row],[CONTEST_CODE]],_INDICATOR_[CONTEST_CODE],0),MATCH($T$1,_INDICATOR_[#Headers],0)),"-")</f>
        <v>WD</v>
      </c>
      <c r="U87" s="1" t="str">
        <f>IFERROR(INDEX(_reward_link_[],MATCH(ВСЕ_КОДЫ[[#This Row],[CONTEST_CODE]],_reward_link_[CONTEST_CODE],0),MATCH($U$1,_reward_link_[#Headers],0)),"-")</f>
        <v>GOSB</v>
      </c>
      <c r="V87" s="1" t="str">
        <f>IFERROR(INDEX(_report[],MATCH(ВСЕ_КОДЫ[[#This Row],[CONTEST_CODE]],_report[CONTEST_CODE],0),MATCH($V$1,_report[#Headers],0)),"-")</f>
        <v>-</v>
      </c>
      <c r="W87" s="1" t="str">
        <f>IFERROR(INDEX(_reward_[],MATCH(ВСЕ_КОДЫ[[#This Row],[REWARD_CODE]],_reward_[REWARD_CODE],0),MATCH($W$1,_reward_[#Headers],0)),"-")</f>
        <v>Чемпион страны по условным сделкам</v>
      </c>
      <c r="X87" s="1" t="str">
        <f>IFERROR(INDEX(_group_[],MATCH(CONCATENATE(ВСЕ_КОДЫ[[#This Row],[CONTEST_CODE]],"_",X$2),#REF!,0),MATCH(X$1,_group_[#Headers],0)),"-")</f>
        <v>-</v>
      </c>
      <c r="Y87" s="1" t="str">
        <f>IFERROR(INDEX(_group_[],MATCH(CONCATENATE(ВСЕ_КОДЫ[[#This Row],[CONTEST_CODE]],"_",Y$2),#REF!,0),MATCH(Y$1,_group_[#Headers],0)),"-")</f>
        <v>-</v>
      </c>
      <c r="Z87" s="1" t="str">
        <f>IFERROR(INDEX(_group_[],MATCH(CONCATENATE(ВСЕ_КОДЫ[[#This Row],[CONTEST_CODE]],"_",Z$2),#REF!,0),MATCH(Z$1,_group_[#Headers],0)),"-")</f>
        <v>-</v>
      </c>
      <c r="AA87" s="1" t="str">
        <f>IFERROR(INDEX(_group_[],MATCH(CONCATENATE(ВСЕ_КОДЫ[[#This Row],[CONTEST_CODE]],"_",AA$2),#REF!,0),MATCH(AA$1,_group_[#Headers],0)),"-")</f>
        <v>-</v>
      </c>
      <c r="AB87" s="1" t="str">
        <f>IFERROR(INDEX(_DATA_[],MATCH(ВСЕ_КОДЫ[[#This Row],[CONTEST_CODE]],_DATA_[CONTEST_CODE],0),MATCH($AB$2,_DATA_[#Headers],0)),"-")</f>
        <v>["""KMKKSB"""]</v>
      </c>
      <c r="AC87" s="1" t="str">
        <f>CONCATENATE(ВСЕ_КОДЫ[[#This Row],[CONTEST_CODE]],"_",ВСЕ_КОДЫ[[#This Row],[TOURNAMENT_CODE]])</f>
        <v>CONTEST_08_01_TOURNAMENT_08_01_2024_07</v>
      </c>
      <c r="AD87" s="1" t="str">
        <f>ВСЕ_КОДЫ[[#This Row],[FULL_NAME]]</f>
        <v>Марафон по условным сделкам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idden="1" x14ac:dyDescent="0.25">
      <c r="A88" s="1" t="s">
        <v>78</v>
      </c>
      <c r="B88" s="1" t="s">
        <v>1214</v>
      </c>
      <c r="C88" s="1" t="s">
        <v>343</v>
      </c>
      <c r="D88" s="1" t="s">
        <v>583</v>
      </c>
      <c r="E88" s="1" t="s">
        <v>49</v>
      </c>
      <c r="F88" s="1" t="s">
        <v>62</v>
      </c>
      <c r="G88" s="1" t="s">
        <v>27</v>
      </c>
      <c r="H88" s="1" t="s">
        <v>28</v>
      </c>
      <c r="I88" s="1" t="s">
        <v>50</v>
      </c>
      <c r="J88" s="1" t="s">
        <v>1078</v>
      </c>
      <c r="K88" s="1" t="s">
        <v>1173</v>
      </c>
      <c r="L88" s="1" t="s">
        <v>706</v>
      </c>
      <c r="M88" s="1" t="s">
        <v>176</v>
      </c>
      <c r="N88" s="1" t="s">
        <v>305</v>
      </c>
      <c r="O88" s="1" t="s">
        <v>338</v>
      </c>
      <c r="P88" s="1"/>
      <c r="Q88" s="1">
        <f>IFERROR(COUNTIFS(_report[TOURNAMENT_CODE],ВСЕ_КОДЫ[[#This Row],[TOURNAMENT_CODE]],_report[CONTEST_CODE],ВСЕ_КОДЫ[[#This Row],[CONTEST_CODE]]),"-")</f>
        <v>0</v>
      </c>
      <c r="R88" s="1" t="str">
        <f>IFERROR(INDEX(_SCHEDULE_[],MATCH(ВСЕ_КОДЫ[[#This Row],[CONTEST_CODE]],_SCHEDULE_[CONTEST_CODE],0),MATCH($R$1,_SCHEDULE_[#Headers],0)),"-")</f>
        <v>УДАЛЕН</v>
      </c>
      <c r="S88" s="1" t="str">
        <f>IFERROR(INDEX(_group_[],MATCH(ВСЕ_КОДЫ[[#This Row],[CONTEST_CODE]],_group_[CONTEST_CODE],0),MATCH($S$1,_group_[#Headers],0)),"-")</f>
        <v>BANK</v>
      </c>
      <c r="T88" s="1" t="str">
        <f>IFERROR(INDEX(_INDICATOR_[],MATCH(ВСЕ_КОДЫ[[#This Row],[CONTEST_CODE]],_INDICATOR_[CONTEST_CODE],0),MATCH($T$1,_INDICATOR_[#Headers],0)),"-")</f>
        <v>WD</v>
      </c>
      <c r="U88" s="1" t="str">
        <f>IFERROR(INDEX(_reward_link_[],MATCH(ВСЕ_КОДЫ[[#This Row],[CONTEST_CODE]],_reward_link_[CONTEST_CODE],0),MATCH($U$1,_reward_link_[#Headers],0)),"-")</f>
        <v>GOSB</v>
      </c>
      <c r="V88" s="1" t="str">
        <f>IFERROR(INDEX(_report[],MATCH(ВСЕ_КОДЫ[[#This Row],[CONTEST_CODE]],_report[CONTEST_CODE],0),MATCH($V$1,_report[#Headers],0)),"-")</f>
        <v>-</v>
      </c>
      <c r="W88" s="1" t="str">
        <f>IFERROR(INDEX(_reward_[],MATCH(ВСЕ_КОДЫ[[#This Row],[REWARD_CODE]],_reward_[REWARD_CODE],0),MATCH($W$1,_reward_[#Headers],0)),"-")</f>
        <v>Чемпион страны по условным сделкам</v>
      </c>
      <c r="X88" s="1" t="str">
        <f>IFERROR(INDEX(_group_[],MATCH(CONCATENATE(ВСЕ_КОДЫ[[#This Row],[CONTEST_CODE]],"_",X$2),#REF!,0),MATCH(X$1,_group_[#Headers],0)),"-")</f>
        <v>-</v>
      </c>
      <c r="Y88" s="1" t="str">
        <f>IFERROR(INDEX(_group_[],MATCH(CONCATENATE(ВСЕ_КОДЫ[[#This Row],[CONTEST_CODE]],"_",Y$2),#REF!,0),MATCH(Y$1,_group_[#Headers],0)),"-")</f>
        <v>-</v>
      </c>
      <c r="Z88" s="1" t="str">
        <f>IFERROR(INDEX(_group_[],MATCH(CONCATENATE(ВСЕ_КОДЫ[[#This Row],[CONTEST_CODE]],"_",Z$2),#REF!,0),MATCH(Z$1,_group_[#Headers],0)),"-")</f>
        <v>-</v>
      </c>
      <c r="AA88" s="1" t="str">
        <f>IFERROR(INDEX(_group_[],MATCH(CONCATENATE(ВСЕ_КОДЫ[[#This Row],[CONTEST_CODE]],"_",AA$2),#REF!,0),MATCH(AA$1,_group_[#Headers],0)),"-")</f>
        <v>-</v>
      </c>
      <c r="AB88" s="1" t="str">
        <f>IFERROR(INDEX(_DATA_[],MATCH(ВСЕ_КОДЫ[[#This Row],[CONTEST_CODE]],_DATA_[CONTEST_CODE],0),MATCH($AB$2,_DATA_[#Headers],0)),"-")</f>
        <v>["""KMKKSB"""]</v>
      </c>
      <c r="AC88" s="1" t="str">
        <f>CONCATENATE(ВСЕ_КОДЫ[[#This Row],[CONTEST_CODE]],"_",ВСЕ_КОДЫ[[#This Row],[TOURNAMENT_CODE]])</f>
        <v>CONTEST_08_01_TOURNAMENT_08_01_2024_08</v>
      </c>
      <c r="AD88" s="1" t="str">
        <f>ВСЕ_КОДЫ[[#This Row],[FULL_NAME]]</f>
        <v>Марафон по условным сделкам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idden="1" x14ac:dyDescent="0.25">
      <c r="A89" s="1" t="s">
        <v>78</v>
      </c>
      <c r="B89" s="1" t="s">
        <v>1278</v>
      </c>
      <c r="C89" s="1" t="s">
        <v>343</v>
      </c>
      <c r="D89" s="1" t="s">
        <v>583</v>
      </c>
      <c r="E89" s="1" t="s">
        <v>49</v>
      </c>
      <c r="F89" s="1" t="s">
        <v>62</v>
      </c>
      <c r="G89" s="1" t="s">
        <v>27</v>
      </c>
      <c r="H89" s="1" t="s">
        <v>28</v>
      </c>
      <c r="I89" s="1" t="s">
        <v>50</v>
      </c>
      <c r="J89" s="1" t="s">
        <v>1225</v>
      </c>
      <c r="K89" s="1" t="s">
        <v>1070</v>
      </c>
      <c r="L89" s="1" t="s">
        <v>1071</v>
      </c>
      <c r="M89" s="1" t="s">
        <v>176</v>
      </c>
      <c r="N89" s="1" t="s">
        <v>305</v>
      </c>
      <c r="O89" s="1" t="s">
        <v>338</v>
      </c>
      <c r="P89" s="1"/>
      <c r="Q89" s="1">
        <f>IFERROR(COUNTIFS(_report[TOURNAMENT_CODE],ВСЕ_КОДЫ[[#This Row],[TOURNAMENT_CODE]],_report[CONTEST_CODE],ВСЕ_КОДЫ[[#This Row],[CONTEST_CODE]]),"-")</f>
        <v>0</v>
      </c>
      <c r="R89" s="1" t="str">
        <f>IFERROR(INDEX(_SCHEDULE_[],MATCH(ВСЕ_КОДЫ[[#This Row],[CONTEST_CODE]],_SCHEDULE_[CONTEST_CODE],0),MATCH($R$1,_SCHEDULE_[#Headers],0)),"-")</f>
        <v>УДАЛЕН</v>
      </c>
      <c r="S89" s="1" t="str">
        <f>IFERROR(INDEX(_group_[],MATCH(ВСЕ_КОДЫ[[#This Row],[CONTEST_CODE]],_group_[CONTEST_CODE],0),MATCH($S$1,_group_[#Headers],0)),"-")</f>
        <v>BANK</v>
      </c>
      <c r="T89" s="1" t="str">
        <f>IFERROR(INDEX(_INDICATOR_[],MATCH(ВСЕ_КОДЫ[[#This Row],[CONTEST_CODE]],_INDICATOR_[CONTEST_CODE],0),MATCH($T$1,_INDICATOR_[#Headers],0)),"-")</f>
        <v>WD</v>
      </c>
      <c r="U89" s="1" t="str">
        <f>IFERROR(INDEX(_reward_link_[],MATCH(ВСЕ_КОДЫ[[#This Row],[CONTEST_CODE]],_reward_link_[CONTEST_CODE],0),MATCH($U$1,_reward_link_[#Headers],0)),"-")</f>
        <v>GOSB</v>
      </c>
      <c r="V89" s="1" t="str">
        <f>IFERROR(INDEX(_report[],MATCH(ВСЕ_КОДЫ[[#This Row],[CONTEST_CODE]],_report[CONTEST_CODE],0),MATCH($V$1,_report[#Headers],0)),"-")</f>
        <v>-</v>
      </c>
      <c r="W89" s="1" t="str">
        <f>IFERROR(INDEX(_reward_[],MATCH(ВСЕ_КОДЫ[[#This Row],[REWARD_CODE]],_reward_[REWARD_CODE],0),MATCH($W$1,_reward_[#Headers],0)),"-")</f>
        <v>Чемпион страны по условным сделкам</v>
      </c>
      <c r="X89" s="1" t="str">
        <f>IFERROR(INDEX(_group_[],MATCH(CONCATENATE(ВСЕ_КОДЫ[[#This Row],[CONTEST_CODE]],"_",X$2),#REF!,0),MATCH(X$1,_group_[#Headers],0)),"-")</f>
        <v>-</v>
      </c>
      <c r="Y89" s="1" t="str">
        <f>IFERROR(INDEX(_group_[],MATCH(CONCATENATE(ВСЕ_КОДЫ[[#This Row],[CONTEST_CODE]],"_",Y$2),#REF!,0),MATCH(Y$1,_group_[#Headers],0)),"-")</f>
        <v>-</v>
      </c>
      <c r="Z89" s="1" t="str">
        <f>IFERROR(INDEX(_group_[],MATCH(CONCATENATE(ВСЕ_КОДЫ[[#This Row],[CONTEST_CODE]],"_",Z$2),#REF!,0),MATCH(Z$1,_group_[#Headers],0)),"-")</f>
        <v>-</v>
      </c>
      <c r="AA89" s="1" t="str">
        <f>IFERROR(INDEX(_group_[],MATCH(CONCATENATE(ВСЕ_КОДЫ[[#This Row],[CONTEST_CODE]],"_",AA$2),#REF!,0),MATCH(AA$1,_group_[#Headers],0)),"-")</f>
        <v>-</v>
      </c>
      <c r="AB89" s="1" t="str">
        <f>IFERROR(INDEX(_DATA_[],MATCH(ВСЕ_КОДЫ[[#This Row],[CONTEST_CODE]],_DATA_[CONTEST_CODE],0),MATCH($AB$2,_DATA_[#Headers],0)),"-")</f>
        <v>["""KMKKSB"""]</v>
      </c>
      <c r="AC89" s="1" t="str">
        <f>CONCATENATE(ВСЕ_КОДЫ[[#This Row],[CONTEST_CODE]],"_",ВСЕ_КОДЫ[[#This Row],[TOURNAMENT_CODE]])</f>
        <v>CONTEST_08_01_TOURNAMENT_08_01_2024_09</v>
      </c>
      <c r="AD89" s="1" t="str">
        <f>ВСЕ_КОДЫ[[#This Row],[FULL_NAME]]</f>
        <v>Марафон по условным сделкам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idden="1" x14ac:dyDescent="0.25">
      <c r="A90" s="1" t="s">
        <v>78</v>
      </c>
      <c r="B90" s="1" t="s">
        <v>1641</v>
      </c>
      <c r="C90" s="1" t="s">
        <v>343</v>
      </c>
      <c r="D90" s="1" t="s">
        <v>583</v>
      </c>
      <c r="E90" s="1" t="s">
        <v>49</v>
      </c>
      <c r="F90" s="1" t="s">
        <v>62</v>
      </c>
      <c r="G90" s="1" t="s">
        <v>27</v>
      </c>
      <c r="H90" s="1" t="s">
        <v>28</v>
      </c>
      <c r="I90" s="1" t="s">
        <v>50</v>
      </c>
      <c r="J90" s="1" t="s">
        <v>1308</v>
      </c>
      <c r="K90" s="1" t="s">
        <v>1638</v>
      </c>
      <c r="L90" s="1" t="s">
        <v>1846</v>
      </c>
      <c r="M90" s="1" t="s">
        <v>176</v>
      </c>
      <c r="N90" s="1" t="s">
        <v>305</v>
      </c>
      <c r="O90" s="1" t="s">
        <v>338</v>
      </c>
      <c r="P90" s="1"/>
      <c r="Q90" s="1">
        <f>IFERROR(COUNTIFS(_report[TOURNAMENT_CODE],ВСЕ_КОДЫ[[#This Row],[TOURNAMENT_CODE]],_report[CONTEST_CODE],ВСЕ_КОДЫ[[#This Row],[CONTEST_CODE]]),"-")</f>
        <v>0</v>
      </c>
      <c r="R90" s="1" t="str">
        <f>IFERROR(INDEX(_SCHEDULE_[],MATCH(ВСЕ_КОДЫ[[#This Row],[CONTEST_CODE]],_SCHEDULE_[CONTEST_CODE],0),MATCH($R$1,_SCHEDULE_[#Headers],0)),"-")</f>
        <v>УДАЛЕН</v>
      </c>
      <c r="S90" s="1" t="str">
        <f>IFERROR(INDEX(_group_[],MATCH(ВСЕ_КОДЫ[[#This Row],[CONTEST_CODE]],_group_[CONTEST_CODE],0),MATCH($S$1,_group_[#Headers],0)),"-")</f>
        <v>BANK</v>
      </c>
      <c r="T90" s="1" t="str">
        <f>IFERROR(INDEX(_INDICATOR_[],MATCH(ВСЕ_КОДЫ[[#This Row],[CONTEST_CODE]],_INDICATOR_[CONTEST_CODE],0),MATCH($T$1,_INDICATOR_[#Headers],0)),"-")</f>
        <v>WD</v>
      </c>
      <c r="U90" s="1" t="str">
        <f>IFERROR(INDEX(_reward_link_[],MATCH(ВСЕ_КОДЫ[[#This Row],[CONTEST_CODE]],_reward_link_[CONTEST_CODE],0),MATCH($U$1,_reward_link_[#Headers],0)),"-")</f>
        <v>GOSB</v>
      </c>
      <c r="V90" s="1" t="str">
        <f>IFERROR(INDEX(_report[],MATCH(ВСЕ_КОДЫ[[#This Row],[CONTEST_CODE]],_report[CONTEST_CODE],0),MATCH($V$1,_report[#Headers],0)),"-")</f>
        <v>-</v>
      </c>
      <c r="W90" s="1" t="str">
        <f>IFERROR(INDEX(_reward_[],MATCH(ВСЕ_КОДЫ[[#This Row],[REWARD_CODE]],_reward_[REWARD_CODE],0),MATCH($W$1,_reward_[#Headers],0)),"-")</f>
        <v>Чемпион страны по условным сделкам</v>
      </c>
      <c r="X90" s="1" t="str">
        <f>IFERROR(INDEX(_group_[],MATCH(CONCATENATE(ВСЕ_КОДЫ[[#This Row],[CONTEST_CODE]],"_",X$2),#REF!,0),MATCH(X$1,_group_[#Headers],0)),"-")</f>
        <v>-</v>
      </c>
      <c r="Y90" s="1" t="str">
        <f>IFERROR(INDEX(_group_[],MATCH(CONCATENATE(ВСЕ_КОДЫ[[#This Row],[CONTEST_CODE]],"_",Y$2),#REF!,0),MATCH(Y$1,_group_[#Headers],0)),"-")</f>
        <v>-</v>
      </c>
      <c r="Z90" s="1" t="str">
        <f>IFERROR(INDEX(_group_[],MATCH(CONCATENATE(ВСЕ_КОДЫ[[#This Row],[CONTEST_CODE]],"_",Z$2),#REF!,0),MATCH(Z$1,_group_[#Headers],0)),"-")</f>
        <v>-</v>
      </c>
      <c r="AA90" s="1" t="str">
        <f>IFERROR(INDEX(_group_[],MATCH(CONCATENATE(ВСЕ_КОДЫ[[#This Row],[CONTEST_CODE]],"_",AA$2),#REF!,0),MATCH(AA$1,_group_[#Headers],0)),"-")</f>
        <v>-</v>
      </c>
      <c r="AB90" s="1" t="str">
        <f>IFERROR(INDEX(_DATA_[],MATCH(ВСЕ_КОДЫ[[#This Row],[CONTEST_CODE]],_DATA_[CONTEST_CODE],0),MATCH($AB$2,_DATA_[#Headers],0)),"-")</f>
        <v>["""KMKKSB"""]</v>
      </c>
      <c r="AC90" s="1" t="str">
        <f>CONCATENATE(ВСЕ_КОДЫ[[#This Row],[CONTEST_CODE]],"_",ВСЕ_КОДЫ[[#This Row],[TOURNAMENT_CODE]])</f>
        <v>CONTEST_08_01_TOURNAMENT_08_01_2024_M10</v>
      </c>
      <c r="AD90" s="1" t="str">
        <f>ВСЕ_КОДЫ[[#This Row],[FULL_NAME]]</f>
        <v>Марафон по условным сделкам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idden="1" x14ac:dyDescent="0.25">
      <c r="A91" s="1" t="s">
        <v>78</v>
      </c>
      <c r="B91" s="1" t="s">
        <v>1804</v>
      </c>
      <c r="C91" s="1" t="s">
        <v>343</v>
      </c>
      <c r="D91" s="1" t="s">
        <v>583</v>
      </c>
      <c r="E91" s="1" t="s">
        <v>49</v>
      </c>
      <c r="F91" s="1" t="s">
        <v>62</v>
      </c>
      <c r="G91" s="1" t="s">
        <v>27</v>
      </c>
      <c r="H91" s="1" t="s">
        <v>28</v>
      </c>
      <c r="I91" s="1" t="s">
        <v>50</v>
      </c>
      <c r="J91" s="1" t="s">
        <v>1800</v>
      </c>
      <c r="K91" s="1" t="s">
        <v>1801</v>
      </c>
      <c r="L91" s="1" t="s">
        <v>1802</v>
      </c>
      <c r="M91" s="1" t="s">
        <v>155</v>
      </c>
      <c r="N91" s="1" t="s">
        <v>305</v>
      </c>
      <c r="O91" s="1" t="s">
        <v>338</v>
      </c>
      <c r="P91" s="1"/>
      <c r="Q91" s="1">
        <f>IFERROR(COUNTIFS(_report[TOURNAMENT_CODE],ВСЕ_КОДЫ[[#This Row],[TOURNAMENT_CODE]],_report[CONTEST_CODE],ВСЕ_КОДЫ[[#This Row],[CONTEST_CODE]]),"-")</f>
        <v>0</v>
      </c>
      <c r="R91" s="1" t="str">
        <f>IFERROR(INDEX(_SCHEDULE_[],MATCH(ВСЕ_КОДЫ[[#This Row],[CONTEST_CODE]],_SCHEDULE_[CONTEST_CODE],0),MATCH($R$1,_SCHEDULE_[#Headers],0)),"-")</f>
        <v>УДАЛЕН</v>
      </c>
      <c r="S91" s="1" t="str">
        <f>IFERROR(INDEX(_group_[],MATCH(ВСЕ_КОДЫ[[#This Row],[CONTEST_CODE]],_group_[CONTEST_CODE],0),MATCH($S$1,_group_[#Headers],0)),"-")</f>
        <v>BANK</v>
      </c>
      <c r="T91" s="1" t="str">
        <f>IFERROR(INDEX(_INDICATOR_[],MATCH(ВСЕ_КОДЫ[[#This Row],[CONTEST_CODE]],_INDICATOR_[CONTEST_CODE],0),MATCH($T$1,_INDICATOR_[#Headers],0)),"-")</f>
        <v>WD</v>
      </c>
      <c r="U91" s="1" t="str">
        <f>IFERROR(INDEX(_reward_link_[],MATCH(ВСЕ_КОДЫ[[#This Row],[CONTEST_CODE]],_reward_link_[CONTEST_CODE],0),MATCH($U$1,_reward_link_[#Headers],0)),"-")</f>
        <v>GOSB</v>
      </c>
      <c r="V91" s="1" t="str">
        <f>IFERROR(INDEX(_report[],MATCH(ВСЕ_КОДЫ[[#This Row],[CONTEST_CODE]],_report[CONTEST_CODE],0),MATCH($V$1,_report[#Headers],0)),"-")</f>
        <v>-</v>
      </c>
      <c r="W91" s="1" t="str">
        <f>IFERROR(INDEX(_reward_[],MATCH(ВСЕ_КОДЫ[[#This Row],[REWARD_CODE]],_reward_[REWARD_CODE],0),MATCH($W$1,_reward_[#Headers],0)),"-")</f>
        <v>Чемпион страны по условным сделкам</v>
      </c>
      <c r="X91" s="1" t="str">
        <f>IFERROR(INDEX(_group_[],MATCH(CONCATENATE(ВСЕ_КОДЫ[[#This Row],[CONTEST_CODE]],"_",X$2),#REF!,0),MATCH(X$1,_group_[#Headers],0)),"-")</f>
        <v>-</v>
      </c>
      <c r="Y91" s="1" t="str">
        <f>IFERROR(INDEX(_group_[],MATCH(CONCATENATE(ВСЕ_КОДЫ[[#This Row],[CONTEST_CODE]],"_",Y$2),#REF!,0),MATCH(Y$1,_group_[#Headers],0)),"-")</f>
        <v>-</v>
      </c>
      <c r="Z91" s="1" t="str">
        <f>IFERROR(INDEX(_group_[],MATCH(CONCATENATE(ВСЕ_КОДЫ[[#This Row],[CONTEST_CODE]],"_",Z$2),#REF!,0),MATCH(Z$1,_group_[#Headers],0)),"-")</f>
        <v>-</v>
      </c>
      <c r="AA91" s="1" t="str">
        <f>IFERROR(INDEX(_group_[],MATCH(CONCATENATE(ВСЕ_КОДЫ[[#This Row],[CONTEST_CODE]],"_",AA$2),#REF!,0),MATCH(AA$1,_group_[#Headers],0)),"-")</f>
        <v>-</v>
      </c>
      <c r="AB91" s="1" t="str">
        <f>IFERROR(INDEX(_DATA_[],MATCH(ВСЕ_КОДЫ[[#This Row],[CONTEST_CODE]],_DATA_[CONTEST_CODE],0),MATCH($AB$2,_DATA_[#Headers],0)),"-")</f>
        <v>["""KMKKSB"""]</v>
      </c>
      <c r="AC91" s="1" t="str">
        <f>CONCATENATE(ВСЕ_КОДЫ[[#This Row],[CONTEST_CODE]],"_",ВСЕ_КОДЫ[[#This Row],[TOURNAMENT_CODE]])</f>
        <v>CONTEST_08_01_TOURNAMENT_08_01_2024_M11</v>
      </c>
      <c r="AD91" s="1" t="str">
        <f>ВСЕ_КОДЫ[[#This Row],[FULL_NAME]]</f>
        <v>Марафон по условным сделкам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idden="1" x14ac:dyDescent="0.25">
      <c r="A92" s="1" t="s">
        <v>78</v>
      </c>
      <c r="B92" s="1" t="s">
        <v>232</v>
      </c>
      <c r="C92" s="1" t="s">
        <v>340</v>
      </c>
      <c r="D92" s="1" t="s">
        <v>584</v>
      </c>
      <c r="E92" s="1" t="s">
        <v>49</v>
      </c>
      <c r="F92" s="1" t="s">
        <v>62</v>
      </c>
      <c r="G92" s="1" t="s">
        <v>27</v>
      </c>
      <c r="H92" s="1" t="s">
        <v>28</v>
      </c>
      <c r="I92" s="1" t="s">
        <v>50</v>
      </c>
      <c r="J92" s="1" t="s">
        <v>76</v>
      </c>
      <c r="K92" s="1" t="s">
        <v>167</v>
      </c>
      <c r="L92" s="1" t="s">
        <v>233</v>
      </c>
      <c r="M92" s="1" t="s">
        <v>155</v>
      </c>
      <c r="N92" s="1" t="s">
        <v>305</v>
      </c>
      <c r="O92" s="1" t="s">
        <v>332</v>
      </c>
      <c r="P92" s="1"/>
      <c r="Q92" s="1">
        <f>IFERROR(COUNTIFS(_report[TOURNAMENT_CODE],ВСЕ_КОДЫ[[#This Row],[TOURNAMENT_CODE]],_report[CONTEST_CODE],ВСЕ_КОДЫ[[#This Row],[CONTEST_CODE]]),"-")</f>
        <v>0</v>
      </c>
      <c r="R92" s="1" t="str">
        <f>IFERROR(INDEX(_SCHEDULE_[],MATCH(ВСЕ_КОДЫ[[#This Row],[CONTEST_CODE]],_SCHEDULE_[CONTEST_CODE],0),MATCH($R$1,_SCHEDULE_[#Headers],0)),"-")</f>
        <v>УДАЛЕН</v>
      </c>
      <c r="S92" s="1" t="str">
        <f>IFERROR(INDEX(_group_[],MATCH(ВСЕ_КОДЫ[[#This Row],[CONTEST_CODE]],_group_[CONTEST_CODE],0),MATCH($S$1,_group_[#Headers],0)),"-")</f>
        <v>BANK</v>
      </c>
      <c r="T92" s="1" t="str">
        <f>IFERROR(INDEX(_INDICATOR_[],MATCH(ВСЕ_КОДЫ[[#This Row],[CONTEST_CODE]],_INDICATOR_[CONTEST_CODE],0),MATCH($T$1,_INDICATOR_[#Headers],0)),"-")</f>
        <v>WD</v>
      </c>
      <c r="U92" s="1" t="str">
        <f>IFERROR(INDEX(_reward_link_[],MATCH(ВСЕ_КОДЫ[[#This Row],[CONTEST_CODE]],_reward_link_[CONTEST_CODE],0),MATCH($U$1,_reward_link_[#Headers],0)),"-")</f>
        <v>GOSB</v>
      </c>
      <c r="V92" s="1" t="str">
        <f>IFERROR(INDEX(_report[],MATCH(ВСЕ_КОДЫ[[#This Row],[CONTEST_CODE]],_report[CONTEST_CODE],0),MATCH($V$1,_report[#Headers],0)),"-")</f>
        <v>-</v>
      </c>
      <c r="W92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2" s="1" t="str">
        <f>IFERROR(INDEX(_group_[],MATCH(CONCATENATE(ВСЕ_КОДЫ[[#This Row],[CONTEST_CODE]],"_",X$2),#REF!,0),MATCH(X$1,_group_[#Headers],0)),"-")</f>
        <v>-</v>
      </c>
      <c r="Y92" s="1" t="str">
        <f>IFERROR(INDEX(_group_[],MATCH(CONCATENATE(ВСЕ_КОДЫ[[#This Row],[CONTEST_CODE]],"_",Y$2),#REF!,0),MATCH(Y$1,_group_[#Headers],0)),"-")</f>
        <v>-</v>
      </c>
      <c r="Z92" s="1" t="str">
        <f>IFERROR(INDEX(_group_[],MATCH(CONCATENATE(ВСЕ_КОДЫ[[#This Row],[CONTEST_CODE]],"_",Z$2),#REF!,0),MATCH(Z$1,_group_[#Headers],0)),"-")</f>
        <v>-</v>
      </c>
      <c r="AA92" s="1" t="str">
        <f>IFERROR(INDEX(_group_[],MATCH(CONCATENATE(ВСЕ_КОДЫ[[#This Row],[CONTEST_CODE]],"_",AA$2),#REF!,0),MATCH(AA$1,_group_[#Headers],0)),"-")</f>
        <v>-</v>
      </c>
      <c r="AB92" s="1" t="str">
        <f>IFERROR(INDEX(_DATA_[],MATCH(ВСЕ_КОДЫ[[#This Row],[CONTEST_CODE]],_DATA_[CONTEST_CODE],0),MATCH($AB$2,_DATA_[#Headers],0)),"-")</f>
        <v>["""KMKKSB"""]</v>
      </c>
      <c r="AC92" s="1" t="str">
        <f>CONCATENATE(ВСЕ_КОДЫ[[#This Row],[CONTEST_CODE]],"_",ВСЕ_КОДЫ[[#This Row],[TOURNAMENT_CODE]])</f>
        <v>CONTEST_08_01_TOURNAMENT_08_01_2023_11</v>
      </c>
      <c r="AD92" s="1" t="str">
        <f>ВСЕ_КОДЫ[[#This Row],[FULL_NAME]]</f>
        <v>Марафон по условным сделкам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idden="1" x14ac:dyDescent="0.25">
      <c r="A93" s="1" t="s">
        <v>78</v>
      </c>
      <c r="B93" s="1" t="s">
        <v>234</v>
      </c>
      <c r="C93" s="1" t="s">
        <v>340</v>
      </c>
      <c r="D93" s="1" t="s">
        <v>584</v>
      </c>
      <c r="E93" s="1" t="s">
        <v>49</v>
      </c>
      <c r="F93" s="1" t="s">
        <v>62</v>
      </c>
      <c r="G93" s="1" t="s">
        <v>27</v>
      </c>
      <c r="H93" s="1" t="s">
        <v>28</v>
      </c>
      <c r="I93" s="1" t="s">
        <v>50</v>
      </c>
      <c r="J93" s="1" t="s">
        <v>170</v>
      </c>
      <c r="K93" s="1" t="s">
        <v>171</v>
      </c>
      <c r="L93" s="1" t="s">
        <v>235</v>
      </c>
      <c r="M93" s="1" t="s">
        <v>176</v>
      </c>
      <c r="N93" s="1" t="s">
        <v>305</v>
      </c>
      <c r="O93" s="1" t="s">
        <v>332</v>
      </c>
      <c r="P93" s="1"/>
      <c r="Q93" s="1">
        <f>IFERROR(COUNTIFS(_report[TOURNAMENT_CODE],ВСЕ_КОДЫ[[#This Row],[TOURNAMENT_CODE]],_report[CONTEST_CODE],ВСЕ_КОДЫ[[#This Row],[CONTEST_CODE]]),"-")</f>
        <v>0</v>
      </c>
      <c r="R93" s="1" t="str">
        <f>IFERROR(INDEX(_SCHEDULE_[],MATCH(ВСЕ_КОДЫ[[#This Row],[CONTEST_CODE]],_SCHEDULE_[CONTEST_CODE],0),MATCH($R$1,_SCHEDULE_[#Headers],0)),"-")</f>
        <v>УДАЛЕН</v>
      </c>
      <c r="S93" s="1" t="str">
        <f>IFERROR(INDEX(_group_[],MATCH(ВСЕ_КОДЫ[[#This Row],[CONTEST_CODE]],_group_[CONTEST_CODE],0),MATCH($S$1,_group_[#Headers],0)),"-")</f>
        <v>BANK</v>
      </c>
      <c r="T93" s="1" t="str">
        <f>IFERROR(INDEX(_INDICATOR_[],MATCH(ВСЕ_КОДЫ[[#This Row],[CONTEST_CODE]],_INDICATOR_[CONTEST_CODE],0),MATCH($T$1,_INDICATOR_[#Headers],0)),"-")</f>
        <v>WD</v>
      </c>
      <c r="U93" s="1" t="str">
        <f>IFERROR(INDEX(_reward_link_[],MATCH(ВСЕ_КОДЫ[[#This Row],[CONTEST_CODE]],_reward_link_[CONTEST_CODE],0),MATCH($U$1,_reward_link_[#Headers],0)),"-")</f>
        <v>GOSB</v>
      </c>
      <c r="V93" s="1" t="str">
        <f>IFERROR(INDEX(_report[],MATCH(ВСЕ_КОДЫ[[#This Row],[CONTEST_CODE]],_report[CONTEST_CODE],0),MATCH($V$1,_report[#Headers],0)),"-")</f>
        <v>-</v>
      </c>
      <c r="W93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3" s="1" t="str">
        <f>IFERROR(INDEX(_group_[],MATCH(CONCATENATE(ВСЕ_КОДЫ[[#This Row],[CONTEST_CODE]],"_",X$2),#REF!,0),MATCH(X$1,_group_[#Headers],0)),"-")</f>
        <v>-</v>
      </c>
      <c r="Y93" s="1" t="str">
        <f>IFERROR(INDEX(_group_[],MATCH(CONCATENATE(ВСЕ_КОДЫ[[#This Row],[CONTEST_CODE]],"_",Y$2),#REF!,0),MATCH(Y$1,_group_[#Headers],0)),"-")</f>
        <v>-</v>
      </c>
      <c r="Z93" s="1" t="str">
        <f>IFERROR(INDEX(_group_[],MATCH(CONCATENATE(ВСЕ_КОДЫ[[#This Row],[CONTEST_CODE]],"_",Z$2),#REF!,0),MATCH(Z$1,_group_[#Headers],0)),"-")</f>
        <v>-</v>
      </c>
      <c r="AA93" s="1" t="str">
        <f>IFERROR(INDEX(_group_[],MATCH(CONCATENATE(ВСЕ_КОДЫ[[#This Row],[CONTEST_CODE]],"_",AA$2),#REF!,0),MATCH(AA$1,_group_[#Headers],0)),"-")</f>
        <v>-</v>
      </c>
      <c r="AB93" s="1" t="str">
        <f>IFERROR(INDEX(_DATA_[],MATCH(ВСЕ_КОДЫ[[#This Row],[CONTEST_CODE]],_DATA_[CONTEST_CODE],0),MATCH($AB$2,_DATA_[#Headers],0)),"-")</f>
        <v>["""KMKKSB"""]</v>
      </c>
      <c r="AC93" s="1" t="str">
        <f>CONCATENATE(ВСЕ_КОДЫ[[#This Row],[CONTEST_CODE]],"_",ВСЕ_КОДЫ[[#This Row],[TOURNAMENT_CODE]])</f>
        <v>CONTEST_08_01_TOURNAMENT_08_01_2023_12</v>
      </c>
      <c r="AD93" s="1" t="str">
        <f>ВСЕ_КОДЫ[[#This Row],[FULL_NAME]]</f>
        <v>Марафон по условным сделкам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idden="1" x14ac:dyDescent="0.25">
      <c r="A94" s="1" t="s">
        <v>78</v>
      </c>
      <c r="B94" s="1" t="s">
        <v>236</v>
      </c>
      <c r="C94" s="1" t="s">
        <v>340</v>
      </c>
      <c r="D94" s="1" t="s">
        <v>584</v>
      </c>
      <c r="E94" s="1" t="s">
        <v>49</v>
      </c>
      <c r="F94" s="1" t="s">
        <v>62</v>
      </c>
      <c r="G94" s="1" t="s">
        <v>27</v>
      </c>
      <c r="H94" s="1" t="s">
        <v>28</v>
      </c>
      <c r="I94" s="1" t="s">
        <v>50</v>
      </c>
      <c r="J94" s="1" t="s">
        <v>182</v>
      </c>
      <c r="K94" s="1" t="s">
        <v>183</v>
      </c>
      <c r="L94" s="1" t="s">
        <v>237</v>
      </c>
      <c r="M94" s="1" t="s">
        <v>176</v>
      </c>
      <c r="N94" s="1" t="s">
        <v>305</v>
      </c>
      <c r="O94" s="1" t="s">
        <v>332</v>
      </c>
      <c r="P94" s="1"/>
      <c r="Q94" s="1">
        <f>IFERROR(COUNTIFS(_report[TOURNAMENT_CODE],ВСЕ_КОДЫ[[#This Row],[TOURNAMENT_CODE]],_report[CONTEST_CODE],ВСЕ_КОДЫ[[#This Row],[CONTEST_CODE]]),"-")</f>
        <v>0</v>
      </c>
      <c r="R94" s="1" t="str">
        <f>IFERROR(INDEX(_SCHEDULE_[],MATCH(ВСЕ_КОДЫ[[#This Row],[CONTEST_CODE]],_SCHEDULE_[CONTEST_CODE],0),MATCH($R$1,_SCHEDULE_[#Headers],0)),"-")</f>
        <v>УДАЛЕН</v>
      </c>
      <c r="S94" s="1" t="str">
        <f>IFERROR(INDEX(_group_[],MATCH(ВСЕ_КОДЫ[[#This Row],[CONTEST_CODE]],_group_[CONTEST_CODE],0),MATCH($S$1,_group_[#Headers],0)),"-")</f>
        <v>BANK</v>
      </c>
      <c r="T94" s="1" t="str">
        <f>IFERROR(INDEX(_INDICATOR_[],MATCH(ВСЕ_КОДЫ[[#This Row],[CONTEST_CODE]],_INDICATOR_[CONTEST_CODE],0),MATCH($T$1,_INDICATOR_[#Headers],0)),"-")</f>
        <v>WD</v>
      </c>
      <c r="U94" s="1" t="str">
        <f>IFERROR(INDEX(_reward_link_[],MATCH(ВСЕ_КОДЫ[[#This Row],[CONTEST_CODE]],_reward_link_[CONTEST_CODE],0),MATCH($U$1,_reward_link_[#Headers],0)),"-")</f>
        <v>GOSB</v>
      </c>
      <c r="V94" s="1" t="str">
        <f>IFERROR(INDEX(_report[],MATCH(ВСЕ_КОДЫ[[#This Row],[CONTEST_CODE]],_report[CONTEST_CODE],0),MATCH($V$1,_report[#Headers],0)),"-")</f>
        <v>-</v>
      </c>
      <c r="W94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4" s="1" t="str">
        <f>IFERROR(INDEX(_group_[],MATCH(CONCATENATE(ВСЕ_КОДЫ[[#This Row],[CONTEST_CODE]],"_",X$2),#REF!,0),MATCH(X$1,_group_[#Headers],0)),"-")</f>
        <v>-</v>
      </c>
      <c r="Y94" s="1" t="str">
        <f>IFERROR(INDEX(_group_[],MATCH(CONCATENATE(ВСЕ_КОДЫ[[#This Row],[CONTEST_CODE]],"_",Y$2),#REF!,0),MATCH(Y$1,_group_[#Headers],0)),"-")</f>
        <v>-</v>
      </c>
      <c r="Z94" s="1" t="str">
        <f>IFERROR(INDEX(_group_[],MATCH(CONCATENATE(ВСЕ_КОДЫ[[#This Row],[CONTEST_CODE]],"_",Z$2),#REF!,0),MATCH(Z$1,_group_[#Headers],0)),"-")</f>
        <v>-</v>
      </c>
      <c r="AA94" s="1" t="str">
        <f>IFERROR(INDEX(_group_[],MATCH(CONCATENATE(ВСЕ_КОДЫ[[#This Row],[CONTEST_CODE]],"_",AA$2),#REF!,0),MATCH(AA$1,_group_[#Headers],0)),"-")</f>
        <v>-</v>
      </c>
      <c r="AB94" s="1" t="str">
        <f>IFERROR(INDEX(_DATA_[],MATCH(ВСЕ_КОДЫ[[#This Row],[CONTEST_CODE]],_DATA_[CONTEST_CODE],0),MATCH($AB$2,_DATA_[#Headers],0)),"-")</f>
        <v>["""KMKKSB"""]</v>
      </c>
      <c r="AC94" s="1" t="str">
        <f>CONCATENATE(ВСЕ_КОДЫ[[#This Row],[CONTEST_CODE]],"_",ВСЕ_КОДЫ[[#This Row],[TOURNAMENT_CODE]])</f>
        <v>CONTEST_08_01_TOURNAMENT_08_01_2024_01</v>
      </c>
      <c r="AD94" s="1" t="str">
        <f>ВСЕ_КОДЫ[[#This Row],[FULL_NAME]]</f>
        <v>Марафон по условным сделкам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idden="1" x14ac:dyDescent="0.25">
      <c r="A95" s="1" t="s">
        <v>78</v>
      </c>
      <c r="B95" s="1" t="s">
        <v>238</v>
      </c>
      <c r="C95" s="1" t="s">
        <v>340</v>
      </c>
      <c r="D95" s="1" t="s">
        <v>584</v>
      </c>
      <c r="E95" s="1" t="s">
        <v>49</v>
      </c>
      <c r="F95" s="1" t="s">
        <v>62</v>
      </c>
      <c r="G95" s="1" t="s">
        <v>27</v>
      </c>
      <c r="H95" s="1" t="s">
        <v>28</v>
      </c>
      <c r="I95" s="1" t="s">
        <v>50</v>
      </c>
      <c r="J95" s="1" t="s">
        <v>239</v>
      </c>
      <c r="K95" s="1" t="s">
        <v>240</v>
      </c>
      <c r="L95" s="1" t="s">
        <v>241</v>
      </c>
      <c r="M95" s="1" t="s">
        <v>176</v>
      </c>
      <c r="N95" s="1" t="s">
        <v>305</v>
      </c>
      <c r="O95" s="1" t="s">
        <v>332</v>
      </c>
      <c r="P95" s="1"/>
      <c r="Q95" s="1">
        <f>IFERROR(COUNTIFS(_report[TOURNAMENT_CODE],ВСЕ_КОДЫ[[#This Row],[TOURNAMENT_CODE]],_report[CONTEST_CODE],ВСЕ_КОДЫ[[#This Row],[CONTEST_CODE]]),"-")</f>
        <v>0</v>
      </c>
      <c r="R95" s="1" t="str">
        <f>IFERROR(INDEX(_SCHEDULE_[],MATCH(ВСЕ_КОДЫ[[#This Row],[CONTEST_CODE]],_SCHEDULE_[CONTEST_CODE],0),MATCH($R$1,_SCHEDULE_[#Headers],0)),"-")</f>
        <v>УДАЛЕН</v>
      </c>
      <c r="S95" s="1" t="str">
        <f>IFERROR(INDEX(_group_[],MATCH(ВСЕ_КОДЫ[[#This Row],[CONTEST_CODE]],_group_[CONTEST_CODE],0),MATCH($S$1,_group_[#Headers],0)),"-")</f>
        <v>BANK</v>
      </c>
      <c r="T95" s="1" t="str">
        <f>IFERROR(INDEX(_INDICATOR_[],MATCH(ВСЕ_КОДЫ[[#This Row],[CONTEST_CODE]],_INDICATOR_[CONTEST_CODE],0),MATCH($T$1,_INDICATOR_[#Headers],0)),"-")</f>
        <v>WD</v>
      </c>
      <c r="U95" s="1" t="str">
        <f>IFERROR(INDEX(_reward_link_[],MATCH(ВСЕ_КОДЫ[[#This Row],[CONTEST_CODE]],_reward_link_[CONTEST_CODE],0),MATCH($U$1,_reward_link_[#Headers],0)),"-")</f>
        <v>GOSB</v>
      </c>
      <c r="V95" s="1" t="str">
        <f>IFERROR(INDEX(_report[],MATCH(ВСЕ_КОДЫ[[#This Row],[CONTEST_CODE]],_report[CONTEST_CODE],0),MATCH($V$1,_report[#Headers],0)),"-")</f>
        <v>-</v>
      </c>
      <c r="W95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5" s="1" t="str">
        <f>IFERROR(INDEX(_group_[],MATCH(CONCATENATE(ВСЕ_КОДЫ[[#This Row],[CONTEST_CODE]],"_",X$2),#REF!,0),MATCH(X$1,_group_[#Headers],0)),"-")</f>
        <v>-</v>
      </c>
      <c r="Y95" s="1" t="str">
        <f>IFERROR(INDEX(_group_[],MATCH(CONCATENATE(ВСЕ_КОДЫ[[#This Row],[CONTEST_CODE]],"_",Y$2),#REF!,0),MATCH(Y$1,_group_[#Headers],0)),"-")</f>
        <v>-</v>
      </c>
      <c r="Z95" s="1" t="str">
        <f>IFERROR(INDEX(_group_[],MATCH(CONCATENATE(ВСЕ_КОДЫ[[#This Row],[CONTEST_CODE]],"_",Z$2),#REF!,0),MATCH(Z$1,_group_[#Headers],0)),"-")</f>
        <v>-</v>
      </c>
      <c r="AA95" s="1" t="str">
        <f>IFERROR(INDEX(_group_[],MATCH(CONCATENATE(ВСЕ_КОДЫ[[#This Row],[CONTEST_CODE]],"_",AA$2),#REF!,0),MATCH(AA$1,_group_[#Headers],0)),"-")</f>
        <v>-</v>
      </c>
      <c r="AB95" s="1" t="str">
        <f>IFERROR(INDEX(_DATA_[],MATCH(ВСЕ_КОДЫ[[#This Row],[CONTEST_CODE]],_DATA_[CONTEST_CODE],0),MATCH($AB$2,_DATA_[#Headers],0)),"-")</f>
        <v>["""KMKKSB"""]</v>
      </c>
      <c r="AC95" s="1" t="str">
        <f>CONCATENATE(ВСЕ_КОДЫ[[#This Row],[CONTEST_CODE]],"_",ВСЕ_КОДЫ[[#This Row],[TOURNAMENT_CODE]])</f>
        <v>CONTEST_08_01_TOURNAMENT_08_01_2024_02</v>
      </c>
      <c r="AD95" s="1" t="str">
        <f>ВСЕ_КОДЫ[[#This Row],[FULL_NAME]]</f>
        <v>Марафон по условным сделкам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idden="1" x14ac:dyDescent="0.25">
      <c r="A96" s="1" t="s">
        <v>78</v>
      </c>
      <c r="B96" s="1" t="s">
        <v>242</v>
      </c>
      <c r="C96" s="1" t="s">
        <v>340</v>
      </c>
      <c r="D96" s="1" t="s">
        <v>584</v>
      </c>
      <c r="E96" s="1" t="s">
        <v>49</v>
      </c>
      <c r="F96" s="1" t="s">
        <v>62</v>
      </c>
      <c r="G96" s="1" t="s">
        <v>27</v>
      </c>
      <c r="H96" s="1" t="s">
        <v>28</v>
      </c>
      <c r="I96" s="1" t="s">
        <v>50</v>
      </c>
      <c r="J96" s="1" t="s">
        <v>187</v>
      </c>
      <c r="K96" s="1" t="s">
        <v>188</v>
      </c>
      <c r="L96" s="1" t="s">
        <v>189</v>
      </c>
      <c r="M96" s="1" t="s">
        <v>176</v>
      </c>
      <c r="N96" s="1" t="s">
        <v>305</v>
      </c>
      <c r="O96" s="1" t="s">
        <v>332</v>
      </c>
      <c r="P96" s="1"/>
      <c r="Q96" s="1">
        <f>IFERROR(COUNTIFS(_report[TOURNAMENT_CODE],ВСЕ_КОДЫ[[#This Row],[TOURNAMENT_CODE]],_report[CONTEST_CODE],ВСЕ_КОДЫ[[#This Row],[CONTEST_CODE]]),"-")</f>
        <v>0</v>
      </c>
      <c r="R96" s="1" t="str">
        <f>IFERROR(INDEX(_SCHEDULE_[],MATCH(ВСЕ_КОДЫ[[#This Row],[CONTEST_CODE]],_SCHEDULE_[CONTEST_CODE],0),MATCH($R$1,_SCHEDULE_[#Headers],0)),"-")</f>
        <v>УДАЛЕН</v>
      </c>
      <c r="S96" s="1" t="str">
        <f>IFERROR(INDEX(_group_[],MATCH(ВСЕ_КОДЫ[[#This Row],[CONTEST_CODE]],_group_[CONTEST_CODE],0),MATCH($S$1,_group_[#Headers],0)),"-")</f>
        <v>BANK</v>
      </c>
      <c r="T96" s="1" t="str">
        <f>IFERROR(INDEX(_INDICATOR_[],MATCH(ВСЕ_КОДЫ[[#This Row],[CONTEST_CODE]],_INDICATOR_[CONTEST_CODE],0),MATCH($T$1,_INDICATOR_[#Headers],0)),"-")</f>
        <v>WD</v>
      </c>
      <c r="U96" s="1" t="str">
        <f>IFERROR(INDEX(_reward_link_[],MATCH(ВСЕ_КОДЫ[[#This Row],[CONTEST_CODE]],_reward_link_[CONTEST_CODE],0),MATCH($U$1,_reward_link_[#Headers],0)),"-")</f>
        <v>GOSB</v>
      </c>
      <c r="V96" s="1" t="str">
        <f>IFERROR(INDEX(_report[],MATCH(ВСЕ_КОДЫ[[#This Row],[CONTEST_CODE]],_report[CONTEST_CODE],0),MATCH($V$1,_report[#Headers],0)),"-")</f>
        <v>-</v>
      </c>
      <c r="W96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6" s="1" t="str">
        <f>IFERROR(INDEX(_group_[],MATCH(CONCATENATE(ВСЕ_КОДЫ[[#This Row],[CONTEST_CODE]],"_",X$2),#REF!,0),MATCH(X$1,_group_[#Headers],0)),"-")</f>
        <v>-</v>
      </c>
      <c r="Y96" s="1" t="str">
        <f>IFERROR(INDEX(_group_[],MATCH(CONCATENATE(ВСЕ_КОДЫ[[#This Row],[CONTEST_CODE]],"_",Y$2),#REF!,0),MATCH(Y$1,_group_[#Headers],0)),"-")</f>
        <v>-</v>
      </c>
      <c r="Z96" s="1" t="str">
        <f>IFERROR(INDEX(_group_[],MATCH(CONCATENATE(ВСЕ_КОДЫ[[#This Row],[CONTEST_CODE]],"_",Z$2),#REF!,0),MATCH(Z$1,_group_[#Headers],0)),"-")</f>
        <v>-</v>
      </c>
      <c r="AA96" s="1" t="str">
        <f>IFERROR(INDEX(_group_[],MATCH(CONCATENATE(ВСЕ_КОДЫ[[#This Row],[CONTEST_CODE]],"_",AA$2),#REF!,0),MATCH(AA$1,_group_[#Headers],0)),"-")</f>
        <v>-</v>
      </c>
      <c r="AB96" s="1" t="str">
        <f>IFERROR(INDEX(_DATA_[],MATCH(ВСЕ_КОДЫ[[#This Row],[CONTEST_CODE]],_DATA_[CONTEST_CODE],0),MATCH($AB$2,_DATA_[#Headers],0)),"-")</f>
        <v>["""KMKKSB"""]</v>
      </c>
      <c r="AC96" s="1" t="str">
        <f>CONCATENATE(ВСЕ_КОДЫ[[#This Row],[CONTEST_CODE]],"_",ВСЕ_КОДЫ[[#This Row],[TOURNAMENT_CODE]])</f>
        <v>CONTEST_08_01_TOURNAMENT_08_01_2024_03</v>
      </c>
      <c r="AD96" s="1" t="str">
        <f>ВСЕ_КОДЫ[[#This Row],[FULL_NAME]]</f>
        <v>Марафон по условным сделкам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idden="1" x14ac:dyDescent="0.25">
      <c r="A97" s="1" t="s">
        <v>78</v>
      </c>
      <c r="B97" s="1" t="s">
        <v>243</v>
      </c>
      <c r="C97" s="1" t="s">
        <v>340</v>
      </c>
      <c r="D97" s="1" t="s">
        <v>584</v>
      </c>
      <c r="E97" s="1" t="s">
        <v>49</v>
      </c>
      <c r="F97" s="1" t="s">
        <v>62</v>
      </c>
      <c r="G97" s="1" t="s">
        <v>27</v>
      </c>
      <c r="H97" s="1" t="s">
        <v>28</v>
      </c>
      <c r="I97" s="1" t="s">
        <v>50</v>
      </c>
      <c r="J97" s="1" t="s">
        <v>192</v>
      </c>
      <c r="K97" s="1" t="s">
        <v>193</v>
      </c>
      <c r="L97" s="1" t="s">
        <v>1046</v>
      </c>
      <c r="M97" s="1" t="s">
        <v>176</v>
      </c>
      <c r="N97" s="1" t="s">
        <v>305</v>
      </c>
      <c r="O97" s="1" t="s">
        <v>332</v>
      </c>
      <c r="P97" s="1"/>
      <c r="Q97" s="1">
        <f>IFERROR(COUNTIFS(_report[TOURNAMENT_CODE],ВСЕ_КОДЫ[[#This Row],[TOURNAMENT_CODE]],_report[CONTEST_CODE],ВСЕ_КОДЫ[[#This Row],[CONTEST_CODE]]),"-")</f>
        <v>0</v>
      </c>
      <c r="R97" s="1" t="str">
        <f>IFERROR(INDEX(_SCHEDULE_[],MATCH(ВСЕ_КОДЫ[[#This Row],[CONTEST_CODE]],_SCHEDULE_[CONTEST_CODE],0),MATCH($R$1,_SCHEDULE_[#Headers],0)),"-")</f>
        <v>УДАЛЕН</v>
      </c>
      <c r="S97" s="1" t="str">
        <f>IFERROR(INDEX(_group_[],MATCH(ВСЕ_КОДЫ[[#This Row],[CONTEST_CODE]],_group_[CONTEST_CODE],0),MATCH($S$1,_group_[#Headers],0)),"-")</f>
        <v>BANK</v>
      </c>
      <c r="T97" s="1" t="str">
        <f>IFERROR(INDEX(_INDICATOR_[],MATCH(ВСЕ_КОДЫ[[#This Row],[CONTEST_CODE]],_INDICATOR_[CONTEST_CODE],0),MATCH($T$1,_INDICATOR_[#Headers],0)),"-")</f>
        <v>WD</v>
      </c>
      <c r="U97" s="1" t="str">
        <f>IFERROR(INDEX(_reward_link_[],MATCH(ВСЕ_КОДЫ[[#This Row],[CONTEST_CODE]],_reward_link_[CONTEST_CODE],0),MATCH($U$1,_reward_link_[#Headers],0)),"-")</f>
        <v>GOSB</v>
      </c>
      <c r="V97" s="1" t="str">
        <f>IFERROR(INDEX(_report[],MATCH(ВСЕ_КОДЫ[[#This Row],[CONTEST_CODE]],_report[CONTEST_CODE],0),MATCH($V$1,_report[#Headers],0)),"-")</f>
        <v>-</v>
      </c>
      <c r="W97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7" s="1" t="str">
        <f>IFERROR(INDEX(_group_[],MATCH(CONCATENATE(ВСЕ_КОДЫ[[#This Row],[CONTEST_CODE]],"_",X$2),#REF!,0),MATCH(X$1,_group_[#Headers],0)),"-")</f>
        <v>-</v>
      </c>
      <c r="Y97" s="1" t="str">
        <f>IFERROR(INDEX(_group_[],MATCH(CONCATENATE(ВСЕ_КОДЫ[[#This Row],[CONTEST_CODE]],"_",Y$2),#REF!,0),MATCH(Y$1,_group_[#Headers],0)),"-")</f>
        <v>-</v>
      </c>
      <c r="Z97" s="1" t="str">
        <f>IFERROR(INDEX(_group_[],MATCH(CONCATENATE(ВСЕ_КОДЫ[[#This Row],[CONTEST_CODE]],"_",Z$2),#REF!,0),MATCH(Z$1,_group_[#Headers],0)),"-")</f>
        <v>-</v>
      </c>
      <c r="AA97" s="1" t="str">
        <f>IFERROR(INDEX(_group_[],MATCH(CONCATENATE(ВСЕ_КОДЫ[[#This Row],[CONTEST_CODE]],"_",AA$2),#REF!,0),MATCH(AA$1,_group_[#Headers],0)),"-")</f>
        <v>-</v>
      </c>
      <c r="AB97" s="1" t="str">
        <f>IFERROR(INDEX(_DATA_[],MATCH(ВСЕ_КОДЫ[[#This Row],[CONTEST_CODE]],_DATA_[CONTEST_CODE],0),MATCH($AB$2,_DATA_[#Headers],0)),"-")</f>
        <v>["""KMKKSB"""]</v>
      </c>
      <c r="AC97" s="1" t="str">
        <f>CONCATENATE(ВСЕ_КОДЫ[[#This Row],[CONTEST_CODE]],"_",ВСЕ_КОДЫ[[#This Row],[TOURNAMENT_CODE]])</f>
        <v>CONTEST_08_01_TOURNAMENT_08_01_2024_04</v>
      </c>
      <c r="AD97" s="1" t="str">
        <f>ВСЕ_КОДЫ[[#This Row],[FULL_NAME]]</f>
        <v>Марафон по условным сделкам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idden="1" x14ac:dyDescent="0.25">
      <c r="A98" s="1" t="s">
        <v>78</v>
      </c>
      <c r="B98" s="1" t="s">
        <v>244</v>
      </c>
      <c r="C98" s="1" t="s">
        <v>340</v>
      </c>
      <c r="D98" s="1" t="s">
        <v>584</v>
      </c>
      <c r="E98" s="1" t="s">
        <v>49</v>
      </c>
      <c r="F98" s="1" t="s">
        <v>62</v>
      </c>
      <c r="G98" s="1" t="s">
        <v>27</v>
      </c>
      <c r="H98" s="1" t="s">
        <v>28</v>
      </c>
      <c r="I98" s="1" t="s">
        <v>50</v>
      </c>
      <c r="J98" s="1" t="s">
        <v>245</v>
      </c>
      <c r="K98" s="1" t="s">
        <v>246</v>
      </c>
      <c r="L98" s="1" t="s">
        <v>1046</v>
      </c>
      <c r="M98" s="1" t="s">
        <v>176</v>
      </c>
      <c r="N98" s="1" t="s">
        <v>305</v>
      </c>
      <c r="O98" s="1" t="s">
        <v>332</v>
      </c>
      <c r="P98" s="1"/>
      <c r="Q98" s="1">
        <f>IFERROR(COUNTIFS(_report[TOURNAMENT_CODE],ВСЕ_КОДЫ[[#This Row],[TOURNAMENT_CODE]],_report[CONTEST_CODE],ВСЕ_КОДЫ[[#This Row],[CONTEST_CODE]]),"-")</f>
        <v>0</v>
      </c>
      <c r="R98" s="1" t="str">
        <f>IFERROR(INDEX(_SCHEDULE_[],MATCH(ВСЕ_КОДЫ[[#This Row],[CONTEST_CODE]],_SCHEDULE_[CONTEST_CODE],0),MATCH($R$1,_SCHEDULE_[#Headers],0)),"-")</f>
        <v>УДАЛЕН</v>
      </c>
      <c r="S98" s="1" t="str">
        <f>IFERROR(INDEX(_group_[],MATCH(ВСЕ_КОДЫ[[#This Row],[CONTEST_CODE]],_group_[CONTEST_CODE],0),MATCH($S$1,_group_[#Headers],0)),"-")</f>
        <v>BANK</v>
      </c>
      <c r="T98" s="1" t="str">
        <f>IFERROR(INDEX(_INDICATOR_[],MATCH(ВСЕ_КОДЫ[[#This Row],[CONTEST_CODE]],_INDICATOR_[CONTEST_CODE],0),MATCH($T$1,_INDICATOR_[#Headers],0)),"-")</f>
        <v>WD</v>
      </c>
      <c r="U98" s="1" t="str">
        <f>IFERROR(INDEX(_reward_link_[],MATCH(ВСЕ_КОДЫ[[#This Row],[CONTEST_CODE]],_reward_link_[CONTEST_CODE],0),MATCH($U$1,_reward_link_[#Headers],0)),"-")</f>
        <v>GOSB</v>
      </c>
      <c r="V98" s="1" t="str">
        <f>IFERROR(INDEX(_report[],MATCH(ВСЕ_КОДЫ[[#This Row],[CONTEST_CODE]],_report[CONTEST_CODE],0),MATCH($V$1,_report[#Headers],0)),"-")</f>
        <v>-</v>
      </c>
      <c r="W98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8" s="1" t="str">
        <f>IFERROR(INDEX(_group_[],MATCH(CONCATENATE(ВСЕ_КОДЫ[[#This Row],[CONTEST_CODE]],"_",X$2),#REF!,0),MATCH(X$1,_group_[#Headers],0)),"-")</f>
        <v>-</v>
      </c>
      <c r="Y98" s="1" t="str">
        <f>IFERROR(INDEX(_group_[],MATCH(CONCATENATE(ВСЕ_КОДЫ[[#This Row],[CONTEST_CODE]],"_",Y$2),#REF!,0),MATCH(Y$1,_group_[#Headers],0)),"-")</f>
        <v>-</v>
      </c>
      <c r="Z98" s="1" t="str">
        <f>IFERROR(INDEX(_group_[],MATCH(CONCATENATE(ВСЕ_КОДЫ[[#This Row],[CONTEST_CODE]],"_",Z$2),#REF!,0),MATCH(Z$1,_group_[#Headers],0)),"-")</f>
        <v>-</v>
      </c>
      <c r="AA98" s="1" t="str">
        <f>IFERROR(INDEX(_group_[],MATCH(CONCATENATE(ВСЕ_КОДЫ[[#This Row],[CONTEST_CODE]],"_",AA$2),#REF!,0),MATCH(AA$1,_group_[#Headers],0)),"-")</f>
        <v>-</v>
      </c>
      <c r="AB98" s="1" t="str">
        <f>IFERROR(INDEX(_DATA_[],MATCH(ВСЕ_КОДЫ[[#This Row],[CONTEST_CODE]],_DATA_[CONTEST_CODE],0),MATCH($AB$2,_DATA_[#Headers],0)),"-")</f>
        <v>["""KMKKSB"""]</v>
      </c>
      <c r="AC98" s="1" t="str">
        <f>CONCATENATE(ВСЕ_КОДЫ[[#This Row],[CONTEST_CODE]],"_",ВСЕ_КОДЫ[[#This Row],[TOURNAMENT_CODE]])</f>
        <v>CONTEST_08_01_TOURNAMENT_08_01_2024_05</v>
      </c>
      <c r="AD98" s="1" t="str">
        <f>ВСЕ_КОДЫ[[#This Row],[FULL_NAME]]</f>
        <v>Марафон по условным сделкам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idden="1" x14ac:dyDescent="0.25">
      <c r="A99" s="1" t="s">
        <v>78</v>
      </c>
      <c r="B99" s="1" t="s">
        <v>696</v>
      </c>
      <c r="C99" s="1" t="s">
        <v>340</v>
      </c>
      <c r="D99" s="1" t="s">
        <v>584</v>
      </c>
      <c r="E99" s="1" t="s">
        <v>49</v>
      </c>
      <c r="F99" s="1" t="s">
        <v>62</v>
      </c>
      <c r="G99" s="1" t="s">
        <v>27</v>
      </c>
      <c r="H99" s="1" t="s">
        <v>28</v>
      </c>
      <c r="I99" s="1" t="s">
        <v>50</v>
      </c>
      <c r="J99" s="1" t="s">
        <v>695</v>
      </c>
      <c r="K99" s="1" t="s">
        <v>252</v>
      </c>
      <c r="L99" s="1" t="s">
        <v>253</v>
      </c>
      <c r="M99" s="1" t="s">
        <v>176</v>
      </c>
      <c r="N99" s="1" t="s">
        <v>305</v>
      </c>
      <c r="O99" s="1" t="s">
        <v>332</v>
      </c>
      <c r="P99" s="1"/>
      <c r="Q99" s="1">
        <f>IFERROR(COUNTIFS(_report[TOURNAMENT_CODE],ВСЕ_КОДЫ[[#This Row],[TOURNAMENT_CODE]],_report[CONTEST_CODE],ВСЕ_КОДЫ[[#This Row],[CONTEST_CODE]]),"-")</f>
        <v>0</v>
      </c>
      <c r="R99" s="1" t="str">
        <f>IFERROR(INDEX(_SCHEDULE_[],MATCH(ВСЕ_КОДЫ[[#This Row],[CONTEST_CODE]],_SCHEDULE_[CONTEST_CODE],0),MATCH($R$1,_SCHEDULE_[#Headers],0)),"-")</f>
        <v>УДАЛЕН</v>
      </c>
      <c r="S99" s="1" t="str">
        <f>IFERROR(INDEX(_group_[],MATCH(ВСЕ_КОДЫ[[#This Row],[CONTEST_CODE]],_group_[CONTEST_CODE],0),MATCH($S$1,_group_[#Headers],0)),"-")</f>
        <v>BANK</v>
      </c>
      <c r="T99" s="1" t="str">
        <f>IFERROR(INDEX(_INDICATOR_[],MATCH(ВСЕ_КОДЫ[[#This Row],[CONTEST_CODE]],_INDICATOR_[CONTEST_CODE],0),MATCH($T$1,_INDICATOR_[#Headers],0)),"-")</f>
        <v>WD</v>
      </c>
      <c r="U99" s="1" t="str">
        <f>IFERROR(INDEX(_reward_link_[],MATCH(ВСЕ_КОДЫ[[#This Row],[CONTEST_CODE]],_reward_link_[CONTEST_CODE],0),MATCH($U$1,_reward_link_[#Headers],0)),"-")</f>
        <v>GOSB</v>
      </c>
      <c r="V99" s="1" t="str">
        <f>IFERROR(INDEX(_report[],MATCH(ВСЕ_КОДЫ[[#This Row],[CONTEST_CODE]],_report[CONTEST_CODE],0),MATCH($V$1,_report[#Headers],0)),"-")</f>
        <v>-</v>
      </c>
      <c r="W99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99" s="1" t="str">
        <f>IFERROR(INDEX(_group_[],MATCH(CONCATENATE(ВСЕ_КОДЫ[[#This Row],[CONTEST_CODE]],"_",X$2),#REF!,0),MATCH(X$1,_group_[#Headers],0)),"-")</f>
        <v>-</v>
      </c>
      <c r="Y99" s="1" t="str">
        <f>IFERROR(INDEX(_group_[],MATCH(CONCATENATE(ВСЕ_КОДЫ[[#This Row],[CONTEST_CODE]],"_",Y$2),#REF!,0),MATCH(Y$1,_group_[#Headers],0)),"-")</f>
        <v>-</v>
      </c>
      <c r="Z99" s="1" t="str">
        <f>IFERROR(INDEX(_group_[],MATCH(CONCATENATE(ВСЕ_КОДЫ[[#This Row],[CONTEST_CODE]],"_",Z$2),#REF!,0),MATCH(Z$1,_group_[#Headers],0)),"-")</f>
        <v>-</v>
      </c>
      <c r="AA99" s="1" t="str">
        <f>IFERROR(INDEX(_group_[],MATCH(CONCATENATE(ВСЕ_КОДЫ[[#This Row],[CONTEST_CODE]],"_",AA$2),#REF!,0),MATCH(AA$1,_group_[#Headers],0)),"-")</f>
        <v>-</v>
      </c>
      <c r="AB99" s="1" t="str">
        <f>IFERROR(INDEX(_DATA_[],MATCH(ВСЕ_КОДЫ[[#This Row],[CONTEST_CODE]],_DATA_[CONTEST_CODE],0),MATCH($AB$2,_DATA_[#Headers],0)),"-")</f>
        <v>["""KMKKSB"""]</v>
      </c>
      <c r="AC99" s="1" t="str">
        <f>CONCATENATE(ВСЕ_КОДЫ[[#This Row],[CONTEST_CODE]],"_",ВСЕ_КОДЫ[[#This Row],[TOURNAMENT_CODE]])</f>
        <v>CONTEST_08_01_TOURNAMENT_08_01_2024_06</v>
      </c>
      <c r="AD99" s="1" t="str">
        <f>ВСЕ_КОДЫ[[#This Row],[FULL_NAME]]</f>
        <v>Марафон по условным сделкам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idden="1" x14ac:dyDescent="0.25">
      <c r="A100" s="1" t="s">
        <v>78</v>
      </c>
      <c r="B100" s="1" t="s">
        <v>1069</v>
      </c>
      <c r="C100" s="1" t="s">
        <v>340</v>
      </c>
      <c r="D100" s="1" t="s">
        <v>584</v>
      </c>
      <c r="E100" s="1" t="s">
        <v>49</v>
      </c>
      <c r="F100" s="1" t="s">
        <v>62</v>
      </c>
      <c r="G100" s="1" t="s">
        <v>27</v>
      </c>
      <c r="H100" s="1" t="s">
        <v>28</v>
      </c>
      <c r="I100" s="1" t="s">
        <v>50</v>
      </c>
      <c r="J100" s="1" t="s">
        <v>703</v>
      </c>
      <c r="K100" s="1" t="s">
        <v>704</v>
      </c>
      <c r="L100" s="1" t="s">
        <v>705</v>
      </c>
      <c r="M100" s="1" t="s">
        <v>176</v>
      </c>
      <c r="N100" s="1" t="s">
        <v>305</v>
      </c>
      <c r="O100" s="1" t="s">
        <v>332</v>
      </c>
      <c r="P100" s="1"/>
      <c r="Q100" s="1">
        <f>IFERROR(COUNTIFS(_report[TOURNAMENT_CODE],ВСЕ_КОДЫ[[#This Row],[TOURNAMENT_CODE]],_report[CONTEST_CODE],ВСЕ_КОДЫ[[#This Row],[CONTEST_CODE]]),"-")</f>
        <v>0</v>
      </c>
      <c r="R100" s="1" t="str">
        <f>IFERROR(INDEX(_SCHEDULE_[],MATCH(ВСЕ_КОДЫ[[#This Row],[CONTEST_CODE]],_SCHEDULE_[CONTEST_CODE],0),MATCH($R$1,_SCHEDULE_[#Headers],0)),"-")</f>
        <v>УДАЛЕН</v>
      </c>
      <c r="S100" s="1" t="str">
        <f>IFERROR(INDEX(_group_[],MATCH(ВСЕ_КОДЫ[[#This Row],[CONTEST_CODE]],_group_[CONTEST_CODE],0),MATCH($S$1,_group_[#Headers],0)),"-")</f>
        <v>BANK</v>
      </c>
      <c r="T100" s="1" t="str">
        <f>IFERROR(INDEX(_INDICATOR_[],MATCH(ВСЕ_КОДЫ[[#This Row],[CONTEST_CODE]],_INDICATOR_[CONTEST_CODE],0),MATCH($T$1,_INDICATOR_[#Headers],0)),"-")</f>
        <v>WD</v>
      </c>
      <c r="U100" s="1" t="str">
        <f>IFERROR(INDEX(_reward_link_[],MATCH(ВСЕ_КОДЫ[[#This Row],[CONTEST_CODE]],_reward_link_[CONTEST_CODE],0),MATCH($U$1,_reward_link_[#Headers],0)),"-")</f>
        <v>GOSB</v>
      </c>
      <c r="V100" s="1" t="str">
        <f>IFERROR(INDEX(_report[],MATCH(ВСЕ_КОДЫ[[#This Row],[CONTEST_CODE]],_report[CONTEST_CODE],0),MATCH($V$1,_report[#Headers],0)),"-")</f>
        <v>-</v>
      </c>
      <c r="W100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100" s="1" t="str">
        <f>IFERROR(INDEX(_group_[],MATCH(CONCATENATE(ВСЕ_КОДЫ[[#This Row],[CONTEST_CODE]],"_",X$2),#REF!,0),MATCH(X$1,_group_[#Headers],0)),"-")</f>
        <v>-</v>
      </c>
      <c r="Y100" s="1" t="str">
        <f>IFERROR(INDEX(_group_[],MATCH(CONCATENATE(ВСЕ_КОДЫ[[#This Row],[CONTEST_CODE]],"_",Y$2),#REF!,0),MATCH(Y$1,_group_[#Headers],0)),"-")</f>
        <v>-</v>
      </c>
      <c r="Z100" s="1" t="str">
        <f>IFERROR(INDEX(_group_[],MATCH(CONCATENATE(ВСЕ_КОДЫ[[#This Row],[CONTEST_CODE]],"_",Z$2),#REF!,0),MATCH(Z$1,_group_[#Headers],0)),"-")</f>
        <v>-</v>
      </c>
      <c r="AA100" s="1" t="str">
        <f>IFERROR(INDEX(_group_[],MATCH(CONCATENATE(ВСЕ_КОДЫ[[#This Row],[CONTEST_CODE]],"_",AA$2),#REF!,0),MATCH(AA$1,_group_[#Headers],0)),"-")</f>
        <v>-</v>
      </c>
      <c r="AB100" s="1" t="str">
        <f>IFERROR(INDEX(_DATA_[],MATCH(ВСЕ_КОДЫ[[#This Row],[CONTEST_CODE]],_DATA_[CONTEST_CODE],0),MATCH($AB$2,_DATA_[#Headers],0)),"-")</f>
        <v>["""KMKKSB"""]</v>
      </c>
      <c r="AC100" s="1" t="str">
        <f>CONCATENATE(ВСЕ_КОДЫ[[#This Row],[CONTEST_CODE]],"_",ВСЕ_КОДЫ[[#This Row],[TOURNAMENT_CODE]])</f>
        <v>CONTEST_08_01_TOURNAMENT_08_01_2024_07</v>
      </c>
      <c r="AD100" s="1" t="str">
        <f>ВСЕ_КОДЫ[[#This Row],[FULL_NAME]]</f>
        <v>Марафон по условным сделкам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idden="1" x14ac:dyDescent="0.25">
      <c r="A101" s="1" t="s">
        <v>78</v>
      </c>
      <c r="B101" s="1" t="s">
        <v>1214</v>
      </c>
      <c r="C101" s="1" t="s">
        <v>340</v>
      </c>
      <c r="D101" s="1" t="s">
        <v>584</v>
      </c>
      <c r="E101" s="1" t="s">
        <v>49</v>
      </c>
      <c r="F101" s="1" t="s">
        <v>62</v>
      </c>
      <c r="G101" s="1" t="s">
        <v>27</v>
      </c>
      <c r="H101" s="1" t="s">
        <v>28</v>
      </c>
      <c r="I101" s="1" t="s">
        <v>50</v>
      </c>
      <c r="J101" s="1" t="s">
        <v>1078</v>
      </c>
      <c r="K101" s="1" t="s">
        <v>1173</v>
      </c>
      <c r="L101" s="1" t="s">
        <v>706</v>
      </c>
      <c r="M101" s="1" t="s">
        <v>176</v>
      </c>
      <c r="N101" s="1" t="s">
        <v>305</v>
      </c>
      <c r="O101" s="1" t="s">
        <v>332</v>
      </c>
      <c r="P101" s="1"/>
      <c r="Q101" s="1">
        <f>IFERROR(COUNTIFS(_report[TOURNAMENT_CODE],ВСЕ_КОДЫ[[#This Row],[TOURNAMENT_CODE]],_report[CONTEST_CODE],ВСЕ_КОДЫ[[#This Row],[CONTEST_CODE]]),"-")</f>
        <v>0</v>
      </c>
      <c r="R101" s="1" t="str">
        <f>IFERROR(INDEX(_SCHEDULE_[],MATCH(ВСЕ_КОДЫ[[#This Row],[CONTEST_CODE]],_SCHEDULE_[CONTEST_CODE],0),MATCH($R$1,_SCHEDULE_[#Headers],0)),"-")</f>
        <v>УДАЛЕН</v>
      </c>
      <c r="S101" s="1" t="str">
        <f>IFERROR(INDEX(_group_[],MATCH(ВСЕ_КОДЫ[[#This Row],[CONTEST_CODE]],_group_[CONTEST_CODE],0),MATCH($S$1,_group_[#Headers],0)),"-")</f>
        <v>BANK</v>
      </c>
      <c r="T101" s="1" t="str">
        <f>IFERROR(INDEX(_INDICATOR_[],MATCH(ВСЕ_КОДЫ[[#This Row],[CONTEST_CODE]],_INDICATOR_[CONTEST_CODE],0),MATCH($T$1,_INDICATOR_[#Headers],0)),"-")</f>
        <v>WD</v>
      </c>
      <c r="U101" s="1" t="str">
        <f>IFERROR(INDEX(_reward_link_[],MATCH(ВСЕ_КОДЫ[[#This Row],[CONTEST_CODE]],_reward_link_[CONTEST_CODE],0),MATCH($U$1,_reward_link_[#Headers],0)),"-")</f>
        <v>GOSB</v>
      </c>
      <c r="V101" s="1" t="str">
        <f>IFERROR(INDEX(_report[],MATCH(ВСЕ_КОДЫ[[#This Row],[CONTEST_CODE]],_report[CONTEST_CODE],0),MATCH($V$1,_report[#Headers],0)),"-")</f>
        <v>-</v>
      </c>
      <c r="W101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101" s="1" t="str">
        <f>IFERROR(INDEX(_group_[],MATCH(CONCATENATE(ВСЕ_КОДЫ[[#This Row],[CONTEST_CODE]],"_",X$2),#REF!,0),MATCH(X$1,_group_[#Headers],0)),"-")</f>
        <v>-</v>
      </c>
      <c r="Y101" s="1" t="str">
        <f>IFERROR(INDEX(_group_[],MATCH(CONCATENATE(ВСЕ_КОДЫ[[#This Row],[CONTEST_CODE]],"_",Y$2),#REF!,0),MATCH(Y$1,_group_[#Headers],0)),"-")</f>
        <v>-</v>
      </c>
      <c r="Z101" s="1" t="str">
        <f>IFERROR(INDEX(_group_[],MATCH(CONCATENATE(ВСЕ_КОДЫ[[#This Row],[CONTEST_CODE]],"_",Z$2),#REF!,0),MATCH(Z$1,_group_[#Headers],0)),"-")</f>
        <v>-</v>
      </c>
      <c r="AA101" s="1" t="str">
        <f>IFERROR(INDEX(_group_[],MATCH(CONCATENATE(ВСЕ_КОДЫ[[#This Row],[CONTEST_CODE]],"_",AA$2),#REF!,0),MATCH(AA$1,_group_[#Headers],0)),"-")</f>
        <v>-</v>
      </c>
      <c r="AB101" s="1" t="str">
        <f>IFERROR(INDEX(_DATA_[],MATCH(ВСЕ_КОДЫ[[#This Row],[CONTEST_CODE]],_DATA_[CONTEST_CODE],0),MATCH($AB$2,_DATA_[#Headers],0)),"-")</f>
        <v>["""KMKKSB"""]</v>
      </c>
      <c r="AC101" s="1" t="str">
        <f>CONCATENATE(ВСЕ_КОДЫ[[#This Row],[CONTEST_CODE]],"_",ВСЕ_КОДЫ[[#This Row],[TOURNAMENT_CODE]])</f>
        <v>CONTEST_08_01_TOURNAMENT_08_01_2024_08</v>
      </c>
      <c r="AD101" s="1" t="str">
        <f>ВСЕ_КОДЫ[[#This Row],[FULL_NAME]]</f>
        <v>Марафон по условным сделкам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idden="1" x14ac:dyDescent="0.25">
      <c r="A102" s="1" t="s">
        <v>78</v>
      </c>
      <c r="B102" s="1" t="s">
        <v>1278</v>
      </c>
      <c r="C102" s="1" t="s">
        <v>340</v>
      </c>
      <c r="D102" s="1" t="s">
        <v>584</v>
      </c>
      <c r="E102" s="1" t="s">
        <v>49</v>
      </c>
      <c r="F102" s="1" t="s">
        <v>62</v>
      </c>
      <c r="G102" s="1" t="s">
        <v>27</v>
      </c>
      <c r="H102" s="1" t="s">
        <v>28</v>
      </c>
      <c r="I102" s="1" t="s">
        <v>50</v>
      </c>
      <c r="J102" s="1" t="s">
        <v>1225</v>
      </c>
      <c r="K102" s="1" t="s">
        <v>1070</v>
      </c>
      <c r="L102" s="1" t="s">
        <v>1071</v>
      </c>
      <c r="M102" s="1" t="s">
        <v>176</v>
      </c>
      <c r="N102" s="1" t="s">
        <v>305</v>
      </c>
      <c r="O102" s="1" t="s">
        <v>332</v>
      </c>
      <c r="P102" s="1"/>
      <c r="Q102" s="1">
        <f>IFERROR(COUNTIFS(_report[TOURNAMENT_CODE],ВСЕ_КОДЫ[[#This Row],[TOURNAMENT_CODE]],_report[CONTEST_CODE],ВСЕ_КОДЫ[[#This Row],[CONTEST_CODE]]),"-")</f>
        <v>0</v>
      </c>
      <c r="R102" s="1" t="str">
        <f>IFERROR(INDEX(_SCHEDULE_[],MATCH(ВСЕ_КОДЫ[[#This Row],[CONTEST_CODE]],_SCHEDULE_[CONTEST_CODE],0),MATCH($R$1,_SCHEDULE_[#Headers],0)),"-")</f>
        <v>УДАЛЕН</v>
      </c>
      <c r="S102" s="1" t="str">
        <f>IFERROR(INDEX(_group_[],MATCH(ВСЕ_КОДЫ[[#This Row],[CONTEST_CODE]],_group_[CONTEST_CODE],0),MATCH($S$1,_group_[#Headers],0)),"-")</f>
        <v>BANK</v>
      </c>
      <c r="T102" s="1" t="str">
        <f>IFERROR(INDEX(_INDICATOR_[],MATCH(ВСЕ_КОДЫ[[#This Row],[CONTEST_CODE]],_INDICATOR_[CONTEST_CODE],0),MATCH($T$1,_INDICATOR_[#Headers],0)),"-")</f>
        <v>WD</v>
      </c>
      <c r="U102" s="1" t="str">
        <f>IFERROR(INDEX(_reward_link_[],MATCH(ВСЕ_КОДЫ[[#This Row],[CONTEST_CODE]],_reward_link_[CONTEST_CODE],0),MATCH($U$1,_reward_link_[#Headers],0)),"-")</f>
        <v>GOSB</v>
      </c>
      <c r="V102" s="1" t="str">
        <f>IFERROR(INDEX(_report[],MATCH(ВСЕ_КОДЫ[[#This Row],[CONTEST_CODE]],_report[CONTEST_CODE],0),MATCH($V$1,_report[#Headers],0)),"-")</f>
        <v>-</v>
      </c>
      <c r="W102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102" s="1" t="str">
        <f>IFERROR(INDEX(_group_[],MATCH(CONCATENATE(ВСЕ_КОДЫ[[#This Row],[CONTEST_CODE]],"_",X$2),#REF!,0),MATCH(X$1,_group_[#Headers],0)),"-")</f>
        <v>-</v>
      </c>
      <c r="Y102" s="1" t="str">
        <f>IFERROR(INDEX(_group_[],MATCH(CONCATENATE(ВСЕ_КОДЫ[[#This Row],[CONTEST_CODE]],"_",Y$2),#REF!,0),MATCH(Y$1,_group_[#Headers],0)),"-")</f>
        <v>-</v>
      </c>
      <c r="Z102" s="1" t="str">
        <f>IFERROR(INDEX(_group_[],MATCH(CONCATENATE(ВСЕ_КОДЫ[[#This Row],[CONTEST_CODE]],"_",Z$2),#REF!,0),MATCH(Z$1,_group_[#Headers],0)),"-")</f>
        <v>-</v>
      </c>
      <c r="AA102" s="1" t="str">
        <f>IFERROR(INDEX(_group_[],MATCH(CONCATENATE(ВСЕ_КОДЫ[[#This Row],[CONTEST_CODE]],"_",AA$2),#REF!,0),MATCH(AA$1,_group_[#Headers],0)),"-")</f>
        <v>-</v>
      </c>
      <c r="AB102" s="1" t="str">
        <f>IFERROR(INDEX(_DATA_[],MATCH(ВСЕ_КОДЫ[[#This Row],[CONTEST_CODE]],_DATA_[CONTEST_CODE],0),MATCH($AB$2,_DATA_[#Headers],0)),"-")</f>
        <v>["""KMKKSB"""]</v>
      </c>
      <c r="AC102" s="1" t="str">
        <f>CONCATENATE(ВСЕ_КОДЫ[[#This Row],[CONTEST_CODE]],"_",ВСЕ_КОДЫ[[#This Row],[TOURNAMENT_CODE]])</f>
        <v>CONTEST_08_01_TOURNAMENT_08_01_2024_09</v>
      </c>
      <c r="AD102" s="1" t="str">
        <f>ВСЕ_КОДЫ[[#This Row],[FULL_NAME]]</f>
        <v>Марафон по условным сделкам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idden="1" x14ac:dyDescent="0.25">
      <c r="A103" s="1" t="s">
        <v>78</v>
      </c>
      <c r="B103" s="1" t="s">
        <v>1641</v>
      </c>
      <c r="C103" s="1" t="s">
        <v>340</v>
      </c>
      <c r="D103" s="1" t="s">
        <v>584</v>
      </c>
      <c r="E103" s="1" t="s">
        <v>49</v>
      </c>
      <c r="F103" s="1" t="s">
        <v>62</v>
      </c>
      <c r="G103" s="1" t="s">
        <v>27</v>
      </c>
      <c r="H103" s="1" t="s">
        <v>28</v>
      </c>
      <c r="I103" s="1" t="s">
        <v>50</v>
      </c>
      <c r="J103" s="1" t="s">
        <v>1308</v>
      </c>
      <c r="K103" s="1" t="s">
        <v>1638</v>
      </c>
      <c r="L103" s="1" t="s">
        <v>1846</v>
      </c>
      <c r="M103" s="1" t="s">
        <v>176</v>
      </c>
      <c r="N103" s="1" t="s">
        <v>305</v>
      </c>
      <c r="O103" s="1" t="s">
        <v>332</v>
      </c>
      <c r="P103" s="1"/>
      <c r="Q103" s="1">
        <f>IFERROR(COUNTIFS(_report[TOURNAMENT_CODE],ВСЕ_КОДЫ[[#This Row],[TOURNAMENT_CODE]],_report[CONTEST_CODE],ВСЕ_КОДЫ[[#This Row],[CONTEST_CODE]]),"-")</f>
        <v>0</v>
      </c>
      <c r="R103" s="1" t="str">
        <f>IFERROR(INDEX(_SCHEDULE_[],MATCH(ВСЕ_КОДЫ[[#This Row],[CONTEST_CODE]],_SCHEDULE_[CONTEST_CODE],0),MATCH($R$1,_SCHEDULE_[#Headers],0)),"-")</f>
        <v>УДАЛЕН</v>
      </c>
      <c r="S103" s="1" t="str">
        <f>IFERROR(INDEX(_group_[],MATCH(ВСЕ_КОДЫ[[#This Row],[CONTEST_CODE]],_group_[CONTEST_CODE],0),MATCH($S$1,_group_[#Headers],0)),"-")</f>
        <v>BANK</v>
      </c>
      <c r="T103" s="1" t="str">
        <f>IFERROR(INDEX(_INDICATOR_[],MATCH(ВСЕ_КОДЫ[[#This Row],[CONTEST_CODE]],_INDICATOR_[CONTEST_CODE],0),MATCH($T$1,_INDICATOR_[#Headers],0)),"-")</f>
        <v>WD</v>
      </c>
      <c r="U103" s="1" t="str">
        <f>IFERROR(INDEX(_reward_link_[],MATCH(ВСЕ_КОДЫ[[#This Row],[CONTEST_CODE]],_reward_link_[CONTEST_CODE],0),MATCH($U$1,_reward_link_[#Headers],0)),"-")</f>
        <v>GOSB</v>
      </c>
      <c r="V103" s="1" t="str">
        <f>IFERROR(INDEX(_report[],MATCH(ВСЕ_КОДЫ[[#This Row],[CONTEST_CODE]],_report[CONTEST_CODE],0),MATCH($V$1,_report[#Headers],0)),"-")</f>
        <v>-</v>
      </c>
      <c r="W103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103" s="1" t="str">
        <f>IFERROR(INDEX(_group_[],MATCH(CONCATENATE(ВСЕ_КОДЫ[[#This Row],[CONTEST_CODE]],"_",X$2),#REF!,0),MATCH(X$1,_group_[#Headers],0)),"-")</f>
        <v>-</v>
      </c>
      <c r="Y103" s="1" t="str">
        <f>IFERROR(INDEX(_group_[],MATCH(CONCATENATE(ВСЕ_КОДЫ[[#This Row],[CONTEST_CODE]],"_",Y$2),#REF!,0),MATCH(Y$1,_group_[#Headers],0)),"-")</f>
        <v>-</v>
      </c>
      <c r="Z103" s="1" t="str">
        <f>IFERROR(INDEX(_group_[],MATCH(CONCATENATE(ВСЕ_КОДЫ[[#This Row],[CONTEST_CODE]],"_",Z$2),#REF!,0),MATCH(Z$1,_group_[#Headers],0)),"-")</f>
        <v>-</v>
      </c>
      <c r="AA103" s="1" t="str">
        <f>IFERROR(INDEX(_group_[],MATCH(CONCATENATE(ВСЕ_КОДЫ[[#This Row],[CONTEST_CODE]],"_",AA$2),#REF!,0),MATCH(AA$1,_group_[#Headers],0)),"-")</f>
        <v>-</v>
      </c>
      <c r="AB103" s="1" t="str">
        <f>IFERROR(INDEX(_DATA_[],MATCH(ВСЕ_КОДЫ[[#This Row],[CONTEST_CODE]],_DATA_[CONTEST_CODE],0),MATCH($AB$2,_DATA_[#Headers],0)),"-")</f>
        <v>["""KMKKSB"""]</v>
      </c>
      <c r="AC103" s="1" t="str">
        <f>CONCATENATE(ВСЕ_КОДЫ[[#This Row],[CONTEST_CODE]],"_",ВСЕ_КОДЫ[[#This Row],[TOURNAMENT_CODE]])</f>
        <v>CONTEST_08_01_TOURNAMENT_08_01_2024_M10</v>
      </c>
      <c r="AD103" s="1" t="str">
        <f>ВСЕ_КОДЫ[[#This Row],[FULL_NAME]]</f>
        <v>Марафон по условным сделкам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idden="1" x14ac:dyDescent="0.25">
      <c r="A104" s="1" t="s">
        <v>78</v>
      </c>
      <c r="B104" s="1" t="s">
        <v>1804</v>
      </c>
      <c r="C104" s="1" t="s">
        <v>340</v>
      </c>
      <c r="D104" s="1" t="s">
        <v>584</v>
      </c>
      <c r="E104" s="1" t="s">
        <v>49</v>
      </c>
      <c r="F104" s="1" t="s">
        <v>62</v>
      </c>
      <c r="G104" s="1" t="s">
        <v>27</v>
      </c>
      <c r="H104" s="1" t="s">
        <v>28</v>
      </c>
      <c r="I104" s="1" t="s">
        <v>50</v>
      </c>
      <c r="J104" s="1" t="s">
        <v>1800</v>
      </c>
      <c r="K104" s="1" t="s">
        <v>1801</v>
      </c>
      <c r="L104" s="1" t="s">
        <v>1802</v>
      </c>
      <c r="M104" s="1" t="s">
        <v>155</v>
      </c>
      <c r="N104" s="1" t="s">
        <v>305</v>
      </c>
      <c r="O104" s="1" t="s">
        <v>332</v>
      </c>
      <c r="P104" s="1"/>
      <c r="Q104" s="1">
        <f>IFERROR(COUNTIFS(_report[TOURNAMENT_CODE],ВСЕ_КОДЫ[[#This Row],[TOURNAMENT_CODE]],_report[CONTEST_CODE],ВСЕ_КОДЫ[[#This Row],[CONTEST_CODE]]),"-")</f>
        <v>0</v>
      </c>
      <c r="R104" s="1" t="str">
        <f>IFERROR(INDEX(_SCHEDULE_[],MATCH(ВСЕ_КОДЫ[[#This Row],[CONTEST_CODE]],_SCHEDULE_[CONTEST_CODE],0),MATCH($R$1,_SCHEDULE_[#Headers],0)),"-")</f>
        <v>УДАЛЕН</v>
      </c>
      <c r="S104" s="1" t="str">
        <f>IFERROR(INDEX(_group_[],MATCH(ВСЕ_КОДЫ[[#This Row],[CONTEST_CODE]],_group_[CONTEST_CODE],0),MATCH($S$1,_group_[#Headers],0)),"-")</f>
        <v>BANK</v>
      </c>
      <c r="T104" s="1" t="str">
        <f>IFERROR(INDEX(_INDICATOR_[],MATCH(ВСЕ_КОДЫ[[#This Row],[CONTEST_CODE]],_INDICATOR_[CONTEST_CODE],0),MATCH($T$1,_INDICATOR_[#Headers],0)),"-")</f>
        <v>WD</v>
      </c>
      <c r="U104" s="1" t="str">
        <f>IFERROR(INDEX(_reward_link_[],MATCH(ВСЕ_КОДЫ[[#This Row],[CONTEST_CODE]],_reward_link_[CONTEST_CODE],0),MATCH($U$1,_reward_link_[#Headers],0)),"-")</f>
        <v>GOSB</v>
      </c>
      <c r="V104" s="1" t="str">
        <f>IFERROR(INDEX(_report[],MATCH(ВСЕ_КОДЫ[[#This Row],[CONTEST_CODE]],_report[CONTEST_CODE],0),MATCH($V$1,_report[#Headers],0)),"-")</f>
        <v>-</v>
      </c>
      <c r="W104" s="1" t="str">
        <f>IFERROR(INDEX(_reward_[],MATCH(ВСЕ_КОДЫ[[#This Row],[REWARD_CODE]],_reward_[REWARD_CODE],0),MATCH($W$1,_reward_[#Headers],0)),"-")</f>
        <v>Лучший в подразделении по условным сделкам</v>
      </c>
      <c r="X104" s="1" t="str">
        <f>IFERROR(INDEX(_group_[],MATCH(CONCATENATE(ВСЕ_КОДЫ[[#This Row],[CONTEST_CODE]],"_",X$2),#REF!,0),MATCH(X$1,_group_[#Headers],0)),"-")</f>
        <v>-</v>
      </c>
      <c r="Y104" s="1" t="str">
        <f>IFERROR(INDEX(_group_[],MATCH(CONCATENATE(ВСЕ_КОДЫ[[#This Row],[CONTEST_CODE]],"_",Y$2),#REF!,0),MATCH(Y$1,_group_[#Headers],0)),"-")</f>
        <v>-</v>
      </c>
      <c r="Z104" s="1" t="str">
        <f>IFERROR(INDEX(_group_[],MATCH(CONCATENATE(ВСЕ_КОДЫ[[#This Row],[CONTEST_CODE]],"_",Z$2),#REF!,0),MATCH(Z$1,_group_[#Headers],0)),"-")</f>
        <v>-</v>
      </c>
      <c r="AA104" s="1" t="str">
        <f>IFERROR(INDEX(_group_[],MATCH(CONCATENATE(ВСЕ_КОДЫ[[#This Row],[CONTEST_CODE]],"_",AA$2),#REF!,0),MATCH(AA$1,_group_[#Headers],0)),"-")</f>
        <v>-</v>
      </c>
      <c r="AB104" s="1" t="str">
        <f>IFERROR(INDEX(_DATA_[],MATCH(ВСЕ_КОДЫ[[#This Row],[CONTEST_CODE]],_DATA_[CONTEST_CODE],0),MATCH($AB$2,_DATA_[#Headers],0)),"-")</f>
        <v>["""KMKKSB"""]</v>
      </c>
      <c r="AC104" s="1" t="str">
        <f>CONCATENATE(ВСЕ_КОДЫ[[#This Row],[CONTEST_CODE]],"_",ВСЕ_КОДЫ[[#This Row],[TOURNAMENT_CODE]])</f>
        <v>CONTEST_08_01_TOURNAMENT_08_01_2024_M11</v>
      </c>
      <c r="AD104" s="1" t="str">
        <f>ВСЕ_КОДЫ[[#This Row],[FULL_NAME]]</f>
        <v>Марафон по условным сделкам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idden="1" x14ac:dyDescent="0.25">
      <c r="A105" s="1" t="s">
        <v>78</v>
      </c>
      <c r="B105" s="1" t="s">
        <v>232</v>
      </c>
      <c r="C105" s="1" t="s">
        <v>342</v>
      </c>
      <c r="D105" s="1" t="s">
        <v>586</v>
      </c>
      <c r="E105" s="1" t="s">
        <v>49</v>
      </c>
      <c r="F105" s="1" t="s">
        <v>62</v>
      </c>
      <c r="G105" s="1" t="s">
        <v>27</v>
      </c>
      <c r="H105" s="1" t="s">
        <v>28</v>
      </c>
      <c r="I105" s="1" t="s">
        <v>50</v>
      </c>
      <c r="J105" s="1" t="s">
        <v>76</v>
      </c>
      <c r="K105" s="1" t="s">
        <v>167</v>
      </c>
      <c r="L105" s="1" t="s">
        <v>233</v>
      </c>
      <c r="M105" s="1" t="s">
        <v>155</v>
      </c>
      <c r="N105" s="1" t="s">
        <v>305</v>
      </c>
      <c r="O105" s="1" t="s">
        <v>336</v>
      </c>
      <c r="P105" s="1"/>
      <c r="Q105" s="1">
        <f>IFERROR(COUNTIFS(_report[TOURNAMENT_CODE],ВСЕ_КОДЫ[[#This Row],[TOURNAMENT_CODE]],_report[CONTEST_CODE],ВСЕ_КОДЫ[[#This Row],[CONTEST_CODE]]),"-")</f>
        <v>0</v>
      </c>
      <c r="R105" s="1" t="str">
        <f>IFERROR(INDEX(_SCHEDULE_[],MATCH(ВСЕ_КОДЫ[[#This Row],[CONTEST_CODE]],_SCHEDULE_[CONTEST_CODE],0),MATCH($R$1,_SCHEDULE_[#Headers],0)),"-")</f>
        <v>УДАЛЕН</v>
      </c>
      <c r="S105" s="1" t="str">
        <f>IFERROR(INDEX(_group_[],MATCH(ВСЕ_КОДЫ[[#This Row],[CONTEST_CODE]],_group_[CONTEST_CODE],0),MATCH($S$1,_group_[#Headers],0)),"-")</f>
        <v>BANK</v>
      </c>
      <c r="T105" s="1" t="str">
        <f>IFERROR(INDEX(_INDICATOR_[],MATCH(ВСЕ_КОДЫ[[#This Row],[CONTEST_CODE]],_INDICATOR_[CONTEST_CODE],0),MATCH($T$1,_INDICATOR_[#Headers],0)),"-")</f>
        <v>WD</v>
      </c>
      <c r="U105" s="1" t="str">
        <f>IFERROR(INDEX(_reward_link_[],MATCH(ВСЕ_КОДЫ[[#This Row],[CONTEST_CODE]],_reward_link_[CONTEST_CODE],0),MATCH($U$1,_reward_link_[#Headers],0)),"-")</f>
        <v>GOSB</v>
      </c>
      <c r="V105" s="1" t="str">
        <f>IFERROR(INDEX(_report[],MATCH(ВСЕ_КОДЫ[[#This Row],[CONTEST_CODE]],_report[CONTEST_CODE],0),MATCH($V$1,_report[#Headers],0)),"-")</f>
        <v>-</v>
      </c>
      <c r="W105" s="1" t="str">
        <f>IFERROR(INDEX(_reward_[],MATCH(ВСЕ_КОДЫ[[#This Row],[REWARD_CODE]],_reward_[REWARD_CODE],0),MATCH($W$1,_reward_[#Headers],0)),"-")</f>
        <v>Победитель ТБ по условным сделкам</v>
      </c>
      <c r="X105" s="1" t="str">
        <f>IFERROR(INDEX(_group_[],MATCH(CONCATENATE(ВСЕ_КОДЫ[[#This Row],[CONTEST_CODE]],"_",X$2),#REF!,0),MATCH(X$1,_group_[#Headers],0)),"-")</f>
        <v>-</v>
      </c>
      <c r="Y105" s="1" t="str">
        <f>IFERROR(INDEX(_group_[],MATCH(CONCATENATE(ВСЕ_КОДЫ[[#This Row],[CONTEST_CODE]],"_",Y$2),#REF!,0),MATCH(Y$1,_group_[#Headers],0)),"-")</f>
        <v>-</v>
      </c>
      <c r="Z105" s="1" t="str">
        <f>IFERROR(INDEX(_group_[],MATCH(CONCATENATE(ВСЕ_КОДЫ[[#This Row],[CONTEST_CODE]],"_",Z$2),#REF!,0),MATCH(Z$1,_group_[#Headers],0)),"-")</f>
        <v>-</v>
      </c>
      <c r="AA105" s="1" t="str">
        <f>IFERROR(INDEX(_group_[],MATCH(CONCATENATE(ВСЕ_КОДЫ[[#This Row],[CONTEST_CODE]],"_",AA$2),#REF!,0),MATCH(AA$1,_group_[#Headers],0)),"-")</f>
        <v>-</v>
      </c>
      <c r="AB105" s="1" t="str">
        <f>IFERROR(INDEX(_DATA_[],MATCH(ВСЕ_КОДЫ[[#This Row],[CONTEST_CODE]],_DATA_[CONTEST_CODE],0),MATCH($AB$2,_DATA_[#Headers],0)),"-")</f>
        <v>["""KMKKSB"""]</v>
      </c>
      <c r="AC105" s="1" t="str">
        <f>CONCATENATE(ВСЕ_КОДЫ[[#This Row],[CONTEST_CODE]],"_",ВСЕ_КОДЫ[[#This Row],[TOURNAMENT_CODE]])</f>
        <v>CONTEST_08_01_TOURNAMENT_08_01_2023_11</v>
      </c>
      <c r="AD105" s="1" t="str">
        <f>ВСЕ_КОДЫ[[#This Row],[FULL_NAME]]</f>
        <v>Марафон по условным сделкам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idden="1" x14ac:dyDescent="0.25">
      <c r="A106" s="1" t="s">
        <v>78</v>
      </c>
      <c r="B106" s="1" t="s">
        <v>234</v>
      </c>
      <c r="C106" s="1" t="s">
        <v>342</v>
      </c>
      <c r="D106" s="1" t="s">
        <v>586</v>
      </c>
      <c r="E106" s="1" t="s">
        <v>49</v>
      </c>
      <c r="F106" s="1" t="s">
        <v>62</v>
      </c>
      <c r="G106" s="1" t="s">
        <v>27</v>
      </c>
      <c r="H106" s="1" t="s">
        <v>28</v>
      </c>
      <c r="I106" s="1" t="s">
        <v>50</v>
      </c>
      <c r="J106" s="1" t="s">
        <v>170</v>
      </c>
      <c r="K106" s="1" t="s">
        <v>171</v>
      </c>
      <c r="L106" s="1" t="s">
        <v>235</v>
      </c>
      <c r="M106" s="1" t="s">
        <v>176</v>
      </c>
      <c r="N106" s="1" t="s">
        <v>305</v>
      </c>
      <c r="O106" s="1" t="s">
        <v>336</v>
      </c>
      <c r="P106" s="1"/>
      <c r="Q106" s="1">
        <f>IFERROR(COUNTIFS(_report[TOURNAMENT_CODE],ВСЕ_КОДЫ[[#This Row],[TOURNAMENT_CODE]],_report[CONTEST_CODE],ВСЕ_КОДЫ[[#This Row],[CONTEST_CODE]]),"-")</f>
        <v>0</v>
      </c>
      <c r="R106" s="1" t="str">
        <f>IFERROR(INDEX(_SCHEDULE_[],MATCH(ВСЕ_КОДЫ[[#This Row],[CONTEST_CODE]],_SCHEDULE_[CONTEST_CODE],0),MATCH($R$1,_SCHEDULE_[#Headers],0)),"-")</f>
        <v>УДАЛЕН</v>
      </c>
      <c r="S106" s="1" t="str">
        <f>IFERROR(INDEX(_group_[],MATCH(ВСЕ_КОДЫ[[#This Row],[CONTEST_CODE]],_group_[CONTEST_CODE],0),MATCH($S$1,_group_[#Headers],0)),"-")</f>
        <v>BANK</v>
      </c>
      <c r="T106" s="1" t="str">
        <f>IFERROR(INDEX(_INDICATOR_[],MATCH(ВСЕ_КОДЫ[[#This Row],[CONTEST_CODE]],_INDICATOR_[CONTEST_CODE],0),MATCH($T$1,_INDICATOR_[#Headers],0)),"-")</f>
        <v>WD</v>
      </c>
      <c r="U106" s="1" t="str">
        <f>IFERROR(INDEX(_reward_link_[],MATCH(ВСЕ_КОДЫ[[#This Row],[CONTEST_CODE]],_reward_link_[CONTEST_CODE],0),MATCH($U$1,_reward_link_[#Headers],0)),"-")</f>
        <v>GOSB</v>
      </c>
      <c r="V106" s="1" t="str">
        <f>IFERROR(INDEX(_report[],MATCH(ВСЕ_КОДЫ[[#This Row],[CONTEST_CODE]],_report[CONTEST_CODE],0),MATCH($V$1,_report[#Headers],0)),"-")</f>
        <v>-</v>
      </c>
      <c r="W106" s="1" t="str">
        <f>IFERROR(INDEX(_reward_[],MATCH(ВСЕ_КОДЫ[[#This Row],[REWARD_CODE]],_reward_[REWARD_CODE],0),MATCH($W$1,_reward_[#Headers],0)),"-")</f>
        <v>Победитель ТБ по условным сделкам</v>
      </c>
      <c r="X106" s="1" t="str">
        <f>IFERROR(INDEX(_group_[],MATCH(CONCATENATE(ВСЕ_КОДЫ[[#This Row],[CONTEST_CODE]],"_",X$2),#REF!,0),MATCH(X$1,_group_[#Headers],0)),"-")</f>
        <v>-</v>
      </c>
      <c r="Y106" s="1" t="str">
        <f>IFERROR(INDEX(_group_[],MATCH(CONCATENATE(ВСЕ_КОДЫ[[#This Row],[CONTEST_CODE]],"_",Y$2),#REF!,0),MATCH(Y$1,_group_[#Headers],0)),"-")</f>
        <v>-</v>
      </c>
      <c r="Z106" s="1" t="str">
        <f>IFERROR(INDEX(_group_[],MATCH(CONCATENATE(ВСЕ_КОДЫ[[#This Row],[CONTEST_CODE]],"_",Z$2),#REF!,0),MATCH(Z$1,_group_[#Headers],0)),"-")</f>
        <v>-</v>
      </c>
      <c r="AA106" s="1" t="str">
        <f>IFERROR(INDEX(_group_[],MATCH(CONCATENATE(ВСЕ_КОДЫ[[#This Row],[CONTEST_CODE]],"_",AA$2),#REF!,0),MATCH(AA$1,_group_[#Headers],0)),"-")</f>
        <v>-</v>
      </c>
      <c r="AB106" s="1" t="str">
        <f>IFERROR(INDEX(_DATA_[],MATCH(ВСЕ_КОДЫ[[#This Row],[CONTEST_CODE]],_DATA_[CONTEST_CODE],0),MATCH($AB$2,_DATA_[#Headers],0)),"-")</f>
        <v>["""KMKKSB"""]</v>
      </c>
      <c r="AC106" s="1" t="str">
        <f>CONCATENATE(ВСЕ_КОДЫ[[#This Row],[CONTEST_CODE]],"_",ВСЕ_КОДЫ[[#This Row],[TOURNAMENT_CODE]])</f>
        <v>CONTEST_08_01_TOURNAMENT_08_01_2023_12</v>
      </c>
      <c r="AD106" s="1" t="str">
        <f>ВСЕ_КОДЫ[[#This Row],[FULL_NAME]]</f>
        <v>Марафон по условным сделкам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idden="1" x14ac:dyDescent="0.25">
      <c r="A107" s="1" t="s">
        <v>78</v>
      </c>
      <c r="B107" s="1" t="s">
        <v>236</v>
      </c>
      <c r="C107" s="1" t="s">
        <v>342</v>
      </c>
      <c r="D107" s="1" t="s">
        <v>586</v>
      </c>
      <c r="E107" s="1" t="s">
        <v>49</v>
      </c>
      <c r="F107" s="1" t="s">
        <v>62</v>
      </c>
      <c r="G107" s="1" t="s">
        <v>27</v>
      </c>
      <c r="H107" s="1" t="s">
        <v>28</v>
      </c>
      <c r="I107" s="1" t="s">
        <v>50</v>
      </c>
      <c r="J107" s="1" t="s">
        <v>182</v>
      </c>
      <c r="K107" s="1" t="s">
        <v>183</v>
      </c>
      <c r="L107" s="1" t="s">
        <v>237</v>
      </c>
      <c r="M107" s="1" t="s">
        <v>176</v>
      </c>
      <c r="N107" s="1" t="s">
        <v>305</v>
      </c>
      <c r="O107" s="1" t="s">
        <v>336</v>
      </c>
      <c r="P107" s="1"/>
      <c r="Q107" s="1">
        <f>IFERROR(COUNTIFS(_report[TOURNAMENT_CODE],ВСЕ_КОДЫ[[#This Row],[TOURNAMENT_CODE]],_report[CONTEST_CODE],ВСЕ_КОДЫ[[#This Row],[CONTEST_CODE]]),"-")</f>
        <v>0</v>
      </c>
      <c r="R107" s="1" t="str">
        <f>IFERROR(INDEX(_SCHEDULE_[],MATCH(ВСЕ_КОДЫ[[#This Row],[CONTEST_CODE]],_SCHEDULE_[CONTEST_CODE],0),MATCH($R$1,_SCHEDULE_[#Headers],0)),"-")</f>
        <v>УДАЛЕН</v>
      </c>
      <c r="S107" s="1" t="str">
        <f>IFERROR(INDEX(_group_[],MATCH(ВСЕ_КОДЫ[[#This Row],[CONTEST_CODE]],_group_[CONTEST_CODE],0),MATCH($S$1,_group_[#Headers],0)),"-")</f>
        <v>BANK</v>
      </c>
      <c r="T107" s="1" t="str">
        <f>IFERROR(INDEX(_INDICATOR_[],MATCH(ВСЕ_КОДЫ[[#This Row],[CONTEST_CODE]],_INDICATOR_[CONTEST_CODE],0),MATCH($T$1,_INDICATOR_[#Headers],0)),"-")</f>
        <v>WD</v>
      </c>
      <c r="U107" s="1" t="str">
        <f>IFERROR(INDEX(_reward_link_[],MATCH(ВСЕ_КОДЫ[[#This Row],[CONTEST_CODE]],_reward_link_[CONTEST_CODE],0),MATCH($U$1,_reward_link_[#Headers],0)),"-")</f>
        <v>GOSB</v>
      </c>
      <c r="V107" s="1" t="str">
        <f>IFERROR(INDEX(_report[],MATCH(ВСЕ_КОДЫ[[#This Row],[CONTEST_CODE]],_report[CONTEST_CODE],0),MATCH($V$1,_report[#Headers],0)),"-")</f>
        <v>-</v>
      </c>
      <c r="W107" s="1" t="str">
        <f>IFERROR(INDEX(_reward_[],MATCH(ВСЕ_КОДЫ[[#This Row],[REWARD_CODE]],_reward_[REWARD_CODE],0),MATCH($W$1,_reward_[#Headers],0)),"-")</f>
        <v>Победитель ТБ по условным сделкам</v>
      </c>
      <c r="X107" s="1" t="str">
        <f>IFERROR(INDEX(_group_[],MATCH(CONCATENATE(ВСЕ_КОДЫ[[#This Row],[CONTEST_CODE]],"_",X$2),#REF!,0),MATCH(X$1,_group_[#Headers],0)),"-")</f>
        <v>-</v>
      </c>
      <c r="Y107" s="1" t="str">
        <f>IFERROR(INDEX(_group_[],MATCH(CONCATENATE(ВСЕ_КОДЫ[[#This Row],[CONTEST_CODE]],"_",Y$2),#REF!,0),MATCH(Y$1,_group_[#Headers],0)),"-")</f>
        <v>-</v>
      </c>
      <c r="Z107" s="1" t="str">
        <f>IFERROR(INDEX(_group_[],MATCH(CONCATENATE(ВСЕ_КОДЫ[[#This Row],[CONTEST_CODE]],"_",Z$2),#REF!,0),MATCH(Z$1,_group_[#Headers],0)),"-")</f>
        <v>-</v>
      </c>
      <c r="AA107" s="1" t="str">
        <f>IFERROR(INDEX(_group_[],MATCH(CONCATENATE(ВСЕ_КОДЫ[[#This Row],[CONTEST_CODE]],"_",AA$2),#REF!,0),MATCH(AA$1,_group_[#Headers],0)),"-")</f>
        <v>-</v>
      </c>
      <c r="AB107" s="1" t="str">
        <f>IFERROR(INDEX(_DATA_[],MATCH(ВСЕ_КОДЫ[[#This Row],[CONTEST_CODE]],_DATA_[CONTEST_CODE],0),MATCH($AB$2,_DATA_[#Headers],0)),"-")</f>
        <v>["""KMKKSB"""]</v>
      </c>
      <c r="AC107" s="1" t="str">
        <f>CONCATENATE(ВСЕ_КОДЫ[[#This Row],[CONTEST_CODE]],"_",ВСЕ_КОДЫ[[#This Row],[TOURNAMENT_CODE]])</f>
        <v>CONTEST_08_01_TOURNAMENT_08_01_2024_01</v>
      </c>
      <c r="AD107" s="1" t="str">
        <f>ВСЕ_КОДЫ[[#This Row],[FULL_NAME]]</f>
        <v>Марафон по условным сделкам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idden="1" x14ac:dyDescent="0.25">
      <c r="A108" s="1" t="s">
        <v>78</v>
      </c>
      <c r="B108" s="1" t="s">
        <v>238</v>
      </c>
      <c r="C108" s="1" t="s">
        <v>342</v>
      </c>
      <c r="D108" s="1" t="s">
        <v>586</v>
      </c>
      <c r="E108" s="1" t="s">
        <v>49</v>
      </c>
      <c r="F108" s="1" t="s">
        <v>62</v>
      </c>
      <c r="G108" s="1" t="s">
        <v>27</v>
      </c>
      <c r="H108" s="1" t="s">
        <v>28</v>
      </c>
      <c r="I108" s="1" t="s">
        <v>50</v>
      </c>
      <c r="J108" s="1" t="s">
        <v>239</v>
      </c>
      <c r="K108" s="1" t="s">
        <v>240</v>
      </c>
      <c r="L108" s="1" t="s">
        <v>241</v>
      </c>
      <c r="M108" s="1" t="s">
        <v>176</v>
      </c>
      <c r="N108" s="1" t="s">
        <v>305</v>
      </c>
      <c r="O108" s="1" t="s">
        <v>336</v>
      </c>
      <c r="P108" s="1"/>
      <c r="Q108" s="1">
        <f>IFERROR(COUNTIFS(_report[TOURNAMENT_CODE],ВСЕ_КОДЫ[[#This Row],[TOURNAMENT_CODE]],_report[CONTEST_CODE],ВСЕ_КОДЫ[[#This Row],[CONTEST_CODE]]),"-")</f>
        <v>0</v>
      </c>
      <c r="R108" s="1" t="str">
        <f>IFERROR(INDEX(_SCHEDULE_[],MATCH(ВСЕ_КОДЫ[[#This Row],[CONTEST_CODE]],_SCHEDULE_[CONTEST_CODE],0),MATCH($R$1,_SCHEDULE_[#Headers],0)),"-")</f>
        <v>УДАЛЕН</v>
      </c>
      <c r="S108" s="1" t="str">
        <f>IFERROR(INDEX(_group_[],MATCH(ВСЕ_КОДЫ[[#This Row],[CONTEST_CODE]],_group_[CONTEST_CODE],0),MATCH($S$1,_group_[#Headers],0)),"-")</f>
        <v>BANK</v>
      </c>
      <c r="T108" s="1" t="str">
        <f>IFERROR(INDEX(_INDICATOR_[],MATCH(ВСЕ_КОДЫ[[#This Row],[CONTEST_CODE]],_INDICATOR_[CONTEST_CODE],0),MATCH($T$1,_INDICATOR_[#Headers],0)),"-")</f>
        <v>WD</v>
      </c>
      <c r="U108" s="1" t="str">
        <f>IFERROR(INDEX(_reward_link_[],MATCH(ВСЕ_КОДЫ[[#This Row],[CONTEST_CODE]],_reward_link_[CONTEST_CODE],0),MATCH($U$1,_reward_link_[#Headers],0)),"-")</f>
        <v>GOSB</v>
      </c>
      <c r="V108" s="1" t="str">
        <f>IFERROR(INDEX(_report[],MATCH(ВСЕ_КОДЫ[[#This Row],[CONTEST_CODE]],_report[CONTEST_CODE],0),MATCH($V$1,_report[#Headers],0)),"-")</f>
        <v>-</v>
      </c>
      <c r="W108" s="1" t="str">
        <f>IFERROR(INDEX(_reward_[],MATCH(ВСЕ_КОДЫ[[#This Row],[REWARD_CODE]],_reward_[REWARD_CODE],0),MATCH($W$1,_reward_[#Headers],0)),"-")</f>
        <v>Победитель ТБ по условным сделкам</v>
      </c>
      <c r="X108" s="1" t="str">
        <f>IFERROR(INDEX(_group_[],MATCH(CONCATENATE(ВСЕ_КОДЫ[[#This Row],[CONTEST_CODE]],"_",X$2),#REF!,0),MATCH(X$1,_group_[#Headers],0)),"-")</f>
        <v>-</v>
      </c>
      <c r="Y108" s="1" t="str">
        <f>IFERROR(INDEX(_group_[],MATCH(CONCATENATE(ВСЕ_КОДЫ[[#This Row],[CONTEST_CODE]],"_",Y$2),#REF!,0),MATCH(Y$1,_group_[#Headers],0)),"-")</f>
        <v>-</v>
      </c>
      <c r="Z108" s="1" t="str">
        <f>IFERROR(INDEX(_group_[],MATCH(CONCATENATE(ВСЕ_КОДЫ[[#This Row],[CONTEST_CODE]],"_",Z$2),#REF!,0),MATCH(Z$1,_group_[#Headers],0)),"-")</f>
        <v>-</v>
      </c>
      <c r="AA108" s="1" t="str">
        <f>IFERROR(INDEX(_group_[],MATCH(CONCATENATE(ВСЕ_КОДЫ[[#This Row],[CONTEST_CODE]],"_",AA$2),#REF!,0),MATCH(AA$1,_group_[#Headers],0)),"-")</f>
        <v>-</v>
      </c>
      <c r="AB108" s="1" t="str">
        <f>IFERROR(INDEX(_DATA_[],MATCH(ВСЕ_КОДЫ[[#This Row],[CONTEST_CODE]],_DATA_[CONTEST_CODE],0),MATCH($AB$2,_DATA_[#Headers],0)),"-")</f>
        <v>["""KMKKSB"""]</v>
      </c>
      <c r="AC108" s="1" t="str">
        <f>CONCATENATE(ВСЕ_КОДЫ[[#This Row],[CONTEST_CODE]],"_",ВСЕ_КОДЫ[[#This Row],[TOURNAMENT_CODE]])</f>
        <v>CONTEST_08_01_TOURNAMENT_08_01_2024_02</v>
      </c>
      <c r="AD108" s="1" t="str">
        <f>ВСЕ_КОДЫ[[#This Row],[FULL_NAME]]</f>
        <v>Марафон по условным сделкам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idden="1" x14ac:dyDescent="0.25">
      <c r="A109" s="1" t="s">
        <v>78</v>
      </c>
      <c r="B109" s="1" t="s">
        <v>242</v>
      </c>
      <c r="C109" s="1" t="s">
        <v>342</v>
      </c>
      <c r="D109" s="1" t="s">
        <v>586</v>
      </c>
      <c r="E109" s="1" t="s">
        <v>49</v>
      </c>
      <c r="F109" s="1" t="s">
        <v>62</v>
      </c>
      <c r="G109" s="1" t="s">
        <v>27</v>
      </c>
      <c r="H109" s="1" t="s">
        <v>28</v>
      </c>
      <c r="I109" s="1" t="s">
        <v>50</v>
      </c>
      <c r="J109" s="1" t="s">
        <v>187</v>
      </c>
      <c r="K109" s="1" t="s">
        <v>188</v>
      </c>
      <c r="L109" s="1" t="s">
        <v>189</v>
      </c>
      <c r="M109" s="1" t="s">
        <v>176</v>
      </c>
      <c r="N109" s="1" t="s">
        <v>305</v>
      </c>
      <c r="O109" s="1" t="s">
        <v>336</v>
      </c>
      <c r="P109" s="1"/>
      <c r="Q109" s="1">
        <f>IFERROR(COUNTIFS(_report[TOURNAMENT_CODE],ВСЕ_КОДЫ[[#This Row],[TOURNAMENT_CODE]],_report[CONTEST_CODE],ВСЕ_КОДЫ[[#This Row],[CONTEST_CODE]]),"-")</f>
        <v>0</v>
      </c>
      <c r="R109" s="1" t="str">
        <f>IFERROR(INDEX(_SCHEDULE_[],MATCH(ВСЕ_КОДЫ[[#This Row],[CONTEST_CODE]],_SCHEDULE_[CONTEST_CODE],0),MATCH($R$1,_SCHEDULE_[#Headers],0)),"-")</f>
        <v>УДАЛЕН</v>
      </c>
      <c r="S109" s="1" t="str">
        <f>IFERROR(INDEX(_group_[],MATCH(ВСЕ_КОДЫ[[#This Row],[CONTEST_CODE]],_group_[CONTEST_CODE],0),MATCH($S$1,_group_[#Headers],0)),"-")</f>
        <v>BANK</v>
      </c>
      <c r="T109" s="1" t="str">
        <f>IFERROR(INDEX(_INDICATOR_[],MATCH(ВСЕ_КОДЫ[[#This Row],[CONTEST_CODE]],_INDICATOR_[CONTEST_CODE],0),MATCH($T$1,_INDICATOR_[#Headers],0)),"-")</f>
        <v>WD</v>
      </c>
      <c r="U109" s="1" t="str">
        <f>IFERROR(INDEX(_reward_link_[],MATCH(ВСЕ_КОДЫ[[#This Row],[CONTEST_CODE]],_reward_link_[CONTEST_CODE],0),MATCH($U$1,_reward_link_[#Headers],0)),"-")</f>
        <v>GOSB</v>
      </c>
      <c r="V109" s="1" t="str">
        <f>IFERROR(INDEX(_report[],MATCH(ВСЕ_КОДЫ[[#This Row],[CONTEST_CODE]],_report[CONTEST_CODE],0),MATCH($V$1,_report[#Headers],0)),"-")</f>
        <v>-</v>
      </c>
      <c r="W109" s="1" t="str">
        <f>IFERROR(INDEX(_reward_[],MATCH(ВСЕ_КОДЫ[[#This Row],[REWARD_CODE]],_reward_[REWARD_CODE],0),MATCH($W$1,_reward_[#Headers],0)),"-")</f>
        <v>Победитель ТБ по условным сделкам</v>
      </c>
      <c r="X109" s="1" t="str">
        <f>IFERROR(INDEX(_group_[],MATCH(CONCATENATE(ВСЕ_КОДЫ[[#This Row],[CONTEST_CODE]],"_",X$2),#REF!,0),MATCH(X$1,_group_[#Headers],0)),"-")</f>
        <v>-</v>
      </c>
      <c r="Y109" s="1" t="str">
        <f>IFERROR(INDEX(_group_[],MATCH(CONCATENATE(ВСЕ_КОДЫ[[#This Row],[CONTEST_CODE]],"_",Y$2),#REF!,0),MATCH(Y$1,_group_[#Headers],0)),"-")</f>
        <v>-</v>
      </c>
      <c r="Z109" s="1" t="str">
        <f>IFERROR(INDEX(_group_[],MATCH(CONCATENATE(ВСЕ_КОДЫ[[#This Row],[CONTEST_CODE]],"_",Z$2),#REF!,0),MATCH(Z$1,_group_[#Headers],0)),"-")</f>
        <v>-</v>
      </c>
      <c r="AA109" s="1" t="str">
        <f>IFERROR(INDEX(_group_[],MATCH(CONCATENATE(ВСЕ_КОДЫ[[#This Row],[CONTEST_CODE]],"_",AA$2),#REF!,0),MATCH(AA$1,_group_[#Headers],0)),"-")</f>
        <v>-</v>
      </c>
      <c r="AB109" s="1" t="str">
        <f>IFERROR(INDEX(_DATA_[],MATCH(ВСЕ_КОДЫ[[#This Row],[CONTEST_CODE]],_DATA_[CONTEST_CODE],0),MATCH($AB$2,_DATA_[#Headers],0)),"-")</f>
        <v>["""KMKKSB"""]</v>
      </c>
      <c r="AC109" s="1" t="str">
        <f>CONCATENATE(ВСЕ_КОДЫ[[#This Row],[CONTEST_CODE]],"_",ВСЕ_КОДЫ[[#This Row],[TOURNAMENT_CODE]])</f>
        <v>CONTEST_08_01_TOURNAMENT_08_01_2024_03</v>
      </c>
      <c r="AD109" s="1" t="str">
        <f>ВСЕ_КОДЫ[[#This Row],[FULL_NAME]]</f>
        <v>Марафон по условным сделкам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idden="1" x14ac:dyDescent="0.25">
      <c r="A110" s="1" t="s">
        <v>78</v>
      </c>
      <c r="B110" s="1" t="s">
        <v>243</v>
      </c>
      <c r="C110" s="1" t="s">
        <v>342</v>
      </c>
      <c r="D110" s="1" t="s">
        <v>586</v>
      </c>
      <c r="E110" s="1" t="s">
        <v>49</v>
      </c>
      <c r="F110" s="1" t="s">
        <v>62</v>
      </c>
      <c r="G110" s="1" t="s">
        <v>27</v>
      </c>
      <c r="H110" s="1" t="s">
        <v>28</v>
      </c>
      <c r="I110" s="1" t="s">
        <v>50</v>
      </c>
      <c r="J110" s="1" t="s">
        <v>192</v>
      </c>
      <c r="K110" s="1" t="s">
        <v>193</v>
      </c>
      <c r="L110" s="1" t="s">
        <v>1046</v>
      </c>
      <c r="M110" s="1" t="s">
        <v>176</v>
      </c>
      <c r="N110" s="1" t="s">
        <v>305</v>
      </c>
      <c r="O110" s="1" t="s">
        <v>336</v>
      </c>
      <c r="P110" s="1"/>
      <c r="Q110" s="1">
        <f>IFERROR(COUNTIFS(_report[TOURNAMENT_CODE],ВСЕ_КОДЫ[[#This Row],[TOURNAMENT_CODE]],_report[CONTEST_CODE],ВСЕ_КОДЫ[[#This Row],[CONTEST_CODE]]),"-")</f>
        <v>0</v>
      </c>
      <c r="R110" s="1" t="str">
        <f>IFERROR(INDEX(_SCHEDULE_[],MATCH(ВСЕ_КОДЫ[[#This Row],[CONTEST_CODE]],_SCHEDULE_[CONTEST_CODE],0),MATCH($R$1,_SCHEDULE_[#Headers],0)),"-")</f>
        <v>УДАЛЕН</v>
      </c>
      <c r="S110" s="1" t="str">
        <f>IFERROR(INDEX(_group_[],MATCH(ВСЕ_КОДЫ[[#This Row],[CONTEST_CODE]],_group_[CONTEST_CODE],0),MATCH($S$1,_group_[#Headers],0)),"-")</f>
        <v>BANK</v>
      </c>
      <c r="T110" s="1" t="str">
        <f>IFERROR(INDEX(_INDICATOR_[],MATCH(ВСЕ_КОДЫ[[#This Row],[CONTEST_CODE]],_INDICATOR_[CONTEST_CODE],0),MATCH($T$1,_INDICATOR_[#Headers],0)),"-")</f>
        <v>WD</v>
      </c>
      <c r="U110" s="1" t="str">
        <f>IFERROR(INDEX(_reward_link_[],MATCH(ВСЕ_КОДЫ[[#This Row],[CONTEST_CODE]],_reward_link_[CONTEST_CODE],0),MATCH($U$1,_reward_link_[#Headers],0)),"-")</f>
        <v>GOSB</v>
      </c>
      <c r="V110" s="1" t="str">
        <f>IFERROR(INDEX(_report[],MATCH(ВСЕ_КОДЫ[[#This Row],[CONTEST_CODE]],_report[CONTEST_CODE],0),MATCH($V$1,_report[#Headers],0)),"-")</f>
        <v>-</v>
      </c>
      <c r="W110" s="1" t="str">
        <f>IFERROR(INDEX(_reward_[],MATCH(ВСЕ_КОДЫ[[#This Row],[REWARD_CODE]],_reward_[REWARD_CODE],0),MATCH($W$1,_reward_[#Headers],0)),"-")</f>
        <v>Победитель ТБ по условным сделкам</v>
      </c>
      <c r="X110" s="1" t="str">
        <f>IFERROR(INDEX(_group_[],MATCH(CONCATENATE(ВСЕ_КОДЫ[[#This Row],[CONTEST_CODE]],"_",X$2),#REF!,0),MATCH(X$1,_group_[#Headers],0)),"-")</f>
        <v>-</v>
      </c>
      <c r="Y110" s="1" t="str">
        <f>IFERROR(INDEX(_group_[],MATCH(CONCATENATE(ВСЕ_КОДЫ[[#This Row],[CONTEST_CODE]],"_",Y$2),#REF!,0),MATCH(Y$1,_group_[#Headers],0)),"-")</f>
        <v>-</v>
      </c>
      <c r="Z110" s="1" t="str">
        <f>IFERROR(INDEX(_group_[],MATCH(CONCATENATE(ВСЕ_КОДЫ[[#This Row],[CONTEST_CODE]],"_",Z$2),#REF!,0),MATCH(Z$1,_group_[#Headers],0)),"-")</f>
        <v>-</v>
      </c>
      <c r="AA110" s="1" t="str">
        <f>IFERROR(INDEX(_group_[],MATCH(CONCATENATE(ВСЕ_КОДЫ[[#This Row],[CONTEST_CODE]],"_",AA$2),#REF!,0),MATCH(AA$1,_group_[#Headers],0)),"-")</f>
        <v>-</v>
      </c>
      <c r="AB110" s="1" t="str">
        <f>IFERROR(INDEX(_DATA_[],MATCH(ВСЕ_КОДЫ[[#This Row],[CONTEST_CODE]],_DATA_[CONTEST_CODE],0),MATCH($AB$2,_DATA_[#Headers],0)),"-")</f>
        <v>["""KMKKSB"""]</v>
      </c>
      <c r="AC110" s="1" t="str">
        <f>CONCATENATE(ВСЕ_КОДЫ[[#This Row],[CONTEST_CODE]],"_",ВСЕ_КОДЫ[[#This Row],[TOURNAMENT_CODE]])</f>
        <v>CONTEST_08_01_TOURNAMENT_08_01_2024_04</v>
      </c>
      <c r="AD110" s="1" t="str">
        <f>ВСЕ_КОДЫ[[#This Row],[FULL_NAME]]</f>
        <v>Марафон по условным сделкам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idden="1" x14ac:dyDescent="0.25">
      <c r="A111" s="1" t="s">
        <v>78</v>
      </c>
      <c r="B111" s="1" t="s">
        <v>244</v>
      </c>
      <c r="C111" s="1" t="s">
        <v>342</v>
      </c>
      <c r="D111" s="1" t="s">
        <v>586</v>
      </c>
      <c r="E111" s="1" t="s">
        <v>49</v>
      </c>
      <c r="F111" s="1" t="s">
        <v>62</v>
      </c>
      <c r="G111" s="1" t="s">
        <v>27</v>
      </c>
      <c r="H111" s="1" t="s">
        <v>28</v>
      </c>
      <c r="I111" s="1" t="s">
        <v>50</v>
      </c>
      <c r="J111" s="1" t="s">
        <v>245</v>
      </c>
      <c r="K111" s="1" t="s">
        <v>246</v>
      </c>
      <c r="L111" s="1" t="s">
        <v>1046</v>
      </c>
      <c r="M111" s="1" t="s">
        <v>176</v>
      </c>
      <c r="N111" s="1" t="s">
        <v>305</v>
      </c>
      <c r="O111" s="1" t="s">
        <v>336</v>
      </c>
      <c r="P111" s="1"/>
      <c r="Q111" s="1">
        <f>IFERROR(COUNTIFS(_report[TOURNAMENT_CODE],ВСЕ_КОДЫ[[#This Row],[TOURNAMENT_CODE]],_report[CONTEST_CODE],ВСЕ_КОДЫ[[#This Row],[CONTEST_CODE]]),"-")</f>
        <v>0</v>
      </c>
      <c r="R111" s="1" t="str">
        <f>IFERROR(INDEX(_SCHEDULE_[],MATCH(ВСЕ_КОДЫ[[#This Row],[CONTEST_CODE]],_SCHEDULE_[CONTEST_CODE],0),MATCH($R$1,_SCHEDULE_[#Headers],0)),"-")</f>
        <v>УДАЛЕН</v>
      </c>
      <c r="S111" s="1" t="str">
        <f>IFERROR(INDEX(_group_[],MATCH(ВСЕ_КОДЫ[[#This Row],[CONTEST_CODE]],_group_[CONTEST_CODE],0),MATCH($S$1,_group_[#Headers],0)),"-")</f>
        <v>BANK</v>
      </c>
      <c r="T111" s="1" t="str">
        <f>IFERROR(INDEX(_INDICATOR_[],MATCH(ВСЕ_КОДЫ[[#This Row],[CONTEST_CODE]],_INDICATOR_[CONTEST_CODE],0),MATCH($T$1,_INDICATOR_[#Headers],0)),"-")</f>
        <v>WD</v>
      </c>
      <c r="U111" s="1" t="str">
        <f>IFERROR(INDEX(_reward_link_[],MATCH(ВСЕ_КОДЫ[[#This Row],[CONTEST_CODE]],_reward_link_[CONTEST_CODE],0),MATCH($U$1,_reward_link_[#Headers],0)),"-")</f>
        <v>GOSB</v>
      </c>
      <c r="V111" s="1" t="str">
        <f>IFERROR(INDEX(_report[],MATCH(ВСЕ_КОДЫ[[#This Row],[CONTEST_CODE]],_report[CONTEST_CODE],0),MATCH($V$1,_report[#Headers],0)),"-")</f>
        <v>-</v>
      </c>
      <c r="W111" s="1" t="str">
        <f>IFERROR(INDEX(_reward_[],MATCH(ВСЕ_КОДЫ[[#This Row],[REWARD_CODE]],_reward_[REWARD_CODE],0),MATCH($W$1,_reward_[#Headers],0)),"-")</f>
        <v>Победитель ТБ по условным сделкам</v>
      </c>
      <c r="X111" s="1" t="str">
        <f>IFERROR(INDEX(_group_[],MATCH(CONCATENATE(ВСЕ_КОДЫ[[#This Row],[CONTEST_CODE]],"_",X$2),#REF!,0),MATCH(X$1,_group_[#Headers],0)),"-")</f>
        <v>-</v>
      </c>
      <c r="Y111" s="1" t="str">
        <f>IFERROR(INDEX(_group_[],MATCH(CONCATENATE(ВСЕ_КОДЫ[[#This Row],[CONTEST_CODE]],"_",Y$2),#REF!,0),MATCH(Y$1,_group_[#Headers],0)),"-")</f>
        <v>-</v>
      </c>
      <c r="Z111" s="1" t="str">
        <f>IFERROR(INDEX(_group_[],MATCH(CONCATENATE(ВСЕ_КОДЫ[[#This Row],[CONTEST_CODE]],"_",Z$2),#REF!,0),MATCH(Z$1,_group_[#Headers],0)),"-")</f>
        <v>-</v>
      </c>
      <c r="AA111" s="1" t="str">
        <f>IFERROR(INDEX(_group_[],MATCH(CONCATENATE(ВСЕ_КОДЫ[[#This Row],[CONTEST_CODE]],"_",AA$2),#REF!,0),MATCH(AA$1,_group_[#Headers],0)),"-")</f>
        <v>-</v>
      </c>
      <c r="AB111" s="1" t="str">
        <f>IFERROR(INDEX(_DATA_[],MATCH(ВСЕ_КОДЫ[[#This Row],[CONTEST_CODE]],_DATA_[CONTEST_CODE],0),MATCH($AB$2,_DATA_[#Headers],0)),"-")</f>
        <v>["""KMKKSB"""]</v>
      </c>
      <c r="AC111" s="1" t="str">
        <f>CONCATENATE(ВСЕ_КОДЫ[[#This Row],[CONTEST_CODE]],"_",ВСЕ_КОДЫ[[#This Row],[TOURNAMENT_CODE]])</f>
        <v>CONTEST_08_01_TOURNAMENT_08_01_2024_05</v>
      </c>
      <c r="AD111" s="1" t="str">
        <f>ВСЕ_КОДЫ[[#This Row],[FULL_NAME]]</f>
        <v>Марафон по условным сделкам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idden="1" x14ac:dyDescent="0.25">
      <c r="A112" s="1" t="s">
        <v>78</v>
      </c>
      <c r="B112" s="1" t="s">
        <v>696</v>
      </c>
      <c r="C112" s="1" t="s">
        <v>342</v>
      </c>
      <c r="D112" s="1" t="s">
        <v>586</v>
      </c>
      <c r="E112" s="1" t="s">
        <v>49</v>
      </c>
      <c r="F112" s="1" t="s">
        <v>62</v>
      </c>
      <c r="G112" s="1" t="s">
        <v>27</v>
      </c>
      <c r="H112" s="1" t="s">
        <v>28</v>
      </c>
      <c r="I112" s="1" t="s">
        <v>50</v>
      </c>
      <c r="J112" s="1" t="s">
        <v>695</v>
      </c>
      <c r="K112" s="1" t="s">
        <v>252</v>
      </c>
      <c r="L112" s="1" t="s">
        <v>253</v>
      </c>
      <c r="M112" s="1" t="s">
        <v>176</v>
      </c>
      <c r="N112" s="1" t="s">
        <v>305</v>
      </c>
      <c r="O112" s="1" t="s">
        <v>336</v>
      </c>
      <c r="P112" s="1"/>
      <c r="Q112" s="1">
        <f>IFERROR(COUNTIFS(_report[TOURNAMENT_CODE],ВСЕ_КОДЫ[[#This Row],[TOURNAMENT_CODE]],_report[CONTEST_CODE],ВСЕ_КОДЫ[[#This Row],[CONTEST_CODE]]),"-")</f>
        <v>0</v>
      </c>
      <c r="R112" s="1" t="str">
        <f>IFERROR(INDEX(_SCHEDULE_[],MATCH(ВСЕ_КОДЫ[[#This Row],[CONTEST_CODE]],_SCHEDULE_[CONTEST_CODE],0),MATCH($R$1,_SCHEDULE_[#Headers],0)),"-")</f>
        <v>УДАЛЕН</v>
      </c>
      <c r="S112" s="1" t="str">
        <f>IFERROR(INDEX(_group_[],MATCH(ВСЕ_КОДЫ[[#This Row],[CONTEST_CODE]],_group_[CONTEST_CODE],0),MATCH($S$1,_group_[#Headers],0)),"-")</f>
        <v>BANK</v>
      </c>
      <c r="T112" s="1" t="str">
        <f>IFERROR(INDEX(_INDICATOR_[],MATCH(ВСЕ_КОДЫ[[#This Row],[CONTEST_CODE]],_INDICATOR_[CONTEST_CODE],0),MATCH($T$1,_INDICATOR_[#Headers],0)),"-")</f>
        <v>WD</v>
      </c>
      <c r="U112" s="1" t="str">
        <f>IFERROR(INDEX(_reward_link_[],MATCH(ВСЕ_КОДЫ[[#This Row],[CONTEST_CODE]],_reward_link_[CONTEST_CODE],0),MATCH($U$1,_reward_link_[#Headers],0)),"-")</f>
        <v>GOSB</v>
      </c>
      <c r="V112" s="1" t="str">
        <f>IFERROR(INDEX(_report[],MATCH(ВСЕ_КОДЫ[[#This Row],[CONTEST_CODE]],_report[CONTEST_CODE],0),MATCH($V$1,_report[#Headers],0)),"-")</f>
        <v>-</v>
      </c>
      <c r="W112" s="1" t="str">
        <f>IFERROR(INDEX(_reward_[],MATCH(ВСЕ_КОДЫ[[#This Row],[REWARD_CODE]],_reward_[REWARD_CODE],0),MATCH($W$1,_reward_[#Headers],0)),"-")</f>
        <v>Победитель ТБ по условным сделкам</v>
      </c>
      <c r="X112" s="1" t="str">
        <f>IFERROR(INDEX(_group_[],MATCH(CONCATENATE(ВСЕ_КОДЫ[[#This Row],[CONTEST_CODE]],"_",X$2),#REF!,0),MATCH(X$1,_group_[#Headers],0)),"-")</f>
        <v>-</v>
      </c>
      <c r="Y112" s="1" t="str">
        <f>IFERROR(INDEX(_group_[],MATCH(CONCATENATE(ВСЕ_КОДЫ[[#This Row],[CONTEST_CODE]],"_",Y$2),#REF!,0),MATCH(Y$1,_group_[#Headers],0)),"-")</f>
        <v>-</v>
      </c>
      <c r="Z112" s="1" t="str">
        <f>IFERROR(INDEX(_group_[],MATCH(CONCATENATE(ВСЕ_КОДЫ[[#This Row],[CONTEST_CODE]],"_",Z$2),#REF!,0),MATCH(Z$1,_group_[#Headers],0)),"-")</f>
        <v>-</v>
      </c>
      <c r="AA112" s="1" t="str">
        <f>IFERROR(INDEX(_group_[],MATCH(CONCATENATE(ВСЕ_КОДЫ[[#This Row],[CONTEST_CODE]],"_",AA$2),#REF!,0),MATCH(AA$1,_group_[#Headers],0)),"-")</f>
        <v>-</v>
      </c>
      <c r="AB112" s="1" t="str">
        <f>IFERROR(INDEX(_DATA_[],MATCH(ВСЕ_КОДЫ[[#This Row],[CONTEST_CODE]],_DATA_[CONTEST_CODE],0),MATCH($AB$2,_DATA_[#Headers],0)),"-")</f>
        <v>["""KMKKSB"""]</v>
      </c>
      <c r="AC112" s="1" t="str">
        <f>CONCATENATE(ВСЕ_КОДЫ[[#This Row],[CONTEST_CODE]],"_",ВСЕ_КОДЫ[[#This Row],[TOURNAMENT_CODE]])</f>
        <v>CONTEST_08_01_TOURNAMENT_08_01_2024_06</v>
      </c>
      <c r="AD112" s="1" t="str">
        <f>ВСЕ_КОДЫ[[#This Row],[FULL_NAME]]</f>
        <v>Марафон по условным сделкам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idden="1" x14ac:dyDescent="0.25">
      <c r="A113" s="1" t="s">
        <v>78</v>
      </c>
      <c r="B113" s="1" t="s">
        <v>1069</v>
      </c>
      <c r="C113" s="1" t="s">
        <v>342</v>
      </c>
      <c r="D113" s="1" t="s">
        <v>586</v>
      </c>
      <c r="E113" s="1" t="s">
        <v>49</v>
      </c>
      <c r="F113" s="1" t="s">
        <v>62</v>
      </c>
      <c r="G113" s="1" t="s">
        <v>27</v>
      </c>
      <c r="H113" s="1" t="s">
        <v>28</v>
      </c>
      <c r="I113" s="1" t="s">
        <v>50</v>
      </c>
      <c r="J113" s="1" t="s">
        <v>703</v>
      </c>
      <c r="K113" s="1" t="s">
        <v>704</v>
      </c>
      <c r="L113" s="1" t="s">
        <v>705</v>
      </c>
      <c r="M113" s="1" t="s">
        <v>176</v>
      </c>
      <c r="N113" s="1" t="s">
        <v>305</v>
      </c>
      <c r="O113" s="1" t="s">
        <v>336</v>
      </c>
      <c r="P113" s="1"/>
      <c r="Q113" s="1">
        <f>IFERROR(COUNTIFS(_report[TOURNAMENT_CODE],ВСЕ_КОДЫ[[#This Row],[TOURNAMENT_CODE]],_report[CONTEST_CODE],ВСЕ_КОДЫ[[#This Row],[CONTEST_CODE]]),"-")</f>
        <v>0</v>
      </c>
      <c r="R113" s="1" t="str">
        <f>IFERROR(INDEX(_SCHEDULE_[],MATCH(ВСЕ_КОДЫ[[#This Row],[CONTEST_CODE]],_SCHEDULE_[CONTEST_CODE],0),MATCH($R$1,_SCHEDULE_[#Headers],0)),"-")</f>
        <v>УДАЛЕН</v>
      </c>
      <c r="S113" s="1" t="str">
        <f>IFERROR(INDEX(_group_[],MATCH(ВСЕ_КОДЫ[[#This Row],[CONTEST_CODE]],_group_[CONTEST_CODE],0),MATCH($S$1,_group_[#Headers],0)),"-")</f>
        <v>BANK</v>
      </c>
      <c r="T113" s="1" t="str">
        <f>IFERROR(INDEX(_INDICATOR_[],MATCH(ВСЕ_КОДЫ[[#This Row],[CONTEST_CODE]],_INDICATOR_[CONTEST_CODE],0),MATCH($T$1,_INDICATOR_[#Headers],0)),"-")</f>
        <v>WD</v>
      </c>
      <c r="U113" s="1" t="str">
        <f>IFERROR(INDEX(_reward_link_[],MATCH(ВСЕ_КОДЫ[[#This Row],[CONTEST_CODE]],_reward_link_[CONTEST_CODE],0),MATCH($U$1,_reward_link_[#Headers],0)),"-")</f>
        <v>GOSB</v>
      </c>
      <c r="V113" s="1" t="str">
        <f>IFERROR(INDEX(_report[],MATCH(ВСЕ_КОДЫ[[#This Row],[CONTEST_CODE]],_report[CONTEST_CODE],0),MATCH($V$1,_report[#Headers],0)),"-")</f>
        <v>-</v>
      </c>
      <c r="W113" s="1" t="str">
        <f>IFERROR(INDEX(_reward_[],MATCH(ВСЕ_КОДЫ[[#This Row],[REWARD_CODE]],_reward_[REWARD_CODE],0),MATCH($W$1,_reward_[#Headers],0)),"-")</f>
        <v>Победитель ТБ по условным сделкам</v>
      </c>
      <c r="X113" s="1" t="str">
        <f>IFERROR(INDEX(_group_[],MATCH(CONCATENATE(ВСЕ_КОДЫ[[#This Row],[CONTEST_CODE]],"_",X$2),#REF!,0),MATCH(X$1,_group_[#Headers],0)),"-")</f>
        <v>-</v>
      </c>
      <c r="Y113" s="1" t="str">
        <f>IFERROR(INDEX(_group_[],MATCH(CONCATENATE(ВСЕ_КОДЫ[[#This Row],[CONTEST_CODE]],"_",Y$2),#REF!,0),MATCH(Y$1,_group_[#Headers],0)),"-")</f>
        <v>-</v>
      </c>
      <c r="Z113" s="1" t="str">
        <f>IFERROR(INDEX(_group_[],MATCH(CONCATENATE(ВСЕ_КОДЫ[[#This Row],[CONTEST_CODE]],"_",Z$2),#REF!,0),MATCH(Z$1,_group_[#Headers],0)),"-")</f>
        <v>-</v>
      </c>
      <c r="AA113" s="1" t="str">
        <f>IFERROR(INDEX(_group_[],MATCH(CONCATENATE(ВСЕ_КОДЫ[[#This Row],[CONTEST_CODE]],"_",AA$2),#REF!,0),MATCH(AA$1,_group_[#Headers],0)),"-")</f>
        <v>-</v>
      </c>
      <c r="AB113" s="1" t="str">
        <f>IFERROR(INDEX(_DATA_[],MATCH(ВСЕ_КОДЫ[[#This Row],[CONTEST_CODE]],_DATA_[CONTEST_CODE],0),MATCH($AB$2,_DATA_[#Headers],0)),"-")</f>
        <v>["""KMKKSB"""]</v>
      </c>
      <c r="AC113" s="1" t="str">
        <f>CONCATENATE(ВСЕ_КОДЫ[[#This Row],[CONTEST_CODE]],"_",ВСЕ_КОДЫ[[#This Row],[TOURNAMENT_CODE]])</f>
        <v>CONTEST_08_01_TOURNAMENT_08_01_2024_07</v>
      </c>
      <c r="AD113" s="1" t="str">
        <f>ВСЕ_КОДЫ[[#This Row],[FULL_NAME]]</f>
        <v>Марафон по условным сделкам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idden="1" x14ac:dyDescent="0.25">
      <c r="A114" s="1" t="s">
        <v>78</v>
      </c>
      <c r="B114" s="1" t="s">
        <v>1214</v>
      </c>
      <c r="C114" s="1" t="s">
        <v>342</v>
      </c>
      <c r="D114" s="1" t="s">
        <v>586</v>
      </c>
      <c r="E114" s="1" t="s">
        <v>49</v>
      </c>
      <c r="F114" s="1" t="s">
        <v>62</v>
      </c>
      <c r="G114" s="1" t="s">
        <v>27</v>
      </c>
      <c r="H114" s="1" t="s">
        <v>28</v>
      </c>
      <c r="I114" s="1" t="s">
        <v>50</v>
      </c>
      <c r="J114" s="1" t="s">
        <v>1078</v>
      </c>
      <c r="K114" s="1" t="s">
        <v>1173</v>
      </c>
      <c r="L114" s="1" t="s">
        <v>706</v>
      </c>
      <c r="M114" s="1" t="s">
        <v>176</v>
      </c>
      <c r="N114" s="1" t="s">
        <v>305</v>
      </c>
      <c r="O114" s="1" t="s">
        <v>336</v>
      </c>
      <c r="P114" s="1"/>
      <c r="Q114" s="1">
        <f>IFERROR(COUNTIFS(_report[TOURNAMENT_CODE],ВСЕ_КОДЫ[[#This Row],[TOURNAMENT_CODE]],_report[CONTEST_CODE],ВСЕ_КОДЫ[[#This Row],[CONTEST_CODE]]),"-")</f>
        <v>0</v>
      </c>
      <c r="R114" s="1" t="str">
        <f>IFERROR(INDEX(_SCHEDULE_[],MATCH(ВСЕ_КОДЫ[[#This Row],[CONTEST_CODE]],_SCHEDULE_[CONTEST_CODE],0),MATCH($R$1,_SCHEDULE_[#Headers],0)),"-")</f>
        <v>УДАЛЕН</v>
      </c>
      <c r="S114" s="1" t="str">
        <f>IFERROR(INDEX(_group_[],MATCH(ВСЕ_КОДЫ[[#This Row],[CONTEST_CODE]],_group_[CONTEST_CODE],0),MATCH($S$1,_group_[#Headers],0)),"-")</f>
        <v>BANK</v>
      </c>
      <c r="T114" s="1" t="str">
        <f>IFERROR(INDEX(_INDICATOR_[],MATCH(ВСЕ_КОДЫ[[#This Row],[CONTEST_CODE]],_INDICATOR_[CONTEST_CODE],0),MATCH($T$1,_INDICATOR_[#Headers],0)),"-")</f>
        <v>WD</v>
      </c>
      <c r="U114" s="1" t="str">
        <f>IFERROR(INDEX(_reward_link_[],MATCH(ВСЕ_КОДЫ[[#This Row],[CONTEST_CODE]],_reward_link_[CONTEST_CODE],0),MATCH($U$1,_reward_link_[#Headers],0)),"-")</f>
        <v>GOSB</v>
      </c>
      <c r="V114" s="1" t="str">
        <f>IFERROR(INDEX(_report[],MATCH(ВСЕ_КОДЫ[[#This Row],[CONTEST_CODE]],_report[CONTEST_CODE],0),MATCH($V$1,_report[#Headers],0)),"-")</f>
        <v>-</v>
      </c>
      <c r="W114" s="1" t="str">
        <f>IFERROR(INDEX(_reward_[],MATCH(ВСЕ_КОДЫ[[#This Row],[REWARD_CODE]],_reward_[REWARD_CODE],0),MATCH($W$1,_reward_[#Headers],0)),"-")</f>
        <v>Победитель ТБ по условным сделкам</v>
      </c>
      <c r="X114" s="1" t="str">
        <f>IFERROR(INDEX(_group_[],MATCH(CONCATENATE(ВСЕ_КОДЫ[[#This Row],[CONTEST_CODE]],"_",X$2),#REF!,0),MATCH(X$1,_group_[#Headers],0)),"-")</f>
        <v>-</v>
      </c>
      <c r="Y114" s="1" t="str">
        <f>IFERROR(INDEX(_group_[],MATCH(CONCATENATE(ВСЕ_КОДЫ[[#This Row],[CONTEST_CODE]],"_",Y$2),#REF!,0),MATCH(Y$1,_group_[#Headers],0)),"-")</f>
        <v>-</v>
      </c>
      <c r="Z114" s="1" t="str">
        <f>IFERROR(INDEX(_group_[],MATCH(CONCATENATE(ВСЕ_КОДЫ[[#This Row],[CONTEST_CODE]],"_",Z$2),#REF!,0),MATCH(Z$1,_group_[#Headers],0)),"-")</f>
        <v>-</v>
      </c>
      <c r="AA114" s="1" t="str">
        <f>IFERROR(INDEX(_group_[],MATCH(CONCATENATE(ВСЕ_КОДЫ[[#This Row],[CONTEST_CODE]],"_",AA$2),#REF!,0),MATCH(AA$1,_group_[#Headers],0)),"-")</f>
        <v>-</v>
      </c>
      <c r="AB114" s="1" t="str">
        <f>IFERROR(INDEX(_DATA_[],MATCH(ВСЕ_КОДЫ[[#This Row],[CONTEST_CODE]],_DATA_[CONTEST_CODE],0),MATCH($AB$2,_DATA_[#Headers],0)),"-")</f>
        <v>["""KMKKSB"""]</v>
      </c>
      <c r="AC114" s="1" t="str">
        <f>CONCATENATE(ВСЕ_КОДЫ[[#This Row],[CONTEST_CODE]],"_",ВСЕ_КОДЫ[[#This Row],[TOURNAMENT_CODE]])</f>
        <v>CONTEST_08_01_TOURNAMENT_08_01_2024_08</v>
      </c>
      <c r="AD114" s="1" t="str">
        <f>ВСЕ_КОДЫ[[#This Row],[FULL_NAME]]</f>
        <v>Марафон по условным сделкам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idden="1" x14ac:dyDescent="0.25">
      <c r="A115" s="1" t="s">
        <v>78</v>
      </c>
      <c r="B115" s="1" t="s">
        <v>1278</v>
      </c>
      <c r="C115" s="1" t="s">
        <v>342</v>
      </c>
      <c r="D115" s="1" t="s">
        <v>586</v>
      </c>
      <c r="E115" s="1" t="s">
        <v>49</v>
      </c>
      <c r="F115" s="1" t="s">
        <v>62</v>
      </c>
      <c r="G115" s="1" t="s">
        <v>27</v>
      </c>
      <c r="H115" s="1" t="s">
        <v>28</v>
      </c>
      <c r="I115" s="1" t="s">
        <v>50</v>
      </c>
      <c r="J115" s="1" t="s">
        <v>1225</v>
      </c>
      <c r="K115" s="1" t="s">
        <v>1070</v>
      </c>
      <c r="L115" s="1" t="s">
        <v>1071</v>
      </c>
      <c r="M115" s="1" t="s">
        <v>176</v>
      </c>
      <c r="N115" s="1" t="s">
        <v>305</v>
      </c>
      <c r="O115" s="1" t="s">
        <v>336</v>
      </c>
      <c r="P115" s="1"/>
      <c r="Q115" s="1">
        <f>IFERROR(COUNTIFS(_report[TOURNAMENT_CODE],ВСЕ_КОДЫ[[#This Row],[TOURNAMENT_CODE]],_report[CONTEST_CODE],ВСЕ_КОДЫ[[#This Row],[CONTEST_CODE]]),"-")</f>
        <v>0</v>
      </c>
      <c r="R115" s="1" t="str">
        <f>IFERROR(INDEX(_SCHEDULE_[],MATCH(ВСЕ_КОДЫ[[#This Row],[CONTEST_CODE]],_SCHEDULE_[CONTEST_CODE],0),MATCH($R$1,_SCHEDULE_[#Headers],0)),"-")</f>
        <v>УДАЛЕН</v>
      </c>
      <c r="S115" s="1" t="str">
        <f>IFERROR(INDEX(_group_[],MATCH(ВСЕ_КОДЫ[[#This Row],[CONTEST_CODE]],_group_[CONTEST_CODE],0),MATCH($S$1,_group_[#Headers],0)),"-")</f>
        <v>BANK</v>
      </c>
      <c r="T115" s="1" t="str">
        <f>IFERROR(INDEX(_INDICATOR_[],MATCH(ВСЕ_КОДЫ[[#This Row],[CONTEST_CODE]],_INDICATOR_[CONTEST_CODE],0),MATCH($T$1,_INDICATOR_[#Headers],0)),"-")</f>
        <v>WD</v>
      </c>
      <c r="U115" s="1" t="str">
        <f>IFERROR(INDEX(_reward_link_[],MATCH(ВСЕ_КОДЫ[[#This Row],[CONTEST_CODE]],_reward_link_[CONTEST_CODE],0),MATCH($U$1,_reward_link_[#Headers],0)),"-")</f>
        <v>GOSB</v>
      </c>
      <c r="V115" s="1" t="str">
        <f>IFERROR(INDEX(_report[],MATCH(ВСЕ_КОДЫ[[#This Row],[CONTEST_CODE]],_report[CONTEST_CODE],0),MATCH($V$1,_report[#Headers],0)),"-")</f>
        <v>-</v>
      </c>
      <c r="W115" s="1" t="str">
        <f>IFERROR(INDEX(_reward_[],MATCH(ВСЕ_КОДЫ[[#This Row],[REWARD_CODE]],_reward_[REWARD_CODE],0),MATCH($W$1,_reward_[#Headers],0)),"-")</f>
        <v>Победитель ТБ по условным сделкам</v>
      </c>
      <c r="X115" s="1" t="str">
        <f>IFERROR(INDEX(_group_[],MATCH(CONCATENATE(ВСЕ_КОДЫ[[#This Row],[CONTEST_CODE]],"_",X$2),#REF!,0),MATCH(X$1,_group_[#Headers],0)),"-")</f>
        <v>-</v>
      </c>
      <c r="Y115" s="1" t="str">
        <f>IFERROR(INDEX(_group_[],MATCH(CONCATENATE(ВСЕ_КОДЫ[[#This Row],[CONTEST_CODE]],"_",Y$2),#REF!,0),MATCH(Y$1,_group_[#Headers],0)),"-")</f>
        <v>-</v>
      </c>
      <c r="Z115" s="1" t="str">
        <f>IFERROR(INDEX(_group_[],MATCH(CONCATENATE(ВСЕ_КОДЫ[[#This Row],[CONTEST_CODE]],"_",Z$2),#REF!,0),MATCH(Z$1,_group_[#Headers],0)),"-")</f>
        <v>-</v>
      </c>
      <c r="AA115" s="1" t="str">
        <f>IFERROR(INDEX(_group_[],MATCH(CONCATENATE(ВСЕ_КОДЫ[[#This Row],[CONTEST_CODE]],"_",AA$2),#REF!,0),MATCH(AA$1,_group_[#Headers],0)),"-")</f>
        <v>-</v>
      </c>
      <c r="AB115" s="1" t="str">
        <f>IFERROR(INDEX(_DATA_[],MATCH(ВСЕ_КОДЫ[[#This Row],[CONTEST_CODE]],_DATA_[CONTEST_CODE],0),MATCH($AB$2,_DATA_[#Headers],0)),"-")</f>
        <v>["""KMKKSB"""]</v>
      </c>
      <c r="AC115" s="1" t="str">
        <f>CONCATENATE(ВСЕ_КОДЫ[[#This Row],[CONTEST_CODE]],"_",ВСЕ_КОДЫ[[#This Row],[TOURNAMENT_CODE]])</f>
        <v>CONTEST_08_01_TOURNAMENT_08_01_2024_09</v>
      </c>
      <c r="AD115" s="1" t="str">
        <f>ВСЕ_КОДЫ[[#This Row],[FULL_NAME]]</f>
        <v>Марафон по условным сделкам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idden="1" x14ac:dyDescent="0.25">
      <c r="A116" s="1" t="s">
        <v>78</v>
      </c>
      <c r="B116" s="1" t="s">
        <v>1641</v>
      </c>
      <c r="C116" s="1" t="s">
        <v>342</v>
      </c>
      <c r="D116" s="1" t="s">
        <v>586</v>
      </c>
      <c r="E116" s="1" t="s">
        <v>49</v>
      </c>
      <c r="F116" s="1" t="s">
        <v>62</v>
      </c>
      <c r="G116" s="1" t="s">
        <v>27</v>
      </c>
      <c r="H116" s="1" t="s">
        <v>28</v>
      </c>
      <c r="I116" s="1" t="s">
        <v>50</v>
      </c>
      <c r="J116" s="1" t="s">
        <v>1308</v>
      </c>
      <c r="K116" s="1" t="s">
        <v>1638</v>
      </c>
      <c r="L116" s="1" t="s">
        <v>1846</v>
      </c>
      <c r="M116" s="1" t="s">
        <v>176</v>
      </c>
      <c r="N116" s="1" t="s">
        <v>305</v>
      </c>
      <c r="O116" s="1" t="s">
        <v>336</v>
      </c>
      <c r="P116" s="1"/>
      <c r="Q116" s="1">
        <f>IFERROR(COUNTIFS(_report[TOURNAMENT_CODE],ВСЕ_КОДЫ[[#This Row],[TOURNAMENT_CODE]],_report[CONTEST_CODE],ВСЕ_КОДЫ[[#This Row],[CONTEST_CODE]]),"-")</f>
        <v>0</v>
      </c>
      <c r="R116" s="1" t="str">
        <f>IFERROR(INDEX(_SCHEDULE_[],MATCH(ВСЕ_КОДЫ[[#This Row],[CONTEST_CODE]],_SCHEDULE_[CONTEST_CODE],0),MATCH($R$1,_SCHEDULE_[#Headers],0)),"-")</f>
        <v>УДАЛЕН</v>
      </c>
      <c r="S116" s="1" t="str">
        <f>IFERROR(INDEX(_group_[],MATCH(ВСЕ_КОДЫ[[#This Row],[CONTEST_CODE]],_group_[CONTEST_CODE],0),MATCH($S$1,_group_[#Headers],0)),"-")</f>
        <v>BANK</v>
      </c>
      <c r="T116" s="1" t="str">
        <f>IFERROR(INDEX(_INDICATOR_[],MATCH(ВСЕ_КОДЫ[[#This Row],[CONTEST_CODE]],_INDICATOR_[CONTEST_CODE],0),MATCH($T$1,_INDICATOR_[#Headers],0)),"-")</f>
        <v>WD</v>
      </c>
      <c r="U116" s="1" t="str">
        <f>IFERROR(INDEX(_reward_link_[],MATCH(ВСЕ_КОДЫ[[#This Row],[CONTEST_CODE]],_reward_link_[CONTEST_CODE],0),MATCH($U$1,_reward_link_[#Headers],0)),"-")</f>
        <v>GOSB</v>
      </c>
      <c r="V116" s="1" t="str">
        <f>IFERROR(INDEX(_report[],MATCH(ВСЕ_КОДЫ[[#This Row],[CONTEST_CODE]],_report[CONTEST_CODE],0),MATCH($V$1,_report[#Headers],0)),"-")</f>
        <v>-</v>
      </c>
      <c r="W116" s="1" t="str">
        <f>IFERROR(INDEX(_reward_[],MATCH(ВСЕ_КОДЫ[[#This Row],[REWARD_CODE]],_reward_[REWARD_CODE],0),MATCH($W$1,_reward_[#Headers],0)),"-")</f>
        <v>Победитель ТБ по условным сделкам</v>
      </c>
      <c r="X116" s="1" t="str">
        <f>IFERROR(INDEX(_group_[],MATCH(CONCATENATE(ВСЕ_КОДЫ[[#This Row],[CONTEST_CODE]],"_",X$2),#REF!,0),MATCH(X$1,_group_[#Headers],0)),"-")</f>
        <v>-</v>
      </c>
      <c r="Y116" s="1" t="str">
        <f>IFERROR(INDEX(_group_[],MATCH(CONCATENATE(ВСЕ_КОДЫ[[#This Row],[CONTEST_CODE]],"_",Y$2),#REF!,0),MATCH(Y$1,_group_[#Headers],0)),"-")</f>
        <v>-</v>
      </c>
      <c r="Z116" s="1" t="str">
        <f>IFERROR(INDEX(_group_[],MATCH(CONCATENATE(ВСЕ_КОДЫ[[#This Row],[CONTEST_CODE]],"_",Z$2),#REF!,0),MATCH(Z$1,_group_[#Headers],0)),"-")</f>
        <v>-</v>
      </c>
      <c r="AA116" s="1" t="str">
        <f>IFERROR(INDEX(_group_[],MATCH(CONCATENATE(ВСЕ_КОДЫ[[#This Row],[CONTEST_CODE]],"_",AA$2),#REF!,0),MATCH(AA$1,_group_[#Headers],0)),"-")</f>
        <v>-</v>
      </c>
      <c r="AB116" s="1" t="str">
        <f>IFERROR(INDEX(_DATA_[],MATCH(ВСЕ_КОДЫ[[#This Row],[CONTEST_CODE]],_DATA_[CONTEST_CODE],0),MATCH($AB$2,_DATA_[#Headers],0)),"-")</f>
        <v>["""KMKKSB"""]</v>
      </c>
      <c r="AC116" s="1" t="str">
        <f>CONCATENATE(ВСЕ_КОДЫ[[#This Row],[CONTEST_CODE]],"_",ВСЕ_КОДЫ[[#This Row],[TOURNAMENT_CODE]])</f>
        <v>CONTEST_08_01_TOURNAMENT_08_01_2024_M10</v>
      </c>
      <c r="AD116" s="1" t="str">
        <f>ВСЕ_КОДЫ[[#This Row],[FULL_NAME]]</f>
        <v>Марафон по условным сделкам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idden="1" x14ac:dyDescent="0.25">
      <c r="A117" s="1" t="s">
        <v>78</v>
      </c>
      <c r="B117" s="1" t="s">
        <v>1804</v>
      </c>
      <c r="C117" s="1" t="s">
        <v>342</v>
      </c>
      <c r="D117" s="1" t="s">
        <v>586</v>
      </c>
      <c r="E117" s="1" t="s">
        <v>49</v>
      </c>
      <c r="F117" s="1" t="s">
        <v>62</v>
      </c>
      <c r="G117" s="1" t="s">
        <v>27</v>
      </c>
      <c r="H117" s="1" t="s">
        <v>28</v>
      </c>
      <c r="I117" s="1" t="s">
        <v>50</v>
      </c>
      <c r="J117" s="1" t="s">
        <v>1800</v>
      </c>
      <c r="K117" s="1" t="s">
        <v>1801</v>
      </c>
      <c r="L117" s="1" t="s">
        <v>1802</v>
      </c>
      <c r="M117" s="1" t="s">
        <v>155</v>
      </c>
      <c r="N117" s="1" t="s">
        <v>305</v>
      </c>
      <c r="O117" s="1" t="s">
        <v>336</v>
      </c>
      <c r="P117" s="1"/>
      <c r="Q117" s="1">
        <f>IFERROR(COUNTIFS(_report[TOURNAMENT_CODE],ВСЕ_КОДЫ[[#This Row],[TOURNAMENT_CODE]],_report[CONTEST_CODE],ВСЕ_КОДЫ[[#This Row],[CONTEST_CODE]]),"-")</f>
        <v>0</v>
      </c>
      <c r="R117" s="1" t="str">
        <f>IFERROR(INDEX(_SCHEDULE_[],MATCH(ВСЕ_КОДЫ[[#This Row],[CONTEST_CODE]],_SCHEDULE_[CONTEST_CODE],0),MATCH($R$1,_SCHEDULE_[#Headers],0)),"-")</f>
        <v>УДАЛЕН</v>
      </c>
      <c r="S117" s="1" t="str">
        <f>IFERROR(INDEX(_group_[],MATCH(ВСЕ_КОДЫ[[#This Row],[CONTEST_CODE]],_group_[CONTEST_CODE],0),MATCH($S$1,_group_[#Headers],0)),"-")</f>
        <v>BANK</v>
      </c>
      <c r="T117" s="1" t="str">
        <f>IFERROR(INDEX(_INDICATOR_[],MATCH(ВСЕ_КОДЫ[[#This Row],[CONTEST_CODE]],_INDICATOR_[CONTEST_CODE],0),MATCH($T$1,_INDICATOR_[#Headers],0)),"-")</f>
        <v>WD</v>
      </c>
      <c r="U117" s="1" t="str">
        <f>IFERROR(INDEX(_reward_link_[],MATCH(ВСЕ_КОДЫ[[#This Row],[CONTEST_CODE]],_reward_link_[CONTEST_CODE],0),MATCH($U$1,_reward_link_[#Headers],0)),"-")</f>
        <v>GOSB</v>
      </c>
      <c r="V117" s="1" t="str">
        <f>IFERROR(INDEX(_report[],MATCH(ВСЕ_КОДЫ[[#This Row],[CONTEST_CODE]],_report[CONTEST_CODE],0),MATCH($V$1,_report[#Headers],0)),"-")</f>
        <v>-</v>
      </c>
      <c r="W117" s="1" t="str">
        <f>IFERROR(INDEX(_reward_[],MATCH(ВСЕ_КОДЫ[[#This Row],[REWARD_CODE]],_reward_[REWARD_CODE],0),MATCH($W$1,_reward_[#Headers],0)),"-")</f>
        <v>Победитель ТБ по условным сделкам</v>
      </c>
      <c r="X117" s="1" t="str">
        <f>IFERROR(INDEX(_group_[],MATCH(CONCATENATE(ВСЕ_КОДЫ[[#This Row],[CONTEST_CODE]],"_",X$2),#REF!,0),MATCH(X$1,_group_[#Headers],0)),"-")</f>
        <v>-</v>
      </c>
      <c r="Y117" s="1" t="str">
        <f>IFERROR(INDEX(_group_[],MATCH(CONCATENATE(ВСЕ_КОДЫ[[#This Row],[CONTEST_CODE]],"_",Y$2),#REF!,0),MATCH(Y$1,_group_[#Headers],0)),"-")</f>
        <v>-</v>
      </c>
      <c r="Z117" s="1" t="str">
        <f>IFERROR(INDEX(_group_[],MATCH(CONCATENATE(ВСЕ_КОДЫ[[#This Row],[CONTEST_CODE]],"_",Z$2),#REF!,0),MATCH(Z$1,_group_[#Headers],0)),"-")</f>
        <v>-</v>
      </c>
      <c r="AA117" s="1" t="str">
        <f>IFERROR(INDEX(_group_[],MATCH(CONCATENATE(ВСЕ_КОДЫ[[#This Row],[CONTEST_CODE]],"_",AA$2),#REF!,0),MATCH(AA$1,_group_[#Headers],0)),"-")</f>
        <v>-</v>
      </c>
      <c r="AB117" s="1" t="str">
        <f>IFERROR(INDEX(_DATA_[],MATCH(ВСЕ_КОДЫ[[#This Row],[CONTEST_CODE]],_DATA_[CONTEST_CODE],0),MATCH($AB$2,_DATA_[#Headers],0)),"-")</f>
        <v>["""KMKKSB"""]</v>
      </c>
      <c r="AC117" s="1" t="str">
        <f>CONCATENATE(ВСЕ_КОДЫ[[#This Row],[CONTEST_CODE]],"_",ВСЕ_КОДЫ[[#This Row],[TOURNAMENT_CODE]])</f>
        <v>CONTEST_08_01_TOURNAMENT_08_01_2024_M11</v>
      </c>
      <c r="AD117" s="1" t="str">
        <f>ВСЕ_КОДЫ[[#This Row],[FULL_NAME]]</f>
        <v>Марафон по условным сделкам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idden="1" x14ac:dyDescent="0.25">
      <c r="A118" s="1" t="s">
        <v>1858</v>
      </c>
      <c r="B118" s="1" t="s">
        <v>1950</v>
      </c>
      <c r="C118" s="1" t="s">
        <v>1884</v>
      </c>
      <c r="D118" s="1" t="s">
        <v>583</v>
      </c>
      <c r="E118" s="1" t="s">
        <v>4765</v>
      </c>
      <c r="F118" s="1" t="s">
        <v>62</v>
      </c>
      <c r="G118" s="1" t="s">
        <v>27</v>
      </c>
      <c r="H118" s="1" t="s">
        <v>34</v>
      </c>
      <c r="I118" s="1" t="s">
        <v>50</v>
      </c>
      <c r="J118" s="1" t="s">
        <v>1308</v>
      </c>
      <c r="K118" s="1" t="s">
        <v>27</v>
      </c>
      <c r="L118" s="1" t="s">
        <v>194</v>
      </c>
      <c r="M118" s="1" t="s">
        <v>34</v>
      </c>
      <c r="N118" s="1" t="s">
        <v>305</v>
      </c>
      <c r="O118" s="1" t="s">
        <v>1904</v>
      </c>
      <c r="P118" s="1"/>
      <c r="Q118" s="1">
        <f>IFERROR(COUNTIFS(_report[TOURNAMENT_CODE],ВСЕ_КОДЫ[[#This Row],[TOURNAMENT_CODE]],_report[CONTEST_CODE],ВСЕ_КОДЫ[[#This Row],[CONTEST_CODE]]),"-")</f>
        <v>0</v>
      </c>
      <c r="R118" s="1" t="str">
        <f>IFERROR(INDEX(_SCHEDULE_[],MATCH(ВСЕ_КОДЫ[[#This Row],[CONTEST_CODE]],_SCHEDULE_[CONTEST_CODE],0),MATCH($R$1,_SCHEDULE_[#Headers],0)),"-")</f>
        <v>АКТИВНЫЙ</v>
      </c>
      <c r="S118" s="1" t="str">
        <f>IFERROR(INDEX(_group_[],MATCH(ВСЕ_КОДЫ[[#This Row],[CONTEST_CODE]],_group_[CONTEST_CODE],0),MATCH($S$1,_group_[#Headers],0)),"-")</f>
        <v>BANK</v>
      </c>
      <c r="T118" s="1" t="str">
        <f>IFERROR(INDEX(_INDICATOR_[],MATCH(ВСЕ_КОДЫ[[#This Row],[CONTEST_CODE]],_INDICATOR_[CONTEST_CODE],0),MATCH($T$1,_INDICATOR_[#Headers],0)),"-")</f>
        <v>WAIT</v>
      </c>
      <c r="U118" s="1" t="str">
        <f>IFERROR(INDEX(_reward_link_[],MATCH(ВСЕ_КОДЫ[[#This Row],[CONTEST_CODE]],_reward_link_[CONTEST_CODE],0),MATCH($U$1,_reward_link_[#Headers],0)),"-")</f>
        <v>BANK</v>
      </c>
      <c r="V118" s="1" t="str">
        <f>IFERROR(INDEX(_report[],MATCH(ВСЕ_КОДЫ[[#This Row],[CONTEST_CODE]],_report[CONTEST_CODE],0),MATCH($V$1,_report[#Headers],0)),"-")</f>
        <v>-</v>
      </c>
      <c r="W118" s="1" t="str">
        <f>IFERROR(INDEX(_reward_[],MATCH(ВСЕ_КОДЫ[[#This Row],[REWARD_CODE]],_reward_[REWARD_CODE],0),MATCH($W$1,_reward_[#Headers],0)),"-")</f>
        <v>Эффективность</v>
      </c>
      <c r="X118" s="1" t="str">
        <f>IFERROR(INDEX(_group_[],MATCH(CONCATENATE(ВСЕ_КОДЫ[[#This Row],[CONTEST_CODE]],"_",X$2),#REF!,0),MATCH(X$1,_group_[#Headers],0)),"-")</f>
        <v>-</v>
      </c>
      <c r="Y118" s="1" t="str">
        <f>IFERROR(INDEX(_group_[],MATCH(CONCATENATE(ВСЕ_КОДЫ[[#This Row],[CONTEST_CODE]],"_",Y$2),#REF!,0),MATCH(Y$1,_group_[#Headers],0)),"-")</f>
        <v>-</v>
      </c>
      <c r="Z118" s="1" t="str">
        <f>IFERROR(INDEX(_group_[],MATCH(CONCATENATE(ВСЕ_КОДЫ[[#This Row],[CONTEST_CODE]],"_",Z$2),#REF!,0),MATCH(Z$1,_group_[#Headers],0)),"-")</f>
        <v>-</v>
      </c>
      <c r="AA118" s="1" t="str">
        <f>IFERROR(INDEX(_group_[],MATCH(CONCATENATE(ВСЕ_КОДЫ[[#This Row],[CONTEST_CODE]],"_",AA$2),#REF!,0),MATCH(AA$1,_group_[#Headers],0)),"-")</f>
        <v>-</v>
      </c>
      <c r="AB118" s="1" t="str">
        <f>IFERROR(INDEX(_DATA_[],MATCH(ВСЕ_КОДЫ[[#This Row],[CONTEST_CODE]],_DATA_[CONTEST_CODE],0),MATCH($AB$2,_DATA_[#Headers],0)),"-")</f>
        <v>["""KMKKSB"""]</v>
      </c>
      <c r="AC118" s="1" t="str">
        <f>CONCATENATE(ВСЕ_КОДЫ[[#This Row],[CONTEST_CODE]],"_",ВСЕ_КОДЫ[[#This Row],[TOURNAMENT_CODE]])</f>
        <v>CONTEST_91_TOURNAMENT_91_01</v>
      </c>
      <c r="AD118" s="1" t="str">
        <f>ВСЕ_КОДЫ[[#This Row],[FULL_NAME]]</f>
        <v>на 29 апреля 2025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idden="1" x14ac:dyDescent="0.25">
      <c r="A119" s="1" t="s">
        <v>2200</v>
      </c>
      <c r="B119" s="1" t="s">
        <v>2539</v>
      </c>
      <c r="C119" s="1" t="s">
        <v>2301</v>
      </c>
      <c r="D119" s="1" t="s">
        <v>583</v>
      </c>
      <c r="E119" s="1" t="s">
        <v>92</v>
      </c>
      <c r="F119" s="1" t="s">
        <v>2508</v>
      </c>
      <c r="G119" s="1" t="s">
        <v>27</v>
      </c>
      <c r="H119" s="1" t="s">
        <v>34</v>
      </c>
      <c r="I119" s="1" t="s">
        <v>50</v>
      </c>
      <c r="J119" s="1" t="s">
        <v>2521</v>
      </c>
      <c r="K119" s="1" t="s">
        <v>2522</v>
      </c>
      <c r="L119" s="1" t="s">
        <v>4119</v>
      </c>
      <c r="M119" s="1" t="s">
        <v>176</v>
      </c>
      <c r="N119" s="1" t="s">
        <v>305</v>
      </c>
      <c r="O119" s="1" t="s">
        <v>2678</v>
      </c>
      <c r="P119" s="1"/>
      <c r="Q119" s="1">
        <f>IFERROR(COUNTIFS(_report[TOURNAMENT_CODE],ВСЕ_КОДЫ[[#This Row],[TOURNAMENT_CODE]],_report[CONTEST_CODE],ВСЕ_КОДЫ[[#This Row],[CONTEST_CODE]]),"-")</f>
        <v>0</v>
      </c>
      <c r="R119" s="1" t="str">
        <f>IFERROR(INDEX(_SCHEDULE_[],MATCH(ВСЕ_КОДЫ[[#This Row],[CONTEST_CODE]],_SCHEDULE_[CONTEST_CODE],0),MATCH($R$1,_SCHEDULE_[#Headers],0)),"-")</f>
        <v>ЗАВЕРШЕН</v>
      </c>
      <c r="S119" s="1" t="str">
        <f>IFERROR(INDEX(_group_[],MATCH(ВСЕ_КОДЫ[[#This Row],[CONTEST_CODE]],_group_[CONTEST_CODE],0),MATCH($S$1,_group_[#Headers],0)),"-")</f>
        <v>BANK</v>
      </c>
      <c r="T119" s="1" t="str">
        <f>IFERROR(INDEX(_INDICATOR_[],MATCH(ВСЕ_КОДЫ[[#This Row],[CONTEST_CODE]],_INDICATOR_[CONTEST_CODE],0),MATCH($T$1,_INDICATOR_[#Headers],0)),"-")</f>
        <v>PULMIS_BALANCE_OUT_RUB</v>
      </c>
      <c r="U119" s="1" t="str">
        <f>IFERROR(INDEX(_reward_link_[],MATCH(ВСЕ_КОДЫ[[#This Row],[CONTEST_CODE]],_reward_link_[CONTEST_CODE],0),MATCH($U$1,_reward_link_[#Headers],0)),"-")</f>
        <v>BANK</v>
      </c>
      <c r="V119" s="1" t="str">
        <f>IFERROR(INDEX(_report[],MATCH(ВСЕ_КОДЫ[[#This Row],[CONTEST_CODE]],_report[CONTEST_CODE],0),MATCH($V$1,_report[#Headers],0)),"-")</f>
        <v>-</v>
      </c>
      <c r="W119" s="1" t="str">
        <f>IFERROR(INDEX(_reward_[],MATCH(ВСЕ_КОДЫ[[#This Row],[REWARD_CODE]],_reward_[REWARD_CODE],0),MATCH($W$1,_reward_[#Headers],0)),"-")</f>
        <v>Золото#по приросту остатка долгосрочных депозитов</v>
      </c>
      <c r="X119" s="1" t="str">
        <f>IFERROR(INDEX(_group_[],MATCH(CONCATENATE(ВСЕ_КОДЫ[[#This Row],[CONTEST_CODE]],"_",X$2),#REF!,0),MATCH(X$1,_group_[#Headers],0)),"-")</f>
        <v>-</v>
      </c>
      <c r="Y119" s="1" t="str">
        <f>IFERROR(INDEX(_group_[],MATCH(CONCATENATE(ВСЕ_КОДЫ[[#This Row],[CONTEST_CODE]],"_",Y$2),#REF!,0),MATCH(Y$1,_group_[#Headers],0)),"-")</f>
        <v>-</v>
      </c>
      <c r="Z119" s="1" t="str">
        <f>IFERROR(INDEX(_group_[],MATCH(CONCATENATE(ВСЕ_КОДЫ[[#This Row],[CONTEST_CODE]],"_",Z$2),#REF!,0),MATCH(Z$1,_group_[#Headers],0)),"-")</f>
        <v>-</v>
      </c>
      <c r="AA119" s="1" t="str">
        <f>IFERROR(INDEX(_group_[],MATCH(CONCATENATE(ВСЕ_КОДЫ[[#This Row],[CONTEST_CODE]],"_",AA$2),#REF!,0),MATCH(AA$1,_group_[#Headers],0)),"-")</f>
        <v>-</v>
      </c>
      <c r="AB119" s="1" t="str">
        <f>IFERROR(INDEX(_DATA_[],MATCH(ВСЕ_КОДЫ[[#This Row],[CONTEST_CODE]],_DATA_[CONTEST_CODE],0),MATCH($AB$2,_DATA_[#Headers],0)),"-")</f>
        <v>["""KMKKSB"""]</v>
      </c>
      <c r="AC119" s="1" t="str">
        <f>CONCATENATE(ВСЕ_КОДЫ[[#This Row],[CONTEST_CODE]],"_",ВСЕ_КОДЫ[[#This Row],[TOURNAMENT_CODE]])</f>
        <v>01_2025-1_02-2_2_t_01_2025-1_02-2_2_3021</v>
      </c>
      <c r="AD119" s="1" t="str">
        <f>ВСЕ_КОДЫ[[#This Row],[FULL_NAME]]</f>
        <v>Пассивы. Прирост остатка долгосрочных депозитов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idden="1" x14ac:dyDescent="0.25">
      <c r="A120" s="1" t="s">
        <v>2200</v>
      </c>
      <c r="B120" s="1" t="s">
        <v>3225</v>
      </c>
      <c r="C120" s="1" t="s">
        <v>2301</v>
      </c>
      <c r="D120" s="1" t="s">
        <v>583</v>
      </c>
      <c r="E120" s="1" t="s">
        <v>92</v>
      </c>
      <c r="F120" s="1" t="s">
        <v>2508</v>
      </c>
      <c r="G120" s="1" t="s">
        <v>27</v>
      </c>
      <c r="H120" s="1" t="s">
        <v>34</v>
      </c>
      <c r="I120" s="1" t="s">
        <v>50</v>
      </c>
      <c r="J120" s="1" t="s">
        <v>3219</v>
      </c>
      <c r="K120" s="1" t="s">
        <v>2534</v>
      </c>
      <c r="L120" s="1" t="s">
        <v>2535</v>
      </c>
      <c r="M120" s="1" t="s">
        <v>176</v>
      </c>
      <c r="N120" s="1" t="s">
        <v>305</v>
      </c>
      <c r="O120" s="1" t="s">
        <v>2678</v>
      </c>
      <c r="P120" s="1"/>
      <c r="Q120" s="1">
        <f>IFERROR(COUNTIFS(_report[TOURNAMENT_CODE],ВСЕ_КОДЫ[[#This Row],[TOURNAMENT_CODE]],_report[CONTEST_CODE],ВСЕ_КОДЫ[[#This Row],[CONTEST_CODE]]),"-")</f>
        <v>0</v>
      </c>
      <c r="R120" s="1" t="str">
        <f>IFERROR(INDEX(_SCHEDULE_[],MATCH(ВСЕ_КОДЫ[[#This Row],[CONTEST_CODE]],_SCHEDULE_[CONTEST_CODE],0),MATCH($R$1,_SCHEDULE_[#Headers],0)),"-")</f>
        <v>ЗАВЕРШЕН</v>
      </c>
      <c r="S120" s="1" t="str">
        <f>IFERROR(INDEX(_group_[],MATCH(ВСЕ_КОДЫ[[#This Row],[CONTEST_CODE]],_group_[CONTEST_CODE],0),MATCH($S$1,_group_[#Headers],0)),"-")</f>
        <v>BANK</v>
      </c>
      <c r="T120" s="1" t="str">
        <f>IFERROR(INDEX(_INDICATOR_[],MATCH(ВСЕ_КОДЫ[[#This Row],[CONTEST_CODE]],_INDICATOR_[CONTEST_CODE],0),MATCH($T$1,_INDICATOR_[#Headers],0)),"-")</f>
        <v>PULMIS_BALANCE_OUT_RUB</v>
      </c>
      <c r="U120" s="1" t="str">
        <f>IFERROR(INDEX(_reward_link_[],MATCH(ВСЕ_КОДЫ[[#This Row],[CONTEST_CODE]],_reward_link_[CONTEST_CODE],0),MATCH($U$1,_reward_link_[#Headers],0)),"-")</f>
        <v>BANK</v>
      </c>
      <c r="V120" s="1" t="str">
        <f>IFERROR(INDEX(_report[],MATCH(ВСЕ_КОДЫ[[#This Row],[CONTEST_CODE]],_report[CONTEST_CODE],0),MATCH($V$1,_report[#Headers],0)),"-")</f>
        <v>-</v>
      </c>
      <c r="W120" s="1" t="str">
        <f>IFERROR(INDEX(_reward_[],MATCH(ВСЕ_КОДЫ[[#This Row],[REWARD_CODE]],_reward_[REWARD_CODE],0),MATCH($W$1,_reward_[#Headers],0)),"-")</f>
        <v>Золото#по приросту остатка долгосрочных депозитов</v>
      </c>
      <c r="X120" s="1" t="str">
        <f>IFERROR(INDEX(_group_[],MATCH(CONCATENATE(ВСЕ_КОДЫ[[#This Row],[CONTEST_CODE]],"_",X$2),#REF!,0),MATCH(X$1,_group_[#Headers],0)),"-")</f>
        <v>-</v>
      </c>
      <c r="Y120" s="1" t="str">
        <f>IFERROR(INDEX(_group_[],MATCH(CONCATENATE(ВСЕ_КОДЫ[[#This Row],[CONTEST_CODE]],"_",Y$2),#REF!,0),MATCH(Y$1,_group_[#Headers],0)),"-")</f>
        <v>-</v>
      </c>
      <c r="Z120" s="1" t="str">
        <f>IFERROR(INDEX(_group_[],MATCH(CONCATENATE(ВСЕ_КОДЫ[[#This Row],[CONTEST_CODE]],"_",Z$2),#REF!,0),MATCH(Z$1,_group_[#Headers],0)),"-")</f>
        <v>-</v>
      </c>
      <c r="AA120" s="1" t="str">
        <f>IFERROR(INDEX(_group_[],MATCH(CONCATENATE(ВСЕ_КОДЫ[[#This Row],[CONTEST_CODE]],"_",AA$2),#REF!,0),MATCH(AA$1,_group_[#Headers],0)),"-")</f>
        <v>-</v>
      </c>
      <c r="AB120" s="1" t="str">
        <f>IFERROR(INDEX(_DATA_[],MATCH(ВСЕ_КОДЫ[[#This Row],[CONTEST_CODE]],_DATA_[CONTEST_CODE],0),MATCH($AB$2,_DATA_[#Headers],0)),"-")</f>
        <v>["""KMKKSB"""]</v>
      </c>
      <c r="AC120" s="1" t="str">
        <f>CONCATENATE(ВСЕ_КОДЫ[[#This Row],[CONTEST_CODE]],"_",ВСЕ_КОДЫ[[#This Row],[TOURNAMENT_CODE]])</f>
        <v>01_2025-1_02-2_2_t_01_2025-1_02-2_2_3031</v>
      </c>
      <c r="AD120" s="1" t="str">
        <f>ВСЕ_КОДЫ[[#This Row],[FULL_NAME]]</f>
        <v>Пассивы. Прирост остатка долгосрочных депозитов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idden="1" x14ac:dyDescent="0.25">
      <c r="A121" s="1" t="s">
        <v>2200</v>
      </c>
      <c r="B121" s="1" t="s">
        <v>2539</v>
      </c>
      <c r="C121" s="1" t="s">
        <v>2303</v>
      </c>
      <c r="D121" s="1" t="s">
        <v>583</v>
      </c>
      <c r="E121" s="1" t="s">
        <v>92</v>
      </c>
      <c r="F121" s="1" t="s">
        <v>2508</v>
      </c>
      <c r="G121" s="1" t="s">
        <v>27</v>
      </c>
      <c r="H121" s="1" t="s">
        <v>34</v>
      </c>
      <c r="I121" s="1" t="s">
        <v>50</v>
      </c>
      <c r="J121" s="1" t="s">
        <v>2521</v>
      </c>
      <c r="K121" s="1" t="s">
        <v>2522</v>
      </c>
      <c r="L121" s="1" t="s">
        <v>4119</v>
      </c>
      <c r="M121" s="1" t="s">
        <v>176</v>
      </c>
      <c r="N121" s="1" t="s">
        <v>305</v>
      </c>
      <c r="O121" s="1" t="s">
        <v>2680</v>
      </c>
      <c r="P121" s="1"/>
      <c r="Q121" s="1">
        <f>IFERROR(COUNTIFS(_report[TOURNAMENT_CODE],ВСЕ_КОДЫ[[#This Row],[TOURNAMENT_CODE]],_report[CONTEST_CODE],ВСЕ_КОДЫ[[#This Row],[CONTEST_CODE]]),"-")</f>
        <v>0</v>
      </c>
      <c r="R121" s="1" t="str">
        <f>IFERROR(INDEX(_SCHEDULE_[],MATCH(ВСЕ_КОДЫ[[#This Row],[CONTEST_CODE]],_SCHEDULE_[CONTEST_CODE],0),MATCH($R$1,_SCHEDULE_[#Headers],0)),"-")</f>
        <v>ЗАВЕРШЕН</v>
      </c>
      <c r="S121" s="1" t="str">
        <f>IFERROR(INDEX(_group_[],MATCH(ВСЕ_КОДЫ[[#This Row],[CONTEST_CODE]],_group_[CONTEST_CODE],0),MATCH($S$1,_group_[#Headers],0)),"-")</f>
        <v>BANK</v>
      </c>
      <c r="T121" s="1" t="str">
        <f>IFERROR(INDEX(_INDICATOR_[],MATCH(ВСЕ_КОДЫ[[#This Row],[CONTEST_CODE]],_INDICATOR_[CONTEST_CODE],0),MATCH($T$1,_INDICATOR_[#Headers],0)),"-")</f>
        <v>PULMIS_BALANCE_OUT_RUB</v>
      </c>
      <c r="U121" s="1" t="str">
        <f>IFERROR(INDEX(_reward_link_[],MATCH(ВСЕ_КОДЫ[[#This Row],[CONTEST_CODE]],_reward_link_[CONTEST_CODE],0),MATCH($U$1,_reward_link_[#Headers],0)),"-")</f>
        <v>BANK</v>
      </c>
      <c r="V121" s="1" t="str">
        <f>IFERROR(INDEX(_report[],MATCH(ВСЕ_КОДЫ[[#This Row],[CONTEST_CODE]],_report[CONTEST_CODE],0),MATCH($V$1,_report[#Headers],0)),"-")</f>
        <v>-</v>
      </c>
      <c r="W121" s="1" t="str">
        <f>IFERROR(INDEX(_reward_[],MATCH(ВСЕ_КОДЫ[[#This Row],[REWARD_CODE]],_reward_[REWARD_CODE],0),MATCH($W$1,_reward_[#Headers],0)),"-")</f>
        <v>Серебро#по приросту остатка долгосрочных депозитов</v>
      </c>
      <c r="X121" s="1" t="str">
        <f>IFERROR(INDEX(_group_[],MATCH(CONCATENATE(ВСЕ_КОДЫ[[#This Row],[CONTEST_CODE]],"_",X$2),#REF!,0),MATCH(X$1,_group_[#Headers],0)),"-")</f>
        <v>-</v>
      </c>
      <c r="Y121" s="1" t="str">
        <f>IFERROR(INDEX(_group_[],MATCH(CONCATENATE(ВСЕ_КОДЫ[[#This Row],[CONTEST_CODE]],"_",Y$2),#REF!,0),MATCH(Y$1,_group_[#Headers],0)),"-")</f>
        <v>-</v>
      </c>
      <c r="Z121" s="1" t="str">
        <f>IFERROR(INDEX(_group_[],MATCH(CONCATENATE(ВСЕ_КОДЫ[[#This Row],[CONTEST_CODE]],"_",Z$2),#REF!,0),MATCH(Z$1,_group_[#Headers],0)),"-")</f>
        <v>-</v>
      </c>
      <c r="AA121" s="1" t="str">
        <f>IFERROR(INDEX(_group_[],MATCH(CONCATENATE(ВСЕ_КОДЫ[[#This Row],[CONTEST_CODE]],"_",AA$2),#REF!,0),MATCH(AA$1,_group_[#Headers],0)),"-")</f>
        <v>-</v>
      </c>
      <c r="AB121" s="1" t="str">
        <f>IFERROR(INDEX(_DATA_[],MATCH(ВСЕ_КОДЫ[[#This Row],[CONTEST_CODE]],_DATA_[CONTEST_CODE],0),MATCH($AB$2,_DATA_[#Headers],0)),"-")</f>
        <v>["""KMKKSB"""]</v>
      </c>
      <c r="AC121" s="1" t="str">
        <f>CONCATENATE(ВСЕ_КОДЫ[[#This Row],[CONTEST_CODE]],"_",ВСЕ_КОДЫ[[#This Row],[TOURNAMENT_CODE]])</f>
        <v>01_2025-1_02-2_2_t_01_2025-1_02-2_2_3021</v>
      </c>
      <c r="AD121" s="1" t="str">
        <f>ВСЕ_КОДЫ[[#This Row],[FULL_NAME]]</f>
        <v>Пассивы. Прирост остатка долгосрочных депозитов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idden="1" x14ac:dyDescent="0.25">
      <c r="A122" s="1" t="s">
        <v>2200</v>
      </c>
      <c r="B122" s="1" t="s">
        <v>3225</v>
      </c>
      <c r="C122" s="1" t="s">
        <v>2303</v>
      </c>
      <c r="D122" s="1" t="s">
        <v>583</v>
      </c>
      <c r="E122" s="1" t="s">
        <v>92</v>
      </c>
      <c r="F122" s="1" t="s">
        <v>2508</v>
      </c>
      <c r="G122" s="1" t="s">
        <v>27</v>
      </c>
      <c r="H122" s="1" t="s">
        <v>34</v>
      </c>
      <c r="I122" s="1" t="s">
        <v>50</v>
      </c>
      <c r="J122" s="1" t="s">
        <v>3219</v>
      </c>
      <c r="K122" s="1" t="s">
        <v>2534</v>
      </c>
      <c r="L122" s="1" t="s">
        <v>2535</v>
      </c>
      <c r="M122" s="1" t="s">
        <v>176</v>
      </c>
      <c r="N122" s="1" t="s">
        <v>305</v>
      </c>
      <c r="O122" s="1" t="s">
        <v>2680</v>
      </c>
      <c r="P122" s="1"/>
      <c r="Q122" s="1">
        <f>IFERROR(COUNTIFS(_report[TOURNAMENT_CODE],ВСЕ_КОДЫ[[#This Row],[TOURNAMENT_CODE]],_report[CONTEST_CODE],ВСЕ_КОДЫ[[#This Row],[CONTEST_CODE]]),"-")</f>
        <v>0</v>
      </c>
      <c r="R122" s="1" t="str">
        <f>IFERROR(INDEX(_SCHEDULE_[],MATCH(ВСЕ_КОДЫ[[#This Row],[CONTEST_CODE]],_SCHEDULE_[CONTEST_CODE],0),MATCH($R$1,_SCHEDULE_[#Headers],0)),"-")</f>
        <v>ЗАВЕРШЕН</v>
      </c>
      <c r="S122" s="1" t="str">
        <f>IFERROR(INDEX(_group_[],MATCH(ВСЕ_КОДЫ[[#This Row],[CONTEST_CODE]],_group_[CONTEST_CODE],0),MATCH($S$1,_group_[#Headers],0)),"-")</f>
        <v>BANK</v>
      </c>
      <c r="T122" s="1" t="str">
        <f>IFERROR(INDEX(_INDICATOR_[],MATCH(ВСЕ_КОДЫ[[#This Row],[CONTEST_CODE]],_INDICATOR_[CONTEST_CODE],0),MATCH($T$1,_INDICATOR_[#Headers],0)),"-")</f>
        <v>PULMIS_BALANCE_OUT_RUB</v>
      </c>
      <c r="U122" s="1" t="str">
        <f>IFERROR(INDEX(_reward_link_[],MATCH(ВСЕ_КОДЫ[[#This Row],[CONTEST_CODE]],_reward_link_[CONTEST_CODE],0),MATCH($U$1,_reward_link_[#Headers],0)),"-")</f>
        <v>BANK</v>
      </c>
      <c r="V122" s="1" t="str">
        <f>IFERROR(INDEX(_report[],MATCH(ВСЕ_КОДЫ[[#This Row],[CONTEST_CODE]],_report[CONTEST_CODE],0),MATCH($V$1,_report[#Headers],0)),"-")</f>
        <v>-</v>
      </c>
      <c r="W122" s="1" t="str">
        <f>IFERROR(INDEX(_reward_[],MATCH(ВСЕ_КОДЫ[[#This Row],[REWARD_CODE]],_reward_[REWARD_CODE],0),MATCH($W$1,_reward_[#Headers],0)),"-")</f>
        <v>Серебро#по приросту остатка долгосрочных депозитов</v>
      </c>
      <c r="X122" s="1" t="str">
        <f>IFERROR(INDEX(_group_[],MATCH(CONCATENATE(ВСЕ_КОДЫ[[#This Row],[CONTEST_CODE]],"_",X$2),#REF!,0),MATCH(X$1,_group_[#Headers],0)),"-")</f>
        <v>-</v>
      </c>
      <c r="Y122" s="1" t="str">
        <f>IFERROR(INDEX(_group_[],MATCH(CONCATENATE(ВСЕ_КОДЫ[[#This Row],[CONTEST_CODE]],"_",Y$2),#REF!,0),MATCH(Y$1,_group_[#Headers],0)),"-")</f>
        <v>-</v>
      </c>
      <c r="Z122" s="1" t="str">
        <f>IFERROR(INDEX(_group_[],MATCH(CONCATENATE(ВСЕ_КОДЫ[[#This Row],[CONTEST_CODE]],"_",Z$2),#REF!,0),MATCH(Z$1,_group_[#Headers],0)),"-")</f>
        <v>-</v>
      </c>
      <c r="AA122" s="1" t="str">
        <f>IFERROR(INDEX(_group_[],MATCH(CONCATENATE(ВСЕ_КОДЫ[[#This Row],[CONTEST_CODE]],"_",AA$2),#REF!,0),MATCH(AA$1,_group_[#Headers],0)),"-")</f>
        <v>-</v>
      </c>
      <c r="AB122" s="1" t="str">
        <f>IFERROR(INDEX(_DATA_[],MATCH(ВСЕ_КОДЫ[[#This Row],[CONTEST_CODE]],_DATA_[CONTEST_CODE],0),MATCH($AB$2,_DATA_[#Headers],0)),"-")</f>
        <v>["""KMKKSB"""]</v>
      </c>
      <c r="AC122" s="1" t="str">
        <f>CONCATENATE(ВСЕ_КОДЫ[[#This Row],[CONTEST_CODE]],"_",ВСЕ_КОДЫ[[#This Row],[TOURNAMENT_CODE]])</f>
        <v>01_2025-1_02-2_2_t_01_2025-1_02-2_2_3031</v>
      </c>
      <c r="AD122" s="1" t="str">
        <f>ВСЕ_КОДЫ[[#This Row],[FULL_NAME]]</f>
        <v>Пассивы. Прирост остатка долгосрочных депозитов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idden="1" x14ac:dyDescent="0.25">
      <c r="A123" s="1" t="s">
        <v>2200</v>
      </c>
      <c r="B123" s="1" t="s">
        <v>2539</v>
      </c>
      <c r="C123" s="1" t="s">
        <v>2682</v>
      </c>
      <c r="D123" s="1" t="s">
        <v>586</v>
      </c>
      <c r="E123" s="1" t="s">
        <v>92</v>
      </c>
      <c r="F123" s="1" t="s">
        <v>2508</v>
      </c>
      <c r="G123" s="1" t="s">
        <v>27</v>
      </c>
      <c r="H123" s="1" t="s">
        <v>34</v>
      </c>
      <c r="I123" s="1" t="s">
        <v>50</v>
      </c>
      <c r="J123" s="1" t="s">
        <v>2521</v>
      </c>
      <c r="K123" s="1" t="s">
        <v>2522</v>
      </c>
      <c r="L123" s="1" t="s">
        <v>4119</v>
      </c>
      <c r="M123" s="1" t="s">
        <v>176</v>
      </c>
      <c r="N123" s="1" t="s">
        <v>305</v>
      </c>
      <c r="O123" s="1" t="s">
        <v>2683</v>
      </c>
      <c r="P123" s="1"/>
      <c r="Q123" s="1">
        <f>IFERROR(COUNTIFS(_report[TOURNAMENT_CODE],ВСЕ_КОДЫ[[#This Row],[TOURNAMENT_CODE]],_report[CONTEST_CODE],ВСЕ_КОДЫ[[#This Row],[CONTEST_CODE]]),"-")</f>
        <v>0</v>
      </c>
      <c r="R123" s="1" t="str">
        <f>IFERROR(INDEX(_SCHEDULE_[],MATCH(ВСЕ_КОДЫ[[#This Row],[CONTEST_CODE]],_SCHEDULE_[CONTEST_CODE],0),MATCH($R$1,_SCHEDULE_[#Headers],0)),"-")</f>
        <v>ЗАВЕРШЕН</v>
      </c>
      <c r="S123" s="1" t="str">
        <f>IFERROR(INDEX(_group_[],MATCH(ВСЕ_КОДЫ[[#This Row],[CONTEST_CODE]],_group_[CONTEST_CODE],0),MATCH($S$1,_group_[#Headers],0)),"-")</f>
        <v>BANK</v>
      </c>
      <c r="T123" s="1" t="str">
        <f>IFERROR(INDEX(_INDICATOR_[],MATCH(ВСЕ_КОДЫ[[#This Row],[CONTEST_CODE]],_INDICATOR_[CONTEST_CODE],0),MATCH($T$1,_INDICATOR_[#Headers],0)),"-")</f>
        <v>PULMIS_BALANCE_OUT_RUB</v>
      </c>
      <c r="U123" s="1" t="str">
        <f>IFERROR(INDEX(_reward_link_[],MATCH(ВСЕ_КОДЫ[[#This Row],[CONTEST_CODE]],_reward_link_[CONTEST_CODE],0),MATCH($U$1,_reward_link_[#Headers],0)),"-")</f>
        <v>BANK</v>
      </c>
      <c r="V123" s="1" t="str">
        <f>IFERROR(INDEX(_report[],MATCH(ВСЕ_КОДЫ[[#This Row],[CONTEST_CODE]],_report[CONTEST_CODE],0),MATCH($V$1,_report[#Headers],0)),"-")</f>
        <v>-</v>
      </c>
      <c r="W123" s="1" t="str">
        <f>IFERROR(INDEX(_reward_[],MATCH(ВСЕ_КОДЫ[[#This Row],[REWARD_CODE]],_reward_[REWARD_CODE],0),MATCH($W$1,_reward_[#Headers],0)),"-")</f>
        <v>Бронза#по приросту остатка долгосрочных депозитов</v>
      </c>
      <c r="X123" s="1" t="str">
        <f>IFERROR(INDEX(_group_[],MATCH(CONCATENATE(ВСЕ_КОДЫ[[#This Row],[CONTEST_CODE]],"_",X$2),#REF!,0),MATCH(X$1,_group_[#Headers],0)),"-")</f>
        <v>-</v>
      </c>
      <c r="Y123" s="1" t="str">
        <f>IFERROR(INDEX(_group_[],MATCH(CONCATENATE(ВСЕ_КОДЫ[[#This Row],[CONTEST_CODE]],"_",Y$2),#REF!,0),MATCH(Y$1,_group_[#Headers],0)),"-")</f>
        <v>-</v>
      </c>
      <c r="Z123" s="1" t="str">
        <f>IFERROR(INDEX(_group_[],MATCH(CONCATENATE(ВСЕ_КОДЫ[[#This Row],[CONTEST_CODE]],"_",Z$2),#REF!,0),MATCH(Z$1,_group_[#Headers],0)),"-")</f>
        <v>-</v>
      </c>
      <c r="AA123" s="1" t="str">
        <f>IFERROR(INDEX(_group_[],MATCH(CONCATENATE(ВСЕ_КОДЫ[[#This Row],[CONTEST_CODE]],"_",AA$2),#REF!,0),MATCH(AA$1,_group_[#Headers],0)),"-")</f>
        <v>-</v>
      </c>
      <c r="AB123" s="1" t="str">
        <f>IFERROR(INDEX(_DATA_[],MATCH(ВСЕ_КОДЫ[[#This Row],[CONTEST_CODE]],_DATA_[CONTEST_CODE],0),MATCH($AB$2,_DATA_[#Headers],0)),"-")</f>
        <v>["""KMKKSB"""]</v>
      </c>
      <c r="AC123" s="1" t="str">
        <f>CONCATENATE(ВСЕ_КОДЫ[[#This Row],[CONTEST_CODE]],"_",ВСЕ_КОДЫ[[#This Row],[TOURNAMENT_CODE]])</f>
        <v>01_2025-1_02-2_2_t_01_2025-1_02-2_2_3021</v>
      </c>
      <c r="AD123" s="1" t="str">
        <f>ВСЕ_КОДЫ[[#This Row],[FULL_NAME]]</f>
        <v>Пассивы. Прирост остатка долгосрочных депозитов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idden="1" x14ac:dyDescent="0.25">
      <c r="A124" s="1" t="s">
        <v>2200</v>
      </c>
      <c r="B124" s="1" t="s">
        <v>3225</v>
      </c>
      <c r="C124" s="1" t="s">
        <v>2682</v>
      </c>
      <c r="D124" s="1" t="s">
        <v>586</v>
      </c>
      <c r="E124" s="1" t="s">
        <v>92</v>
      </c>
      <c r="F124" s="1" t="s">
        <v>2508</v>
      </c>
      <c r="G124" s="1" t="s">
        <v>27</v>
      </c>
      <c r="H124" s="1" t="s">
        <v>34</v>
      </c>
      <c r="I124" s="1" t="s">
        <v>50</v>
      </c>
      <c r="J124" s="1" t="s">
        <v>3219</v>
      </c>
      <c r="K124" s="1" t="s">
        <v>2534</v>
      </c>
      <c r="L124" s="1" t="s">
        <v>2535</v>
      </c>
      <c r="M124" s="1" t="s">
        <v>176</v>
      </c>
      <c r="N124" s="1" t="s">
        <v>305</v>
      </c>
      <c r="O124" s="1" t="s">
        <v>2683</v>
      </c>
      <c r="P124" s="1"/>
      <c r="Q124" s="1">
        <f>IFERROR(COUNTIFS(_report[TOURNAMENT_CODE],ВСЕ_КОДЫ[[#This Row],[TOURNAMENT_CODE]],_report[CONTEST_CODE],ВСЕ_КОДЫ[[#This Row],[CONTEST_CODE]]),"-")</f>
        <v>0</v>
      </c>
      <c r="R124" s="1" t="str">
        <f>IFERROR(INDEX(_SCHEDULE_[],MATCH(ВСЕ_КОДЫ[[#This Row],[CONTEST_CODE]],_SCHEDULE_[CONTEST_CODE],0),MATCH($R$1,_SCHEDULE_[#Headers],0)),"-")</f>
        <v>ЗАВЕРШЕН</v>
      </c>
      <c r="S124" s="1" t="str">
        <f>IFERROR(INDEX(_group_[],MATCH(ВСЕ_КОДЫ[[#This Row],[CONTEST_CODE]],_group_[CONTEST_CODE],0),MATCH($S$1,_group_[#Headers],0)),"-")</f>
        <v>BANK</v>
      </c>
      <c r="T124" s="1" t="str">
        <f>IFERROR(INDEX(_INDICATOR_[],MATCH(ВСЕ_КОДЫ[[#This Row],[CONTEST_CODE]],_INDICATOR_[CONTEST_CODE],0),MATCH($T$1,_INDICATOR_[#Headers],0)),"-")</f>
        <v>PULMIS_BALANCE_OUT_RUB</v>
      </c>
      <c r="U124" s="1" t="str">
        <f>IFERROR(INDEX(_reward_link_[],MATCH(ВСЕ_КОДЫ[[#This Row],[CONTEST_CODE]],_reward_link_[CONTEST_CODE],0),MATCH($U$1,_reward_link_[#Headers],0)),"-")</f>
        <v>BANK</v>
      </c>
      <c r="V124" s="1" t="str">
        <f>IFERROR(INDEX(_report[],MATCH(ВСЕ_КОДЫ[[#This Row],[CONTEST_CODE]],_report[CONTEST_CODE],0),MATCH($V$1,_report[#Headers],0)),"-")</f>
        <v>-</v>
      </c>
      <c r="W124" s="1" t="str">
        <f>IFERROR(INDEX(_reward_[],MATCH(ВСЕ_КОДЫ[[#This Row],[REWARD_CODE]],_reward_[REWARD_CODE],0),MATCH($W$1,_reward_[#Headers],0)),"-")</f>
        <v>Бронза#по приросту остатка долгосрочных депозитов</v>
      </c>
      <c r="X124" s="1" t="str">
        <f>IFERROR(INDEX(_group_[],MATCH(CONCATENATE(ВСЕ_КОДЫ[[#This Row],[CONTEST_CODE]],"_",X$2),#REF!,0),MATCH(X$1,_group_[#Headers],0)),"-")</f>
        <v>-</v>
      </c>
      <c r="Y124" s="1" t="str">
        <f>IFERROR(INDEX(_group_[],MATCH(CONCATENATE(ВСЕ_КОДЫ[[#This Row],[CONTEST_CODE]],"_",Y$2),#REF!,0),MATCH(Y$1,_group_[#Headers],0)),"-")</f>
        <v>-</v>
      </c>
      <c r="Z124" s="1" t="str">
        <f>IFERROR(INDEX(_group_[],MATCH(CONCATENATE(ВСЕ_КОДЫ[[#This Row],[CONTEST_CODE]],"_",Z$2),#REF!,0),MATCH(Z$1,_group_[#Headers],0)),"-")</f>
        <v>-</v>
      </c>
      <c r="AA124" s="1" t="str">
        <f>IFERROR(INDEX(_group_[],MATCH(CONCATENATE(ВСЕ_КОДЫ[[#This Row],[CONTEST_CODE]],"_",AA$2),#REF!,0),MATCH(AA$1,_group_[#Headers],0)),"-")</f>
        <v>-</v>
      </c>
      <c r="AB124" s="1" t="str">
        <f>IFERROR(INDEX(_DATA_[],MATCH(ВСЕ_КОДЫ[[#This Row],[CONTEST_CODE]],_DATA_[CONTEST_CODE],0),MATCH($AB$2,_DATA_[#Headers],0)),"-")</f>
        <v>["""KMKKSB"""]</v>
      </c>
      <c r="AC124" s="1" t="str">
        <f>CONCATENATE(ВСЕ_КОДЫ[[#This Row],[CONTEST_CODE]],"_",ВСЕ_КОДЫ[[#This Row],[TOURNAMENT_CODE]])</f>
        <v>01_2025-1_02-2_2_t_01_2025-1_02-2_2_3031</v>
      </c>
      <c r="AD124" s="1" t="str">
        <f>ВСЕ_КОДЫ[[#This Row],[FULL_NAME]]</f>
        <v>Пассивы. Прирост остатка долгосрочных депозитов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idden="1" x14ac:dyDescent="0.25">
      <c r="A125" s="1" t="s">
        <v>53</v>
      </c>
      <c r="B125" s="1" t="s">
        <v>255</v>
      </c>
      <c r="C125" s="1" t="s">
        <v>353</v>
      </c>
      <c r="D125" s="1" t="s">
        <v>583</v>
      </c>
      <c r="E125" s="1" t="s">
        <v>54</v>
      </c>
      <c r="F125" s="1" t="s">
        <v>26</v>
      </c>
      <c r="G125" s="1" t="s">
        <v>27</v>
      </c>
      <c r="H125" s="1" t="s">
        <v>28</v>
      </c>
      <c r="I125" s="1" t="s">
        <v>50</v>
      </c>
      <c r="J125" s="1" t="s">
        <v>256</v>
      </c>
      <c r="K125" s="1" t="s">
        <v>257</v>
      </c>
      <c r="L125" s="1" t="s">
        <v>258</v>
      </c>
      <c r="M125" s="1" t="s">
        <v>155</v>
      </c>
      <c r="N125" s="1" t="s">
        <v>305</v>
      </c>
      <c r="O125" s="1" t="s">
        <v>354</v>
      </c>
      <c r="P125" s="1"/>
      <c r="Q125" s="1">
        <f>IFERROR(COUNTIFS(_report[TOURNAMENT_CODE],ВСЕ_КОДЫ[[#This Row],[TOURNAMENT_CODE]],_report[CONTEST_CODE],ВСЕ_КОДЫ[[#This Row],[CONTEST_CODE]]),"-")</f>
        <v>0</v>
      </c>
      <c r="R125" s="1" t="str">
        <f>IFERROR(INDEX(_SCHEDULE_[],MATCH(ВСЕ_КОДЫ[[#This Row],[CONTEST_CODE]],_SCHEDULE_[CONTEST_CODE],0),MATCH($R$1,_SCHEDULE_[#Headers],0)),"-")</f>
        <v>УДАЛЕН</v>
      </c>
      <c r="S125" s="1" t="str">
        <f>IFERROR(INDEX(_group_[],MATCH(ВСЕ_КОДЫ[[#This Row],[CONTEST_CODE]],_group_[CONTEST_CODE],0),MATCH($S$1,_group_[#Headers],0)),"-")</f>
        <v>BANK</v>
      </c>
      <c r="T125" s="1" t="str">
        <f>IFERROR(INDEX(_INDICATOR_[],MATCH(ВСЕ_КОДЫ[[#This Row],[CONTEST_CODE]],_INDICATOR_[CONTEST_CODE],0),MATCH($T$1,_INDICATOR_[#Headers],0)),"-")</f>
        <v>WAIT</v>
      </c>
      <c r="U125" s="1" t="str">
        <f>IFERROR(INDEX(_reward_link_[],MATCH(ВСЕ_КОДЫ[[#This Row],[CONTEST_CODE]],_reward_link_[CONTEST_CODE],0),MATCH($U$1,_reward_link_[#Headers],0)),"-")</f>
        <v>TB</v>
      </c>
      <c r="V125" s="1" t="str">
        <f>IFERROR(INDEX(_report[],MATCH(ВСЕ_КОДЫ[[#This Row],[CONTEST_CODE]],_report[CONTEST_CODE],0),MATCH($V$1,_report[#Headers],0)),"-")</f>
        <v>-</v>
      </c>
      <c r="W125" s="1" t="str">
        <f>IFERROR(INDEX(_reward_[],MATCH(ВСЕ_КОДЫ[[#This Row],[REWARD_CODE]],_reward_[REWARD_CODE],0),MATCH($W$1,_reward_[#Headers],0)),"-")</f>
        <v>ТОП-1 по числу сделок активов в стране</v>
      </c>
      <c r="X125" s="1" t="str">
        <f>IFERROR(INDEX(_group_[],MATCH(CONCATENATE(ВСЕ_КОДЫ[[#This Row],[CONTEST_CODE]],"_",X$2),#REF!,0),MATCH(X$1,_group_[#Headers],0)),"-")</f>
        <v>-</v>
      </c>
      <c r="Y125" s="1" t="str">
        <f>IFERROR(INDEX(_group_[],MATCH(CONCATENATE(ВСЕ_КОДЫ[[#This Row],[CONTEST_CODE]],"_",Y$2),#REF!,0),MATCH(Y$1,_group_[#Headers],0)),"-")</f>
        <v>-</v>
      </c>
      <c r="Z125" s="1" t="str">
        <f>IFERROR(INDEX(_group_[],MATCH(CONCATENATE(ВСЕ_КОДЫ[[#This Row],[CONTEST_CODE]],"_",Z$2),#REF!,0),MATCH(Z$1,_group_[#Headers],0)),"-")</f>
        <v>-</v>
      </c>
      <c r="AA125" s="1" t="str">
        <f>IFERROR(INDEX(_group_[],MATCH(CONCATENATE(ВСЕ_КОДЫ[[#This Row],[CONTEST_CODE]],"_",AA$2),#REF!,0),MATCH(AA$1,_group_[#Headers],0)),"-")</f>
        <v>-</v>
      </c>
      <c r="AB125" s="1" t="str">
        <f>IFERROR(INDEX(_DATA_[],MATCH(ВСЕ_КОДЫ[[#This Row],[CONTEST_CODE]],_DATA_[CONTEST_CODE],0),MATCH($AB$2,_DATA_[#Headers],0)),"-")</f>
        <v>["""KMKKSB"""]</v>
      </c>
      <c r="AC125" s="1" t="str">
        <f>CONCATENATE(ВСЕ_КОДЫ[[#This Row],[CONTEST_CODE]],"_",ВСЕ_КОДЫ[[#This Row],[TOURNAMENT_CODE]])</f>
        <v>CONTEST_10_01_TOURNAMENT_10_01_01</v>
      </c>
      <c r="AD125" s="1" t="str">
        <f>ВСЕ_КОДЫ[[#This Row],[FULL_NAME]]</f>
        <v>Активы. ТОП-1 по условным сделкам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idden="1" x14ac:dyDescent="0.25">
      <c r="A126" s="1" t="s">
        <v>53</v>
      </c>
      <c r="B126" s="1" t="s">
        <v>259</v>
      </c>
      <c r="C126" s="1" t="s">
        <v>353</v>
      </c>
      <c r="D126" s="1" t="s">
        <v>583</v>
      </c>
      <c r="E126" s="1" t="s">
        <v>54</v>
      </c>
      <c r="F126" s="1" t="s">
        <v>26</v>
      </c>
      <c r="G126" s="1" t="s">
        <v>27</v>
      </c>
      <c r="H126" s="1" t="s">
        <v>28</v>
      </c>
      <c r="I126" s="1" t="s">
        <v>50</v>
      </c>
      <c r="J126" s="1" t="s">
        <v>260</v>
      </c>
      <c r="K126" s="1" t="s">
        <v>261</v>
      </c>
      <c r="L126" s="1" t="s">
        <v>250</v>
      </c>
      <c r="M126" s="1" t="s">
        <v>176</v>
      </c>
      <c r="N126" s="1" t="s">
        <v>305</v>
      </c>
      <c r="O126" s="1" t="s">
        <v>354</v>
      </c>
      <c r="P126" s="1"/>
      <c r="Q126" s="1">
        <f>IFERROR(COUNTIFS(_report[TOURNAMENT_CODE],ВСЕ_КОДЫ[[#This Row],[TOURNAMENT_CODE]],_report[CONTEST_CODE],ВСЕ_КОДЫ[[#This Row],[CONTEST_CODE]]),"-")</f>
        <v>0</v>
      </c>
      <c r="R126" s="1" t="str">
        <f>IFERROR(INDEX(_SCHEDULE_[],MATCH(ВСЕ_КОДЫ[[#This Row],[CONTEST_CODE]],_SCHEDULE_[CONTEST_CODE],0),MATCH($R$1,_SCHEDULE_[#Headers],0)),"-")</f>
        <v>УДАЛЕН</v>
      </c>
      <c r="S126" s="1" t="str">
        <f>IFERROR(INDEX(_group_[],MATCH(ВСЕ_КОДЫ[[#This Row],[CONTEST_CODE]],_group_[CONTEST_CODE],0),MATCH($S$1,_group_[#Headers],0)),"-")</f>
        <v>BANK</v>
      </c>
      <c r="T126" s="1" t="str">
        <f>IFERROR(INDEX(_INDICATOR_[],MATCH(ВСЕ_КОДЫ[[#This Row],[CONTEST_CODE]],_INDICATOR_[CONTEST_CODE],0),MATCH($T$1,_INDICATOR_[#Headers],0)),"-")</f>
        <v>WAIT</v>
      </c>
      <c r="U126" s="1" t="str">
        <f>IFERROR(INDEX(_reward_link_[],MATCH(ВСЕ_КОДЫ[[#This Row],[CONTEST_CODE]],_reward_link_[CONTEST_CODE],0),MATCH($U$1,_reward_link_[#Headers],0)),"-")</f>
        <v>TB</v>
      </c>
      <c r="V126" s="1" t="str">
        <f>IFERROR(INDEX(_report[],MATCH(ВСЕ_КОДЫ[[#This Row],[CONTEST_CODE]],_report[CONTEST_CODE],0),MATCH($V$1,_report[#Headers],0)),"-")</f>
        <v>-</v>
      </c>
      <c r="W126" s="1" t="str">
        <f>IFERROR(INDEX(_reward_[],MATCH(ВСЕ_КОДЫ[[#This Row],[REWARD_CODE]],_reward_[REWARD_CODE],0),MATCH($W$1,_reward_[#Headers],0)),"-")</f>
        <v>ТОП-1 по числу сделок активов в стране</v>
      </c>
      <c r="X126" s="1" t="str">
        <f>IFERROR(INDEX(_group_[],MATCH(CONCATENATE(ВСЕ_КОДЫ[[#This Row],[CONTEST_CODE]],"_",X$2),#REF!,0),MATCH(X$1,_group_[#Headers],0)),"-")</f>
        <v>-</v>
      </c>
      <c r="Y126" s="1" t="str">
        <f>IFERROR(INDEX(_group_[],MATCH(CONCATENATE(ВСЕ_КОДЫ[[#This Row],[CONTEST_CODE]],"_",Y$2),#REF!,0),MATCH(Y$1,_group_[#Headers],0)),"-")</f>
        <v>-</v>
      </c>
      <c r="Z126" s="1" t="str">
        <f>IFERROR(INDEX(_group_[],MATCH(CONCATENATE(ВСЕ_КОДЫ[[#This Row],[CONTEST_CODE]],"_",Z$2),#REF!,0),MATCH(Z$1,_group_[#Headers],0)),"-")</f>
        <v>-</v>
      </c>
      <c r="AA126" s="1" t="str">
        <f>IFERROR(INDEX(_group_[],MATCH(CONCATENATE(ВСЕ_КОДЫ[[#This Row],[CONTEST_CODE]],"_",AA$2),#REF!,0),MATCH(AA$1,_group_[#Headers],0)),"-")</f>
        <v>-</v>
      </c>
      <c r="AB126" s="1" t="str">
        <f>IFERROR(INDEX(_DATA_[],MATCH(ВСЕ_КОДЫ[[#This Row],[CONTEST_CODE]],_DATA_[CONTEST_CODE],0),MATCH($AB$2,_DATA_[#Headers],0)),"-")</f>
        <v>["""KMKKSB"""]</v>
      </c>
      <c r="AC126" s="1" t="str">
        <f>CONCATENATE(ВСЕ_КОДЫ[[#This Row],[CONTEST_CODE]],"_",ВСЕ_КОДЫ[[#This Row],[TOURNAMENT_CODE]])</f>
        <v>CONTEST_10_01_TOURNAMENT_10_01_02</v>
      </c>
      <c r="AD126" s="1" t="str">
        <f>ВСЕ_КОДЫ[[#This Row],[FULL_NAME]]</f>
        <v>Активы. ТОП-1 по условным сделкам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idden="1" x14ac:dyDescent="0.25">
      <c r="A127" s="1" t="s">
        <v>53</v>
      </c>
      <c r="B127" s="1" t="s">
        <v>262</v>
      </c>
      <c r="C127" s="1" t="s">
        <v>353</v>
      </c>
      <c r="D127" s="1" t="s">
        <v>583</v>
      </c>
      <c r="E127" s="1" t="s">
        <v>54</v>
      </c>
      <c r="F127" s="1" t="s">
        <v>26</v>
      </c>
      <c r="G127" s="1" t="s">
        <v>27</v>
      </c>
      <c r="H127" s="1" t="s">
        <v>28</v>
      </c>
      <c r="I127" s="1" t="s">
        <v>50</v>
      </c>
      <c r="J127" s="1" t="s">
        <v>263</v>
      </c>
      <c r="K127" s="1" t="s">
        <v>264</v>
      </c>
      <c r="L127" s="1" t="s">
        <v>265</v>
      </c>
      <c r="M127" s="1" t="s">
        <v>176</v>
      </c>
      <c r="N127" s="1" t="s">
        <v>305</v>
      </c>
      <c r="O127" s="1" t="s">
        <v>354</v>
      </c>
      <c r="P127" s="1"/>
      <c r="Q127" s="1">
        <f>IFERROR(COUNTIFS(_report[TOURNAMENT_CODE],ВСЕ_КОДЫ[[#This Row],[TOURNAMENT_CODE]],_report[CONTEST_CODE],ВСЕ_КОДЫ[[#This Row],[CONTEST_CODE]]),"-")</f>
        <v>0</v>
      </c>
      <c r="R127" s="1" t="str">
        <f>IFERROR(INDEX(_SCHEDULE_[],MATCH(ВСЕ_КОДЫ[[#This Row],[CONTEST_CODE]],_SCHEDULE_[CONTEST_CODE],0),MATCH($R$1,_SCHEDULE_[#Headers],0)),"-")</f>
        <v>УДАЛЕН</v>
      </c>
      <c r="S127" s="1" t="str">
        <f>IFERROR(INDEX(_group_[],MATCH(ВСЕ_КОДЫ[[#This Row],[CONTEST_CODE]],_group_[CONTEST_CODE],0),MATCH($S$1,_group_[#Headers],0)),"-")</f>
        <v>BANK</v>
      </c>
      <c r="T127" s="1" t="str">
        <f>IFERROR(INDEX(_INDICATOR_[],MATCH(ВСЕ_КОДЫ[[#This Row],[CONTEST_CODE]],_INDICATOR_[CONTEST_CODE],0),MATCH($T$1,_INDICATOR_[#Headers],0)),"-")</f>
        <v>WAIT</v>
      </c>
      <c r="U127" s="1" t="str">
        <f>IFERROR(INDEX(_reward_link_[],MATCH(ВСЕ_КОДЫ[[#This Row],[CONTEST_CODE]],_reward_link_[CONTEST_CODE],0),MATCH($U$1,_reward_link_[#Headers],0)),"-")</f>
        <v>TB</v>
      </c>
      <c r="V127" s="1" t="str">
        <f>IFERROR(INDEX(_report[],MATCH(ВСЕ_КОДЫ[[#This Row],[CONTEST_CODE]],_report[CONTEST_CODE],0),MATCH($V$1,_report[#Headers],0)),"-")</f>
        <v>-</v>
      </c>
      <c r="W127" s="1" t="str">
        <f>IFERROR(INDEX(_reward_[],MATCH(ВСЕ_КОДЫ[[#This Row],[REWARD_CODE]],_reward_[REWARD_CODE],0),MATCH($W$1,_reward_[#Headers],0)),"-")</f>
        <v>ТОП-1 по числу сделок активов в стране</v>
      </c>
      <c r="X127" s="1" t="str">
        <f>IFERROR(INDEX(_group_[],MATCH(CONCATENATE(ВСЕ_КОДЫ[[#This Row],[CONTEST_CODE]],"_",X$2),#REF!,0),MATCH(X$1,_group_[#Headers],0)),"-")</f>
        <v>-</v>
      </c>
      <c r="Y127" s="1" t="str">
        <f>IFERROR(INDEX(_group_[],MATCH(CONCATENATE(ВСЕ_КОДЫ[[#This Row],[CONTEST_CODE]],"_",Y$2),#REF!,0),MATCH(Y$1,_group_[#Headers],0)),"-")</f>
        <v>-</v>
      </c>
      <c r="Z127" s="1" t="str">
        <f>IFERROR(INDEX(_group_[],MATCH(CONCATENATE(ВСЕ_КОДЫ[[#This Row],[CONTEST_CODE]],"_",Z$2),#REF!,0),MATCH(Z$1,_group_[#Headers],0)),"-")</f>
        <v>-</v>
      </c>
      <c r="AA127" s="1" t="str">
        <f>IFERROR(INDEX(_group_[],MATCH(CONCATENATE(ВСЕ_КОДЫ[[#This Row],[CONTEST_CODE]],"_",AA$2),#REF!,0),MATCH(AA$1,_group_[#Headers],0)),"-")</f>
        <v>-</v>
      </c>
      <c r="AB127" s="1" t="str">
        <f>IFERROR(INDEX(_DATA_[],MATCH(ВСЕ_КОДЫ[[#This Row],[CONTEST_CODE]],_DATA_[CONTEST_CODE],0),MATCH($AB$2,_DATA_[#Headers],0)),"-")</f>
        <v>["""KMKKSB"""]</v>
      </c>
      <c r="AC127" s="1" t="str">
        <f>CONCATENATE(ВСЕ_КОДЫ[[#This Row],[CONTEST_CODE]],"_",ВСЕ_КОДЫ[[#This Row],[TOURNAMENT_CODE]])</f>
        <v>CONTEST_10_01_TOURNAMENT_10_01_03</v>
      </c>
      <c r="AD127" s="1" t="str">
        <f>ВСЕ_КОДЫ[[#This Row],[FULL_NAME]]</f>
        <v>Активы. ТОП-1 по условным сделкам</v>
      </c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idden="1" x14ac:dyDescent="0.25">
      <c r="A128" s="1" t="s">
        <v>53</v>
      </c>
      <c r="B128" s="1" t="s">
        <v>266</v>
      </c>
      <c r="C128" s="1" t="s">
        <v>353</v>
      </c>
      <c r="D128" s="1" t="s">
        <v>583</v>
      </c>
      <c r="E128" s="1" t="s">
        <v>54</v>
      </c>
      <c r="F128" s="1" t="s">
        <v>26</v>
      </c>
      <c r="G128" s="1" t="s">
        <v>27</v>
      </c>
      <c r="H128" s="1" t="s">
        <v>28</v>
      </c>
      <c r="I128" s="1" t="s">
        <v>50</v>
      </c>
      <c r="J128" s="1" t="s">
        <v>267</v>
      </c>
      <c r="K128" s="1" t="s">
        <v>241</v>
      </c>
      <c r="L128" s="1" t="s">
        <v>268</v>
      </c>
      <c r="M128" s="1" t="s">
        <v>176</v>
      </c>
      <c r="N128" s="1" t="s">
        <v>305</v>
      </c>
      <c r="O128" s="1" t="s">
        <v>354</v>
      </c>
      <c r="P128" s="1"/>
      <c r="Q128" s="1">
        <f>IFERROR(COUNTIFS(_report[TOURNAMENT_CODE],ВСЕ_КОДЫ[[#This Row],[TOURNAMENT_CODE]],_report[CONTEST_CODE],ВСЕ_КОДЫ[[#This Row],[CONTEST_CODE]]),"-")</f>
        <v>0</v>
      </c>
      <c r="R128" s="1" t="str">
        <f>IFERROR(INDEX(_SCHEDULE_[],MATCH(ВСЕ_КОДЫ[[#This Row],[CONTEST_CODE]],_SCHEDULE_[CONTEST_CODE],0),MATCH($R$1,_SCHEDULE_[#Headers],0)),"-")</f>
        <v>УДАЛЕН</v>
      </c>
      <c r="S128" s="1" t="str">
        <f>IFERROR(INDEX(_group_[],MATCH(ВСЕ_КОДЫ[[#This Row],[CONTEST_CODE]],_group_[CONTEST_CODE],0),MATCH($S$1,_group_[#Headers],0)),"-")</f>
        <v>BANK</v>
      </c>
      <c r="T128" s="1" t="str">
        <f>IFERROR(INDEX(_INDICATOR_[],MATCH(ВСЕ_КОДЫ[[#This Row],[CONTEST_CODE]],_INDICATOR_[CONTEST_CODE],0),MATCH($T$1,_INDICATOR_[#Headers],0)),"-")</f>
        <v>WAIT</v>
      </c>
      <c r="U128" s="1" t="str">
        <f>IFERROR(INDEX(_reward_link_[],MATCH(ВСЕ_КОДЫ[[#This Row],[CONTEST_CODE]],_reward_link_[CONTEST_CODE],0),MATCH($U$1,_reward_link_[#Headers],0)),"-")</f>
        <v>TB</v>
      </c>
      <c r="V128" s="1" t="str">
        <f>IFERROR(INDEX(_report[],MATCH(ВСЕ_КОДЫ[[#This Row],[CONTEST_CODE]],_report[CONTEST_CODE],0),MATCH($V$1,_report[#Headers],0)),"-")</f>
        <v>-</v>
      </c>
      <c r="W128" s="1" t="str">
        <f>IFERROR(INDEX(_reward_[],MATCH(ВСЕ_КОДЫ[[#This Row],[REWARD_CODE]],_reward_[REWARD_CODE],0),MATCH($W$1,_reward_[#Headers],0)),"-")</f>
        <v>ТОП-1 по числу сделок активов в стране</v>
      </c>
      <c r="X128" s="1" t="str">
        <f>IFERROR(INDEX(_group_[],MATCH(CONCATENATE(ВСЕ_КОДЫ[[#This Row],[CONTEST_CODE]],"_",X$2),#REF!,0),MATCH(X$1,_group_[#Headers],0)),"-")</f>
        <v>-</v>
      </c>
      <c r="Y128" s="1" t="str">
        <f>IFERROR(INDEX(_group_[],MATCH(CONCATENATE(ВСЕ_КОДЫ[[#This Row],[CONTEST_CODE]],"_",Y$2),#REF!,0),MATCH(Y$1,_group_[#Headers],0)),"-")</f>
        <v>-</v>
      </c>
      <c r="Z128" s="1" t="str">
        <f>IFERROR(INDEX(_group_[],MATCH(CONCATENATE(ВСЕ_КОДЫ[[#This Row],[CONTEST_CODE]],"_",Z$2),#REF!,0),MATCH(Z$1,_group_[#Headers],0)),"-")</f>
        <v>-</v>
      </c>
      <c r="AA128" s="1" t="str">
        <f>IFERROR(INDEX(_group_[],MATCH(CONCATENATE(ВСЕ_КОДЫ[[#This Row],[CONTEST_CODE]],"_",AA$2),#REF!,0),MATCH(AA$1,_group_[#Headers],0)),"-")</f>
        <v>-</v>
      </c>
      <c r="AB128" s="1" t="str">
        <f>IFERROR(INDEX(_DATA_[],MATCH(ВСЕ_КОДЫ[[#This Row],[CONTEST_CODE]],_DATA_[CONTEST_CODE],0),MATCH($AB$2,_DATA_[#Headers],0)),"-")</f>
        <v>["""KMKKSB"""]</v>
      </c>
      <c r="AC128" s="1" t="str">
        <f>CONCATENATE(ВСЕ_КОДЫ[[#This Row],[CONTEST_CODE]],"_",ВСЕ_КОДЫ[[#This Row],[TOURNAMENT_CODE]])</f>
        <v>CONTEST_10_01_TOURNAMENT_10_01_04</v>
      </c>
      <c r="AD128" s="1" t="str">
        <f>ВСЕ_КОДЫ[[#This Row],[FULL_NAME]]</f>
        <v>Активы. ТОП-1 по условным сделкам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idden="1" x14ac:dyDescent="0.25">
      <c r="A129" s="1" t="s">
        <v>53</v>
      </c>
      <c r="B129" s="1" t="s">
        <v>269</v>
      </c>
      <c r="C129" s="1" t="s">
        <v>353</v>
      </c>
      <c r="D129" s="1" t="s">
        <v>583</v>
      </c>
      <c r="E129" s="1" t="s">
        <v>54</v>
      </c>
      <c r="F129" s="1" t="s">
        <v>26</v>
      </c>
      <c r="G129" s="1" t="s">
        <v>27</v>
      </c>
      <c r="H129" s="1" t="s">
        <v>28</v>
      </c>
      <c r="I129" s="1" t="s">
        <v>50</v>
      </c>
      <c r="J129" s="1" t="s">
        <v>270</v>
      </c>
      <c r="K129" s="1" t="s">
        <v>271</v>
      </c>
      <c r="L129" s="1" t="s">
        <v>272</v>
      </c>
      <c r="M129" s="1" t="s">
        <v>176</v>
      </c>
      <c r="N129" s="1" t="s">
        <v>305</v>
      </c>
      <c r="O129" s="1" t="s">
        <v>354</v>
      </c>
      <c r="P129" s="1"/>
      <c r="Q129" s="1">
        <f>IFERROR(COUNTIFS(_report[TOURNAMENT_CODE],ВСЕ_КОДЫ[[#This Row],[TOURNAMENT_CODE]],_report[CONTEST_CODE],ВСЕ_КОДЫ[[#This Row],[CONTEST_CODE]]),"-")</f>
        <v>0</v>
      </c>
      <c r="R129" s="1" t="str">
        <f>IFERROR(INDEX(_SCHEDULE_[],MATCH(ВСЕ_КОДЫ[[#This Row],[CONTEST_CODE]],_SCHEDULE_[CONTEST_CODE],0),MATCH($R$1,_SCHEDULE_[#Headers],0)),"-")</f>
        <v>УДАЛЕН</v>
      </c>
      <c r="S129" s="1" t="str">
        <f>IFERROR(INDEX(_group_[],MATCH(ВСЕ_КОДЫ[[#This Row],[CONTEST_CODE]],_group_[CONTEST_CODE],0),MATCH($S$1,_group_[#Headers],0)),"-")</f>
        <v>BANK</v>
      </c>
      <c r="T129" s="1" t="str">
        <f>IFERROR(INDEX(_INDICATOR_[],MATCH(ВСЕ_КОДЫ[[#This Row],[CONTEST_CODE]],_INDICATOR_[CONTEST_CODE],0),MATCH($T$1,_INDICATOR_[#Headers],0)),"-")</f>
        <v>WAIT</v>
      </c>
      <c r="U129" s="1" t="str">
        <f>IFERROR(INDEX(_reward_link_[],MATCH(ВСЕ_КОДЫ[[#This Row],[CONTEST_CODE]],_reward_link_[CONTEST_CODE],0),MATCH($U$1,_reward_link_[#Headers],0)),"-")</f>
        <v>TB</v>
      </c>
      <c r="V129" s="1" t="str">
        <f>IFERROR(INDEX(_report[],MATCH(ВСЕ_КОДЫ[[#This Row],[CONTEST_CODE]],_report[CONTEST_CODE],0),MATCH($V$1,_report[#Headers],0)),"-")</f>
        <v>-</v>
      </c>
      <c r="W129" s="1" t="str">
        <f>IFERROR(INDEX(_reward_[],MATCH(ВСЕ_КОДЫ[[#This Row],[REWARD_CODE]],_reward_[REWARD_CODE],0),MATCH($W$1,_reward_[#Headers],0)),"-")</f>
        <v>ТОП-1 по числу сделок активов в стране</v>
      </c>
      <c r="X129" s="1" t="str">
        <f>IFERROR(INDEX(_group_[],MATCH(CONCATENATE(ВСЕ_КОДЫ[[#This Row],[CONTEST_CODE]],"_",X$2),#REF!,0),MATCH(X$1,_group_[#Headers],0)),"-")</f>
        <v>-</v>
      </c>
      <c r="Y129" s="1" t="str">
        <f>IFERROR(INDEX(_group_[],MATCH(CONCATENATE(ВСЕ_КОДЫ[[#This Row],[CONTEST_CODE]],"_",Y$2),#REF!,0),MATCH(Y$1,_group_[#Headers],0)),"-")</f>
        <v>-</v>
      </c>
      <c r="Z129" s="1" t="str">
        <f>IFERROR(INDEX(_group_[],MATCH(CONCATENATE(ВСЕ_КОДЫ[[#This Row],[CONTEST_CODE]],"_",Z$2),#REF!,0),MATCH(Z$1,_group_[#Headers],0)),"-")</f>
        <v>-</v>
      </c>
      <c r="AA129" s="1" t="str">
        <f>IFERROR(INDEX(_group_[],MATCH(CONCATENATE(ВСЕ_КОДЫ[[#This Row],[CONTEST_CODE]],"_",AA$2),#REF!,0),MATCH(AA$1,_group_[#Headers],0)),"-")</f>
        <v>-</v>
      </c>
      <c r="AB129" s="1" t="str">
        <f>IFERROR(INDEX(_DATA_[],MATCH(ВСЕ_КОДЫ[[#This Row],[CONTEST_CODE]],_DATA_[CONTEST_CODE],0),MATCH($AB$2,_DATA_[#Headers],0)),"-")</f>
        <v>["""KMKKSB"""]</v>
      </c>
      <c r="AC129" s="1" t="str">
        <f>CONCATENATE(ВСЕ_КОДЫ[[#This Row],[CONTEST_CODE]],"_",ВСЕ_КОДЫ[[#This Row],[TOURNAMENT_CODE]])</f>
        <v>CONTEST_10_01_TOURNAMENT_10_01_05</v>
      </c>
      <c r="AD129" s="1" t="str">
        <f>ВСЕ_КОДЫ[[#This Row],[FULL_NAME]]</f>
        <v>Активы. ТОП-1 по условным сделкам</v>
      </c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idden="1" x14ac:dyDescent="0.25">
      <c r="A130" s="1" t="s">
        <v>53</v>
      </c>
      <c r="B130" s="1" t="s">
        <v>273</v>
      </c>
      <c r="C130" s="1" t="s">
        <v>353</v>
      </c>
      <c r="D130" s="1" t="s">
        <v>583</v>
      </c>
      <c r="E130" s="1" t="s">
        <v>54</v>
      </c>
      <c r="F130" s="1" t="s">
        <v>26</v>
      </c>
      <c r="G130" s="1" t="s">
        <v>27</v>
      </c>
      <c r="H130" s="1" t="s">
        <v>28</v>
      </c>
      <c r="I130" s="1" t="s">
        <v>50</v>
      </c>
      <c r="J130" s="1" t="s">
        <v>275</v>
      </c>
      <c r="K130" s="1" t="s">
        <v>276</v>
      </c>
      <c r="L130" s="1" t="s">
        <v>671</v>
      </c>
      <c r="M130" s="1" t="s">
        <v>176</v>
      </c>
      <c r="N130" s="1" t="s">
        <v>305</v>
      </c>
      <c r="O130" s="1" t="s">
        <v>354</v>
      </c>
      <c r="P130" s="1"/>
      <c r="Q130" s="1">
        <f>IFERROR(COUNTIFS(_report[TOURNAMENT_CODE],ВСЕ_КОДЫ[[#This Row],[TOURNAMENT_CODE]],_report[CONTEST_CODE],ВСЕ_КОДЫ[[#This Row],[CONTEST_CODE]]),"-")</f>
        <v>0</v>
      </c>
      <c r="R130" s="1" t="str">
        <f>IFERROR(INDEX(_SCHEDULE_[],MATCH(ВСЕ_КОДЫ[[#This Row],[CONTEST_CODE]],_SCHEDULE_[CONTEST_CODE],0),MATCH($R$1,_SCHEDULE_[#Headers],0)),"-")</f>
        <v>УДАЛЕН</v>
      </c>
      <c r="S130" s="1" t="str">
        <f>IFERROR(INDEX(_group_[],MATCH(ВСЕ_КОДЫ[[#This Row],[CONTEST_CODE]],_group_[CONTEST_CODE],0),MATCH($S$1,_group_[#Headers],0)),"-")</f>
        <v>BANK</v>
      </c>
      <c r="T130" s="1" t="str">
        <f>IFERROR(INDEX(_INDICATOR_[],MATCH(ВСЕ_КОДЫ[[#This Row],[CONTEST_CODE]],_INDICATOR_[CONTEST_CODE],0),MATCH($T$1,_INDICATOR_[#Headers],0)),"-")</f>
        <v>WAIT</v>
      </c>
      <c r="U130" s="1" t="str">
        <f>IFERROR(INDEX(_reward_link_[],MATCH(ВСЕ_КОДЫ[[#This Row],[CONTEST_CODE]],_reward_link_[CONTEST_CODE],0),MATCH($U$1,_reward_link_[#Headers],0)),"-")</f>
        <v>TB</v>
      </c>
      <c r="V130" s="1" t="str">
        <f>IFERROR(INDEX(_report[],MATCH(ВСЕ_КОДЫ[[#This Row],[CONTEST_CODE]],_report[CONTEST_CODE],0),MATCH($V$1,_report[#Headers],0)),"-")</f>
        <v>-</v>
      </c>
      <c r="W130" s="1" t="str">
        <f>IFERROR(INDEX(_reward_[],MATCH(ВСЕ_КОДЫ[[#This Row],[REWARD_CODE]],_reward_[REWARD_CODE],0),MATCH($W$1,_reward_[#Headers],0)),"-")</f>
        <v>ТОП-1 по числу сделок активов в стране</v>
      </c>
      <c r="X130" s="1" t="str">
        <f>IFERROR(INDEX(_group_[],MATCH(CONCATENATE(ВСЕ_КОДЫ[[#This Row],[CONTEST_CODE]],"_",X$2),#REF!,0),MATCH(X$1,_group_[#Headers],0)),"-")</f>
        <v>-</v>
      </c>
      <c r="Y130" s="1" t="str">
        <f>IFERROR(INDEX(_group_[],MATCH(CONCATENATE(ВСЕ_КОДЫ[[#This Row],[CONTEST_CODE]],"_",Y$2),#REF!,0),MATCH(Y$1,_group_[#Headers],0)),"-")</f>
        <v>-</v>
      </c>
      <c r="Z130" s="1" t="str">
        <f>IFERROR(INDEX(_group_[],MATCH(CONCATENATE(ВСЕ_КОДЫ[[#This Row],[CONTEST_CODE]],"_",Z$2),#REF!,0),MATCH(Z$1,_group_[#Headers],0)),"-")</f>
        <v>-</v>
      </c>
      <c r="AA130" s="1" t="str">
        <f>IFERROR(INDEX(_group_[],MATCH(CONCATENATE(ВСЕ_КОДЫ[[#This Row],[CONTEST_CODE]],"_",AA$2),#REF!,0),MATCH(AA$1,_group_[#Headers],0)),"-")</f>
        <v>-</v>
      </c>
      <c r="AB130" s="1" t="str">
        <f>IFERROR(INDEX(_DATA_[],MATCH(ВСЕ_КОДЫ[[#This Row],[CONTEST_CODE]],_DATA_[CONTEST_CODE],0),MATCH($AB$2,_DATA_[#Headers],0)),"-")</f>
        <v>["""KMKKSB"""]</v>
      </c>
      <c r="AC130" s="1" t="str">
        <f>CONCATENATE(ВСЕ_КОДЫ[[#This Row],[CONTEST_CODE]],"_",ВСЕ_КОДЫ[[#This Row],[TOURNAMENT_CODE]])</f>
        <v>CONTEST_10_01_TOURNAMENT_10_01_06</v>
      </c>
      <c r="AD130" s="1" t="str">
        <f>ВСЕ_КОДЫ[[#This Row],[FULL_NAME]]</f>
        <v>Активы. ТОП-1 по условным сделкам</v>
      </c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idden="1" x14ac:dyDescent="0.25">
      <c r="A131" s="1" t="s">
        <v>53</v>
      </c>
      <c r="B131" s="1" t="s">
        <v>672</v>
      </c>
      <c r="C131" s="1" t="s">
        <v>353</v>
      </c>
      <c r="D131" s="1" t="s">
        <v>583</v>
      </c>
      <c r="E131" s="1" t="s">
        <v>54</v>
      </c>
      <c r="F131" s="1" t="s">
        <v>26</v>
      </c>
      <c r="G131" s="1" t="s">
        <v>27</v>
      </c>
      <c r="H131" s="1" t="s">
        <v>28</v>
      </c>
      <c r="I131" s="1" t="s">
        <v>50</v>
      </c>
      <c r="J131" s="1" t="s">
        <v>644</v>
      </c>
      <c r="K131" s="1" t="s">
        <v>671</v>
      </c>
      <c r="L131" s="1" t="s">
        <v>247</v>
      </c>
      <c r="M131" s="1" t="s">
        <v>176</v>
      </c>
      <c r="N131" s="1" t="s">
        <v>305</v>
      </c>
      <c r="O131" s="1" t="s">
        <v>354</v>
      </c>
      <c r="P131" s="1"/>
      <c r="Q131" s="1">
        <f>IFERROR(COUNTIFS(_report[TOURNAMENT_CODE],ВСЕ_КОДЫ[[#This Row],[TOURNAMENT_CODE]],_report[CONTEST_CODE],ВСЕ_КОДЫ[[#This Row],[CONTEST_CODE]]),"-")</f>
        <v>0</v>
      </c>
      <c r="R131" s="1" t="str">
        <f>IFERROR(INDEX(_SCHEDULE_[],MATCH(ВСЕ_КОДЫ[[#This Row],[CONTEST_CODE]],_SCHEDULE_[CONTEST_CODE],0),MATCH($R$1,_SCHEDULE_[#Headers],0)),"-")</f>
        <v>УДАЛЕН</v>
      </c>
      <c r="S131" s="1" t="str">
        <f>IFERROR(INDEX(_group_[],MATCH(ВСЕ_КОДЫ[[#This Row],[CONTEST_CODE]],_group_[CONTEST_CODE],0),MATCH($S$1,_group_[#Headers],0)),"-")</f>
        <v>BANK</v>
      </c>
      <c r="T131" s="1" t="str">
        <f>IFERROR(INDEX(_INDICATOR_[],MATCH(ВСЕ_КОДЫ[[#This Row],[CONTEST_CODE]],_INDICATOR_[CONTEST_CODE],0),MATCH($T$1,_INDICATOR_[#Headers],0)),"-")</f>
        <v>WAIT</v>
      </c>
      <c r="U131" s="1" t="str">
        <f>IFERROR(INDEX(_reward_link_[],MATCH(ВСЕ_КОДЫ[[#This Row],[CONTEST_CODE]],_reward_link_[CONTEST_CODE],0),MATCH($U$1,_reward_link_[#Headers],0)),"-")</f>
        <v>TB</v>
      </c>
      <c r="V131" s="1" t="str">
        <f>IFERROR(INDEX(_report[],MATCH(ВСЕ_КОДЫ[[#This Row],[CONTEST_CODE]],_report[CONTEST_CODE],0),MATCH($V$1,_report[#Headers],0)),"-")</f>
        <v>-</v>
      </c>
      <c r="W131" s="1" t="str">
        <f>IFERROR(INDEX(_reward_[],MATCH(ВСЕ_КОДЫ[[#This Row],[REWARD_CODE]],_reward_[REWARD_CODE],0),MATCH($W$1,_reward_[#Headers],0)),"-")</f>
        <v>ТОП-1 по числу сделок активов в стране</v>
      </c>
      <c r="X131" s="1" t="str">
        <f>IFERROR(INDEX(_group_[],MATCH(CONCATENATE(ВСЕ_КОДЫ[[#This Row],[CONTEST_CODE]],"_",X$2),#REF!,0),MATCH(X$1,_group_[#Headers],0)),"-")</f>
        <v>-</v>
      </c>
      <c r="Y131" s="1" t="str">
        <f>IFERROR(INDEX(_group_[],MATCH(CONCATENATE(ВСЕ_КОДЫ[[#This Row],[CONTEST_CODE]],"_",Y$2),#REF!,0),MATCH(Y$1,_group_[#Headers],0)),"-")</f>
        <v>-</v>
      </c>
      <c r="Z131" s="1" t="str">
        <f>IFERROR(INDEX(_group_[],MATCH(CONCATENATE(ВСЕ_КОДЫ[[#This Row],[CONTEST_CODE]],"_",Z$2),#REF!,0),MATCH(Z$1,_group_[#Headers],0)),"-")</f>
        <v>-</v>
      </c>
      <c r="AA131" s="1" t="str">
        <f>IFERROR(INDEX(_group_[],MATCH(CONCATENATE(ВСЕ_КОДЫ[[#This Row],[CONTEST_CODE]],"_",AA$2),#REF!,0),MATCH(AA$1,_group_[#Headers],0)),"-")</f>
        <v>-</v>
      </c>
      <c r="AB131" s="1" t="str">
        <f>IFERROR(INDEX(_DATA_[],MATCH(ВСЕ_КОДЫ[[#This Row],[CONTEST_CODE]],_DATA_[CONTEST_CODE],0),MATCH($AB$2,_DATA_[#Headers],0)),"-")</f>
        <v>["""KMKKSB"""]</v>
      </c>
      <c r="AC131" s="1" t="str">
        <f>CONCATENATE(ВСЕ_КОДЫ[[#This Row],[CONTEST_CODE]],"_",ВСЕ_КОДЫ[[#This Row],[TOURNAMENT_CODE]])</f>
        <v>CONTEST_10_01_TOURNAMENT_10_01_07</v>
      </c>
      <c r="AD131" s="1" t="str">
        <f>ВСЕ_КОДЫ[[#This Row],[FULL_NAME]]</f>
        <v>Активы. ТОП-1 по условным сделкам</v>
      </c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idden="1" x14ac:dyDescent="0.25">
      <c r="A132" s="1" t="s">
        <v>53</v>
      </c>
      <c r="B132" s="1" t="s">
        <v>673</v>
      </c>
      <c r="C132" s="1" t="s">
        <v>353</v>
      </c>
      <c r="D132" s="1" t="s">
        <v>583</v>
      </c>
      <c r="E132" s="1" t="s">
        <v>54</v>
      </c>
      <c r="F132" s="1" t="s">
        <v>26</v>
      </c>
      <c r="G132" s="1" t="s">
        <v>27</v>
      </c>
      <c r="H132" s="1" t="s">
        <v>28</v>
      </c>
      <c r="I132" s="1" t="s">
        <v>50</v>
      </c>
      <c r="J132" s="1" t="s">
        <v>674</v>
      </c>
      <c r="K132" s="1" t="s">
        <v>675</v>
      </c>
      <c r="L132" s="1" t="s">
        <v>1038</v>
      </c>
      <c r="M132" s="1" t="s">
        <v>176</v>
      </c>
      <c r="N132" s="1" t="s">
        <v>305</v>
      </c>
      <c r="O132" s="1" t="s">
        <v>354</v>
      </c>
      <c r="P132" s="1"/>
      <c r="Q132" s="1">
        <f>IFERROR(COUNTIFS(_report[TOURNAMENT_CODE],ВСЕ_КОДЫ[[#This Row],[TOURNAMENT_CODE]],_report[CONTEST_CODE],ВСЕ_КОДЫ[[#This Row],[CONTEST_CODE]]),"-")</f>
        <v>0</v>
      </c>
      <c r="R132" s="1" t="str">
        <f>IFERROR(INDEX(_SCHEDULE_[],MATCH(ВСЕ_КОДЫ[[#This Row],[CONTEST_CODE]],_SCHEDULE_[CONTEST_CODE],0),MATCH($R$1,_SCHEDULE_[#Headers],0)),"-")</f>
        <v>УДАЛЕН</v>
      </c>
      <c r="S132" s="1" t="str">
        <f>IFERROR(INDEX(_group_[],MATCH(ВСЕ_КОДЫ[[#This Row],[CONTEST_CODE]],_group_[CONTEST_CODE],0),MATCH($S$1,_group_[#Headers],0)),"-")</f>
        <v>BANK</v>
      </c>
      <c r="T132" s="1" t="str">
        <f>IFERROR(INDEX(_INDICATOR_[],MATCH(ВСЕ_КОДЫ[[#This Row],[CONTEST_CODE]],_INDICATOR_[CONTEST_CODE],0),MATCH($T$1,_INDICATOR_[#Headers],0)),"-")</f>
        <v>WAIT</v>
      </c>
      <c r="U132" s="1" t="str">
        <f>IFERROR(INDEX(_reward_link_[],MATCH(ВСЕ_КОДЫ[[#This Row],[CONTEST_CODE]],_reward_link_[CONTEST_CODE],0),MATCH($U$1,_reward_link_[#Headers],0)),"-")</f>
        <v>TB</v>
      </c>
      <c r="V132" s="1" t="str">
        <f>IFERROR(INDEX(_report[],MATCH(ВСЕ_КОДЫ[[#This Row],[CONTEST_CODE]],_report[CONTEST_CODE],0),MATCH($V$1,_report[#Headers],0)),"-")</f>
        <v>-</v>
      </c>
      <c r="W132" s="1" t="str">
        <f>IFERROR(INDEX(_reward_[],MATCH(ВСЕ_КОДЫ[[#This Row],[REWARD_CODE]],_reward_[REWARD_CODE],0),MATCH($W$1,_reward_[#Headers],0)),"-")</f>
        <v>ТОП-1 по числу сделок активов в стране</v>
      </c>
      <c r="X132" s="1" t="str">
        <f>IFERROR(INDEX(_group_[],MATCH(CONCATENATE(ВСЕ_КОДЫ[[#This Row],[CONTEST_CODE]],"_",X$2),#REF!,0),MATCH(X$1,_group_[#Headers],0)),"-")</f>
        <v>-</v>
      </c>
      <c r="Y132" s="1" t="str">
        <f>IFERROR(INDEX(_group_[],MATCH(CONCATENATE(ВСЕ_КОДЫ[[#This Row],[CONTEST_CODE]],"_",Y$2),#REF!,0),MATCH(Y$1,_group_[#Headers],0)),"-")</f>
        <v>-</v>
      </c>
      <c r="Z132" s="1" t="str">
        <f>IFERROR(INDEX(_group_[],MATCH(CONCATENATE(ВСЕ_КОДЫ[[#This Row],[CONTEST_CODE]],"_",Z$2),#REF!,0),MATCH(Z$1,_group_[#Headers],0)),"-")</f>
        <v>-</v>
      </c>
      <c r="AA132" s="1" t="str">
        <f>IFERROR(INDEX(_group_[],MATCH(CONCATENATE(ВСЕ_КОДЫ[[#This Row],[CONTEST_CODE]],"_",AA$2),#REF!,0),MATCH(AA$1,_group_[#Headers],0)),"-")</f>
        <v>-</v>
      </c>
      <c r="AB132" s="1" t="str">
        <f>IFERROR(INDEX(_DATA_[],MATCH(ВСЕ_КОДЫ[[#This Row],[CONTEST_CODE]],_DATA_[CONTEST_CODE],0),MATCH($AB$2,_DATA_[#Headers],0)),"-")</f>
        <v>["""KMKKSB"""]</v>
      </c>
      <c r="AC132" s="1" t="str">
        <f>CONCATENATE(ВСЕ_КОДЫ[[#This Row],[CONTEST_CODE]],"_",ВСЕ_КОДЫ[[#This Row],[TOURNAMENT_CODE]])</f>
        <v>CONTEST_10_01_TOURNAMENT_10_01_08</v>
      </c>
      <c r="AD132" s="1" t="str">
        <f>ВСЕ_КОДЫ[[#This Row],[FULL_NAME]]</f>
        <v>Активы. ТОП-1 по условным сделкам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idden="1" x14ac:dyDescent="0.25">
      <c r="A133" s="1" t="s">
        <v>53</v>
      </c>
      <c r="B133" s="1" t="s">
        <v>710</v>
      </c>
      <c r="C133" s="1" t="s">
        <v>353</v>
      </c>
      <c r="D133" s="1" t="s">
        <v>583</v>
      </c>
      <c r="E133" s="1" t="s">
        <v>54</v>
      </c>
      <c r="F133" s="1" t="s">
        <v>26</v>
      </c>
      <c r="G133" s="1" t="s">
        <v>27</v>
      </c>
      <c r="H133" s="1" t="s">
        <v>28</v>
      </c>
      <c r="I133" s="1" t="s">
        <v>50</v>
      </c>
      <c r="J133" s="1" t="s">
        <v>709</v>
      </c>
      <c r="K133" s="1" t="s">
        <v>711</v>
      </c>
      <c r="L133" s="1" t="s">
        <v>253</v>
      </c>
      <c r="M133" s="1" t="s">
        <v>155</v>
      </c>
      <c r="N133" s="1" t="s">
        <v>305</v>
      </c>
      <c r="O133" s="1" t="s">
        <v>354</v>
      </c>
      <c r="P133" s="1"/>
      <c r="Q133" s="1">
        <f>IFERROR(COUNTIFS(_report[TOURNAMENT_CODE],ВСЕ_КОДЫ[[#This Row],[TOURNAMENT_CODE]],_report[CONTEST_CODE],ВСЕ_КОДЫ[[#This Row],[CONTEST_CODE]]),"-")</f>
        <v>0</v>
      </c>
      <c r="R133" s="1" t="str">
        <f>IFERROR(INDEX(_SCHEDULE_[],MATCH(ВСЕ_КОДЫ[[#This Row],[CONTEST_CODE]],_SCHEDULE_[CONTEST_CODE],0),MATCH($R$1,_SCHEDULE_[#Headers],0)),"-")</f>
        <v>УДАЛЕН</v>
      </c>
      <c r="S133" s="1" t="str">
        <f>IFERROR(INDEX(_group_[],MATCH(ВСЕ_КОДЫ[[#This Row],[CONTEST_CODE]],_group_[CONTEST_CODE],0),MATCH($S$1,_group_[#Headers],0)),"-")</f>
        <v>BANK</v>
      </c>
      <c r="T133" s="1" t="str">
        <f>IFERROR(INDEX(_INDICATOR_[],MATCH(ВСЕ_КОДЫ[[#This Row],[CONTEST_CODE]],_INDICATOR_[CONTEST_CODE],0),MATCH($T$1,_INDICATOR_[#Headers],0)),"-")</f>
        <v>WAIT</v>
      </c>
      <c r="U133" s="1" t="str">
        <f>IFERROR(INDEX(_reward_link_[],MATCH(ВСЕ_КОДЫ[[#This Row],[CONTEST_CODE]],_reward_link_[CONTEST_CODE],0),MATCH($U$1,_reward_link_[#Headers],0)),"-")</f>
        <v>TB</v>
      </c>
      <c r="V133" s="1" t="str">
        <f>IFERROR(INDEX(_report[],MATCH(ВСЕ_КОДЫ[[#This Row],[CONTEST_CODE]],_report[CONTEST_CODE],0),MATCH($V$1,_report[#Headers],0)),"-")</f>
        <v>-</v>
      </c>
      <c r="W133" s="1" t="str">
        <f>IFERROR(INDEX(_reward_[],MATCH(ВСЕ_КОДЫ[[#This Row],[REWARD_CODE]],_reward_[REWARD_CODE],0),MATCH($W$1,_reward_[#Headers],0)),"-")</f>
        <v>ТОП-1 по числу сделок активов в стране</v>
      </c>
      <c r="X133" s="1" t="str">
        <f>IFERROR(INDEX(_group_[],MATCH(CONCATENATE(ВСЕ_КОДЫ[[#This Row],[CONTEST_CODE]],"_",X$2),#REF!,0),MATCH(X$1,_group_[#Headers],0)),"-")</f>
        <v>-</v>
      </c>
      <c r="Y133" s="1" t="str">
        <f>IFERROR(INDEX(_group_[],MATCH(CONCATENATE(ВСЕ_КОДЫ[[#This Row],[CONTEST_CODE]],"_",Y$2),#REF!,0),MATCH(Y$1,_group_[#Headers],0)),"-")</f>
        <v>-</v>
      </c>
      <c r="Z133" s="1" t="str">
        <f>IFERROR(INDEX(_group_[],MATCH(CONCATENATE(ВСЕ_КОДЫ[[#This Row],[CONTEST_CODE]],"_",Z$2),#REF!,0),MATCH(Z$1,_group_[#Headers],0)),"-")</f>
        <v>-</v>
      </c>
      <c r="AA133" s="1" t="str">
        <f>IFERROR(INDEX(_group_[],MATCH(CONCATENATE(ВСЕ_КОДЫ[[#This Row],[CONTEST_CODE]],"_",AA$2),#REF!,0),MATCH(AA$1,_group_[#Headers],0)),"-")</f>
        <v>-</v>
      </c>
      <c r="AB133" s="1" t="str">
        <f>IFERROR(INDEX(_DATA_[],MATCH(ВСЕ_КОДЫ[[#This Row],[CONTEST_CODE]],_DATA_[CONTEST_CODE],0),MATCH($AB$2,_DATA_[#Headers],0)),"-")</f>
        <v>["""KMKKSB"""]</v>
      </c>
      <c r="AC133" s="1" t="str">
        <f>CONCATENATE(ВСЕ_КОДЫ[[#This Row],[CONTEST_CODE]],"_",ВСЕ_КОДЫ[[#This Row],[TOURNAMENT_CODE]])</f>
        <v>CONTEST_10_01_TOURNAMENT_10_01_09</v>
      </c>
      <c r="AD133" s="1" t="str">
        <f>ВСЕ_КОДЫ[[#This Row],[FULL_NAME]]</f>
        <v>Активы. ТОП-1 по условным сделкам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idden="1" x14ac:dyDescent="0.25">
      <c r="A134" s="1" t="s">
        <v>53</v>
      </c>
      <c r="B134" s="1" t="s">
        <v>255</v>
      </c>
      <c r="C134" s="1" t="s">
        <v>350</v>
      </c>
      <c r="D134" s="1" t="s">
        <v>586</v>
      </c>
      <c r="E134" s="1" t="s">
        <v>54</v>
      </c>
      <c r="F134" s="1" t="s">
        <v>26</v>
      </c>
      <c r="G134" s="1" t="s">
        <v>27</v>
      </c>
      <c r="H134" s="1" t="s">
        <v>28</v>
      </c>
      <c r="I134" s="1" t="s">
        <v>50</v>
      </c>
      <c r="J134" s="1" t="s">
        <v>256</v>
      </c>
      <c r="K134" s="1" t="s">
        <v>257</v>
      </c>
      <c r="L134" s="1" t="s">
        <v>258</v>
      </c>
      <c r="M134" s="1" t="s">
        <v>155</v>
      </c>
      <c r="N134" s="1" t="s">
        <v>305</v>
      </c>
      <c r="O134" s="1" t="s">
        <v>351</v>
      </c>
      <c r="P134" s="1"/>
      <c r="Q134" s="1">
        <f>IFERROR(COUNTIFS(_report[TOURNAMENT_CODE],ВСЕ_КОДЫ[[#This Row],[TOURNAMENT_CODE]],_report[CONTEST_CODE],ВСЕ_КОДЫ[[#This Row],[CONTEST_CODE]]),"-")</f>
        <v>0</v>
      </c>
      <c r="R134" s="1" t="str">
        <f>IFERROR(INDEX(_SCHEDULE_[],MATCH(ВСЕ_КОДЫ[[#This Row],[CONTEST_CODE]],_SCHEDULE_[CONTEST_CODE],0),MATCH($R$1,_SCHEDULE_[#Headers],0)),"-")</f>
        <v>УДАЛЕН</v>
      </c>
      <c r="S134" s="1" t="str">
        <f>IFERROR(INDEX(_group_[],MATCH(ВСЕ_КОДЫ[[#This Row],[CONTEST_CODE]],_group_[CONTEST_CODE],0),MATCH($S$1,_group_[#Headers],0)),"-")</f>
        <v>BANK</v>
      </c>
      <c r="T134" s="1" t="str">
        <f>IFERROR(INDEX(_INDICATOR_[],MATCH(ВСЕ_КОДЫ[[#This Row],[CONTEST_CODE]],_INDICATOR_[CONTEST_CODE],0),MATCH($T$1,_INDICATOR_[#Headers],0)),"-")</f>
        <v>WAIT</v>
      </c>
      <c r="U134" s="1" t="str">
        <f>IFERROR(INDEX(_reward_link_[],MATCH(ВСЕ_КОДЫ[[#This Row],[CONTEST_CODE]],_reward_link_[CONTEST_CODE],0),MATCH($U$1,_reward_link_[#Headers],0)),"-")</f>
        <v>TB</v>
      </c>
      <c r="V134" s="1" t="str">
        <f>IFERROR(INDEX(_report[],MATCH(ВСЕ_КОДЫ[[#This Row],[CONTEST_CODE]],_report[CONTEST_CODE],0),MATCH($V$1,_report[#Headers],0)),"-")</f>
        <v>-</v>
      </c>
      <c r="W134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34" s="1" t="str">
        <f>IFERROR(INDEX(_group_[],MATCH(CONCATENATE(ВСЕ_КОДЫ[[#This Row],[CONTEST_CODE]],"_",X$2),#REF!,0),MATCH(X$1,_group_[#Headers],0)),"-")</f>
        <v>-</v>
      </c>
      <c r="Y134" s="1" t="str">
        <f>IFERROR(INDEX(_group_[],MATCH(CONCATENATE(ВСЕ_КОДЫ[[#This Row],[CONTEST_CODE]],"_",Y$2),#REF!,0),MATCH(Y$1,_group_[#Headers],0)),"-")</f>
        <v>-</v>
      </c>
      <c r="Z134" s="1" t="str">
        <f>IFERROR(INDEX(_group_[],MATCH(CONCATENATE(ВСЕ_КОДЫ[[#This Row],[CONTEST_CODE]],"_",Z$2),#REF!,0),MATCH(Z$1,_group_[#Headers],0)),"-")</f>
        <v>-</v>
      </c>
      <c r="AA134" s="1" t="str">
        <f>IFERROR(INDEX(_group_[],MATCH(CONCATENATE(ВСЕ_КОДЫ[[#This Row],[CONTEST_CODE]],"_",AA$2),#REF!,0),MATCH(AA$1,_group_[#Headers],0)),"-")</f>
        <v>-</v>
      </c>
      <c r="AB134" s="1" t="str">
        <f>IFERROR(INDEX(_DATA_[],MATCH(ВСЕ_КОДЫ[[#This Row],[CONTEST_CODE]],_DATA_[CONTEST_CODE],0),MATCH($AB$2,_DATA_[#Headers],0)),"-")</f>
        <v>["""KMKKSB"""]</v>
      </c>
      <c r="AC134" s="1" t="str">
        <f>CONCATENATE(ВСЕ_КОДЫ[[#This Row],[CONTEST_CODE]],"_",ВСЕ_КОДЫ[[#This Row],[TOURNAMENT_CODE]])</f>
        <v>CONTEST_10_01_TOURNAMENT_10_01_01</v>
      </c>
      <c r="AD134" s="1" t="str">
        <f>ВСЕ_КОДЫ[[#This Row],[FULL_NAME]]</f>
        <v>Активы. ТОП-1 по условным сделкам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idden="1" x14ac:dyDescent="0.25">
      <c r="A135" s="1" t="s">
        <v>53</v>
      </c>
      <c r="B135" s="1" t="s">
        <v>259</v>
      </c>
      <c r="C135" s="1" t="s">
        <v>350</v>
      </c>
      <c r="D135" s="1" t="s">
        <v>586</v>
      </c>
      <c r="E135" s="1" t="s">
        <v>54</v>
      </c>
      <c r="F135" s="1" t="s">
        <v>26</v>
      </c>
      <c r="G135" s="1" t="s">
        <v>27</v>
      </c>
      <c r="H135" s="1" t="s">
        <v>28</v>
      </c>
      <c r="I135" s="1" t="s">
        <v>50</v>
      </c>
      <c r="J135" s="1" t="s">
        <v>260</v>
      </c>
      <c r="K135" s="1" t="s">
        <v>261</v>
      </c>
      <c r="L135" s="1" t="s">
        <v>250</v>
      </c>
      <c r="M135" s="1" t="s">
        <v>176</v>
      </c>
      <c r="N135" s="1" t="s">
        <v>305</v>
      </c>
      <c r="O135" s="1" t="s">
        <v>351</v>
      </c>
      <c r="P135" s="1"/>
      <c r="Q135" s="1">
        <f>IFERROR(COUNTIFS(_report[TOURNAMENT_CODE],ВСЕ_КОДЫ[[#This Row],[TOURNAMENT_CODE]],_report[CONTEST_CODE],ВСЕ_КОДЫ[[#This Row],[CONTEST_CODE]]),"-")</f>
        <v>0</v>
      </c>
      <c r="R135" s="1" t="str">
        <f>IFERROR(INDEX(_SCHEDULE_[],MATCH(ВСЕ_КОДЫ[[#This Row],[CONTEST_CODE]],_SCHEDULE_[CONTEST_CODE],0),MATCH($R$1,_SCHEDULE_[#Headers],0)),"-")</f>
        <v>УДАЛЕН</v>
      </c>
      <c r="S135" s="1" t="str">
        <f>IFERROR(INDEX(_group_[],MATCH(ВСЕ_КОДЫ[[#This Row],[CONTEST_CODE]],_group_[CONTEST_CODE],0),MATCH($S$1,_group_[#Headers],0)),"-")</f>
        <v>BANK</v>
      </c>
      <c r="T135" s="1" t="str">
        <f>IFERROR(INDEX(_INDICATOR_[],MATCH(ВСЕ_КОДЫ[[#This Row],[CONTEST_CODE]],_INDICATOR_[CONTEST_CODE],0),MATCH($T$1,_INDICATOR_[#Headers],0)),"-")</f>
        <v>WAIT</v>
      </c>
      <c r="U135" s="1" t="str">
        <f>IFERROR(INDEX(_reward_link_[],MATCH(ВСЕ_КОДЫ[[#This Row],[CONTEST_CODE]],_reward_link_[CONTEST_CODE],0),MATCH($U$1,_reward_link_[#Headers],0)),"-")</f>
        <v>TB</v>
      </c>
      <c r="V135" s="1" t="str">
        <f>IFERROR(INDEX(_report[],MATCH(ВСЕ_КОДЫ[[#This Row],[CONTEST_CODE]],_report[CONTEST_CODE],0),MATCH($V$1,_report[#Headers],0)),"-")</f>
        <v>-</v>
      </c>
      <c r="W135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35" s="1" t="str">
        <f>IFERROR(INDEX(_group_[],MATCH(CONCATENATE(ВСЕ_КОДЫ[[#This Row],[CONTEST_CODE]],"_",X$2),#REF!,0),MATCH(X$1,_group_[#Headers],0)),"-")</f>
        <v>-</v>
      </c>
      <c r="Y135" s="1" t="str">
        <f>IFERROR(INDEX(_group_[],MATCH(CONCATENATE(ВСЕ_КОДЫ[[#This Row],[CONTEST_CODE]],"_",Y$2),#REF!,0),MATCH(Y$1,_group_[#Headers],0)),"-")</f>
        <v>-</v>
      </c>
      <c r="Z135" s="1" t="str">
        <f>IFERROR(INDEX(_group_[],MATCH(CONCATENATE(ВСЕ_КОДЫ[[#This Row],[CONTEST_CODE]],"_",Z$2),#REF!,0),MATCH(Z$1,_group_[#Headers],0)),"-")</f>
        <v>-</v>
      </c>
      <c r="AA135" s="1" t="str">
        <f>IFERROR(INDEX(_group_[],MATCH(CONCATENATE(ВСЕ_КОДЫ[[#This Row],[CONTEST_CODE]],"_",AA$2),#REF!,0),MATCH(AA$1,_group_[#Headers],0)),"-")</f>
        <v>-</v>
      </c>
      <c r="AB135" s="1" t="str">
        <f>IFERROR(INDEX(_DATA_[],MATCH(ВСЕ_КОДЫ[[#This Row],[CONTEST_CODE]],_DATA_[CONTEST_CODE],0),MATCH($AB$2,_DATA_[#Headers],0)),"-")</f>
        <v>["""KMKKSB"""]</v>
      </c>
      <c r="AC135" s="1" t="str">
        <f>CONCATENATE(ВСЕ_КОДЫ[[#This Row],[CONTEST_CODE]],"_",ВСЕ_КОДЫ[[#This Row],[TOURNAMENT_CODE]])</f>
        <v>CONTEST_10_01_TOURNAMENT_10_01_02</v>
      </c>
      <c r="AD135" s="1" t="str">
        <f>ВСЕ_КОДЫ[[#This Row],[FULL_NAME]]</f>
        <v>Активы. ТОП-1 по условным сделкам</v>
      </c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idden="1" x14ac:dyDescent="0.25">
      <c r="A136" s="1" t="s">
        <v>53</v>
      </c>
      <c r="B136" s="1" t="s">
        <v>262</v>
      </c>
      <c r="C136" s="1" t="s">
        <v>350</v>
      </c>
      <c r="D136" s="1" t="s">
        <v>586</v>
      </c>
      <c r="E136" s="1" t="s">
        <v>54</v>
      </c>
      <c r="F136" s="1" t="s">
        <v>26</v>
      </c>
      <c r="G136" s="1" t="s">
        <v>27</v>
      </c>
      <c r="H136" s="1" t="s">
        <v>28</v>
      </c>
      <c r="I136" s="1" t="s">
        <v>50</v>
      </c>
      <c r="J136" s="1" t="s">
        <v>263</v>
      </c>
      <c r="K136" s="1" t="s">
        <v>264</v>
      </c>
      <c r="L136" s="1" t="s">
        <v>265</v>
      </c>
      <c r="M136" s="1" t="s">
        <v>176</v>
      </c>
      <c r="N136" s="1" t="s">
        <v>305</v>
      </c>
      <c r="O136" s="1" t="s">
        <v>351</v>
      </c>
      <c r="P136" s="1"/>
      <c r="Q136" s="1">
        <f>IFERROR(COUNTIFS(_report[TOURNAMENT_CODE],ВСЕ_КОДЫ[[#This Row],[TOURNAMENT_CODE]],_report[CONTEST_CODE],ВСЕ_КОДЫ[[#This Row],[CONTEST_CODE]]),"-")</f>
        <v>0</v>
      </c>
      <c r="R136" s="1" t="str">
        <f>IFERROR(INDEX(_SCHEDULE_[],MATCH(ВСЕ_КОДЫ[[#This Row],[CONTEST_CODE]],_SCHEDULE_[CONTEST_CODE],0),MATCH($R$1,_SCHEDULE_[#Headers],0)),"-")</f>
        <v>УДАЛЕН</v>
      </c>
      <c r="S136" s="1" t="str">
        <f>IFERROR(INDEX(_group_[],MATCH(ВСЕ_КОДЫ[[#This Row],[CONTEST_CODE]],_group_[CONTEST_CODE],0),MATCH($S$1,_group_[#Headers],0)),"-")</f>
        <v>BANK</v>
      </c>
      <c r="T136" s="1" t="str">
        <f>IFERROR(INDEX(_INDICATOR_[],MATCH(ВСЕ_КОДЫ[[#This Row],[CONTEST_CODE]],_INDICATOR_[CONTEST_CODE],0),MATCH($T$1,_INDICATOR_[#Headers],0)),"-")</f>
        <v>WAIT</v>
      </c>
      <c r="U136" s="1" t="str">
        <f>IFERROR(INDEX(_reward_link_[],MATCH(ВСЕ_КОДЫ[[#This Row],[CONTEST_CODE]],_reward_link_[CONTEST_CODE],0),MATCH($U$1,_reward_link_[#Headers],0)),"-")</f>
        <v>TB</v>
      </c>
      <c r="V136" s="1" t="str">
        <f>IFERROR(INDEX(_report[],MATCH(ВСЕ_КОДЫ[[#This Row],[CONTEST_CODE]],_report[CONTEST_CODE],0),MATCH($V$1,_report[#Headers],0)),"-")</f>
        <v>-</v>
      </c>
      <c r="W136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36" s="1" t="str">
        <f>IFERROR(INDEX(_group_[],MATCH(CONCATENATE(ВСЕ_КОДЫ[[#This Row],[CONTEST_CODE]],"_",X$2),#REF!,0),MATCH(X$1,_group_[#Headers],0)),"-")</f>
        <v>-</v>
      </c>
      <c r="Y136" s="1" t="str">
        <f>IFERROR(INDEX(_group_[],MATCH(CONCATENATE(ВСЕ_КОДЫ[[#This Row],[CONTEST_CODE]],"_",Y$2),#REF!,0),MATCH(Y$1,_group_[#Headers],0)),"-")</f>
        <v>-</v>
      </c>
      <c r="Z136" s="1" t="str">
        <f>IFERROR(INDEX(_group_[],MATCH(CONCATENATE(ВСЕ_КОДЫ[[#This Row],[CONTEST_CODE]],"_",Z$2),#REF!,0),MATCH(Z$1,_group_[#Headers],0)),"-")</f>
        <v>-</v>
      </c>
      <c r="AA136" s="1" t="str">
        <f>IFERROR(INDEX(_group_[],MATCH(CONCATENATE(ВСЕ_КОДЫ[[#This Row],[CONTEST_CODE]],"_",AA$2),#REF!,0),MATCH(AA$1,_group_[#Headers],0)),"-")</f>
        <v>-</v>
      </c>
      <c r="AB136" s="1" t="str">
        <f>IFERROR(INDEX(_DATA_[],MATCH(ВСЕ_КОДЫ[[#This Row],[CONTEST_CODE]],_DATA_[CONTEST_CODE],0),MATCH($AB$2,_DATA_[#Headers],0)),"-")</f>
        <v>["""KMKKSB"""]</v>
      </c>
      <c r="AC136" s="1" t="str">
        <f>CONCATENATE(ВСЕ_КОДЫ[[#This Row],[CONTEST_CODE]],"_",ВСЕ_КОДЫ[[#This Row],[TOURNAMENT_CODE]])</f>
        <v>CONTEST_10_01_TOURNAMENT_10_01_03</v>
      </c>
      <c r="AD136" s="1" t="str">
        <f>ВСЕ_КОДЫ[[#This Row],[FULL_NAME]]</f>
        <v>Активы. ТОП-1 по условным сделкам</v>
      </c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idden="1" x14ac:dyDescent="0.25">
      <c r="A137" s="1" t="s">
        <v>53</v>
      </c>
      <c r="B137" s="1" t="s">
        <v>266</v>
      </c>
      <c r="C137" s="1" t="s">
        <v>350</v>
      </c>
      <c r="D137" s="1" t="s">
        <v>586</v>
      </c>
      <c r="E137" s="1" t="s">
        <v>54</v>
      </c>
      <c r="F137" s="1" t="s">
        <v>26</v>
      </c>
      <c r="G137" s="1" t="s">
        <v>27</v>
      </c>
      <c r="H137" s="1" t="s">
        <v>28</v>
      </c>
      <c r="I137" s="1" t="s">
        <v>50</v>
      </c>
      <c r="J137" s="1" t="s">
        <v>267</v>
      </c>
      <c r="K137" s="1" t="s">
        <v>241</v>
      </c>
      <c r="L137" s="1" t="s">
        <v>268</v>
      </c>
      <c r="M137" s="1" t="s">
        <v>176</v>
      </c>
      <c r="N137" s="1" t="s">
        <v>305</v>
      </c>
      <c r="O137" s="1" t="s">
        <v>351</v>
      </c>
      <c r="P137" s="1"/>
      <c r="Q137" s="1">
        <f>IFERROR(COUNTIFS(_report[TOURNAMENT_CODE],ВСЕ_КОДЫ[[#This Row],[TOURNAMENT_CODE]],_report[CONTEST_CODE],ВСЕ_КОДЫ[[#This Row],[CONTEST_CODE]]),"-")</f>
        <v>0</v>
      </c>
      <c r="R137" s="1" t="str">
        <f>IFERROR(INDEX(_SCHEDULE_[],MATCH(ВСЕ_КОДЫ[[#This Row],[CONTEST_CODE]],_SCHEDULE_[CONTEST_CODE],0),MATCH($R$1,_SCHEDULE_[#Headers],0)),"-")</f>
        <v>УДАЛЕН</v>
      </c>
      <c r="S137" s="1" t="str">
        <f>IFERROR(INDEX(_group_[],MATCH(ВСЕ_КОДЫ[[#This Row],[CONTEST_CODE]],_group_[CONTEST_CODE],0),MATCH($S$1,_group_[#Headers],0)),"-")</f>
        <v>BANK</v>
      </c>
      <c r="T137" s="1" t="str">
        <f>IFERROR(INDEX(_INDICATOR_[],MATCH(ВСЕ_КОДЫ[[#This Row],[CONTEST_CODE]],_INDICATOR_[CONTEST_CODE],0),MATCH($T$1,_INDICATOR_[#Headers],0)),"-")</f>
        <v>WAIT</v>
      </c>
      <c r="U137" s="1" t="str">
        <f>IFERROR(INDEX(_reward_link_[],MATCH(ВСЕ_КОДЫ[[#This Row],[CONTEST_CODE]],_reward_link_[CONTEST_CODE],0),MATCH($U$1,_reward_link_[#Headers],0)),"-")</f>
        <v>TB</v>
      </c>
      <c r="V137" s="1" t="str">
        <f>IFERROR(INDEX(_report[],MATCH(ВСЕ_КОДЫ[[#This Row],[CONTEST_CODE]],_report[CONTEST_CODE],0),MATCH($V$1,_report[#Headers],0)),"-")</f>
        <v>-</v>
      </c>
      <c r="W137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37" s="1" t="str">
        <f>IFERROR(INDEX(_group_[],MATCH(CONCATENATE(ВСЕ_КОДЫ[[#This Row],[CONTEST_CODE]],"_",X$2),#REF!,0),MATCH(X$1,_group_[#Headers],0)),"-")</f>
        <v>-</v>
      </c>
      <c r="Y137" s="1" t="str">
        <f>IFERROR(INDEX(_group_[],MATCH(CONCATENATE(ВСЕ_КОДЫ[[#This Row],[CONTEST_CODE]],"_",Y$2),#REF!,0),MATCH(Y$1,_group_[#Headers],0)),"-")</f>
        <v>-</v>
      </c>
      <c r="Z137" s="1" t="str">
        <f>IFERROR(INDEX(_group_[],MATCH(CONCATENATE(ВСЕ_КОДЫ[[#This Row],[CONTEST_CODE]],"_",Z$2),#REF!,0),MATCH(Z$1,_group_[#Headers],0)),"-")</f>
        <v>-</v>
      </c>
      <c r="AA137" s="1" t="str">
        <f>IFERROR(INDEX(_group_[],MATCH(CONCATENATE(ВСЕ_КОДЫ[[#This Row],[CONTEST_CODE]],"_",AA$2),#REF!,0),MATCH(AA$1,_group_[#Headers],0)),"-")</f>
        <v>-</v>
      </c>
      <c r="AB137" s="1" t="str">
        <f>IFERROR(INDEX(_DATA_[],MATCH(ВСЕ_КОДЫ[[#This Row],[CONTEST_CODE]],_DATA_[CONTEST_CODE],0),MATCH($AB$2,_DATA_[#Headers],0)),"-")</f>
        <v>["""KMKKSB"""]</v>
      </c>
      <c r="AC137" s="1" t="str">
        <f>CONCATENATE(ВСЕ_КОДЫ[[#This Row],[CONTEST_CODE]],"_",ВСЕ_КОДЫ[[#This Row],[TOURNAMENT_CODE]])</f>
        <v>CONTEST_10_01_TOURNAMENT_10_01_04</v>
      </c>
      <c r="AD137" s="1" t="str">
        <f>ВСЕ_КОДЫ[[#This Row],[FULL_NAME]]</f>
        <v>Активы. ТОП-1 по условным сделкам</v>
      </c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idden="1" x14ac:dyDescent="0.25">
      <c r="A138" s="1" t="s">
        <v>53</v>
      </c>
      <c r="B138" s="1" t="s">
        <v>269</v>
      </c>
      <c r="C138" s="1" t="s">
        <v>350</v>
      </c>
      <c r="D138" s="1" t="s">
        <v>586</v>
      </c>
      <c r="E138" s="1" t="s">
        <v>54</v>
      </c>
      <c r="F138" s="1" t="s">
        <v>26</v>
      </c>
      <c r="G138" s="1" t="s">
        <v>27</v>
      </c>
      <c r="H138" s="1" t="s">
        <v>28</v>
      </c>
      <c r="I138" s="1" t="s">
        <v>50</v>
      </c>
      <c r="J138" s="1" t="s">
        <v>270</v>
      </c>
      <c r="K138" s="1" t="s">
        <v>271</v>
      </c>
      <c r="L138" s="1" t="s">
        <v>272</v>
      </c>
      <c r="M138" s="1" t="s">
        <v>176</v>
      </c>
      <c r="N138" s="1" t="s">
        <v>305</v>
      </c>
      <c r="O138" s="1" t="s">
        <v>351</v>
      </c>
      <c r="P138" s="1"/>
      <c r="Q138" s="1">
        <f>IFERROR(COUNTIFS(_report[TOURNAMENT_CODE],ВСЕ_КОДЫ[[#This Row],[TOURNAMENT_CODE]],_report[CONTEST_CODE],ВСЕ_КОДЫ[[#This Row],[CONTEST_CODE]]),"-")</f>
        <v>0</v>
      </c>
      <c r="R138" s="1" t="str">
        <f>IFERROR(INDEX(_SCHEDULE_[],MATCH(ВСЕ_КОДЫ[[#This Row],[CONTEST_CODE]],_SCHEDULE_[CONTEST_CODE],0),MATCH($R$1,_SCHEDULE_[#Headers],0)),"-")</f>
        <v>УДАЛЕН</v>
      </c>
      <c r="S138" s="1" t="str">
        <f>IFERROR(INDEX(_group_[],MATCH(ВСЕ_КОДЫ[[#This Row],[CONTEST_CODE]],_group_[CONTEST_CODE],0),MATCH($S$1,_group_[#Headers],0)),"-")</f>
        <v>BANK</v>
      </c>
      <c r="T138" s="1" t="str">
        <f>IFERROR(INDEX(_INDICATOR_[],MATCH(ВСЕ_КОДЫ[[#This Row],[CONTEST_CODE]],_INDICATOR_[CONTEST_CODE],0),MATCH($T$1,_INDICATOR_[#Headers],0)),"-")</f>
        <v>WAIT</v>
      </c>
      <c r="U138" s="1" t="str">
        <f>IFERROR(INDEX(_reward_link_[],MATCH(ВСЕ_КОДЫ[[#This Row],[CONTEST_CODE]],_reward_link_[CONTEST_CODE],0),MATCH($U$1,_reward_link_[#Headers],0)),"-")</f>
        <v>TB</v>
      </c>
      <c r="V138" s="1" t="str">
        <f>IFERROR(INDEX(_report[],MATCH(ВСЕ_КОДЫ[[#This Row],[CONTEST_CODE]],_report[CONTEST_CODE],0),MATCH($V$1,_report[#Headers],0)),"-")</f>
        <v>-</v>
      </c>
      <c r="W138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38" s="1" t="str">
        <f>IFERROR(INDEX(_group_[],MATCH(CONCATENATE(ВСЕ_КОДЫ[[#This Row],[CONTEST_CODE]],"_",X$2),#REF!,0),MATCH(X$1,_group_[#Headers],0)),"-")</f>
        <v>-</v>
      </c>
      <c r="Y138" s="1" t="str">
        <f>IFERROR(INDEX(_group_[],MATCH(CONCATENATE(ВСЕ_КОДЫ[[#This Row],[CONTEST_CODE]],"_",Y$2),#REF!,0),MATCH(Y$1,_group_[#Headers],0)),"-")</f>
        <v>-</v>
      </c>
      <c r="Z138" s="1" t="str">
        <f>IFERROR(INDEX(_group_[],MATCH(CONCATENATE(ВСЕ_КОДЫ[[#This Row],[CONTEST_CODE]],"_",Z$2),#REF!,0),MATCH(Z$1,_group_[#Headers],0)),"-")</f>
        <v>-</v>
      </c>
      <c r="AA138" s="1" t="str">
        <f>IFERROR(INDEX(_group_[],MATCH(CONCATENATE(ВСЕ_КОДЫ[[#This Row],[CONTEST_CODE]],"_",AA$2),#REF!,0),MATCH(AA$1,_group_[#Headers],0)),"-")</f>
        <v>-</v>
      </c>
      <c r="AB138" s="1" t="str">
        <f>IFERROR(INDEX(_DATA_[],MATCH(ВСЕ_КОДЫ[[#This Row],[CONTEST_CODE]],_DATA_[CONTEST_CODE],0),MATCH($AB$2,_DATA_[#Headers],0)),"-")</f>
        <v>["""KMKKSB"""]</v>
      </c>
      <c r="AC138" s="1" t="str">
        <f>CONCATENATE(ВСЕ_КОДЫ[[#This Row],[CONTEST_CODE]],"_",ВСЕ_КОДЫ[[#This Row],[TOURNAMENT_CODE]])</f>
        <v>CONTEST_10_01_TOURNAMENT_10_01_05</v>
      </c>
      <c r="AD138" s="1" t="str">
        <f>ВСЕ_КОДЫ[[#This Row],[FULL_NAME]]</f>
        <v>Активы. ТОП-1 по условным сделкам</v>
      </c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idden="1" x14ac:dyDescent="0.25">
      <c r="A139" s="1" t="s">
        <v>53</v>
      </c>
      <c r="B139" s="1" t="s">
        <v>273</v>
      </c>
      <c r="C139" s="1" t="s">
        <v>350</v>
      </c>
      <c r="D139" s="1" t="s">
        <v>586</v>
      </c>
      <c r="E139" s="1" t="s">
        <v>54</v>
      </c>
      <c r="F139" s="1" t="s">
        <v>26</v>
      </c>
      <c r="G139" s="1" t="s">
        <v>27</v>
      </c>
      <c r="H139" s="1" t="s">
        <v>28</v>
      </c>
      <c r="I139" s="1" t="s">
        <v>50</v>
      </c>
      <c r="J139" s="1" t="s">
        <v>275</v>
      </c>
      <c r="K139" s="1" t="s">
        <v>276</v>
      </c>
      <c r="L139" s="1" t="s">
        <v>671</v>
      </c>
      <c r="M139" s="1" t="s">
        <v>176</v>
      </c>
      <c r="N139" s="1" t="s">
        <v>305</v>
      </c>
      <c r="O139" s="1" t="s">
        <v>351</v>
      </c>
      <c r="P139" s="1"/>
      <c r="Q139" s="1">
        <f>IFERROR(COUNTIFS(_report[TOURNAMENT_CODE],ВСЕ_КОДЫ[[#This Row],[TOURNAMENT_CODE]],_report[CONTEST_CODE],ВСЕ_КОДЫ[[#This Row],[CONTEST_CODE]]),"-")</f>
        <v>0</v>
      </c>
      <c r="R139" s="1" t="str">
        <f>IFERROR(INDEX(_SCHEDULE_[],MATCH(ВСЕ_КОДЫ[[#This Row],[CONTEST_CODE]],_SCHEDULE_[CONTEST_CODE],0),MATCH($R$1,_SCHEDULE_[#Headers],0)),"-")</f>
        <v>УДАЛЕН</v>
      </c>
      <c r="S139" s="1" t="str">
        <f>IFERROR(INDEX(_group_[],MATCH(ВСЕ_КОДЫ[[#This Row],[CONTEST_CODE]],_group_[CONTEST_CODE],0),MATCH($S$1,_group_[#Headers],0)),"-")</f>
        <v>BANK</v>
      </c>
      <c r="T139" s="1" t="str">
        <f>IFERROR(INDEX(_INDICATOR_[],MATCH(ВСЕ_КОДЫ[[#This Row],[CONTEST_CODE]],_INDICATOR_[CONTEST_CODE],0),MATCH($T$1,_INDICATOR_[#Headers],0)),"-")</f>
        <v>WAIT</v>
      </c>
      <c r="U139" s="1" t="str">
        <f>IFERROR(INDEX(_reward_link_[],MATCH(ВСЕ_КОДЫ[[#This Row],[CONTEST_CODE]],_reward_link_[CONTEST_CODE],0),MATCH($U$1,_reward_link_[#Headers],0)),"-")</f>
        <v>TB</v>
      </c>
      <c r="V139" s="1" t="str">
        <f>IFERROR(INDEX(_report[],MATCH(ВСЕ_КОДЫ[[#This Row],[CONTEST_CODE]],_report[CONTEST_CODE],0),MATCH($V$1,_report[#Headers],0)),"-")</f>
        <v>-</v>
      </c>
      <c r="W139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39" s="1" t="str">
        <f>IFERROR(INDEX(_group_[],MATCH(CONCATENATE(ВСЕ_КОДЫ[[#This Row],[CONTEST_CODE]],"_",X$2),#REF!,0),MATCH(X$1,_group_[#Headers],0)),"-")</f>
        <v>-</v>
      </c>
      <c r="Y139" s="1" t="str">
        <f>IFERROR(INDEX(_group_[],MATCH(CONCATENATE(ВСЕ_КОДЫ[[#This Row],[CONTEST_CODE]],"_",Y$2),#REF!,0),MATCH(Y$1,_group_[#Headers],0)),"-")</f>
        <v>-</v>
      </c>
      <c r="Z139" s="1" t="str">
        <f>IFERROR(INDEX(_group_[],MATCH(CONCATENATE(ВСЕ_КОДЫ[[#This Row],[CONTEST_CODE]],"_",Z$2),#REF!,0),MATCH(Z$1,_group_[#Headers],0)),"-")</f>
        <v>-</v>
      </c>
      <c r="AA139" s="1" t="str">
        <f>IFERROR(INDEX(_group_[],MATCH(CONCATENATE(ВСЕ_КОДЫ[[#This Row],[CONTEST_CODE]],"_",AA$2),#REF!,0),MATCH(AA$1,_group_[#Headers],0)),"-")</f>
        <v>-</v>
      </c>
      <c r="AB139" s="1" t="str">
        <f>IFERROR(INDEX(_DATA_[],MATCH(ВСЕ_КОДЫ[[#This Row],[CONTEST_CODE]],_DATA_[CONTEST_CODE],0),MATCH($AB$2,_DATA_[#Headers],0)),"-")</f>
        <v>["""KMKKSB"""]</v>
      </c>
      <c r="AC139" s="1" t="str">
        <f>CONCATENATE(ВСЕ_КОДЫ[[#This Row],[CONTEST_CODE]],"_",ВСЕ_КОДЫ[[#This Row],[TOURNAMENT_CODE]])</f>
        <v>CONTEST_10_01_TOURNAMENT_10_01_06</v>
      </c>
      <c r="AD139" s="1" t="str">
        <f>ВСЕ_КОДЫ[[#This Row],[FULL_NAME]]</f>
        <v>Активы. ТОП-1 по условным сделкам</v>
      </c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idden="1" x14ac:dyDescent="0.25">
      <c r="A140" s="1" t="s">
        <v>53</v>
      </c>
      <c r="B140" s="1" t="s">
        <v>672</v>
      </c>
      <c r="C140" s="1" t="s">
        <v>350</v>
      </c>
      <c r="D140" s="1" t="s">
        <v>586</v>
      </c>
      <c r="E140" s="1" t="s">
        <v>54</v>
      </c>
      <c r="F140" s="1" t="s">
        <v>26</v>
      </c>
      <c r="G140" s="1" t="s">
        <v>27</v>
      </c>
      <c r="H140" s="1" t="s">
        <v>28</v>
      </c>
      <c r="I140" s="1" t="s">
        <v>50</v>
      </c>
      <c r="J140" s="1" t="s">
        <v>644</v>
      </c>
      <c r="K140" s="1" t="s">
        <v>671</v>
      </c>
      <c r="L140" s="1" t="s">
        <v>247</v>
      </c>
      <c r="M140" s="1" t="s">
        <v>176</v>
      </c>
      <c r="N140" s="1" t="s">
        <v>305</v>
      </c>
      <c r="O140" s="1" t="s">
        <v>351</v>
      </c>
      <c r="P140" s="1"/>
      <c r="Q140" s="1">
        <f>IFERROR(COUNTIFS(_report[TOURNAMENT_CODE],ВСЕ_КОДЫ[[#This Row],[TOURNAMENT_CODE]],_report[CONTEST_CODE],ВСЕ_КОДЫ[[#This Row],[CONTEST_CODE]]),"-")</f>
        <v>0</v>
      </c>
      <c r="R140" s="1" t="str">
        <f>IFERROR(INDEX(_SCHEDULE_[],MATCH(ВСЕ_КОДЫ[[#This Row],[CONTEST_CODE]],_SCHEDULE_[CONTEST_CODE],0),MATCH($R$1,_SCHEDULE_[#Headers],0)),"-")</f>
        <v>УДАЛЕН</v>
      </c>
      <c r="S140" s="1" t="str">
        <f>IFERROR(INDEX(_group_[],MATCH(ВСЕ_КОДЫ[[#This Row],[CONTEST_CODE]],_group_[CONTEST_CODE],0),MATCH($S$1,_group_[#Headers],0)),"-")</f>
        <v>BANK</v>
      </c>
      <c r="T140" s="1" t="str">
        <f>IFERROR(INDEX(_INDICATOR_[],MATCH(ВСЕ_КОДЫ[[#This Row],[CONTEST_CODE]],_INDICATOR_[CONTEST_CODE],0),MATCH($T$1,_INDICATOR_[#Headers],0)),"-")</f>
        <v>WAIT</v>
      </c>
      <c r="U140" s="1" t="str">
        <f>IFERROR(INDEX(_reward_link_[],MATCH(ВСЕ_КОДЫ[[#This Row],[CONTEST_CODE]],_reward_link_[CONTEST_CODE],0),MATCH($U$1,_reward_link_[#Headers],0)),"-")</f>
        <v>TB</v>
      </c>
      <c r="V140" s="1" t="str">
        <f>IFERROR(INDEX(_report[],MATCH(ВСЕ_КОДЫ[[#This Row],[CONTEST_CODE]],_report[CONTEST_CODE],0),MATCH($V$1,_report[#Headers],0)),"-")</f>
        <v>-</v>
      </c>
      <c r="W140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40" s="1" t="str">
        <f>IFERROR(INDEX(_group_[],MATCH(CONCATENATE(ВСЕ_КОДЫ[[#This Row],[CONTEST_CODE]],"_",X$2),#REF!,0),MATCH(X$1,_group_[#Headers],0)),"-")</f>
        <v>-</v>
      </c>
      <c r="Y140" s="1" t="str">
        <f>IFERROR(INDEX(_group_[],MATCH(CONCATENATE(ВСЕ_КОДЫ[[#This Row],[CONTEST_CODE]],"_",Y$2),#REF!,0),MATCH(Y$1,_group_[#Headers],0)),"-")</f>
        <v>-</v>
      </c>
      <c r="Z140" s="1" t="str">
        <f>IFERROR(INDEX(_group_[],MATCH(CONCATENATE(ВСЕ_КОДЫ[[#This Row],[CONTEST_CODE]],"_",Z$2),#REF!,0),MATCH(Z$1,_group_[#Headers],0)),"-")</f>
        <v>-</v>
      </c>
      <c r="AA140" s="1" t="str">
        <f>IFERROR(INDEX(_group_[],MATCH(CONCATENATE(ВСЕ_КОДЫ[[#This Row],[CONTEST_CODE]],"_",AA$2),#REF!,0),MATCH(AA$1,_group_[#Headers],0)),"-")</f>
        <v>-</v>
      </c>
      <c r="AB140" s="1" t="str">
        <f>IFERROR(INDEX(_DATA_[],MATCH(ВСЕ_КОДЫ[[#This Row],[CONTEST_CODE]],_DATA_[CONTEST_CODE],0),MATCH($AB$2,_DATA_[#Headers],0)),"-")</f>
        <v>["""KMKKSB"""]</v>
      </c>
      <c r="AC140" s="1" t="str">
        <f>CONCATENATE(ВСЕ_КОДЫ[[#This Row],[CONTEST_CODE]],"_",ВСЕ_КОДЫ[[#This Row],[TOURNAMENT_CODE]])</f>
        <v>CONTEST_10_01_TOURNAMENT_10_01_07</v>
      </c>
      <c r="AD140" s="1" t="str">
        <f>ВСЕ_КОДЫ[[#This Row],[FULL_NAME]]</f>
        <v>Активы. ТОП-1 по условным сделкам</v>
      </c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idden="1" x14ac:dyDescent="0.25">
      <c r="A141" s="1" t="s">
        <v>53</v>
      </c>
      <c r="B141" s="1" t="s">
        <v>673</v>
      </c>
      <c r="C141" s="1" t="s">
        <v>350</v>
      </c>
      <c r="D141" s="1" t="s">
        <v>586</v>
      </c>
      <c r="E141" s="1" t="s">
        <v>54</v>
      </c>
      <c r="F141" s="1" t="s">
        <v>26</v>
      </c>
      <c r="G141" s="1" t="s">
        <v>27</v>
      </c>
      <c r="H141" s="1" t="s">
        <v>28</v>
      </c>
      <c r="I141" s="1" t="s">
        <v>50</v>
      </c>
      <c r="J141" s="1" t="s">
        <v>674</v>
      </c>
      <c r="K141" s="1" t="s">
        <v>675</v>
      </c>
      <c r="L141" s="1" t="s">
        <v>1038</v>
      </c>
      <c r="M141" s="1" t="s">
        <v>176</v>
      </c>
      <c r="N141" s="1" t="s">
        <v>305</v>
      </c>
      <c r="O141" s="1" t="s">
        <v>351</v>
      </c>
      <c r="P141" s="1"/>
      <c r="Q141" s="1">
        <f>IFERROR(COUNTIFS(_report[TOURNAMENT_CODE],ВСЕ_КОДЫ[[#This Row],[TOURNAMENT_CODE]],_report[CONTEST_CODE],ВСЕ_КОДЫ[[#This Row],[CONTEST_CODE]]),"-")</f>
        <v>0</v>
      </c>
      <c r="R141" s="1" t="str">
        <f>IFERROR(INDEX(_SCHEDULE_[],MATCH(ВСЕ_КОДЫ[[#This Row],[CONTEST_CODE]],_SCHEDULE_[CONTEST_CODE],0),MATCH($R$1,_SCHEDULE_[#Headers],0)),"-")</f>
        <v>УДАЛЕН</v>
      </c>
      <c r="S141" s="1" t="str">
        <f>IFERROR(INDEX(_group_[],MATCH(ВСЕ_КОДЫ[[#This Row],[CONTEST_CODE]],_group_[CONTEST_CODE],0),MATCH($S$1,_group_[#Headers],0)),"-")</f>
        <v>BANK</v>
      </c>
      <c r="T141" s="1" t="str">
        <f>IFERROR(INDEX(_INDICATOR_[],MATCH(ВСЕ_КОДЫ[[#This Row],[CONTEST_CODE]],_INDICATOR_[CONTEST_CODE],0),MATCH($T$1,_INDICATOR_[#Headers],0)),"-")</f>
        <v>WAIT</v>
      </c>
      <c r="U141" s="1" t="str">
        <f>IFERROR(INDEX(_reward_link_[],MATCH(ВСЕ_КОДЫ[[#This Row],[CONTEST_CODE]],_reward_link_[CONTEST_CODE],0),MATCH($U$1,_reward_link_[#Headers],0)),"-")</f>
        <v>TB</v>
      </c>
      <c r="V141" s="1" t="str">
        <f>IFERROR(INDEX(_report[],MATCH(ВСЕ_КОДЫ[[#This Row],[CONTEST_CODE]],_report[CONTEST_CODE],0),MATCH($V$1,_report[#Headers],0)),"-")</f>
        <v>-</v>
      </c>
      <c r="W141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41" s="1" t="str">
        <f>IFERROR(INDEX(_group_[],MATCH(CONCATENATE(ВСЕ_КОДЫ[[#This Row],[CONTEST_CODE]],"_",X$2),#REF!,0),MATCH(X$1,_group_[#Headers],0)),"-")</f>
        <v>-</v>
      </c>
      <c r="Y141" s="1" t="str">
        <f>IFERROR(INDEX(_group_[],MATCH(CONCATENATE(ВСЕ_КОДЫ[[#This Row],[CONTEST_CODE]],"_",Y$2),#REF!,0),MATCH(Y$1,_group_[#Headers],0)),"-")</f>
        <v>-</v>
      </c>
      <c r="Z141" s="1" t="str">
        <f>IFERROR(INDEX(_group_[],MATCH(CONCATENATE(ВСЕ_КОДЫ[[#This Row],[CONTEST_CODE]],"_",Z$2),#REF!,0),MATCH(Z$1,_group_[#Headers],0)),"-")</f>
        <v>-</v>
      </c>
      <c r="AA141" s="1" t="str">
        <f>IFERROR(INDEX(_group_[],MATCH(CONCATENATE(ВСЕ_КОДЫ[[#This Row],[CONTEST_CODE]],"_",AA$2),#REF!,0),MATCH(AA$1,_group_[#Headers],0)),"-")</f>
        <v>-</v>
      </c>
      <c r="AB141" s="1" t="str">
        <f>IFERROR(INDEX(_DATA_[],MATCH(ВСЕ_КОДЫ[[#This Row],[CONTEST_CODE]],_DATA_[CONTEST_CODE],0),MATCH($AB$2,_DATA_[#Headers],0)),"-")</f>
        <v>["""KMKKSB"""]</v>
      </c>
      <c r="AC141" s="1" t="str">
        <f>CONCATENATE(ВСЕ_КОДЫ[[#This Row],[CONTEST_CODE]],"_",ВСЕ_КОДЫ[[#This Row],[TOURNAMENT_CODE]])</f>
        <v>CONTEST_10_01_TOURNAMENT_10_01_08</v>
      </c>
      <c r="AD141" s="1" t="str">
        <f>ВСЕ_КОДЫ[[#This Row],[FULL_NAME]]</f>
        <v>Активы. ТОП-1 по условным сделкам</v>
      </c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idden="1" x14ac:dyDescent="0.25">
      <c r="A142" s="1" t="s">
        <v>53</v>
      </c>
      <c r="B142" s="1" t="s">
        <v>710</v>
      </c>
      <c r="C142" s="1" t="s">
        <v>350</v>
      </c>
      <c r="D142" s="1" t="s">
        <v>586</v>
      </c>
      <c r="E142" s="1" t="s">
        <v>54</v>
      </c>
      <c r="F142" s="1" t="s">
        <v>26</v>
      </c>
      <c r="G142" s="1" t="s">
        <v>27</v>
      </c>
      <c r="H142" s="1" t="s">
        <v>28</v>
      </c>
      <c r="I142" s="1" t="s">
        <v>50</v>
      </c>
      <c r="J142" s="1" t="s">
        <v>709</v>
      </c>
      <c r="K142" s="1" t="s">
        <v>711</v>
      </c>
      <c r="L142" s="1" t="s">
        <v>253</v>
      </c>
      <c r="M142" s="1" t="s">
        <v>155</v>
      </c>
      <c r="N142" s="1" t="s">
        <v>305</v>
      </c>
      <c r="O142" s="1" t="s">
        <v>351</v>
      </c>
      <c r="P142" s="1"/>
      <c r="Q142" s="1">
        <f>IFERROR(COUNTIFS(_report[TOURNAMENT_CODE],ВСЕ_КОДЫ[[#This Row],[TOURNAMENT_CODE]],_report[CONTEST_CODE],ВСЕ_КОДЫ[[#This Row],[CONTEST_CODE]]),"-")</f>
        <v>0</v>
      </c>
      <c r="R142" s="1" t="str">
        <f>IFERROR(INDEX(_SCHEDULE_[],MATCH(ВСЕ_КОДЫ[[#This Row],[CONTEST_CODE]],_SCHEDULE_[CONTEST_CODE],0),MATCH($R$1,_SCHEDULE_[#Headers],0)),"-")</f>
        <v>УДАЛЕН</v>
      </c>
      <c r="S142" s="1" t="str">
        <f>IFERROR(INDEX(_group_[],MATCH(ВСЕ_КОДЫ[[#This Row],[CONTEST_CODE]],_group_[CONTEST_CODE],0),MATCH($S$1,_group_[#Headers],0)),"-")</f>
        <v>BANK</v>
      </c>
      <c r="T142" s="1" t="str">
        <f>IFERROR(INDEX(_INDICATOR_[],MATCH(ВСЕ_КОДЫ[[#This Row],[CONTEST_CODE]],_INDICATOR_[CONTEST_CODE],0),MATCH($T$1,_INDICATOR_[#Headers],0)),"-")</f>
        <v>WAIT</v>
      </c>
      <c r="U142" s="1" t="str">
        <f>IFERROR(INDEX(_reward_link_[],MATCH(ВСЕ_КОДЫ[[#This Row],[CONTEST_CODE]],_reward_link_[CONTEST_CODE],0),MATCH($U$1,_reward_link_[#Headers],0)),"-")</f>
        <v>TB</v>
      </c>
      <c r="V142" s="1" t="str">
        <f>IFERROR(INDEX(_report[],MATCH(ВСЕ_КОДЫ[[#This Row],[CONTEST_CODE]],_report[CONTEST_CODE],0),MATCH($V$1,_report[#Headers],0)),"-")</f>
        <v>-</v>
      </c>
      <c r="W142" s="1" t="str">
        <f>IFERROR(INDEX(_reward_[],MATCH(ВСЕ_КОДЫ[[#This Row],[REWARD_CODE]],_reward_[REWARD_CODE],0),MATCH($W$1,_reward_[#Headers],0)),"-")</f>
        <v>ТОП-1 по числу сделок активов в тербанке</v>
      </c>
      <c r="X142" s="1" t="str">
        <f>IFERROR(INDEX(_group_[],MATCH(CONCATENATE(ВСЕ_КОДЫ[[#This Row],[CONTEST_CODE]],"_",X$2),#REF!,0),MATCH(X$1,_group_[#Headers],0)),"-")</f>
        <v>-</v>
      </c>
      <c r="Y142" s="1" t="str">
        <f>IFERROR(INDEX(_group_[],MATCH(CONCATENATE(ВСЕ_КОДЫ[[#This Row],[CONTEST_CODE]],"_",Y$2),#REF!,0),MATCH(Y$1,_group_[#Headers],0)),"-")</f>
        <v>-</v>
      </c>
      <c r="Z142" s="1" t="str">
        <f>IFERROR(INDEX(_group_[],MATCH(CONCATENATE(ВСЕ_КОДЫ[[#This Row],[CONTEST_CODE]],"_",Z$2),#REF!,0),MATCH(Z$1,_group_[#Headers],0)),"-")</f>
        <v>-</v>
      </c>
      <c r="AA142" s="1" t="str">
        <f>IFERROR(INDEX(_group_[],MATCH(CONCATENATE(ВСЕ_КОДЫ[[#This Row],[CONTEST_CODE]],"_",AA$2),#REF!,0),MATCH(AA$1,_group_[#Headers],0)),"-")</f>
        <v>-</v>
      </c>
      <c r="AB142" s="1" t="str">
        <f>IFERROR(INDEX(_DATA_[],MATCH(ВСЕ_КОДЫ[[#This Row],[CONTEST_CODE]],_DATA_[CONTEST_CODE],0),MATCH($AB$2,_DATA_[#Headers],0)),"-")</f>
        <v>["""KMKKSB"""]</v>
      </c>
      <c r="AC142" s="1" t="str">
        <f>CONCATENATE(ВСЕ_КОДЫ[[#This Row],[CONTEST_CODE]],"_",ВСЕ_КОДЫ[[#This Row],[TOURNAMENT_CODE]])</f>
        <v>CONTEST_10_01_TOURNAMENT_10_01_09</v>
      </c>
      <c r="AD142" s="1" t="str">
        <f>ВСЕ_КОДЫ[[#This Row],[FULL_NAME]]</f>
        <v>Активы. ТОП-1 по условным сделкам</v>
      </c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idden="1" x14ac:dyDescent="0.25">
      <c r="A143" s="1" t="s">
        <v>2228</v>
      </c>
      <c r="B143" s="1" t="s">
        <v>2545</v>
      </c>
      <c r="C143" s="1" t="s">
        <v>2304</v>
      </c>
      <c r="D143" s="1" t="s">
        <v>583</v>
      </c>
      <c r="E143" s="1" t="s">
        <v>106</v>
      </c>
      <c r="F143" s="1" t="s">
        <v>2508</v>
      </c>
      <c r="G143" s="1" t="s">
        <v>27</v>
      </c>
      <c r="H143" s="1" t="s">
        <v>34</v>
      </c>
      <c r="I143" s="1" t="s">
        <v>50</v>
      </c>
      <c r="J143" s="1" t="s">
        <v>2521</v>
      </c>
      <c r="K143" s="1" t="s">
        <v>2522</v>
      </c>
      <c r="L143" s="1" t="s">
        <v>4119</v>
      </c>
      <c r="M143" s="1" t="s">
        <v>176</v>
      </c>
      <c r="N143" s="1" t="s">
        <v>305</v>
      </c>
      <c r="O143" s="1" t="s">
        <v>2685</v>
      </c>
      <c r="P143" s="1"/>
      <c r="Q143" s="1">
        <f>IFERROR(COUNTIFS(_report[TOURNAMENT_CODE],ВСЕ_КОДЫ[[#This Row],[TOURNAMENT_CODE]],_report[CONTEST_CODE],ВСЕ_КОДЫ[[#This Row],[CONTEST_CODE]]),"-")</f>
        <v>0</v>
      </c>
      <c r="R143" s="1" t="str">
        <f>IFERROR(INDEX(_SCHEDULE_[],MATCH(ВСЕ_КОДЫ[[#This Row],[CONTEST_CODE]],_SCHEDULE_[CONTEST_CODE],0),MATCH($R$1,_SCHEDULE_[#Headers],0)),"-")</f>
        <v>ЗАВЕРШЕН</v>
      </c>
      <c r="S143" s="1" t="str">
        <f>IFERROR(INDEX(_group_[],MATCH(ВСЕ_КОДЫ[[#This Row],[CONTEST_CODE]],_group_[CONTEST_CODE],0),MATCH($S$1,_group_[#Headers],0)),"-")</f>
        <v>BANK</v>
      </c>
      <c r="T143" s="1" t="str">
        <f>IFERROR(INDEX(_INDICATOR_[],MATCH(ВСЕ_КОДЫ[[#This Row],[CONTEST_CODE]],_INDICATOR_[CONTEST_CODE],0),MATCH($T$1,_INDICATOR_[#Headers],0)),"-")</f>
        <v>WAIT</v>
      </c>
      <c r="U143" s="1" t="str">
        <f>IFERROR(INDEX(_reward_link_[],MATCH(ВСЕ_КОДЫ[[#This Row],[CONTEST_CODE]],_reward_link_[CONTEST_CODE],0),MATCH($U$1,_reward_link_[#Headers],0)),"-")</f>
        <v>BANK</v>
      </c>
      <c r="V143" s="1" t="str">
        <f>IFERROR(INDEX(_report[],MATCH(ВСЕ_КОДЫ[[#This Row],[CONTEST_CODE]],_report[CONTEST_CODE],0),MATCH($V$1,_report[#Headers],0)),"-")</f>
        <v>-</v>
      </c>
      <c r="W143" s="1" t="str">
        <f>IFERROR(INDEX(_reward_[],MATCH(ВСЕ_КОДЫ[[#This Row],[REWARD_CODE]],_reward_[REWARD_CODE],0),MATCH($W$1,_reward_[#Headers],0)),"-")</f>
        <v>Золото#по объему перечислений ФОТ</v>
      </c>
      <c r="X143" s="1" t="str">
        <f>IFERROR(INDEX(_group_[],MATCH(CONCATENATE(ВСЕ_КОДЫ[[#This Row],[CONTEST_CODE]],"_",X$2),#REF!,0),MATCH(X$1,_group_[#Headers],0)),"-")</f>
        <v>-</v>
      </c>
      <c r="Y143" s="1" t="str">
        <f>IFERROR(INDEX(_group_[],MATCH(CONCATENATE(ВСЕ_КОДЫ[[#This Row],[CONTEST_CODE]],"_",Y$2),#REF!,0),MATCH(Y$1,_group_[#Headers],0)),"-")</f>
        <v>-</v>
      </c>
      <c r="Z143" s="1" t="str">
        <f>IFERROR(INDEX(_group_[],MATCH(CONCATENATE(ВСЕ_КОДЫ[[#This Row],[CONTEST_CODE]],"_",Z$2),#REF!,0),MATCH(Z$1,_group_[#Headers],0)),"-")</f>
        <v>-</v>
      </c>
      <c r="AA143" s="1" t="str">
        <f>IFERROR(INDEX(_group_[],MATCH(CONCATENATE(ВСЕ_КОДЫ[[#This Row],[CONTEST_CODE]],"_",AA$2),#REF!,0),MATCH(AA$1,_group_[#Headers],0)),"-")</f>
        <v>-</v>
      </c>
      <c r="AB143" s="1" t="str">
        <f>IFERROR(INDEX(_DATA_[],MATCH(ВСЕ_КОДЫ[[#This Row],[CONTEST_CODE]],_DATA_[CONTEST_CODE],0),MATCH($AB$2,_DATA_[#Headers],0)),"-")</f>
        <v>["""KMKKSB"""]</v>
      </c>
      <c r="AC143" s="1" t="str">
        <f>CONCATENATE(ВСЕ_КОДЫ[[#This Row],[CONTEST_CODE]],"_",ВСЕ_КОДЫ[[#This Row],[TOURNAMENT_CODE]])</f>
        <v>01_2025-1_05-1_1_t_01_2025-1_05-1_1_3021</v>
      </c>
      <c r="AD143" s="1" t="str">
        <f>ВСЕ_КОДЫ[[#This Row],[FULL_NAME]]</f>
        <v>ФОТ. Прирост объема перечислений</v>
      </c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idden="1" x14ac:dyDescent="0.25">
      <c r="A144" s="1" t="s">
        <v>2228</v>
      </c>
      <c r="B144" s="1" t="s">
        <v>3227</v>
      </c>
      <c r="C144" s="1" t="s">
        <v>2304</v>
      </c>
      <c r="D144" s="1" t="s">
        <v>583</v>
      </c>
      <c r="E144" s="1" t="s">
        <v>106</v>
      </c>
      <c r="F144" s="1" t="s">
        <v>2508</v>
      </c>
      <c r="G144" s="1" t="s">
        <v>27</v>
      </c>
      <c r="H144" s="1" t="s">
        <v>34</v>
      </c>
      <c r="I144" s="1" t="s">
        <v>50</v>
      </c>
      <c r="J144" s="1" t="s">
        <v>3219</v>
      </c>
      <c r="K144" s="1" t="s">
        <v>2534</v>
      </c>
      <c r="L144" s="1" t="s">
        <v>4132</v>
      </c>
      <c r="M144" s="1" t="s">
        <v>176</v>
      </c>
      <c r="N144" s="1" t="s">
        <v>305</v>
      </c>
      <c r="O144" s="1" t="s">
        <v>2685</v>
      </c>
      <c r="P144" s="1"/>
      <c r="Q144" s="1">
        <f>IFERROR(COUNTIFS(_report[TOURNAMENT_CODE],ВСЕ_КОДЫ[[#This Row],[TOURNAMENT_CODE]],_report[CONTEST_CODE],ВСЕ_КОДЫ[[#This Row],[CONTEST_CODE]]),"-")</f>
        <v>0</v>
      </c>
      <c r="R144" s="1" t="str">
        <f>IFERROR(INDEX(_SCHEDULE_[],MATCH(ВСЕ_КОДЫ[[#This Row],[CONTEST_CODE]],_SCHEDULE_[CONTEST_CODE],0),MATCH($R$1,_SCHEDULE_[#Headers],0)),"-")</f>
        <v>ЗАВЕРШЕН</v>
      </c>
      <c r="S144" s="1" t="str">
        <f>IFERROR(INDEX(_group_[],MATCH(ВСЕ_КОДЫ[[#This Row],[CONTEST_CODE]],_group_[CONTEST_CODE],0),MATCH($S$1,_group_[#Headers],0)),"-")</f>
        <v>BANK</v>
      </c>
      <c r="T144" s="1" t="str">
        <f>IFERROR(INDEX(_INDICATOR_[],MATCH(ВСЕ_КОДЫ[[#This Row],[CONTEST_CODE]],_INDICATOR_[CONTEST_CODE],0),MATCH($T$1,_INDICATOR_[#Headers],0)),"-")</f>
        <v>WAIT</v>
      </c>
      <c r="U144" s="1" t="str">
        <f>IFERROR(INDEX(_reward_link_[],MATCH(ВСЕ_КОДЫ[[#This Row],[CONTEST_CODE]],_reward_link_[CONTEST_CODE],0),MATCH($U$1,_reward_link_[#Headers],0)),"-")</f>
        <v>BANK</v>
      </c>
      <c r="V144" s="1" t="str">
        <f>IFERROR(INDEX(_report[],MATCH(ВСЕ_КОДЫ[[#This Row],[CONTEST_CODE]],_report[CONTEST_CODE],0),MATCH($V$1,_report[#Headers],0)),"-")</f>
        <v>-</v>
      </c>
      <c r="W144" s="1" t="str">
        <f>IFERROR(INDEX(_reward_[],MATCH(ВСЕ_КОДЫ[[#This Row],[REWARD_CODE]],_reward_[REWARD_CODE],0),MATCH($W$1,_reward_[#Headers],0)),"-")</f>
        <v>Золото#по объему перечислений ФОТ</v>
      </c>
      <c r="X144" s="1" t="str">
        <f>IFERROR(INDEX(_group_[],MATCH(CONCATENATE(ВСЕ_КОДЫ[[#This Row],[CONTEST_CODE]],"_",X$2),#REF!,0),MATCH(X$1,_group_[#Headers],0)),"-")</f>
        <v>-</v>
      </c>
      <c r="Y144" s="1" t="str">
        <f>IFERROR(INDEX(_group_[],MATCH(CONCATENATE(ВСЕ_КОДЫ[[#This Row],[CONTEST_CODE]],"_",Y$2),#REF!,0),MATCH(Y$1,_group_[#Headers],0)),"-")</f>
        <v>-</v>
      </c>
      <c r="Z144" s="1" t="str">
        <f>IFERROR(INDEX(_group_[],MATCH(CONCATENATE(ВСЕ_КОДЫ[[#This Row],[CONTEST_CODE]],"_",Z$2),#REF!,0),MATCH(Z$1,_group_[#Headers],0)),"-")</f>
        <v>-</v>
      </c>
      <c r="AA144" s="1" t="str">
        <f>IFERROR(INDEX(_group_[],MATCH(CONCATENATE(ВСЕ_КОДЫ[[#This Row],[CONTEST_CODE]],"_",AA$2),#REF!,0),MATCH(AA$1,_group_[#Headers],0)),"-")</f>
        <v>-</v>
      </c>
      <c r="AB144" s="1" t="str">
        <f>IFERROR(INDEX(_DATA_[],MATCH(ВСЕ_КОДЫ[[#This Row],[CONTEST_CODE]],_DATA_[CONTEST_CODE],0),MATCH($AB$2,_DATA_[#Headers],0)),"-")</f>
        <v>["""KMKKSB"""]</v>
      </c>
      <c r="AC144" s="1" t="str">
        <f>CONCATENATE(ВСЕ_КОДЫ[[#This Row],[CONTEST_CODE]],"_",ВСЕ_КОДЫ[[#This Row],[TOURNAMENT_CODE]])</f>
        <v>01_2025-1_05-1_1_t_01_2025-1_05-1_1_3031</v>
      </c>
      <c r="AD144" s="1" t="str">
        <f>ВСЕ_КОДЫ[[#This Row],[FULL_NAME]]</f>
        <v>ФОТ. Прирост объема перечислений</v>
      </c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idden="1" x14ac:dyDescent="0.25">
      <c r="A145" s="1" t="s">
        <v>2228</v>
      </c>
      <c r="B145" s="1" t="s">
        <v>3654</v>
      </c>
      <c r="C145" s="1" t="s">
        <v>2304</v>
      </c>
      <c r="D145" s="1" t="s">
        <v>583</v>
      </c>
      <c r="E145" s="1" t="s">
        <v>106</v>
      </c>
      <c r="F145" s="1" t="s">
        <v>2508</v>
      </c>
      <c r="G145" s="1" t="s">
        <v>27</v>
      </c>
      <c r="H145" s="1" t="s">
        <v>34</v>
      </c>
      <c r="I145" s="1" t="s">
        <v>50</v>
      </c>
      <c r="J145" s="1" t="s">
        <v>4019</v>
      </c>
      <c r="K145" s="1" t="s">
        <v>3647</v>
      </c>
      <c r="L145" s="1" t="s">
        <v>4771</v>
      </c>
      <c r="M145" s="1" t="s">
        <v>176</v>
      </c>
      <c r="N145" s="1" t="s">
        <v>305</v>
      </c>
      <c r="O145" s="1" t="s">
        <v>2685</v>
      </c>
      <c r="P145" s="1"/>
      <c r="Q145" s="1">
        <f>IFERROR(COUNTIFS(_report[TOURNAMENT_CODE],ВСЕ_КОДЫ[[#This Row],[TOURNAMENT_CODE]],_report[CONTEST_CODE],ВСЕ_КОДЫ[[#This Row],[CONTEST_CODE]]),"-")</f>
        <v>0</v>
      </c>
      <c r="R145" s="1" t="str">
        <f>IFERROR(INDEX(_SCHEDULE_[],MATCH(ВСЕ_КОДЫ[[#This Row],[CONTEST_CODE]],_SCHEDULE_[CONTEST_CODE],0),MATCH($R$1,_SCHEDULE_[#Headers],0)),"-")</f>
        <v>ЗАВЕРШЕН</v>
      </c>
      <c r="S145" s="1" t="str">
        <f>IFERROR(INDEX(_group_[],MATCH(ВСЕ_КОДЫ[[#This Row],[CONTEST_CODE]],_group_[CONTEST_CODE],0),MATCH($S$1,_group_[#Headers],0)),"-")</f>
        <v>BANK</v>
      </c>
      <c r="T145" s="1" t="str">
        <f>IFERROR(INDEX(_INDICATOR_[],MATCH(ВСЕ_КОДЫ[[#This Row],[CONTEST_CODE]],_INDICATOR_[CONTEST_CODE],0),MATCH($T$1,_INDICATOR_[#Headers],0)),"-")</f>
        <v>WAIT</v>
      </c>
      <c r="U145" s="1" t="str">
        <f>IFERROR(INDEX(_reward_link_[],MATCH(ВСЕ_КОДЫ[[#This Row],[CONTEST_CODE]],_reward_link_[CONTEST_CODE],0),MATCH($U$1,_reward_link_[#Headers],0)),"-")</f>
        <v>BANK</v>
      </c>
      <c r="V145" s="1" t="str">
        <f>IFERROR(INDEX(_report[],MATCH(ВСЕ_КОДЫ[[#This Row],[CONTEST_CODE]],_report[CONTEST_CODE],0),MATCH($V$1,_report[#Headers],0)),"-")</f>
        <v>-</v>
      </c>
      <c r="W145" s="1" t="str">
        <f>IFERROR(INDEX(_reward_[],MATCH(ВСЕ_КОДЫ[[#This Row],[REWARD_CODE]],_reward_[REWARD_CODE],0),MATCH($W$1,_reward_[#Headers],0)),"-")</f>
        <v>Золото#по объему перечислений ФОТ</v>
      </c>
      <c r="X145" s="1" t="str">
        <f>IFERROR(INDEX(_group_[],MATCH(CONCATENATE(ВСЕ_КОДЫ[[#This Row],[CONTEST_CODE]],"_",X$2),#REF!,0),MATCH(X$1,_group_[#Headers],0)),"-")</f>
        <v>-</v>
      </c>
      <c r="Y145" s="1" t="str">
        <f>IFERROR(INDEX(_group_[],MATCH(CONCATENATE(ВСЕ_КОДЫ[[#This Row],[CONTEST_CODE]],"_",Y$2),#REF!,0),MATCH(Y$1,_group_[#Headers],0)),"-")</f>
        <v>-</v>
      </c>
      <c r="Z145" s="1" t="str">
        <f>IFERROR(INDEX(_group_[],MATCH(CONCATENATE(ВСЕ_КОДЫ[[#This Row],[CONTEST_CODE]],"_",Z$2),#REF!,0),MATCH(Z$1,_group_[#Headers],0)),"-")</f>
        <v>-</v>
      </c>
      <c r="AA145" s="1" t="str">
        <f>IFERROR(INDEX(_group_[],MATCH(CONCATENATE(ВСЕ_КОДЫ[[#This Row],[CONTEST_CODE]],"_",AA$2),#REF!,0),MATCH(AA$1,_group_[#Headers],0)),"-")</f>
        <v>-</v>
      </c>
      <c r="AB145" s="1" t="str">
        <f>IFERROR(INDEX(_DATA_[],MATCH(ВСЕ_КОДЫ[[#This Row],[CONTEST_CODE]],_DATA_[CONTEST_CODE],0),MATCH($AB$2,_DATA_[#Headers],0)),"-")</f>
        <v>["""KMKKSB"""]</v>
      </c>
      <c r="AC145" s="1" t="str">
        <f>CONCATENATE(ВСЕ_КОДЫ[[#This Row],[CONTEST_CODE]],"_",ВСЕ_КОДЫ[[#This Row],[TOURNAMENT_CODE]])</f>
        <v>01_2025-1_05-1_1_t_01_2025-1_05-1_1_3041</v>
      </c>
      <c r="AD145" s="1" t="str">
        <f>ВСЕ_КОДЫ[[#This Row],[FULL_NAME]]</f>
        <v>ФОТ. Прирост объема перечислений</v>
      </c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idden="1" x14ac:dyDescent="0.25">
      <c r="A146" s="1" t="s">
        <v>2228</v>
      </c>
      <c r="B146" s="1" t="s">
        <v>4761</v>
      </c>
      <c r="C146" s="1" t="s">
        <v>2304</v>
      </c>
      <c r="D146" s="1" t="s">
        <v>583</v>
      </c>
      <c r="E146" s="1" t="s">
        <v>106</v>
      </c>
      <c r="F146" s="1" t="s">
        <v>2508</v>
      </c>
      <c r="G146" s="1" t="s">
        <v>27</v>
      </c>
      <c r="H146" s="1" t="s">
        <v>34</v>
      </c>
      <c r="I146" s="1" t="s">
        <v>50</v>
      </c>
      <c r="J146" s="1" t="s">
        <v>2554</v>
      </c>
      <c r="K146" s="1" t="s">
        <v>4756</v>
      </c>
      <c r="L146" s="1" t="s">
        <v>4757</v>
      </c>
      <c r="M146" s="1" t="s">
        <v>34</v>
      </c>
      <c r="N146" s="1" t="s">
        <v>305</v>
      </c>
      <c r="O146" s="1" t="s">
        <v>2685</v>
      </c>
      <c r="P146" s="1"/>
      <c r="Q146" s="1">
        <f>IFERROR(COUNTIFS(_report[TOURNAMENT_CODE],ВСЕ_КОДЫ[[#This Row],[TOURNAMENT_CODE]],_report[CONTEST_CODE],ВСЕ_КОДЫ[[#This Row],[CONTEST_CODE]]),"-")</f>
        <v>0</v>
      </c>
      <c r="R146" s="1" t="str">
        <f>IFERROR(INDEX(_SCHEDULE_[],MATCH(ВСЕ_КОДЫ[[#This Row],[CONTEST_CODE]],_SCHEDULE_[CONTEST_CODE],0),MATCH($R$1,_SCHEDULE_[#Headers],0)),"-")</f>
        <v>ЗАВЕРШЕН</v>
      </c>
      <c r="S146" s="1" t="str">
        <f>IFERROR(INDEX(_group_[],MATCH(ВСЕ_КОДЫ[[#This Row],[CONTEST_CODE]],_group_[CONTEST_CODE],0),MATCH($S$1,_group_[#Headers],0)),"-")</f>
        <v>BANK</v>
      </c>
      <c r="T146" s="1" t="str">
        <f>IFERROR(INDEX(_INDICATOR_[],MATCH(ВСЕ_КОДЫ[[#This Row],[CONTEST_CODE]],_INDICATOR_[CONTEST_CODE],0),MATCH($T$1,_INDICATOR_[#Headers],0)),"-")</f>
        <v>WAIT</v>
      </c>
      <c r="U146" s="1" t="str">
        <f>IFERROR(INDEX(_reward_link_[],MATCH(ВСЕ_КОДЫ[[#This Row],[CONTEST_CODE]],_reward_link_[CONTEST_CODE],0),MATCH($U$1,_reward_link_[#Headers],0)),"-")</f>
        <v>BANK</v>
      </c>
      <c r="V146" s="1" t="str">
        <f>IFERROR(INDEX(_report[],MATCH(ВСЕ_КОДЫ[[#This Row],[CONTEST_CODE]],_report[CONTEST_CODE],0),MATCH($V$1,_report[#Headers],0)),"-")</f>
        <v>-</v>
      </c>
      <c r="W146" s="1" t="str">
        <f>IFERROR(INDEX(_reward_[],MATCH(ВСЕ_КОДЫ[[#This Row],[REWARD_CODE]],_reward_[REWARD_CODE],0),MATCH($W$1,_reward_[#Headers],0)),"-")</f>
        <v>Золото#по объему перечислений ФОТ</v>
      </c>
      <c r="X146" s="1" t="str">
        <f>IFERROR(INDEX(_group_[],MATCH(CONCATENATE(ВСЕ_КОДЫ[[#This Row],[CONTEST_CODE]],"_",X$2),#REF!,0),MATCH(X$1,_group_[#Headers],0)),"-")</f>
        <v>-</v>
      </c>
      <c r="Y146" s="1" t="str">
        <f>IFERROR(INDEX(_group_[],MATCH(CONCATENATE(ВСЕ_КОДЫ[[#This Row],[CONTEST_CODE]],"_",Y$2),#REF!,0),MATCH(Y$1,_group_[#Headers],0)),"-")</f>
        <v>-</v>
      </c>
      <c r="Z146" s="1" t="str">
        <f>IFERROR(INDEX(_group_[],MATCH(CONCATENATE(ВСЕ_КОДЫ[[#This Row],[CONTEST_CODE]],"_",Z$2),#REF!,0),MATCH(Z$1,_group_[#Headers],0)),"-")</f>
        <v>-</v>
      </c>
      <c r="AA146" s="1" t="str">
        <f>IFERROR(INDEX(_group_[],MATCH(CONCATENATE(ВСЕ_КОДЫ[[#This Row],[CONTEST_CODE]],"_",AA$2),#REF!,0),MATCH(AA$1,_group_[#Headers],0)),"-")</f>
        <v>-</v>
      </c>
      <c r="AB146" s="1" t="str">
        <f>IFERROR(INDEX(_DATA_[],MATCH(ВСЕ_КОДЫ[[#This Row],[CONTEST_CODE]],_DATA_[CONTEST_CODE],0),MATCH($AB$2,_DATA_[#Headers],0)),"-")</f>
        <v>["""KMKKSB"""]</v>
      </c>
      <c r="AC146" s="1" t="str">
        <f>CONCATENATE(ВСЕ_КОДЫ[[#This Row],[CONTEST_CODE]],"_",ВСЕ_КОДЫ[[#This Row],[TOURNAMENT_CODE]])</f>
        <v>01_2025-1_05-1_1_t_01_2025-1_05-1_1_3051</v>
      </c>
      <c r="AD146" s="1" t="str">
        <f>ВСЕ_КОДЫ[[#This Row],[FULL_NAME]]</f>
        <v>ФОТ. Прирост объема перечислений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idden="1" x14ac:dyDescent="0.25">
      <c r="A147" s="1" t="s">
        <v>2228</v>
      </c>
      <c r="B147" s="1" t="s">
        <v>4813</v>
      </c>
      <c r="C147" s="1" t="s">
        <v>2304</v>
      </c>
      <c r="D147" s="1" t="s">
        <v>583</v>
      </c>
      <c r="E147" s="1" t="s">
        <v>106</v>
      </c>
      <c r="F147" s="1" t="s">
        <v>2508</v>
      </c>
      <c r="G147" s="1" t="s">
        <v>27</v>
      </c>
      <c r="H147" s="1" t="s">
        <v>34</v>
      </c>
      <c r="I147" s="1" t="s">
        <v>50</v>
      </c>
      <c r="J147" s="1" t="s">
        <v>4809</v>
      </c>
      <c r="K147" s="1" t="s">
        <v>2542</v>
      </c>
      <c r="L147" s="1" t="s">
        <v>3545</v>
      </c>
      <c r="M147" s="1" t="s">
        <v>34</v>
      </c>
      <c r="N147" s="1" t="s">
        <v>305</v>
      </c>
      <c r="O147" s="1" t="s">
        <v>2685</v>
      </c>
      <c r="P147" s="1"/>
      <c r="Q147" s="1">
        <f>IFERROR(COUNTIFS(_report[TOURNAMENT_CODE],ВСЕ_КОДЫ[[#This Row],[TOURNAMENT_CODE]],_report[CONTEST_CODE],ВСЕ_КОДЫ[[#This Row],[CONTEST_CODE]]),"-")</f>
        <v>0</v>
      </c>
      <c r="R147" s="1" t="str">
        <f>IFERROR(INDEX(_SCHEDULE_[],MATCH(ВСЕ_КОДЫ[[#This Row],[CONTEST_CODE]],_SCHEDULE_[CONTEST_CODE],0),MATCH($R$1,_SCHEDULE_[#Headers],0)),"-")</f>
        <v>ЗАВЕРШЕН</v>
      </c>
      <c r="S147" s="1" t="str">
        <f>IFERROR(INDEX(_group_[],MATCH(ВСЕ_КОДЫ[[#This Row],[CONTEST_CODE]],_group_[CONTEST_CODE],0),MATCH($S$1,_group_[#Headers],0)),"-")</f>
        <v>BANK</v>
      </c>
      <c r="T147" s="1" t="str">
        <f>IFERROR(INDEX(_INDICATOR_[],MATCH(ВСЕ_КОДЫ[[#This Row],[CONTEST_CODE]],_INDICATOR_[CONTEST_CODE],0),MATCH($T$1,_INDICATOR_[#Headers],0)),"-")</f>
        <v>WAIT</v>
      </c>
      <c r="U147" s="1" t="str">
        <f>IFERROR(INDEX(_reward_link_[],MATCH(ВСЕ_КОДЫ[[#This Row],[CONTEST_CODE]],_reward_link_[CONTEST_CODE],0),MATCH($U$1,_reward_link_[#Headers],0)),"-")</f>
        <v>BANK</v>
      </c>
      <c r="V147" s="1" t="str">
        <f>IFERROR(INDEX(_report[],MATCH(ВСЕ_КОДЫ[[#This Row],[CONTEST_CODE]],_report[CONTEST_CODE],0),MATCH($V$1,_report[#Headers],0)),"-")</f>
        <v>-</v>
      </c>
      <c r="W147" s="1" t="str">
        <f>IFERROR(INDEX(_reward_[],MATCH(ВСЕ_КОДЫ[[#This Row],[REWARD_CODE]],_reward_[REWARD_CODE],0),MATCH($W$1,_reward_[#Headers],0)),"-")</f>
        <v>Золото#по объему перечислений ФОТ</v>
      </c>
      <c r="X147" s="1" t="str">
        <f>IFERROR(INDEX(_group_[],MATCH(CONCATENATE(ВСЕ_КОДЫ[[#This Row],[CONTEST_CODE]],"_",X$2),#REF!,0),MATCH(X$1,_group_[#Headers],0)),"-")</f>
        <v>-</v>
      </c>
      <c r="Y147" s="1" t="str">
        <f>IFERROR(INDEX(_group_[],MATCH(CONCATENATE(ВСЕ_КОДЫ[[#This Row],[CONTEST_CODE]],"_",Y$2),#REF!,0),MATCH(Y$1,_group_[#Headers],0)),"-")</f>
        <v>-</v>
      </c>
      <c r="Z147" s="1" t="str">
        <f>IFERROR(INDEX(_group_[],MATCH(CONCATENATE(ВСЕ_КОДЫ[[#This Row],[CONTEST_CODE]],"_",Z$2),#REF!,0),MATCH(Z$1,_group_[#Headers],0)),"-")</f>
        <v>-</v>
      </c>
      <c r="AA147" s="1" t="str">
        <f>IFERROR(INDEX(_group_[],MATCH(CONCATENATE(ВСЕ_КОДЫ[[#This Row],[CONTEST_CODE]],"_",AA$2),#REF!,0),MATCH(AA$1,_group_[#Headers],0)),"-")</f>
        <v>-</v>
      </c>
      <c r="AB147" s="1" t="str">
        <f>IFERROR(INDEX(_DATA_[],MATCH(ВСЕ_КОДЫ[[#This Row],[CONTEST_CODE]],_DATA_[CONTEST_CODE],0),MATCH($AB$2,_DATA_[#Headers],0)),"-")</f>
        <v>["""KMKKSB"""]</v>
      </c>
      <c r="AC147" s="1" t="str">
        <f>CONCATENATE(ВСЕ_КОДЫ[[#This Row],[CONTEST_CODE]],"_",ВСЕ_КОДЫ[[#This Row],[TOURNAMENT_CODE]])</f>
        <v>01_2025-1_05-1_1_t_01_2025-1_05-1_1_3061</v>
      </c>
      <c r="AD147" s="1" t="str">
        <f>ВСЕ_КОДЫ[[#This Row],[FULL_NAME]]</f>
        <v>ФОТ. Прирост объема перечислений</v>
      </c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idden="1" x14ac:dyDescent="0.25">
      <c r="A148" s="1" t="s">
        <v>2228</v>
      </c>
      <c r="B148" s="1" t="s">
        <v>2545</v>
      </c>
      <c r="C148" s="1" t="s">
        <v>2306</v>
      </c>
      <c r="D148" s="1" t="s">
        <v>586</v>
      </c>
      <c r="E148" s="1" t="s">
        <v>106</v>
      </c>
      <c r="F148" s="1" t="s">
        <v>2508</v>
      </c>
      <c r="G148" s="1" t="s">
        <v>27</v>
      </c>
      <c r="H148" s="1" t="s">
        <v>34</v>
      </c>
      <c r="I148" s="1" t="s">
        <v>50</v>
      </c>
      <c r="J148" s="1" t="s">
        <v>2521</v>
      </c>
      <c r="K148" s="1" t="s">
        <v>2522</v>
      </c>
      <c r="L148" s="1" t="s">
        <v>4119</v>
      </c>
      <c r="M148" s="1" t="s">
        <v>176</v>
      </c>
      <c r="N148" s="1" t="s">
        <v>305</v>
      </c>
      <c r="O148" s="1" t="s">
        <v>2686</v>
      </c>
      <c r="P148" s="1"/>
      <c r="Q148" s="1">
        <f>IFERROR(COUNTIFS(_report[TOURNAMENT_CODE],ВСЕ_КОДЫ[[#This Row],[TOURNAMENT_CODE]],_report[CONTEST_CODE],ВСЕ_КОДЫ[[#This Row],[CONTEST_CODE]]),"-")</f>
        <v>0</v>
      </c>
      <c r="R148" s="1" t="str">
        <f>IFERROR(INDEX(_SCHEDULE_[],MATCH(ВСЕ_КОДЫ[[#This Row],[CONTEST_CODE]],_SCHEDULE_[CONTEST_CODE],0),MATCH($R$1,_SCHEDULE_[#Headers],0)),"-")</f>
        <v>ЗАВЕРШЕН</v>
      </c>
      <c r="S148" s="1" t="str">
        <f>IFERROR(INDEX(_group_[],MATCH(ВСЕ_КОДЫ[[#This Row],[CONTEST_CODE]],_group_[CONTEST_CODE],0),MATCH($S$1,_group_[#Headers],0)),"-")</f>
        <v>BANK</v>
      </c>
      <c r="T148" s="1" t="str">
        <f>IFERROR(INDEX(_INDICATOR_[],MATCH(ВСЕ_КОДЫ[[#This Row],[CONTEST_CODE]],_INDICATOR_[CONTEST_CODE],0),MATCH($T$1,_INDICATOR_[#Headers],0)),"-")</f>
        <v>WAIT</v>
      </c>
      <c r="U148" s="1" t="str">
        <f>IFERROR(INDEX(_reward_link_[],MATCH(ВСЕ_КОДЫ[[#This Row],[CONTEST_CODE]],_reward_link_[CONTEST_CODE],0),MATCH($U$1,_reward_link_[#Headers],0)),"-")</f>
        <v>BANK</v>
      </c>
      <c r="V148" s="1" t="str">
        <f>IFERROR(INDEX(_report[],MATCH(ВСЕ_КОДЫ[[#This Row],[CONTEST_CODE]],_report[CONTEST_CODE],0),MATCH($V$1,_report[#Headers],0)),"-")</f>
        <v>-</v>
      </c>
      <c r="W148" s="1" t="str">
        <f>IFERROR(INDEX(_reward_[],MATCH(ВСЕ_КОДЫ[[#This Row],[REWARD_CODE]],_reward_[REWARD_CODE],0),MATCH($W$1,_reward_[#Headers],0)),"-")</f>
        <v>Серебро#по объему перечислений ФОТ</v>
      </c>
      <c r="X148" s="1" t="str">
        <f>IFERROR(INDEX(_group_[],MATCH(CONCATENATE(ВСЕ_КОДЫ[[#This Row],[CONTEST_CODE]],"_",X$2),#REF!,0),MATCH(X$1,_group_[#Headers],0)),"-")</f>
        <v>-</v>
      </c>
      <c r="Y148" s="1" t="str">
        <f>IFERROR(INDEX(_group_[],MATCH(CONCATENATE(ВСЕ_КОДЫ[[#This Row],[CONTEST_CODE]],"_",Y$2),#REF!,0),MATCH(Y$1,_group_[#Headers],0)),"-")</f>
        <v>-</v>
      </c>
      <c r="Z148" s="1" t="str">
        <f>IFERROR(INDEX(_group_[],MATCH(CONCATENATE(ВСЕ_КОДЫ[[#This Row],[CONTEST_CODE]],"_",Z$2),#REF!,0),MATCH(Z$1,_group_[#Headers],0)),"-")</f>
        <v>-</v>
      </c>
      <c r="AA148" s="1" t="str">
        <f>IFERROR(INDEX(_group_[],MATCH(CONCATENATE(ВСЕ_КОДЫ[[#This Row],[CONTEST_CODE]],"_",AA$2),#REF!,0),MATCH(AA$1,_group_[#Headers],0)),"-")</f>
        <v>-</v>
      </c>
      <c r="AB148" s="1" t="str">
        <f>IFERROR(INDEX(_DATA_[],MATCH(ВСЕ_КОДЫ[[#This Row],[CONTEST_CODE]],_DATA_[CONTEST_CODE],0),MATCH($AB$2,_DATA_[#Headers],0)),"-")</f>
        <v>["""KMKKSB"""]</v>
      </c>
      <c r="AC148" s="1" t="str">
        <f>CONCATENATE(ВСЕ_КОДЫ[[#This Row],[CONTEST_CODE]],"_",ВСЕ_КОДЫ[[#This Row],[TOURNAMENT_CODE]])</f>
        <v>01_2025-1_05-1_1_t_01_2025-1_05-1_1_3021</v>
      </c>
      <c r="AD148" s="1" t="str">
        <f>ВСЕ_КОДЫ[[#This Row],[FULL_NAME]]</f>
        <v>ФОТ. Прирост объема перечислений</v>
      </c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idden="1" x14ac:dyDescent="0.25">
      <c r="A149" s="1" t="s">
        <v>2228</v>
      </c>
      <c r="B149" s="1" t="s">
        <v>3227</v>
      </c>
      <c r="C149" s="1" t="s">
        <v>2306</v>
      </c>
      <c r="D149" s="1" t="s">
        <v>586</v>
      </c>
      <c r="E149" s="1" t="s">
        <v>106</v>
      </c>
      <c r="F149" s="1" t="s">
        <v>2508</v>
      </c>
      <c r="G149" s="1" t="s">
        <v>27</v>
      </c>
      <c r="H149" s="1" t="s">
        <v>34</v>
      </c>
      <c r="I149" s="1" t="s">
        <v>50</v>
      </c>
      <c r="J149" s="1" t="s">
        <v>3219</v>
      </c>
      <c r="K149" s="1" t="s">
        <v>2534</v>
      </c>
      <c r="L149" s="1" t="s">
        <v>4132</v>
      </c>
      <c r="M149" s="1" t="s">
        <v>176</v>
      </c>
      <c r="N149" s="1" t="s">
        <v>305</v>
      </c>
      <c r="O149" s="1" t="s">
        <v>2686</v>
      </c>
      <c r="P149" s="1"/>
      <c r="Q149" s="1">
        <f>IFERROR(COUNTIFS(_report[TOURNAMENT_CODE],ВСЕ_КОДЫ[[#This Row],[TOURNAMENT_CODE]],_report[CONTEST_CODE],ВСЕ_КОДЫ[[#This Row],[CONTEST_CODE]]),"-")</f>
        <v>0</v>
      </c>
      <c r="R149" s="1" t="str">
        <f>IFERROR(INDEX(_SCHEDULE_[],MATCH(ВСЕ_КОДЫ[[#This Row],[CONTEST_CODE]],_SCHEDULE_[CONTEST_CODE],0),MATCH($R$1,_SCHEDULE_[#Headers],0)),"-")</f>
        <v>ЗАВЕРШЕН</v>
      </c>
      <c r="S149" s="1" t="str">
        <f>IFERROR(INDEX(_group_[],MATCH(ВСЕ_КОДЫ[[#This Row],[CONTEST_CODE]],_group_[CONTEST_CODE],0),MATCH($S$1,_group_[#Headers],0)),"-")</f>
        <v>BANK</v>
      </c>
      <c r="T149" s="1" t="str">
        <f>IFERROR(INDEX(_INDICATOR_[],MATCH(ВСЕ_КОДЫ[[#This Row],[CONTEST_CODE]],_INDICATOR_[CONTEST_CODE],0),MATCH($T$1,_INDICATOR_[#Headers],0)),"-")</f>
        <v>WAIT</v>
      </c>
      <c r="U149" s="1" t="str">
        <f>IFERROR(INDEX(_reward_link_[],MATCH(ВСЕ_КОДЫ[[#This Row],[CONTEST_CODE]],_reward_link_[CONTEST_CODE],0),MATCH($U$1,_reward_link_[#Headers],0)),"-")</f>
        <v>BANK</v>
      </c>
      <c r="V149" s="1" t="str">
        <f>IFERROR(INDEX(_report[],MATCH(ВСЕ_КОДЫ[[#This Row],[CONTEST_CODE]],_report[CONTEST_CODE],0),MATCH($V$1,_report[#Headers],0)),"-")</f>
        <v>-</v>
      </c>
      <c r="W149" s="1" t="str">
        <f>IFERROR(INDEX(_reward_[],MATCH(ВСЕ_КОДЫ[[#This Row],[REWARD_CODE]],_reward_[REWARD_CODE],0),MATCH($W$1,_reward_[#Headers],0)),"-")</f>
        <v>Серебро#по объему перечислений ФОТ</v>
      </c>
      <c r="X149" s="1" t="str">
        <f>IFERROR(INDEX(_group_[],MATCH(CONCATENATE(ВСЕ_КОДЫ[[#This Row],[CONTEST_CODE]],"_",X$2),#REF!,0),MATCH(X$1,_group_[#Headers],0)),"-")</f>
        <v>-</v>
      </c>
      <c r="Y149" s="1" t="str">
        <f>IFERROR(INDEX(_group_[],MATCH(CONCATENATE(ВСЕ_КОДЫ[[#This Row],[CONTEST_CODE]],"_",Y$2),#REF!,0),MATCH(Y$1,_group_[#Headers],0)),"-")</f>
        <v>-</v>
      </c>
      <c r="Z149" s="1" t="str">
        <f>IFERROR(INDEX(_group_[],MATCH(CONCATENATE(ВСЕ_КОДЫ[[#This Row],[CONTEST_CODE]],"_",Z$2),#REF!,0),MATCH(Z$1,_group_[#Headers],0)),"-")</f>
        <v>-</v>
      </c>
      <c r="AA149" s="1" t="str">
        <f>IFERROR(INDEX(_group_[],MATCH(CONCATENATE(ВСЕ_КОДЫ[[#This Row],[CONTEST_CODE]],"_",AA$2),#REF!,0),MATCH(AA$1,_group_[#Headers],0)),"-")</f>
        <v>-</v>
      </c>
      <c r="AB149" s="1" t="str">
        <f>IFERROR(INDEX(_DATA_[],MATCH(ВСЕ_КОДЫ[[#This Row],[CONTEST_CODE]],_DATA_[CONTEST_CODE],0),MATCH($AB$2,_DATA_[#Headers],0)),"-")</f>
        <v>["""KMKKSB"""]</v>
      </c>
      <c r="AC149" s="1" t="str">
        <f>CONCATENATE(ВСЕ_КОДЫ[[#This Row],[CONTEST_CODE]],"_",ВСЕ_КОДЫ[[#This Row],[TOURNAMENT_CODE]])</f>
        <v>01_2025-1_05-1_1_t_01_2025-1_05-1_1_3031</v>
      </c>
      <c r="AD149" s="1" t="str">
        <f>ВСЕ_КОДЫ[[#This Row],[FULL_NAME]]</f>
        <v>ФОТ. Прирост объема перечислений</v>
      </c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idden="1" x14ac:dyDescent="0.25">
      <c r="A150" s="1" t="s">
        <v>2228</v>
      </c>
      <c r="B150" s="1" t="s">
        <v>3654</v>
      </c>
      <c r="C150" s="1" t="s">
        <v>2306</v>
      </c>
      <c r="D150" s="1" t="s">
        <v>586</v>
      </c>
      <c r="E150" s="1" t="s">
        <v>106</v>
      </c>
      <c r="F150" s="1" t="s">
        <v>2508</v>
      </c>
      <c r="G150" s="1" t="s">
        <v>27</v>
      </c>
      <c r="H150" s="1" t="s">
        <v>34</v>
      </c>
      <c r="I150" s="1" t="s">
        <v>50</v>
      </c>
      <c r="J150" s="1" t="s">
        <v>4019</v>
      </c>
      <c r="K150" s="1" t="s">
        <v>3647</v>
      </c>
      <c r="L150" s="1" t="s">
        <v>4771</v>
      </c>
      <c r="M150" s="1" t="s">
        <v>176</v>
      </c>
      <c r="N150" s="1" t="s">
        <v>305</v>
      </c>
      <c r="O150" s="1" t="s">
        <v>2686</v>
      </c>
      <c r="P150" s="1"/>
      <c r="Q150" s="1">
        <f>IFERROR(COUNTIFS(_report[TOURNAMENT_CODE],ВСЕ_КОДЫ[[#This Row],[TOURNAMENT_CODE]],_report[CONTEST_CODE],ВСЕ_КОДЫ[[#This Row],[CONTEST_CODE]]),"-")</f>
        <v>0</v>
      </c>
      <c r="R150" s="1" t="str">
        <f>IFERROR(INDEX(_SCHEDULE_[],MATCH(ВСЕ_КОДЫ[[#This Row],[CONTEST_CODE]],_SCHEDULE_[CONTEST_CODE],0),MATCH($R$1,_SCHEDULE_[#Headers],0)),"-")</f>
        <v>ЗАВЕРШЕН</v>
      </c>
      <c r="S150" s="1" t="str">
        <f>IFERROR(INDEX(_group_[],MATCH(ВСЕ_КОДЫ[[#This Row],[CONTEST_CODE]],_group_[CONTEST_CODE],0),MATCH($S$1,_group_[#Headers],0)),"-")</f>
        <v>BANK</v>
      </c>
      <c r="T150" s="1" t="str">
        <f>IFERROR(INDEX(_INDICATOR_[],MATCH(ВСЕ_КОДЫ[[#This Row],[CONTEST_CODE]],_INDICATOR_[CONTEST_CODE],0),MATCH($T$1,_INDICATOR_[#Headers],0)),"-")</f>
        <v>WAIT</v>
      </c>
      <c r="U150" s="1" t="str">
        <f>IFERROR(INDEX(_reward_link_[],MATCH(ВСЕ_КОДЫ[[#This Row],[CONTEST_CODE]],_reward_link_[CONTEST_CODE],0),MATCH($U$1,_reward_link_[#Headers],0)),"-")</f>
        <v>BANK</v>
      </c>
      <c r="V150" s="1" t="str">
        <f>IFERROR(INDEX(_report[],MATCH(ВСЕ_КОДЫ[[#This Row],[CONTEST_CODE]],_report[CONTEST_CODE],0),MATCH($V$1,_report[#Headers],0)),"-")</f>
        <v>-</v>
      </c>
      <c r="W150" s="1" t="str">
        <f>IFERROR(INDEX(_reward_[],MATCH(ВСЕ_КОДЫ[[#This Row],[REWARD_CODE]],_reward_[REWARD_CODE],0),MATCH($W$1,_reward_[#Headers],0)),"-")</f>
        <v>Серебро#по объему перечислений ФОТ</v>
      </c>
      <c r="X150" s="1" t="str">
        <f>IFERROR(INDEX(_group_[],MATCH(CONCATENATE(ВСЕ_КОДЫ[[#This Row],[CONTEST_CODE]],"_",X$2),#REF!,0),MATCH(X$1,_group_[#Headers],0)),"-")</f>
        <v>-</v>
      </c>
      <c r="Y150" s="1" t="str">
        <f>IFERROR(INDEX(_group_[],MATCH(CONCATENATE(ВСЕ_КОДЫ[[#This Row],[CONTEST_CODE]],"_",Y$2),#REF!,0),MATCH(Y$1,_group_[#Headers],0)),"-")</f>
        <v>-</v>
      </c>
      <c r="Z150" s="1" t="str">
        <f>IFERROR(INDEX(_group_[],MATCH(CONCATENATE(ВСЕ_КОДЫ[[#This Row],[CONTEST_CODE]],"_",Z$2),#REF!,0),MATCH(Z$1,_group_[#Headers],0)),"-")</f>
        <v>-</v>
      </c>
      <c r="AA150" s="1" t="str">
        <f>IFERROR(INDEX(_group_[],MATCH(CONCATENATE(ВСЕ_КОДЫ[[#This Row],[CONTEST_CODE]],"_",AA$2),#REF!,0),MATCH(AA$1,_group_[#Headers],0)),"-")</f>
        <v>-</v>
      </c>
      <c r="AB150" s="1" t="str">
        <f>IFERROR(INDEX(_DATA_[],MATCH(ВСЕ_КОДЫ[[#This Row],[CONTEST_CODE]],_DATA_[CONTEST_CODE],0),MATCH($AB$2,_DATA_[#Headers],0)),"-")</f>
        <v>["""KMKKSB"""]</v>
      </c>
      <c r="AC150" s="1" t="str">
        <f>CONCATENATE(ВСЕ_КОДЫ[[#This Row],[CONTEST_CODE]],"_",ВСЕ_КОДЫ[[#This Row],[TOURNAMENT_CODE]])</f>
        <v>01_2025-1_05-1_1_t_01_2025-1_05-1_1_3041</v>
      </c>
      <c r="AD150" s="1" t="str">
        <f>ВСЕ_КОДЫ[[#This Row],[FULL_NAME]]</f>
        <v>ФОТ. Прирост объема перечислений</v>
      </c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idden="1" x14ac:dyDescent="0.25">
      <c r="A151" s="1" t="s">
        <v>2228</v>
      </c>
      <c r="B151" s="1" t="s">
        <v>4761</v>
      </c>
      <c r="C151" s="1" t="s">
        <v>2306</v>
      </c>
      <c r="D151" s="1" t="s">
        <v>586</v>
      </c>
      <c r="E151" s="1" t="s">
        <v>106</v>
      </c>
      <c r="F151" s="1" t="s">
        <v>2508</v>
      </c>
      <c r="G151" s="1" t="s">
        <v>27</v>
      </c>
      <c r="H151" s="1" t="s">
        <v>34</v>
      </c>
      <c r="I151" s="1" t="s">
        <v>50</v>
      </c>
      <c r="J151" s="1" t="s">
        <v>2554</v>
      </c>
      <c r="K151" s="1" t="s">
        <v>4756</v>
      </c>
      <c r="L151" s="1" t="s">
        <v>4757</v>
      </c>
      <c r="M151" s="1" t="s">
        <v>34</v>
      </c>
      <c r="N151" s="1" t="s">
        <v>305</v>
      </c>
      <c r="O151" s="1" t="s">
        <v>2686</v>
      </c>
      <c r="P151" s="1"/>
      <c r="Q151" s="1">
        <f>IFERROR(COUNTIFS(_report[TOURNAMENT_CODE],ВСЕ_КОДЫ[[#This Row],[TOURNAMENT_CODE]],_report[CONTEST_CODE],ВСЕ_КОДЫ[[#This Row],[CONTEST_CODE]]),"-")</f>
        <v>0</v>
      </c>
      <c r="R151" s="1" t="str">
        <f>IFERROR(INDEX(_SCHEDULE_[],MATCH(ВСЕ_КОДЫ[[#This Row],[CONTEST_CODE]],_SCHEDULE_[CONTEST_CODE],0),MATCH($R$1,_SCHEDULE_[#Headers],0)),"-")</f>
        <v>ЗАВЕРШЕН</v>
      </c>
      <c r="S151" s="1" t="str">
        <f>IFERROR(INDEX(_group_[],MATCH(ВСЕ_КОДЫ[[#This Row],[CONTEST_CODE]],_group_[CONTEST_CODE],0),MATCH($S$1,_group_[#Headers],0)),"-")</f>
        <v>BANK</v>
      </c>
      <c r="T151" s="1" t="str">
        <f>IFERROR(INDEX(_INDICATOR_[],MATCH(ВСЕ_КОДЫ[[#This Row],[CONTEST_CODE]],_INDICATOR_[CONTEST_CODE],0),MATCH($T$1,_INDICATOR_[#Headers],0)),"-")</f>
        <v>WAIT</v>
      </c>
      <c r="U151" s="1" t="str">
        <f>IFERROR(INDEX(_reward_link_[],MATCH(ВСЕ_КОДЫ[[#This Row],[CONTEST_CODE]],_reward_link_[CONTEST_CODE],0),MATCH($U$1,_reward_link_[#Headers],0)),"-")</f>
        <v>BANK</v>
      </c>
      <c r="V151" s="1" t="str">
        <f>IFERROR(INDEX(_report[],MATCH(ВСЕ_КОДЫ[[#This Row],[CONTEST_CODE]],_report[CONTEST_CODE],0),MATCH($V$1,_report[#Headers],0)),"-")</f>
        <v>-</v>
      </c>
      <c r="W151" s="1" t="str">
        <f>IFERROR(INDEX(_reward_[],MATCH(ВСЕ_КОДЫ[[#This Row],[REWARD_CODE]],_reward_[REWARD_CODE],0),MATCH($W$1,_reward_[#Headers],0)),"-")</f>
        <v>Серебро#по объему перечислений ФОТ</v>
      </c>
      <c r="X151" s="1" t="str">
        <f>IFERROR(INDEX(_group_[],MATCH(CONCATENATE(ВСЕ_КОДЫ[[#This Row],[CONTEST_CODE]],"_",X$2),#REF!,0),MATCH(X$1,_group_[#Headers],0)),"-")</f>
        <v>-</v>
      </c>
      <c r="Y151" s="1" t="str">
        <f>IFERROR(INDEX(_group_[],MATCH(CONCATENATE(ВСЕ_КОДЫ[[#This Row],[CONTEST_CODE]],"_",Y$2),#REF!,0),MATCH(Y$1,_group_[#Headers],0)),"-")</f>
        <v>-</v>
      </c>
      <c r="Z151" s="1" t="str">
        <f>IFERROR(INDEX(_group_[],MATCH(CONCATENATE(ВСЕ_КОДЫ[[#This Row],[CONTEST_CODE]],"_",Z$2),#REF!,0),MATCH(Z$1,_group_[#Headers],0)),"-")</f>
        <v>-</v>
      </c>
      <c r="AA151" s="1" t="str">
        <f>IFERROR(INDEX(_group_[],MATCH(CONCATENATE(ВСЕ_КОДЫ[[#This Row],[CONTEST_CODE]],"_",AA$2),#REF!,0),MATCH(AA$1,_group_[#Headers],0)),"-")</f>
        <v>-</v>
      </c>
      <c r="AB151" s="1" t="str">
        <f>IFERROR(INDEX(_DATA_[],MATCH(ВСЕ_КОДЫ[[#This Row],[CONTEST_CODE]],_DATA_[CONTEST_CODE],0),MATCH($AB$2,_DATA_[#Headers],0)),"-")</f>
        <v>["""KMKKSB"""]</v>
      </c>
      <c r="AC151" s="1" t="str">
        <f>CONCATENATE(ВСЕ_КОДЫ[[#This Row],[CONTEST_CODE]],"_",ВСЕ_КОДЫ[[#This Row],[TOURNAMENT_CODE]])</f>
        <v>01_2025-1_05-1_1_t_01_2025-1_05-1_1_3051</v>
      </c>
      <c r="AD151" s="1" t="str">
        <f>ВСЕ_КОДЫ[[#This Row],[FULL_NAME]]</f>
        <v>ФОТ. Прирост объема перечислений</v>
      </c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idden="1" x14ac:dyDescent="0.25">
      <c r="A152" s="1" t="s">
        <v>2228</v>
      </c>
      <c r="B152" s="1" t="s">
        <v>4813</v>
      </c>
      <c r="C152" s="1" t="s">
        <v>2306</v>
      </c>
      <c r="D152" s="1" t="s">
        <v>586</v>
      </c>
      <c r="E152" s="1" t="s">
        <v>106</v>
      </c>
      <c r="F152" s="1" t="s">
        <v>2508</v>
      </c>
      <c r="G152" s="1" t="s">
        <v>27</v>
      </c>
      <c r="H152" s="1" t="s">
        <v>34</v>
      </c>
      <c r="I152" s="1" t="s">
        <v>50</v>
      </c>
      <c r="J152" s="1" t="s">
        <v>4809</v>
      </c>
      <c r="K152" s="1" t="s">
        <v>2542</v>
      </c>
      <c r="L152" s="1" t="s">
        <v>3545</v>
      </c>
      <c r="M152" s="1" t="s">
        <v>34</v>
      </c>
      <c r="N152" s="1" t="s">
        <v>305</v>
      </c>
      <c r="O152" s="1" t="s">
        <v>2686</v>
      </c>
      <c r="P152" s="1"/>
      <c r="Q152" s="1">
        <f>IFERROR(COUNTIFS(_report[TOURNAMENT_CODE],ВСЕ_КОДЫ[[#This Row],[TOURNAMENT_CODE]],_report[CONTEST_CODE],ВСЕ_КОДЫ[[#This Row],[CONTEST_CODE]]),"-")</f>
        <v>0</v>
      </c>
      <c r="R152" s="1" t="str">
        <f>IFERROR(INDEX(_SCHEDULE_[],MATCH(ВСЕ_КОДЫ[[#This Row],[CONTEST_CODE]],_SCHEDULE_[CONTEST_CODE],0),MATCH($R$1,_SCHEDULE_[#Headers],0)),"-")</f>
        <v>ЗАВЕРШЕН</v>
      </c>
      <c r="S152" s="1" t="str">
        <f>IFERROR(INDEX(_group_[],MATCH(ВСЕ_КОДЫ[[#This Row],[CONTEST_CODE]],_group_[CONTEST_CODE],0),MATCH($S$1,_group_[#Headers],0)),"-")</f>
        <v>BANK</v>
      </c>
      <c r="T152" s="1" t="str">
        <f>IFERROR(INDEX(_INDICATOR_[],MATCH(ВСЕ_КОДЫ[[#This Row],[CONTEST_CODE]],_INDICATOR_[CONTEST_CODE],0),MATCH($T$1,_INDICATOR_[#Headers],0)),"-")</f>
        <v>WAIT</v>
      </c>
      <c r="U152" s="1" t="str">
        <f>IFERROR(INDEX(_reward_link_[],MATCH(ВСЕ_КОДЫ[[#This Row],[CONTEST_CODE]],_reward_link_[CONTEST_CODE],0),MATCH($U$1,_reward_link_[#Headers],0)),"-")</f>
        <v>BANK</v>
      </c>
      <c r="V152" s="1" t="str">
        <f>IFERROR(INDEX(_report[],MATCH(ВСЕ_КОДЫ[[#This Row],[CONTEST_CODE]],_report[CONTEST_CODE],0),MATCH($V$1,_report[#Headers],0)),"-")</f>
        <v>-</v>
      </c>
      <c r="W152" s="1" t="str">
        <f>IFERROR(INDEX(_reward_[],MATCH(ВСЕ_КОДЫ[[#This Row],[REWARD_CODE]],_reward_[REWARD_CODE],0),MATCH($W$1,_reward_[#Headers],0)),"-")</f>
        <v>Серебро#по объему перечислений ФОТ</v>
      </c>
      <c r="X152" s="1" t="str">
        <f>IFERROR(INDEX(_group_[],MATCH(CONCATENATE(ВСЕ_КОДЫ[[#This Row],[CONTEST_CODE]],"_",X$2),#REF!,0),MATCH(X$1,_group_[#Headers],0)),"-")</f>
        <v>-</v>
      </c>
      <c r="Y152" s="1" t="str">
        <f>IFERROR(INDEX(_group_[],MATCH(CONCATENATE(ВСЕ_КОДЫ[[#This Row],[CONTEST_CODE]],"_",Y$2),#REF!,0),MATCH(Y$1,_group_[#Headers],0)),"-")</f>
        <v>-</v>
      </c>
      <c r="Z152" s="1" t="str">
        <f>IFERROR(INDEX(_group_[],MATCH(CONCATENATE(ВСЕ_КОДЫ[[#This Row],[CONTEST_CODE]],"_",Z$2),#REF!,0),MATCH(Z$1,_group_[#Headers],0)),"-")</f>
        <v>-</v>
      </c>
      <c r="AA152" s="1" t="str">
        <f>IFERROR(INDEX(_group_[],MATCH(CONCATENATE(ВСЕ_КОДЫ[[#This Row],[CONTEST_CODE]],"_",AA$2),#REF!,0),MATCH(AA$1,_group_[#Headers],0)),"-")</f>
        <v>-</v>
      </c>
      <c r="AB152" s="1" t="str">
        <f>IFERROR(INDEX(_DATA_[],MATCH(ВСЕ_КОДЫ[[#This Row],[CONTEST_CODE]],_DATA_[CONTEST_CODE],0),MATCH($AB$2,_DATA_[#Headers],0)),"-")</f>
        <v>["""KMKKSB"""]</v>
      </c>
      <c r="AC152" s="1" t="str">
        <f>CONCATENATE(ВСЕ_КОДЫ[[#This Row],[CONTEST_CODE]],"_",ВСЕ_КОДЫ[[#This Row],[TOURNAMENT_CODE]])</f>
        <v>01_2025-1_05-1_1_t_01_2025-1_05-1_1_3061</v>
      </c>
      <c r="AD152" s="1" t="str">
        <f>ВСЕ_КОДЫ[[#This Row],[FULL_NAME]]</f>
        <v>ФОТ. Прирост объема перечислений</v>
      </c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idden="1" x14ac:dyDescent="0.25">
      <c r="A153" s="1" t="s">
        <v>2228</v>
      </c>
      <c r="B153" s="1" t="s">
        <v>2545</v>
      </c>
      <c r="C153" s="1" t="s">
        <v>2308</v>
      </c>
      <c r="D153" s="1" t="s">
        <v>584</v>
      </c>
      <c r="E153" s="1" t="s">
        <v>106</v>
      </c>
      <c r="F153" s="1" t="s">
        <v>2508</v>
      </c>
      <c r="G153" s="1" t="s">
        <v>27</v>
      </c>
      <c r="H153" s="1" t="s">
        <v>34</v>
      </c>
      <c r="I153" s="1" t="s">
        <v>50</v>
      </c>
      <c r="J153" s="1" t="s">
        <v>2521</v>
      </c>
      <c r="K153" s="1" t="s">
        <v>2522</v>
      </c>
      <c r="L153" s="1" t="s">
        <v>4119</v>
      </c>
      <c r="M153" s="1" t="s">
        <v>176</v>
      </c>
      <c r="N153" s="1" t="s">
        <v>305</v>
      </c>
      <c r="O153" s="1" t="s">
        <v>2687</v>
      </c>
      <c r="P153" s="1"/>
      <c r="Q153" s="1">
        <f>IFERROR(COUNTIFS(_report[TOURNAMENT_CODE],ВСЕ_КОДЫ[[#This Row],[TOURNAMENT_CODE]],_report[CONTEST_CODE],ВСЕ_КОДЫ[[#This Row],[CONTEST_CODE]]),"-")</f>
        <v>0</v>
      </c>
      <c r="R153" s="1" t="str">
        <f>IFERROR(INDEX(_SCHEDULE_[],MATCH(ВСЕ_КОДЫ[[#This Row],[CONTEST_CODE]],_SCHEDULE_[CONTEST_CODE],0),MATCH($R$1,_SCHEDULE_[#Headers],0)),"-")</f>
        <v>ЗАВЕРШЕН</v>
      </c>
      <c r="S153" s="1" t="str">
        <f>IFERROR(INDEX(_group_[],MATCH(ВСЕ_КОДЫ[[#This Row],[CONTEST_CODE]],_group_[CONTEST_CODE],0),MATCH($S$1,_group_[#Headers],0)),"-")</f>
        <v>BANK</v>
      </c>
      <c r="T153" s="1" t="str">
        <f>IFERROR(INDEX(_INDICATOR_[],MATCH(ВСЕ_КОДЫ[[#This Row],[CONTEST_CODE]],_INDICATOR_[CONTEST_CODE],0),MATCH($T$1,_INDICATOR_[#Headers],0)),"-")</f>
        <v>WAIT</v>
      </c>
      <c r="U153" s="1" t="str">
        <f>IFERROR(INDEX(_reward_link_[],MATCH(ВСЕ_КОДЫ[[#This Row],[CONTEST_CODE]],_reward_link_[CONTEST_CODE],0),MATCH($U$1,_reward_link_[#Headers],0)),"-")</f>
        <v>BANK</v>
      </c>
      <c r="V153" s="1" t="str">
        <f>IFERROR(INDEX(_report[],MATCH(ВСЕ_КОДЫ[[#This Row],[CONTEST_CODE]],_report[CONTEST_CODE],0),MATCH($V$1,_report[#Headers],0)),"-")</f>
        <v>-</v>
      </c>
      <c r="W153" s="1" t="str">
        <f>IFERROR(INDEX(_reward_[],MATCH(ВСЕ_КОДЫ[[#This Row],[REWARD_CODE]],_reward_[REWARD_CODE],0),MATCH($W$1,_reward_[#Headers],0)),"-")</f>
        <v>Бронза#по объему перечислений ФОТ</v>
      </c>
      <c r="X153" s="1" t="str">
        <f>IFERROR(INDEX(_group_[],MATCH(CONCATENATE(ВСЕ_КОДЫ[[#This Row],[CONTEST_CODE]],"_",X$2),#REF!,0),MATCH(X$1,_group_[#Headers],0)),"-")</f>
        <v>-</v>
      </c>
      <c r="Y153" s="1" t="str">
        <f>IFERROR(INDEX(_group_[],MATCH(CONCATENATE(ВСЕ_КОДЫ[[#This Row],[CONTEST_CODE]],"_",Y$2),#REF!,0),MATCH(Y$1,_group_[#Headers],0)),"-")</f>
        <v>-</v>
      </c>
      <c r="Z153" s="1" t="str">
        <f>IFERROR(INDEX(_group_[],MATCH(CONCATENATE(ВСЕ_КОДЫ[[#This Row],[CONTEST_CODE]],"_",Z$2),#REF!,0),MATCH(Z$1,_group_[#Headers],0)),"-")</f>
        <v>-</v>
      </c>
      <c r="AA153" s="1" t="str">
        <f>IFERROR(INDEX(_group_[],MATCH(CONCATENATE(ВСЕ_КОДЫ[[#This Row],[CONTEST_CODE]],"_",AA$2),#REF!,0),MATCH(AA$1,_group_[#Headers],0)),"-")</f>
        <v>-</v>
      </c>
      <c r="AB153" s="1" t="str">
        <f>IFERROR(INDEX(_DATA_[],MATCH(ВСЕ_КОДЫ[[#This Row],[CONTEST_CODE]],_DATA_[CONTEST_CODE],0),MATCH($AB$2,_DATA_[#Headers],0)),"-")</f>
        <v>["""KMKKSB"""]</v>
      </c>
      <c r="AC153" s="1" t="str">
        <f>CONCATENATE(ВСЕ_КОДЫ[[#This Row],[CONTEST_CODE]],"_",ВСЕ_КОДЫ[[#This Row],[TOURNAMENT_CODE]])</f>
        <v>01_2025-1_05-1_1_t_01_2025-1_05-1_1_3021</v>
      </c>
      <c r="AD153" s="1" t="str">
        <f>ВСЕ_КОДЫ[[#This Row],[FULL_NAME]]</f>
        <v>ФОТ. Прирост объема перечислений</v>
      </c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idden="1" x14ac:dyDescent="0.25">
      <c r="A154" s="1" t="s">
        <v>2228</v>
      </c>
      <c r="B154" s="1" t="s">
        <v>3227</v>
      </c>
      <c r="C154" s="1" t="s">
        <v>2308</v>
      </c>
      <c r="D154" s="1" t="s">
        <v>584</v>
      </c>
      <c r="E154" s="1" t="s">
        <v>106</v>
      </c>
      <c r="F154" s="1" t="s">
        <v>2508</v>
      </c>
      <c r="G154" s="1" t="s">
        <v>27</v>
      </c>
      <c r="H154" s="1" t="s">
        <v>34</v>
      </c>
      <c r="I154" s="1" t="s">
        <v>50</v>
      </c>
      <c r="J154" s="1" t="s">
        <v>3219</v>
      </c>
      <c r="K154" s="1" t="s">
        <v>2534</v>
      </c>
      <c r="L154" s="1" t="s">
        <v>4132</v>
      </c>
      <c r="M154" s="1" t="s">
        <v>176</v>
      </c>
      <c r="N154" s="1" t="s">
        <v>305</v>
      </c>
      <c r="O154" s="1" t="s">
        <v>2687</v>
      </c>
      <c r="P154" s="1"/>
      <c r="Q154" s="1">
        <f>IFERROR(COUNTIFS(_report[TOURNAMENT_CODE],ВСЕ_КОДЫ[[#This Row],[TOURNAMENT_CODE]],_report[CONTEST_CODE],ВСЕ_КОДЫ[[#This Row],[CONTEST_CODE]]),"-")</f>
        <v>0</v>
      </c>
      <c r="R154" s="1" t="str">
        <f>IFERROR(INDEX(_SCHEDULE_[],MATCH(ВСЕ_КОДЫ[[#This Row],[CONTEST_CODE]],_SCHEDULE_[CONTEST_CODE],0),MATCH($R$1,_SCHEDULE_[#Headers],0)),"-")</f>
        <v>ЗАВЕРШЕН</v>
      </c>
      <c r="S154" s="1" t="str">
        <f>IFERROR(INDEX(_group_[],MATCH(ВСЕ_КОДЫ[[#This Row],[CONTEST_CODE]],_group_[CONTEST_CODE],0),MATCH($S$1,_group_[#Headers],0)),"-")</f>
        <v>BANK</v>
      </c>
      <c r="T154" s="1" t="str">
        <f>IFERROR(INDEX(_INDICATOR_[],MATCH(ВСЕ_КОДЫ[[#This Row],[CONTEST_CODE]],_INDICATOR_[CONTEST_CODE],0),MATCH($T$1,_INDICATOR_[#Headers],0)),"-")</f>
        <v>WAIT</v>
      </c>
      <c r="U154" s="1" t="str">
        <f>IFERROR(INDEX(_reward_link_[],MATCH(ВСЕ_КОДЫ[[#This Row],[CONTEST_CODE]],_reward_link_[CONTEST_CODE],0),MATCH($U$1,_reward_link_[#Headers],0)),"-")</f>
        <v>BANK</v>
      </c>
      <c r="V154" s="1" t="str">
        <f>IFERROR(INDEX(_report[],MATCH(ВСЕ_КОДЫ[[#This Row],[CONTEST_CODE]],_report[CONTEST_CODE],0),MATCH($V$1,_report[#Headers],0)),"-")</f>
        <v>-</v>
      </c>
      <c r="W154" s="1" t="str">
        <f>IFERROR(INDEX(_reward_[],MATCH(ВСЕ_КОДЫ[[#This Row],[REWARD_CODE]],_reward_[REWARD_CODE],0),MATCH($W$1,_reward_[#Headers],0)),"-")</f>
        <v>Бронза#по объему перечислений ФОТ</v>
      </c>
      <c r="X154" s="1" t="str">
        <f>IFERROR(INDEX(_group_[],MATCH(CONCATENATE(ВСЕ_КОДЫ[[#This Row],[CONTEST_CODE]],"_",X$2),#REF!,0),MATCH(X$1,_group_[#Headers],0)),"-")</f>
        <v>-</v>
      </c>
      <c r="Y154" s="1" t="str">
        <f>IFERROR(INDEX(_group_[],MATCH(CONCATENATE(ВСЕ_КОДЫ[[#This Row],[CONTEST_CODE]],"_",Y$2),#REF!,0),MATCH(Y$1,_group_[#Headers],0)),"-")</f>
        <v>-</v>
      </c>
      <c r="Z154" s="1" t="str">
        <f>IFERROR(INDEX(_group_[],MATCH(CONCATENATE(ВСЕ_КОДЫ[[#This Row],[CONTEST_CODE]],"_",Z$2),#REF!,0),MATCH(Z$1,_group_[#Headers],0)),"-")</f>
        <v>-</v>
      </c>
      <c r="AA154" s="1" t="str">
        <f>IFERROR(INDEX(_group_[],MATCH(CONCATENATE(ВСЕ_КОДЫ[[#This Row],[CONTEST_CODE]],"_",AA$2),#REF!,0),MATCH(AA$1,_group_[#Headers],0)),"-")</f>
        <v>-</v>
      </c>
      <c r="AB154" s="1" t="str">
        <f>IFERROR(INDEX(_DATA_[],MATCH(ВСЕ_КОДЫ[[#This Row],[CONTEST_CODE]],_DATA_[CONTEST_CODE],0),MATCH($AB$2,_DATA_[#Headers],0)),"-")</f>
        <v>["""KMKKSB"""]</v>
      </c>
      <c r="AC154" s="1" t="str">
        <f>CONCATENATE(ВСЕ_КОДЫ[[#This Row],[CONTEST_CODE]],"_",ВСЕ_КОДЫ[[#This Row],[TOURNAMENT_CODE]])</f>
        <v>01_2025-1_05-1_1_t_01_2025-1_05-1_1_3031</v>
      </c>
      <c r="AD154" s="1" t="str">
        <f>ВСЕ_КОДЫ[[#This Row],[FULL_NAME]]</f>
        <v>ФОТ. Прирост объема перечислений</v>
      </c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idden="1" x14ac:dyDescent="0.25">
      <c r="A155" s="1" t="s">
        <v>2228</v>
      </c>
      <c r="B155" s="1" t="s">
        <v>3654</v>
      </c>
      <c r="C155" s="1" t="s">
        <v>2308</v>
      </c>
      <c r="D155" s="1" t="s">
        <v>584</v>
      </c>
      <c r="E155" s="1" t="s">
        <v>106</v>
      </c>
      <c r="F155" s="1" t="s">
        <v>2508</v>
      </c>
      <c r="G155" s="1" t="s">
        <v>27</v>
      </c>
      <c r="H155" s="1" t="s">
        <v>34</v>
      </c>
      <c r="I155" s="1" t="s">
        <v>50</v>
      </c>
      <c r="J155" s="1" t="s">
        <v>4019</v>
      </c>
      <c r="K155" s="1" t="s">
        <v>3647</v>
      </c>
      <c r="L155" s="1" t="s">
        <v>4771</v>
      </c>
      <c r="M155" s="1" t="s">
        <v>176</v>
      </c>
      <c r="N155" s="1" t="s">
        <v>305</v>
      </c>
      <c r="O155" s="1" t="s">
        <v>2687</v>
      </c>
      <c r="P155" s="1"/>
      <c r="Q155" s="1">
        <f>IFERROR(COUNTIFS(_report[TOURNAMENT_CODE],ВСЕ_КОДЫ[[#This Row],[TOURNAMENT_CODE]],_report[CONTEST_CODE],ВСЕ_КОДЫ[[#This Row],[CONTEST_CODE]]),"-")</f>
        <v>0</v>
      </c>
      <c r="R155" s="1" t="str">
        <f>IFERROR(INDEX(_SCHEDULE_[],MATCH(ВСЕ_КОДЫ[[#This Row],[CONTEST_CODE]],_SCHEDULE_[CONTEST_CODE],0),MATCH($R$1,_SCHEDULE_[#Headers],0)),"-")</f>
        <v>ЗАВЕРШЕН</v>
      </c>
      <c r="S155" s="1" t="str">
        <f>IFERROR(INDEX(_group_[],MATCH(ВСЕ_КОДЫ[[#This Row],[CONTEST_CODE]],_group_[CONTEST_CODE],0),MATCH($S$1,_group_[#Headers],0)),"-")</f>
        <v>BANK</v>
      </c>
      <c r="T155" s="1" t="str">
        <f>IFERROR(INDEX(_INDICATOR_[],MATCH(ВСЕ_КОДЫ[[#This Row],[CONTEST_CODE]],_INDICATOR_[CONTEST_CODE],0),MATCH($T$1,_INDICATOR_[#Headers],0)),"-")</f>
        <v>WAIT</v>
      </c>
      <c r="U155" s="1" t="str">
        <f>IFERROR(INDEX(_reward_link_[],MATCH(ВСЕ_КОДЫ[[#This Row],[CONTEST_CODE]],_reward_link_[CONTEST_CODE],0),MATCH($U$1,_reward_link_[#Headers],0)),"-")</f>
        <v>BANK</v>
      </c>
      <c r="V155" s="1" t="str">
        <f>IFERROR(INDEX(_report[],MATCH(ВСЕ_КОДЫ[[#This Row],[CONTEST_CODE]],_report[CONTEST_CODE],0),MATCH($V$1,_report[#Headers],0)),"-")</f>
        <v>-</v>
      </c>
      <c r="W155" s="1" t="str">
        <f>IFERROR(INDEX(_reward_[],MATCH(ВСЕ_КОДЫ[[#This Row],[REWARD_CODE]],_reward_[REWARD_CODE],0),MATCH($W$1,_reward_[#Headers],0)),"-")</f>
        <v>Бронза#по объему перечислений ФОТ</v>
      </c>
      <c r="X155" s="1" t="str">
        <f>IFERROR(INDEX(_group_[],MATCH(CONCATENATE(ВСЕ_КОДЫ[[#This Row],[CONTEST_CODE]],"_",X$2),#REF!,0),MATCH(X$1,_group_[#Headers],0)),"-")</f>
        <v>-</v>
      </c>
      <c r="Y155" s="1" t="str">
        <f>IFERROR(INDEX(_group_[],MATCH(CONCATENATE(ВСЕ_КОДЫ[[#This Row],[CONTEST_CODE]],"_",Y$2),#REF!,0),MATCH(Y$1,_group_[#Headers],0)),"-")</f>
        <v>-</v>
      </c>
      <c r="Z155" s="1" t="str">
        <f>IFERROR(INDEX(_group_[],MATCH(CONCATENATE(ВСЕ_КОДЫ[[#This Row],[CONTEST_CODE]],"_",Z$2),#REF!,0),MATCH(Z$1,_group_[#Headers],0)),"-")</f>
        <v>-</v>
      </c>
      <c r="AA155" s="1" t="str">
        <f>IFERROR(INDEX(_group_[],MATCH(CONCATENATE(ВСЕ_КОДЫ[[#This Row],[CONTEST_CODE]],"_",AA$2),#REF!,0),MATCH(AA$1,_group_[#Headers],0)),"-")</f>
        <v>-</v>
      </c>
      <c r="AB155" s="1" t="str">
        <f>IFERROR(INDEX(_DATA_[],MATCH(ВСЕ_КОДЫ[[#This Row],[CONTEST_CODE]],_DATA_[CONTEST_CODE],0),MATCH($AB$2,_DATA_[#Headers],0)),"-")</f>
        <v>["""KMKKSB"""]</v>
      </c>
      <c r="AC155" s="1" t="str">
        <f>CONCATENATE(ВСЕ_КОДЫ[[#This Row],[CONTEST_CODE]],"_",ВСЕ_КОДЫ[[#This Row],[TOURNAMENT_CODE]])</f>
        <v>01_2025-1_05-1_1_t_01_2025-1_05-1_1_3041</v>
      </c>
      <c r="AD155" s="1" t="str">
        <f>ВСЕ_КОДЫ[[#This Row],[FULL_NAME]]</f>
        <v>ФОТ. Прирост объема перечислений</v>
      </c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idden="1" x14ac:dyDescent="0.25">
      <c r="A156" s="1" t="s">
        <v>2228</v>
      </c>
      <c r="B156" s="1" t="s">
        <v>4761</v>
      </c>
      <c r="C156" s="1" t="s">
        <v>2308</v>
      </c>
      <c r="D156" s="1" t="s">
        <v>584</v>
      </c>
      <c r="E156" s="1" t="s">
        <v>106</v>
      </c>
      <c r="F156" s="1" t="s">
        <v>2508</v>
      </c>
      <c r="G156" s="1" t="s">
        <v>27</v>
      </c>
      <c r="H156" s="1" t="s">
        <v>34</v>
      </c>
      <c r="I156" s="1" t="s">
        <v>50</v>
      </c>
      <c r="J156" s="1" t="s">
        <v>2554</v>
      </c>
      <c r="K156" s="1" t="s">
        <v>4756</v>
      </c>
      <c r="L156" s="1" t="s">
        <v>4757</v>
      </c>
      <c r="M156" s="1" t="s">
        <v>34</v>
      </c>
      <c r="N156" s="1" t="s">
        <v>305</v>
      </c>
      <c r="O156" s="1" t="s">
        <v>2687</v>
      </c>
      <c r="P156" s="1"/>
      <c r="Q156" s="1">
        <f>IFERROR(COUNTIFS(_report[TOURNAMENT_CODE],ВСЕ_КОДЫ[[#This Row],[TOURNAMENT_CODE]],_report[CONTEST_CODE],ВСЕ_КОДЫ[[#This Row],[CONTEST_CODE]]),"-")</f>
        <v>0</v>
      </c>
      <c r="R156" s="1" t="str">
        <f>IFERROR(INDEX(_SCHEDULE_[],MATCH(ВСЕ_КОДЫ[[#This Row],[CONTEST_CODE]],_SCHEDULE_[CONTEST_CODE],0),MATCH($R$1,_SCHEDULE_[#Headers],0)),"-")</f>
        <v>ЗАВЕРШЕН</v>
      </c>
      <c r="S156" s="1" t="str">
        <f>IFERROR(INDEX(_group_[],MATCH(ВСЕ_КОДЫ[[#This Row],[CONTEST_CODE]],_group_[CONTEST_CODE],0),MATCH($S$1,_group_[#Headers],0)),"-")</f>
        <v>BANK</v>
      </c>
      <c r="T156" s="1" t="str">
        <f>IFERROR(INDEX(_INDICATOR_[],MATCH(ВСЕ_КОДЫ[[#This Row],[CONTEST_CODE]],_INDICATOR_[CONTEST_CODE],0),MATCH($T$1,_INDICATOR_[#Headers],0)),"-")</f>
        <v>WAIT</v>
      </c>
      <c r="U156" s="1" t="str">
        <f>IFERROR(INDEX(_reward_link_[],MATCH(ВСЕ_КОДЫ[[#This Row],[CONTEST_CODE]],_reward_link_[CONTEST_CODE],0),MATCH($U$1,_reward_link_[#Headers],0)),"-")</f>
        <v>BANK</v>
      </c>
      <c r="V156" s="1" t="str">
        <f>IFERROR(INDEX(_report[],MATCH(ВСЕ_КОДЫ[[#This Row],[CONTEST_CODE]],_report[CONTEST_CODE],0),MATCH($V$1,_report[#Headers],0)),"-")</f>
        <v>-</v>
      </c>
      <c r="W156" s="1" t="str">
        <f>IFERROR(INDEX(_reward_[],MATCH(ВСЕ_КОДЫ[[#This Row],[REWARD_CODE]],_reward_[REWARD_CODE],0),MATCH($W$1,_reward_[#Headers],0)),"-")</f>
        <v>Бронза#по объему перечислений ФОТ</v>
      </c>
      <c r="X156" s="1" t="str">
        <f>IFERROR(INDEX(_group_[],MATCH(CONCATENATE(ВСЕ_КОДЫ[[#This Row],[CONTEST_CODE]],"_",X$2),#REF!,0),MATCH(X$1,_group_[#Headers],0)),"-")</f>
        <v>-</v>
      </c>
      <c r="Y156" s="1" t="str">
        <f>IFERROR(INDEX(_group_[],MATCH(CONCATENATE(ВСЕ_КОДЫ[[#This Row],[CONTEST_CODE]],"_",Y$2),#REF!,0),MATCH(Y$1,_group_[#Headers],0)),"-")</f>
        <v>-</v>
      </c>
      <c r="Z156" s="1" t="str">
        <f>IFERROR(INDEX(_group_[],MATCH(CONCATENATE(ВСЕ_КОДЫ[[#This Row],[CONTEST_CODE]],"_",Z$2),#REF!,0),MATCH(Z$1,_group_[#Headers],0)),"-")</f>
        <v>-</v>
      </c>
      <c r="AA156" s="1" t="str">
        <f>IFERROR(INDEX(_group_[],MATCH(CONCATENATE(ВСЕ_КОДЫ[[#This Row],[CONTEST_CODE]],"_",AA$2),#REF!,0),MATCH(AA$1,_group_[#Headers],0)),"-")</f>
        <v>-</v>
      </c>
      <c r="AB156" s="1" t="str">
        <f>IFERROR(INDEX(_DATA_[],MATCH(ВСЕ_КОДЫ[[#This Row],[CONTEST_CODE]],_DATA_[CONTEST_CODE],0),MATCH($AB$2,_DATA_[#Headers],0)),"-")</f>
        <v>["""KMKKSB"""]</v>
      </c>
      <c r="AC156" s="1" t="str">
        <f>CONCATENATE(ВСЕ_КОДЫ[[#This Row],[CONTEST_CODE]],"_",ВСЕ_КОДЫ[[#This Row],[TOURNAMENT_CODE]])</f>
        <v>01_2025-1_05-1_1_t_01_2025-1_05-1_1_3051</v>
      </c>
      <c r="AD156" s="1" t="str">
        <f>ВСЕ_КОДЫ[[#This Row],[FULL_NAME]]</f>
        <v>ФОТ. Прирост объема перечислений</v>
      </c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idden="1" x14ac:dyDescent="0.25">
      <c r="A157" s="1" t="s">
        <v>2228</v>
      </c>
      <c r="B157" s="1" t="s">
        <v>4813</v>
      </c>
      <c r="C157" s="1" t="s">
        <v>2308</v>
      </c>
      <c r="D157" s="1" t="s">
        <v>584</v>
      </c>
      <c r="E157" s="1" t="s">
        <v>106</v>
      </c>
      <c r="F157" s="1" t="s">
        <v>2508</v>
      </c>
      <c r="G157" s="1" t="s">
        <v>27</v>
      </c>
      <c r="H157" s="1" t="s">
        <v>34</v>
      </c>
      <c r="I157" s="1" t="s">
        <v>50</v>
      </c>
      <c r="J157" s="1" t="s">
        <v>4809</v>
      </c>
      <c r="K157" s="1" t="s">
        <v>2542</v>
      </c>
      <c r="L157" s="1" t="s">
        <v>3545</v>
      </c>
      <c r="M157" s="1" t="s">
        <v>34</v>
      </c>
      <c r="N157" s="1" t="s">
        <v>305</v>
      </c>
      <c r="O157" s="1" t="s">
        <v>2687</v>
      </c>
      <c r="P157" s="1"/>
      <c r="Q157" s="1">
        <f>IFERROR(COUNTIFS(_report[TOURNAMENT_CODE],ВСЕ_КОДЫ[[#This Row],[TOURNAMENT_CODE]],_report[CONTEST_CODE],ВСЕ_КОДЫ[[#This Row],[CONTEST_CODE]]),"-")</f>
        <v>0</v>
      </c>
      <c r="R157" s="1" t="str">
        <f>IFERROR(INDEX(_SCHEDULE_[],MATCH(ВСЕ_КОДЫ[[#This Row],[CONTEST_CODE]],_SCHEDULE_[CONTEST_CODE],0),MATCH($R$1,_SCHEDULE_[#Headers],0)),"-")</f>
        <v>ЗАВЕРШЕН</v>
      </c>
      <c r="S157" s="1" t="str">
        <f>IFERROR(INDEX(_group_[],MATCH(ВСЕ_КОДЫ[[#This Row],[CONTEST_CODE]],_group_[CONTEST_CODE],0),MATCH($S$1,_group_[#Headers],0)),"-")</f>
        <v>BANK</v>
      </c>
      <c r="T157" s="1" t="str">
        <f>IFERROR(INDEX(_INDICATOR_[],MATCH(ВСЕ_КОДЫ[[#This Row],[CONTEST_CODE]],_INDICATOR_[CONTEST_CODE],0),MATCH($T$1,_INDICATOR_[#Headers],0)),"-")</f>
        <v>WAIT</v>
      </c>
      <c r="U157" s="1" t="str">
        <f>IFERROR(INDEX(_reward_link_[],MATCH(ВСЕ_КОДЫ[[#This Row],[CONTEST_CODE]],_reward_link_[CONTEST_CODE],0),MATCH($U$1,_reward_link_[#Headers],0)),"-")</f>
        <v>BANK</v>
      </c>
      <c r="V157" s="1" t="str">
        <f>IFERROR(INDEX(_report[],MATCH(ВСЕ_КОДЫ[[#This Row],[CONTEST_CODE]],_report[CONTEST_CODE],0),MATCH($V$1,_report[#Headers],0)),"-")</f>
        <v>-</v>
      </c>
      <c r="W157" s="1" t="str">
        <f>IFERROR(INDEX(_reward_[],MATCH(ВСЕ_КОДЫ[[#This Row],[REWARD_CODE]],_reward_[REWARD_CODE],0),MATCH($W$1,_reward_[#Headers],0)),"-")</f>
        <v>Бронза#по объему перечислений ФОТ</v>
      </c>
      <c r="X157" s="1" t="str">
        <f>IFERROR(INDEX(_group_[],MATCH(CONCATENATE(ВСЕ_КОДЫ[[#This Row],[CONTEST_CODE]],"_",X$2),#REF!,0),MATCH(X$1,_group_[#Headers],0)),"-")</f>
        <v>-</v>
      </c>
      <c r="Y157" s="1" t="str">
        <f>IFERROR(INDEX(_group_[],MATCH(CONCATENATE(ВСЕ_КОДЫ[[#This Row],[CONTEST_CODE]],"_",Y$2),#REF!,0),MATCH(Y$1,_group_[#Headers],0)),"-")</f>
        <v>-</v>
      </c>
      <c r="Z157" s="1" t="str">
        <f>IFERROR(INDEX(_group_[],MATCH(CONCATENATE(ВСЕ_КОДЫ[[#This Row],[CONTEST_CODE]],"_",Z$2),#REF!,0),MATCH(Z$1,_group_[#Headers],0)),"-")</f>
        <v>-</v>
      </c>
      <c r="AA157" s="1" t="str">
        <f>IFERROR(INDEX(_group_[],MATCH(CONCATENATE(ВСЕ_КОДЫ[[#This Row],[CONTEST_CODE]],"_",AA$2),#REF!,0),MATCH(AA$1,_group_[#Headers],0)),"-")</f>
        <v>-</v>
      </c>
      <c r="AB157" s="1" t="str">
        <f>IFERROR(INDEX(_DATA_[],MATCH(ВСЕ_КОДЫ[[#This Row],[CONTEST_CODE]],_DATA_[CONTEST_CODE],0),MATCH($AB$2,_DATA_[#Headers],0)),"-")</f>
        <v>["""KMKKSB"""]</v>
      </c>
      <c r="AC157" s="1" t="str">
        <f>CONCATENATE(ВСЕ_КОДЫ[[#This Row],[CONTEST_CODE]],"_",ВСЕ_КОДЫ[[#This Row],[TOURNAMENT_CODE]])</f>
        <v>01_2025-1_05-1_1_t_01_2025-1_05-1_1_3061</v>
      </c>
      <c r="AD157" s="1" t="str">
        <f>ВСЕ_КОДЫ[[#This Row],[FULL_NAME]]</f>
        <v>ФОТ. Прирост объема перечислений</v>
      </c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idden="1" x14ac:dyDescent="0.25">
      <c r="A158" s="1" t="s">
        <v>56</v>
      </c>
      <c r="B158" s="1" t="s">
        <v>218</v>
      </c>
      <c r="C158" s="1" t="s">
        <v>358</v>
      </c>
      <c r="D158" s="1" t="s">
        <v>583</v>
      </c>
      <c r="E158" s="1" t="s">
        <v>57</v>
      </c>
      <c r="F158" s="1" t="s">
        <v>26</v>
      </c>
      <c r="G158" s="1" t="s">
        <v>27</v>
      </c>
      <c r="H158" s="1" t="s">
        <v>28</v>
      </c>
      <c r="I158" s="1" t="s">
        <v>29</v>
      </c>
      <c r="J158" s="1" t="s">
        <v>62</v>
      </c>
      <c r="K158" s="1" t="s">
        <v>212</v>
      </c>
      <c r="L158" s="1" t="s">
        <v>219</v>
      </c>
      <c r="M158" s="1" t="s">
        <v>155</v>
      </c>
      <c r="N158" s="1" t="s">
        <v>305</v>
      </c>
      <c r="O158" s="1" t="s">
        <v>359</v>
      </c>
      <c r="P158" s="1"/>
      <c r="Q158" s="1">
        <f>IFERROR(COUNTIFS(_report[TOURNAMENT_CODE],ВСЕ_КОДЫ[[#This Row],[TOURNAMENT_CODE]],_report[CONTEST_CODE],ВСЕ_КОДЫ[[#This Row],[CONTEST_CODE]]),"-")</f>
        <v>0</v>
      </c>
      <c r="R158" s="1" t="str">
        <f>IFERROR(INDEX(_SCHEDULE_[],MATCH(ВСЕ_КОДЫ[[#This Row],[CONTEST_CODE]],_SCHEDULE_[CONTEST_CODE],0),MATCH($R$1,_SCHEDULE_[#Headers],0)),"-")</f>
        <v>УДАЛЕН</v>
      </c>
      <c r="S158" s="1" t="str">
        <f>IFERROR(INDEX(_group_[],MATCH(ВСЕ_КОДЫ[[#This Row],[CONTEST_CODE]],_group_[CONTEST_CODE],0),MATCH($S$1,_group_[#Headers],0)),"-")</f>
        <v>BANK</v>
      </c>
      <c r="T158" s="1" t="str">
        <f>IFERROR(INDEX(_INDICATOR_[],MATCH(ВСЕ_КОДЫ[[#This Row],[CONTEST_CODE]],_INDICATOR_[CONTEST_CODE],0),MATCH($T$1,_INDICATOR_[#Headers],0)),"-")</f>
        <v>LEAGUEDEL</v>
      </c>
      <c r="U158" s="1" t="str">
        <f>IFERROR(INDEX(_reward_link_[],MATCH(ВСЕ_КОДЫ[[#This Row],[CONTEST_CODE]],_reward_link_[CONTEST_CODE],0),MATCH($U$1,_reward_link_[#Headers],0)),"-")</f>
        <v>BANK</v>
      </c>
      <c r="V158" s="1" t="str">
        <f>IFERROR(INDEX(_report[],MATCH(ВСЕ_КОДЫ[[#This Row],[CONTEST_CODE]],_report[CONTEST_CODE],0),MATCH($V$1,_report[#Headers],0)),"-")</f>
        <v>-</v>
      </c>
      <c r="W158" s="1" t="str">
        <f>IFERROR(INDEX(_reward_[],MATCH(ВСЕ_КОДЫ[[#This Row],[REWARD_CODE]],_reward_[REWARD_CODE],0),MATCH($W$1,_reward_[#Headers],0)),"-")</f>
        <v>Победитель Лиги Чемпионов 1ПГ 2023</v>
      </c>
      <c r="X158" s="1" t="str">
        <f>IFERROR(INDEX(_group_[],MATCH(CONCATENATE(ВСЕ_КОДЫ[[#This Row],[CONTEST_CODE]],"_",X$2),#REF!,0),MATCH(X$1,_group_[#Headers],0)),"-")</f>
        <v>-</v>
      </c>
      <c r="Y158" s="1" t="str">
        <f>IFERROR(INDEX(_group_[],MATCH(CONCATENATE(ВСЕ_КОДЫ[[#This Row],[CONTEST_CODE]],"_",Y$2),#REF!,0),MATCH(Y$1,_group_[#Headers],0)),"-")</f>
        <v>-</v>
      </c>
      <c r="Z158" s="1" t="str">
        <f>IFERROR(INDEX(_group_[],MATCH(CONCATENATE(ВСЕ_КОДЫ[[#This Row],[CONTEST_CODE]],"_",Z$2),#REF!,0),MATCH(Z$1,_group_[#Headers],0)),"-")</f>
        <v>-</v>
      </c>
      <c r="AA158" s="1" t="str">
        <f>IFERROR(INDEX(_group_[],MATCH(CONCATENATE(ВСЕ_КОДЫ[[#This Row],[CONTEST_CODE]],"_",AA$2),#REF!,0),MATCH(AA$1,_group_[#Headers],0)),"-")</f>
        <v>-</v>
      </c>
      <c r="AB158" s="1" t="str">
        <f>IFERROR(INDEX(_DATA_[],MATCH(ВСЕ_КОДЫ[[#This Row],[CONTEST_CODE]],_DATA_[CONTEST_CODE],0),MATCH($AB$2,_DATA_[#Headers],0)),"-")</f>
        <v>["""KMKKSB"""]</v>
      </c>
      <c r="AC158" s="1" t="str">
        <f>CONCATENATE(ВСЕ_КОДЫ[[#This Row],[CONTEST_CODE]],"_",ВСЕ_КОДЫ[[#This Row],[TOURNAMENT_CODE]])</f>
        <v>CONTEST_11_TOURNAMENT_11_01</v>
      </c>
      <c r="AD158" s="1" t="str">
        <f>ВСЕ_КОДЫ[[#This Row],[FULL_NAME]]</f>
        <v>Лига Чемпионов 1ПГ 2023</v>
      </c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idden="1" x14ac:dyDescent="0.25">
      <c r="A159" s="1" t="s">
        <v>56</v>
      </c>
      <c r="B159" s="1" t="s">
        <v>220</v>
      </c>
      <c r="C159" s="1" t="s">
        <v>358</v>
      </c>
      <c r="D159" s="1" t="s">
        <v>583</v>
      </c>
      <c r="E159" s="1" t="s">
        <v>57</v>
      </c>
      <c r="F159" s="1" t="s">
        <v>26</v>
      </c>
      <c r="G159" s="1" t="s">
        <v>27</v>
      </c>
      <c r="H159" s="1" t="s">
        <v>28</v>
      </c>
      <c r="I159" s="1" t="s">
        <v>29</v>
      </c>
      <c r="J159" s="1" t="s">
        <v>62</v>
      </c>
      <c r="K159" s="1" t="s">
        <v>212</v>
      </c>
      <c r="L159" s="1" t="s">
        <v>1706</v>
      </c>
      <c r="M159" s="1" t="s">
        <v>184</v>
      </c>
      <c r="N159" s="1" t="s">
        <v>305</v>
      </c>
      <c r="O159" s="1" t="s">
        <v>359</v>
      </c>
      <c r="P159" s="1"/>
      <c r="Q159" s="1">
        <f>IFERROR(COUNTIFS(_report[TOURNAMENT_CODE],ВСЕ_КОДЫ[[#This Row],[TOURNAMENT_CODE]],_report[CONTEST_CODE],ВСЕ_КОДЫ[[#This Row],[CONTEST_CODE]]),"-")</f>
        <v>0</v>
      </c>
      <c r="R159" s="1" t="str">
        <f>IFERROR(INDEX(_SCHEDULE_[],MATCH(ВСЕ_КОДЫ[[#This Row],[CONTEST_CODE]],_SCHEDULE_[CONTEST_CODE],0),MATCH($R$1,_SCHEDULE_[#Headers],0)),"-")</f>
        <v>УДАЛЕН</v>
      </c>
      <c r="S159" s="1" t="str">
        <f>IFERROR(INDEX(_group_[],MATCH(ВСЕ_КОДЫ[[#This Row],[CONTEST_CODE]],_group_[CONTEST_CODE],0),MATCH($S$1,_group_[#Headers],0)),"-")</f>
        <v>BANK</v>
      </c>
      <c r="T159" s="1" t="str">
        <f>IFERROR(INDEX(_INDICATOR_[],MATCH(ВСЕ_КОДЫ[[#This Row],[CONTEST_CODE]],_INDICATOR_[CONTEST_CODE],0),MATCH($T$1,_INDICATOR_[#Headers],0)),"-")</f>
        <v>LEAGUEDEL</v>
      </c>
      <c r="U159" s="1" t="str">
        <f>IFERROR(INDEX(_reward_link_[],MATCH(ВСЕ_КОДЫ[[#This Row],[CONTEST_CODE]],_reward_link_[CONTEST_CODE],0),MATCH($U$1,_reward_link_[#Headers],0)),"-")</f>
        <v>BANK</v>
      </c>
      <c r="V159" s="1" t="str">
        <f>IFERROR(INDEX(_report[],MATCH(ВСЕ_КОДЫ[[#This Row],[CONTEST_CODE]],_report[CONTEST_CODE],0),MATCH($V$1,_report[#Headers],0)),"-")</f>
        <v>-</v>
      </c>
      <c r="W159" s="1" t="str">
        <f>IFERROR(INDEX(_reward_[],MATCH(ВСЕ_КОДЫ[[#This Row],[REWARD_CODE]],_reward_[REWARD_CODE],0),MATCH($W$1,_reward_[#Headers],0)),"-")</f>
        <v>Победитель Лиги Чемпионов 1ПГ 2023</v>
      </c>
      <c r="X159" s="1" t="str">
        <f>IFERROR(INDEX(_group_[],MATCH(CONCATENATE(ВСЕ_КОДЫ[[#This Row],[CONTEST_CODE]],"_",X$2),#REF!,0),MATCH(X$1,_group_[#Headers],0)),"-")</f>
        <v>-</v>
      </c>
      <c r="Y159" s="1" t="str">
        <f>IFERROR(INDEX(_group_[],MATCH(CONCATENATE(ВСЕ_КОДЫ[[#This Row],[CONTEST_CODE]],"_",Y$2),#REF!,0),MATCH(Y$1,_group_[#Headers],0)),"-")</f>
        <v>-</v>
      </c>
      <c r="Z159" s="1" t="str">
        <f>IFERROR(INDEX(_group_[],MATCH(CONCATENATE(ВСЕ_КОДЫ[[#This Row],[CONTEST_CODE]],"_",Z$2),#REF!,0),MATCH(Z$1,_group_[#Headers],0)),"-")</f>
        <v>-</v>
      </c>
      <c r="AA159" s="1" t="str">
        <f>IFERROR(INDEX(_group_[],MATCH(CONCATENATE(ВСЕ_КОДЫ[[#This Row],[CONTEST_CODE]],"_",AA$2),#REF!,0),MATCH(AA$1,_group_[#Headers],0)),"-")</f>
        <v>-</v>
      </c>
      <c r="AB159" s="1" t="str">
        <f>IFERROR(INDEX(_DATA_[],MATCH(ВСЕ_КОДЫ[[#This Row],[CONTEST_CODE]],_DATA_[CONTEST_CODE],0),MATCH($AB$2,_DATA_[#Headers],0)),"-")</f>
        <v>["""KMKKSB"""]</v>
      </c>
      <c r="AC159" s="1" t="str">
        <f>CONCATENATE(ВСЕ_КОДЫ[[#This Row],[CONTEST_CODE]],"_",ВСЕ_КОДЫ[[#This Row],[TOURNAMENT_CODE]])</f>
        <v>CONTEST_11_TOURNAMENT_11_02</v>
      </c>
      <c r="AD159" s="1" t="str">
        <f>ВСЕ_КОДЫ[[#This Row],[FULL_NAME]]</f>
        <v>Лига Чемпионов 1ПГ 2023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idden="1" x14ac:dyDescent="0.25">
      <c r="A160" s="1" t="s">
        <v>58</v>
      </c>
      <c r="B160" s="1" t="s">
        <v>221</v>
      </c>
      <c r="C160" s="1" t="s">
        <v>361</v>
      </c>
      <c r="D160" s="1" t="s">
        <v>583</v>
      </c>
      <c r="E160" s="1" t="s">
        <v>59</v>
      </c>
      <c r="F160" s="1" t="s">
        <v>26</v>
      </c>
      <c r="G160" s="1" t="s">
        <v>27</v>
      </c>
      <c r="H160" s="1" t="s">
        <v>28</v>
      </c>
      <c r="I160" s="1" t="s">
        <v>29</v>
      </c>
      <c r="J160" s="1" t="s">
        <v>26</v>
      </c>
      <c r="K160" s="1" t="s">
        <v>171</v>
      </c>
      <c r="L160" s="1" t="s">
        <v>189</v>
      </c>
      <c r="M160" s="1" t="s">
        <v>155</v>
      </c>
      <c r="N160" s="1" t="s">
        <v>305</v>
      </c>
      <c r="O160" s="1" t="s">
        <v>362</v>
      </c>
      <c r="P160" s="1"/>
      <c r="Q160" s="1">
        <f>IFERROR(COUNTIFS(_report[TOURNAMENT_CODE],ВСЕ_КОДЫ[[#This Row],[TOURNAMENT_CODE]],_report[CONTEST_CODE],ВСЕ_КОДЫ[[#This Row],[CONTEST_CODE]]),"-")</f>
        <v>0</v>
      </c>
      <c r="R160" s="1" t="str">
        <f>IFERROR(INDEX(_SCHEDULE_[],MATCH(ВСЕ_КОДЫ[[#This Row],[CONTEST_CODE]],_SCHEDULE_[CONTEST_CODE],0),MATCH($R$1,_SCHEDULE_[#Headers],0)),"-")</f>
        <v>УДАЛЕН</v>
      </c>
      <c r="S160" s="1" t="str">
        <f>IFERROR(INDEX(_group_[],MATCH(ВСЕ_КОДЫ[[#This Row],[CONTEST_CODE]],_group_[CONTEST_CODE],0),MATCH($S$1,_group_[#Headers],0)),"-")</f>
        <v>BANK</v>
      </c>
      <c r="T160" s="1" t="str">
        <f>IFERROR(INDEX(_INDICATOR_[],MATCH(ВСЕ_КОДЫ[[#This Row],[CONTEST_CODE]],_INDICATOR_[CONTEST_CODE],0),MATCH($T$1,_INDICATOR_[#Headers],0)),"-")</f>
        <v>WAIT</v>
      </c>
      <c r="U160" s="1" t="str">
        <f>IFERROR(INDEX(_reward_link_[],MATCH(ВСЕ_КОДЫ[[#This Row],[CONTEST_CODE]],_reward_link_[CONTEST_CODE],0),MATCH($U$1,_reward_link_[#Headers],0)),"-")</f>
        <v>BANK</v>
      </c>
      <c r="V160" s="1" t="str">
        <f>IFERROR(INDEX(_report[],MATCH(ВСЕ_КОДЫ[[#This Row],[CONTEST_CODE]],_report[CONTEST_CODE],0),MATCH($V$1,_report[#Headers],0)),"-")</f>
        <v>-</v>
      </c>
      <c r="W160" s="1" t="str">
        <f>IFERROR(INDEX(_reward_[],MATCH(ВСЕ_КОДЫ[[#This Row],[REWARD_CODE]],_reward_[REWARD_CODE],0),MATCH($W$1,_reward_[#Headers],0)),"-")</f>
        <v>Победитель Лиги Чемпионов 2ПГ 2023</v>
      </c>
      <c r="X160" s="1" t="str">
        <f>IFERROR(INDEX(_group_[],MATCH(CONCATENATE(ВСЕ_КОДЫ[[#This Row],[CONTEST_CODE]],"_",X$2),#REF!,0),MATCH(X$1,_group_[#Headers],0)),"-")</f>
        <v>-</v>
      </c>
      <c r="Y160" s="1" t="str">
        <f>IFERROR(INDEX(_group_[],MATCH(CONCATENATE(ВСЕ_КОДЫ[[#This Row],[CONTEST_CODE]],"_",Y$2),#REF!,0),MATCH(Y$1,_group_[#Headers],0)),"-")</f>
        <v>-</v>
      </c>
      <c r="Z160" s="1" t="str">
        <f>IFERROR(INDEX(_group_[],MATCH(CONCATENATE(ВСЕ_КОДЫ[[#This Row],[CONTEST_CODE]],"_",Z$2),#REF!,0),MATCH(Z$1,_group_[#Headers],0)),"-")</f>
        <v>-</v>
      </c>
      <c r="AA160" s="1" t="str">
        <f>IFERROR(INDEX(_group_[],MATCH(CONCATENATE(ВСЕ_КОДЫ[[#This Row],[CONTEST_CODE]],"_",AA$2),#REF!,0),MATCH(AA$1,_group_[#Headers],0)),"-")</f>
        <v>-</v>
      </c>
      <c r="AB160" s="1" t="str">
        <f>IFERROR(INDEX(_DATA_[],MATCH(ВСЕ_КОДЫ[[#This Row],[CONTEST_CODE]],_DATA_[CONTEST_CODE],0),MATCH($AB$2,_DATA_[#Headers],0)),"-")</f>
        <v>["""KMKKSB"""]</v>
      </c>
      <c r="AC160" s="1" t="str">
        <f>CONCATENATE(ВСЕ_КОДЫ[[#This Row],[CONTEST_CODE]],"_",ВСЕ_КОДЫ[[#This Row],[TOURNAMENT_CODE]])</f>
        <v>CONTEST_12_TOURNAMENT_12_01</v>
      </c>
      <c r="AD160" s="1" t="str">
        <f>ВСЕ_КОДЫ[[#This Row],[FULL_NAME]]</f>
        <v>Лига Чемпионов 2ПГ 2023</v>
      </c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idden="1" x14ac:dyDescent="0.25">
      <c r="A161" s="1" t="s">
        <v>58</v>
      </c>
      <c r="B161" s="1" t="s">
        <v>222</v>
      </c>
      <c r="C161" s="1" t="s">
        <v>361</v>
      </c>
      <c r="D161" s="1" t="s">
        <v>583</v>
      </c>
      <c r="E161" s="1" t="s">
        <v>59</v>
      </c>
      <c r="F161" s="1" t="s">
        <v>26</v>
      </c>
      <c r="G161" s="1" t="s">
        <v>27</v>
      </c>
      <c r="H161" s="1" t="s">
        <v>28</v>
      </c>
      <c r="I161" s="1" t="s">
        <v>29</v>
      </c>
      <c r="J161" s="1" t="s">
        <v>26</v>
      </c>
      <c r="K161" s="1" t="s">
        <v>171</v>
      </c>
      <c r="L161" s="1" t="s">
        <v>223</v>
      </c>
      <c r="M161" s="1" t="s">
        <v>155</v>
      </c>
      <c r="N161" s="1" t="s">
        <v>305</v>
      </c>
      <c r="O161" s="1" t="s">
        <v>362</v>
      </c>
      <c r="P161" s="1"/>
      <c r="Q161" s="1">
        <f>IFERROR(COUNTIFS(_report[TOURNAMENT_CODE],ВСЕ_КОДЫ[[#This Row],[TOURNAMENT_CODE]],_report[CONTEST_CODE],ВСЕ_КОДЫ[[#This Row],[CONTEST_CODE]]),"-")</f>
        <v>0</v>
      </c>
      <c r="R161" s="1" t="str">
        <f>IFERROR(INDEX(_SCHEDULE_[],MATCH(ВСЕ_КОДЫ[[#This Row],[CONTEST_CODE]],_SCHEDULE_[CONTEST_CODE],0),MATCH($R$1,_SCHEDULE_[#Headers],0)),"-")</f>
        <v>УДАЛЕН</v>
      </c>
      <c r="S161" s="1" t="str">
        <f>IFERROR(INDEX(_group_[],MATCH(ВСЕ_КОДЫ[[#This Row],[CONTEST_CODE]],_group_[CONTEST_CODE],0),MATCH($S$1,_group_[#Headers],0)),"-")</f>
        <v>BANK</v>
      </c>
      <c r="T161" s="1" t="str">
        <f>IFERROR(INDEX(_INDICATOR_[],MATCH(ВСЕ_КОДЫ[[#This Row],[CONTEST_CODE]],_INDICATOR_[CONTEST_CODE],0),MATCH($T$1,_INDICATOR_[#Headers],0)),"-")</f>
        <v>WAIT</v>
      </c>
      <c r="U161" s="1" t="str">
        <f>IFERROR(INDEX(_reward_link_[],MATCH(ВСЕ_КОДЫ[[#This Row],[CONTEST_CODE]],_reward_link_[CONTEST_CODE],0),MATCH($U$1,_reward_link_[#Headers],0)),"-")</f>
        <v>BANK</v>
      </c>
      <c r="V161" s="1" t="str">
        <f>IFERROR(INDEX(_report[],MATCH(ВСЕ_КОДЫ[[#This Row],[CONTEST_CODE]],_report[CONTEST_CODE],0),MATCH($V$1,_report[#Headers],0)),"-")</f>
        <v>-</v>
      </c>
      <c r="W161" s="1" t="str">
        <f>IFERROR(INDEX(_reward_[],MATCH(ВСЕ_КОДЫ[[#This Row],[REWARD_CODE]],_reward_[REWARD_CODE],0),MATCH($W$1,_reward_[#Headers],0)),"-")</f>
        <v>Победитель Лиги Чемпионов 2ПГ 2023</v>
      </c>
      <c r="X161" s="1" t="str">
        <f>IFERROR(INDEX(_group_[],MATCH(CONCATENATE(ВСЕ_КОДЫ[[#This Row],[CONTEST_CODE]],"_",X$2),#REF!,0),MATCH(X$1,_group_[#Headers],0)),"-")</f>
        <v>-</v>
      </c>
      <c r="Y161" s="1" t="str">
        <f>IFERROR(INDEX(_group_[],MATCH(CONCATENATE(ВСЕ_КОДЫ[[#This Row],[CONTEST_CODE]],"_",Y$2),#REF!,0),MATCH(Y$1,_group_[#Headers],0)),"-")</f>
        <v>-</v>
      </c>
      <c r="Z161" s="1" t="str">
        <f>IFERROR(INDEX(_group_[],MATCH(CONCATENATE(ВСЕ_КОДЫ[[#This Row],[CONTEST_CODE]],"_",Z$2),#REF!,0),MATCH(Z$1,_group_[#Headers],0)),"-")</f>
        <v>-</v>
      </c>
      <c r="AA161" s="1" t="str">
        <f>IFERROR(INDEX(_group_[],MATCH(CONCATENATE(ВСЕ_КОДЫ[[#This Row],[CONTEST_CODE]],"_",AA$2),#REF!,0),MATCH(AA$1,_group_[#Headers],0)),"-")</f>
        <v>-</v>
      </c>
      <c r="AB161" s="1" t="str">
        <f>IFERROR(INDEX(_DATA_[],MATCH(ВСЕ_КОДЫ[[#This Row],[CONTEST_CODE]],_DATA_[CONTEST_CODE],0),MATCH($AB$2,_DATA_[#Headers],0)),"-")</f>
        <v>["""KMKKSB"""]</v>
      </c>
      <c r="AC161" s="1" t="str">
        <f>CONCATENATE(ВСЕ_КОДЫ[[#This Row],[CONTEST_CODE]],"_",ВСЕ_КОДЫ[[#This Row],[TOURNAMENT_CODE]])</f>
        <v>CONTEST_12_TOURNAMENT_12_02</v>
      </c>
      <c r="AD161" s="1" t="str">
        <f>ВСЕ_КОДЫ[[#This Row],[FULL_NAME]]</f>
        <v>Лига Чемпионов 2ПГ 2023</v>
      </c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idden="1" x14ac:dyDescent="0.25">
      <c r="A162" s="1" t="s">
        <v>58</v>
      </c>
      <c r="B162" s="1" t="s">
        <v>224</v>
      </c>
      <c r="C162" s="1" t="s">
        <v>361</v>
      </c>
      <c r="D162" s="1" t="s">
        <v>583</v>
      </c>
      <c r="E162" s="1" t="s">
        <v>59</v>
      </c>
      <c r="F162" s="1" t="s">
        <v>26</v>
      </c>
      <c r="G162" s="1" t="s">
        <v>27</v>
      </c>
      <c r="H162" s="1" t="s">
        <v>28</v>
      </c>
      <c r="I162" s="1" t="s">
        <v>29</v>
      </c>
      <c r="J162" s="1" t="s">
        <v>26</v>
      </c>
      <c r="K162" s="1" t="s">
        <v>171</v>
      </c>
      <c r="L162" s="1" t="s">
        <v>644</v>
      </c>
      <c r="M162" s="1" t="s">
        <v>176</v>
      </c>
      <c r="N162" s="1" t="s">
        <v>305</v>
      </c>
      <c r="O162" s="1" t="s">
        <v>362</v>
      </c>
      <c r="P162" s="1"/>
      <c r="Q162" s="1">
        <f>IFERROR(COUNTIFS(_report[TOURNAMENT_CODE],ВСЕ_КОДЫ[[#This Row],[TOURNAMENT_CODE]],_report[CONTEST_CODE],ВСЕ_КОДЫ[[#This Row],[CONTEST_CODE]]),"-")</f>
        <v>0</v>
      </c>
      <c r="R162" s="1" t="str">
        <f>IFERROR(INDEX(_SCHEDULE_[],MATCH(ВСЕ_КОДЫ[[#This Row],[CONTEST_CODE]],_SCHEDULE_[CONTEST_CODE],0),MATCH($R$1,_SCHEDULE_[#Headers],0)),"-")</f>
        <v>УДАЛЕН</v>
      </c>
      <c r="S162" s="1" t="str">
        <f>IFERROR(INDEX(_group_[],MATCH(ВСЕ_КОДЫ[[#This Row],[CONTEST_CODE]],_group_[CONTEST_CODE],0),MATCH($S$1,_group_[#Headers],0)),"-")</f>
        <v>BANK</v>
      </c>
      <c r="T162" s="1" t="str">
        <f>IFERROR(INDEX(_INDICATOR_[],MATCH(ВСЕ_КОДЫ[[#This Row],[CONTEST_CODE]],_INDICATOR_[CONTEST_CODE],0),MATCH($T$1,_INDICATOR_[#Headers],0)),"-")</f>
        <v>WAIT</v>
      </c>
      <c r="U162" s="1" t="str">
        <f>IFERROR(INDEX(_reward_link_[],MATCH(ВСЕ_КОДЫ[[#This Row],[CONTEST_CODE]],_reward_link_[CONTEST_CODE],0),MATCH($U$1,_reward_link_[#Headers],0)),"-")</f>
        <v>BANK</v>
      </c>
      <c r="V162" s="1" t="str">
        <f>IFERROR(INDEX(_report[],MATCH(ВСЕ_КОДЫ[[#This Row],[CONTEST_CODE]],_report[CONTEST_CODE],0),MATCH($V$1,_report[#Headers],0)),"-")</f>
        <v>-</v>
      </c>
      <c r="W162" s="1" t="str">
        <f>IFERROR(INDEX(_reward_[],MATCH(ВСЕ_КОДЫ[[#This Row],[REWARD_CODE]],_reward_[REWARD_CODE],0),MATCH($W$1,_reward_[#Headers],0)),"-")</f>
        <v>Победитель Лиги Чемпионов 2ПГ 2023</v>
      </c>
      <c r="X162" s="1" t="str">
        <f>IFERROR(INDEX(_group_[],MATCH(CONCATENATE(ВСЕ_КОДЫ[[#This Row],[CONTEST_CODE]],"_",X$2),#REF!,0),MATCH(X$1,_group_[#Headers],0)),"-")</f>
        <v>-</v>
      </c>
      <c r="Y162" s="1" t="str">
        <f>IFERROR(INDEX(_group_[],MATCH(CONCATENATE(ВСЕ_КОДЫ[[#This Row],[CONTEST_CODE]],"_",Y$2),#REF!,0),MATCH(Y$1,_group_[#Headers],0)),"-")</f>
        <v>-</v>
      </c>
      <c r="Z162" s="1" t="str">
        <f>IFERROR(INDEX(_group_[],MATCH(CONCATENATE(ВСЕ_КОДЫ[[#This Row],[CONTEST_CODE]],"_",Z$2),#REF!,0),MATCH(Z$1,_group_[#Headers],0)),"-")</f>
        <v>-</v>
      </c>
      <c r="AA162" s="1" t="str">
        <f>IFERROR(INDEX(_group_[],MATCH(CONCATENATE(ВСЕ_КОДЫ[[#This Row],[CONTEST_CODE]],"_",AA$2),#REF!,0),MATCH(AA$1,_group_[#Headers],0)),"-")</f>
        <v>-</v>
      </c>
      <c r="AB162" s="1" t="str">
        <f>IFERROR(INDEX(_DATA_[],MATCH(ВСЕ_КОДЫ[[#This Row],[CONTEST_CODE]],_DATA_[CONTEST_CODE],0),MATCH($AB$2,_DATA_[#Headers],0)),"-")</f>
        <v>["""KMKKSB"""]</v>
      </c>
      <c r="AC162" s="1" t="str">
        <f>CONCATENATE(ВСЕ_КОДЫ[[#This Row],[CONTEST_CODE]],"_",ВСЕ_КОДЫ[[#This Row],[TOURNAMENT_CODE]])</f>
        <v>CONTEST_12_TOURNAMENT_12_03</v>
      </c>
      <c r="AD162" s="1" t="str">
        <f>ВСЕ_КОДЫ[[#This Row],[FULL_NAME]]</f>
        <v>Лига Чемпионов 2ПГ 2023</v>
      </c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idden="1" x14ac:dyDescent="0.25">
      <c r="A163" s="1" t="s">
        <v>2210</v>
      </c>
      <c r="B163" s="1" t="s">
        <v>2547</v>
      </c>
      <c r="C163" s="1" t="s">
        <v>2310</v>
      </c>
      <c r="D163" s="1" t="s">
        <v>583</v>
      </c>
      <c r="E163" s="1" t="s">
        <v>100</v>
      </c>
      <c r="F163" s="1" t="s">
        <v>2508</v>
      </c>
      <c r="G163" s="1" t="s">
        <v>27</v>
      </c>
      <c r="H163" s="1" t="s">
        <v>34</v>
      </c>
      <c r="I163" s="1" t="s">
        <v>50</v>
      </c>
      <c r="J163" s="1" t="s">
        <v>2521</v>
      </c>
      <c r="K163" s="1" t="s">
        <v>2522</v>
      </c>
      <c r="L163" s="1" t="s">
        <v>4110</v>
      </c>
      <c r="M163" s="1" t="s">
        <v>176</v>
      </c>
      <c r="N163" s="1" t="s">
        <v>305</v>
      </c>
      <c r="O163" s="1" t="s">
        <v>2688</v>
      </c>
      <c r="P163" s="1"/>
      <c r="Q163" s="1">
        <f>IFERROR(COUNTIFS(_report[TOURNAMENT_CODE],ВСЕ_КОДЫ[[#This Row],[TOURNAMENT_CODE]],_report[CONTEST_CODE],ВСЕ_КОДЫ[[#This Row],[CONTEST_CODE]]),"-")</f>
        <v>0</v>
      </c>
      <c r="R163" s="1" t="str">
        <f>IFERROR(INDEX(_SCHEDULE_[],MATCH(ВСЕ_КОДЫ[[#This Row],[CONTEST_CODE]],_SCHEDULE_[CONTEST_CODE],0),MATCH($R$1,_SCHEDULE_[#Headers],0)),"-")</f>
        <v>ЗАВЕРШЕН</v>
      </c>
      <c r="S163" s="1" t="str">
        <f>IFERROR(INDEX(_group_[],MATCH(ВСЕ_КОДЫ[[#This Row],[CONTEST_CODE]],_group_[CONTEST_CODE],0),MATCH($S$1,_group_[#Headers],0)),"-")</f>
        <v>BANK</v>
      </c>
      <c r="T163" s="1" t="str">
        <f>IFERROR(INDEX(_INDICATOR_[],MATCH(ВСЕ_КОДЫ[[#This Row],[CONTEST_CODE]],_INDICATOR_[CONTEST_CODE],0),MATCH($T$1,_INDICATOR_[#Headers],0)),"-")</f>
        <v>WAIT</v>
      </c>
      <c r="U163" s="1" t="str">
        <f>IFERROR(INDEX(_reward_link_[],MATCH(ВСЕ_КОДЫ[[#This Row],[CONTEST_CODE]],_reward_link_[CONTEST_CODE],0),MATCH($U$1,_reward_link_[#Headers],0)),"-")</f>
        <v>BANK</v>
      </c>
      <c r="V163" s="1" t="str">
        <f>IFERROR(INDEX(_report[],MATCH(ВСЕ_КОДЫ[[#This Row],[CONTEST_CODE]],_report[CONTEST_CODE],0),MATCH($V$1,_report[#Headers],0)),"-")</f>
        <v>-</v>
      </c>
      <c r="W163" s="1" t="str">
        <f>IFERROR(INDEX(_reward_[],MATCH(ВСЕ_КОДЫ[[#This Row],[REWARD_CODE]],_reward_[REWARD_CODE],0),MATCH($W$1,_reward_[#Headers],0)),"-")</f>
        <v>Золото#по рыночным продажам</v>
      </c>
      <c r="X163" s="1" t="str">
        <f>IFERROR(INDEX(_group_[],MATCH(CONCATENATE(ВСЕ_КОДЫ[[#This Row],[CONTEST_CODE]],"_",X$2),#REF!,0),MATCH(X$1,_group_[#Headers],0)),"-")</f>
        <v>-</v>
      </c>
      <c r="Y163" s="1" t="str">
        <f>IFERROR(INDEX(_group_[],MATCH(CONCATENATE(ВСЕ_КОДЫ[[#This Row],[CONTEST_CODE]],"_",Y$2),#REF!,0),MATCH(Y$1,_group_[#Headers],0)),"-")</f>
        <v>-</v>
      </c>
      <c r="Z163" s="1" t="str">
        <f>IFERROR(INDEX(_group_[],MATCH(CONCATENATE(ВСЕ_КОДЫ[[#This Row],[CONTEST_CODE]],"_",Z$2),#REF!,0),MATCH(Z$1,_group_[#Headers],0)),"-")</f>
        <v>-</v>
      </c>
      <c r="AA163" s="1" t="str">
        <f>IFERROR(INDEX(_group_[],MATCH(CONCATENATE(ВСЕ_КОДЫ[[#This Row],[CONTEST_CODE]],"_",AA$2),#REF!,0),MATCH(AA$1,_group_[#Headers],0)),"-")</f>
        <v>-</v>
      </c>
      <c r="AB163" s="1" t="str">
        <f>IFERROR(INDEX(_DATA_[],MATCH(ВСЕ_КОДЫ[[#This Row],[CONTEST_CODE]],_DATA_[CONTEST_CODE],0),MATCH($AB$2,_DATA_[#Headers],0)),"-")</f>
        <v>["""KMKKSB"""]</v>
      </c>
      <c r="AC163" s="1" t="str">
        <f>CONCATENATE(ВСЕ_КОДЫ[[#This Row],[CONTEST_CODE]],"_",ВСЕ_КОДЫ[[#This Row],[TOURNAMENT_CODE]])</f>
        <v>01_2025-1_08-1_1_t_01_2025-1_08-1_1_3021</v>
      </c>
      <c r="AD163" s="1" t="str">
        <f>ВСЕ_КОДЫ[[#This Row],[FULL_NAME]]</f>
        <v>Страхование. Рыночные продажи</v>
      </c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idden="1" x14ac:dyDescent="0.25">
      <c r="A164" s="1" t="s">
        <v>2210</v>
      </c>
      <c r="B164" s="1" t="s">
        <v>3229</v>
      </c>
      <c r="C164" s="1" t="s">
        <v>2310</v>
      </c>
      <c r="D164" s="1" t="s">
        <v>583</v>
      </c>
      <c r="E164" s="1" t="s">
        <v>100</v>
      </c>
      <c r="F164" s="1" t="s">
        <v>2508</v>
      </c>
      <c r="G164" s="1" t="s">
        <v>27</v>
      </c>
      <c r="H164" s="1" t="s">
        <v>34</v>
      </c>
      <c r="I164" s="1" t="s">
        <v>50</v>
      </c>
      <c r="J164" s="1" t="s">
        <v>3219</v>
      </c>
      <c r="K164" s="1" t="s">
        <v>2534</v>
      </c>
      <c r="L164" s="1" t="s">
        <v>4153</v>
      </c>
      <c r="M164" s="1" t="s">
        <v>176</v>
      </c>
      <c r="N164" s="1" t="s">
        <v>305</v>
      </c>
      <c r="O164" s="1" t="s">
        <v>2688</v>
      </c>
      <c r="P164" s="1"/>
      <c r="Q164" s="1">
        <f>IFERROR(COUNTIFS(_report[TOURNAMENT_CODE],ВСЕ_КОДЫ[[#This Row],[TOURNAMENT_CODE]],_report[CONTEST_CODE],ВСЕ_КОДЫ[[#This Row],[CONTEST_CODE]]),"-")</f>
        <v>0</v>
      </c>
      <c r="R164" s="1" t="str">
        <f>IFERROR(INDEX(_SCHEDULE_[],MATCH(ВСЕ_КОДЫ[[#This Row],[CONTEST_CODE]],_SCHEDULE_[CONTEST_CODE],0),MATCH($R$1,_SCHEDULE_[#Headers],0)),"-")</f>
        <v>ЗАВЕРШЕН</v>
      </c>
      <c r="S164" s="1" t="str">
        <f>IFERROR(INDEX(_group_[],MATCH(ВСЕ_КОДЫ[[#This Row],[CONTEST_CODE]],_group_[CONTEST_CODE],0),MATCH($S$1,_group_[#Headers],0)),"-")</f>
        <v>BANK</v>
      </c>
      <c r="T164" s="1" t="str">
        <f>IFERROR(INDEX(_INDICATOR_[],MATCH(ВСЕ_КОДЫ[[#This Row],[CONTEST_CODE]],_INDICATOR_[CONTEST_CODE],0),MATCH($T$1,_INDICATOR_[#Headers],0)),"-")</f>
        <v>WAIT</v>
      </c>
      <c r="U164" s="1" t="str">
        <f>IFERROR(INDEX(_reward_link_[],MATCH(ВСЕ_КОДЫ[[#This Row],[CONTEST_CODE]],_reward_link_[CONTEST_CODE],0),MATCH($U$1,_reward_link_[#Headers],0)),"-")</f>
        <v>BANK</v>
      </c>
      <c r="V164" s="1" t="str">
        <f>IFERROR(INDEX(_report[],MATCH(ВСЕ_КОДЫ[[#This Row],[CONTEST_CODE]],_report[CONTEST_CODE],0),MATCH($V$1,_report[#Headers],0)),"-")</f>
        <v>-</v>
      </c>
      <c r="W164" s="1" t="str">
        <f>IFERROR(INDEX(_reward_[],MATCH(ВСЕ_КОДЫ[[#This Row],[REWARD_CODE]],_reward_[REWARD_CODE],0),MATCH($W$1,_reward_[#Headers],0)),"-")</f>
        <v>Золото#по рыночным продажам</v>
      </c>
      <c r="X164" s="1" t="str">
        <f>IFERROR(INDEX(_group_[],MATCH(CONCATENATE(ВСЕ_КОДЫ[[#This Row],[CONTEST_CODE]],"_",X$2),#REF!,0),MATCH(X$1,_group_[#Headers],0)),"-")</f>
        <v>-</v>
      </c>
      <c r="Y164" s="1" t="str">
        <f>IFERROR(INDEX(_group_[],MATCH(CONCATENATE(ВСЕ_КОДЫ[[#This Row],[CONTEST_CODE]],"_",Y$2),#REF!,0),MATCH(Y$1,_group_[#Headers],0)),"-")</f>
        <v>-</v>
      </c>
      <c r="Z164" s="1" t="str">
        <f>IFERROR(INDEX(_group_[],MATCH(CONCATENATE(ВСЕ_КОДЫ[[#This Row],[CONTEST_CODE]],"_",Z$2),#REF!,0),MATCH(Z$1,_group_[#Headers],0)),"-")</f>
        <v>-</v>
      </c>
      <c r="AA164" s="1" t="str">
        <f>IFERROR(INDEX(_group_[],MATCH(CONCATENATE(ВСЕ_КОДЫ[[#This Row],[CONTEST_CODE]],"_",AA$2),#REF!,0),MATCH(AA$1,_group_[#Headers],0)),"-")</f>
        <v>-</v>
      </c>
      <c r="AB164" s="1" t="str">
        <f>IFERROR(INDEX(_DATA_[],MATCH(ВСЕ_КОДЫ[[#This Row],[CONTEST_CODE]],_DATA_[CONTEST_CODE],0),MATCH($AB$2,_DATA_[#Headers],0)),"-")</f>
        <v>["""KMKKSB"""]</v>
      </c>
      <c r="AC164" s="1" t="str">
        <f>CONCATENATE(ВСЕ_КОДЫ[[#This Row],[CONTEST_CODE]],"_",ВСЕ_КОДЫ[[#This Row],[TOURNAMENT_CODE]])</f>
        <v>01_2025-1_08-1_1_t_01_2025-1_08-1_1_3031</v>
      </c>
      <c r="AD164" s="1" t="str">
        <f>ВСЕ_КОДЫ[[#This Row],[FULL_NAME]]</f>
        <v>Страхование. Рыночные продажи</v>
      </c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idden="1" x14ac:dyDescent="0.25">
      <c r="A165" s="1" t="s">
        <v>2210</v>
      </c>
      <c r="B165" s="1" t="s">
        <v>3685</v>
      </c>
      <c r="C165" s="1" t="s">
        <v>2310</v>
      </c>
      <c r="D165" s="1" t="s">
        <v>583</v>
      </c>
      <c r="E165" s="1" t="s">
        <v>100</v>
      </c>
      <c r="F165" s="1" t="s">
        <v>2508</v>
      </c>
      <c r="G165" s="1" t="s">
        <v>27</v>
      </c>
      <c r="H165" s="1" t="s">
        <v>34</v>
      </c>
      <c r="I165" s="1" t="s">
        <v>50</v>
      </c>
      <c r="J165" s="1" t="s">
        <v>4019</v>
      </c>
      <c r="K165" s="1" t="s">
        <v>3647</v>
      </c>
      <c r="L165" s="1" t="s">
        <v>4770</v>
      </c>
      <c r="M165" s="1" t="s">
        <v>176</v>
      </c>
      <c r="N165" s="1" t="s">
        <v>305</v>
      </c>
      <c r="O165" s="1" t="s">
        <v>2688</v>
      </c>
      <c r="P165" s="1"/>
      <c r="Q165" s="1">
        <f>IFERROR(COUNTIFS(_report[TOURNAMENT_CODE],ВСЕ_КОДЫ[[#This Row],[TOURNAMENT_CODE]],_report[CONTEST_CODE],ВСЕ_КОДЫ[[#This Row],[CONTEST_CODE]]),"-")</f>
        <v>0</v>
      </c>
      <c r="R165" s="1" t="str">
        <f>IFERROR(INDEX(_SCHEDULE_[],MATCH(ВСЕ_КОДЫ[[#This Row],[CONTEST_CODE]],_SCHEDULE_[CONTEST_CODE],0),MATCH($R$1,_SCHEDULE_[#Headers],0)),"-")</f>
        <v>ЗАВЕРШЕН</v>
      </c>
      <c r="S165" s="1" t="str">
        <f>IFERROR(INDEX(_group_[],MATCH(ВСЕ_КОДЫ[[#This Row],[CONTEST_CODE]],_group_[CONTEST_CODE],0),MATCH($S$1,_group_[#Headers],0)),"-")</f>
        <v>BANK</v>
      </c>
      <c r="T165" s="1" t="str">
        <f>IFERROR(INDEX(_INDICATOR_[],MATCH(ВСЕ_КОДЫ[[#This Row],[CONTEST_CODE]],_INDICATOR_[CONTEST_CODE],0),MATCH($T$1,_INDICATOR_[#Headers],0)),"-")</f>
        <v>WAIT</v>
      </c>
      <c r="U165" s="1" t="str">
        <f>IFERROR(INDEX(_reward_link_[],MATCH(ВСЕ_КОДЫ[[#This Row],[CONTEST_CODE]],_reward_link_[CONTEST_CODE],0),MATCH($U$1,_reward_link_[#Headers],0)),"-")</f>
        <v>BANK</v>
      </c>
      <c r="V165" s="1" t="str">
        <f>IFERROR(INDEX(_report[],MATCH(ВСЕ_КОДЫ[[#This Row],[CONTEST_CODE]],_report[CONTEST_CODE],0),MATCH($V$1,_report[#Headers],0)),"-")</f>
        <v>-</v>
      </c>
      <c r="W165" s="1" t="str">
        <f>IFERROR(INDEX(_reward_[],MATCH(ВСЕ_КОДЫ[[#This Row],[REWARD_CODE]],_reward_[REWARD_CODE],0),MATCH($W$1,_reward_[#Headers],0)),"-")</f>
        <v>Золото#по рыночным продажам</v>
      </c>
      <c r="X165" s="1" t="str">
        <f>IFERROR(INDEX(_group_[],MATCH(CONCATENATE(ВСЕ_КОДЫ[[#This Row],[CONTEST_CODE]],"_",X$2),#REF!,0),MATCH(X$1,_group_[#Headers],0)),"-")</f>
        <v>-</v>
      </c>
      <c r="Y165" s="1" t="str">
        <f>IFERROR(INDEX(_group_[],MATCH(CONCATENATE(ВСЕ_КОДЫ[[#This Row],[CONTEST_CODE]],"_",Y$2),#REF!,0),MATCH(Y$1,_group_[#Headers],0)),"-")</f>
        <v>-</v>
      </c>
      <c r="Z165" s="1" t="str">
        <f>IFERROR(INDEX(_group_[],MATCH(CONCATENATE(ВСЕ_КОДЫ[[#This Row],[CONTEST_CODE]],"_",Z$2),#REF!,0),MATCH(Z$1,_group_[#Headers],0)),"-")</f>
        <v>-</v>
      </c>
      <c r="AA165" s="1" t="str">
        <f>IFERROR(INDEX(_group_[],MATCH(CONCATENATE(ВСЕ_КОДЫ[[#This Row],[CONTEST_CODE]],"_",AA$2),#REF!,0),MATCH(AA$1,_group_[#Headers],0)),"-")</f>
        <v>-</v>
      </c>
      <c r="AB165" s="1" t="str">
        <f>IFERROR(INDEX(_DATA_[],MATCH(ВСЕ_КОДЫ[[#This Row],[CONTEST_CODE]],_DATA_[CONTEST_CODE],0),MATCH($AB$2,_DATA_[#Headers],0)),"-")</f>
        <v>["""KMKKSB"""]</v>
      </c>
      <c r="AC165" s="1" t="str">
        <f>CONCATENATE(ВСЕ_КОДЫ[[#This Row],[CONTEST_CODE]],"_",ВСЕ_КОДЫ[[#This Row],[TOURNAMENT_CODE]])</f>
        <v>01_2025-1_08-1_1_t_01_2025-1_08-1_1_3041</v>
      </c>
      <c r="AD165" s="1" t="str">
        <f>ВСЕ_КОДЫ[[#This Row],[FULL_NAME]]</f>
        <v>Страхование. Рыночные продажи</v>
      </c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idden="1" x14ac:dyDescent="0.25">
      <c r="A166" s="1" t="s">
        <v>2210</v>
      </c>
      <c r="B166" s="1" t="s">
        <v>4763</v>
      </c>
      <c r="C166" s="1" t="s">
        <v>2310</v>
      </c>
      <c r="D166" s="1" t="s">
        <v>583</v>
      </c>
      <c r="E166" s="1" t="s">
        <v>100</v>
      </c>
      <c r="F166" s="1" t="s">
        <v>2508</v>
      </c>
      <c r="G166" s="1" t="s">
        <v>27</v>
      </c>
      <c r="H166" s="1" t="s">
        <v>34</v>
      </c>
      <c r="I166" s="1" t="s">
        <v>50</v>
      </c>
      <c r="J166" s="1" t="s">
        <v>2554</v>
      </c>
      <c r="K166" s="1" t="s">
        <v>4756</v>
      </c>
      <c r="L166" s="1" t="s">
        <v>4757</v>
      </c>
      <c r="M166" s="1" t="s">
        <v>34</v>
      </c>
      <c r="N166" s="1" t="s">
        <v>305</v>
      </c>
      <c r="O166" s="1" t="s">
        <v>2688</v>
      </c>
      <c r="P166" s="1"/>
      <c r="Q166" s="1">
        <f>IFERROR(COUNTIFS(_report[TOURNAMENT_CODE],ВСЕ_КОДЫ[[#This Row],[TOURNAMENT_CODE]],_report[CONTEST_CODE],ВСЕ_КОДЫ[[#This Row],[CONTEST_CODE]]),"-")</f>
        <v>0</v>
      </c>
      <c r="R166" s="1" t="str">
        <f>IFERROR(INDEX(_SCHEDULE_[],MATCH(ВСЕ_КОДЫ[[#This Row],[CONTEST_CODE]],_SCHEDULE_[CONTEST_CODE],0),MATCH($R$1,_SCHEDULE_[#Headers],0)),"-")</f>
        <v>ЗАВЕРШЕН</v>
      </c>
      <c r="S166" s="1" t="str">
        <f>IFERROR(INDEX(_group_[],MATCH(ВСЕ_КОДЫ[[#This Row],[CONTEST_CODE]],_group_[CONTEST_CODE],0),MATCH($S$1,_group_[#Headers],0)),"-")</f>
        <v>BANK</v>
      </c>
      <c r="T166" s="1" t="str">
        <f>IFERROR(INDEX(_INDICATOR_[],MATCH(ВСЕ_КОДЫ[[#This Row],[CONTEST_CODE]],_INDICATOR_[CONTEST_CODE],0),MATCH($T$1,_INDICATOR_[#Headers],0)),"-")</f>
        <v>WAIT</v>
      </c>
      <c r="U166" s="1" t="str">
        <f>IFERROR(INDEX(_reward_link_[],MATCH(ВСЕ_КОДЫ[[#This Row],[CONTEST_CODE]],_reward_link_[CONTEST_CODE],0),MATCH($U$1,_reward_link_[#Headers],0)),"-")</f>
        <v>BANK</v>
      </c>
      <c r="V166" s="1" t="str">
        <f>IFERROR(INDEX(_report[],MATCH(ВСЕ_КОДЫ[[#This Row],[CONTEST_CODE]],_report[CONTEST_CODE],0),MATCH($V$1,_report[#Headers],0)),"-")</f>
        <v>-</v>
      </c>
      <c r="W166" s="1" t="str">
        <f>IFERROR(INDEX(_reward_[],MATCH(ВСЕ_КОДЫ[[#This Row],[REWARD_CODE]],_reward_[REWARD_CODE],0),MATCH($W$1,_reward_[#Headers],0)),"-")</f>
        <v>Золото#по рыночным продажам</v>
      </c>
      <c r="X166" s="1" t="str">
        <f>IFERROR(INDEX(_group_[],MATCH(CONCATENATE(ВСЕ_КОДЫ[[#This Row],[CONTEST_CODE]],"_",X$2),#REF!,0),MATCH(X$1,_group_[#Headers],0)),"-")</f>
        <v>-</v>
      </c>
      <c r="Y166" s="1" t="str">
        <f>IFERROR(INDEX(_group_[],MATCH(CONCATENATE(ВСЕ_КОДЫ[[#This Row],[CONTEST_CODE]],"_",Y$2),#REF!,0),MATCH(Y$1,_group_[#Headers],0)),"-")</f>
        <v>-</v>
      </c>
      <c r="Z166" s="1" t="str">
        <f>IFERROR(INDEX(_group_[],MATCH(CONCATENATE(ВСЕ_КОДЫ[[#This Row],[CONTEST_CODE]],"_",Z$2),#REF!,0),MATCH(Z$1,_group_[#Headers],0)),"-")</f>
        <v>-</v>
      </c>
      <c r="AA166" s="1" t="str">
        <f>IFERROR(INDEX(_group_[],MATCH(CONCATENATE(ВСЕ_КОДЫ[[#This Row],[CONTEST_CODE]],"_",AA$2),#REF!,0),MATCH(AA$1,_group_[#Headers],0)),"-")</f>
        <v>-</v>
      </c>
      <c r="AB166" s="1" t="str">
        <f>IFERROR(INDEX(_DATA_[],MATCH(ВСЕ_КОДЫ[[#This Row],[CONTEST_CODE]],_DATA_[CONTEST_CODE],0),MATCH($AB$2,_DATA_[#Headers],0)),"-")</f>
        <v>["""KMKKSB"""]</v>
      </c>
      <c r="AC166" s="1" t="str">
        <f>CONCATENATE(ВСЕ_КОДЫ[[#This Row],[CONTEST_CODE]],"_",ВСЕ_КОДЫ[[#This Row],[TOURNAMENT_CODE]])</f>
        <v>01_2025-1_08-1_1_t_01_2025-1_08-1_1_3051</v>
      </c>
      <c r="AD166" s="1" t="str">
        <f>ВСЕ_КОДЫ[[#This Row],[FULL_NAME]]</f>
        <v>Страхование. Рыночные продажи</v>
      </c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idden="1" x14ac:dyDescent="0.25">
      <c r="A167" s="1" t="s">
        <v>2210</v>
      </c>
      <c r="B167" s="1" t="s">
        <v>4815</v>
      </c>
      <c r="C167" s="1" t="s">
        <v>2310</v>
      </c>
      <c r="D167" s="1" t="s">
        <v>583</v>
      </c>
      <c r="E167" s="1" t="s">
        <v>100</v>
      </c>
      <c r="F167" s="1" t="s">
        <v>2508</v>
      </c>
      <c r="G167" s="1" t="s">
        <v>27</v>
      </c>
      <c r="H167" s="1" t="s">
        <v>34</v>
      </c>
      <c r="I167" s="1" t="s">
        <v>50</v>
      </c>
      <c r="J167" s="1" t="s">
        <v>4809</v>
      </c>
      <c r="K167" s="1" t="s">
        <v>2542</v>
      </c>
      <c r="L167" s="1" t="s">
        <v>3545</v>
      </c>
      <c r="M167" s="1" t="s">
        <v>34</v>
      </c>
      <c r="N167" s="1" t="s">
        <v>305</v>
      </c>
      <c r="O167" s="1" t="s">
        <v>2688</v>
      </c>
      <c r="P167" s="1"/>
      <c r="Q167" s="1">
        <f>IFERROR(COUNTIFS(_report[TOURNAMENT_CODE],ВСЕ_КОДЫ[[#This Row],[TOURNAMENT_CODE]],_report[CONTEST_CODE],ВСЕ_КОДЫ[[#This Row],[CONTEST_CODE]]),"-")</f>
        <v>0</v>
      </c>
      <c r="R167" s="1" t="str">
        <f>IFERROR(INDEX(_SCHEDULE_[],MATCH(ВСЕ_КОДЫ[[#This Row],[CONTEST_CODE]],_SCHEDULE_[CONTEST_CODE],0),MATCH($R$1,_SCHEDULE_[#Headers],0)),"-")</f>
        <v>ЗАВЕРШЕН</v>
      </c>
      <c r="S167" s="1" t="str">
        <f>IFERROR(INDEX(_group_[],MATCH(ВСЕ_КОДЫ[[#This Row],[CONTEST_CODE]],_group_[CONTEST_CODE],0),MATCH($S$1,_group_[#Headers],0)),"-")</f>
        <v>BANK</v>
      </c>
      <c r="T167" s="1" t="str">
        <f>IFERROR(INDEX(_INDICATOR_[],MATCH(ВСЕ_КОДЫ[[#This Row],[CONTEST_CODE]],_INDICATOR_[CONTEST_CODE],0),MATCH($T$1,_INDICATOR_[#Headers],0)),"-")</f>
        <v>WAIT</v>
      </c>
      <c r="U167" s="1" t="str">
        <f>IFERROR(INDEX(_reward_link_[],MATCH(ВСЕ_КОДЫ[[#This Row],[CONTEST_CODE]],_reward_link_[CONTEST_CODE],0),MATCH($U$1,_reward_link_[#Headers],0)),"-")</f>
        <v>BANK</v>
      </c>
      <c r="V167" s="1" t="str">
        <f>IFERROR(INDEX(_report[],MATCH(ВСЕ_КОДЫ[[#This Row],[CONTEST_CODE]],_report[CONTEST_CODE],0),MATCH($V$1,_report[#Headers],0)),"-")</f>
        <v>-</v>
      </c>
      <c r="W167" s="1" t="str">
        <f>IFERROR(INDEX(_reward_[],MATCH(ВСЕ_КОДЫ[[#This Row],[REWARD_CODE]],_reward_[REWARD_CODE],0),MATCH($W$1,_reward_[#Headers],0)),"-")</f>
        <v>Золото#по рыночным продажам</v>
      </c>
      <c r="X167" s="1" t="str">
        <f>IFERROR(INDEX(_group_[],MATCH(CONCATENATE(ВСЕ_КОДЫ[[#This Row],[CONTEST_CODE]],"_",X$2),#REF!,0),MATCH(X$1,_group_[#Headers],0)),"-")</f>
        <v>-</v>
      </c>
      <c r="Y167" s="1" t="str">
        <f>IFERROR(INDEX(_group_[],MATCH(CONCATENATE(ВСЕ_КОДЫ[[#This Row],[CONTEST_CODE]],"_",Y$2),#REF!,0),MATCH(Y$1,_group_[#Headers],0)),"-")</f>
        <v>-</v>
      </c>
      <c r="Z167" s="1" t="str">
        <f>IFERROR(INDEX(_group_[],MATCH(CONCATENATE(ВСЕ_КОДЫ[[#This Row],[CONTEST_CODE]],"_",Z$2),#REF!,0),MATCH(Z$1,_group_[#Headers],0)),"-")</f>
        <v>-</v>
      </c>
      <c r="AA167" s="1" t="str">
        <f>IFERROR(INDEX(_group_[],MATCH(CONCATENATE(ВСЕ_КОДЫ[[#This Row],[CONTEST_CODE]],"_",AA$2),#REF!,0),MATCH(AA$1,_group_[#Headers],0)),"-")</f>
        <v>-</v>
      </c>
      <c r="AB167" s="1" t="str">
        <f>IFERROR(INDEX(_DATA_[],MATCH(ВСЕ_КОДЫ[[#This Row],[CONTEST_CODE]],_DATA_[CONTEST_CODE],0),MATCH($AB$2,_DATA_[#Headers],0)),"-")</f>
        <v>["""KMKKSB"""]</v>
      </c>
      <c r="AC167" s="1" t="str">
        <f>CONCATENATE(ВСЕ_КОДЫ[[#This Row],[CONTEST_CODE]],"_",ВСЕ_КОДЫ[[#This Row],[TOURNAMENT_CODE]])</f>
        <v>01_2025-1_08-1_1_t_01_2025-1_08-1_1_3061</v>
      </c>
      <c r="AD167" s="1" t="str">
        <f>ВСЕ_КОДЫ[[#This Row],[FULL_NAME]]</f>
        <v>Страхование. Рыночные продажи</v>
      </c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idden="1" x14ac:dyDescent="0.25">
      <c r="A168" s="1" t="s">
        <v>2210</v>
      </c>
      <c r="B168" s="1" t="s">
        <v>2547</v>
      </c>
      <c r="C168" s="1" t="s">
        <v>2312</v>
      </c>
      <c r="D168" s="1" t="s">
        <v>583</v>
      </c>
      <c r="E168" s="1" t="s">
        <v>100</v>
      </c>
      <c r="F168" s="1" t="s">
        <v>2508</v>
      </c>
      <c r="G168" s="1" t="s">
        <v>27</v>
      </c>
      <c r="H168" s="1" t="s">
        <v>34</v>
      </c>
      <c r="I168" s="1" t="s">
        <v>50</v>
      </c>
      <c r="J168" s="1" t="s">
        <v>2521</v>
      </c>
      <c r="K168" s="1" t="s">
        <v>2522</v>
      </c>
      <c r="L168" s="1" t="s">
        <v>4110</v>
      </c>
      <c r="M168" s="1" t="s">
        <v>176</v>
      </c>
      <c r="N168" s="1" t="s">
        <v>305</v>
      </c>
      <c r="O168" s="1" t="s">
        <v>2690</v>
      </c>
      <c r="P168" s="1"/>
      <c r="Q168" s="1">
        <f>IFERROR(COUNTIFS(_report[TOURNAMENT_CODE],ВСЕ_КОДЫ[[#This Row],[TOURNAMENT_CODE]],_report[CONTEST_CODE],ВСЕ_КОДЫ[[#This Row],[CONTEST_CODE]]),"-")</f>
        <v>0</v>
      </c>
      <c r="R168" s="1" t="str">
        <f>IFERROR(INDEX(_SCHEDULE_[],MATCH(ВСЕ_КОДЫ[[#This Row],[CONTEST_CODE]],_SCHEDULE_[CONTEST_CODE],0),MATCH($R$1,_SCHEDULE_[#Headers],0)),"-")</f>
        <v>ЗАВЕРШЕН</v>
      </c>
      <c r="S168" s="1" t="str">
        <f>IFERROR(INDEX(_group_[],MATCH(ВСЕ_КОДЫ[[#This Row],[CONTEST_CODE]],_group_[CONTEST_CODE],0),MATCH($S$1,_group_[#Headers],0)),"-")</f>
        <v>BANK</v>
      </c>
      <c r="T168" s="1" t="str">
        <f>IFERROR(INDEX(_INDICATOR_[],MATCH(ВСЕ_КОДЫ[[#This Row],[CONTEST_CODE]],_INDICATOR_[CONTEST_CODE],0),MATCH($T$1,_INDICATOR_[#Headers],0)),"-")</f>
        <v>WAIT</v>
      </c>
      <c r="U168" s="1" t="str">
        <f>IFERROR(INDEX(_reward_link_[],MATCH(ВСЕ_КОДЫ[[#This Row],[CONTEST_CODE]],_reward_link_[CONTEST_CODE],0),MATCH($U$1,_reward_link_[#Headers],0)),"-")</f>
        <v>BANK</v>
      </c>
      <c r="V168" s="1" t="str">
        <f>IFERROR(INDEX(_report[],MATCH(ВСЕ_КОДЫ[[#This Row],[CONTEST_CODE]],_report[CONTEST_CODE],0),MATCH($V$1,_report[#Headers],0)),"-")</f>
        <v>-</v>
      </c>
      <c r="W168" s="1" t="str">
        <f>IFERROR(INDEX(_reward_[],MATCH(ВСЕ_КОДЫ[[#This Row],[REWARD_CODE]],_reward_[REWARD_CODE],0),MATCH($W$1,_reward_[#Headers],0)),"-")</f>
        <v>Серебро#по рыночным продажам</v>
      </c>
      <c r="X168" s="1" t="str">
        <f>IFERROR(INDEX(_group_[],MATCH(CONCATENATE(ВСЕ_КОДЫ[[#This Row],[CONTEST_CODE]],"_",X$2),#REF!,0),MATCH(X$1,_group_[#Headers],0)),"-")</f>
        <v>-</v>
      </c>
      <c r="Y168" s="1" t="str">
        <f>IFERROR(INDEX(_group_[],MATCH(CONCATENATE(ВСЕ_КОДЫ[[#This Row],[CONTEST_CODE]],"_",Y$2),#REF!,0),MATCH(Y$1,_group_[#Headers],0)),"-")</f>
        <v>-</v>
      </c>
      <c r="Z168" s="1" t="str">
        <f>IFERROR(INDEX(_group_[],MATCH(CONCATENATE(ВСЕ_КОДЫ[[#This Row],[CONTEST_CODE]],"_",Z$2),#REF!,0),MATCH(Z$1,_group_[#Headers],0)),"-")</f>
        <v>-</v>
      </c>
      <c r="AA168" s="1" t="str">
        <f>IFERROR(INDEX(_group_[],MATCH(CONCATENATE(ВСЕ_КОДЫ[[#This Row],[CONTEST_CODE]],"_",AA$2),#REF!,0),MATCH(AA$1,_group_[#Headers],0)),"-")</f>
        <v>-</v>
      </c>
      <c r="AB168" s="1" t="str">
        <f>IFERROR(INDEX(_DATA_[],MATCH(ВСЕ_КОДЫ[[#This Row],[CONTEST_CODE]],_DATA_[CONTEST_CODE],0),MATCH($AB$2,_DATA_[#Headers],0)),"-")</f>
        <v>["""KMKKSB"""]</v>
      </c>
      <c r="AC168" s="1" t="str">
        <f>CONCATENATE(ВСЕ_КОДЫ[[#This Row],[CONTEST_CODE]],"_",ВСЕ_КОДЫ[[#This Row],[TOURNAMENT_CODE]])</f>
        <v>01_2025-1_08-1_1_t_01_2025-1_08-1_1_3021</v>
      </c>
      <c r="AD168" s="1" t="str">
        <f>ВСЕ_КОДЫ[[#This Row],[FULL_NAME]]</f>
        <v>Страхование. Рыночные продажи</v>
      </c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idden="1" x14ac:dyDescent="0.25">
      <c r="A169" s="1" t="s">
        <v>2210</v>
      </c>
      <c r="B169" s="1" t="s">
        <v>3229</v>
      </c>
      <c r="C169" s="1" t="s">
        <v>2312</v>
      </c>
      <c r="D169" s="1" t="s">
        <v>583</v>
      </c>
      <c r="E169" s="1" t="s">
        <v>100</v>
      </c>
      <c r="F169" s="1" t="s">
        <v>2508</v>
      </c>
      <c r="G169" s="1" t="s">
        <v>27</v>
      </c>
      <c r="H169" s="1" t="s">
        <v>34</v>
      </c>
      <c r="I169" s="1" t="s">
        <v>50</v>
      </c>
      <c r="J169" s="1" t="s">
        <v>3219</v>
      </c>
      <c r="K169" s="1" t="s">
        <v>2534</v>
      </c>
      <c r="L169" s="1" t="s">
        <v>4153</v>
      </c>
      <c r="M169" s="1" t="s">
        <v>176</v>
      </c>
      <c r="N169" s="1" t="s">
        <v>305</v>
      </c>
      <c r="O169" s="1" t="s">
        <v>2690</v>
      </c>
      <c r="P169" s="1"/>
      <c r="Q169" s="1">
        <f>IFERROR(COUNTIFS(_report[TOURNAMENT_CODE],ВСЕ_КОДЫ[[#This Row],[TOURNAMENT_CODE]],_report[CONTEST_CODE],ВСЕ_КОДЫ[[#This Row],[CONTEST_CODE]]),"-")</f>
        <v>0</v>
      </c>
      <c r="R169" s="1" t="str">
        <f>IFERROR(INDEX(_SCHEDULE_[],MATCH(ВСЕ_КОДЫ[[#This Row],[CONTEST_CODE]],_SCHEDULE_[CONTEST_CODE],0),MATCH($R$1,_SCHEDULE_[#Headers],0)),"-")</f>
        <v>ЗАВЕРШЕН</v>
      </c>
      <c r="S169" s="1" t="str">
        <f>IFERROR(INDEX(_group_[],MATCH(ВСЕ_КОДЫ[[#This Row],[CONTEST_CODE]],_group_[CONTEST_CODE],0),MATCH($S$1,_group_[#Headers],0)),"-")</f>
        <v>BANK</v>
      </c>
      <c r="T169" s="1" t="str">
        <f>IFERROR(INDEX(_INDICATOR_[],MATCH(ВСЕ_КОДЫ[[#This Row],[CONTEST_CODE]],_INDICATOR_[CONTEST_CODE],0),MATCH($T$1,_INDICATOR_[#Headers],0)),"-")</f>
        <v>WAIT</v>
      </c>
      <c r="U169" s="1" t="str">
        <f>IFERROR(INDEX(_reward_link_[],MATCH(ВСЕ_КОДЫ[[#This Row],[CONTEST_CODE]],_reward_link_[CONTEST_CODE],0),MATCH($U$1,_reward_link_[#Headers],0)),"-")</f>
        <v>BANK</v>
      </c>
      <c r="V169" s="1" t="str">
        <f>IFERROR(INDEX(_report[],MATCH(ВСЕ_КОДЫ[[#This Row],[CONTEST_CODE]],_report[CONTEST_CODE],0),MATCH($V$1,_report[#Headers],0)),"-")</f>
        <v>-</v>
      </c>
      <c r="W169" s="1" t="str">
        <f>IFERROR(INDEX(_reward_[],MATCH(ВСЕ_КОДЫ[[#This Row],[REWARD_CODE]],_reward_[REWARD_CODE],0),MATCH($W$1,_reward_[#Headers],0)),"-")</f>
        <v>Серебро#по рыночным продажам</v>
      </c>
      <c r="X169" s="1" t="str">
        <f>IFERROR(INDEX(_group_[],MATCH(CONCATENATE(ВСЕ_КОДЫ[[#This Row],[CONTEST_CODE]],"_",X$2),#REF!,0),MATCH(X$1,_group_[#Headers],0)),"-")</f>
        <v>-</v>
      </c>
      <c r="Y169" s="1" t="str">
        <f>IFERROR(INDEX(_group_[],MATCH(CONCATENATE(ВСЕ_КОДЫ[[#This Row],[CONTEST_CODE]],"_",Y$2),#REF!,0),MATCH(Y$1,_group_[#Headers],0)),"-")</f>
        <v>-</v>
      </c>
      <c r="Z169" s="1" t="str">
        <f>IFERROR(INDEX(_group_[],MATCH(CONCATENATE(ВСЕ_КОДЫ[[#This Row],[CONTEST_CODE]],"_",Z$2),#REF!,0),MATCH(Z$1,_group_[#Headers],0)),"-")</f>
        <v>-</v>
      </c>
      <c r="AA169" s="1" t="str">
        <f>IFERROR(INDEX(_group_[],MATCH(CONCATENATE(ВСЕ_КОДЫ[[#This Row],[CONTEST_CODE]],"_",AA$2),#REF!,0),MATCH(AA$1,_group_[#Headers],0)),"-")</f>
        <v>-</v>
      </c>
      <c r="AB169" s="1" t="str">
        <f>IFERROR(INDEX(_DATA_[],MATCH(ВСЕ_КОДЫ[[#This Row],[CONTEST_CODE]],_DATA_[CONTEST_CODE],0),MATCH($AB$2,_DATA_[#Headers],0)),"-")</f>
        <v>["""KMKKSB"""]</v>
      </c>
      <c r="AC169" s="1" t="str">
        <f>CONCATENATE(ВСЕ_КОДЫ[[#This Row],[CONTEST_CODE]],"_",ВСЕ_КОДЫ[[#This Row],[TOURNAMENT_CODE]])</f>
        <v>01_2025-1_08-1_1_t_01_2025-1_08-1_1_3031</v>
      </c>
      <c r="AD169" s="1" t="str">
        <f>ВСЕ_КОДЫ[[#This Row],[FULL_NAME]]</f>
        <v>Страхование. Рыночные продажи</v>
      </c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idden="1" x14ac:dyDescent="0.25">
      <c r="A170" s="1" t="s">
        <v>2210</v>
      </c>
      <c r="B170" s="1" t="s">
        <v>3685</v>
      </c>
      <c r="C170" s="1" t="s">
        <v>2312</v>
      </c>
      <c r="D170" s="1" t="s">
        <v>583</v>
      </c>
      <c r="E170" s="1" t="s">
        <v>100</v>
      </c>
      <c r="F170" s="1" t="s">
        <v>2508</v>
      </c>
      <c r="G170" s="1" t="s">
        <v>27</v>
      </c>
      <c r="H170" s="1" t="s">
        <v>34</v>
      </c>
      <c r="I170" s="1" t="s">
        <v>50</v>
      </c>
      <c r="J170" s="1" t="s">
        <v>4019</v>
      </c>
      <c r="K170" s="1" t="s">
        <v>3647</v>
      </c>
      <c r="L170" s="1" t="s">
        <v>4770</v>
      </c>
      <c r="M170" s="1" t="s">
        <v>176</v>
      </c>
      <c r="N170" s="1" t="s">
        <v>305</v>
      </c>
      <c r="O170" s="1" t="s">
        <v>2690</v>
      </c>
      <c r="P170" s="1"/>
      <c r="Q170" s="1">
        <f>IFERROR(COUNTIFS(_report[TOURNAMENT_CODE],ВСЕ_КОДЫ[[#This Row],[TOURNAMENT_CODE]],_report[CONTEST_CODE],ВСЕ_КОДЫ[[#This Row],[CONTEST_CODE]]),"-")</f>
        <v>0</v>
      </c>
      <c r="R170" s="1" t="str">
        <f>IFERROR(INDEX(_SCHEDULE_[],MATCH(ВСЕ_КОДЫ[[#This Row],[CONTEST_CODE]],_SCHEDULE_[CONTEST_CODE],0),MATCH($R$1,_SCHEDULE_[#Headers],0)),"-")</f>
        <v>ЗАВЕРШЕН</v>
      </c>
      <c r="S170" s="1" t="str">
        <f>IFERROR(INDEX(_group_[],MATCH(ВСЕ_КОДЫ[[#This Row],[CONTEST_CODE]],_group_[CONTEST_CODE],0),MATCH($S$1,_group_[#Headers],0)),"-")</f>
        <v>BANK</v>
      </c>
      <c r="T170" s="1" t="str">
        <f>IFERROR(INDEX(_INDICATOR_[],MATCH(ВСЕ_КОДЫ[[#This Row],[CONTEST_CODE]],_INDICATOR_[CONTEST_CODE],0),MATCH($T$1,_INDICATOR_[#Headers],0)),"-")</f>
        <v>WAIT</v>
      </c>
      <c r="U170" s="1" t="str">
        <f>IFERROR(INDEX(_reward_link_[],MATCH(ВСЕ_КОДЫ[[#This Row],[CONTEST_CODE]],_reward_link_[CONTEST_CODE],0),MATCH($U$1,_reward_link_[#Headers],0)),"-")</f>
        <v>BANK</v>
      </c>
      <c r="V170" s="1" t="str">
        <f>IFERROR(INDEX(_report[],MATCH(ВСЕ_КОДЫ[[#This Row],[CONTEST_CODE]],_report[CONTEST_CODE],0),MATCH($V$1,_report[#Headers],0)),"-")</f>
        <v>-</v>
      </c>
      <c r="W170" s="1" t="str">
        <f>IFERROR(INDEX(_reward_[],MATCH(ВСЕ_КОДЫ[[#This Row],[REWARD_CODE]],_reward_[REWARD_CODE],0),MATCH($W$1,_reward_[#Headers],0)),"-")</f>
        <v>Серебро#по рыночным продажам</v>
      </c>
      <c r="X170" s="1" t="str">
        <f>IFERROR(INDEX(_group_[],MATCH(CONCATENATE(ВСЕ_КОДЫ[[#This Row],[CONTEST_CODE]],"_",X$2),#REF!,0),MATCH(X$1,_group_[#Headers],0)),"-")</f>
        <v>-</v>
      </c>
      <c r="Y170" s="1" t="str">
        <f>IFERROR(INDEX(_group_[],MATCH(CONCATENATE(ВСЕ_КОДЫ[[#This Row],[CONTEST_CODE]],"_",Y$2),#REF!,0),MATCH(Y$1,_group_[#Headers],0)),"-")</f>
        <v>-</v>
      </c>
      <c r="Z170" s="1" t="str">
        <f>IFERROR(INDEX(_group_[],MATCH(CONCATENATE(ВСЕ_КОДЫ[[#This Row],[CONTEST_CODE]],"_",Z$2),#REF!,0),MATCH(Z$1,_group_[#Headers],0)),"-")</f>
        <v>-</v>
      </c>
      <c r="AA170" s="1" t="str">
        <f>IFERROR(INDEX(_group_[],MATCH(CONCATENATE(ВСЕ_КОДЫ[[#This Row],[CONTEST_CODE]],"_",AA$2),#REF!,0),MATCH(AA$1,_group_[#Headers],0)),"-")</f>
        <v>-</v>
      </c>
      <c r="AB170" s="1" t="str">
        <f>IFERROR(INDEX(_DATA_[],MATCH(ВСЕ_КОДЫ[[#This Row],[CONTEST_CODE]],_DATA_[CONTEST_CODE],0),MATCH($AB$2,_DATA_[#Headers],0)),"-")</f>
        <v>["""KMKKSB"""]</v>
      </c>
      <c r="AC170" s="1" t="str">
        <f>CONCATENATE(ВСЕ_КОДЫ[[#This Row],[CONTEST_CODE]],"_",ВСЕ_КОДЫ[[#This Row],[TOURNAMENT_CODE]])</f>
        <v>01_2025-1_08-1_1_t_01_2025-1_08-1_1_3041</v>
      </c>
      <c r="AD170" s="1" t="str">
        <f>ВСЕ_КОДЫ[[#This Row],[FULL_NAME]]</f>
        <v>Страхование. Рыночные продажи</v>
      </c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idden="1" x14ac:dyDescent="0.25">
      <c r="A171" s="1" t="s">
        <v>2210</v>
      </c>
      <c r="B171" s="1" t="s">
        <v>4763</v>
      </c>
      <c r="C171" s="1" t="s">
        <v>2312</v>
      </c>
      <c r="D171" s="1" t="s">
        <v>583</v>
      </c>
      <c r="E171" s="1" t="s">
        <v>100</v>
      </c>
      <c r="F171" s="1" t="s">
        <v>2508</v>
      </c>
      <c r="G171" s="1" t="s">
        <v>27</v>
      </c>
      <c r="H171" s="1" t="s">
        <v>34</v>
      </c>
      <c r="I171" s="1" t="s">
        <v>50</v>
      </c>
      <c r="J171" s="1" t="s">
        <v>2554</v>
      </c>
      <c r="K171" s="1" t="s">
        <v>4756</v>
      </c>
      <c r="L171" s="1" t="s">
        <v>4757</v>
      </c>
      <c r="M171" s="1" t="s">
        <v>34</v>
      </c>
      <c r="N171" s="1" t="s">
        <v>305</v>
      </c>
      <c r="O171" s="1" t="s">
        <v>2690</v>
      </c>
      <c r="P171" s="1"/>
      <c r="Q171" s="1">
        <f>IFERROR(COUNTIFS(_report[TOURNAMENT_CODE],ВСЕ_КОДЫ[[#This Row],[TOURNAMENT_CODE]],_report[CONTEST_CODE],ВСЕ_КОДЫ[[#This Row],[CONTEST_CODE]]),"-")</f>
        <v>0</v>
      </c>
      <c r="R171" s="1" t="str">
        <f>IFERROR(INDEX(_SCHEDULE_[],MATCH(ВСЕ_КОДЫ[[#This Row],[CONTEST_CODE]],_SCHEDULE_[CONTEST_CODE],0),MATCH($R$1,_SCHEDULE_[#Headers],0)),"-")</f>
        <v>ЗАВЕРШЕН</v>
      </c>
      <c r="S171" s="1" t="str">
        <f>IFERROR(INDEX(_group_[],MATCH(ВСЕ_КОДЫ[[#This Row],[CONTEST_CODE]],_group_[CONTEST_CODE],0),MATCH($S$1,_group_[#Headers],0)),"-")</f>
        <v>BANK</v>
      </c>
      <c r="T171" s="1" t="str">
        <f>IFERROR(INDEX(_INDICATOR_[],MATCH(ВСЕ_КОДЫ[[#This Row],[CONTEST_CODE]],_INDICATOR_[CONTEST_CODE],0),MATCH($T$1,_INDICATOR_[#Headers],0)),"-")</f>
        <v>WAIT</v>
      </c>
      <c r="U171" s="1" t="str">
        <f>IFERROR(INDEX(_reward_link_[],MATCH(ВСЕ_КОДЫ[[#This Row],[CONTEST_CODE]],_reward_link_[CONTEST_CODE],0),MATCH($U$1,_reward_link_[#Headers],0)),"-")</f>
        <v>BANK</v>
      </c>
      <c r="V171" s="1" t="str">
        <f>IFERROR(INDEX(_report[],MATCH(ВСЕ_КОДЫ[[#This Row],[CONTEST_CODE]],_report[CONTEST_CODE],0),MATCH($V$1,_report[#Headers],0)),"-")</f>
        <v>-</v>
      </c>
      <c r="W171" s="1" t="str">
        <f>IFERROR(INDEX(_reward_[],MATCH(ВСЕ_КОДЫ[[#This Row],[REWARD_CODE]],_reward_[REWARD_CODE],0),MATCH($W$1,_reward_[#Headers],0)),"-")</f>
        <v>Серебро#по рыночным продажам</v>
      </c>
      <c r="X171" s="1" t="str">
        <f>IFERROR(INDEX(_group_[],MATCH(CONCATENATE(ВСЕ_КОДЫ[[#This Row],[CONTEST_CODE]],"_",X$2),#REF!,0),MATCH(X$1,_group_[#Headers],0)),"-")</f>
        <v>-</v>
      </c>
      <c r="Y171" s="1" t="str">
        <f>IFERROR(INDEX(_group_[],MATCH(CONCATENATE(ВСЕ_КОДЫ[[#This Row],[CONTEST_CODE]],"_",Y$2),#REF!,0),MATCH(Y$1,_group_[#Headers],0)),"-")</f>
        <v>-</v>
      </c>
      <c r="Z171" s="1" t="str">
        <f>IFERROR(INDEX(_group_[],MATCH(CONCATENATE(ВСЕ_КОДЫ[[#This Row],[CONTEST_CODE]],"_",Z$2),#REF!,0),MATCH(Z$1,_group_[#Headers],0)),"-")</f>
        <v>-</v>
      </c>
      <c r="AA171" s="1" t="str">
        <f>IFERROR(INDEX(_group_[],MATCH(CONCATENATE(ВСЕ_КОДЫ[[#This Row],[CONTEST_CODE]],"_",AA$2),#REF!,0),MATCH(AA$1,_group_[#Headers],0)),"-")</f>
        <v>-</v>
      </c>
      <c r="AB171" s="1" t="str">
        <f>IFERROR(INDEX(_DATA_[],MATCH(ВСЕ_КОДЫ[[#This Row],[CONTEST_CODE]],_DATA_[CONTEST_CODE],0),MATCH($AB$2,_DATA_[#Headers],0)),"-")</f>
        <v>["""KMKKSB"""]</v>
      </c>
      <c r="AC171" s="1" t="str">
        <f>CONCATENATE(ВСЕ_КОДЫ[[#This Row],[CONTEST_CODE]],"_",ВСЕ_КОДЫ[[#This Row],[TOURNAMENT_CODE]])</f>
        <v>01_2025-1_08-1_1_t_01_2025-1_08-1_1_3051</v>
      </c>
      <c r="AD171" s="1" t="str">
        <f>ВСЕ_КОДЫ[[#This Row],[FULL_NAME]]</f>
        <v>Страхование. Рыночные продажи</v>
      </c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idden="1" x14ac:dyDescent="0.25">
      <c r="A172" s="1" t="s">
        <v>2210</v>
      </c>
      <c r="B172" s="1" t="s">
        <v>4815</v>
      </c>
      <c r="C172" s="1" t="s">
        <v>2312</v>
      </c>
      <c r="D172" s="1" t="s">
        <v>583</v>
      </c>
      <c r="E172" s="1" t="s">
        <v>100</v>
      </c>
      <c r="F172" s="1" t="s">
        <v>2508</v>
      </c>
      <c r="G172" s="1" t="s">
        <v>27</v>
      </c>
      <c r="H172" s="1" t="s">
        <v>34</v>
      </c>
      <c r="I172" s="1" t="s">
        <v>50</v>
      </c>
      <c r="J172" s="1" t="s">
        <v>4809</v>
      </c>
      <c r="K172" s="1" t="s">
        <v>2542</v>
      </c>
      <c r="L172" s="1" t="s">
        <v>3545</v>
      </c>
      <c r="M172" s="1" t="s">
        <v>34</v>
      </c>
      <c r="N172" s="1" t="s">
        <v>305</v>
      </c>
      <c r="O172" s="1" t="s">
        <v>2690</v>
      </c>
      <c r="P172" s="1"/>
      <c r="Q172" s="1">
        <f>IFERROR(COUNTIFS(_report[TOURNAMENT_CODE],ВСЕ_КОДЫ[[#This Row],[TOURNAMENT_CODE]],_report[CONTEST_CODE],ВСЕ_КОДЫ[[#This Row],[CONTEST_CODE]]),"-")</f>
        <v>0</v>
      </c>
      <c r="R172" s="1" t="str">
        <f>IFERROR(INDEX(_SCHEDULE_[],MATCH(ВСЕ_КОДЫ[[#This Row],[CONTEST_CODE]],_SCHEDULE_[CONTEST_CODE],0),MATCH($R$1,_SCHEDULE_[#Headers],0)),"-")</f>
        <v>ЗАВЕРШЕН</v>
      </c>
      <c r="S172" s="1" t="str">
        <f>IFERROR(INDEX(_group_[],MATCH(ВСЕ_КОДЫ[[#This Row],[CONTEST_CODE]],_group_[CONTEST_CODE],0),MATCH($S$1,_group_[#Headers],0)),"-")</f>
        <v>BANK</v>
      </c>
      <c r="T172" s="1" t="str">
        <f>IFERROR(INDEX(_INDICATOR_[],MATCH(ВСЕ_КОДЫ[[#This Row],[CONTEST_CODE]],_INDICATOR_[CONTEST_CODE],0),MATCH($T$1,_INDICATOR_[#Headers],0)),"-")</f>
        <v>WAIT</v>
      </c>
      <c r="U172" s="1" t="str">
        <f>IFERROR(INDEX(_reward_link_[],MATCH(ВСЕ_КОДЫ[[#This Row],[CONTEST_CODE]],_reward_link_[CONTEST_CODE],0),MATCH($U$1,_reward_link_[#Headers],0)),"-")</f>
        <v>BANK</v>
      </c>
      <c r="V172" s="1" t="str">
        <f>IFERROR(INDEX(_report[],MATCH(ВСЕ_КОДЫ[[#This Row],[CONTEST_CODE]],_report[CONTEST_CODE],0),MATCH($V$1,_report[#Headers],0)),"-")</f>
        <v>-</v>
      </c>
      <c r="W172" s="1" t="str">
        <f>IFERROR(INDEX(_reward_[],MATCH(ВСЕ_КОДЫ[[#This Row],[REWARD_CODE]],_reward_[REWARD_CODE],0),MATCH($W$1,_reward_[#Headers],0)),"-")</f>
        <v>Серебро#по рыночным продажам</v>
      </c>
      <c r="X172" s="1" t="str">
        <f>IFERROR(INDEX(_group_[],MATCH(CONCATENATE(ВСЕ_КОДЫ[[#This Row],[CONTEST_CODE]],"_",X$2),#REF!,0),MATCH(X$1,_group_[#Headers],0)),"-")</f>
        <v>-</v>
      </c>
      <c r="Y172" s="1" t="str">
        <f>IFERROR(INDEX(_group_[],MATCH(CONCATENATE(ВСЕ_КОДЫ[[#This Row],[CONTEST_CODE]],"_",Y$2),#REF!,0),MATCH(Y$1,_group_[#Headers],0)),"-")</f>
        <v>-</v>
      </c>
      <c r="Z172" s="1" t="str">
        <f>IFERROR(INDEX(_group_[],MATCH(CONCATENATE(ВСЕ_КОДЫ[[#This Row],[CONTEST_CODE]],"_",Z$2),#REF!,0),MATCH(Z$1,_group_[#Headers],0)),"-")</f>
        <v>-</v>
      </c>
      <c r="AA172" s="1" t="str">
        <f>IFERROR(INDEX(_group_[],MATCH(CONCATENATE(ВСЕ_КОДЫ[[#This Row],[CONTEST_CODE]],"_",AA$2),#REF!,0),MATCH(AA$1,_group_[#Headers],0)),"-")</f>
        <v>-</v>
      </c>
      <c r="AB172" s="1" t="str">
        <f>IFERROR(INDEX(_DATA_[],MATCH(ВСЕ_КОДЫ[[#This Row],[CONTEST_CODE]],_DATA_[CONTEST_CODE],0),MATCH($AB$2,_DATA_[#Headers],0)),"-")</f>
        <v>["""KMKKSB"""]</v>
      </c>
      <c r="AC172" s="1" t="str">
        <f>CONCATENATE(ВСЕ_КОДЫ[[#This Row],[CONTEST_CODE]],"_",ВСЕ_КОДЫ[[#This Row],[TOURNAMENT_CODE]])</f>
        <v>01_2025-1_08-1_1_t_01_2025-1_08-1_1_3061</v>
      </c>
      <c r="AD172" s="1" t="str">
        <f>ВСЕ_КОДЫ[[#This Row],[FULL_NAME]]</f>
        <v>Страхование. Рыночные продажи</v>
      </c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idden="1" x14ac:dyDescent="0.25">
      <c r="A173" s="1" t="s">
        <v>60</v>
      </c>
      <c r="B173" s="1" t="s">
        <v>225</v>
      </c>
      <c r="C173" s="1" t="s">
        <v>364</v>
      </c>
      <c r="D173" s="1" t="s">
        <v>583</v>
      </c>
      <c r="E173" s="1" t="s">
        <v>61</v>
      </c>
      <c r="F173" s="1" t="s">
        <v>62</v>
      </c>
      <c r="G173" s="1" t="s">
        <v>27</v>
      </c>
      <c r="H173" s="1" t="s">
        <v>28</v>
      </c>
      <c r="I173" s="1" t="s">
        <v>29</v>
      </c>
      <c r="J173" s="1" t="s">
        <v>26</v>
      </c>
      <c r="K173" s="1" t="s">
        <v>171</v>
      </c>
      <c r="L173" s="1" t="s">
        <v>189</v>
      </c>
      <c r="M173" s="1" t="s">
        <v>155</v>
      </c>
      <c r="N173" s="1" t="s">
        <v>305</v>
      </c>
      <c r="O173" s="1" t="s">
        <v>365</v>
      </c>
      <c r="P173" s="1"/>
      <c r="Q173" s="1">
        <f>IFERROR(COUNTIFS(_report[TOURNAMENT_CODE],ВСЕ_КОДЫ[[#This Row],[TOURNAMENT_CODE]],_report[CONTEST_CODE],ВСЕ_КОДЫ[[#This Row],[CONTEST_CODE]]),"-")</f>
        <v>0</v>
      </c>
      <c r="R173" s="1" t="str">
        <f>IFERROR(INDEX(_SCHEDULE_[],MATCH(ВСЕ_КОДЫ[[#This Row],[CONTEST_CODE]],_SCHEDULE_[CONTEST_CODE],0),MATCH($R$1,_SCHEDULE_[#Headers],0)),"-")</f>
        <v>УДАЛЕН</v>
      </c>
      <c r="S173" s="1" t="str">
        <f>IFERROR(INDEX(_group_[],MATCH(ВСЕ_КОДЫ[[#This Row],[CONTEST_CODE]],_group_[CONTEST_CODE],0),MATCH($S$1,_group_[#Headers],0)),"-")</f>
        <v>BANK</v>
      </c>
      <c r="T173" s="1" t="str">
        <f>IFERROR(INDEX(_INDICATOR_[],MATCH(ВСЕ_КОДЫ[[#This Row],[CONTEST_CODE]],_INDICATOR_[CONTEST_CODE],0),MATCH($T$1,_INDICATOR_[#Headers],0)),"-")</f>
        <v>WAIT</v>
      </c>
      <c r="U173" s="1" t="str">
        <f>IFERROR(INDEX(_reward_link_[],MATCH(ВСЕ_КОДЫ[[#This Row],[CONTEST_CODE]],_reward_link_[CONTEST_CODE],0),MATCH($U$1,_reward_link_[#Headers],0)),"-")</f>
        <v>BANK</v>
      </c>
      <c r="V173" s="1" t="str">
        <f>IFERROR(INDEX(_report[],MATCH(ВСЕ_КОДЫ[[#This Row],[CONTEST_CODE]],_report[CONTEST_CODE],0),MATCH($V$1,_report[#Headers],0)),"-")</f>
        <v>-</v>
      </c>
      <c r="W173" s="1" t="str">
        <f>IFERROR(INDEX(_reward_[],MATCH(ВСЕ_КОДЫ[[#This Row],[REWARD_CODE]],_reward_[REWARD_CODE],0),MATCH($W$1,_reward_[#Headers],0)),"-")</f>
        <v>Победитель Суперкубка 2023</v>
      </c>
      <c r="X173" s="1" t="str">
        <f>IFERROR(INDEX(_group_[],MATCH(CONCATENATE(ВСЕ_КОДЫ[[#This Row],[CONTEST_CODE]],"_",X$2),#REF!,0),MATCH(X$1,_group_[#Headers],0)),"-")</f>
        <v>-</v>
      </c>
      <c r="Y173" s="1" t="str">
        <f>IFERROR(INDEX(_group_[],MATCH(CONCATENATE(ВСЕ_КОДЫ[[#This Row],[CONTEST_CODE]],"_",Y$2),#REF!,0),MATCH(Y$1,_group_[#Headers],0)),"-")</f>
        <v>-</v>
      </c>
      <c r="Z173" s="1" t="str">
        <f>IFERROR(INDEX(_group_[],MATCH(CONCATENATE(ВСЕ_КОДЫ[[#This Row],[CONTEST_CODE]],"_",Z$2),#REF!,0),MATCH(Z$1,_group_[#Headers],0)),"-")</f>
        <v>-</v>
      </c>
      <c r="AA173" s="1" t="str">
        <f>IFERROR(INDEX(_group_[],MATCH(CONCATENATE(ВСЕ_КОДЫ[[#This Row],[CONTEST_CODE]],"_",AA$2),#REF!,0),MATCH(AA$1,_group_[#Headers],0)),"-")</f>
        <v>-</v>
      </c>
      <c r="AB173" s="1" t="str">
        <f>IFERROR(INDEX(_DATA_[],MATCH(ВСЕ_КОДЫ[[#This Row],[CONTEST_CODE]],_DATA_[CONTEST_CODE],0),MATCH($AB$2,_DATA_[#Headers],0)),"-")</f>
        <v>["""KMKKSB"""]</v>
      </c>
      <c r="AC173" s="1" t="str">
        <f>CONCATENATE(ВСЕ_КОДЫ[[#This Row],[CONTEST_CODE]],"_",ВСЕ_КОДЫ[[#This Row],[TOURNAMENT_CODE]])</f>
        <v>CONTEST_13_TOURNAMENT_13_01</v>
      </c>
      <c r="AD173" s="1" t="str">
        <f>ВСЕ_КОДЫ[[#This Row],[FULL_NAME]]</f>
        <v>Суперкубок 2023</v>
      </c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idden="1" x14ac:dyDescent="0.25">
      <c r="A174" s="1" t="s">
        <v>60</v>
      </c>
      <c r="B174" s="1" t="s">
        <v>226</v>
      </c>
      <c r="C174" s="1" t="s">
        <v>364</v>
      </c>
      <c r="D174" s="1" t="s">
        <v>583</v>
      </c>
      <c r="E174" s="1" t="s">
        <v>61</v>
      </c>
      <c r="F174" s="1" t="s">
        <v>62</v>
      </c>
      <c r="G174" s="1" t="s">
        <v>27</v>
      </c>
      <c r="H174" s="1" t="s">
        <v>28</v>
      </c>
      <c r="I174" s="1" t="s">
        <v>29</v>
      </c>
      <c r="J174" s="1" t="s">
        <v>26</v>
      </c>
      <c r="K174" s="1" t="s">
        <v>171</v>
      </c>
      <c r="L174" s="1" t="s">
        <v>223</v>
      </c>
      <c r="M174" s="1" t="s">
        <v>155</v>
      </c>
      <c r="N174" s="1" t="s">
        <v>305</v>
      </c>
      <c r="O174" s="1" t="s">
        <v>365</v>
      </c>
      <c r="P174" s="1"/>
      <c r="Q174" s="1">
        <f>IFERROR(COUNTIFS(_report[TOURNAMENT_CODE],ВСЕ_КОДЫ[[#This Row],[TOURNAMENT_CODE]],_report[CONTEST_CODE],ВСЕ_КОДЫ[[#This Row],[CONTEST_CODE]]),"-")</f>
        <v>0</v>
      </c>
      <c r="R174" s="1" t="str">
        <f>IFERROR(INDEX(_SCHEDULE_[],MATCH(ВСЕ_КОДЫ[[#This Row],[CONTEST_CODE]],_SCHEDULE_[CONTEST_CODE],0),MATCH($R$1,_SCHEDULE_[#Headers],0)),"-")</f>
        <v>УДАЛЕН</v>
      </c>
      <c r="S174" s="1" t="str">
        <f>IFERROR(INDEX(_group_[],MATCH(ВСЕ_КОДЫ[[#This Row],[CONTEST_CODE]],_group_[CONTEST_CODE],0),MATCH($S$1,_group_[#Headers],0)),"-")</f>
        <v>BANK</v>
      </c>
      <c r="T174" s="1" t="str">
        <f>IFERROR(INDEX(_INDICATOR_[],MATCH(ВСЕ_КОДЫ[[#This Row],[CONTEST_CODE]],_INDICATOR_[CONTEST_CODE],0),MATCH($T$1,_INDICATOR_[#Headers],0)),"-")</f>
        <v>WAIT</v>
      </c>
      <c r="U174" s="1" t="str">
        <f>IFERROR(INDEX(_reward_link_[],MATCH(ВСЕ_КОДЫ[[#This Row],[CONTEST_CODE]],_reward_link_[CONTEST_CODE],0),MATCH($U$1,_reward_link_[#Headers],0)),"-")</f>
        <v>BANK</v>
      </c>
      <c r="V174" s="1" t="str">
        <f>IFERROR(INDEX(_report[],MATCH(ВСЕ_КОДЫ[[#This Row],[CONTEST_CODE]],_report[CONTEST_CODE],0),MATCH($V$1,_report[#Headers],0)),"-")</f>
        <v>-</v>
      </c>
      <c r="W174" s="1" t="str">
        <f>IFERROR(INDEX(_reward_[],MATCH(ВСЕ_КОДЫ[[#This Row],[REWARD_CODE]],_reward_[REWARD_CODE],0),MATCH($W$1,_reward_[#Headers],0)),"-")</f>
        <v>Победитель Суперкубка 2023</v>
      </c>
      <c r="X174" s="1" t="str">
        <f>IFERROR(INDEX(_group_[],MATCH(CONCATENATE(ВСЕ_КОДЫ[[#This Row],[CONTEST_CODE]],"_",X$2),#REF!,0),MATCH(X$1,_group_[#Headers],0)),"-")</f>
        <v>-</v>
      </c>
      <c r="Y174" s="1" t="str">
        <f>IFERROR(INDEX(_group_[],MATCH(CONCATENATE(ВСЕ_КОДЫ[[#This Row],[CONTEST_CODE]],"_",Y$2),#REF!,0),MATCH(Y$1,_group_[#Headers],0)),"-")</f>
        <v>-</v>
      </c>
      <c r="Z174" s="1" t="str">
        <f>IFERROR(INDEX(_group_[],MATCH(CONCATENATE(ВСЕ_КОДЫ[[#This Row],[CONTEST_CODE]],"_",Z$2),#REF!,0),MATCH(Z$1,_group_[#Headers],0)),"-")</f>
        <v>-</v>
      </c>
      <c r="AA174" s="1" t="str">
        <f>IFERROR(INDEX(_group_[],MATCH(CONCATENATE(ВСЕ_КОДЫ[[#This Row],[CONTEST_CODE]],"_",AA$2),#REF!,0),MATCH(AA$1,_group_[#Headers],0)),"-")</f>
        <v>-</v>
      </c>
      <c r="AB174" s="1" t="str">
        <f>IFERROR(INDEX(_DATA_[],MATCH(ВСЕ_КОДЫ[[#This Row],[CONTEST_CODE]],_DATA_[CONTEST_CODE],0),MATCH($AB$2,_DATA_[#Headers],0)),"-")</f>
        <v>["""KMKKSB"""]</v>
      </c>
      <c r="AC174" s="1" t="str">
        <f>CONCATENATE(ВСЕ_КОДЫ[[#This Row],[CONTEST_CODE]],"_",ВСЕ_КОДЫ[[#This Row],[TOURNAMENT_CODE]])</f>
        <v>CONTEST_13_TOURNAMENT_13_02</v>
      </c>
      <c r="AD174" s="1" t="str">
        <f>ВСЕ_КОДЫ[[#This Row],[FULL_NAME]]</f>
        <v>Суперкубок 2023</v>
      </c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idden="1" x14ac:dyDescent="0.25">
      <c r="A175" s="1" t="s">
        <v>60</v>
      </c>
      <c r="B175" s="1" t="s">
        <v>227</v>
      </c>
      <c r="C175" s="1" t="s">
        <v>364</v>
      </c>
      <c r="D175" s="1" t="s">
        <v>583</v>
      </c>
      <c r="E175" s="1" t="s">
        <v>61</v>
      </c>
      <c r="F175" s="1" t="s">
        <v>62</v>
      </c>
      <c r="G175" s="1" t="s">
        <v>27</v>
      </c>
      <c r="H175" s="1" t="s">
        <v>28</v>
      </c>
      <c r="I175" s="1" t="s">
        <v>29</v>
      </c>
      <c r="J175" s="1" t="s">
        <v>26</v>
      </c>
      <c r="K175" s="1" t="s">
        <v>171</v>
      </c>
      <c r="L175" s="1" t="s">
        <v>644</v>
      </c>
      <c r="M175" s="1" t="s">
        <v>176</v>
      </c>
      <c r="N175" s="1" t="s">
        <v>305</v>
      </c>
      <c r="O175" s="1" t="s">
        <v>365</v>
      </c>
      <c r="P175" s="1"/>
      <c r="Q175" s="1">
        <f>IFERROR(COUNTIFS(_report[TOURNAMENT_CODE],ВСЕ_КОДЫ[[#This Row],[TOURNAMENT_CODE]],_report[CONTEST_CODE],ВСЕ_КОДЫ[[#This Row],[CONTEST_CODE]]),"-")</f>
        <v>0</v>
      </c>
      <c r="R175" s="1" t="str">
        <f>IFERROR(INDEX(_SCHEDULE_[],MATCH(ВСЕ_КОДЫ[[#This Row],[CONTEST_CODE]],_SCHEDULE_[CONTEST_CODE],0),MATCH($R$1,_SCHEDULE_[#Headers],0)),"-")</f>
        <v>УДАЛЕН</v>
      </c>
      <c r="S175" s="1" t="str">
        <f>IFERROR(INDEX(_group_[],MATCH(ВСЕ_КОДЫ[[#This Row],[CONTEST_CODE]],_group_[CONTEST_CODE],0),MATCH($S$1,_group_[#Headers],0)),"-")</f>
        <v>BANK</v>
      </c>
      <c r="T175" s="1" t="str">
        <f>IFERROR(INDEX(_INDICATOR_[],MATCH(ВСЕ_КОДЫ[[#This Row],[CONTEST_CODE]],_INDICATOR_[CONTEST_CODE],0),MATCH($T$1,_INDICATOR_[#Headers],0)),"-")</f>
        <v>WAIT</v>
      </c>
      <c r="U175" s="1" t="str">
        <f>IFERROR(INDEX(_reward_link_[],MATCH(ВСЕ_КОДЫ[[#This Row],[CONTEST_CODE]],_reward_link_[CONTEST_CODE],0),MATCH($U$1,_reward_link_[#Headers],0)),"-")</f>
        <v>BANK</v>
      </c>
      <c r="V175" s="1" t="str">
        <f>IFERROR(INDEX(_report[],MATCH(ВСЕ_КОДЫ[[#This Row],[CONTEST_CODE]],_report[CONTEST_CODE],0),MATCH($V$1,_report[#Headers],0)),"-")</f>
        <v>-</v>
      </c>
      <c r="W175" s="1" t="str">
        <f>IFERROR(INDEX(_reward_[],MATCH(ВСЕ_КОДЫ[[#This Row],[REWARD_CODE]],_reward_[REWARD_CODE],0),MATCH($W$1,_reward_[#Headers],0)),"-")</f>
        <v>Победитель Суперкубка 2023</v>
      </c>
      <c r="X175" s="1" t="str">
        <f>IFERROR(INDEX(_group_[],MATCH(CONCATENATE(ВСЕ_КОДЫ[[#This Row],[CONTEST_CODE]],"_",X$2),#REF!,0),MATCH(X$1,_group_[#Headers],0)),"-")</f>
        <v>-</v>
      </c>
      <c r="Y175" s="1" t="str">
        <f>IFERROR(INDEX(_group_[],MATCH(CONCATENATE(ВСЕ_КОДЫ[[#This Row],[CONTEST_CODE]],"_",Y$2),#REF!,0),MATCH(Y$1,_group_[#Headers],0)),"-")</f>
        <v>-</v>
      </c>
      <c r="Z175" s="1" t="str">
        <f>IFERROR(INDEX(_group_[],MATCH(CONCATENATE(ВСЕ_КОДЫ[[#This Row],[CONTEST_CODE]],"_",Z$2),#REF!,0),MATCH(Z$1,_group_[#Headers],0)),"-")</f>
        <v>-</v>
      </c>
      <c r="AA175" s="1" t="str">
        <f>IFERROR(INDEX(_group_[],MATCH(CONCATENATE(ВСЕ_КОДЫ[[#This Row],[CONTEST_CODE]],"_",AA$2),#REF!,0),MATCH(AA$1,_group_[#Headers],0)),"-")</f>
        <v>-</v>
      </c>
      <c r="AB175" s="1" t="str">
        <f>IFERROR(INDEX(_DATA_[],MATCH(ВСЕ_КОДЫ[[#This Row],[CONTEST_CODE]],_DATA_[CONTEST_CODE],0),MATCH($AB$2,_DATA_[#Headers],0)),"-")</f>
        <v>["""KMKKSB"""]</v>
      </c>
      <c r="AC175" s="1" t="str">
        <f>CONCATENATE(ВСЕ_КОДЫ[[#This Row],[CONTEST_CODE]],"_",ВСЕ_КОДЫ[[#This Row],[TOURNAMENT_CODE]])</f>
        <v>CONTEST_13_TOURNAMENT_13_03</v>
      </c>
      <c r="AD175" s="1" t="str">
        <f>ВСЕ_КОДЫ[[#This Row],[FULL_NAME]]</f>
        <v>Суперкубок 2023</v>
      </c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idden="1" x14ac:dyDescent="0.25">
      <c r="A176" s="1" t="s">
        <v>2210</v>
      </c>
      <c r="B176" s="1" t="s">
        <v>2547</v>
      </c>
      <c r="C176" s="1" t="s">
        <v>2691</v>
      </c>
      <c r="D176" s="1" t="s">
        <v>586</v>
      </c>
      <c r="E176" s="1" t="s">
        <v>100</v>
      </c>
      <c r="F176" s="1" t="s">
        <v>2508</v>
      </c>
      <c r="G176" s="1" t="s">
        <v>27</v>
      </c>
      <c r="H176" s="1" t="s">
        <v>34</v>
      </c>
      <c r="I176" s="1" t="s">
        <v>50</v>
      </c>
      <c r="J176" s="1" t="s">
        <v>2521</v>
      </c>
      <c r="K176" s="1" t="s">
        <v>2522</v>
      </c>
      <c r="L176" s="1" t="s">
        <v>4110</v>
      </c>
      <c r="M176" s="1" t="s">
        <v>176</v>
      </c>
      <c r="N176" s="1" t="s">
        <v>305</v>
      </c>
      <c r="O176" s="1" t="s">
        <v>2692</v>
      </c>
      <c r="P176" s="1"/>
      <c r="Q176" s="1">
        <f>IFERROR(COUNTIFS(_report[TOURNAMENT_CODE],ВСЕ_КОДЫ[[#This Row],[TOURNAMENT_CODE]],_report[CONTEST_CODE],ВСЕ_КОДЫ[[#This Row],[CONTEST_CODE]]),"-")</f>
        <v>0</v>
      </c>
      <c r="R176" s="1" t="str">
        <f>IFERROR(INDEX(_SCHEDULE_[],MATCH(ВСЕ_КОДЫ[[#This Row],[CONTEST_CODE]],_SCHEDULE_[CONTEST_CODE],0),MATCH($R$1,_SCHEDULE_[#Headers],0)),"-")</f>
        <v>ЗАВЕРШЕН</v>
      </c>
      <c r="S176" s="1" t="str">
        <f>IFERROR(INDEX(_group_[],MATCH(ВСЕ_КОДЫ[[#This Row],[CONTEST_CODE]],_group_[CONTEST_CODE],0),MATCH($S$1,_group_[#Headers],0)),"-")</f>
        <v>BANK</v>
      </c>
      <c r="T176" s="1" t="str">
        <f>IFERROR(INDEX(_INDICATOR_[],MATCH(ВСЕ_КОДЫ[[#This Row],[CONTEST_CODE]],_INDICATOR_[CONTEST_CODE],0),MATCH($T$1,_INDICATOR_[#Headers],0)),"-")</f>
        <v>WAIT</v>
      </c>
      <c r="U176" s="1" t="str">
        <f>IFERROR(INDEX(_reward_link_[],MATCH(ВСЕ_КОДЫ[[#This Row],[CONTEST_CODE]],_reward_link_[CONTEST_CODE],0),MATCH($U$1,_reward_link_[#Headers],0)),"-")</f>
        <v>BANK</v>
      </c>
      <c r="V176" s="1" t="str">
        <f>IFERROR(INDEX(_report[],MATCH(ВСЕ_КОДЫ[[#This Row],[CONTEST_CODE]],_report[CONTEST_CODE],0),MATCH($V$1,_report[#Headers],0)),"-")</f>
        <v>-</v>
      </c>
      <c r="W176" s="1" t="str">
        <f>IFERROR(INDEX(_reward_[],MATCH(ВСЕ_КОДЫ[[#This Row],[REWARD_CODE]],_reward_[REWARD_CODE],0),MATCH($W$1,_reward_[#Headers],0)),"-")</f>
        <v>Бронза#по рыночным продажам</v>
      </c>
      <c r="X176" s="1" t="str">
        <f>IFERROR(INDEX(_group_[],MATCH(CONCATENATE(ВСЕ_КОДЫ[[#This Row],[CONTEST_CODE]],"_",X$2),#REF!,0),MATCH(X$1,_group_[#Headers],0)),"-")</f>
        <v>-</v>
      </c>
      <c r="Y176" s="1" t="str">
        <f>IFERROR(INDEX(_group_[],MATCH(CONCATENATE(ВСЕ_КОДЫ[[#This Row],[CONTEST_CODE]],"_",Y$2),#REF!,0),MATCH(Y$1,_group_[#Headers],0)),"-")</f>
        <v>-</v>
      </c>
      <c r="Z176" s="1" t="str">
        <f>IFERROR(INDEX(_group_[],MATCH(CONCATENATE(ВСЕ_КОДЫ[[#This Row],[CONTEST_CODE]],"_",Z$2),#REF!,0),MATCH(Z$1,_group_[#Headers],0)),"-")</f>
        <v>-</v>
      </c>
      <c r="AA176" s="1" t="str">
        <f>IFERROR(INDEX(_group_[],MATCH(CONCATENATE(ВСЕ_КОДЫ[[#This Row],[CONTEST_CODE]],"_",AA$2),#REF!,0),MATCH(AA$1,_group_[#Headers],0)),"-")</f>
        <v>-</v>
      </c>
      <c r="AB176" s="1" t="str">
        <f>IFERROR(INDEX(_DATA_[],MATCH(ВСЕ_КОДЫ[[#This Row],[CONTEST_CODE]],_DATA_[CONTEST_CODE],0),MATCH($AB$2,_DATA_[#Headers],0)),"-")</f>
        <v>["""KMKKSB"""]</v>
      </c>
      <c r="AC176" s="1" t="str">
        <f>CONCATENATE(ВСЕ_КОДЫ[[#This Row],[CONTEST_CODE]],"_",ВСЕ_КОДЫ[[#This Row],[TOURNAMENT_CODE]])</f>
        <v>01_2025-1_08-1_1_t_01_2025-1_08-1_1_3021</v>
      </c>
      <c r="AD176" s="1" t="str">
        <f>ВСЕ_КОДЫ[[#This Row],[FULL_NAME]]</f>
        <v>Страхование. Рыночные продажи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idden="1" x14ac:dyDescent="0.25">
      <c r="A177" s="1" t="s">
        <v>2210</v>
      </c>
      <c r="B177" s="1" t="s">
        <v>3229</v>
      </c>
      <c r="C177" s="1" t="s">
        <v>2691</v>
      </c>
      <c r="D177" s="1" t="s">
        <v>586</v>
      </c>
      <c r="E177" s="1" t="s">
        <v>100</v>
      </c>
      <c r="F177" s="1" t="s">
        <v>2508</v>
      </c>
      <c r="G177" s="1" t="s">
        <v>27</v>
      </c>
      <c r="H177" s="1" t="s">
        <v>34</v>
      </c>
      <c r="I177" s="1" t="s">
        <v>50</v>
      </c>
      <c r="J177" s="1" t="s">
        <v>3219</v>
      </c>
      <c r="K177" s="1" t="s">
        <v>2534</v>
      </c>
      <c r="L177" s="1" t="s">
        <v>4153</v>
      </c>
      <c r="M177" s="1" t="s">
        <v>176</v>
      </c>
      <c r="N177" s="1" t="s">
        <v>305</v>
      </c>
      <c r="O177" s="1" t="s">
        <v>2692</v>
      </c>
      <c r="P177" s="1"/>
      <c r="Q177" s="1">
        <f>IFERROR(COUNTIFS(_report[TOURNAMENT_CODE],ВСЕ_КОДЫ[[#This Row],[TOURNAMENT_CODE]],_report[CONTEST_CODE],ВСЕ_КОДЫ[[#This Row],[CONTEST_CODE]]),"-")</f>
        <v>0</v>
      </c>
      <c r="R177" s="1" t="str">
        <f>IFERROR(INDEX(_SCHEDULE_[],MATCH(ВСЕ_КОДЫ[[#This Row],[CONTEST_CODE]],_SCHEDULE_[CONTEST_CODE],0),MATCH($R$1,_SCHEDULE_[#Headers],0)),"-")</f>
        <v>ЗАВЕРШЕН</v>
      </c>
      <c r="S177" s="1" t="str">
        <f>IFERROR(INDEX(_group_[],MATCH(ВСЕ_КОДЫ[[#This Row],[CONTEST_CODE]],_group_[CONTEST_CODE],0),MATCH($S$1,_group_[#Headers],0)),"-")</f>
        <v>BANK</v>
      </c>
      <c r="T177" s="1" t="str">
        <f>IFERROR(INDEX(_INDICATOR_[],MATCH(ВСЕ_КОДЫ[[#This Row],[CONTEST_CODE]],_INDICATOR_[CONTEST_CODE],0),MATCH($T$1,_INDICATOR_[#Headers],0)),"-")</f>
        <v>WAIT</v>
      </c>
      <c r="U177" s="1" t="str">
        <f>IFERROR(INDEX(_reward_link_[],MATCH(ВСЕ_КОДЫ[[#This Row],[CONTEST_CODE]],_reward_link_[CONTEST_CODE],0),MATCH($U$1,_reward_link_[#Headers],0)),"-")</f>
        <v>BANK</v>
      </c>
      <c r="V177" s="1" t="str">
        <f>IFERROR(INDEX(_report[],MATCH(ВСЕ_КОДЫ[[#This Row],[CONTEST_CODE]],_report[CONTEST_CODE],0),MATCH($V$1,_report[#Headers],0)),"-")</f>
        <v>-</v>
      </c>
      <c r="W177" s="1" t="str">
        <f>IFERROR(INDEX(_reward_[],MATCH(ВСЕ_КОДЫ[[#This Row],[REWARD_CODE]],_reward_[REWARD_CODE],0),MATCH($W$1,_reward_[#Headers],0)),"-")</f>
        <v>Бронза#по рыночным продажам</v>
      </c>
      <c r="X177" s="1" t="str">
        <f>IFERROR(INDEX(_group_[],MATCH(CONCATENATE(ВСЕ_КОДЫ[[#This Row],[CONTEST_CODE]],"_",X$2),#REF!,0),MATCH(X$1,_group_[#Headers],0)),"-")</f>
        <v>-</v>
      </c>
      <c r="Y177" s="1" t="str">
        <f>IFERROR(INDEX(_group_[],MATCH(CONCATENATE(ВСЕ_КОДЫ[[#This Row],[CONTEST_CODE]],"_",Y$2),#REF!,0),MATCH(Y$1,_group_[#Headers],0)),"-")</f>
        <v>-</v>
      </c>
      <c r="Z177" s="1" t="str">
        <f>IFERROR(INDEX(_group_[],MATCH(CONCATENATE(ВСЕ_КОДЫ[[#This Row],[CONTEST_CODE]],"_",Z$2),#REF!,0),MATCH(Z$1,_group_[#Headers],0)),"-")</f>
        <v>-</v>
      </c>
      <c r="AA177" s="1" t="str">
        <f>IFERROR(INDEX(_group_[],MATCH(CONCATENATE(ВСЕ_КОДЫ[[#This Row],[CONTEST_CODE]],"_",AA$2),#REF!,0),MATCH(AA$1,_group_[#Headers],0)),"-")</f>
        <v>-</v>
      </c>
      <c r="AB177" s="1" t="str">
        <f>IFERROR(INDEX(_DATA_[],MATCH(ВСЕ_КОДЫ[[#This Row],[CONTEST_CODE]],_DATA_[CONTEST_CODE],0),MATCH($AB$2,_DATA_[#Headers],0)),"-")</f>
        <v>["""KMKKSB"""]</v>
      </c>
      <c r="AC177" s="1" t="str">
        <f>CONCATENATE(ВСЕ_КОДЫ[[#This Row],[CONTEST_CODE]],"_",ВСЕ_КОДЫ[[#This Row],[TOURNAMENT_CODE]])</f>
        <v>01_2025-1_08-1_1_t_01_2025-1_08-1_1_3031</v>
      </c>
      <c r="AD177" s="1" t="str">
        <f>ВСЕ_КОДЫ[[#This Row],[FULL_NAME]]</f>
        <v>Страхование. Рыночные продажи</v>
      </c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idden="1" x14ac:dyDescent="0.25">
      <c r="A178" s="1" t="s">
        <v>2210</v>
      </c>
      <c r="B178" s="1" t="s">
        <v>3685</v>
      </c>
      <c r="C178" s="1" t="s">
        <v>2691</v>
      </c>
      <c r="D178" s="1" t="s">
        <v>586</v>
      </c>
      <c r="E178" s="1" t="s">
        <v>100</v>
      </c>
      <c r="F178" s="1" t="s">
        <v>2508</v>
      </c>
      <c r="G178" s="1" t="s">
        <v>27</v>
      </c>
      <c r="H178" s="1" t="s">
        <v>34</v>
      </c>
      <c r="I178" s="1" t="s">
        <v>50</v>
      </c>
      <c r="J178" s="1" t="s">
        <v>4019</v>
      </c>
      <c r="K178" s="1" t="s">
        <v>3647</v>
      </c>
      <c r="L178" s="1" t="s">
        <v>4770</v>
      </c>
      <c r="M178" s="1" t="s">
        <v>176</v>
      </c>
      <c r="N178" s="1" t="s">
        <v>305</v>
      </c>
      <c r="O178" s="1" t="s">
        <v>2692</v>
      </c>
      <c r="P178" s="1"/>
      <c r="Q178" s="1">
        <f>IFERROR(COUNTIFS(_report[TOURNAMENT_CODE],ВСЕ_КОДЫ[[#This Row],[TOURNAMENT_CODE]],_report[CONTEST_CODE],ВСЕ_КОДЫ[[#This Row],[CONTEST_CODE]]),"-")</f>
        <v>0</v>
      </c>
      <c r="R178" s="1" t="str">
        <f>IFERROR(INDEX(_SCHEDULE_[],MATCH(ВСЕ_КОДЫ[[#This Row],[CONTEST_CODE]],_SCHEDULE_[CONTEST_CODE],0),MATCH($R$1,_SCHEDULE_[#Headers],0)),"-")</f>
        <v>ЗАВЕРШЕН</v>
      </c>
      <c r="S178" s="1" t="str">
        <f>IFERROR(INDEX(_group_[],MATCH(ВСЕ_КОДЫ[[#This Row],[CONTEST_CODE]],_group_[CONTEST_CODE],0),MATCH($S$1,_group_[#Headers],0)),"-")</f>
        <v>BANK</v>
      </c>
      <c r="T178" s="1" t="str">
        <f>IFERROR(INDEX(_INDICATOR_[],MATCH(ВСЕ_КОДЫ[[#This Row],[CONTEST_CODE]],_INDICATOR_[CONTEST_CODE],0),MATCH($T$1,_INDICATOR_[#Headers],0)),"-")</f>
        <v>WAIT</v>
      </c>
      <c r="U178" s="1" t="str">
        <f>IFERROR(INDEX(_reward_link_[],MATCH(ВСЕ_КОДЫ[[#This Row],[CONTEST_CODE]],_reward_link_[CONTEST_CODE],0),MATCH($U$1,_reward_link_[#Headers],0)),"-")</f>
        <v>BANK</v>
      </c>
      <c r="V178" s="1" t="str">
        <f>IFERROR(INDEX(_report[],MATCH(ВСЕ_КОДЫ[[#This Row],[CONTEST_CODE]],_report[CONTEST_CODE],0),MATCH($V$1,_report[#Headers],0)),"-")</f>
        <v>-</v>
      </c>
      <c r="W178" s="1" t="str">
        <f>IFERROR(INDEX(_reward_[],MATCH(ВСЕ_КОДЫ[[#This Row],[REWARD_CODE]],_reward_[REWARD_CODE],0),MATCH($W$1,_reward_[#Headers],0)),"-")</f>
        <v>Бронза#по рыночным продажам</v>
      </c>
      <c r="X178" s="1" t="str">
        <f>IFERROR(INDEX(_group_[],MATCH(CONCATENATE(ВСЕ_КОДЫ[[#This Row],[CONTEST_CODE]],"_",X$2),#REF!,0),MATCH(X$1,_group_[#Headers],0)),"-")</f>
        <v>-</v>
      </c>
      <c r="Y178" s="1" t="str">
        <f>IFERROR(INDEX(_group_[],MATCH(CONCATENATE(ВСЕ_КОДЫ[[#This Row],[CONTEST_CODE]],"_",Y$2),#REF!,0),MATCH(Y$1,_group_[#Headers],0)),"-")</f>
        <v>-</v>
      </c>
      <c r="Z178" s="1" t="str">
        <f>IFERROR(INDEX(_group_[],MATCH(CONCATENATE(ВСЕ_КОДЫ[[#This Row],[CONTEST_CODE]],"_",Z$2),#REF!,0),MATCH(Z$1,_group_[#Headers],0)),"-")</f>
        <v>-</v>
      </c>
      <c r="AA178" s="1" t="str">
        <f>IFERROR(INDEX(_group_[],MATCH(CONCATENATE(ВСЕ_КОДЫ[[#This Row],[CONTEST_CODE]],"_",AA$2),#REF!,0),MATCH(AA$1,_group_[#Headers],0)),"-")</f>
        <v>-</v>
      </c>
      <c r="AB178" s="1" t="str">
        <f>IFERROR(INDEX(_DATA_[],MATCH(ВСЕ_КОДЫ[[#This Row],[CONTEST_CODE]],_DATA_[CONTEST_CODE],0),MATCH($AB$2,_DATA_[#Headers],0)),"-")</f>
        <v>["""KMKKSB"""]</v>
      </c>
      <c r="AC178" s="1" t="str">
        <f>CONCATENATE(ВСЕ_КОДЫ[[#This Row],[CONTEST_CODE]],"_",ВСЕ_КОДЫ[[#This Row],[TOURNAMENT_CODE]])</f>
        <v>01_2025-1_08-1_1_t_01_2025-1_08-1_1_3041</v>
      </c>
      <c r="AD178" s="1" t="str">
        <f>ВСЕ_КОДЫ[[#This Row],[FULL_NAME]]</f>
        <v>Страхование. Рыночные продажи</v>
      </c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idden="1" x14ac:dyDescent="0.25">
      <c r="A179" s="1" t="s">
        <v>2210</v>
      </c>
      <c r="B179" s="1" t="s">
        <v>4763</v>
      </c>
      <c r="C179" s="1" t="s">
        <v>2691</v>
      </c>
      <c r="D179" s="1" t="s">
        <v>586</v>
      </c>
      <c r="E179" s="1" t="s">
        <v>100</v>
      </c>
      <c r="F179" s="1" t="s">
        <v>2508</v>
      </c>
      <c r="G179" s="1" t="s">
        <v>27</v>
      </c>
      <c r="H179" s="1" t="s">
        <v>34</v>
      </c>
      <c r="I179" s="1" t="s">
        <v>50</v>
      </c>
      <c r="J179" s="1" t="s">
        <v>2554</v>
      </c>
      <c r="K179" s="1" t="s">
        <v>4756</v>
      </c>
      <c r="L179" s="1" t="s">
        <v>4757</v>
      </c>
      <c r="M179" s="1" t="s">
        <v>34</v>
      </c>
      <c r="N179" s="1" t="s">
        <v>305</v>
      </c>
      <c r="O179" s="1" t="s">
        <v>2692</v>
      </c>
      <c r="P179" s="1"/>
      <c r="Q179" s="1">
        <f>IFERROR(COUNTIFS(_report[TOURNAMENT_CODE],ВСЕ_КОДЫ[[#This Row],[TOURNAMENT_CODE]],_report[CONTEST_CODE],ВСЕ_КОДЫ[[#This Row],[CONTEST_CODE]]),"-")</f>
        <v>0</v>
      </c>
      <c r="R179" s="1" t="str">
        <f>IFERROR(INDEX(_SCHEDULE_[],MATCH(ВСЕ_КОДЫ[[#This Row],[CONTEST_CODE]],_SCHEDULE_[CONTEST_CODE],0),MATCH($R$1,_SCHEDULE_[#Headers],0)),"-")</f>
        <v>ЗАВЕРШЕН</v>
      </c>
      <c r="S179" s="1" t="str">
        <f>IFERROR(INDEX(_group_[],MATCH(ВСЕ_КОДЫ[[#This Row],[CONTEST_CODE]],_group_[CONTEST_CODE],0),MATCH($S$1,_group_[#Headers],0)),"-")</f>
        <v>BANK</v>
      </c>
      <c r="T179" s="1" t="str">
        <f>IFERROR(INDEX(_INDICATOR_[],MATCH(ВСЕ_КОДЫ[[#This Row],[CONTEST_CODE]],_INDICATOR_[CONTEST_CODE],0),MATCH($T$1,_INDICATOR_[#Headers],0)),"-")</f>
        <v>WAIT</v>
      </c>
      <c r="U179" s="1" t="str">
        <f>IFERROR(INDEX(_reward_link_[],MATCH(ВСЕ_КОДЫ[[#This Row],[CONTEST_CODE]],_reward_link_[CONTEST_CODE],0),MATCH($U$1,_reward_link_[#Headers],0)),"-")</f>
        <v>BANK</v>
      </c>
      <c r="V179" s="1" t="str">
        <f>IFERROR(INDEX(_report[],MATCH(ВСЕ_КОДЫ[[#This Row],[CONTEST_CODE]],_report[CONTEST_CODE],0),MATCH($V$1,_report[#Headers],0)),"-")</f>
        <v>-</v>
      </c>
      <c r="W179" s="1" t="str">
        <f>IFERROR(INDEX(_reward_[],MATCH(ВСЕ_КОДЫ[[#This Row],[REWARD_CODE]],_reward_[REWARD_CODE],0),MATCH($W$1,_reward_[#Headers],0)),"-")</f>
        <v>Бронза#по рыночным продажам</v>
      </c>
      <c r="X179" s="1" t="str">
        <f>IFERROR(INDEX(_group_[],MATCH(CONCATENATE(ВСЕ_КОДЫ[[#This Row],[CONTEST_CODE]],"_",X$2),#REF!,0),MATCH(X$1,_group_[#Headers],0)),"-")</f>
        <v>-</v>
      </c>
      <c r="Y179" s="1" t="str">
        <f>IFERROR(INDEX(_group_[],MATCH(CONCATENATE(ВСЕ_КОДЫ[[#This Row],[CONTEST_CODE]],"_",Y$2),#REF!,0),MATCH(Y$1,_group_[#Headers],0)),"-")</f>
        <v>-</v>
      </c>
      <c r="Z179" s="1" t="str">
        <f>IFERROR(INDEX(_group_[],MATCH(CONCATENATE(ВСЕ_КОДЫ[[#This Row],[CONTEST_CODE]],"_",Z$2),#REF!,0),MATCH(Z$1,_group_[#Headers],0)),"-")</f>
        <v>-</v>
      </c>
      <c r="AA179" s="1" t="str">
        <f>IFERROR(INDEX(_group_[],MATCH(CONCATENATE(ВСЕ_КОДЫ[[#This Row],[CONTEST_CODE]],"_",AA$2),#REF!,0),MATCH(AA$1,_group_[#Headers],0)),"-")</f>
        <v>-</v>
      </c>
      <c r="AB179" s="1" t="str">
        <f>IFERROR(INDEX(_DATA_[],MATCH(ВСЕ_КОДЫ[[#This Row],[CONTEST_CODE]],_DATA_[CONTEST_CODE],0),MATCH($AB$2,_DATA_[#Headers],0)),"-")</f>
        <v>["""KMKKSB"""]</v>
      </c>
      <c r="AC179" s="1" t="str">
        <f>CONCATENATE(ВСЕ_КОДЫ[[#This Row],[CONTEST_CODE]],"_",ВСЕ_КОДЫ[[#This Row],[TOURNAMENT_CODE]])</f>
        <v>01_2025-1_08-1_1_t_01_2025-1_08-1_1_3051</v>
      </c>
      <c r="AD179" s="1" t="str">
        <f>ВСЕ_КОДЫ[[#This Row],[FULL_NAME]]</f>
        <v>Страхование. Рыночные продажи</v>
      </c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idden="1" x14ac:dyDescent="0.25">
      <c r="A180" s="1" t="s">
        <v>2210</v>
      </c>
      <c r="B180" s="1" t="s">
        <v>4815</v>
      </c>
      <c r="C180" s="1" t="s">
        <v>2691</v>
      </c>
      <c r="D180" s="1" t="s">
        <v>586</v>
      </c>
      <c r="E180" s="1" t="s">
        <v>100</v>
      </c>
      <c r="F180" s="1" t="s">
        <v>2508</v>
      </c>
      <c r="G180" s="1" t="s">
        <v>27</v>
      </c>
      <c r="H180" s="1" t="s">
        <v>34</v>
      </c>
      <c r="I180" s="1" t="s">
        <v>50</v>
      </c>
      <c r="J180" s="1" t="s">
        <v>4809</v>
      </c>
      <c r="K180" s="1" t="s">
        <v>2542</v>
      </c>
      <c r="L180" s="1" t="s">
        <v>3545</v>
      </c>
      <c r="M180" s="1" t="s">
        <v>34</v>
      </c>
      <c r="N180" s="1" t="s">
        <v>305</v>
      </c>
      <c r="O180" s="1" t="s">
        <v>2692</v>
      </c>
      <c r="P180" s="1"/>
      <c r="Q180" s="1">
        <f>IFERROR(COUNTIFS(_report[TOURNAMENT_CODE],ВСЕ_КОДЫ[[#This Row],[TOURNAMENT_CODE]],_report[CONTEST_CODE],ВСЕ_КОДЫ[[#This Row],[CONTEST_CODE]]),"-")</f>
        <v>0</v>
      </c>
      <c r="R180" s="1" t="str">
        <f>IFERROR(INDEX(_SCHEDULE_[],MATCH(ВСЕ_КОДЫ[[#This Row],[CONTEST_CODE]],_SCHEDULE_[CONTEST_CODE],0),MATCH($R$1,_SCHEDULE_[#Headers],0)),"-")</f>
        <v>ЗАВЕРШЕН</v>
      </c>
      <c r="S180" s="1" t="str">
        <f>IFERROR(INDEX(_group_[],MATCH(ВСЕ_КОДЫ[[#This Row],[CONTEST_CODE]],_group_[CONTEST_CODE],0),MATCH($S$1,_group_[#Headers],0)),"-")</f>
        <v>BANK</v>
      </c>
      <c r="T180" s="1" t="str">
        <f>IFERROR(INDEX(_INDICATOR_[],MATCH(ВСЕ_КОДЫ[[#This Row],[CONTEST_CODE]],_INDICATOR_[CONTEST_CODE],0),MATCH($T$1,_INDICATOR_[#Headers],0)),"-")</f>
        <v>WAIT</v>
      </c>
      <c r="U180" s="1" t="str">
        <f>IFERROR(INDEX(_reward_link_[],MATCH(ВСЕ_КОДЫ[[#This Row],[CONTEST_CODE]],_reward_link_[CONTEST_CODE],0),MATCH($U$1,_reward_link_[#Headers],0)),"-")</f>
        <v>BANK</v>
      </c>
      <c r="V180" s="1" t="str">
        <f>IFERROR(INDEX(_report[],MATCH(ВСЕ_КОДЫ[[#This Row],[CONTEST_CODE]],_report[CONTEST_CODE],0),MATCH($V$1,_report[#Headers],0)),"-")</f>
        <v>-</v>
      </c>
      <c r="W180" s="1" t="str">
        <f>IFERROR(INDEX(_reward_[],MATCH(ВСЕ_КОДЫ[[#This Row],[REWARD_CODE]],_reward_[REWARD_CODE],0),MATCH($W$1,_reward_[#Headers],0)),"-")</f>
        <v>Бронза#по рыночным продажам</v>
      </c>
      <c r="X180" s="1" t="str">
        <f>IFERROR(INDEX(_group_[],MATCH(CONCATENATE(ВСЕ_КОДЫ[[#This Row],[CONTEST_CODE]],"_",X$2),#REF!,0),MATCH(X$1,_group_[#Headers],0)),"-")</f>
        <v>-</v>
      </c>
      <c r="Y180" s="1" t="str">
        <f>IFERROR(INDEX(_group_[],MATCH(CONCATENATE(ВСЕ_КОДЫ[[#This Row],[CONTEST_CODE]],"_",Y$2),#REF!,0),MATCH(Y$1,_group_[#Headers],0)),"-")</f>
        <v>-</v>
      </c>
      <c r="Z180" s="1" t="str">
        <f>IFERROR(INDEX(_group_[],MATCH(CONCATENATE(ВСЕ_КОДЫ[[#This Row],[CONTEST_CODE]],"_",Z$2),#REF!,0),MATCH(Z$1,_group_[#Headers],0)),"-")</f>
        <v>-</v>
      </c>
      <c r="AA180" s="1" t="str">
        <f>IFERROR(INDEX(_group_[],MATCH(CONCATENATE(ВСЕ_КОДЫ[[#This Row],[CONTEST_CODE]],"_",AA$2),#REF!,0),MATCH(AA$1,_group_[#Headers],0)),"-")</f>
        <v>-</v>
      </c>
      <c r="AB180" s="1" t="str">
        <f>IFERROR(INDEX(_DATA_[],MATCH(ВСЕ_КОДЫ[[#This Row],[CONTEST_CODE]],_DATA_[CONTEST_CODE],0),MATCH($AB$2,_DATA_[#Headers],0)),"-")</f>
        <v>["""KMKKSB"""]</v>
      </c>
      <c r="AC180" s="1" t="str">
        <f>CONCATENATE(ВСЕ_КОДЫ[[#This Row],[CONTEST_CODE]],"_",ВСЕ_КОДЫ[[#This Row],[TOURNAMENT_CODE]])</f>
        <v>01_2025-1_08-1_1_t_01_2025-1_08-1_1_3061</v>
      </c>
      <c r="AD180" s="1" t="str">
        <f>ВСЕ_КОДЫ[[#This Row],[FULL_NAME]]</f>
        <v>Страхование. Рыночные продажи</v>
      </c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idden="1" x14ac:dyDescent="0.25">
      <c r="A181" s="1" t="s">
        <v>63</v>
      </c>
      <c r="B181" s="1" t="s">
        <v>1039</v>
      </c>
      <c r="C181" s="1" t="s">
        <v>367</v>
      </c>
      <c r="D181" s="1" t="s">
        <v>583</v>
      </c>
      <c r="E181" s="1" t="s">
        <v>64</v>
      </c>
      <c r="F181" s="1" t="s">
        <v>26</v>
      </c>
      <c r="G181" s="1" t="s">
        <v>27</v>
      </c>
      <c r="H181" s="1" t="s">
        <v>28</v>
      </c>
      <c r="I181" s="1" t="s">
        <v>29</v>
      </c>
      <c r="J181" s="1" t="s">
        <v>26</v>
      </c>
      <c r="K181" s="1" t="s">
        <v>171</v>
      </c>
      <c r="L181" s="1" t="s">
        <v>1087</v>
      </c>
      <c r="M181" s="1" t="s">
        <v>176</v>
      </c>
      <c r="N181" s="1" t="s">
        <v>305</v>
      </c>
      <c r="O181" s="1" t="s">
        <v>368</v>
      </c>
      <c r="P181" s="1"/>
      <c r="Q181" s="1">
        <f>IFERROR(COUNTIFS(_report[TOURNAMENT_CODE],ВСЕ_КОДЫ[[#This Row],[TOURNAMENT_CODE]],_report[CONTEST_CODE],ВСЕ_КОДЫ[[#This Row],[CONTEST_CODE]]),"-")</f>
        <v>0</v>
      </c>
      <c r="R181" s="1" t="str">
        <f>IFERROR(INDEX(_SCHEDULE_[],MATCH(ВСЕ_КОДЫ[[#This Row],[CONTEST_CODE]],_SCHEDULE_[CONTEST_CODE],0),MATCH($R$1,_SCHEDULE_[#Headers],0)),"-")</f>
        <v>ЗАВЕРШЕН</v>
      </c>
      <c r="S181" s="1" t="str">
        <f>IFERROR(INDEX(_group_[],MATCH(ВСЕ_КОДЫ[[#This Row],[CONTEST_CODE]],_group_[CONTEST_CODE],0),MATCH($S$1,_group_[#Headers],0)),"-")</f>
        <v>BANK</v>
      </c>
      <c r="T181" s="1" t="str">
        <f>IFERROR(INDEX(_INDICATOR_[],MATCH(ВСЕ_КОДЫ[[#This Row],[CONTEST_CODE]],_INDICATOR_[CONTEST_CODE],0),MATCH($T$1,_INDICATOR_[#Headers],0)),"-")</f>
        <v>WAIT</v>
      </c>
      <c r="U181" s="1" t="str">
        <f>IFERROR(INDEX(_reward_link_[],MATCH(ВСЕ_КОДЫ[[#This Row],[CONTEST_CODE]],_reward_link_[CONTEST_CODE],0),MATCH($U$1,_reward_link_[#Headers],0)),"-")</f>
        <v>BANK</v>
      </c>
      <c r="V181" s="1" t="str">
        <f>IFERROR(INDEX(_report[],MATCH(ВСЕ_КОДЫ[[#This Row],[CONTEST_CODE]],_report[CONTEST_CODE],0),MATCH($V$1,_report[#Headers],0)),"-")</f>
        <v>-</v>
      </c>
      <c r="W181" s="1" t="str">
        <f>IFERROR(INDEX(_reward_[],MATCH(ВСЕ_КОДЫ[[#This Row],[REWARD_CODE]],_reward_[REWARD_CODE],0),MATCH($W$1,_reward_[#Headers],0)),"-")</f>
        <v>1 место Сверхбонуса 2ПГ 2023</v>
      </c>
      <c r="X181" s="1" t="str">
        <f>IFERROR(INDEX(_group_[],MATCH(CONCATENATE(ВСЕ_КОДЫ[[#This Row],[CONTEST_CODE]],"_",X$2),#REF!,0),MATCH(X$1,_group_[#Headers],0)),"-")</f>
        <v>-</v>
      </c>
      <c r="Y181" s="1" t="str">
        <f>IFERROR(INDEX(_group_[],MATCH(CONCATENATE(ВСЕ_КОДЫ[[#This Row],[CONTEST_CODE]],"_",Y$2),#REF!,0),MATCH(Y$1,_group_[#Headers],0)),"-")</f>
        <v>-</v>
      </c>
      <c r="Z181" s="1" t="str">
        <f>IFERROR(INDEX(_group_[],MATCH(CONCATENATE(ВСЕ_КОДЫ[[#This Row],[CONTEST_CODE]],"_",Z$2),#REF!,0),MATCH(Z$1,_group_[#Headers],0)),"-")</f>
        <v>-</v>
      </c>
      <c r="AA181" s="1" t="str">
        <f>IFERROR(INDEX(_group_[],MATCH(CONCATENATE(ВСЕ_КОДЫ[[#This Row],[CONTEST_CODE]],"_",AA$2),#REF!,0),MATCH(AA$1,_group_[#Headers],0)),"-")</f>
        <v>-</v>
      </c>
      <c r="AB181" s="1" t="str">
        <f>IFERROR(INDEX(_DATA_[],MATCH(ВСЕ_КОДЫ[[#This Row],[CONTEST_CODE]],_DATA_[CONTEST_CODE],0),MATCH($AB$2,_DATA_[#Headers],0)),"-")</f>
        <v>["""KMKKSB"""]</v>
      </c>
      <c r="AC181" s="1" t="str">
        <f>CONCATENATE(ВСЕ_КОДЫ[[#This Row],[CONTEST_CODE]],"_",ВСЕ_КОДЫ[[#This Row],[TOURNAMENT_CODE]])</f>
        <v>CONTEST_14_TOURNAMENT_14_01</v>
      </c>
      <c r="AD181" s="1" t="str">
        <f>ВСЕ_КОДЫ[[#This Row],[FULL_NAME]]</f>
        <v>СВЕРХБОНУС 1 место</v>
      </c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idden="1" x14ac:dyDescent="0.25">
      <c r="A182" s="1" t="s">
        <v>65</v>
      </c>
      <c r="B182" s="1" t="s">
        <v>1040</v>
      </c>
      <c r="C182" s="1" t="s">
        <v>370</v>
      </c>
      <c r="D182" s="1" t="s">
        <v>583</v>
      </c>
      <c r="E182" s="1" t="s">
        <v>66</v>
      </c>
      <c r="F182" s="1" t="s">
        <v>26</v>
      </c>
      <c r="G182" s="1" t="s">
        <v>27</v>
      </c>
      <c r="H182" s="1" t="s">
        <v>28</v>
      </c>
      <c r="I182" s="1" t="s">
        <v>29</v>
      </c>
      <c r="J182" s="1" t="s">
        <v>26</v>
      </c>
      <c r="K182" s="1" t="s">
        <v>171</v>
      </c>
      <c r="L182" s="1" t="s">
        <v>1087</v>
      </c>
      <c r="M182" s="1" t="s">
        <v>176</v>
      </c>
      <c r="N182" s="1" t="s">
        <v>305</v>
      </c>
      <c r="O182" s="1" t="s">
        <v>371</v>
      </c>
      <c r="P182" s="1"/>
      <c r="Q182" s="1">
        <f>IFERROR(COUNTIFS(_report[TOURNAMENT_CODE],ВСЕ_КОДЫ[[#This Row],[TOURNAMENT_CODE]],_report[CONTEST_CODE],ВСЕ_КОДЫ[[#This Row],[CONTEST_CODE]]),"-")</f>
        <v>0</v>
      </c>
      <c r="R182" s="1" t="str">
        <f>IFERROR(INDEX(_SCHEDULE_[],MATCH(ВСЕ_КОДЫ[[#This Row],[CONTEST_CODE]],_SCHEDULE_[CONTEST_CODE],0),MATCH($R$1,_SCHEDULE_[#Headers],0)),"-")</f>
        <v>ЗАВЕРШЕН</v>
      </c>
      <c r="S182" s="1" t="str">
        <f>IFERROR(INDEX(_group_[],MATCH(ВСЕ_КОДЫ[[#This Row],[CONTEST_CODE]],_group_[CONTEST_CODE],0),MATCH($S$1,_group_[#Headers],0)),"-")</f>
        <v>BANK</v>
      </c>
      <c r="T182" s="1" t="str">
        <f>IFERROR(INDEX(_INDICATOR_[],MATCH(ВСЕ_КОДЫ[[#This Row],[CONTEST_CODE]],_INDICATOR_[CONTEST_CODE],0),MATCH($T$1,_INDICATOR_[#Headers],0)),"-")</f>
        <v>WAIT</v>
      </c>
      <c r="U182" s="1" t="str">
        <f>IFERROR(INDEX(_reward_link_[],MATCH(ВСЕ_КОДЫ[[#This Row],[CONTEST_CODE]],_reward_link_[CONTEST_CODE],0),MATCH($U$1,_reward_link_[#Headers],0)),"-")</f>
        <v>BANK</v>
      </c>
      <c r="V182" s="1" t="str">
        <f>IFERROR(INDEX(_report[],MATCH(ВСЕ_КОДЫ[[#This Row],[CONTEST_CODE]],_report[CONTEST_CODE],0),MATCH($V$1,_report[#Headers],0)),"-")</f>
        <v>-</v>
      </c>
      <c r="W182" s="1" t="str">
        <f>IFERROR(INDEX(_reward_[],MATCH(ВСЕ_КОДЫ[[#This Row],[REWARD_CODE]],_reward_[REWARD_CODE],0),MATCH($W$1,_reward_[#Headers],0)),"-")</f>
        <v>ТОП-10% Сверхбонуса 2ПГ 2023</v>
      </c>
      <c r="X182" s="1" t="str">
        <f>IFERROR(INDEX(_group_[],MATCH(CONCATENATE(ВСЕ_КОДЫ[[#This Row],[CONTEST_CODE]],"_",X$2),#REF!,0),MATCH(X$1,_group_[#Headers],0)),"-")</f>
        <v>-</v>
      </c>
      <c r="Y182" s="1" t="str">
        <f>IFERROR(INDEX(_group_[],MATCH(CONCATENATE(ВСЕ_КОДЫ[[#This Row],[CONTEST_CODE]],"_",Y$2),#REF!,0),MATCH(Y$1,_group_[#Headers],0)),"-")</f>
        <v>-</v>
      </c>
      <c r="Z182" s="1" t="str">
        <f>IFERROR(INDEX(_group_[],MATCH(CONCATENATE(ВСЕ_КОДЫ[[#This Row],[CONTEST_CODE]],"_",Z$2),#REF!,0),MATCH(Z$1,_group_[#Headers],0)),"-")</f>
        <v>-</v>
      </c>
      <c r="AA182" s="1" t="str">
        <f>IFERROR(INDEX(_group_[],MATCH(CONCATENATE(ВСЕ_КОДЫ[[#This Row],[CONTEST_CODE]],"_",AA$2),#REF!,0),MATCH(AA$1,_group_[#Headers],0)),"-")</f>
        <v>-</v>
      </c>
      <c r="AB182" s="1" t="str">
        <f>IFERROR(INDEX(_DATA_[],MATCH(ВСЕ_КОДЫ[[#This Row],[CONTEST_CODE]],_DATA_[CONTEST_CODE],0),MATCH($AB$2,_DATA_[#Headers],0)),"-")</f>
        <v>["""KMKKSB"""]</v>
      </c>
      <c r="AC182" s="1" t="str">
        <f>CONCATENATE(ВСЕ_КОДЫ[[#This Row],[CONTEST_CODE]],"_",ВСЕ_КОДЫ[[#This Row],[TOURNAMENT_CODE]])</f>
        <v>CONTEST_15_TOURNAMENT_15_01</v>
      </c>
      <c r="AD182" s="1" t="str">
        <f>ВСЕ_КОДЫ[[#This Row],[FULL_NAME]]</f>
        <v>СВЕРХБОНУС ТОП - 10%</v>
      </c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idden="1" x14ac:dyDescent="0.25">
      <c r="A183" s="1" t="s">
        <v>67</v>
      </c>
      <c r="B183" s="1" t="s">
        <v>1041</v>
      </c>
      <c r="C183" s="1" t="s">
        <v>373</v>
      </c>
      <c r="D183" s="1" t="s">
        <v>583</v>
      </c>
      <c r="E183" s="1" t="s">
        <v>68</v>
      </c>
      <c r="F183" s="1" t="s">
        <v>26</v>
      </c>
      <c r="G183" s="1" t="s">
        <v>27</v>
      </c>
      <c r="H183" s="1" t="s">
        <v>28</v>
      </c>
      <c r="I183" s="1" t="s">
        <v>29</v>
      </c>
      <c r="J183" s="1" t="s">
        <v>26</v>
      </c>
      <c r="K183" s="1" t="s">
        <v>171</v>
      </c>
      <c r="L183" s="1" t="s">
        <v>1087</v>
      </c>
      <c r="M183" s="1" t="s">
        <v>176</v>
      </c>
      <c r="N183" s="1" t="s">
        <v>305</v>
      </c>
      <c r="O183" s="1" t="s">
        <v>374</v>
      </c>
      <c r="P183" s="1"/>
      <c r="Q183" s="1">
        <f>IFERROR(COUNTIFS(_report[TOURNAMENT_CODE],ВСЕ_КОДЫ[[#This Row],[TOURNAMENT_CODE]],_report[CONTEST_CODE],ВСЕ_КОДЫ[[#This Row],[CONTEST_CODE]]),"-")</f>
        <v>0</v>
      </c>
      <c r="R183" s="1" t="str">
        <f>IFERROR(INDEX(_SCHEDULE_[],MATCH(ВСЕ_КОДЫ[[#This Row],[CONTEST_CODE]],_SCHEDULE_[CONTEST_CODE],0),MATCH($R$1,_SCHEDULE_[#Headers],0)),"-")</f>
        <v>ЗАВЕРШЕН</v>
      </c>
      <c r="S183" s="1" t="str">
        <f>IFERROR(INDEX(_group_[],MATCH(ВСЕ_КОДЫ[[#This Row],[CONTEST_CODE]],_group_[CONTEST_CODE],0),MATCH($S$1,_group_[#Headers],0)),"-")</f>
        <v>BANK</v>
      </c>
      <c r="T183" s="1" t="str">
        <f>IFERROR(INDEX(_INDICATOR_[],MATCH(ВСЕ_КОДЫ[[#This Row],[CONTEST_CODE]],_INDICATOR_[CONTEST_CODE],0),MATCH($T$1,_INDICATOR_[#Headers],0)),"-")</f>
        <v>WAIT</v>
      </c>
      <c r="U183" s="1" t="str">
        <f>IFERROR(INDEX(_reward_link_[],MATCH(ВСЕ_КОДЫ[[#This Row],[CONTEST_CODE]],_reward_link_[CONTEST_CODE],0),MATCH($U$1,_reward_link_[#Headers],0)),"-")</f>
        <v>BANK</v>
      </c>
      <c r="V183" s="1" t="str">
        <f>IFERROR(INDEX(_report[],MATCH(ВСЕ_КОДЫ[[#This Row],[CONTEST_CODE]],_report[CONTEST_CODE],0),MATCH($V$1,_report[#Headers],0)),"-")</f>
        <v>-</v>
      </c>
      <c r="W183" s="1" t="str">
        <f>IFERROR(INDEX(_reward_[],MATCH(ВСЕ_КОДЫ[[#This Row],[REWARD_CODE]],_reward_[REWARD_CODE],0),MATCH($W$1,_reward_[#Headers],0)),"-")</f>
        <v>ТОП-20% Сверхбонуса 2ПГ 2023</v>
      </c>
      <c r="X183" s="1" t="str">
        <f>IFERROR(INDEX(_group_[],MATCH(CONCATENATE(ВСЕ_КОДЫ[[#This Row],[CONTEST_CODE]],"_",X$2),#REF!,0),MATCH(X$1,_group_[#Headers],0)),"-")</f>
        <v>-</v>
      </c>
      <c r="Y183" s="1" t="str">
        <f>IFERROR(INDEX(_group_[],MATCH(CONCATENATE(ВСЕ_КОДЫ[[#This Row],[CONTEST_CODE]],"_",Y$2),#REF!,0),MATCH(Y$1,_group_[#Headers],0)),"-")</f>
        <v>-</v>
      </c>
      <c r="Z183" s="1" t="str">
        <f>IFERROR(INDEX(_group_[],MATCH(CONCATENATE(ВСЕ_КОДЫ[[#This Row],[CONTEST_CODE]],"_",Z$2),#REF!,0),MATCH(Z$1,_group_[#Headers],0)),"-")</f>
        <v>-</v>
      </c>
      <c r="AA183" s="1" t="str">
        <f>IFERROR(INDEX(_group_[],MATCH(CONCATENATE(ВСЕ_КОДЫ[[#This Row],[CONTEST_CODE]],"_",AA$2),#REF!,0),MATCH(AA$1,_group_[#Headers],0)),"-")</f>
        <v>-</v>
      </c>
      <c r="AB183" s="1" t="str">
        <f>IFERROR(INDEX(_DATA_[],MATCH(ВСЕ_КОДЫ[[#This Row],[CONTEST_CODE]],_DATA_[CONTEST_CODE],0),MATCH($AB$2,_DATA_[#Headers],0)),"-")</f>
        <v>["""KMKKSB"""]</v>
      </c>
      <c r="AC183" s="1" t="str">
        <f>CONCATENATE(ВСЕ_КОДЫ[[#This Row],[CONTEST_CODE]],"_",ВСЕ_КОДЫ[[#This Row],[TOURNAMENT_CODE]])</f>
        <v>CONTEST_16_TOURNAMENT_16_01</v>
      </c>
      <c r="AD183" s="1" t="str">
        <f>ВСЕ_КОДЫ[[#This Row],[FULL_NAME]]</f>
        <v>СВЕРХБОНУС ТОП - 20%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idden="1" x14ac:dyDescent="0.25">
      <c r="A184" s="1" t="s">
        <v>69</v>
      </c>
      <c r="B184" s="1" t="s">
        <v>1042</v>
      </c>
      <c r="C184" s="1" t="s">
        <v>376</v>
      </c>
      <c r="D184" s="1" t="s">
        <v>583</v>
      </c>
      <c r="E184" s="1" t="s">
        <v>70</v>
      </c>
      <c r="F184" s="1" t="s">
        <v>26</v>
      </c>
      <c r="G184" s="1" t="s">
        <v>27</v>
      </c>
      <c r="H184" s="1" t="s">
        <v>28</v>
      </c>
      <c r="I184" s="1" t="s">
        <v>29</v>
      </c>
      <c r="J184" s="1" t="s">
        <v>26</v>
      </c>
      <c r="K184" s="1" t="s">
        <v>171</v>
      </c>
      <c r="L184" s="1" t="s">
        <v>1087</v>
      </c>
      <c r="M184" s="1" t="s">
        <v>176</v>
      </c>
      <c r="N184" s="1" t="s">
        <v>305</v>
      </c>
      <c r="O184" s="1" t="s">
        <v>377</v>
      </c>
      <c r="P184" s="1"/>
      <c r="Q184" s="1">
        <f>IFERROR(COUNTIFS(_report[TOURNAMENT_CODE],ВСЕ_КОДЫ[[#This Row],[TOURNAMENT_CODE]],_report[CONTEST_CODE],ВСЕ_КОДЫ[[#This Row],[CONTEST_CODE]]),"-")</f>
        <v>0</v>
      </c>
      <c r="R184" s="1" t="str">
        <f>IFERROR(INDEX(_SCHEDULE_[],MATCH(ВСЕ_КОДЫ[[#This Row],[CONTEST_CODE]],_SCHEDULE_[CONTEST_CODE],0),MATCH($R$1,_SCHEDULE_[#Headers],0)),"-")</f>
        <v>ЗАВЕРШЕН</v>
      </c>
      <c r="S184" s="1" t="str">
        <f>IFERROR(INDEX(_group_[],MATCH(ВСЕ_КОДЫ[[#This Row],[CONTEST_CODE]],_group_[CONTEST_CODE],0),MATCH($S$1,_group_[#Headers],0)),"-")</f>
        <v>BANK</v>
      </c>
      <c r="T184" s="1" t="str">
        <f>IFERROR(INDEX(_INDICATOR_[],MATCH(ВСЕ_КОДЫ[[#This Row],[CONTEST_CODE]],_INDICATOR_[CONTEST_CODE],0),MATCH($T$1,_INDICATOR_[#Headers],0)),"-")</f>
        <v>WAIT</v>
      </c>
      <c r="U184" s="1" t="str">
        <f>IFERROR(INDEX(_reward_link_[],MATCH(ВСЕ_КОДЫ[[#This Row],[CONTEST_CODE]],_reward_link_[CONTEST_CODE],0),MATCH($U$1,_reward_link_[#Headers],0)),"-")</f>
        <v>BANK</v>
      </c>
      <c r="V184" s="1" t="str">
        <f>IFERROR(INDEX(_report[],MATCH(ВСЕ_КОДЫ[[#This Row],[CONTEST_CODE]],_report[CONTEST_CODE],0),MATCH($V$1,_report[#Headers],0)),"-")</f>
        <v>-</v>
      </c>
      <c r="W184" s="1" t="str">
        <f>IFERROR(INDEX(_reward_[],MATCH(ВСЕ_КОДЫ[[#This Row],[REWARD_CODE]],_reward_[REWARD_CODE],0),MATCH($W$1,_reward_[#Headers],0)),"-")</f>
        <v>ТОП-20+% Сверхбонуса 2ПГ 2023</v>
      </c>
      <c r="X184" s="1" t="str">
        <f>IFERROR(INDEX(_group_[],MATCH(CONCATENATE(ВСЕ_КОДЫ[[#This Row],[CONTEST_CODE]],"_",X$2),#REF!,0),MATCH(X$1,_group_[#Headers],0)),"-")</f>
        <v>-</v>
      </c>
      <c r="Y184" s="1" t="str">
        <f>IFERROR(INDEX(_group_[],MATCH(CONCATENATE(ВСЕ_КОДЫ[[#This Row],[CONTEST_CODE]],"_",Y$2),#REF!,0),MATCH(Y$1,_group_[#Headers],0)),"-")</f>
        <v>-</v>
      </c>
      <c r="Z184" s="1" t="str">
        <f>IFERROR(INDEX(_group_[],MATCH(CONCATENATE(ВСЕ_КОДЫ[[#This Row],[CONTEST_CODE]],"_",Z$2),#REF!,0),MATCH(Z$1,_group_[#Headers],0)),"-")</f>
        <v>-</v>
      </c>
      <c r="AA184" s="1" t="str">
        <f>IFERROR(INDEX(_group_[],MATCH(CONCATENATE(ВСЕ_КОДЫ[[#This Row],[CONTEST_CODE]],"_",AA$2),#REF!,0),MATCH(AA$1,_group_[#Headers],0)),"-")</f>
        <v>-</v>
      </c>
      <c r="AB184" s="1" t="str">
        <f>IFERROR(INDEX(_DATA_[],MATCH(ВСЕ_КОДЫ[[#This Row],[CONTEST_CODE]],_DATA_[CONTEST_CODE],0),MATCH($AB$2,_DATA_[#Headers],0)),"-")</f>
        <v>["""KMKKSB"""]</v>
      </c>
      <c r="AC184" s="1" t="str">
        <f>CONCATENATE(ВСЕ_КОДЫ[[#This Row],[CONTEST_CODE]],"_",ВСЕ_КОДЫ[[#This Row],[TOURNAMENT_CODE]])</f>
        <v>CONTEST_17_TOURNAMENT_17_01</v>
      </c>
      <c r="AD184" s="1" t="str">
        <f>ВСЕ_КОДЫ[[#This Row],[FULL_NAME]]</f>
        <v>СВЕРХБОНУС ТОП - 20+%</v>
      </c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idden="1" x14ac:dyDescent="0.25">
      <c r="A185" s="1" t="s">
        <v>1344</v>
      </c>
      <c r="B185" s="1" t="s">
        <v>1693</v>
      </c>
      <c r="C185" s="1" t="s">
        <v>1345</v>
      </c>
      <c r="D185" s="1" t="s">
        <v>586</v>
      </c>
      <c r="E185" s="1" t="s">
        <v>1870</v>
      </c>
      <c r="F185" s="1" t="s">
        <v>26</v>
      </c>
      <c r="G185" s="1" t="s">
        <v>27</v>
      </c>
      <c r="H185" s="1" t="s">
        <v>34</v>
      </c>
      <c r="I185" s="1" t="s">
        <v>50</v>
      </c>
      <c r="J185" s="1" t="s">
        <v>1308</v>
      </c>
      <c r="K185" s="1" t="s">
        <v>642</v>
      </c>
      <c r="L185" s="1" t="s">
        <v>642</v>
      </c>
      <c r="M185" s="1" t="s">
        <v>176</v>
      </c>
      <c r="N185" s="1" t="s">
        <v>305</v>
      </c>
      <c r="O185" s="1" t="s">
        <v>1438</v>
      </c>
      <c r="P185" s="1"/>
      <c r="Q185" s="1">
        <f>IFERROR(COUNTIFS(_report[TOURNAMENT_CODE],ВСЕ_КОДЫ[[#This Row],[TOURNAMENT_CODE]],_report[CONTEST_CODE],ВСЕ_КОДЫ[[#This Row],[CONTEST_CODE]]),"-")</f>
        <v>0</v>
      </c>
      <c r="R185" s="1" t="str">
        <f>IFERROR(INDEX(_SCHEDULE_[],MATCH(ВСЕ_КОДЫ[[#This Row],[CONTEST_CODE]],_SCHEDULE_[CONTEST_CODE],0),MATCH($R$1,_SCHEDULE_[#Headers],0)),"-")</f>
        <v>ЗАВЕРШЕН</v>
      </c>
      <c r="S185" s="1" t="str">
        <f>IFERROR(INDEX(_group_[],MATCH(ВСЕ_КОДЫ[[#This Row],[CONTEST_CODE]],_group_[CONTEST_CODE],0),MATCH($S$1,_group_[#Headers],0)),"-")</f>
        <v>TB</v>
      </c>
      <c r="T185" s="1" t="str">
        <f>IFERROR(INDEX(_INDICATOR_[],MATCH(ВСЕ_КОДЫ[[#This Row],[CONTEST_CODE]],_INDICATOR_[CONTEST_CODE],0),MATCH($T$1,_INDICATOR_[#Headers],0)),"-")</f>
        <v>WAIT</v>
      </c>
      <c r="U185" s="1" t="str">
        <f>IFERROR(INDEX(_reward_link_[],MATCH(ВСЕ_КОДЫ[[#This Row],[CONTEST_CODE]],_reward_link_[CONTEST_CODE],0),MATCH($U$1,_reward_link_[#Headers],0)),"-")</f>
        <v>TB</v>
      </c>
      <c r="V185" s="1" t="str">
        <f>IFERROR(INDEX(_report[],MATCH(ВСЕ_КОДЫ[[#This Row],[CONTEST_CODE]],_report[CONTEST_CODE],0),MATCH($V$1,_report[#Headers],0)),"-")</f>
        <v>-</v>
      </c>
      <c r="W185" s="1" t="str">
        <f>IFERROR(INDEX(_reward_[],MATCH(ВСЕ_КОДЫ[[#This Row],[REWARD_CODE]],_reward_[REWARD_CODE],0),MATCH($W$1,_reward_[#Headers],0)),"-")</f>
        <v>Победитель ТБ по счетам в рупиях</v>
      </c>
      <c r="X185" s="1" t="str">
        <f>IFERROR(INDEX(_group_[],MATCH(CONCATENATE(ВСЕ_КОДЫ[[#This Row],[CONTEST_CODE]],"_",X$2),#REF!,0),MATCH(X$1,_group_[#Headers],0)),"-")</f>
        <v>-</v>
      </c>
      <c r="Y185" s="1" t="str">
        <f>IFERROR(INDEX(_group_[],MATCH(CONCATENATE(ВСЕ_КОДЫ[[#This Row],[CONTEST_CODE]],"_",Y$2),#REF!,0),MATCH(Y$1,_group_[#Headers],0)),"-")</f>
        <v>-</v>
      </c>
      <c r="Z185" s="1" t="str">
        <f>IFERROR(INDEX(_group_[],MATCH(CONCATENATE(ВСЕ_КОДЫ[[#This Row],[CONTEST_CODE]],"_",Z$2),#REF!,0),MATCH(Z$1,_group_[#Headers],0)),"-")</f>
        <v>-</v>
      </c>
      <c r="AA185" s="1" t="str">
        <f>IFERROR(INDEX(_group_[],MATCH(CONCATENATE(ВСЕ_КОДЫ[[#This Row],[CONTEST_CODE]],"_",AA$2),#REF!,0),MATCH(AA$1,_group_[#Headers],0)),"-")</f>
        <v>-</v>
      </c>
      <c r="AB185" s="1" t="str">
        <f>IFERROR(INDEX(_DATA_[],MATCH(ВСЕ_КОДЫ[[#This Row],[CONTEST_CODE]],_DATA_[CONTEST_CODE],0),MATCH($AB$2,_DATA_[#Headers],0)),"-")</f>
        <v>["""KMKKSB"""]</v>
      </c>
      <c r="AC185" s="1" t="str">
        <f>CONCATENATE(ВСЕ_КОДЫ[[#This Row],[CONTEST_CODE]],"_",ВСЕ_КОДЫ[[#This Row],[TOURNAMENT_CODE]])</f>
        <v>CONTEST_20_TOURNAMENT_20_2024_Q04</v>
      </c>
      <c r="AD185" s="1" t="str">
        <f>ВСЕ_КОДЫ[[#This Row],[FULL_NAME]]</f>
        <v>Рупии. Максимизируем число новых открытых счетов</v>
      </c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idden="1" x14ac:dyDescent="0.25">
      <c r="A186" s="1" t="s">
        <v>74</v>
      </c>
      <c r="B186" s="1" t="s">
        <v>228</v>
      </c>
      <c r="C186" s="1" t="s">
        <v>389</v>
      </c>
      <c r="D186" s="1" t="s">
        <v>586</v>
      </c>
      <c r="E186" s="1" t="s">
        <v>75</v>
      </c>
      <c r="F186" s="1" t="s">
        <v>76</v>
      </c>
      <c r="G186" s="1" t="s">
        <v>27</v>
      </c>
      <c r="H186" s="1" t="s">
        <v>34</v>
      </c>
      <c r="I186" s="1" t="s">
        <v>50</v>
      </c>
      <c r="J186" s="1" t="s">
        <v>147</v>
      </c>
      <c r="K186" s="1" t="s">
        <v>171</v>
      </c>
      <c r="L186" s="1" t="s">
        <v>230</v>
      </c>
      <c r="M186" s="1" t="s">
        <v>155</v>
      </c>
      <c r="N186" s="1" t="s">
        <v>305</v>
      </c>
      <c r="O186" s="1" t="s">
        <v>390</v>
      </c>
      <c r="P186" s="1"/>
      <c r="Q186" s="1">
        <f>IFERROR(COUNTIFS(_report[TOURNAMENT_CODE],ВСЕ_КОДЫ[[#This Row],[TOURNAMENT_CODE]],_report[CONTEST_CODE],ВСЕ_КОДЫ[[#This Row],[CONTEST_CODE]]),"-")</f>
        <v>0</v>
      </c>
      <c r="R186" s="1" t="str">
        <f>IFERROR(INDEX(_SCHEDULE_[],MATCH(ВСЕ_КОДЫ[[#This Row],[CONTEST_CODE]],_SCHEDULE_[CONTEST_CODE],0),MATCH($R$1,_SCHEDULE_[#Headers],0)),"-")</f>
        <v>УДАЛЕН</v>
      </c>
      <c r="S186" s="1" t="str">
        <f>IFERROR(INDEX(_group_[],MATCH(ВСЕ_КОДЫ[[#This Row],[CONTEST_CODE]],_group_[CONTEST_CODE],0),MATCH($S$1,_group_[#Headers],0)),"-")</f>
        <v>BANK</v>
      </c>
      <c r="T186" s="1" t="str">
        <f>IFERROR(INDEX(_INDICATOR_[],MATCH(ВСЕ_КОДЫ[[#This Row],[CONTEST_CODE]],_INDICATOR_[CONTEST_CODE],0),MATCH($T$1,_INDICATOR_[#Headers],0)),"-")</f>
        <v>WAIT</v>
      </c>
      <c r="U186" s="1" t="str">
        <f>IFERROR(INDEX(_reward_link_[],MATCH(ВСЕ_КОДЫ[[#This Row],[CONTEST_CODE]],_reward_link_[CONTEST_CODE],0),MATCH($U$1,_reward_link_[#Headers],0)),"-")</f>
        <v>TB</v>
      </c>
      <c r="V186" s="1" t="str">
        <f>IFERROR(INDEX(_report[],MATCH(ВСЕ_КОДЫ[[#This Row],[CONTEST_CODE]],_report[CONTEST_CODE],0),MATCH($V$1,_report[#Headers],0)),"-")</f>
        <v>-</v>
      </c>
      <c r="W186" s="1" t="str">
        <f>IFERROR(INDEX(_reward_[],MATCH(ВСЕ_КОДЫ[[#This Row],[REWARD_CODE]],_reward_[REWARD_CODE],0),MATCH($W$1,_reward_[#Headers],0)),"-")</f>
        <v>Победитель тербанка по доходу от СберЗдоровья</v>
      </c>
      <c r="X186" s="1" t="str">
        <f>IFERROR(INDEX(_group_[],MATCH(CONCATENATE(ВСЕ_КОДЫ[[#This Row],[CONTEST_CODE]],"_",X$2),#REF!,0),MATCH(X$1,_group_[#Headers],0)),"-")</f>
        <v>-</v>
      </c>
      <c r="Y186" s="1" t="str">
        <f>IFERROR(INDEX(_group_[],MATCH(CONCATENATE(ВСЕ_КОДЫ[[#This Row],[CONTEST_CODE]],"_",Y$2),#REF!,0),MATCH(Y$1,_group_[#Headers],0)),"-")</f>
        <v>-</v>
      </c>
      <c r="Z186" s="1" t="str">
        <f>IFERROR(INDEX(_group_[],MATCH(CONCATENATE(ВСЕ_КОДЫ[[#This Row],[CONTEST_CODE]],"_",Z$2),#REF!,0),MATCH(Z$1,_group_[#Headers],0)),"-")</f>
        <v>-</v>
      </c>
      <c r="AA186" s="1" t="str">
        <f>IFERROR(INDEX(_group_[],MATCH(CONCATENATE(ВСЕ_КОДЫ[[#This Row],[CONTEST_CODE]],"_",AA$2),#REF!,0),MATCH(AA$1,_group_[#Headers],0)),"-")</f>
        <v>-</v>
      </c>
      <c r="AB186" s="1" t="str">
        <f>IFERROR(INDEX(_DATA_[],MATCH(ВСЕ_КОДЫ[[#This Row],[CONTEST_CODE]],_DATA_[CONTEST_CODE],0),MATCH($AB$2,_DATA_[#Headers],0)),"-")</f>
        <v>["""MNS"""]</v>
      </c>
      <c r="AC186" s="1" t="str">
        <f>CONCATENATE(ВСЕ_КОДЫ[[#This Row],[CONTEST_CODE]],"_",ВСЕ_КОДЫ[[#This Row],[TOURNAMENT_CODE]])</f>
        <v>CONTEST_23_TOURNAMENT_23_01</v>
      </c>
      <c r="AD186" s="1" t="str">
        <f>ВСЕ_КОДЫ[[#This Row],[FULL_NAME]]</f>
        <v>Максимальный полученный доход от продажи продуктов СберЗдоровье</v>
      </c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idden="1" x14ac:dyDescent="0.25">
      <c r="A187" s="1" t="s">
        <v>74</v>
      </c>
      <c r="B187" s="1" t="s">
        <v>231</v>
      </c>
      <c r="C187" s="1" t="s">
        <v>389</v>
      </c>
      <c r="D187" s="1" t="s">
        <v>586</v>
      </c>
      <c r="E187" s="1" t="s">
        <v>75</v>
      </c>
      <c r="F187" s="1" t="s">
        <v>76</v>
      </c>
      <c r="G187" s="1" t="s">
        <v>27</v>
      </c>
      <c r="H187" s="1" t="s">
        <v>34</v>
      </c>
      <c r="I187" s="1" t="s">
        <v>50</v>
      </c>
      <c r="J187" s="1" t="s">
        <v>147</v>
      </c>
      <c r="K187" s="1" t="s">
        <v>171</v>
      </c>
      <c r="L187" s="1" t="s">
        <v>3217</v>
      </c>
      <c r="M187" s="1" t="s">
        <v>176</v>
      </c>
      <c r="N187" s="1" t="s">
        <v>305</v>
      </c>
      <c r="O187" s="1" t="s">
        <v>390</v>
      </c>
      <c r="P187" s="1"/>
      <c r="Q187" s="1">
        <f>IFERROR(COUNTIFS(_report[TOURNAMENT_CODE],ВСЕ_КОДЫ[[#This Row],[TOURNAMENT_CODE]],_report[CONTEST_CODE],ВСЕ_КОДЫ[[#This Row],[CONTEST_CODE]]),"-")</f>
        <v>0</v>
      </c>
      <c r="R187" s="1" t="str">
        <f>IFERROR(INDEX(_SCHEDULE_[],MATCH(ВСЕ_КОДЫ[[#This Row],[CONTEST_CODE]],_SCHEDULE_[CONTEST_CODE],0),MATCH($R$1,_SCHEDULE_[#Headers],0)),"-")</f>
        <v>УДАЛЕН</v>
      </c>
      <c r="S187" s="1" t="str">
        <f>IFERROR(INDEX(_group_[],MATCH(ВСЕ_КОДЫ[[#This Row],[CONTEST_CODE]],_group_[CONTEST_CODE],0),MATCH($S$1,_group_[#Headers],0)),"-")</f>
        <v>BANK</v>
      </c>
      <c r="T187" s="1" t="str">
        <f>IFERROR(INDEX(_INDICATOR_[],MATCH(ВСЕ_КОДЫ[[#This Row],[CONTEST_CODE]],_INDICATOR_[CONTEST_CODE],0),MATCH($T$1,_INDICATOR_[#Headers],0)),"-")</f>
        <v>WAIT</v>
      </c>
      <c r="U187" s="1" t="str">
        <f>IFERROR(INDEX(_reward_link_[],MATCH(ВСЕ_КОДЫ[[#This Row],[CONTEST_CODE]],_reward_link_[CONTEST_CODE],0),MATCH($U$1,_reward_link_[#Headers],0)),"-")</f>
        <v>TB</v>
      </c>
      <c r="V187" s="1" t="str">
        <f>IFERROR(INDEX(_report[],MATCH(ВСЕ_КОДЫ[[#This Row],[CONTEST_CODE]],_report[CONTEST_CODE],0),MATCH($V$1,_report[#Headers],0)),"-")</f>
        <v>-</v>
      </c>
      <c r="W187" s="1" t="str">
        <f>IFERROR(INDEX(_reward_[],MATCH(ВСЕ_КОДЫ[[#This Row],[REWARD_CODE]],_reward_[REWARD_CODE],0),MATCH($W$1,_reward_[#Headers],0)),"-")</f>
        <v>Победитель тербанка по доходу от СберЗдоровья</v>
      </c>
      <c r="X187" s="1" t="str">
        <f>IFERROR(INDEX(_group_[],MATCH(CONCATENATE(ВСЕ_КОДЫ[[#This Row],[CONTEST_CODE]],"_",X$2),#REF!,0),MATCH(X$1,_group_[#Headers],0)),"-")</f>
        <v>-</v>
      </c>
      <c r="Y187" s="1" t="str">
        <f>IFERROR(INDEX(_group_[],MATCH(CONCATENATE(ВСЕ_КОДЫ[[#This Row],[CONTEST_CODE]],"_",Y$2),#REF!,0),MATCH(Y$1,_group_[#Headers],0)),"-")</f>
        <v>-</v>
      </c>
      <c r="Z187" s="1" t="str">
        <f>IFERROR(INDEX(_group_[],MATCH(CONCATENATE(ВСЕ_КОДЫ[[#This Row],[CONTEST_CODE]],"_",Z$2),#REF!,0),MATCH(Z$1,_group_[#Headers],0)),"-")</f>
        <v>-</v>
      </c>
      <c r="AA187" s="1" t="str">
        <f>IFERROR(INDEX(_group_[],MATCH(CONCATENATE(ВСЕ_КОДЫ[[#This Row],[CONTEST_CODE]],"_",AA$2),#REF!,0),MATCH(AA$1,_group_[#Headers],0)),"-")</f>
        <v>-</v>
      </c>
      <c r="AB187" s="1" t="str">
        <f>IFERROR(INDEX(_DATA_[],MATCH(ВСЕ_КОДЫ[[#This Row],[CONTEST_CODE]],_DATA_[CONTEST_CODE],0),MATCH($AB$2,_DATA_[#Headers],0)),"-")</f>
        <v>["""MNS"""]</v>
      </c>
      <c r="AC187" s="1" t="str">
        <f>CONCATENATE(ВСЕ_КОДЫ[[#This Row],[CONTEST_CODE]],"_",ВСЕ_КОДЫ[[#This Row],[TOURNAMENT_CODE]])</f>
        <v>CONTEST_23_TOURNAMENT_23_2023_04</v>
      </c>
      <c r="AD187" s="1" t="str">
        <f>ВСЕ_КОДЫ[[#This Row],[FULL_NAME]]</f>
        <v>Максимальный полученный доход от продажи продуктов СберЗдоровье</v>
      </c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idden="1" x14ac:dyDescent="0.25">
      <c r="A188" s="1" t="s">
        <v>74</v>
      </c>
      <c r="B188" s="1" t="s">
        <v>707</v>
      </c>
      <c r="C188" s="1" t="s">
        <v>389</v>
      </c>
      <c r="D188" s="1" t="s">
        <v>586</v>
      </c>
      <c r="E188" s="1" t="s">
        <v>75</v>
      </c>
      <c r="F188" s="1" t="s">
        <v>76</v>
      </c>
      <c r="G188" s="1" t="s">
        <v>27</v>
      </c>
      <c r="H188" s="1" t="s">
        <v>34</v>
      </c>
      <c r="I188" s="1" t="s">
        <v>50</v>
      </c>
      <c r="J188" s="1" t="s">
        <v>192</v>
      </c>
      <c r="K188" s="1" t="s">
        <v>252</v>
      </c>
      <c r="L188" s="1" t="s">
        <v>3217</v>
      </c>
      <c r="M188" s="1" t="s">
        <v>176</v>
      </c>
      <c r="N188" s="1" t="s">
        <v>305</v>
      </c>
      <c r="O188" s="1" t="s">
        <v>390</v>
      </c>
      <c r="P188" s="1"/>
      <c r="Q188" s="1">
        <f>IFERROR(COUNTIFS(_report[TOURNAMENT_CODE],ВСЕ_КОДЫ[[#This Row],[TOURNAMENT_CODE]],_report[CONTEST_CODE],ВСЕ_КОДЫ[[#This Row],[CONTEST_CODE]]),"-")</f>
        <v>0</v>
      </c>
      <c r="R188" s="1" t="str">
        <f>IFERROR(INDEX(_SCHEDULE_[],MATCH(ВСЕ_КОДЫ[[#This Row],[CONTEST_CODE]],_SCHEDULE_[CONTEST_CODE],0),MATCH($R$1,_SCHEDULE_[#Headers],0)),"-")</f>
        <v>УДАЛЕН</v>
      </c>
      <c r="S188" s="1" t="str">
        <f>IFERROR(INDEX(_group_[],MATCH(ВСЕ_КОДЫ[[#This Row],[CONTEST_CODE]],_group_[CONTEST_CODE],0),MATCH($S$1,_group_[#Headers],0)),"-")</f>
        <v>BANK</v>
      </c>
      <c r="T188" s="1" t="str">
        <f>IFERROR(INDEX(_INDICATOR_[],MATCH(ВСЕ_КОДЫ[[#This Row],[CONTEST_CODE]],_INDICATOR_[CONTEST_CODE],0),MATCH($T$1,_INDICATOR_[#Headers],0)),"-")</f>
        <v>WAIT</v>
      </c>
      <c r="U188" s="1" t="str">
        <f>IFERROR(INDEX(_reward_link_[],MATCH(ВСЕ_КОДЫ[[#This Row],[CONTEST_CODE]],_reward_link_[CONTEST_CODE],0),MATCH($U$1,_reward_link_[#Headers],0)),"-")</f>
        <v>TB</v>
      </c>
      <c r="V188" s="1" t="str">
        <f>IFERROR(INDEX(_report[],MATCH(ВСЕ_КОДЫ[[#This Row],[CONTEST_CODE]],_report[CONTEST_CODE],0),MATCH($V$1,_report[#Headers],0)),"-")</f>
        <v>-</v>
      </c>
      <c r="W188" s="1" t="str">
        <f>IFERROR(INDEX(_reward_[],MATCH(ВСЕ_КОДЫ[[#This Row],[REWARD_CODE]],_reward_[REWARD_CODE],0),MATCH($W$1,_reward_[#Headers],0)),"-")</f>
        <v>Победитель тербанка по доходу от СберЗдоровья</v>
      </c>
      <c r="X188" s="1" t="str">
        <f>IFERROR(INDEX(_group_[],MATCH(CONCATENATE(ВСЕ_КОДЫ[[#This Row],[CONTEST_CODE]],"_",X$2),#REF!,0),MATCH(X$1,_group_[#Headers],0)),"-")</f>
        <v>-</v>
      </c>
      <c r="Y188" s="1" t="str">
        <f>IFERROR(INDEX(_group_[],MATCH(CONCATENATE(ВСЕ_КОДЫ[[#This Row],[CONTEST_CODE]],"_",Y$2),#REF!,0),MATCH(Y$1,_group_[#Headers],0)),"-")</f>
        <v>-</v>
      </c>
      <c r="Z188" s="1" t="str">
        <f>IFERROR(INDEX(_group_[],MATCH(CONCATENATE(ВСЕ_КОДЫ[[#This Row],[CONTEST_CODE]],"_",Z$2),#REF!,0),MATCH(Z$1,_group_[#Headers],0)),"-")</f>
        <v>-</v>
      </c>
      <c r="AA188" s="1" t="str">
        <f>IFERROR(INDEX(_group_[],MATCH(CONCATENATE(ВСЕ_КОДЫ[[#This Row],[CONTEST_CODE]],"_",AA$2),#REF!,0),MATCH(AA$1,_group_[#Headers],0)),"-")</f>
        <v>-</v>
      </c>
      <c r="AB188" s="1" t="str">
        <f>IFERROR(INDEX(_DATA_[],MATCH(ВСЕ_КОДЫ[[#This Row],[CONTEST_CODE]],_DATA_[CONTEST_CODE],0),MATCH($AB$2,_DATA_[#Headers],0)),"-")</f>
        <v>["""MNS"""]</v>
      </c>
      <c r="AC188" s="1" t="str">
        <f>CONCATENATE(ВСЕ_КОДЫ[[#This Row],[CONTEST_CODE]],"_",ВСЕ_КОДЫ[[#This Row],[TOURNAMENT_CODE]])</f>
        <v>CONTEST_23_TOURNAMENT_m_23_02</v>
      </c>
      <c r="AD188" s="1" t="str">
        <f>ВСЕ_КОДЫ[[#This Row],[FULL_NAME]]</f>
        <v>Максимальный полученный доход от продажи продуктов СберЗдоровье</v>
      </c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idden="1" x14ac:dyDescent="0.25">
      <c r="A189" s="1" t="s">
        <v>74</v>
      </c>
      <c r="B189" s="1" t="s">
        <v>1161</v>
      </c>
      <c r="C189" s="1" t="s">
        <v>389</v>
      </c>
      <c r="D189" s="1" t="s">
        <v>586</v>
      </c>
      <c r="E189" s="1" t="s">
        <v>75</v>
      </c>
      <c r="F189" s="1" t="s">
        <v>76</v>
      </c>
      <c r="G189" s="1" t="s">
        <v>27</v>
      </c>
      <c r="H189" s="1" t="s">
        <v>34</v>
      </c>
      <c r="I189" s="1" t="s">
        <v>50</v>
      </c>
      <c r="J189" s="1" t="s">
        <v>703</v>
      </c>
      <c r="K189" s="1" t="s">
        <v>1070</v>
      </c>
      <c r="L189" s="1" t="s">
        <v>3217</v>
      </c>
      <c r="M189" s="1" t="s">
        <v>176</v>
      </c>
      <c r="N189" s="1" t="s">
        <v>305</v>
      </c>
      <c r="O189" s="1" t="s">
        <v>390</v>
      </c>
      <c r="P189" s="1"/>
      <c r="Q189" s="1">
        <f>IFERROR(COUNTIFS(_report[TOURNAMENT_CODE],ВСЕ_КОДЫ[[#This Row],[TOURNAMENT_CODE]],_report[CONTEST_CODE],ВСЕ_КОДЫ[[#This Row],[CONTEST_CODE]]),"-")</f>
        <v>0</v>
      </c>
      <c r="R189" s="1" t="str">
        <f>IFERROR(INDEX(_SCHEDULE_[],MATCH(ВСЕ_КОДЫ[[#This Row],[CONTEST_CODE]],_SCHEDULE_[CONTEST_CODE],0),MATCH($R$1,_SCHEDULE_[#Headers],0)),"-")</f>
        <v>УДАЛЕН</v>
      </c>
      <c r="S189" s="1" t="str">
        <f>IFERROR(INDEX(_group_[],MATCH(ВСЕ_КОДЫ[[#This Row],[CONTEST_CODE]],_group_[CONTEST_CODE],0),MATCH($S$1,_group_[#Headers],0)),"-")</f>
        <v>BANK</v>
      </c>
      <c r="T189" s="1" t="str">
        <f>IFERROR(INDEX(_INDICATOR_[],MATCH(ВСЕ_КОДЫ[[#This Row],[CONTEST_CODE]],_INDICATOR_[CONTEST_CODE],0),MATCH($T$1,_INDICATOR_[#Headers],0)),"-")</f>
        <v>WAIT</v>
      </c>
      <c r="U189" s="1" t="str">
        <f>IFERROR(INDEX(_reward_link_[],MATCH(ВСЕ_КОДЫ[[#This Row],[CONTEST_CODE]],_reward_link_[CONTEST_CODE],0),MATCH($U$1,_reward_link_[#Headers],0)),"-")</f>
        <v>TB</v>
      </c>
      <c r="V189" s="1" t="str">
        <f>IFERROR(INDEX(_report[],MATCH(ВСЕ_КОДЫ[[#This Row],[CONTEST_CODE]],_report[CONTEST_CODE],0),MATCH($V$1,_report[#Headers],0)),"-")</f>
        <v>-</v>
      </c>
      <c r="W189" s="1" t="str">
        <f>IFERROR(INDEX(_reward_[],MATCH(ВСЕ_КОДЫ[[#This Row],[REWARD_CODE]],_reward_[REWARD_CODE],0),MATCH($W$1,_reward_[#Headers],0)),"-")</f>
        <v>Победитель тербанка по доходу от СберЗдоровья</v>
      </c>
      <c r="X189" s="1" t="str">
        <f>IFERROR(INDEX(_group_[],MATCH(CONCATENATE(ВСЕ_КОДЫ[[#This Row],[CONTEST_CODE]],"_",X$2),#REF!,0),MATCH(X$1,_group_[#Headers],0)),"-")</f>
        <v>-</v>
      </c>
      <c r="Y189" s="1" t="str">
        <f>IFERROR(INDEX(_group_[],MATCH(CONCATENATE(ВСЕ_КОДЫ[[#This Row],[CONTEST_CODE]],"_",Y$2),#REF!,0),MATCH(Y$1,_group_[#Headers],0)),"-")</f>
        <v>-</v>
      </c>
      <c r="Z189" s="1" t="str">
        <f>IFERROR(INDEX(_group_[],MATCH(CONCATENATE(ВСЕ_КОДЫ[[#This Row],[CONTEST_CODE]],"_",Z$2),#REF!,0),MATCH(Z$1,_group_[#Headers],0)),"-")</f>
        <v>-</v>
      </c>
      <c r="AA189" s="1" t="str">
        <f>IFERROR(INDEX(_group_[],MATCH(CONCATENATE(ВСЕ_КОДЫ[[#This Row],[CONTEST_CODE]],"_",AA$2),#REF!,0),MATCH(AA$1,_group_[#Headers],0)),"-")</f>
        <v>-</v>
      </c>
      <c r="AB189" s="1" t="str">
        <f>IFERROR(INDEX(_DATA_[],MATCH(ВСЕ_КОДЫ[[#This Row],[CONTEST_CODE]],_DATA_[CONTEST_CODE],0),MATCH($AB$2,_DATA_[#Headers],0)),"-")</f>
        <v>["""MNS"""]</v>
      </c>
      <c r="AC189" s="1" t="str">
        <f>CONCATENATE(ВСЕ_КОДЫ[[#This Row],[CONTEST_CODE]],"_",ВСЕ_КОДЫ[[#This Row],[TOURNAMENT_CODE]])</f>
        <v>CONTEST_23_TOURNAMENT_m_23_03</v>
      </c>
      <c r="AD189" s="1" t="str">
        <f>ВСЕ_КОДЫ[[#This Row],[FULL_NAME]]</f>
        <v>Максимальный полученный доход от продажи продуктов СберЗдоровье</v>
      </c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idden="1" x14ac:dyDescent="0.25">
      <c r="A190" s="1" t="s">
        <v>74</v>
      </c>
      <c r="B190" s="1" t="s">
        <v>1787</v>
      </c>
      <c r="C190" s="1" t="s">
        <v>389</v>
      </c>
      <c r="D190" s="1" t="s">
        <v>586</v>
      </c>
      <c r="E190" s="1" t="s">
        <v>75</v>
      </c>
      <c r="F190" s="1" t="s">
        <v>76</v>
      </c>
      <c r="G190" s="1" t="s">
        <v>27</v>
      </c>
      <c r="H190" s="1" t="s">
        <v>34</v>
      </c>
      <c r="I190" s="1" t="s">
        <v>50</v>
      </c>
      <c r="J190" s="1" t="s">
        <v>1308</v>
      </c>
      <c r="K190" s="1" t="s">
        <v>642</v>
      </c>
      <c r="L190" s="1" t="s">
        <v>3217</v>
      </c>
      <c r="M190" s="1" t="s">
        <v>176</v>
      </c>
      <c r="N190" s="1" t="s">
        <v>305</v>
      </c>
      <c r="O190" s="1" t="s">
        <v>390</v>
      </c>
      <c r="P190" s="1"/>
      <c r="Q190" s="1">
        <f>IFERROR(COUNTIFS(_report[TOURNAMENT_CODE],ВСЕ_КОДЫ[[#This Row],[TOURNAMENT_CODE]],_report[CONTEST_CODE],ВСЕ_КОДЫ[[#This Row],[CONTEST_CODE]]),"-")</f>
        <v>0</v>
      </c>
      <c r="R190" s="1" t="str">
        <f>IFERROR(INDEX(_SCHEDULE_[],MATCH(ВСЕ_КОДЫ[[#This Row],[CONTEST_CODE]],_SCHEDULE_[CONTEST_CODE],0),MATCH($R$1,_SCHEDULE_[#Headers],0)),"-")</f>
        <v>УДАЛЕН</v>
      </c>
      <c r="S190" s="1" t="str">
        <f>IFERROR(INDEX(_group_[],MATCH(ВСЕ_КОДЫ[[#This Row],[CONTEST_CODE]],_group_[CONTEST_CODE],0),MATCH($S$1,_group_[#Headers],0)),"-")</f>
        <v>BANK</v>
      </c>
      <c r="T190" s="1" t="str">
        <f>IFERROR(INDEX(_INDICATOR_[],MATCH(ВСЕ_КОДЫ[[#This Row],[CONTEST_CODE]],_INDICATOR_[CONTEST_CODE],0),MATCH($T$1,_INDICATOR_[#Headers],0)),"-")</f>
        <v>WAIT</v>
      </c>
      <c r="U190" s="1" t="str">
        <f>IFERROR(INDEX(_reward_link_[],MATCH(ВСЕ_КОДЫ[[#This Row],[CONTEST_CODE]],_reward_link_[CONTEST_CODE],0),MATCH($U$1,_reward_link_[#Headers],0)),"-")</f>
        <v>TB</v>
      </c>
      <c r="V190" s="1" t="str">
        <f>IFERROR(INDEX(_report[],MATCH(ВСЕ_КОДЫ[[#This Row],[CONTEST_CODE]],_report[CONTEST_CODE],0),MATCH($V$1,_report[#Headers],0)),"-")</f>
        <v>-</v>
      </c>
      <c r="W190" s="1" t="str">
        <f>IFERROR(INDEX(_reward_[],MATCH(ВСЕ_КОДЫ[[#This Row],[REWARD_CODE]],_reward_[REWARD_CODE],0),MATCH($W$1,_reward_[#Headers],0)),"-")</f>
        <v>Победитель тербанка по доходу от СберЗдоровья</v>
      </c>
      <c r="X190" s="1" t="str">
        <f>IFERROR(INDEX(_group_[],MATCH(CONCATENATE(ВСЕ_КОДЫ[[#This Row],[CONTEST_CODE]],"_",X$2),#REF!,0),MATCH(X$1,_group_[#Headers],0)),"-")</f>
        <v>-</v>
      </c>
      <c r="Y190" s="1" t="str">
        <f>IFERROR(INDEX(_group_[],MATCH(CONCATENATE(ВСЕ_КОДЫ[[#This Row],[CONTEST_CODE]],"_",Y$2),#REF!,0),MATCH(Y$1,_group_[#Headers],0)),"-")</f>
        <v>-</v>
      </c>
      <c r="Z190" s="1" t="str">
        <f>IFERROR(INDEX(_group_[],MATCH(CONCATENATE(ВСЕ_КОДЫ[[#This Row],[CONTEST_CODE]],"_",Z$2),#REF!,0),MATCH(Z$1,_group_[#Headers],0)),"-")</f>
        <v>-</v>
      </c>
      <c r="AA190" s="1" t="str">
        <f>IFERROR(INDEX(_group_[],MATCH(CONCATENATE(ВСЕ_КОДЫ[[#This Row],[CONTEST_CODE]],"_",AA$2),#REF!,0),MATCH(AA$1,_group_[#Headers],0)),"-")</f>
        <v>-</v>
      </c>
      <c r="AB190" s="1" t="str">
        <f>IFERROR(INDEX(_DATA_[],MATCH(ВСЕ_КОДЫ[[#This Row],[CONTEST_CODE]],_DATA_[CONTEST_CODE],0),MATCH($AB$2,_DATA_[#Headers],0)),"-")</f>
        <v>["""MNS"""]</v>
      </c>
      <c r="AC190" s="1" t="str">
        <f>CONCATENATE(ВСЕ_КОДЫ[[#This Row],[CONTEST_CODE]],"_",ВСЕ_КОДЫ[[#This Row],[TOURNAMENT_CODE]])</f>
        <v>CONTEST_23_TOURNAMENT_m_23_2024_Q04</v>
      </c>
      <c r="AD190" s="1" t="str">
        <f>ВСЕ_КОДЫ[[#This Row],[FULL_NAME]]</f>
        <v>Максимальный полученный доход от продажи продуктов СберЗдоровье</v>
      </c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idden="1" x14ac:dyDescent="0.25">
      <c r="A191" s="1" t="s">
        <v>2185</v>
      </c>
      <c r="B191" s="1" t="s">
        <v>2520</v>
      </c>
      <c r="C191" s="1" t="s">
        <v>2313</v>
      </c>
      <c r="D191" s="1" t="s">
        <v>583</v>
      </c>
      <c r="E191" s="1" t="s">
        <v>103</v>
      </c>
      <c r="F191" s="1" t="s">
        <v>2508</v>
      </c>
      <c r="G191" s="1" t="s">
        <v>27</v>
      </c>
      <c r="H191" s="1" t="s">
        <v>34</v>
      </c>
      <c r="I191" s="1" t="s">
        <v>50</v>
      </c>
      <c r="J191" s="1" t="s">
        <v>2521</v>
      </c>
      <c r="K191" s="1" t="s">
        <v>2522</v>
      </c>
      <c r="L191" s="1" t="s">
        <v>4147</v>
      </c>
      <c r="M191" s="1" t="s">
        <v>176</v>
      </c>
      <c r="N191" s="1" t="s">
        <v>305</v>
      </c>
      <c r="O191" s="1" t="s">
        <v>2693</v>
      </c>
      <c r="P191" s="1"/>
      <c r="Q191" s="1">
        <f>IFERROR(COUNTIFS(_report[TOURNAMENT_CODE],ВСЕ_КОДЫ[[#This Row],[TOURNAMENT_CODE]],_report[CONTEST_CODE],ВСЕ_КОДЫ[[#This Row],[CONTEST_CODE]]),"-")</f>
        <v>0</v>
      </c>
      <c r="R191" s="1" t="str">
        <f>IFERROR(INDEX(_SCHEDULE_[],MATCH(ВСЕ_КОДЫ[[#This Row],[CONTEST_CODE]],_SCHEDULE_[CONTEST_CODE],0),MATCH($R$1,_SCHEDULE_[#Headers],0)),"-")</f>
        <v>ЗАВЕРШЕН</v>
      </c>
      <c r="S191" s="1" t="str">
        <f>IFERROR(INDEX(_group_[],MATCH(ВСЕ_КОДЫ[[#This Row],[CONTEST_CODE]],_group_[CONTEST_CODE],0),MATCH($S$1,_group_[#Headers],0)),"-")</f>
        <v>BANK</v>
      </c>
      <c r="T191" s="1" t="str">
        <f>IFERROR(INDEX(_INDICATOR_[],MATCH(ВСЕ_КОДЫ[[#This Row],[CONTEST_CODE]],_INDICATOR_[CONTEST_CODE],0),MATCH($T$1,_INDICATOR_[#Headers],0)),"-")</f>
        <v>WAIT</v>
      </c>
      <c r="U191" s="1" t="str">
        <f>IFERROR(INDEX(_reward_link_[],MATCH(ВСЕ_КОДЫ[[#This Row],[CONTEST_CODE]],_reward_link_[CONTEST_CODE],0),MATCH($U$1,_reward_link_[#Headers],0)),"-")</f>
        <v>BANK</v>
      </c>
      <c r="V191" s="1" t="str">
        <f>IFERROR(INDEX(_report[],MATCH(ВСЕ_КОДЫ[[#This Row],[CONTEST_CODE]],_report[CONTEST_CODE],0),MATCH($V$1,_report[#Headers],0)),"-")</f>
        <v>-</v>
      </c>
      <c r="W191" s="1" t="str">
        <f>IFERROR(INDEX(_reward_[],MATCH(ВСЕ_КОДЫ[[#This Row],[REWARD_CODE]],_reward_[REWARD_CODE],0),MATCH($W$1,_reward_[#Headers],0)),"-")</f>
        <v>Золото#по гарантиям</v>
      </c>
      <c r="X191" s="1" t="str">
        <f>IFERROR(INDEX(_group_[],MATCH(CONCATENATE(ВСЕ_КОДЫ[[#This Row],[CONTEST_CODE]],"_",X$2),#REF!,0),MATCH(X$1,_group_[#Headers],0)),"-")</f>
        <v>-</v>
      </c>
      <c r="Y191" s="1" t="str">
        <f>IFERROR(INDEX(_group_[],MATCH(CONCATENATE(ВСЕ_КОДЫ[[#This Row],[CONTEST_CODE]],"_",Y$2),#REF!,0),MATCH(Y$1,_group_[#Headers],0)),"-")</f>
        <v>-</v>
      </c>
      <c r="Z191" s="1" t="str">
        <f>IFERROR(INDEX(_group_[],MATCH(CONCATENATE(ВСЕ_КОДЫ[[#This Row],[CONTEST_CODE]],"_",Z$2),#REF!,0),MATCH(Z$1,_group_[#Headers],0)),"-")</f>
        <v>-</v>
      </c>
      <c r="AA191" s="1" t="str">
        <f>IFERROR(INDEX(_group_[],MATCH(CONCATENATE(ВСЕ_КОДЫ[[#This Row],[CONTEST_CODE]],"_",AA$2),#REF!,0),MATCH(AA$1,_group_[#Headers],0)),"-")</f>
        <v>-</v>
      </c>
      <c r="AB191" s="1" t="str">
        <f>IFERROR(INDEX(_DATA_[],MATCH(ВСЕ_КОДЫ[[#This Row],[CONTEST_CODE]],_DATA_[CONTEST_CODE],0),MATCH($AB$2,_DATA_[#Headers],0)),"-")</f>
        <v>["""KMKKSB"""]</v>
      </c>
      <c r="AC191" s="1" t="str">
        <f>CONCATENATE(ВСЕ_КОДЫ[[#This Row],[CONTEST_CODE]],"_",ВСЕ_КОДЫ[[#This Row],[TOURNAMENT_CODE]])</f>
        <v>01_2025-1_09-1_1_t_01_2025-1_09-1_1_3021</v>
      </c>
      <c r="AD191" s="1" t="str">
        <f>ВСЕ_КОДЫ[[#This Row],[FULL_NAME]]</f>
        <v>Гарантии. Прирост комиссии</v>
      </c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idden="1" x14ac:dyDescent="0.25">
      <c r="A192" s="1" t="s">
        <v>2185</v>
      </c>
      <c r="B192" s="1" t="s">
        <v>3218</v>
      </c>
      <c r="C192" s="1" t="s">
        <v>2313</v>
      </c>
      <c r="D192" s="1" t="s">
        <v>583</v>
      </c>
      <c r="E192" s="1" t="s">
        <v>103</v>
      </c>
      <c r="F192" s="1" t="s">
        <v>2508</v>
      </c>
      <c r="G192" s="1" t="s">
        <v>27</v>
      </c>
      <c r="H192" s="1" t="s">
        <v>34</v>
      </c>
      <c r="I192" s="1" t="s">
        <v>50</v>
      </c>
      <c r="J192" s="1" t="s">
        <v>3219</v>
      </c>
      <c r="K192" s="1" t="s">
        <v>2534</v>
      </c>
      <c r="L192" s="1" t="s">
        <v>4132</v>
      </c>
      <c r="M192" s="1" t="s">
        <v>176</v>
      </c>
      <c r="N192" s="1" t="s">
        <v>305</v>
      </c>
      <c r="O192" s="1" t="s">
        <v>2693</v>
      </c>
      <c r="P192" s="1"/>
      <c r="Q192" s="1">
        <f>IFERROR(COUNTIFS(_report[TOURNAMENT_CODE],ВСЕ_КОДЫ[[#This Row],[TOURNAMENT_CODE]],_report[CONTEST_CODE],ВСЕ_КОДЫ[[#This Row],[CONTEST_CODE]]),"-")</f>
        <v>0</v>
      </c>
      <c r="R192" s="1" t="str">
        <f>IFERROR(INDEX(_SCHEDULE_[],MATCH(ВСЕ_КОДЫ[[#This Row],[CONTEST_CODE]],_SCHEDULE_[CONTEST_CODE],0),MATCH($R$1,_SCHEDULE_[#Headers],0)),"-")</f>
        <v>ЗАВЕРШЕН</v>
      </c>
      <c r="S192" s="1" t="str">
        <f>IFERROR(INDEX(_group_[],MATCH(ВСЕ_КОДЫ[[#This Row],[CONTEST_CODE]],_group_[CONTEST_CODE],0),MATCH($S$1,_group_[#Headers],0)),"-")</f>
        <v>BANK</v>
      </c>
      <c r="T192" s="1" t="str">
        <f>IFERROR(INDEX(_INDICATOR_[],MATCH(ВСЕ_КОДЫ[[#This Row],[CONTEST_CODE]],_INDICATOR_[CONTEST_CODE],0),MATCH($T$1,_INDICATOR_[#Headers],0)),"-")</f>
        <v>WAIT</v>
      </c>
      <c r="U192" s="1" t="str">
        <f>IFERROR(INDEX(_reward_link_[],MATCH(ВСЕ_КОДЫ[[#This Row],[CONTEST_CODE]],_reward_link_[CONTEST_CODE],0),MATCH($U$1,_reward_link_[#Headers],0)),"-")</f>
        <v>BANK</v>
      </c>
      <c r="V192" s="1" t="str">
        <f>IFERROR(INDEX(_report[],MATCH(ВСЕ_КОДЫ[[#This Row],[CONTEST_CODE]],_report[CONTEST_CODE],0),MATCH($V$1,_report[#Headers],0)),"-")</f>
        <v>-</v>
      </c>
      <c r="W192" s="1" t="str">
        <f>IFERROR(INDEX(_reward_[],MATCH(ВСЕ_КОДЫ[[#This Row],[REWARD_CODE]],_reward_[REWARD_CODE],0),MATCH($W$1,_reward_[#Headers],0)),"-")</f>
        <v>Золото#по гарантиям</v>
      </c>
      <c r="X192" s="1" t="str">
        <f>IFERROR(INDEX(_group_[],MATCH(CONCATENATE(ВСЕ_КОДЫ[[#This Row],[CONTEST_CODE]],"_",X$2),#REF!,0),MATCH(X$1,_group_[#Headers],0)),"-")</f>
        <v>-</v>
      </c>
      <c r="Y192" s="1" t="str">
        <f>IFERROR(INDEX(_group_[],MATCH(CONCATENATE(ВСЕ_КОДЫ[[#This Row],[CONTEST_CODE]],"_",Y$2),#REF!,0),MATCH(Y$1,_group_[#Headers],0)),"-")</f>
        <v>-</v>
      </c>
      <c r="Z192" s="1" t="str">
        <f>IFERROR(INDEX(_group_[],MATCH(CONCATENATE(ВСЕ_КОДЫ[[#This Row],[CONTEST_CODE]],"_",Z$2),#REF!,0),MATCH(Z$1,_group_[#Headers],0)),"-")</f>
        <v>-</v>
      </c>
      <c r="AA192" s="1" t="str">
        <f>IFERROR(INDEX(_group_[],MATCH(CONCATENATE(ВСЕ_КОДЫ[[#This Row],[CONTEST_CODE]],"_",AA$2),#REF!,0),MATCH(AA$1,_group_[#Headers],0)),"-")</f>
        <v>-</v>
      </c>
      <c r="AB192" s="1" t="str">
        <f>IFERROR(INDEX(_DATA_[],MATCH(ВСЕ_КОДЫ[[#This Row],[CONTEST_CODE]],_DATA_[CONTEST_CODE],0),MATCH($AB$2,_DATA_[#Headers],0)),"-")</f>
        <v>["""KMKKSB"""]</v>
      </c>
      <c r="AC192" s="1" t="str">
        <f>CONCATENATE(ВСЕ_КОДЫ[[#This Row],[CONTEST_CODE]],"_",ВСЕ_КОДЫ[[#This Row],[TOURNAMENT_CODE]])</f>
        <v>01_2025-1_09-1_1_t_01_2025-1_09-1_1_3031</v>
      </c>
      <c r="AD192" s="1" t="str">
        <f>ВСЕ_КОДЫ[[#This Row],[FULL_NAME]]</f>
        <v>Гарантии. Прирост комиссии</v>
      </c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idden="1" x14ac:dyDescent="0.25">
      <c r="A193" s="1" t="s">
        <v>2185</v>
      </c>
      <c r="B193" s="1" t="s">
        <v>3646</v>
      </c>
      <c r="C193" s="1" t="s">
        <v>2313</v>
      </c>
      <c r="D193" s="1" t="s">
        <v>583</v>
      </c>
      <c r="E193" s="1" t="s">
        <v>103</v>
      </c>
      <c r="F193" s="1" t="s">
        <v>2508</v>
      </c>
      <c r="G193" s="1" t="s">
        <v>27</v>
      </c>
      <c r="H193" s="1" t="s">
        <v>34</v>
      </c>
      <c r="I193" s="1" t="s">
        <v>50</v>
      </c>
      <c r="J193" s="1" t="s">
        <v>4019</v>
      </c>
      <c r="K193" s="1" t="s">
        <v>3647</v>
      </c>
      <c r="L193" s="1" t="s">
        <v>4771</v>
      </c>
      <c r="M193" s="1" t="s">
        <v>176</v>
      </c>
      <c r="N193" s="1" t="s">
        <v>305</v>
      </c>
      <c r="O193" s="1" t="s">
        <v>2693</v>
      </c>
      <c r="P193" s="1"/>
      <c r="Q193" s="1">
        <f>IFERROR(COUNTIFS(_report[TOURNAMENT_CODE],ВСЕ_КОДЫ[[#This Row],[TOURNAMENT_CODE]],_report[CONTEST_CODE],ВСЕ_КОДЫ[[#This Row],[CONTEST_CODE]]),"-")</f>
        <v>0</v>
      </c>
      <c r="R193" s="1" t="str">
        <f>IFERROR(INDEX(_SCHEDULE_[],MATCH(ВСЕ_КОДЫ[[#This Row],[CONTEST_CODE]],_SCHEDULE_[CONTEST_CODE],0),MATCH($R$1,_SCHEDULE_[#Headers],0)),"-")</f>
        <v>ЗАВЕРШЕН</v>
      </c>
      <c r="S193" s="1" t="str">
        <f>IFERROR(INDEX(_group_[],MATCH(ВСЕ_КОДЫ[[#This Row],[CONTEST_CODE]],_group_[CONTEST_CODE],0),MATCH($S$1,_group_[#Headers],0)),"-")</f>
        <v>BANK</v>
      </c>
      <c r="T193" s="1" t="str">
        <f>IFERROR(INDEX(_INDICATOR_[],MATCH(ВСЕ_КОДЫ[[#This Row],[CONTEST_CODE]],_INDICATOR_[CONTEST_CODE],0),MATCH($T$1,_INDICATOR_[#Headers],0)),"-")</f>
        <v>WAIT</v>
      </c>
      <c r="U193" s="1" t="str">
        <f>IFERROR(INDEX(_reward_link_[],MATCH(ВСЕ_КОДЫ[[#This Row],[CONTEST_CODE]],_reward_link_[CONTEST_CODE],0),MATCH($U$1,_reward_link_[#Headers],0)),"-")</f>
        <v>BANK</v>
      </c>
      <c r="V193" s="1" t="str">
        <f>IFERROR(INDEX(_report[],MATCH(ВСЕ_КОДЫ[[#This Row],[CONTEST_CODE]],_report[CONTEST_CODE],0),MATCH($V$1,_report[#Headers],0)),"-")</f>
        <v>-</v>
      </c>
      <c r="W193" s="1" t="str">
        <f>IFERROR(INDEX(_reward_[],MATCH(ВСЕ_КОДЫ[[#This Row],[REWARD_CODE]],_reward_[REWARD_CODE],0),MATCH($W$1,_reward_[#Headers],0)),"-")</f>
        <v>Золото#по гарантиям</v>
      </c>
      <c r="X193" s="1" t="str">
        <f>IFERROR(INDEX(_group_[],MATCH(CONCATENATE(ВСЕ_КОДЫ[[#This Row],[CONTEST_CODE]],"_",X$2),#REF!,0),MATCH(X$1,_group_[#Headers],0)),"-")</f>
        <v>-</v>
      </c>
      <c r="Y193" s="1" t="str">
        <f>IFERROR(INDEX(_group_[],MATCH(CONCATENATE(ВСЕ_КОДЫ[[#This Row],[CONTEST_CODE]],"_",Y$2),#REF!,0),MATCH(Y$1,_group_[#Headers],0)),"-")</f>
        <v>-</v>
      </c>
      <c r="Z193" s="1" t="str">
        <f>IFERROR(INDEX(_group_[],MATCH(CONCATENATE(ВСЕ_КОДЫ[[#This Row],[CONTEST_CODE]],"_",Z$2),#REF!,0),MATCH(Z$1,_group_[#Headers],0)),"-")</f>
        <v>-</v>
      </c>
      <c r="AA193" s="1" t="str">
        <f>IFERROR(INDEX(_group_[],MATCH(CONCATENATE(ВСЕ_КОДЫ[[#This Row],[CONTEST_CODE]],"_",AA$2),#REF!,0),MATCH(AA$1,_group_[#Headers],0)),"-")</f>
        <v>-</v>
      </c>
      <c r="AB193" s="1" t="str">
        <f>IFERROR(INDEX(_DATA_[],MATCH(ВСЕ_КОДЫ[[#This Row],[CONTEST_CODE]],_DATA_[CONTEST_CODE],0),MATCH($AB$2,_DATA_[#Headers],0)),"-")</f>
        <v>["""KMKKSB"""]</v>
      </c>
      <c r="AC193" s="1" t="str">
        <f>CONCATENATE(ВСЕ_КОДЫ[[#This Row],[CONTEST_CODE]],"_",ВСЕ_КОДЫ[[#This Row],[TOURNAMENT_CODE]])</f>
        <v>01_2025-1_09-1_1_t_01_2025-1_09-1_1_3041</v>
      </c>
      <c r="AD193" s="1" t="str">
        <f>ВСЕ_КОДЫ[[#This Row],[FULL_NAME]]</f>
        <v>Гарантии. Прирост комиссии</v>
      </c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idden="1" x14ac:dyDescent="0.25">
      <c r="A194" s="1" t="s">
        <v>2185</v>
      </c>
      <c r="B194" s="1" t="s">
        <v>4755</v>
      </c>
      <c r="C194" s="1" t="s">
        <v>2313</v>
      </c>
      <c r="D194" s="1" t="s">
        <v>583</v>
      </c>
      <c r="E194" s="1" t="s">
        <v>103</v>
      </c>
      <c r="F194" s="1" t="s">
        <v>2508</v>
      </c>
      <c r="G194" s="1" t="s">
        <v>27</v>
      </c>
      <c r="H194" s="1" t="s">
        <v>34</v>
      </c>
      <c r="I194" s="1" t="s">
        <v>50</v>
      </c>
      <c r="J194" s="1" t="s">
        <v>2554</v>
      </c>
      <c r="K194" s="1" t="s">
        <v>4756</v>
      </c>
      <c r="L194" s="1" t="s">
        <v>4757</v>
      </c>
      <c r="M194" s="1" t="s">
        <v>34</v>
      </c>
      <c r="N194" s="1" t="s">
        <v>305</v>
      </c>
      <c r="O194" s="1" t="s">
        <v>2693</v>
      </c>
      <c r="P194" s="1"/>
      <c r="Q194" s="1">
        <f>IFERROR(COUNTIFS(_report[TOURNAMENT_CODE],ВСЕ_КОДЫ[[#This Row],[TOURNAMENT_CODE]],_report[CONTEST_CODE],ВСЕ_КОДЫ[[#This Row],[CONTEST_CODE]]),"-")</f>
        <v>0</v>
      </c>
      <c r="R194" s="1" t="str">
        <f>IFERROR(INDEX(_SCHEDULE_[],MATCH(ВСЕ_КОДЫ[[#This Row],[CONTEST_CODE]],_SCHEDULE_[CONTEST_CODE],0),MATCH($R$1,_SCHEDULE_[#Headers],0)),"-")</f>
        <v>ЗАВЕРШЕН</v>
      </c>
      <c r="S194" s="1" t="str">
        <f>IFERROR(INDEX(_group_[],MATCH(ВСЕ_КОДЫ[[#This Row],[CONTEST_CODE]],_group_[CONTEST_CODE],0),MATCH($S$1,_group_[#Headers],0)),"-")</f>
        <v>BANK</v>
      </c>
      <c r="T194" s="1" t="str">
        <f>IFERROR(INDEX(_INDICATOR_[],MATCH(ВСЕ_КОДЫ[[#This Row],[CONTEST_CODE]],_INDICATOR_[CONTEST_CODE],0),MATCH($T$1,_INDICATOR_[#Headers],0)),"-")</f>
        <v>WAIT</v>
      </c>
      <c r="U194" s="1" t="str">
        <f>IFERROR(INDEX(_reward_link_[],MATCH(ВСЕ_КОДЫ[[#This Row],[CONTEST_CODE]],_reward_link_[CONTEST_CODE],0),MATCH($U$1,_reward_link_[#Headers],0)),"-")</f>
        <v>BANK</v>
      </c>
      <c r="V194" s="1" t="str">
        <f>IFERROR(INDEX(_report[],MATCH(ВСЕ_КОДЫ[[#This Row],[CONTEST_CODE]],_report[CONTEST_CODE],0),MATCH($V$1,_report[#Headers],0)),"-")</f>
        <v>-</v>
      </c>
      <c r="W194" s="1" t="str">
        <f>IFERROR(INDEX(_reward_[],MATCH(ВСЕ_КОДЫ[[#This Row],[REWARD_CODE]],_reward_[REWARD_CODE],0),MATCH($W$1,_reward_[#Headers],0)),"-")</f>
        <v>Золото#по гарантиям</v>
      </c>
      <c r="X194" s="1" t="str">
        <f>IFERROR(INDEX(_group_[],MATCH(CONCATENATE(ВСЕ_КОДЫ[[#This Row],[CONTEST_CODE]],"_",X$2),#REF!,0),MATCH(X$1,_group_[#Headers],0)),"-")</f>
        <v>-</v>
      </c>
      <c r="Y194" s="1" t="str">
        <f>IFERROR(INDEX(_group_[],MATCH(CONCATENATE(ВСЕ_КОДЫ[[#This Row],[CONTEST_CODE]],"_",Y$2),#REF!,0),MATCH(Y$1,_group_[#Headers],0)),"-")</f>
        <v>-</v>
      </c>
      <c r="Z194" s="1" t="str">
        <f>IFERROR(INDEX(_group_[],MATCH(CONCATENATE(ВСЕ_КОДЫ[[#This Row],[CONTEST_CODE]],"_",Z$2),#REF!,0),MATCH(Z$1,_group_[#Headers],0)),"-")</f>
        <v>-</v>
      </c>
      <c r="AA194" s="1" t="str">
        <f>IFERROR(INDEX(_group_[],MATCH(CONCATENATE(ВСЕ_КОДЫ[[#This Row],[CONTEST_CODE]],"_",AA$2),#REF!,0),MATCH(AA$1,_group_[#Headers],0)),"-")</f>
        <v>-</v>
      </c>
      <c r="AB194" s="1" t="str">
        <f>IFERROR(INDEX(_DATA_[],MATCH(ВСЕ_КОДЫ[[#This Row],[CONTEST_CODE]],_DATA_[CONTEST_CODE],0),MATCH($AB$2,_DATA_[#Headers],0)),"-")</f>
        <v>["""KMKKSB"""]</v>
      </c>
      <c r="AC194" s="1" t="str">
        <f>CONCATENATE(ВСЕ_КОДЫ[[#This Row],[CONTEST_CODE]],"_",ВСЕ_КОДЫ[[#This Row],[TOURNAMENT_CODE]])</f>
        <v>01_2025-1_09-1_1_t_01_2025-1_09-1_1_3051</v>
      </c>
      <c r="AD194" s="1" t="str">
        <f>ВСЕ_КОДЫ[[#This Row],[FULL_NAME]]</f>
        <v>Гарантии. Прирост комиссии</v>
      </c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idden="1" x14ac:dyDescent="0.25">
      <c r="A195" s="1" t="s">
        <v>2185</v>
      </c>
      <c r="B195" s="1" t="s">
        <v>4808</v>
      </c>
      <c r="C195" s="1" t="s">
        <v>2313</v>
      </c>
      <c r="D195" s="1" t="s">
        <v>583</v>
      </c>
      <c r="E195" s="1" t="s">
        <v>103</v>
      </c>
      <c r="F195" s="1" t="s">
        <v>2508</v>
      </c>
      <c r="G195" s="1" t="s">
        <v>27</v>
      </c>
      <c r="H195" s="1" t="s">
        <v>34</v>
      </c>
      <c r="I195" s="1" t="s">
        <v>50</v>
      </c>
      <c r="J195" s="1" t="s">
        <v>4809</v>
      </c>
      <c r="K195" s="1" t="s">
        <v>2542</v>
      </c>
      <c r="L195" s="1" t="s">
        <v>3545</v>
      </c>
      <c r="M195" s="1" t="s">
        <v>34</v>
      </c>
      <c r="N195" s="1" t="s">
        <v>305</v>
      </c>
      <c r="O195" s="1" t="s">
        <v>2693</v>
      </c>
      <c r="P195" s="1"/>
      <c r="Q195" s="1">
        <f>IFERROR(COUNTIFS(_report[TOURNAMENT_CODE],ВСЕ_КОДЫ[[#This Row],[TOURNAMENT_CODE]],_report[CONTEST_CODE],ВСЕ_КОДЫ[[#This Row],[CONTEST_CODE]]),"-")</f>
        <v>0</v>
      </c>
      <c r="R195" s="1" t="str">
        <f>IFERROR(INDEX(_SCHEDULE_[],MATCH(ВСЕ_КОДЫ[[#This Row],[CONTEST_CODE]],_SCHEDULE_[CONTEST_CODE],0),MATCH($R$1,_SCHEDULE_[#Headers],0)),"-")</f>
        <v>ЗАВЕРШЕН</v>
      </c>
      <c r="S195" s="1" t="str">
        <f>IFERROR(INDEX(_group_[],MATCH(ВСЕ_КОДЫ[[#This Row],[CONTEST_CODE]],_group_[CONTEST_CODE],0),MATCH($S$1,_group_[#Headers],0)),"-")</f>
        <v>BANK</v>
      </c>
      <c r="T195" s="1" t="str">
        <f>IFERROR(INDEX(_INDICATOR_[],MATCH(ВСЕ_КОДЫ[[#This Row],[CONTEST_CODE]],_INDICATOR_[CONTEST_CODE],0),MATCH($T$1,_INDICATOR_[#Headers],0)),"-")</f>
        <v>WAIT</v>
      </c>
      <c r="U195" s="1" t="str">
        <f>IFERROR(INDEX(_reward_link_[],MATCH(ВСЕ_КОДЫ[[#This Row],[CONTEST_CODE]],_reward_link_[CONTEST_CODE],0),MATCH($U$1,_reward_link_[#Headers],0)),"-")</f>
        <v>BANK</v>
      </c>
      <c r="V195" s="1" t="str">
        <f>IFERROR(INDEX(_report[],MATCH(ВСЕ_КОДЫ[[#This Row],[CONTEST_CODE]],_report[CONTEST_CODE],0),MATCH($V$1,_report[#Headers],0)),"-")</f>
        <v>-</v>
      </c>
      <c r="W195" s="1" t="str">
        <f>IFERROR(INDEX(_reward_[],MATCH(ВСЕ_КОДЫ[[#This Row],[REWARD_CODE]],_reward_[REWARD_CODE],0),MATCH($W$1,_reward_[#Headers],0)),"-")</f>
        <v>Золото#по гарантиям</v>
      </c>
      <c r="X195" s="1" t="str">
        <f>IFERROR(INDEX(_group_[],MATCH(CONCATENATE(ВСЕ_КОДЫ[[#This Row],[CONTEST_CODE]],"_",X$2),#REF!,0),MATCH(X$1,_group_[#Headers],0)),"-")</f>
        <v>-</v>
      </c>
      <c r="Y195" s="1" t="str">
        <f>IFERROR(INDEX(_group_[],MATCH(CONCATENATE(ВСЕ_КОДЫ[[#This Row],[CONTEST_CODE]],"_",Y$2),#REF!,0),MATCH(Y$1,_group_[#Headers],0)),"-")</f>
        <v>-</v>
      </c>
      <c r="Z195" s="1" t="str">
        <f>IFERROR(INDEX(_group_[],MATCH(CONCATENATE(ВСЕ_КОДЫ[[#This Row],[CONTEST_CODE]],"_",Z$2),#REF!,0),MATCH(Z$1,_group_[#Headers],0)),"-")</f>
        <v>-</v>
      </c>
      <c r="AA195" s="1" t="str">
        <f>IFERROR(INDEX(_group_[],MATCH(CONCATENATE(ВСЕ_КОДЫ[[#This Row],[CONTEST_CODE]],"_",AA$2),#REF!,0),MATCH(AA$1,_group_[#Headers],0)),"-")</f>
        <v>-</v>
      </c>
      <c r="AB195" s="1" t="str">
        <f>IFERROR(INDEX(_DATA_[],MATCH(ВСЕ_КОДЫ[[#This Row],[CONTEST_CODE]],_DATA_[CONTEST_CODE],0),MATCH($AB$2,_DATA_[#Headers],0)),"-")</f>
        <v>["""KMKKSB"""]</v>
      </c>
      <c r="AC195" s="1" t="str">
        <f>CONCATENATE(ВСЕ_КОДЫ[[#This Row],[CONTEST_CODE]],"_",ВСЕ_КОДЫ[[#This Row],[TOURNAMENT_CODE]])</f>
        <v>01_2025-1_09-1_1_t_01_2025-1_09-1_1_3061</v>
      </c>
      <c r="AD195" s="1" t="str">
        <f>ВСЕ_КОДЫ[[#This Row],[FULL_NAME]]</f>
        <v>Гарантии. Прирост комиссии</v>
      </c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idden="1" x14ac:dyDescent="0.25">
      <c r="A196" s="1" t="s">
        <v>74</v>
      </c>
      <c r="B196" s="1" t="s">
        <v>228</v>
      </c>
      <c r="C196" s="1" t="s">
        <v>392</v>
      </c>
      <c r="D196" s="1" t="s">
        <v>583</v>
      </c>
      <c r="E196" s="1" t="s">
        <v>75</v>
      </c>
      <c r="F196" s="1" t="s">
        <v>76</v>
      </c>
      <c r="G196" s="1" t="s">
        <v>27</v>
      </c>
      <c r="H196" s="1" t="s">
        <v>34</v>
      </c>
      <c r="I196" s="1" t="s">
        <v>50</v>
      </c>
      <c r="J196" s="1" t="s">
        <v>147</v>
      </c>
      <c r="K196" s="1" t="s">
        <v>171</v>
      </c>
      <c r="L196" s="1" t="s">
        <v>230</v>
      </c>
      <c r="M196" s="1" t="s">
        <v>155</v>
      </c>
      <c r="N196" s="1" t="s">
        <v>305</v>
      </c>
      <c r="O196" s="1" t="s">
        <v>393</v>
      </c>
      <c r="P196" s="1"/>
      <c r="Q196" s="1">
        <f>IFERROR(COUNTIFS(_report[TOURNAMENT_CODE],ВСЕ_КОДЫ[[#This Row],[TOURNAMENT_CODE]],_report[CONTEST_CODE],ВСЕ_КОДЫ[[#This Row],[CONTEST_CODE]]),"-")</f>
        <v>0</v>
      </c>
      <c r="R196" s="1" t="str">
        <f>IFERROR(INDEX(_SCHEDULE_[],MATCH(ВСЕ_КОДЫ[[#This Row],[CONTEST_CODE]],_SCHEDULE_[CONTEST_CODE],0),MATCH($R$1,_SCHEDULE_[#Headers],0)),"-")</f>
        <v>УДАЛЕН</v>
      </c>
      <c r="S196" s="1" t="str">
        <f>IFERROR(INDEX(_group_[],MATCH(ВСЕ_КОДЫ[[#This Row],[CONTEST_CODE]],_group_[CONTEST_CODE],0),MATCH($S$1,_group_[#Headers],0)),"-")</f>
        <v>BANK</v>
      </c>
      <c r="T196" s="1" t="str">
        <f>IFERROR(INDEX(_INDICATOR_[],MATCH(ВСЕ_КОДЫ[[#This Row],[CONTEST_CODE]],_INDICATOR_[CONTEST_CODE],0),MATCH($T$1,_INDICATOR_[#Headers],0)),"-")</f>
        <v>WAIT</v>
      </c>
      <c r="U196" s="1" t="str">
        <f>IFERROR(INDEX(_reward_link_[],MATCH(ВСЕ_КОДЫ[[#This Row],[CONTEST_CODE]],_reward_link_[CONTEST_CODE],0),MATCH($U$1,_reward_link_[#Headers],0)),"-")</f>
        <v>TB</v>
      </c>
      <c r="V196" s="1" t="str">
        <f>IFERROR(INDEX(_report[],MATCH(ВСЕ_КОДЫ[[#This Row],[CONTEST_CODE]],_report[CONTEST_CODE],0),MATCH($V$1,_report[#Headers],0)),"-")</f>
        <v>-</v>
      </c>
      <c r="W196" s="1" t="str">
        <f>IFERROR(INDEX(_reward_[],MATCH(ВСЕ_КОДЫ[[#This Row],[REWARD_CODE]],_reward_[REWARD_CODE],0),MATCH($W$1,_reward_[#Headers],0)),"-")</f>
        <v>Чемпион страны по доходу от СберЗдоровья</v>
      </c>
      <c r="X196" s="1" t="str">
        <f>IFERROR(INDEX(_group_[],MATCH(CONCATENATE(ВСЕ_КОДЫ[[#This Row],[CONTEST_CODE]],"_",X$2),#REF!,0),MATCH(X$1,_group_[#Headers],0)),"-")</f>
        <v>-</v>
      </c>
      <c r="Y196" s="1" t="str">
        <f>IFERROR(INDEX(_group_[],MATCH(CONCATENATE(ВСЕ_КОДЫ[[#This Row],[CONTEST_CODE]],"_",Y$2),#REF!,0),MATCH(Y$1,_group_[#Headers],0)),"-")</f>
        <v>-</v>
      </c>
      <c r="Z196" s="1" t="str">
        <f>IFERROR(INDEX(_group_[],MATCH(CONCATENATE(ВСЕ_КОДЫ[[#This Row],[CONTEST_CODE]],"_",Z$2),#REF!,0),MATCH(Z$1,_group_[#Headers],0)),"-")</f>
        <v>-</v>
      </c>
      <c r="AA196" s="1" t="str">
        <f>IFERROR(INDEX(_group_[],MATCH(CONCATENATE(ВСЕ_КОДЫ[[#This Row],[CONTEST_CODE]],"_",AA$2),#REF!,0),MATCH(AA$1,_group_[#Headers],0)),"-")</f>
        <v>-</v>
      </c>
      <c r="AB196" s="1" t="str">
        <f>IFERROR(INDEX(_DATA_[],MATCH(ВСЕ_КОДЫ[[#This Row],[CONTEST_CODE]],_DATA_[CONTEST_CODE],0),MATCH($AB$2,_DATA_[#Headers],0)),"-")</f>
        <v>["""MNS"""]</v>
      </c>
      <c r="AC196" s="1" t="str">
        <f>CONCATENATE(ВСЕ_КОДЫ[[#This Row],[CONTEST_CODE]],"_",ВСЕ_КОДЫ[[#This Row],[TOURNAMENT_CODE]])</f>
        <v>CONTEST_23_TOURNAMENT_23_01</v>
      </c>
      <c r="AD196" s="1" t="str">
        <f>ВСЕ_КОДЫ[[#This Row],[FULL_NAME]]</f>
        <v>Максимальный полученный доход от продажи продуктов СберЗдоровье</v>
      </c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idden="1" x14ac:dyDescent="0.25">
      <c r="A197" s="1" t="s">
        <v>74</v>
      </c>
      <c r="B197" s="1" t="s">
        <v>231</v>
      </c>
      <c r="C197" s="1" t="s">
        <v>392</v>
      </c>
      <c r="D197" s="1" t="s">
        <v>583</v>
      </c>
      <c r="E197" s="1" t="s">
        <v>75</v>
      </c>
      <c r="F197" s="1" t="s">
        <v>76</v>
      </c>
      <c r="G197" s="1" t="s">
        <v>27</v>
      </c>
      <c r="H197" s="1" t="s">
        <v>34</v>
      </c>
      <c r="I197" s="1" t="s">
        <v>50</v>
      </c>
      <c r="J197" s="1" t="s">
        <v>147</v>
      </c>
      <c r="K197" s="1" t="s">
        <v>171</v>
      </c>
      <c r="L197" s="1" t="s">
        <v>3217</v>
      </c>
      <c r="M197" s="1" t="s">
        <v>176</v>
      </c>
      <c r="N197" s="1" t="s">
        <v>305</v>
      </c>
      <c r="O197" s="1" t="s">
        <v>393</v>
      </c>
      <c r="P197" s="1"/>
      <c r="Q197" s="1">
        <f>IFERROR(COUNTIFS(_report[TOURNAMENT_CODE],ВСЕ_КОДЫ[[#This Row],[TOURNAMENT_CODE]],_report[CONTEST_CODE],ВСЕ_КОДЫ[[#This Row],[CONTEST_CODE]]),"-")</f>
        <v>0</v>
      </c>
      <c r="R197" s="1" t="str">
        <f>IFERROR(INDEX(_SCHEDULE_[],MATCH(ВСЕ_КОДЫ[[#This Row],[CONTEST_CODE]],_SCHEDULE_[CONTEST_CODE],0),MATCH($R$1,_SCHEDULE_[#Headers],0)),"-")</f>
        <v>УДАЛЕН</v>
      </c>
      <c r="S197" s="1" t="str">
        <f>IFERROR(INDEX(_group_[],MATCH(ВСЕ_КОДЫ[[#This Row],[CONTEST_CODE]],_group_[CONTEST_CODE],0),MATCH($S$1,_group_[#Headers],0)),"-")</f>
        <v>BANK</v>
      </c>
      <c r="T197" s="1" t="str">
        <f>IFERROR(INDEX(_INDICATOR_[],MATCH(ВСЕ_КОДЫ[[#This Row],[CONTEST_CODE]],_INDICATOR_[CONTEST_CODE],0),MATCH($T$1,_INDICATOR_[#Headers],0)),"-")</f>
        <v>WAIT</v>
      </c>
      <c r="U197" s="1" t="str">
        <f>IFERROR(INDEX(_reward_link_[],MATCH(ВСЕ_КОДЫ[[#This Row],[CONTEST_CODE]],_reward_link_[CONTEST_CODE],0),MATCH($U$1,_reward_link_[#Headers],0)),"-")</f>
        <v>TB</v>
      </c>
      <c r="V197" s="1" t="str">
        <f>IFERROR(INDEX(_report[],MATCH(ВСЕ_КОДЫ[[#This Row],[CONTEST_CODE]],_report[CONTEST_CODE],0),MATCH($V$1,_report[#Headers],0)),"-")</f>
        <v>-</v>
      </c>
      <c r="W197" s="1" t="str">
        <f>IFERROR(INDEX(_reward_[],MATCH(ВСЕ_КОДЫ[[#This Row],[REWARD_CODE]],_reward_[REWARD_CODE],0),MATCH($W$1,_reward_[#Headers],0)),"-")</f>
        <v>Чемпион страны по доходу от СберЗдоровья</v>
      </c>
      <c r="X197" s="1" t="str">
        <f>IFERROR(INDEX(_group_[],MATCH(CONCATENATE(ВСЕ_КОДЫ[[#This Row],[CONTEST_CODE]],"_",X$2),#REF!,0),MATCH(X$1,_group_[#Headers],0)),"-")</f>
        <v>-</v>
      </c>
      <c r="Y197" s="1" t="str">
        <f>IFERROR(INDEX(_group_[],MATCH(CONCATENATE(ВСЕ_КОДЫ[[#This Row],[CONTEST_CODE]],"_",Y$2),#REF!,0),MATCH(Y$1,_group_[#Headers],0)),"-")</f>
        <v>-</v>
      </c>
      <c r="Z197" s="1" t="str">
        <f>IFERROR(INDEX(_group_[],MATCH(CONCATENATE(ВСЕ_КОДЫ[[#This Row],[CONTEST_CODE]],"_",Z$2),#REF!,0),MATCH(Z$1,_group_[#Headers],0)),"-")</f>
        <v>-</v>
      </c>
      <c r="AA197" s="1" t="str">
        <f>IFERROR(INDEX(_group_[],MATCH(CONCATENATE(ВСЕ_КОДЫ[[#This Row],[CONTEST_CODE]],"_",AA$2),#REF!,0),MATCH(AA$1,_group_[#Headers],0)),"-")</f>
        <v>-</v>
      </c>
      <c r="AB197" s="1" t="str">
        <f>IFERROR(INDEX(_DATA_[],MATCH(ВСЕ_КОДЫ[[#This Row],[CONTEST_CODE]],_DATA_[CONTEST_CODE],0),MATCH($AB$2,_DATA_[#Headers],0)),"-")</f>
        <v>["""MNS"""]</v>
      </c>
      <c r="AC197" s="1" t="str">
        <f>CONCATENATE(ВСЕ_КОДЫ[[#This Row],[CONTEST_CODE]],"_",ВСЕ_КОДЫ[[#This Row],[TOURNAMENT_CODE]])</f>
        <v>CONTEST_23_TOURNAMENT_23_2023_04</v>
      </c>
      <c r="AD197" s="1" t="str">
        <f>ВСЕ_КОДЫ[[#This Row],[FULL_NAME]]</f>
        <v>Максимальный полученный доход от продажи продуктов СберЗдоровье</v>
      </c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idden="1" x14ac:dyDescent="0.25">
      <c r="A198" s="1" t="s">
        <v>74</v>
      </c>
      <c r="B198" s="1" t="s">
        <v>707</v>
      </c>
      <c r="C198" s="1" t="s">
        <v>392</v>
      </c>
      <c r="D198" s="1" t="s">
        <v>583</v>
      </c>
      <c r="E198" s="1" t="s">
        <v>75</v>
      </c>
      <c r="F198" s="1" t="s">
        <v>76</v>
      </c>
      <c r="G198" s="1" t="s">
        <v>27</v>
      </c>
      <c r="H198" s="1" t="s">
        <v>34</v>
      </c>
      <c r="I198" s="1" t="s">
        <v>50</v>
      </c>
      <c r="J198" s="1" t="s">
        <v>192</v>
      </c>
      <c r="K198" s="1" t="s">
        <v>252</v>
      </c>
      <c r="L198" s="1" t="s">
        <v>3217</v>
      </c>
      <c r="M198" s="1" t="s">
        <v>176</v>
      </c>
      <c r="N198" s="1" t="s">
        <v>305</v>
      </c>
      <c r="O198" s="1" t="s">
        <v>393</v>
      </c>
      <c r="P198" s="1"/>
      <c r="Q198" s="1">
        <f>IFERROR(COUNTIFS(_report[TOURNAMENT_CODE],ВСЕ_КОДЫ[[#This Row],[TOURNAMENT_CODE]],_report[CONTEST_CODE],ВСЕ_КОДЫ[[#This Row],[CONTEST_CODE]]),"-")</f>
        <v>0</v>
      </c>
      <c r="R198" s="1" t="str">
        <f>IFERROR(INDEX(_SCHEDULE_[],MATCH(ВСЕ_КОДЫ[[#This Row],[CONTEST_CODE]],_SCHEDULE_[CONTEST_CODE],0),MATCH($R$1,_SCHEDULE_[#Headers],0)),"-")</f>
        <v>УДАЛЕН</v>
      </c>
      <c r="S198" s="1" t="str">
        <f>IFERROR(INDEX(_group_[],MATCH(ВСЕ_КОДЫ[[#This Row],[CONTEST_CODE]],_group_[CONTEST_CODE],0),MATCH($S$1,_group_[#Headers],0)),"-")</f>
        <v>BANK</v>
      </c>
      <c r="T198" s="1" t="str">
        <f>IFERROR(INDEX(_INDICATOR_[],MATCH(ВСЕ_КОДЫ[[#This Row],[CONTEST_CODE]],_INDICATOR_[CONTEST_CODE],0),MATCH($T$1,_INDICATOR_[#Headers],0)),"-")</f>
        <v>WAIT</v>
      </c>
      <c r="U198" s="1" t="str">
        <f>IFERROR(INDEX(_reward_link_[],MATCH(ВСЕ_КОДЫ[[#This Row],[CONTEST_CODE]],_reward_link_[CONTEST_CODE],0),MATCH($U$1,_reward_link_[#Headers],0)),"-")</f>
        <v>TB</v>
      </c>
      <c r="V198" s="1" t="str">
        <f>IFERROR(INDEX(_report[],MATCH(ВСЕ_КОДЫ[[#This Row],[CONTEST_CODE]],_report[CONTEST_CODE],0),MATCH($V$1,_report[#Headers],0)),"-")</f>
        <v>-</v>
      </c>
      <c r="W198" s="1" t="str">
        <f>IFERROR(INDEX(_reward_[],MATCH(ВСЕ_КОДЫ[[#This Row],[REWARD_CODE]],_reward_[REWARD_CODE],0),MATCH($W$1,_reward_[#Headers],0)),"-")</f>
        <v>Чемпион страны по доходу от СберЗдоровья</v>
      </c>
      <c r="X198" s="1" t="str">
        <f>IFERROR(INDEX(_group_[],MATCH(CONCATENATE(ВСЕ_КОДЫ[[#This Row],[CONTEST_CODE]],"_",X$2),#REF!,0),MATCH(X$1,_group_[#Headers],0)),"-")</f>
        <v>-</v>
      </c>
      <c r="Y198" s="1" t="str">
        <f>IFERROR(INDEX(_group_[],MATCH(CONCATENATE(ВСЕ_КОДЫ[[#This Row],[CONTEST_CODE]],"_",Y$2),#REF!,0),MATCH(Y$1,_group_[#Headers],0)),"-")</f>
        <v>-</v>
      </c>
      <c r="Z198" s="1" t="str">
        <f>IFERROR(INDEX(_group_[],MATCH(CONCATENATE(ВСЕ_КОДЫ[[#This Row],[CONTEST_CODE]],"_",Z$2),#REF!,0),MATCH(Z$1,_group_[#Headers],0)),"-")</f>
        <v>-</v>
      </c>
      <c r="AA198" s="1" t="str">
        <f>IFERROR(INDEX(_group_[],MATCH(CONCATENATE(ВСЕ_КОДЫ[[#This Row],[CONTEST_CODE]],"_",AA$2),#REF!,0),MATCH(AA$1,_group_[#Headers],0)),"-")</f>
        <v>-</v>
      </c>
      <c r="AB198" s="1" t="str">
        <f>IFERROR(INDEX(_DATA_[],MATCH(ВСЕ_КОДЫ[[#This Row],[CONTEST_CODE]],_DATA_[CONTEST_CODE],0),MATCH($AB$2,_DATA_[#Headers],0)),"-")</f>
        <v>["""MNS"""]</v>
      </c>
      <c r="AC198" s="1" t="str">
        <f>CONCATENATE(ВСЕ_КОДЫ[[#This Row],[CONTEST_CODE]],"_",ВСЕ_КОДЫ[[#This Row],[TOURNAMENT_CODE]])</f>
        <v>CONTEST_23_TOURNAMENT_m_23_02</v>
      </c>
      <c r="AD198" s="1" t="str">
        <f>ВСЕ_КОДЫ[[#This Row],[FULL_NAME]]</f>
        <v>Максимальный полученный доход от продажи продуктов СберЗдоровье</v>
      </c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idden="1" x14ac:dyDescent="0.25">
      <c r="A199" s="1" t="s">
        <v>74</v>
      </c>
      <c r="B199" s="1" t="s">
        <v>1161</v>
      </c>
      <c r="C199" s="1" t="s">
        <v>392</v>
      </c>
      <c r="D199" s="1" t="s">
        <v>583</v>
      </c>
      <c r="E199" s="1" t="s">
        <v>75</v>
      </c>
      <c r="F199" s="1" t="s">
        <v>76</v>
      </c>
      <c r="G199" s="1" t="s">
        <v>27</v>
      </c>
      <c r="H199" s="1" t="s">
        <v>34</v>
      </c>
      <c r="I199" s="1" t="s">
        <v>50</v>
      </c>
      <c r="J199" s="1" t="s">
        <v>703</v>
      </c>
      <c r="K199" s="1" t="s">
        <v>1070</v>
      </c>
      <c r="L199" s="1" t="s">
        <v>3217</v>
      </c>
      <c r="M199" s="1" t="s">
        <v>176</v>
      </c>
      <c r="N199" s="1" t="s">
        <v>305</v>
      </c>
      <c r="O199" s="1" t="s">
        <v>393</v>
      </c>
      <c r="P199" s="1"/>
      <c r="Q199" s="1">
        <f>IFERROR(COUNTIFS(_report[TOURNAMENT_CODE],ВСЕ_КОДЫ[[#This Row],[TOURNAMENT_CODE]],_report[CONTEST_CODE],ВСЕ_КОДЫ[[#This Row],[CONTEST_CODE]]),"-")</f>
        <v>0</v>
      </c>
      <c r="R199" s="1" t="str">
        <f>IFERROR(INDEX(_SCHEDULE_[],MATCH(ВСЕ_КОДЫ[[#This Row],[CONTEST_CODE]],_SCHEDULE_[CONTEST_CODE],0),MATCH($R$1,_SCHEDULE_[#Headers],0)),"-")</f>
        <v>УДАЛЕН</v>
      </c>
      <c r="S199" s="1" t="str">
        <f>IFERROR(INDEX(_group_[],MATCH(ВСЕ_КОДЫ[[#This Row],[CONTEST_CODE]],_group_[CONTEST_CODE],0),MATCH($S$1,_group_[#Headers],0)),"-")</f>
        <v>BANK</v>
      </c>
      <c r="T199" s="1" t="str">
        <f>IFERROR(INDEX(_INDICATOR_[],MATCH(ВСЕ_КОДЫ[[#This Row],[CONTEST_CODE]],_INDICATOR_[CONTEST_CODE],0),MATCH($T$1,_INDICATOR_[#Headers],0)),"-")</f>
        <v>WAIT</v>
      </c>
      <c r="U199" s="1" t="str">
        <f>IFERROR(INDEX(_reward_link_[],MATCH(ВСЕ_КОДЫ[[#This Row],[CONTEST_CODE]],_reward_link_[CONTEST_CODE],0),MATCH($U$1,_reward_link_[#Headers],0)),"-")</f>
        <v>TB</v>
      </c>
      <c r="V199" s="1" t="str">
        <f>IFERROR(INDEX(_report[],MATCH(ВСЕ_КОДЫ[[#This Row],[CONTEST_CODE]],_report[CONTEST_CODE],0),MATCH($V$1,_report[#Headers],0)),"-")</f>
        <v>-</v>
      </c>
      <c r="W199" s="1" t="str">
        <f>IFERROR(INDEX(_reward_[],MATCH(ВСЕ_КОДЫ[[#This Row],[REWARD_CODE]],_reward_[REWARD_CODE],0),MATCH($W$1,_reward_[#Headers],0)),"-")</f>
        <v>Чемпион страны по доходу от СберЗдоровья</v>
      </c>
      <c r="X199" s="1" t="str">
        <f>IFERROR(INDEX(_group_[],MATCH(CONCATENATE(ВСЕ_КОДЫ[[#This Row],[CONTEST_CODE]],"_",X$2),#REF!,0),MATCH(X$1,_group_[#Headers],0)),"-")</f>
        <v>-</v>
      </c>
      <c r="Y199" s="1" t="str">
        <f>IFERROR(INDEX(_group_[],MATCH(CONCATENATE(ВСЕ_КОДЫ[[#This Row],[CONTEST_CODE]],"_",Y$2),#REF!,0),MATCH(Y$1,_group_[#Headers],0)),"-")</f>
        <v>-</v>
      </c>
      <c r="Z199" s="1" t="str">
        <f>IFERROR(INDEX(_group_[],MATCH(CONCATENATE(ВСЕ_КОДЫ[[#This Row],[CONTEST_CODE]],"_",Z$2),#REF!,0),MATCH(Z$1,_group_[#Headers],0)),"-")</f>
        <v>-</v>
      </c>
      <c r="AA199" s="1" t="str">
        <f>IFERROR(INDEX(_group_[],MATCH(CONCATENATE(ВСЕ_КОДЫ[[#This Row],[CONTEST_CODE]],"_",AA$2),#REF!,0),MATCH(AA$1,_group_[#Headers],0)),"-")</f>
        <v>-</v>
      </c>
      <c r="AB199" s="1" t="str">
        <f>IFERROR(INDEX(_DATA_[],MATCH(ВСЕ_КОДЫ[[#This Row],[CONTEST_CODE]],_DATA_[CONTEST_CODE],0),MATCH($AB$2,_DATA_[#Headers],0)),"-")</f>
        <v>["""MNS"""]</v>
      </c>
      <c r="AC199" s="1" t="str">
        <f>CONCATENATE(ВСЕ_КОДЫ[[#This Row],[CONTEST_CODE]],"_",ВСЕ_КОДЫ[[#This Row],[TOURNAMENT_CODE]])</f>
        <v>CONTEST_23_TOURNAMENT_m_23_03</v>
      </c>
      <c r="AD199" s="1" t="str">
        <f>ВСЕ_КОДЫ[[#This Row],[FULL_NAME]]</f>
        <v>Максимальный полученный доход от продажи продуктов СберЗдоровье</v>
      </c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idden="1" x14ac:dyDescent="0.25">
      <c r="A200" s="1" t="s">
        <v>74</v>
      </c>
      <c r="B200" s="1" t="s">
        <v>1787</v>
      </c>
      <c r="C200" s="1" t="s">
        <v>392</v>
      </c>
      <c r="D200" s="1" t="s">
        <v>583</v>
      </c>
      <c r="E200" s="1" t="s">
        <v>75</v>
      </c>
      <c r="F200" s="1" t="s">
        <v>76</v>
      </c>
      <c r="G200" s="1" t="s">
        <v>27</v>
      </c>
      <c r="H200" s="1" t="s">
        <v>34</v>
      </c>
      <c r="I200" s="1" t="s">
        <v>50</v>
      </c>
      <c r="J200" s="1" t="s">
        <v>1308</v>
      </c>
      <c r="K200" s="1" t="s">
        <v>642</v>
      </c>
      <c r="L200" s="1" t="s">
        <v>3217</v>
      </c>
      <c r="M200" s="1" t="s">
        <v>176</v>
      </c>
      <c r="N200" s="1" t="s">
        <v>305</v>
      </c>
      <c r="O200" s="1" t="s">
        <v>393</v>
      </c>
      <c r="P200" s="1"/>
      <c r="Q200" s="1">
        <f>IFERROR(COUNTIFS(_report[TOURNAMENT_CODE],ВСЕ_КОДЫ[[#This Row],[TOURNAMENT_CODE]],_report[CONTEST_CODE],ВСЕ_КОДЫ[[#This Row],[CONTEST_CODE]]),"-")</f>
        <v>0</v>
      </c>
      <c r="R200" s="1" t="str">
        <f>IFERROR(INDEX(_SCHEDULE_[],MATCH(ВСЕ_КОДЫ[[#This Row],[CONTEST_CODE]],_SCHEDULE_[CONTEST_CODE],0),MATCH($R$1,_SCHEDULE_[#Headers],0)),"-")</f>
        <v>УДАЛЕН</v>
      </c>
      <c r="S200" s="1" t="str">
        <f>IFERROR(INDEX(_group_[],MATCH(ВСЕ_КОДЫ[[#This Row],[CONTEST_CODE]],_group_[CONTEST_CODE],0),MATCH($S$1,_group_[#Headers],0)),"-")</f>
        <v>BANK</v>
      </c>
      <c r="T200" s="1" t="str">
        <f>IFERROR(INDEX(_INDICATOR_[],MATCH(ВСЕ_КОДЫ[[#This Row],[CONTEST_CODE]],_INDICATOR_[CONTEST_CODE],0),MATCH($T$1,_INDICATOR_[#Headers],0)),"-")</f>
        <v>WAIT</v>
      </c>
      <c r="U200" s="1" t="str">
        <f>IFERROR(INDEX(_reward_link_[],MATCH(ВСЕ_КОДЫ[[#This Row],[CONTEST_CODE]],_reward_link_[CONTEST_CODE],0),MATCH($U$1,_reward_link_[#Headers],0)),"-")</f>
        <v>TB</v>
      </c>
      <c r="V200" s="1" t="str">
        <f>IFERROR(INDEX(_report[],MATCH(ВСЕ_КОДЫ[[#This Row],[CONTEST_CODE]],_report[CONTEST_CODE],0),MATCH($V$1,_report[#Headers],0)),"-")</f>
        <v>-</v>
      </c>
      <c r="W200" s="1" t="str">
        <f>IFERROR(INDEX(_reward_[],MATCH(ВСЕ_КОДЫ[[#This Row],[REWARD_CODE]],_reward_[REWARD_CODE],0),MATCH($W$1,_reward_[#Headers],0)),"-")</f>
        <v>Чемпион страны по доходу от СберЗдоровья</v>
      </c>
      <c r="X200" s="1" t="str">
        <f>IFERROR(INDEX(_group_[],MATCH(CONCATENATE(ВСЕ_КОДЫ[[#This Row],[CONTEST_CODE]],"_",X$2),#REF!,0),MATCH(X$1,_group_[#Headers],0)),"-")</f>
        <v>-</v>
      </c>
      <c r="Y200" s="1" t="str">
        <f>IFERROR(INDEX(_group_[],MATCH(CONCATENATE(ВСЕ_КОДЫ[[#This Row],[CONTEST_CODE]],"_",Y$2),#REF!,0),MATCH(Y$1,_group_[#Headers],0)),"-")</f>
        <v>-</v>
      </c>
      <c r="Z200" s="1" t="str">
        <f>IFERROR(INDEX(_group_[],MATCH(CONCATENATE(ВСЕ_КОДЫ[[#This Row],[CONTEST_CODE]],"_",Z$2),#REF!,0),MATCH(Z$1,_group_[#Headers],0)),"-")</f>
        <v>-</v>
      </c>
      <c r="AA200" s="1" t="str">
        <f>IFERROR(INDEX(_group_[],MATCH(CONCATENATE(ВСЕ_КОДЫ[[#This Row],[CONTEST_CODE]],"_",AA$2),#REF!,0),MATCH(AA$1,_group_[#Headers],0)),"-")</f>
        <v>-</v>
      </c>
      <c r="AB200" s="1" t="str">
        <f>IFERROR(INDEX(_DATA_[],MATCH(ВСЕ_КОДЫ[[#This Row],[CONTEST_CODE]],_DATA_[CONTEST_CODE],0),MATCH($AB$2,_DATA_[#Headers],0)),"-")</f>
        <v>["""MNS"""]</v>
      </c>
      <c r="AC200" s="1" t="str">
        <f>CONCATENATE(ВСЕ_КОДЫ[[#This Row],[CONTEST_CODE]],"_",ВСЕ_КОДЫ[[#This Row],[TOURNAMENT_CODE]])</f>
        <v>CONTEST_23_TOURNAMENT_m_23_2024_Q04</v>
      </c>
      <c r="AD200" s="1" t="str">
        <f>ВСЕ_КОДЫ[[#This Row],[FULL_NAME]]</f>
        <v>Максимальный полученный доход от продажи продуктов СберЗдоровье</v>
      </c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idden="1" x14ac:dyDescent="0.25">
      <c r="A201" s="1" t="s">
        <v>2185</v>
      </c>
      <c r="B201" s="1" t="s">
        <v>2520</v>
      </c>
      <c r="C201" s="1" t="s">
        <v>2696</v>
      </c>
      <c r="D201" s="1" t="s">
        <v>583</v>
      </c>
      <c r="E201" s="1" t="s">
        <v>103</v>
      </c>
      <c r="F201" s="1" t="s">
        <v>2508</v>
      </c>
      <c r="G201" s="1" t="s">
        <v>27</v>
      </c>
      <c r="H201" s="1" t="s">
        <v>34</v>
      </c>
      <c r="I201" s="1" t="s">
        <v>50</v>
      </c>
      <c r="J201" s="1" t="s">
        <v>2521</v>
      </c>
      <c r="K201" s="1" t="s">
        <v>2522</v>
      </c>
      <c r="L201" s="1" t="s">
        <v>4147</v>
      </c>
      <c r="M201" s="1" t="s">
        <v>176</v>
      </c>
      <c r="N201" s="1" t="s">
        <v>305</v>
      </c>
      <c r="O201" s="1" t="s">
        <v>2697</v>
      </c>
      <c r="P201" s="1"/>
      <c r="Q201" s="1">
        <f>IFERROR(COUNTIFS(_report[TOURNAMENT_CODE],ВСЕ_КОДЫ[[#This Row],[TOURNAMENT_CODE]],_report[CONTEST_CODE],ВСЕ_КОДЫ[[#This Row],[CONTEST_CODE]]),"-")</f>
        <v>0</v>
      </c>
      <c r="R201" s="1" t="str">
        <f>IFERROR(INDEX(_SCHEDULE_[],MATCH(ВСЕ_КОДЫ[[#This Row],[CONTEST_CODE]],_SCHEDULE_[CONTEST_CODE],0),MATCH($R$1,_SCHEDULE_[#Headers],0)),"-")</f>
        <v>ЗАВЕРШЕН</v>
      </c>
      <c r="S201" s="1" t="str">
        <f>IFERROR(INDEX(_group_[],MATCH(ВСЕ_КОДЫ[[#This Row],[CONTEST_CODE]],_group_[CONTEST_CODE],0),MATCH($S$1,_group_[#Headers],0)),"-")</f>
        <v>BANK</v>
      </c>
      <c r="T201" s="1" t="str">
        <f>IFERROR(INDEX(_INDICATOR_[],MATCH(ВСЕ_КОДЫ[[#This Row],[CONTEST_CODE]],_INDICATOR_[CONTEST_CODE],0),MATCH($T$1,_INDICATOR_[#Headers],0)),"-")</f>
        <v>WAIT</v>
      </c>
      <c r="U201" s="1" t="str">
        <f>IFERROR(INDEX(_reward_link_[],MATCH(ВСЕ_КОДЫ[[#This Row],[CONTEST_CODE]],_reward_link_[CONTEST_CODE],0),MATCH($U$1,_reward_link_[#Headers],0)),"-")</f>
        <v>BANK</v>
      </c>
      <c r="V201" s="1" t="str">
        <f>IFERROR(INDEX(_report[],MATCH(ВСЕ_КОДЫ[[#This Row],[CONTEST_CODE]],_report[CONTEST_CODE],0),MATCH($V$1,_report[#Headers],0)),"-")</f>
        <v>-</v>
      </c>
      <c r="W201" s="1" t="str">
        <f>IFERROR(INDEX(_reward_[],MATCH(ВСЕ_КОДЫ[[#This Row],[REWARD_CODE]],_reward_[REWARD_CODE],0),MATCH($W$1,_reward_[#Headers],0)),"-")</f>
        <v>Серебро#по гарантиям</v>
      </c>
      <c r="X201" s="1" t="str">
        <f>IFERROR(INDEX(_group_[],MATCH(CONCATENATE(ВСЕ_КОДЫ[[#This Row],[CONTEST_CODE]],"_",X$2),#REF!,0),MATCH(X$1,_group_[#Headers],0)),"-")</f>
        <v>-</v>
      </c>
      <c r="Y201" s="1" t="str">
        <f>IFERROR(INDEX(_group_[],MATCH(CONCATENATE(ВСЕ_КОДЫ[[#This Row],[CONTEST_CODE]],"_",Y$2),#REF!,0),MATCH(Y$1,_group_[#Headers],0)),"-")</f>
        <v>-</v>
      </c>
      <c r="Z201" s="1" t="str">
        <f>IFERROR(INDEX(_group_[],MATCH(CONCATENATE(ВСЕ_КОДЫ[[#This Row],[CONTEST_CODE]],"_",Z$2),#REF!,0),MATCH(Z$1,_group_[#Headers],0)),"-")</f>
        <v>-</v>
      </c>
      <c r="AA201" s="1" t="str">
        <f>IFERROR(INDEX(_group_[],MATCH(CONCATENATE(ВСЕ_КОДЫ[[#This Row],[CONTEST_CODE]],"_",AA$2),#REF!,0),MATCH(AA$1,_group_[#Headers],0)),"-")</f>
        <v>-</v>
      </c>
      <c r="AB201" s="1" t="str">
        <f>IFERROR(INDEX(_DATA_[],MATCH(ВСЕ_КОДЫ[[#This Row],[CONTEST_CODE]],_DATA_[CONTEST_CODE],0),MATCH($AB$2,_DATA_[#Headers],0)),"-")</f>
        <v>["""KMKKSB"""]</v>
      </c>
      <c r="AC201" s="1" t="str">
        <f>CONCATENATE(ВСЕ_КОДЫ[[#This Row],[CONTEST_CODE]],"_",ВСЕ_КОДЫ[[#This Row],[TOURNAMENT_CODE]])</f>
        <v>01_2025-1_09-1_1_t_01_2025-1_09-1_1_3021</v>
      </c>
      <c r="AD201" s="1" t="str">
        <f>ВСЕ_КОДЫ[[#This Row],[FULL_NAME]]</f>
        <v>Гарантии. Прирост комиссии</v>
      </c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idden="1" x14ac:dyDescent="0.25">
      <c r="A202" s="1" t="s">
        <v>2185</v>
      </c>
      <c r="B202" s="1" t="s">
        <v>3218</v>
      </c>
      <c r="C202" s="1" t="s">
        <v>2696</v>
      </c>
      <c r="D202" s="1" t="s">
        <v>583</v>
      </c>
      <c r="E202" s="1" t="s">
        <v>103</v>
      </c>
      <c r="F202" s="1" t="s">
        <v>2508</v>
      </c>
      <c r="G202" s="1" t="s">
        <v>27</v>
      </c>
      <c r="H202" s="1" t="s">
        <v>34</v>
      </c>
      <c r="I202" s="1" t="s">
        <v>50</v>
      </c>
      <c r="J202" s="1" t="s">
        <v>3219</v>
      </c>
      <c r="K202" s="1" t="s">
        <v>2534</v>
      </c>
      <c r="L202" s="1" t="s">
        <v>4132</v>
      </c>
      <c r="M202" s="1" t="s">
        <v>176</v>
      </c>
      <c r="N202" s="1" t="s">
        <v>305</v>
      </c>
      <c r="O202" s="1" t="s">
        <v>2697</v>
      </c>
      <c r="P202" s="1"/>
      <c r="Q202" s="1">
        <f>IFERROR(COUNTIFS(_report[TOURNAMENT_CODE],ВСЕ_КОДЫ[[#This Row],[TOURNAMENT_CODE]],_report[CONTEST_CODE],ВСЕ_КОДЫ[[#This Row],[CONTEST_CODE]]),"-")</f>
        <v>0</v>
      </c>
      <c r="R202" s="1" t="str">
        <f>IFERROR(INDEX(_SCHEDULE_[],MATCH(ВСЕ_КОДЫ[[#This Row],[CONTEST_CODE]],_SCHEDULE_[CONTEST_CODE],0),MATCH($R$1,_SCHEDULE_[#Headers],0)),"-")</f>
        <v>ЗАВЕРШЕН</v>
      </c>
      <c r="S202" s="1" t="str">
        <f>IFERROR(INDEX(_group_[],MATCH(ВСЕ_КОДЫ[[#This Row],[CONTEST_CODE]],_group_[CONTEST_CODE],0),MATCH($S$1,_group_[#Headers],0)),"-")</f>
        <v>BANK</v>
      </c>
      <c r="T202" s="1" t="str">
        <f>IFERROR(INDEX(_INDICATOR_[],MATCH(ВСЕ_КОДЫ[[#This Row],[CONTEST_CODE]],_INDICATOR_[CONTEST_CODE],0),MATCH($T$1,_INDICATOR_[#Headers],0)),"-")</f>
        <v>WAIT</v>
      </c>
      <c r="U202" s="1" t="str">
        <f>IFERROR(INDEX(_reward_link_[],MATCH(ВСЕ_КОДЫ[[#This Row],[CONTEST_CODE]],_reward_link_[CONTEST_CODE],0),MATCH($U$1,_reward_link_[#Headers],0)),"-")</f>
        <v>BANK</v>
      </c>
      <c r="V202" s="1" t="str">
        <f>IFERROR(INDEX(_report[],MATCH(ВСЕ_КОДЫ[[#This Row],[CONTEST_CODE]],_report[CONTEST_CODE],0),MATCH($V$1,_report[#Headers],0)),"-")</f>
        <v>-</v>
      </c>
      <c r="W202" s="1" t="str">
        <f>IFERROR(INDEX(_reward_[],MATCH(ВСЕ_КОДЫ[[#This Row],[REWARD_CODE]],_reward_[REWARD_CODE],0),MATCH($W$1,_reward_[#Headers],0)),"-")</f>
        <v>Серебро#по гарантиям</v>
      </c>
      <c r="X202" s="1" t="str">
        <f>IFERROR(INDEX(_group_[],MATCH(CONCATENATE(ВСЕ_КОДЫ[[#This Row],[CONTEST_CODE]],"_",X$2),#REF!,0),MATCH(X$1,_group_[#Headers],0)),"-")</f>
        <v>-</v>
      </c>
      <c r="Y202" s="1" t="str">
        <f>IFERROR(INDEX(_group_[],MATCH(CONCATENATE(ВСЕ_КОДЫ[[#This Row],[CONTEST_CODE]],"_",Y$2),#REF!,0),MATCH(Y$1,_group_[#Headers],0)),"-")</f>
        <v>-</v>
      </c>
      <c r="Z202" s="1" t="str">
        <f>IFERROR(INDEX(_group_[],MATCH(CONCATENATE(ВСЕ_КОДЫ[[#This Row],[CONTEST_CODE]],"_",Z$2),#REF!,0),MATCH(Z$1,_group_[#Headers],0)),"-")</f>
        <v>-</v>
      </c>
      <c r="AA202" s="1" t="str">
        <f>IFERROR(INDEX(_group_[],MATCH(CONCATENATE(ВСЕ_КОДЫ[[#This Row],[CONTEST_CODE]],"_",AA$2),#REF!,0),MATCH(AA$1,_group_[#Headers],0)),"-")</f>
        <v>-</v>
      </c>
      <c r="AB202" s="1" t="str">
        <f>IFERROR(INDEX(_DATA_[],MATCH(ВСЕ_КОДЫ[[#This Row],[CONTEST_CODE]],_DATA_[CONTEST_CODE],0),MATCH($AB$2,_DATA_[#Headers],0)),"-")</f>
        <v>["""KMKKSB"""]</v>
      </c>
      <c r="AC202" s="1" t="str">
        <f>CONCATENATE(ВСЕ_КОДЫ[[#This Row],[CONTEST_CODE]],"_",ВСЕ_КОДЫ[[#This Row],[TOURNAMENT_CODE]])</f>
        <v>01_2025-1_09-1_1_t_01_2025-1_09-1_1_3031</v>
      </c>
      <c r="AD202" s="1" t="str">
        <f>ВСЕ_КОДЫ[[#This Row],[FULL_NAME]]</f>
        <v>Гарантии. Прирост комиссии</v>
      </c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idden="1" x14ac:dyDescent="0.25">
      <c r="A203" s="1" t="s">
        <v>2185</v>
      </c>
      <c r="B203" s="1" t="s">
        <v>3646</v>
      </c>
      <c r="C203" s="1" t="s">
        <v>2696</v>
      </c>
      <c r="D203" s="1" t="s">
        <v>583</v>
      </c>
      <c r="E203" s="1" t="s">
        <v>103</v>
      </c>
      <c r="F203" s="1" t="s">
        <v>2508</v>
      </c>
      <c r="G203" s="1" t="s">
        <v>27</v>
      </c>
      <c r="H203" s="1" t="s">
        <v>34</v>
      </c>
      <c r="I203" s="1" t="s">
        <v>50</v>
      </c>
      <c r="J203" s="1" t="s">
        <v>4019</v>
      </c>
      <c r="K203" s="1" t="s">
        <v>3647</v>
      </c>
      <c r="L203" s="1" t="s">
        <v>4771</v>
      </c>
      <c r="M203" s="1" t="s">
        <v>176</v>
      </c>
      <c r="N203" s="1" t="s">
        <v>305</v>
      </c>
      <c r="O203" s="1" t="s">
        <v>2697</v>
      </c>
      <c r="P203" s="1"/>
      <c r="Q203" s="1">
        <f>IFERROR(COUNTIFS(_report[TOURNAMENT_CODE],ВСЕ_КОДЫ[[#This Row],[TOURNAMENT_CODE]],_report[CONTEST_CODE],ВСЕ_КОДЫ[[#This Row],[CONTEST_CODE]]),"-")</f>
        <v>0</v>
      </c>
      <c r="R203" s="1" t="str">
        <f>IFERROR(INDEX(_SCHEDULE_[],MATCH(ВСЕ_КОДЫ[[#This Row],[CONTEST_CODE]],_SCHEDULE_[CONTEST_CODE],0),MATCH($R$1,_SCHEDULE_[#Headers],0)),"-")</f>
        <v>ЗАВЕРШЕН</v>
      </c>
      <c r="S203" s="1" t="str">
        <f>IFERROR(INDEX(_group_[],MATCH(ВСЕ_КОДЫ[[#This Row],[CONTEST_CODE]],_group_[CONTEST_CODE],0),MATCH($S$1,_group_[#Headers],0)),"-")</f>
        <v>BANK</v>
      </c>
      <c r="T203" s="1" t="str">
        <f>IFERROR(INDEX(_INDICATOR_[],MATCH(ВСЕ_КОДЫ[[#This Row],[CONTEST_CODE]],_INDICATOR_[CONTEST_CODE],0),MATCH($T$1,_INDICATOR_[#Headers],0)),"-")</f>
        <v>WAIT</v>
      </c>
      <c r="U203" s="1" t="str">
        <f>IFERROR(INDEX(_reward_link_[],MATCH(ВСЕ_КОДЫ[[#This Row],[CONTEST_CODE]],_reward_link_[CONTEST_CODE],0),MATCH($U$1,_reward_link_[#Headers],0)),"-")</f>
        <v>BANK</v>
      </c>
      <c r="V203" s="1" t="str">
        <f>IFERROR(INDEX(_report[],MATCH(ВСЕ_КОДЫ[[#This Row],[CONTEST_CODE]],_report[CONTEST_CODE],0),MATCH($V$1,_report[#Headers],0)),"-")</f>
        <v>-</v>
      </c>
      <c r="W203" s="1" t="str">
        <f>IFERROR(INDEX(_reward_[],MATCH(ВСЕ_КОДЫ[[#This Row],[REWARD_CODE]],_reward_[REWARD_CODE],0),MATCH($W$1,_reward_[#Headers],0)),"-")</f>
        <v>Серебро#по гарантиям</v>
      </c>
      <c r="X203" s="1" t="str">
        <f>IFERROR(INDEX(_group_[],MATCH(CONCATENATE(ВСЕ_КОДЫ[[#This Row],[CONTEST_CODE]],"_",X$2),#REF!,0),MATCH(X$1,_group_[#Headers],0)),"-")</f>
        <v>-</v>
      </c>
      <c r="Y203" s="1" t="str">
        <f>IFERROR(INDEX(_group_[],MATCH(CONCATENATE(ВСЕ_КОДЫ[[#This Row],[CONTEST_CODE]],"_",Y$2),#REF!,0),MATCH(Y$1,_group_[#Headers],0)),"-")</f>
        <v>-</v>
      </c>
      <c r="Z203" s="1" t="str">
        <f>IFERROR(INDEX(_group_[],MATCH(CONCATENATE(ВСЕ_КОДЫ[[#This Row],[CONTEST_CODE]],"_",Z$2),#REF!,0),MATCH(Z$1,_group_[#Headers],0)),"-")</f>
        <v>-</v>
      </c>
      <c r="AA203" s="1" t="str">
        <f>IFERROR(INDEX(_group_[],MATCH(CONCATENATE(ВСЕ_КОДЫ[[#This Row],[CONTEST_CODE]],"_",AA$2),#REF!,0),MATCH(AA$1,_group_[#Headers],0)),"-")</f>
        <v>-</v>
      </c>
      <c r="AB203" s="1" t="str">
        <f>IFERROR(INDEX(_DATA_[],MATCH(ВСЕ_КОДЫ[[#This Row],[CONTEST_CODE]],_DATA_[CONTEST_CODE],0),MATCH($AB$2,_DATA_[#Headers],0)),"-")</f>
        <v>["""KMKKSB"""]</v>
      </c>
      <c r="AC203" s="1" t="str">
        <f>CONCATENATE(ВСЕ_КОДЫ[[#This Row],[CONTEST_CODE]],"_",ВСЕ_КОДЫ[[#This Row],[TOURNAMENT_CODE]])</f>
        <v>01_2025-1_09-1_1_t_01_2025-1_09-1_1_3041</v>
      </c>
      <c r="AD203" s="1" t="str">
        <f>ВСЕ_КОДЫ[[#This Row],[FULL_NAME]]</f>
        <v>Гарантии. Прирост комиссии</v>
      </c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idden="1" x14ac:dyDescent="0.25">
      <c r="A204" s="1" t="s">
        <v>2185</v>
      </c>
      <c r="B204" s="1" t="s">
        <v>4755</v>
      </c>
      <c r="C204" s="1" t="s">
        <v>2696</v>
      </c>
      <c r="D204" s="1" t="s">
        <v>583</v>
      </c>
      <c r="E204" s="1" t="s">
        <v>103</v>
      </c>
      <c r="F204" s="1" t="s">
        <v>2508</v>
      </c>
      <c r="G204" s="1" t="s">
        <v>27</v>
      </c>
      <c r="H204" s="1" t="s">
        <v>34</v>
      </c>
      <c r="I204" s="1" t="s">
        <v>50</v>
      </c>
      <c r="J204" s="1" t="s">
        <v>2554</v>
      </c>
      <c r="K204" s="1" t="s">
        <v>4756</v>
      </c>
      <c r="L204" s="1" t="s">
        <v>4757</v>
      </c>
      <c r="M204" s="1" t="s">
        <v>34</v>
      </c>
      <c r="N204" s="1" t="s">
        <v>305</v>
      </c>
      <c r="O204" s="1" t="s">
        <v>2697</v>
      </c>
      <c r="P204" s="1"/>
      <c r="Q204" s="1">
        <f>IFERROR(COUNTIFS(_report[TOURNAMENT_CODE],ВСЕ_КОДЫ[[#This Row],[TOURNAMENT_CODE]],_report[CONTEST_CODE],ВСЕ_КОДЫ[[#This Row],[CONTEST_CODE]]),"-")</f>
        <v>0</v>
      </c>
      <c r="R204" s="1" t="str">
        <f>IFERROR(INDEX(_SCHEDULE_[],MATCH(ВСЕ_КОДЫ[[#This Row],[CONTEST_CODE]],_SCHEDULE_[CONTEST_CODE],0),MATCH($R$1,_SCHEDULE_[#Headers],0)),"-")</f>
        <v>ЗАВЕРШЕН</v>
      </c>
      <c r="S204" s="1" t="str">
        <f>IFERROR(INDEX(_group_[],MATCH(ВСЕ_КОДЫ[[#This Row],[CONTEST_CODE]],_group_[CONTEST_CODE],0),MATCH($S$1,_group_[#Headers],0)),"-")</f>
        <v>BANK</v>
      </c>
      <c r="T204" s="1" t="str">
        <f>IFERROR(INDEX(_INDICATOR_[],MATCH(ВСЕ_КОДЫ[[#This Row],[CONTEST_CODE]],_INDICATOR_[CONTEST_CODE],0),MATCH($T$1,_INDICATOR_[#Headers],0)),"-")</f>
        <v>WAIT</v>
      </c>
      <c r="U204" s="1" t="str">
        <f>IFERROR(INDEX(_reward_link_[],MATCH(ВСЕ_КОДЫ[[#This Row],[CONTEST_CODE]],_reward_link_[CONTEST_CODE],0),MATCH($U$1,_reward_link_[#Headers],0)),"-")</f>
        <v>BANK</v>
      </c>
      <c r="V204" s="1" t="str">
        <f>IFERROR(INDEX(_report[],MATCH(ВСЕ_КОДЫ[[#This Row],[CONTEST_CODE]],_report[CONTEST_CODE],0),MATCH($V$1,_report[#Headers],0)),"-")</f>
        <v>-</v>
      </c>
      <c r="W204" s="1" t="str">
        <f>IFERROR(INDEX(_reward_[],MATCH(ВСЕ_КОДЫ[[#This Row],[REWARD_CODE]],_reward_[REWARD_CODE],0),MATCH($W$1,_reward_[#Headers],0)),"-")</f>
        <v>Серебро#по гарантиям</v>
      </c>
      <c r="X204" s="1" t="str">
        <f>IFERROR(INDEX(_group_[],MATCH(CONCATENATE(ВСЕ_КОДЫ[[#This Row],[CONTEST_CODE]],"_",X$2),#REF!,0),MATCH(X$1,_group_[#Headers],0)),"-")</f>
        <v>-</v>
      </c>
      <c r="Y204" s="1" t="str">
        <f>IFERROR(INDEX(_group_[],MATCH(CONCATENATE(ВСЕ_КОДЫ[[#This Row],[CONTEST_CODE]],"_",Y$2),#REF!,0),MATCH(Y$1,_group_[#Headers],0)),"-")</f>
        <v>-</v>
      </c>
      <c r="Z204" s="1" t="str">
        <f>IFERROR(INDEX(_group_[],MATCH(CONCATENATE(ВСЕ_КОДЫ[[#This Row],[CONTEST_CODE]],"_",Z$2),#REF!,0),MATCH(Z$1,_group_[#Headers],0)),"-")</f>
        <v>-</v>
      </c>
      <c r="AA204" s="1" t="str">
        <f>IFERROR(INDEX(_group_[],MATCH(CONCATENATE(ВСЕ_КОДЫ[[#This Row],[CONTEST_CODE]],"_",AA$2),#REF!,0),MATCH(AA$1,_group_[#Headers],0)),"-")</f>
        <v>-</v>
      </c>
      <c r="AB204" s="1" t="str">
        <f>IFERROR(INDEX(_DATA_[],MATCH(ВСЕ_КОДЫ[[#This Row],[CONTEST_CODE]],_DATA_[CONTEST_CODE],0),MATCH($AB$2,_DATA_[#Headers],0)),"-")</f>
        <v>["""KMKKSB"""]</v>
      </c>
      <c r="AC204" s="1" t="str">
        <f>CONCATENATE(ВСЕ_КОДЫ[[#This Row],[CONTEST_CODE]],"_",ВСЕ_КОДЫ[[#This Row],[TOURNAMENT_CODE]])</f>
        <v>01_2025-1_09-1_1_t_01_2025-1_09-1_1_3051</v>
      </c>
      <c r="AD204" s="1" t="str">
        <f>ВСЕ_КОДЫ[[#This Row],[FULL_NAME]]</f>
        <v>Гарантии. Прирост комиссии</v>
      </c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idden="1" x14ac:dyDescent="0.25">
      <c r="A205" s="1" t="s">
        <v>2185</v>
      </c>
      <c r="B205" s="1" t="s">
        <v>4808</v>
      </c>
      <c r="C205" s="1" t="s">
        <v>2696</v>
      </c>
      <c r="D205" s="1" t="s">
        <v>583</v>
      </c>
      <c r="E205" s="1" t="s">
        <v>103</v>
      </c>
      <c r="F205" s="1" t="s">
        <v>2508</v>
      </c>
      <c r="G205" s="1" t="s">
        <v>27</v>
      </c>
      <c r="H205" s="1" t="s">
        <v>34</v>
      </c>
      <c r="I205" s="1" t="s">
        <v>50</v>
      </c>
      <c r="J205" s="1" t="s">
        <v>4809</v>
      </c>
      <c r="K205" s="1" t="s">
        <v>2542</v>
      </c>
      <c r="L205" s="1" t="s">
        <v>3545</v>
      </c>
      <c r="M205" s="1" t="s">
        <v>34</v>
      </c>
      <c r="N205" s="1" t="s">
        <v>305</v>
      </c>
      <c r="O205" s="1" t="s">
        <v>2697</v>
      </c>
      <c r="P205" s="1"/>
      <c r="Q205" s="1">
        <f>IFERROR(COUNTIFS(_report[TOURNAMENT_CODE],ВСЕ_КОДЫ[[#This Row],[TOURNAMENT_CODE]],_report[CONTEST_CODE],ВСЕ_КОДЫ[[#This Row],[CONTEST_CODE]]),"-")</f>
        <v>0</v>
      </c>
      <c r="R205" s="1" t="str">
        <f>IFERROR(INDEX(_SCHEDULE_[],MATCH(ВСЕ_КОДЫ[[#This Row],[CONTEST_CODE]],_SCHEDULE_[CONTEST_CODE],0),MATCH($R$1,_SCHEDULE_[#Headers],0)),"-")</f>
        <v>ЗАВЕРШЕН</v>
      </c>
      <c r="S205" s="1" t="str">
        <f>IFERROR(INDEX(_group_[],MATCH(ВСЕ_КОДЫ[[#This Row],[CONTEST_CODE]],_group_[CONTEST_CODE],0),MATCH($S$1,_group_[#Headers],0)),"-")</f>
        <v>BANK</v>
      </c>
      <c r="T205" s="1" t="str">
        <f>IFERROR(INDEX(_INDICATOR_[],MATCH(ВСЕ_КОДЫ[[#This Row],[CONTEST_CODE]],_INDICATOR_[CONTEST_CODE],0),MATCH($T$1,_INDICATOR_[#Headers],0)),"-")</f>
        <v>WAIT</v>
      </c>
      <c r="U205" s="1" t="str">
        <f>IFERROR(INDEX(_reward_link_[],MATCH(ВСЕ_КОДЫ[[#This Row],[CONTEST_CODE]],_reward_link_[CONTEST_CODE],0),MATCH($U$1,_reward_link_[#Headers],0)),"-")</f>
        <v>BANK</v>
      </c>
      <c r="V205" s="1" t="str">
        <f>IFERROR(INDEX(_report[],MATCH(ВСЕ_КОДЫ[[#This Row],[CONTEST_CODE]],_report[CONTEST_CODE],0),MATCH($V$1,_report[#Headers],0)),"-")</f>
        <v>-</v>
      </c>
      <c r="W205" s="1" t="str">
        <f>IFERROR(INDEX(_reward_[],MATCH(ВСЕ_КОДЫ[[#This Row],[REWARD_CODE]],_reward_[REWARD_CODE],0),MATCH($W$1,_reward_[#Headers],0)),"-")</f>
        <v>Серебро#по гарантиям</v>
      </c>
      <c r="X205" s="1" t="str">
        <f>IFERROR(INDEX(_group_[],MATCH(CONCATENATE(ВСЕ_КОДЫ[[#This Row],[CONTEST_CODE]],"_",X$2),#REF!,0),MATCH(X$1,_group_[#Headers],0)),"-")</f>
        <v>-</v>
      </c>
      <c r="Y205" s="1" t="str">
        <f>IFERROR(INDEX(_group_[],MATCH(CONCATENATE(ВСЕ_КОДЫ[[#This Row],[CONTEST_CODE]],"_",Y$2),#REF!,0),MATCH(Y$1,_group_[#Headers],0)),"-")</f>
        <v>-</v>
      </c>
      <c r="Z205" s="1" t="str">
        <f>IFERROR(INDEX(_group_[],MATCH(CONCATENATE(ВСЕ_КОДЫ[[#This Row],[CONTEST_CODE]],"_",Z$2),#REF!,0),MATCH(Z$1,_group_[#Headers],0)),"-")</f>
        <v>-</v>
      </c>
      <c r="AA205" s="1" t="str">
        <f>IFERROR(INDEX(_group_[],MATCH(CONCATENATE(ВСЕ_КОДЫ[[#This Row],[CONTEST_CODE]],"_",AA$2),#REF!,0),MATCH(AA$1,_group_[#Headers],0)),"-")</f>
        <v>-</v>
      </c>
      <c r="AB205" s="1" t="str">
        <f>IFERROR(INDEX(_DATA_[],MATCH(ВСЕ_КОДЫ[[#This Row],[CONTEST_CODE]],_DATA_[CONTEST_CODE],0),MATCH($AB$2,_DATA_[#Headers],0)),"-")</f>
        <v>["""KMKKSB"""]</v>
      </c>
      <c r="AC205" s="1" t="str">
        <f>CONCATENATE(ВСЕ_КОДЫ[[#This Row],[CONTEST_CODE]],"_",ВСЕ_КОДЫ[[#This Row],[TOURNAMENT_CODE]])</f>
        <v>01_2025-1_09-1_1_t_01_2025-1_09-1_1_3061</v>
      </c>
      <c r="AD205" s="1" t="str">
        <f>ВСЕ_КОДЫ[[#This Row],[FULL_NAME]]</f>
        <v>Гарантии. Прирост комиссии</v>
      </c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idden="1" x14ac:dyDescent="0.25">
      <c r="A206" s="1" t="s">
        <v>2185</v>
      </c>
      <c r="B206" s="1" t="s">
        <v>2520</v>
      </c>
      <c r="C206" s="1" t="s">
        <v>2315</v>
      </c>
      <c r="D206" s="1" t="s">
        <v>584</v>
      </c>
      <c r="E206" s="1" t="s">
        <v>103</v>
      </c>
      <c r="F206" s="1" t="s">
        <v>2508</v>
      </c>
      <c r="G206" s="1" t="s">
        <v>27</v>
      </c>
      <c r="H206" s="1" t="s">
        <v>34</v>
      </c>
      <c r="I206" s="1" t="s">
        <v>50</v>
      </c>
      <c r="J206" s="1" t="s">
        <v>2521</v>
      </c>
      <c r="K206" s="1" t="s">
        <v>2522</v>
      </c>
      <c r="L206" s="1" t="s">
        <v>4147</v>
      </c>
      <c r="M206" s="1" t="s">
        <v>176</v>
      </c>
      <c r="N206" s="1" t="s">
        <v>305</v>
      </c>
      <c r="O206" s="1" t="s">
        <v>2699</v>
      </c>
      <c r="P206" s="1"/>
      <c r="Q206" s="1">
        <f>IFERROR(COUNTIFS(_report[TOURNAMENT_CODE],ВСЕ_КОДЫ[[#This Row],[TOURNAMENT_CODE]],_report[CONTEST_CODE],ВСЕ_КОДЫ[[#This Row],[CONTEST_CODE]]),"-")</f>
        <v>0</v>
      </c>
      <c r="R206" s="1" t="str">
        <f>IFERROR(INDEX(_SCHEDULE_[],MATCH(ВСЕ_КОДЫ[[#This Row],[CONTEST_CODE]],_SCHEDULE_[CONTEST_CODE],0),MATCH($R$1,_SCHEDULE_[#Headers],0)),"-")</f>
        <v>ЗАВЕРШЕН</v>
      </c>
      <c r="S206" s="1" t="str">
        <f>IFERROR(INDEX(_group_[],MATCH(ВСЕ_КОДЫ[[#This Row],[CONTEST_CODE]],_group_[CONTEST_CODE],0),MATCH($S$1,_group_[#Headers],0)),"-")</f>
        <v>BANK</v>
      </c>
      <c r="T206" s="1" t="str">
        <f>IFERROR(INDEX(_INDICATOR_[],MATCH(ВСЕ_КОДЫ[[#This Row],[CONTEST_CODE]],_INDICATOR_[CONTEST_CODE],0),MATCH($T$1,_INDICATOR_[#Headers],0)),"-")</f>
        <v>WAIT</v>
      </c>
      <c r="U206" s="1" t="str">
        <f>IFERROR(INDEX(_reward_link_[],MATCH(ВСЕ_КОДЫ[[#This Row],[CONTEST_CODE]],_reward_link_[CONTEST_CODE],0),MATCH($U$1,_reward_link_[#Headers],0)),"-")</f>
        <v>BANK</v>
      </c>
      <c r="V206" s="1" t="str">
        <f>IFERROR(INDEX(_report[],MATCH(ВСЕ_КОДЫ[[#This Row],[CONTEST_CODE]],_report[CONTEST_CODE],0),MATCH($V$1,_report[#Headers],0)),"-")</f>
        <v>-</v>
      </c>
      <c r="W206" s="1" t="str">
        <f>IFERROR(INDEX(_reward_[],MATCH(ВСЕ_КОДЫ[[#This Row],[REWARD_CODE]],_reward_[REWARD_CODE],0),MATCH($W$1,_reward_[#Headers],0)),"-")</f>
        <v>Бронза#по гарантиям</v>
      </c>
      <c r="X206" s="1" t="str">
        <f>IFERROR(INDEX(_group_[],MATCH(CONCATENATE(ВСЕ_КОДЫ[[#This Row],[CONTEST_CODE]],"_",X$2),#REF!,0),MATCH(X$1,_group_[#Headers],0)),"-")</f>
        <v>-</v>
      </c>
      <c r="Y206" s="1" t="str">
        <f>IFERROR(INDEX(_group_[],MATCH(CONCATENATE(ВСЕ_КОДЫ[[#This Row],[CONTEST_CODE]],"_",Y$2),#REF!,0),MATCH(Y$1,_group_[#Headers],0)),"-")</f>
        <v>-</v>
      </c>
      <c r="Z206" s="1" t="str">
        <f>IFERROR(INDEX(_group_[],MATCH(CONCATENATE(ВСЕ_КОДЫ[[#This Row],[CONTEST_CODE]],"_",Z$2),#REF!,0),MATCH(Z$1,_group_[#Headers],0)),"-")</f>
        <v>-</v>
      </c>
      <c r="AA206" s="1" t="str">
        <f>IFERROR(INDEX(_group_[],MATCH(CONCATENATE(ВСЕ_КОДЫ[[#This Row],[CONTEST_CODE]],"_",AA$2),#REF!,0),MATCH(AA$1,_group_[#Headers],0)),"-")</f>
        <v>-</v>
      </c>
      <c r="AB206" s="1" t="str">
        <f>IFERROR(INDEX(_DATA_[],MATCH(ВСЕ_КОДЫ[[#This Row],[CONTEST_CODE]],_DATA_[CONTEST_CODE],0),MATCH($AB$2,_DATA_[#Headers],0)),"-")</f>
        <v>["""KMKKSB"""]</v>
      </c>
      <c r="AC206" s="1" t="str">
        <f>CONCATENATE(ВСЕ_КОДЫ[[#This Row],[CONTEST_CODE]],"_",ВСЕ_КОДЫ[[#This Row],[TOURNAMENT_CODE]])</f>
        <v>01_2025-1_09-1_1_t_01_2025-1_09-1_1_3021</v>
      </c>
      <c r="AD206" s="1" t="str">
        <f>ВСЕ_КОДЫ[[#This Row],[FULL_NAME]]</f>
        <v>Гарантии. Прирост комиссии</v>
      </c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idden="1" x14ac:dyDescent="0.25">
      <c r="A207" s="1" t="s">
        <v>2185</v>
      </c>
      <c r="B207" s="1" t="s">
        <v>3218</v>
      </c>
      <c r="C207" s="1" t="s">
        <v>2315</v>
      </c>
      <c r="D207" s="1" t="s">
        <v>584</v>
      </c>
      <c r="E207" s="1" t="s">
        <v>103</v>
      </c>
      <c r="F207" s="1" t="s">
        <v>2508</v>
      </c>
      <c r="G207" s="1" t="s">
        <v>27</v>
      </c>
      <c r="H207" s="1" t="s">
        <v>34</v>
      </c>
      <c r="I207" s="1" t="s">
        <v>50</v>
      </c>
      <c r="J207" s="1" t="s">
        <v>3219</v>
      </c>
      <c r="K207" s="1" t="s">
        <v>2534</v>
      </c>
      <c r="L207" s="1" t="s">
        <v>4132</v>
      </c>
      <c r="M207" s="1" t="s">
        <v>176</v>
      </c>
      <c r="N207" s="1" t="s">
        <v>305</v>
      </c>
      <c r="O207" s="1" t="s">
        <v>2699</v>
      </c>
      <c r="P207" s="1"/>
      <c r="Q207" s="1">
        <f>IFERROR(COUNTIFS(_report[TOURNAMENT_CODE],ВСЕ_КОДЫ[[#This Row],[TOURNAMENT_CODE]],_report[CONTEST_CODE],ВСЕ_КОДЫ[[#This Row],[CONTEST_CODE]]),"-")</f>
        <v>0</v>
      </c>
      <c r="R207" s="1" t="str">
        <f>IFERROR(INDEX(_SCHEDULE_[],MATCH(ВСЕ_КОДЫ[[#This Row],[CONTEST_CODE]],_SCHEDULE_[CONTEST_CODE],0),MATCH($R$1,_SCHEDULE_[#Headers],0)),"-")</f>
        <v>ЗАВЕРШЕН</v>
      </c>
      <c r="S207" s="1" t="str">
        <f>IFERROR(INDEX(_group_[],MATCH(ВСЕ_КОДЫ[[#This Row],[CONTEST_CODE]],_group_[CONTEST_CODE],0),MATCH($S$1,_group_[#Headers],0)),"-")</f>
        <v>BANK</v>
      </c>
      <c r="T207" s="1" t="str">
        <f>IFERROR(INDEX(_INDICATOR_[],MATCH(ВСЕ_КОДЫ[[#This Row],[CONTEST_CODE]],_INDICATOR_[CONTEST_CODE],0),MATCH($T$1,_INDICATOR_[#Headers],0)),"-")</f>
        <v>WAIT</v>
      </c>
      <c r="U207" s="1" t="str">
        <f>IFERROR(INDEX(_reward_link_[],MATCH(ВСЕ_КОДЫ[[#This Row],[CONTEST_CODE]],_reward_link_[CONTEST_CODE],0),MATCH($U$1,_reward_link_[#Headers],0)),"-")</f>
        <v>BANK</v>
      </c>
      <c r="V207" s="1" t="str">
        <f>IFERROR(INDEX(_report[],MATCH(ВСЕ_КОДЫ[[#This Row],[CONTEST_CODE]],_report[CONTEST_CODE],0),MATCH($V$1,_report[#Headers],0)),"-")</f>
        <v>-</v>
      </c>
      <c r="W207" s="1" t="str">
        <f>IFERROR(INDEX(_reward_[],MATCH(ВСЕ_КОДЫ[[#This Row],[REWARD_CODE]],_reward_[REWARD_CODE],0),MATCH($W$1,_reward_[#Headers],0)),"-")</f>
        <v>Бронза#по гарантиям</v>
      </c>
      <c r="X207" s="1" t="str">
        <f>IFERROR(INDEX(_group_[],MATCH(CONCATENATE(ВСЕ_КОДЫ[[#This Row],[CONTEST_CODE]],"_",X$2),#REF!,0),MATCH(X$1,_group_[#Headers],0)),"-")</f>
        <v>-</v>
      </c>
      <c r="Y207" s="1" t="str">
        <f>IFERROR(INDEX(_group_[],MATCH(CONCATENATE(ВСЕ_КОДЫ[[#This Row],[CONTEST_CODE]],"_",Y$2),#REF!,0),MATCH(Y$1,_group_[#Headers],0)),"-")</f>
        <v>-</v>
      </c>
      <c r="Z207" s="1" t="str">
        <f>IFERROR(INDEX(_group_[],MATCH(CONCATENATE(ВСЕ_КОДЫ[[#This Row],[CONTEST_CODE]],"_",Z$2),#REF!,0),MATCH(Z$1,_group_[#Headers],0)),"-")</f>
        <v>-</v>
      </c>
      <c r="AA207" s="1" t="str">
        <f>IFERROR(INDEX(_group_[],MATCH(CONCATENATE(ВСЕ_КОДЫ[[#This Row],[CONTEST_CODE]],"_",AA$2),#REF!,0),MATCH(AA$1,_group_[#Headers],0)),"-")</f>
        <v>-</v>
      </c>
      <c r="AB207" s="1" t="str">
        <f>IFERROR(INDEX(_DATA_[],MATCH(ВСЕ_КОДЫ[[#This Row],[CONTEST_CODE]],_DATA_[CONTEST_CODE],0),MATCH($AB$2,_DATA_[#Headers],0)),"-")</f>
        <v>["""KMKKSB"""]</v>
      </c>
      <c r="AC207" s="1" t="str">
        <f>CONCATENATE(ВСЕ_КОДЫ[[#This Row],[CONTEST_CODE]],"_",ВСЕ_КОДЫ[[#This Row],[TOURNAMENT_CODE]])</f>
        <v>01_2025-1_09-1_1_t_01_2025-1_09-1_1_3031</v>
      </c>
      <c r="AD207" s="1" t="str">
        <f>ВСЕ_КОДЫ[[#This Row],[FULL_NAME]]</f>
        <v>Гарантии. Прирост комиссии</v>
      </c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idden="1" x14ac:dyDescent="0.25">
      <c r="A208" s="1" t="s">
        <v>2185</v>
      </c>
      <c r="B208" s="1" t="s">
        <v>3646</v>
      </c>
      <c r="C208" s="1" t="s">
        <v>2315</v>
      </c>
      <c r="D208" s="1" t="s">
        <v>584</v>
      </c>
      <c r="E208" s="1" t="s">
        <v>103</v>
      </c>
      <c r="F208" s="1" t="s">
        <v>2508</v>
      </c>
      <c r="G208" s="1" t="s">
        <v>27</v>
      </c>
      <c r="H208" s="1" t="s">
        <v>34</v>
      </c>
      <c r="I208" s="1" t="s">
        <v>50</v>
      </c>
      <c r="J208" s="1" t="s">
        <v>4019</v>
      </c>
      <c r="K208" s="1" t="s">
        <v>3647</v>
      </c>
      <c r="L208" s="1" t="s">
        <v>4771</v>
      </c>
      <c r="M208" s="1" t="s">
        <v>176</v>
      </c>
      <c r="N208" s="1" t="s">
        <v>305</v>
      </c>
      <c r="O208" s="1" t="s">
        <v>2699</v>
      </c>
      <c r="P208" s="1"/>
      <c r="Q208" s="1">
        <f>IFERROR(COUNTIFS(_report[TOURNAMENT_CODE],ВСЕ_КОДЫ[[#This Row],[TOURNAMENT_CODE]],_report[CONTEST_CODE],ВСЕ_КОДЫ[[#This Row],[CONTEST_CODE]]),"-")</f>
        <v>0</v>
      </c>
      <c r="R208" s="1" t="str">
        <f>IFERROR(INDEX(_SCHEDULE_[],MATCH(ВСЕ_КОДЫ[[#This Row],[CONTEST_CODE]],_SCHEDULE_[CONTEST_CODE],0),MATCH($R$1,_SCHEDULE_[#Headers],0)),"-")</f>
        <v>ЗАВЕРШЕН</v>
      </c>
      <c r="S208" s="1" t="str">
        <f>IFERROR(INDEX(_group_[],MATCH(ВСЕ_КОДЫ[[#This Row],[CONTEST_CODE]],_group_[CONTEST_CODE],0),MATCH($S$1,_group_[#Headers],0)),"-")</f>
        <v>BANK</v>
      </c>
      <c r="T208" s="1" t="str">
        <f>IFERROR(INDEX(_INDICATOR_[],MATCH(ВСЕ_КОДЫ[[#This Row],[CONTEST_CODE]],_INDICATOR_[CONTEST_CODE],0),MATCH($T$1,_INDICATOR_[#Headers],0)),"-")</f>
        <v>WAIT</v>
      </c>
      <c r="U208" s="1" t="str">
        <f>IFERROR(INDEX(_reward_link_[],MATCH(ВСЕ_КОДЫ[[#This Row],[CONTEST_CODE]],_reward_link_[CONTEST_CODE],0),MATCH($U$1,_reward_link_[#Headers],0)),"-")</f>
        <v>BANK</v>
      </c>
      <c r="V208" s="1" t="str">
        <f>IFERROR(INDEX(_report[],MATCH(ВСЕ_КОДЫ[[#This Row],[CONTEST_CODE]],_report[CONTEST_CODE],0),MATCH($V$1,_report[#Headers],0)),"-")</f>
        <v>-</v>
      </c>
      <c r="W208" s="1" t="str">
        <f>IFERROR(INDEX(_reward_[],MATCH(ВСЕ_КОДЫ[[#This Row],[REWARD_CODE]],_reward_[REWARD_CODE],0),MATCH($W$1,_reward_[#Headers],0)),"-")</f>
        <v>Бронза#по гарантиям</v>
      </c>
      <c r="X208" s="1" t="str">
        <f>IFERROR(INDEX(_group_[],MATCH(CONCATENATE(ВСЕ_КОДЫ[[#This Row],[CONTEST_CODE]],"_",X$2),#REF!,0),MATCH(X$1,_group_[#Headers],0)),"-")</f>
        <v>-</v>
      </c>
      <c r="Y208" s="1" t="str">
        <f>IFERROR(INDEX(_group_[],MATCH(CONCATENATE(ВСЕ_КОДЫ[[#This Row],[CONTEST_CODE]],"_",Y$2),#REF!,0),MATCH(Y$1,_group_[#Headers],0)),"-")</f>
        <v>-</v>
      </c>
      <c r="Z208" s="1" t="str">
        <f>IFERROR(INDEX(_group_[],MATCH(CONCATENATE(ВСЕ_КОДЫ[[#This Row],[CONTEST_CODE]],"_",Z$2),#REF!,0),MATCH(Z$1,_group_[#Headers],0)),"-")</f>
        <v>-</v>
      </c>
      <c r="AA208" s="1" t="str">
        <f>IFERROR(INDEX(_group_[],MATCH(CONCATENATE(ВСЕ_КОДЫ[[#This Row],[CONTEST_CODE]],"_",AA$2),#REF!,0),MATCH(AA$1,_group_[#Headers],0)),"-")</f>
        <v>-</v>
      </c>
      <c r="AB208" s="1" t="str">
        <f>IFERROR(INDEX(_DATA_[],MATCH(ВСЕ_КОДЫ[[#This Row],[CONTEST_CODE]],_DATA_[CONTEST_CODE],0),MATCH($AB$2,_DATA_[#Headers],0)),"-")</f>
        <v>["""KMKKSB"""]</v>
      </c>
      <c r="AC208" s="1" t="str">
        <f>CONCATENATE(ВСЕ_КОДЫ[[#This Row],[CONTEST_CODE]],"_",ВСЕ_КОДЫ[[#This Row],[TOURNAMENT_CODE]])</f>
        <v>01_2025-1_09-1_1_t_01_2025-1_09-1_1_3041</v>
      </c>
      <c r="AD208" s="1" t="str">
        <f>ВСЕ_КОДЫ[[#This Row],[FULL_NAME]]</f>
        <v>Гарантии. Прирост комиссии</v>
      </c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idden="1" x14ac:dyDescent="0.25">
      <c r="A209" s="1" t="s">
        <v>2185</v>
      </c>
      <c r="B209" s="1" t="s">
        <v>4755</v>
      </c>
      <c r="C209" s="1" t="s">
        <v>2315</v>
      </c>
      <c r="D209" s="1" t="s">
        <v>584</v>
      </c>
      <c r="E209" s="1" t="s">
        <v>103</v>
      </c>
      <c r="F209" s="1" t="s">
        <v>2508</v>
      </c>
      <c r="G209" s="1" t="s">
        <v>27</v>
      </c>
      <c r="H209" s="1" t="s">
        <v>34</v>
      </c>
      <c r="I209" s="1" t="s">
        <v>50</v>
      </c>
      <c r="J209" s="1" t="s">
        <v>2554</v>
      </c>
      <c r="K209" s="1" t="s">
        <v>4756</v>
      </c>
      <c r="L209" s="1" t="s">
        <v>4757</v>
      </c>
      <c r="M209" s="1" t="s">
        <v>34</v>
      </c>
      <c r="N209" s="1" t="s">
        <v>305</v>
      </c>
      <c r="O209" s="1" t="s">
        <v>2699</v>
      </c>
      <c r="P209" s="1"/>
      <c r="Q209" s="1">
        <f>IFERROR(COUNTIFS(_report[TOURNAMENT_CODE],ВСЕ_КОДЫ[[#This Row],[TOURNAMENT_CODE]],_report[CONTEST_CODE],ВСЕ_КОДЫ[[#This Row],[CONTEST_CODE]]),"-")</f>
        <v>0</v>
      </c>
      <c r="R209" s="1" t="str">
        <f>IFERROR(INDEX(_SCHEDULE_[],MATCH(ВСЕ_КОДЫ[[#This Row],[CONTEST_CODE]],_SCHEDULE_[CONTEST_CODE],0),MATCH($R$1,_SCHEDULE_[#Headers],0)),"-")</f>
        <v>ЗАВЕРШЕН</v>
      </c>
      <c r="S209" s="1" t="str">
        <f>IFERROR(INDEX(_group_[],MATCH(ВСЕ_КОДЫ[[#This Row],[CONTEST_CODE]],_group_[CONTEST_CODE],0),MATCH($S$1,_group_[#Headers],0)),"-")</f>
        <v>BANK</v>
      </c>
      <c r="T209" s="1" t="str">
        <f>IFERROR(INDEX(_INDICATOR_[],MATCH(ВСЕ_КОДЫ[[#This Row],[CONTEST_CODE]],_INDICATOR_[CONTEST_CODE],0),MATCH($T$1,_INDICATOR_[#Headers],0)),"-")</f>
        <v>WAIT</v>
      </c>
      <c r="U209" s="1" t="str">
        <f>IFERROR(INDEX(_reward_link_[],MATCH(ВСЕ_КОДЫ[[#This Row],[CONTEST_CODE]],_reward_link_[CONTEST_CODE],0),MATCH($U$1,_reward_link_[#Headers],0)),"-")</f>
        <v>BANK</v>
      </c>
      <c r="V209" s="1" t="str">
        <f>IFERROR(INDEX(_report[],MATCH(ВСЕ_КОДЫ[[#This Row],[CONTEST_CODE]],_report[CONTEST_CODE],0),MATCH($V$1,_report[#Headers],0)),"-")</f>
        <v>-</v>
      </c>
      <c r="W209" s="1" t="str">
        <f>IFERROR(INDEX(_reward_[],MATCH(ВСЕ_КОДЫ[[#This Row],[REWARD_CODE]],_reward_[REWARD_CODE],0),MATCH($W$1,_reward_[#Headers],0)),"-")</f>
        <v>Бронза#по гарантиям</v>
      </c>
      <c r="X209" s="1" t="str">
        <f>IFERROR(INDEX(_group_[],MATCH(CONCATENATE(ВСЕ_КОДЫ[[#This Row],[CONTEST_CODE]],"_",X$2),#REF!,0),MATCH(X$1,_group_[#Headers],0)),"-")</f>
        <v>-</v>
      </c>
      <c r="Y209" s="1" t="str">
        <f>IFERROR(INDEX(_group_[],MATCH(CONCATENATE(ВСЕ_КОДЫ[[#This Row],[CONTEST_CODE]],"_",Y$2),#REF!,0),MATCH(Y$1,_group_[#Headers],0)),"-")</f>
        <v>-</v>
      </c>
      <c r="Z209" s="1" t="str">
        <f>IFERROR(INDEX(_group_[],MATCH(CONCATENATE(ВСЕ_КОДЫ[[#This Row],[CONTEST_CODE]],"_",Z$2),#REF!,0),MATCH(Z$1,_group_[#Headers],0)),"-")</f>
        <v>-</v>
      </c>
      <c r="AA209" s="1" t="str">
        <f>IFERROR(INDEX(_group_[],MATCH(CONCATENATE(ВСЕ_КОДЫ[[#This Row],[CONTEST_CODE]],"_",AA$2),#REF!,0),MATCH(AA$1,_group_[#Headers],0)),"-")</f>
        <v>-</v>
      </c>
      <c r="AB209" s="1" t="str">
        <f>IFERROR(INDEX(_DATA_[],MATCH(ВСЕ_КОДЫ[[#This Row],[CONTEST_CODE]],_DATA_[CONTEST_CODE],0),MATCH($AB$2,_DATA_[#Headers],0)),"-")</f>
        <v>["""KMKKSB"""]</v>
      </c>
      <c r="AC209" s="1" t="str">
        <f>CONCATENATE(ВСЕ_КОДЫ[[#This Row],[CONTEST_CODE]],"_",ВСЕ_КОДЫ[[#This Row],[TOURNAMENT_CODE]])</f>
        <v>01_2025-1_09-1_1_t_01_2025-1_09-1_1_3051</v>
      </c>
      <c r="AD209" s="1" t="str">
        <f>ВСЕ_КОДЫ[[#This Row],[FULL_NAME]]</f>
        <v>Гарантии. Прирост комиссии</v>
      </c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idden="1" x14ac:dyDescent="0.25">
      <c r="A210" s="1" t="s">
        <v>2185</v>
      </c>
      <c r="B210" s="1" t="s">
        <v>4808</v>
      </c>
      <c r="C210" s="1" t="s">
        <v>2315</v>
      </c>
      <c r="D210" s="1" t="s">
        <v>584</v>
      </c>
      <c r="E210" s="1" t="s">
        <v>103</v>
      </c>
      <c r="F210" s="1" t="s">
        <v>2508</v>
      </c>
      <c r="G210" s="1" t="s">
        <v>27</v>
      </c>
      <c r="H210" s="1" t="s">
        <v>34</v>
      </c>
      <c r="I210" s="1" t="s">
        <v>50</v>
      </c>
      <c r="J210" s="1" t="s">
        <v>4809</v>
      </c>
      <c r="K210" s="1" t="s">
        <v>2542</v>
      </c>
      <c r="L210" s="1" t="s">
        <v>3545</v>
      </c>
      <c r="M210" s="1" t="s">
        <v>34</v>
      </c>
      <c r="N210" s="1" t="s">
        <v>305</v>
      </c>
      <c r="O210" s="1" t="s">
        <v>2699</v>
      </c>
      <c r="P210" s="1"/>
      <c r="Q210" s="1">
        <f>IFERROR(COUNTIFS(_report[TOURNAMENT_CODE],ВСЕ_КОДЫ[[#This Row],[TOURNAMENT_CODE]],_report[CONTEST_CODE],ВСЕ_КОДЫ[[#This Row],[CONTEST_CODE]]),"-")</f>
        <v>0</v>
      </c>
      <c r="R210" s="1" t="str">
        <f>IFERROR(INDEX(_SCHEDULE_[],MATCH(ВСЕ_КОДЫ[[#This Row],[CONTEST_CODE]],_SCHEDULE_[CONTEST_CODE],0),MATCH($R$1,_SCHEDULE_[#Headers],0)),"-")</f>
        <v>ЗАВЕРШЕН</v>
      </c>
      <c r="S210" s="1" t="str">
        <f>IFERROR(INDEX(_group_[],MATCH(ВСЕ_КОДЫ[[#This Row],[CONTEST_CODE]],_group_[CONTEST_CODE],0),MATCH($S$1,_group_[#Headers],0)),"-")</f>
        <v>BANK</v>
      </c>
      <c r="T210" s="1" t="str">
        <f>IFERROR(INDEX(_INDICATOR_[],MATCH(ВСЕ_КОДЫ[[#This Row],[CONTEST_CODE]],_INDICATOR_[CONTEST_CODE],0),MATCH($T$1,_INDICATOR_[#Headers],0)),"-")</f>
        <v>WAIT</v>
      </c>
      <c r="U210" s="1" t="str">
        <f>IFERROR(INDEX(_reward_link_[],MATCH(ВСЕ_КОДЫ[[#This Row],[CONTEST_CODE]],_reward_link_[CONTEST_CODE],0),MATCH($U$1,_reward_link_[#Headers],0)),"-")</f>
        <v>BANK</v>
      </c>
      <c r="V210" s="1" t="str">
        <f>IFERROR(INDEX(_report[],MATCH(ВСЕ_КОДЫ[[#This Row],[CONTEST_CODE]],_report[CONTEST_CODE],0),MATCH($V$1,_report[#Headers],0)),"-")</f>
        <v>-</v>
      </c>
      <c r="W210" s="1" t="str">
        <f>IFERROR(INDEX(_reward_[],MATCH(ВСЕ_КОДЫ[[#This Row],[REWARD_CODE]],_reward_[REWARD_CODE],0),MATCH($W$1,_reward_[#Headers],0)),"-")</f>
        <v>Бронза#по гарантиям</v>
      </c>
      <c r="X210" s="1" t="str">
        <f>IFERROR(INDEX(_group_[],MATCH(CONCATENATE(ВСЕ_КОДЫ[[#This Row],[CONTEST_CODE]],"_",X$2),#REF!,0),MATCH(X$1,_group_[#Headers],0)),"-")</f>
        <v>-</v>
      </c>
      <c r="Y210" s="1" t="str">
        <f>IFERROR(INDEX(_group_[],MATCH(CONCATENATE(ВСЕ_КОДЫ[[#This Row],[CONTEST_CODE]],"_",Y$2),#REF!,0),MATCH(Y$1,_group_[#Headers],0)),"-")</f>
        <v>-</v>
      </c>
      <c r="Z210" s="1" t="str">
        <f>IFERROR(INDEX(_group_[],MATCH(CONCATENATE(ВСЕ_КОДЫ[[#This Row],[CONTEST_CODE]],"_",Z$2),#REF!,0),MATCH(Z$1,_group_[#Headers],0)),"-")</f>
        <v>-</v>
      </c>
      <c r="AA210" s="1" t="str">
        <f>IFERROR(INDEX(_group_[],MATCH(CONCATENATE(ВСЕ_КОДЫ[[#This Row],[CONTEST_CODE]],"_",AA$2),#REF!,0),MATCH(AA$1,_group_[#Headers],0)),"-")</f>
        <v>-</v>
      </c>
      <c r="AB210" s="1" t="str">
        <f>IFERROR(INDEX(_DATA_[],MATCH(ВСЕ_КОДЫ[[#This Row],[CONTEST_CODE]],_DATA_[CONTEST_CODE],0),MATCH($AB$2,_DATA_[#Headers],0)),"-")</f>
        <v>["""KMKKSB"""]</v>
      </c>
      <c r="AC210" s="1" t="str">
        <f>CONCATENATE(ВСЕ_КОДЫ[[#This Row],[CONTEST_CODE]],"_",ВСЕ_КОДЫ[[#This Row],[TOURNAMENT_CODE]])</f>
        <v>01_2025-1_09-1_1_t_01_2025-1_09-1_1_3061</v>
      </c>
      <c r="AD210" s="1" t="str">
        <f>ВСЕ_КОДЫ[[#This Row],[FULL_NAME]]</f>
        <v>Гарантии. Прирост комиссии</v>
      </c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idden="1" x14ac:dyDescent="0.25">
      <c r="A211" s="1" t="s">
        <v>79</v>
      </c>
      <c r="B211" s="1" t="s">
        <v>248</v>
      </c>
      <c r="C211" s="1" t="s">
        <v>404</v>
      </c>
      <c r="D211" s="1" t="s">
        <v>583</v>
      </c>
      <c r="E211" s="1" t="s">
        <v>80</v>
      </c>
      <c r="F211" s="1" t="s">
        <v>76</v>
      </c>
      <c r="G211" s="1" t="s">
        <v>27</v>
      </c>
      <c r="H211" s="1" t="s">
        <v>34</v>
      </c>
      <c r="I211" s="1" t="s">
        <v>50</v>
      </c>
      <c r="J211" s="1" t="s">
        <v>170</v>
      </c>
      <c r="K211" s="1" t="s">
        <v>240</v>
      </c>
      <c r="L211" s="1" t="s">
        <v>250</v>
      </c>
      <c r="M211" s="1" t="s">
        <v>155</v>
      </c>
      <c r="N211" s="1" t="s">
        <v>305</v>
      </c>
      <c r="O211" s="1" t="s">
        <v>405</v>
      </c>
      <c r="P211" s="1"/>
      <c r="Q211" s="1">
        <f>IFERROR(COUNTIFS(_report[TOURNAMENT_CODE],ВСЕ_КОДЫ[[#This Row],[TOURNAMENT_CODE]],_report[CONTEST_CODE],ВСЕ_КОДЫ[[#This Row],[CONTEST_CODE]]),"-")</f>
        <v>0</v>
      </c>
      <c r="R211" s="1" t="str">
        <f>IFERROR(INDEX(_SCHEDULE_[],MATCH(ВСЕ_КОДЫ[[#This Row],[CONTEST_CODE]],_SCHEDULE_[CONTEST_CODE],0),MATCH($R$1,_SCHEDULE_[#Headers],0)),"-")</f>
        <v>УДАЛЕН</v>
      </c>
      <c r="S211" s="1" t="str">
        <f>IFERROR(INDEX(_group_[],MATCH(ВСЕ_КОДЫ[[#This Row],[CONTEST_CODE]],_group_[CONTEST_CODE],0),MATCH($S$1,_group_[#Headers],0)),"-")</f>
        <v>BANK</v>
      </c>
      <c r="T211" s="1" t="str">
        <f>IFERROR(INDEX(_INDICATOR_[],MATCH(ВСЕ_КОДЫ[[#This Row],[CONTEST_CODE]],_INDICATOR_[CONTEST_CODE],0),MATCH($T$1,_INDICATOR_[#Headers],0)),"-")</f>
        <v>WAIT</v>
      </c>
      <c r="U211" s="1" t="str">
        <f>IFERROR(INDEX(_reward_link_[],MATCH(ВСЕ_КОДЫ[[#This Row],[CONTEST_CODE]],_reward_link_[CONTEST_CODE],0),MATCH($U$1,_reward_link_[#Headers],0)),"-")</f>
        <v>BANK</v>
      </c>
      <c r="V211" s="1" t="str">
        <f>IFERROR(INDEX(_report[],MATCH(ВСЕ_КОДЫ[[#This Row],[CONTEST_CODE]],_report[CONTEST_CODE],0),MATCH($V$1,_report[#Headers],0)),"-")</f>
        <v>-</v>
      </c>
      <c r="W211" s="1" t="str">
        <f>IFERROR(INDEX(_reward_[],MATCH(ВСЕ_КОДЫ[[#This Row],[REWARD_CODE]],_reward_[REWARD_CODE],0),MATCH($W$1,_reward_[#Headers],0)),"-")</f>
        <v>Чемпион по сделкам факторинга</v>
      </c>
      <c r="X211" s="1" t="str">
        <f>IFERROR(INDEX(_group_[],MATCH(CONCATENATE(ВСЕ_КОДЫ[[#This Row],[CONTEST_CODE]],"_",X$2),#REF!,0),MATCH(X$1,_group_[#Headers],0)),"-")</f>
        <v>-</v>
      </c>
      <c r="Y211" s="1" t="str">
        <f>IFERROR(INDEX(_group_[],MATCH(CONCATENATE(ВСЕ_КОДЫ[[#This Row],[CONTEST_CODE]],"_",Y$2),#REF!,0),MATCH(Y$1,_group_[#Headers],0)),"-")</f>
        <v>-</v>
      </c>
      <c r="Z211" s="1" t="str">
        <f>IFERROR(INDEX(_group_[],MATCH(CONCATENATE(ВСЕ_КОДЫ[[#This Row],[CONTEST_CODE]],"_",Z$2),#REF!,0),MATCH(Z$1,_group_[#Headers],0)),"-")</f>
        <v>-</v>
      </c>
      <c r="AA211" s="1" t="str">
        <f>IFERROR(INDEX(_group_[],MATCH(CONCATENATE(ВСЕ_КОДЫ[[#This Row],[CONTEST_CODE]],"_",AA$2),#REF!,0),MATCH(AA$1,_group_[#Headers],0)),"-")</f>
        <v>-</v>
      </c>
      <c r="AB211" s="1" t="str">
        <f>IFERROR(INDEX(_DATA_[],MATCH(ВСЕ_КОДЫ[[#This Row],[CONTEST_CODE]],_DATA_[CONTEST_CODE],0),MATCH($AB$2,_DATA_[#Headers],0)),"-")</f>
        <v>["""KMKKSB"""]</v>
      </c>
      <c r="AC211" s="1" t="str">
        <f>CONCATENATE(ВСЕ_КОДЫ[[#This Row],[CONTEST_CODE]],"_",ВСЕ_КОДЫ[[#This Row],[TOURNAMENT_CODE]])</f>
        <v>CONTEST_25_TOURNAMENT_25_2023_12</v>
      </c>
      <c r="AD211" s="1" t="str">
        <f>ВСЕ_КОДЫ[[#This Row],[FULL_NAME]]</f>
        <v>Факторинг. Лучший по продажам</v>
      </c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idden="1" x14ac:dyDescent="0.25">
      <c r="A212" s="1" t="s">
        <v>79</v>
      </c>
      <c r="B212" s="1" t="s">
        <v>251</v>
      </c>
      <c r="C212" s="1" t="s">
        <v>404</v>
      </c>
      <c r="D212" s="1" t="s">
        <v>583</v>
      </c>
      <c r="E212" s="1" t="s">
        <v>80</v>
      </c>
      <c r="F212" s="1" t="s">
        <v>76</v>
      </c>
      <c r="G212" s="1" t="s">
        <v>27</v>
      </c>
      <c r="H212" s="1" t="s">
        <v>34</v>
      </c>
      <c r="I212" s="1" t="s">
        <v>50</v>
      </c>
      <c r="J212" s="1" t="s">
        <v>192</v>
      </c>
      <c r="K212" s="1" t="s">
        <v>252</v>
      </c>
      <c r="L212" s="1" t="s">
        <v>1159</v>
      </c>
      <c r="M212" s="1" t="s">
        <v>176</v>
      </c>
      <c r="N212" s="1" t="s">
        <v>305</v>
      </c>
      <c r="O212" s="1" t="s">
        <v>405</v>
      </c>
      <c r="P212" s="1"/>
      <c r="Q212" s="1">
        <f>IFERROR(COUNTIFS(_report[TOURNAMENT_CODE],ВСЕ_КОДЫ[[#This Row],[TOURNAMENT_CODE]],_report[CONTEST_CODE],ВСЕ_КОДЫ[[#This Row],[CONTEST_CODE]]),"-")</f>
        <v>0</v>
      </c>
      <c r="R212" s="1" t="str">
        <f>IFERROR(INDEX(_SCHEDULE_[],MATCH(ВСЕ_КОДЫ[[#This Row],[CONTEST_CODE]],_SCHEDULE_[CONTEST_CODE],0),MATCH($R$1,_SCHEDULE_[#Headers],0)),"-")</f>
        <v>УДАЛЕН</v>
      </c>
      <c r="S212" s="1" t="str">
        <f>IFERROR(INDEX(_group_[],MATCH(ВСЕ_КОДЫ[[#This Row],[CONTEST_CODE]],_group_[CONTEST_CODE],0),MATCH($S$1,_group_[#Headers],0)),"-")</f>
        <v>BANK</v>
      </c>
      <c r="T212" s="1" t="str">
        <f>IFERROR(INDEX(_INDICATOR_[],MATCH(ВСЕ_КОДЫ[[#This Row],[CONTEST_CODE]],_INDICATOR_[CONTEST_CODE],0),MATCH($T$1,_INDICATOR_[#Headers],0)),"-")</f>
        <v>WAIT</v>
      </c>
      <c r="U212" s="1" t="str">
        <f>IFERROR(INDEX(_reward_link_[],MATCH(ВСЕ_КОДЫ[[#This Row],[CONTEST_CODE]],_reward_link_[CONTEST_CODE],0),MATCH($U$1,_reward_link_[#Headers],0)),"-")</f>
        <v>BANK</v>
      </c>
      <c r="V212" s="1" t="str">
        <f>IFERROR(INDEX(_report[],MATCH(ВСЕ_КОДЫ[[#This Row],[CONTEST_CODE]],_report[CONTEST_CODE],0),MATCH($V$1,_report[#Headers],0)),"-")</f>
        <v>-</v>
      </c>
      <c r="W212" s="1" t="str">
        <f>IFERROR(INDEX(_reward_[],MATCH(ВСЕ_КОДЫ[[#This Row],[REWARD_CODE]],_reward_[REWARD_CODE],0),MATCH($W$1,_reward_[#Headers],0)),"-")</f>
        <v>Чемпион по сделкам факторинга</v>
      </c>
      <c r="X212" s="1" t="str">
        <f>IFERROR(INDEX(_group_[],MATCH(CONCATENATE(ВСЕ_КОДЫ[[#This Row],[CONTEST_CODE]],"_",X$2),#REF!,0),MATCH(X$1,_group_[#Headers],0)),"-")</f>
        <v>-</v>
      </c>
      <c r="Y212" s="1" t="str">
        <f>IFERROR(INDEX(_group_[],MATCH(CONCATENATE(ВСЕ_КОДЫ[[#This Row],[CONTEST_CODE]],"_",Y$2),#REF!,0),MATCH(Y$1,_group_[#Headers],0)),"-")</f>
        <v>-</v>
      </c>
      <c r="Z212" s="1" t="str">
        <f>IFERROR(INDEX(_group_[],MATCH(CONCATENATE(ВСЕ_КОДЫ[[#This Row],[CONTEST_CODE]],"_",Z$2),#REF!,0),MATCH(Z$1,_group_[#Headers],0)),"-")</f>
        <v>-</v>
      </c>
      <c r="AA212" s="1" t="str">
        <f>IFERROR(INDEX(_group_[],MATCH(CONCATENATE(ВСЕ_КОДЫ[[#This Row],[CONTEST_CODE]],"_",AA$2),#REF!,0),MATCH(AA$1,_group_[#Headers],0)),"-")</f>
        <v>-</v>
      </c>
      <c r="AB212" s="1" t="str">
        <f>IFERROR(INDEX(_DATA_[],MATCH(ВСЕ_КОДЫ[[#This Row],[CONTEST_CODE]],_DATA_[CONTEST_CODE],0),MATCH($AB$2,_DATA_[#Headers],0)),"-")</f>
        <v>["""KMKKSB"""]</v>
      </c>
      <c r="AC212" s="1" t="str">
        <f>CONCATENATE(ВСЕ_КОДЫ[[#This Row],[CONTEST_CODE]],"_",ВСЕ_КОДЫ[[#This Row],[TOURNAMENT_CODE]])</f>
        <v>CONTEST_25_TOURNAMENT_25_2024_02</v>
      </c>
      <c r="AD212" s="1" t="str">
        <f>ВСЕ_КОДЫ[[#This Row],[FULL_NAME]]</f>
        <v>Факторинг. Лучший по продажам</v>
      </c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idden="1" x14ac:dyDescent="0.25">
      <c r="A213" s="1" t="s">
        <v>79</v>
      </c>
      <c r="B213" s="1" t="s">
        <v>1066</v>
      </c>
      <c r="C213" s="1" t="s">
        <v>404</v>
      </c>
      <c r="D213" s="1" t="s">
        <v>583</v>
      </c>
      <c r="E213" s="1" t="s">
        <v>80</v>
      </c>
      <c r="F213" s="1" t="s">
        <v>76</v>
      </c>
      <c r="G213" s="1" t="s">
        <v>27</v>
      </c>
      <c r="H213" s="1" t="s">
        <v>34</v>
      </c>
      <c r="I213" s="1" t="s">
        <v>50</v>
      </c>
      <c r="J213" s="1" t="s">
        <v>703</v>
      </c>
      <c r="K213" s="1" t="s">
        <v>1070</v>
      </c>
      <c r="L213" s="1" t="s">
        <v>1071</v>
      </c>
      <c r="M213" s="1" t="s">
        <v>176</v>
      </c>
      <c r="N213" s="1" t="s">
        <v>305</v>
      </c>
      <c r="O213" s="1" t="s">
        <v>405</v>
      </c>
      <c r="P213" s="1"/>
      <c r="Q213" s="1">
        <f>IFERROR(COUNTIFS(_report[TOURNAMENT_CODE],ВСЕ_КОДЫ[[#This Row],[TOURNAMENT_CODE]],_report[CONTEST_CODE],ВСЕ_КОДЫ[[#This Row],[CONTEST_CODE]]),"-")</f>
        <v>0</v>
      </c>
      <c r="R213" s="1" t="str">
        <f>IFERROR(INDEX(_SCHEDULE_[],MATCH(ВСЕ_КОДЫ[[#This Row],[CONTEST_CODE]],_SCHEDULE_[CONTEST_CODE],0),MATCH($R$1,_SCHEDULE_[#Headers],0)),"-")</f>
        <v>УДАЛЕН</v>
      </c>
      <c r="S213" s="1" t="str">
        <f>IFERROR(INDEX(_group_[],MATCH(ВСЕ_КОДЫ[[#This Row],[CONTEST_CODE]],_group_[CONTEST_CODE],0),MATCH($S$1,_group_[#Headers],0)),"-")</f>
        <v>BANK</v>
      </c>
      <c r="T213" s="1" t="str">
        <f>IFERROR(INDEX(_INDICATOR_[],MATCH(ВСЕ_КОДЫ[[#This Row],[CONTEST_CODE]],_INDICATOR_[CONTEST_CODE],0),MATCH($T$1,_INDICATOR_[#Headers],0)),"-")</f>
        <v>WAIT</v>
      </c>
      <c r="U213" s="1" t="str">
        <f>IFERROR(INDEX(_reward_link_[],MATCH(ВСЕ_КОДЫ[[#This Row],[CONTEST_CODE]],_reward_link_[CONTEST_CODE],0),MATCH($U$1,_reward_link_[#Headers],0)),"-")</f>
        <v>BANK</v>
      </c>
      <c r="V213" s="1" t="str">
        <f>IFERROR(INDEX(_report[],MATCH(ВСЕ_КОДЫ[[#This Row],[CONTEST_CODE]],_report[CONTEST_CODE],0),MATCH($V$1,_report[#Headers],0)),"-")</f>
        <v>-</v>
      </c>
      <c r="W213" s="1" t="str">
        <f>IFERROR(INDEX(_reward_[],MATCH(ВСЕ_КОДЫ[[#This Row],[REWARD_CODE]],_reward_[REWARD_CODE],0),MATCH($W$1,_reward_[#Headers],0)),"-")</f>
        <v>Чемпион по сделкам факторинга</v>
      </c>
      <c r="X213" s="1" t="str">
        <f>IFERROR(INDEX(_group_[],MATCH(CONCATENATE(ВСЕ_КОДЫ[[#This Row],[CONTEST_CODE]],"_",X$2),#REF!,0),MATCH(X$1,_group_[#Headers],0)),"-")</f>
        <v>-</v>
      </c>
      <c r="Y213" s="1" t="str">
        <f>IFERROR(INDEX(_group_[],MATCH(CONCATENATE(ВСЕ_КОДЫ[[#This Row],[CONTEST_CODE]],"_",Y$2),#REF!,0),MATCH(Y$1,_group_[#Headers],0)),"-")</f>
        <v>-</v>
      </c>
      <c r="Z213" s="1" t="str">
        <f>IFERROR(INDEX(_group_[],MATCH(CONCATENATE(ВСЕ_КОДЫ[[#This Row],[CONTEST_CODE]],"_",Z$2),#REF!,0),MATCH(Z$1,_group_[#Headers],0)),"-")</f>
        <v>-</v>
      </c>
      <c r="AA213" s="1" t="str">
        <f>IFERROR(INDEX(_group_[],MATCH(CONCATENATE(ВСЕ_КОДЫ[[#This Row],[CONTEST_CODE]],"_",AA$2),#REF!,0),MATCH(AA$1,_group_[#Headers],0)),"-")</f>
        <v>-</v>
      </c>
      <c r="AB213" s="1" t="str">
        <f>IFERROR(INDEX(_DATA_[],MATCH(ВСЕ_КОДЫ[[#This Row],[CONTEST_CODE]],_DATA_[CONTEST_CODE],0),MATCH($AB$2,_DATA_[#Headers],0)),"-")</f>
        <v>["""KMKKSB"""]</v>
      </c>
      <c r="AC213" s="1" t="str">
        <f>CONCATENATE(ВСЕ_КОДЫ[[#This Row],[CONTEST_CODE]],"_",ВСЕ_КОДЫ[[#This Row],[TOURNAMENT_CODE]])</f>
        <v>CONTEST_25_TOURNAMENT_25_2024_03</v>
      </c>
      <c r="AD213" s="1" t="str">
        <f>ВСЕ_КОДЫ[[#This Row],[FULL_NAME]]</f>
        <v>Факторинг. Лучший по продажам</v>
      </c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idden="1" x14ac:dyDescent="0.25">
      <c r="A214" s="1" t="s">
        <v>79</v>
      </c>
      <c r="B214" s="1" t="s">
        <v>1667</v>
      </c>
      <c r="C214" s="1" t="s">
        <v>404</v>
      </c>
      <c r="D214" s="1" t="s">
        <v>583</v>
      </c>
      <c r="E214" s="1" t="s">
        <v>80</v>
      </c>
      <c r="F214" s="1" t="s">
        <v>76</v>
      </c>
      <c r="G214" s="1" t="s">
        <v>27</v>
      </c>
      <c r="H214" s="1" t="s">
        <v>34</v>
      </c>
      <c r="I214" s="1" t="s">
        <v>50</v>
      </c>
      <c r="J214" s="1" t="s">
        <v>1308</v>
      </c>
      <c r="K214" s="1" t="s">
        <v>642</v>
      </c>
      <c r="L214" s="1" t="s">
        <v>642</v>
      </c>
      <c r="M214" s="1" t="s">
        <v>176</v>
      </c>
      <c r="N214" s="1" t="s">
        <v>305</v>
      </c>
      <c r="O214" s="1" t="s">
        <v>405</v>
      </c>
      <c r="P214" s="1"/>
      <c r="Q214" s="1">
        <f>IFERROR(COUNTIFS(_report[TOURNAMENT_CODE],ВСЕ_КОДЫ[[#This Row],[TOURNAMENT_CODE]],_report[CONTEST_CODE],ВСЕ_КОДЫ[[#This Row],[CONTEST_CODE]]),"-")</f>
        <v>0</v>
      </c>
      <c r="R214" s="1" t="str">
        <f>IFERROR(INDEX(_SCHEDULE_[],MATCH(ВСЕ_КОДЫ[[#This Row],[CONTEST_CODE]],_SCHEDULE_[CONTEST_CODE],0),MATCH($R$1,_SCHEDULE_[#Headers],0)),"-")</f>
        <v>УДАЛЕН</v>
      </c>
      <c r="S214" s="1" t="str">
        <f>IFERROR(INDEX(_group_[],MATCH(ВСЕ_КОДЫ[[#This Row],[CONTEST_CODE]],_group_[CONTEST_CODE],0),MATCH($S$1,_group_[#Headers],0)),"-")</f>
        <v>BANK</v>
      </c>
      <c r="T214" s="1" t="str">
        <f>IFERROR(INDEX(_INDICATOR_[],MATCH(ВСЕ_КОДЫ[[#This Row],[CONTEST_CODE]],_INDICATOR_[CONTEST_CODE],0),MATCH($T$1,_INDICATOR_[#Headers],0)),"-")</f>
        <v>WAIT</v>
      </c>
      <c r="U214" s="1" t="str">
        <f>IFERROR(INDEX(_reward_link_[],MATCH(ВСЕ_КОДЫ[[#This Row],[CONTEST_CODE]],_reward_link_[CONTEST_CODE],0),MATCH($U$1,_reward_link_[#Headers],0)),"-")</f>
        <v>BANK</v>
      </c>
      <c r="V214" s="1" t="str">
        <f>IFERROR(INDEX(_report[],MATCH(ВСЕ_КОДЫ[[#This Row],[CONTEST_CODE]],_report[CONTEST_CODE],0),MATCH($V$1,_report[#Headers],0)),"-")</f>
        <v>-</v>
      </c>
      <c r="W214" s="1" t="str">
        <f>IFERROR(INDEX(_reward_[],MATCH(ВСЕ_КОДЫ[[#This Row],[REWARD_CODE]],_reward_[REWARD_CODE],0),MATCH($W$1,_reward_[#Headers],0)),"-")</f>
        <v>Чемпион по сделкам факторинга</v>
      </c>
      <c r="X214" s="1" t="str">
        <f>IFERROR(INDEX(_group_[],MATCH(CONCATENATE(ВСЕ_КОДЫ[[#This Row],[CONTEST_CODE]],"_",X$2),#REF!,0),MATCH(X$1,_group_[#Headers],0)),"-")</f>
        <v>-</v>
      </c>
      <c r="Y214" s="1" t="str">
        <f>IFERROR(INDEX(_group_[],MATCH(CONCATENATE(ВСЕ_КОДЫ[[#This Row],[CONTEST_CODE]],"_",Y$2),#REF!,0),MATCH(Y$1,_group_[#Headers],0)),"-")</f>
        <v>-</v>
      </c>
      <c r="Z214" s="1" t="str">
        <f>IFERROR(INDEX(_group_[],MATCH(CONCATENATE(ВСЕ_КОДЫ[[#This Row],[CONTEST_CODE]],"_",Z$2),#REF!,0),MATCH(Z$1,_group_[#Headers],0)),"-")</f>
        <v>-</v>
      </c>
      <c r="AA214" s="1" t="str">
        <f>IFERROR(INDEX(_group_[],MATCH(CONCATENATE(ВСЕ_КОДЫ[[#This Row],[CONTEST_CODE]],"_",AA$2),#REF!,0),MATCH(AA$1,_group_[#Headers],0)),"-")</f>
        <v>-</v>
      </c>
      <c r="AB214" s="1" t="str">
        <f>IFERROR(INDEX(_DATA_[],MATCH(ВСЕ_КОДЫ[[#This Row],[CONTEST_CODE]],_DATA_[CONTEST_CODE],0),MATCH($AB$2,_DATA_[#Headers],0)),"-")</f>
        <v>["""KMKKSB"""]</v>
      </c>
      <c r="AC214" s="1" t="str">
        <f>CONCATENATE(ВСЕ_КОДЫ[[#This Row],[CONTEST_CODE]],"_",ВСЕ_КОДЫ[[#This Row],[TOURNAMENT_CODE]])</f>
        <v>CONTEST_25_TOURNAMENT_25_2024_04</v>
      </c>
      <c r="AD214" s="1" t="str">
        <f>ВСЕ_КОДЫ[[#This Row],[FULL_NAME]]</f>
        <v>Факторинг. Лучший по продажам</v>
      </c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idden="1" x14ac:dyDescent="0.25">
      <c r="A215" s="1" t="s">
        <v>83</v>
      </c>
      <c r="B215" s="1" t="s">
        <v>254</v>
      </c>
      <c r="C215" s="1" t="s">
        <v>416</v>
      </c>
      <c r="D215" s="1" t="s">
        <v>583</v>
      </c>
      <c r="E215" s="1" t="s">
        <v>84</v>
      </c>
      <c r="F215" s="1" t="s">
        <v>76</v>
      </c>
      <c r="G215" s="1" t="s">
        <v>27</v>
      </c>
      <c r="H215" s="1" t="s">
        <v>28</v>
      </c>
      <c r="I215" s="1" t="s">
        <v>50</v>
      </c>
      <c r="J215" s="1" t="s">
        <v>170</v>
      </c>
      <c r="K215" s="1" t="s">
        <v>240</v>
      </c>
      <c r="L215" s="1" t="s">
        <v>187</v>
      </c>
      <c r="M215" s="1" t="s">
        <v>176</v>
      </c>
      <c r="N215" s="1" t="s">
        <v>305</v>
      </c>
      <c r="O215" s="1" t="s">
        <v>417</v>
      </c>
      <c r="P215" s="1"/>
      <c r="Q215" s="1">
        <f>IFERROR(COUNTIFS(_report[TOURNAMENT_CODE],ВСЕ_КОДЫ[[#This Row],[TOURNAMENT_CODE]],_report[CONTEST_CODE],ВСЕ_КОДЫ[[#This Row],[CONTEST_CODE]]),"-")</f>
        <v>0</v>
      </c>
      <c r="R215" s="1" t="str">
        <f>IFERROR(INDEX(_SCHEDULE_[],MATCH(ВСЕ_КОДЫ[[#This Row],[CONTEST_CODE]],_SCHEDULE_[CONTEST_CODE],0),MATCH($R$1,_SCHEDULE_[#Headers],0)),"-")</f>
        <v>ЗАВЕРШЕН</v>
      </c>
      <c r="S215" s="1" t="str">
        <f>IFERROR(INDEX(_group_[],MATCH(ВСЕ_КОДЫ[[#This Row],[CONTEST_CODE]],_group_[CONTEST_CODE],0),MATCH($S$1,_group_[#Headers],0)),"-")</f>
        <v>BANK</v>
      </c>
      <c r="T215" s="1" t="str">
        <f>IFERROR(INDEX(_INDICATOR_[],MATCH(ВСЕ_КОДЫ[[#This Row],[CONTEST_CODE]],_INDICATOR_[CONTEST_CODE],0),MATCH($T$1,_INDICATOR_[#Headers],0)),"-")</f>
        <v>WAIT</v>
      </c>
      <c r="U215" s="1" t="str">
        <f>IFERROR(INDEX(_reward_link_[],MATCH(ВСЕ_КОДЫ[[#This Row],[CONTEST_CODE]],_reward_link_[CONTEST_CODE],0),MATCH($U$1,_reward_link_[#Headers],0)),"-")</f>
        <v>BANK</v>
      </c>
      <c r="V215" s="1" t="str">
        <f>IFERROR(INDEX(_report[],MATCH(ВСЕ_КОДЫ[[#This Row],[CONTEST_CODE]],_report[CONTEST_CODE],0),MATCH($V$1,_report[#Headers],0)),"-")</f>
        <v>-</v>
      </c>
      <c r="W215" s="1" t="str">
        <f>IFERROR(INDEX(_reward_[],MATCH(ВСЕ_КОДЫ[[#This Row],[REWARD_CODE]],_reward_[REWARD_CODE],0),MATCH($W$1,_reward_[#Headers],0)),"-")</f>
        <v>Чемпион по сумме портфеля онлайн факторинга</v>
      </c>
      <c r="X215" s="1" t="str">
        <f>IFERROR(INDEX(_group_[],MATCH(CONCATENATE(ВСЕ_КОДЫ[[#This Row],[CONTEST_CODE]],"_",X$2),#REF!,0),MATCH(X$1,_group_[#Headers],0)),"-")</f>
        <v>-</v>
      </c>
      <c r="Y215" s="1" t="str">
        <f>IFERROR(INDEX(_group_[],MATCH(CONCATENATE(ВСЕ_КОДЫ[[#This Row],[CONTEST_CODE]],"_",Y$2),#REF!,0),MATCH(Y$1,_group_[#Headers],0)),"-")</f>
        <v>-</v>
      </c>
      <c r="Z215" s="1" t="str">
        <f>IFERROR(INDEX(_group_[],MATCH(CONCATENATE(ВСЕ_КОДЫ[[#This Row],[CONTEST_CODE]],"_",Z$2),#REF!,0),MATCH(Z$1,_group_[#Headers],0)),"-")</f>
        <v>-</v>
      </c>
      <c r="AA215" s="1" t="str">
        <f>IFERROR(INDEX(_group_[],MATCH(CONCATENATE(ВСЕ_КОДЫ[[#This Row],[CONTEST_CODE]],"_",AA$2),#REF!,0),MATCH(AA$1,_group_[#Headers],0)),"-")</f>
        <v>-</v>
      </c>
      <c r="AB215" s="1" t="str">
        <f>IFERROR(INDEX(_DATA_[],MATCH(ВСЕ_КОДЫ[[#This Row],[CONTEST_CODE]],_DATA_[CONTEST_CODE],0),MATCH($AB$2,_DATA_[#Headers],0)),"-")</f>
        <v>["""KMKKSB"""]</v>
      </c>
      <c r="AC215" s="1" t="str">
        <f>CONCATENATE(ВСЕ_КОДЫ[[#This Row],[CONTEST_CODE]],"_",ВСЕ_КОДЫ[[#This Row],[TOURNAMENT_CODE]])</f>
        <v>CONTEST_26_TOURNAMENT_26_2023_12</v>
      </c>
      <c r="AD215" s="1" t="str">
        <f>ВСЕ_КОДЫ[[#This Row],[FULL_NAME]]</f>
        <v>Факторинг Онлайн. Максимизируй портфель</v>
      </c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idden="1" x14ac:dyDescent="0.25">
      <c r="A216" s="1" t="s">
        <v>86</v>
      </c>
      <c r="B216" s="1" t="s">
        <v>277</v>
      </c>
      <c r="C216" s="1" t="s">
        <v>419</v>
      </c>
      <c r="D216" s="1" t="s">
        <v>584</v>
      </c>
      <c r="E216" s="1" t="s">
        <v>87</v>
      </c>
      <c r="F216" s="1" t="s">
        <v>26</v>
      </c>
      <c r="G216" s="1" t="s">
        <v>27</v>
      </c>
      <c r="H216" s="1" t="s">
        <v>28</v>
      </c>
      <c r="I216" s="1" t="s">
        <v>50</v>
      </c>
      <c r="J216" s="1" t="s">
        <v>187</v>
      </c>
      <c r="K216" s="1" t="s">
        <v>188</v>
      </c>
      <c r="L216" s="1" t="s">
        <v>1088</v>
      </c>
      <c r="M216" s="1" t="s">
        <v>176</v>
      </c>
      <c r="N216" s="1" t="s">
        <v>305</v>
      </c>
      <c r="O216" s="1" t="s">
        <v>420</v>
      </c>
      <c r="P216" s="1"/>
      <c r="Q216" s="1">
        <f>IFERROR(COUNTIFS(_report[TOURNAMENT_CODE],ВСЕ_КОДЫ[[#This Row],[TOURNAMENT_CODE]],_report[CONTEST_CODE],ВСЕ_КОДЫ[[#This Row],[CONTEST_CODE]]),"-")</f>
        <v>0</v>
      </c>
      <c r="R216" s="1" t="str">
        <f>IFERROR(INDEX(_SCHEDULE_[],MATCH(ВСЕ_КОДЫ[[#This Row],[CONTEST_CODE]],_SCHEDULE_[CONTEST_CODE],0),MATCH($R$1,_SCHEDULE_[#Headers],0)),"-")</f>
        <v>ЗАВЕРШЕН</v>
      </c>
      <c r="S216" s="1" t="str">
        <f>IFERROR(INDEX(_group_[],MATCH(ВСЕ_КОДЫ[[#This Row],[CONTEST_CODE]],_group_[CONTEST_CODE],0),MATCH($S$1,_group_[#Headers],0)),"-")</f>
        <v>BANK</v>
      </c>
      <c r="T216" s="1" t="str">
        <f>IFERROR(INDEX(_INDICATOR_[],MATCH(ВСЕ_КОДЫ[[#This Row],[CONTEST_CODE]],_INDICATOR_[CONTEST_CODE],0),MATCH($T$1,_INDICATOR_[#Headers],0)),"-")</f>
        <v>WAIT</v>
      </c>
      <c r="U216" s="1" t="str">
        <f>IFERROR(INDEX(_reward_link_[],MATCH(ВСЕ_КОДЫ[[#This Row],[CONTEST_CODE]],_reward_link_[CONTEST_CODE],0),MATCH($U$1,_reward_link_[#Headers],0)),"-")</f>
        <v>GOSB</v>
      </c>
      <c r="V216" s="1" t="str">
        <f>IFERROR(INDEX(_report[],MATCH(ВСЕ_КОДЫ[[#This Row],[CONTEST_CODE]],_report[CONTEST_CODE],0),MATCH($V$1,_report[#Headers],0)),"-")</f>
        <v>-</v>
      </c>
      <c r="W216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16" s="1" t="str">
        <f>IFERROR(INDEX(_group_[],MATCH(CONCATENATE(ВСЕ_КОДЫ[[#This Row],[CONTEST_CODE]],"_",X$2),#REF!,0),MATCH(X$1,_group_[#Headers],0)),"-")</f>
        <v>-</v>
      </c>
      <c r="Y216" s="1" t="str">
        <f>IFERROR(INDEX(_group_[],MATCH(CONCATENATE(ВСЕ_КОДЫ[[#This Row],[CONTEST_CODE]],"_",Y$2),#REF!,0),MATCH(Y$1,_group_[#Headers],0)),"-")</f>
        <v>-</v>
      </c>
      <c r="Z216" s="1" t="str">
        <f>IFERROR(INDEX(_group_[],MATCH(CONCATENATE(ВСЕ_КОДЫ[[#This Row],[CONTEST_CODE]],"_",Z$2),#REF!,0),MATCH(Z$1,_group_[#Headers],0)),"-")</f>
        <v>-</v>
      </c>
      <c r="AA216" s="1" t="str">
        <f>IFERROR(INDEX(_group_[],MATCH(CONCATENATE(ВСЕ_КОДЫ[[#This Row],[CONTEST_CODE]],"_",AA$2),#REF!,0),MATCH(AA$1,_group_[#Headers],0)),"-")</f>
        <v>-</v>
      </c>
      <c r="AB216" s="1" t="str">
        <f>IFERROR(INDEX(_DATA_[],MATCH(ВСЕ_КОДЫ[[#This Row],[CONTEST_CODE]],_DATA_[CONTEST_CODE],0),MATCH($AB$2,_DATA_[#Headers],0)),"-")</f>
        <v>["""KMKKSB"""]</v>
      </c>
      <c r="AC216" s="1" t="str">
        <f>CONCATENATE(ВСЕ_КОДЫ[[#This Row],[CONTEST_CODE]],"_",ВСЕ_КОДЫ[[#This Row],[TOURNAMENT_CODE]])</f>
        <v>CONTEST_28_TOURNAMENT_28_03</v>
      </c>
      <c r="AD216" s="1" t="str">
        <f>ВСЕ_КОДЫ[[#This Row],[FULL_NAME]]</f>
        <v>Активы. Максимизируй прирост остатка</v>
      </c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idden="1" x14ac:dyDescent="0.25">
      <c r="A217" s="1" t="s">
        <v>86</v>
      </c>
      <c r="B217" s="1" t="s">
        <v>278</v>
      </c>
      <c r="C217" s="1" t="s">
        <v>419</v>
      </c>
      <c r="D217" s="1" t="s">
        <v>584</v>
      </c>
      <c r="E217" s="1" t="s">
        <v>87</v>
      </c>
      <c r="F217" s="1" t="s">
        <v>26</v>
      </c>
      <c r="G217" s="1" t="s">
        <v>27</v>
      </c>
      <c r="H217" s="1" t="s">
        <v>28</v>
      </c>
      <c r="I217" s="1" t="s">
        <v>50</v>
      </c>
      <c r="J217" s="1" t="s">
        <v>192</v>
      </c>
      <c r="K217" s="1" t="s">
        <v>193</v>
      </c>
      <c r="L217" s="1" t="s">
        <v>1088</v>
      </c>
      <c r="M217" s="1" t="s">
        <v>176</v>
      </c>
      <c r="N217" s="1" t="s">
        <v>305</v>
      </c>
      <c r="O217" s="1" t="s">
        <v>420</v>
      </c>
      <c r="P217" s="1"/>
      <c r="Q217" s="1">
        <f>IFERROR(COUNTIFS(_report[TOURNAMENT_CODE],ВСЕ_КОДЫ[[#This Row],[TOURNAMENT_CODE]],_report[CONTEST_CODE],ВСЕ_КОДЫ[[#This Row],[CONTEST_CODE]]),"-")</f>
        <v>0</v>
      </c>
      <c r="R217" s="1" t="str">
        <f>IFERROR(INDEX(_SCHEDULE_[],MATCH(ВСЕ_КОДЫ[[#This Row],[CONTEST_CODE]],_SCHEDULE_[CONTEST_CODE],0),MATCH($R$1,_SCHEDULE_[#Headers],0)),"-")</f>
        <v>ЗАВЕРШЕН</v>
      </c>
      <c r="S217" s="1" t="str">
        <f>IFERROR(INDEX(_group_[],MATCH(ВСЕ_КОДЫ[[#This Row],[CONTEST_CODE]],_group_[CONTEST_CODE],0),MATCH($S$1,_group_[#Headers],0)),"-")</f>
        <v>BANK</v>
      </c>
      <c r="T217" s="1" t="str">
        <f>IFERROR(INDEX(_INDICATOR_[],MATCH(ВСЕ_КОДЫ[[#This Row],[CONTEST_CODE]],_INDICATOR_[CONTEST_CODE],0),MATCH($T$1,_INDICATOR_[#Headers],0)),"-")</f>
        <v>WAIT</v>
      </c>
      <c r="U217" s="1" t="str">
        <f>IFERROR(INDEX(_reward_link_[],MATCH(ВСЕ_КОДЫ[[#This Row],[CONTEST_CODE]],_reward_link_[CONTEST_CODE],0),MATCH($U$1,_reward_link_[#Headers],0)),"-")</f>
        <v>GOSB</v>
      </c>
      <c r="V217" s="1" t="str">
        <f>IFERROR(INDEX(_report[],MATCH(ВСЕ_КОДЫ[[#This Row],[CONTEST_CODE]],_report[CONTEST_CODE],0),MATCH($V$1,_report[#Headers],0)),"-")</f>
        <v>-</v>
      </c>
      <c r="W217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17" s="1" t="str">
        <f>IFERROR(INDEX(_group_[],MATCH(CONCATENATE(ВСЕ_КОДЫ[[#This Row],[CONTEST_CODE]],"_",X$2),#REF!,0),MATCH(X$1,_group_[#Headers],0)),"-")</f>
        <v>-</v>
      </c>
      <c r="Y217" s="1" t="str">
        <f>IFERROR(INDEX(_group_[],MATCH(CONCATENATE(ВСЕ_КОДЫ[[#This Row],[CONTEST_CODE]],"_",Y$2),#REF!,0),MATCH(Y$1,_group_[#Headers],0)),"-")</f>
        <v>-</v>
      </c>
      <c r="Z217" s="1" t="str">
        <f>IFERROR(INDEX(_group_[],MATCH(CONCATENATE(ВСЕ_КОДЫ[[#This Row],[CONTEST_CODE]],"_",Z$2),#REF!,0),MATCH(Z$1,_group_[#Headers],0)),"-")</f>
        <v>-</v>
      </c>
      <c r="AA217" s="1" t="str">
        <f>IFERROR(INDEX(_group_[],MATCH(CONCATENATE(ВСЕ_КОДЫ[[#This Row],[CONTEST_CODE]],"_",AA$2),#REF!,0),MATCH(AA$1,_group_[#Headers],0)),"-")</f>
        <v>-</v>
      </c>
      <c r="AB217" s="1" t="str">
        <f>IFERROR(INDEX(_DATA_[],MATCH(ВСЕ_КОДЫ[[#This Row],[CONTEST_CODE]],_DATA_[CONTEST_CODE],0),MATCH($AB$2,_DATA_[#Headers],0)),"-")</f>
        <v>["""KMKKSB"""]</v>
      </c>
      <c r="AC217" s="1" t="str">
        <f>CONCATENATE(ВСЕ_КОДЫ[[#This Row],[CONTEST_CODE]],"_",ВСЕ_КОДЫ[[#This Row],[TOURNAMENT_CODE]])</f>
        <v>CONTEST_28_TOURNAMENT_28_04</v>
      </c>
      <c r="AD217" s="1" t="str">
        <f>ВСЕ_КОДЫ[[#This Row],[FULL_NAME]]</f>
        <v>Активы. Максимизируй прирост остатка</v>
      </c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idden="1" x14ac:dyDescent="0.25">
      <c r="A218" s="1" t="s">
        <v>86</v>
      </c>
      <c r="B218" s="1" t="s">
        <v>634</v>
      </c>
      <c r="C218" s="1" t="s">
        <v>419</v>
      </c>
      <c r="D218" s="1" t="s">
        <v>584</v>
      </c>
      <c r="E218" s="1" t="s">
        <v>87</v>
      </c>
      <c r="F218" s="1" t="s">
        <v>26</v>
      </c>
      <c r="G218" s="1" t="s">
        <v>27</v>
      </c>
      <c r="H218" s="1" t="s">
        <v>28</v>
      </c>
      <c r="I218" s="1" t="s">
        <v>50</v>
      </c>
      <c r="J218" s="1" t="s">
        <v>245</v>
      </c>
      <c r="K218" s="1" t="s">
        <v>246</v>
      </c>
      <c r="L218" s="1" t="s">
        <v>252</v>
      </c>
      <c r="M218" s="1" t="s">
        <v>176</v>
      </c>
      <c r="N218" s="1" t="s">
        <v>305</v>
      </c>
      <c r="O218" s="1" t="s">
        <v>420</v>
      </c>
      <c r="P218" s="1"/>
      <c r="Q218" s="1">
        <f>IFERROR(COUNTIFS(_report[TOURNAMENT_CODE],ВСЕ_КОДЫ[[#This Row],[TOURNAMENT_CODE]],_report[CONTEST_CODE],ВСЕ_КОДЫ[[#This Row],[CONTEST_CODE]]),"-")</f>
        <v>0</v>
      </c>
      <c r="R218" s="1" t="str">
        <f>IFERROR(INDEX(_SCHEDULE_[],MATCH(ВСЕ_КОДЫ[[#This Row],[CONTEST_CODE]],_SCHEDULE_[CONTEST_CODE],0),MATCH($R$1,_SCHEDULE_[#Headers],0)),"-")</f>
        <v>ЗАВЕРШЕН</v>
      </c>
      <c r="S218" s="1" t="str">
        <f>IFERROR(INDEX(_group_[],MATCH(ВСЕ_КОДЫ[[#This Row],[CONTEST_CODE]],_group_[CONTEST_CODE],0),MATCH($S$1,_group_[#Headers],0)),"-")</f>
        <v>BANK</v>
      </c>
      <c r="T218" s="1" t="str">
        <f>IFERROR(INDEX(_INDICATOR_[],MATCH(ВСЕ_КОДЫ[[#This Row],[CONTEST_CODE]],_INDICATOR_[CONTEST_CODE],0),MATCH($T$1,_INDICATOR_[#Headers],0)),"-")</f>
        <v>WAIT</v>
      </c>
      <c r="U218" s="1" t="str">
        <f>IFERROR(INDEX(_reward_link_[],MATCH(ВСЕ_КОДЫ[[#This Row],[CONTEST_CODE]],_reward_link_[CONTEST_CODE],0),MATCH($U$1,_reward_link_[#Headers],0)),"-")</f>
        <v>GOSB</v>
      </c>
      <c r="V218" s="1" t="str">
        <f>IFERROR(INDEX(_report[],MATCH(ВСЕ_КОДЫ[[#This Row],[CONTEST_CODE]],_report[CONTEST_CODE],0),MATCH($V$1,_report[#Headers],0)),"-")</f>
        <v>-</v>
      </c>
      <c r="W218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18" s="1" t="str">
        <f>IFERROR(INDEX(_group_[],MATCH(CONCATENATE(ВСЕ_КОДЫ[[#This Row],[CONTEST_CODE]],"_",X$2),#REF!,0),MATCH(X$1,_group_[#Headers],0)),"-")</f>
        <v>-</v>
      </c>
      <c r="Y218" s="1" t="str">
        <f>IFERROR(INDEX(_group_[],MATCH(CONCATENATE(ВСЕ_КОДЫ[[#This Row],[CONTEST_CODE]],"_",Y$2),#REF!,0),MATCH(Y$1,_group_[#Headers],0)),"-")</f>
        <v>-</v>
      </c>
      <c r="Z218" s="1" t="str">
        <f>IFERROR(INDEX(_group_[],MATCH(CONCATENATE(ВСЕ_КОДЫ[[#This Row],[CONTEST_CODE]],"_",Z$2),#REF!,0),MATCH(Z$1,_group_[#Headers],0)),"-")</f>
        <v>-</v>
      </c>
      <c r="AA218" s="1" t="str">
        <f>IFERROR(INDEX(_group_[],MATCH(CONCATENATE(ВСЕ_КОДЫ[[#This Row],[CONTEST_CODE]],"_",AA$2),#REF!,0),MATCH(AA$1,_group_[#Headers],0)),"-")</f>
        <v>-</v>
      </c>
      <c r="AB218" s="1" t="str">
        <f>IFERROR(INDEX(_DATA_[],MATCH(ВСЕ_КОДЫ[[#This Row],[CONTEST_CODE]],_DATA_[CONTEST_CODE],0),MATCH($AB$2,_DATA_[#Headers],0)),"-")</f>
        <v>["""KMKKSB"""]</v>
      </c>
      <c r="AC218" s="1" t="str">
        <f>CONCATENATE(ВСЕ_КОДЫ[[#This Row],[CONTEST_CODE]],"_",ВСЕ_КОДЫ[[#This Row],[TOURNAMENT_CODE]])</f>
        <v>CONTEST_28_TOURNAMENT_28_05</v>
      </c>
      <c r="AD218" s="1" t="str">
        <f>ВСЕ_КОДЫ[[#This Row],[FULL_NAME]]</f>
        <v>Активы. Максимизируй прирост остатка</v>
      </c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idden="1" x14ac:dyDescent="0.25">
      <c r="A219" s="1" t="s">
        <v>86</v>
      </c>
      <c r="B219" s="1" t="s">
        <v>697</v>
      </c>
      <c r="C219" s="1" t="s">
        <v>419</v>
      </c>
      <c r="D219" s="1" t="s">
        <v>584</v>
      </c>
      <c r="E219" s="1" t="s">
        <v>87</v>
      </c>
      <c r="F219" s="1" t="s">
        <v>26</v>
      </c>
      <c r="G219" s="1" t="s">
        <v>27</v>
      </c>
      <c r="H219" s="1" t="s">
        <v>28</v>
      </c>
      <c r="I219" s="1" t="s">
        <v>50</v>
      </c>
      <c r="J219" s="1" t="s">
        <v>695</v>
      </c>
      <c r="K219" s="1" t="s">
        <v>252</v>
      </c>
      <c r="L219" s="1" t="s">
        <v>1222</v>
      </c>
      <c r="M219" s="1" t="s">
        <v>176</v>
      </c>
      <c r="N219" s="1" t="s">
        <v>305</v>
      </c>
      <c r="O219" s="1" t="s">
        <v>420</v>
      </c>
      <c r="P219" s="1"/>
      <c r="Q219" s="1">
        <f>IFERROR(COUNTIFS(_report[TOURNAMENT_CODE],ВСЕ_КОДЫ[[#This Row],[TOURNAMENT_CODE]],_report[CONTEST_CODE],ВСЕ_КОДЫ[[#This Row],[CONTEST_CODE]]),"-")</f>
        <v>0</v>
      </c>
      <c r="R219" s="1" t="str">
        <f>IFERROR(INDEX(_SCHEDULE_[],MATCH(ВСЕ_КОДЫ[[#This Row],[CONTEST_CODE]],_SCHEDULE_[CONTEST_CODE],0),MATCH($R$1,_SCHEDULE_[#Headers],0)),"-")</f>
        <v>ЗАВЕРШЕН</v>
      </c>
      <c r="S219" s="1" t="str">
        <f>IFERROR(INDEX(_group_[],MATCH(ВСЕ_КОДЫ[[#This Row],[CONTEST_CODE]],_group_[CONTEST_CODE],0),MATCH($S$1,_group_[#Headers],0)),"-")</f>
        <v>BANK</v>
      </c>
      <c r="T219" s="1" t="str">
        <f>IFERROR(INDEX(_INDICATOR_[],MATCH(ВСЕ_КОДЫ[[#This Row],[CONTEST_CODE]],_INDICATOR_[CONTEST_CODE],0),MATCH($T$1,_INDICATOR_[#Headers],0)),"-")</f>
        <v>WAIT</v>
      </c>
      <c r="U219" s="1" t="str">
        <f>IFERROR(INDEX(_reward_link_[],MATCH(ВСЕ_КОДЫ[[#This Row],[CONTEST_CODE]],_reward_link_[CONTEST_CODE],0),MATCH($U$1,_reward_link_[#Headers],0)),"-")</f>
        <v>GOSB</v>
      </c>
      <c r="V219" s="1" t="str">
        <f>IFERROR(INDEX(_report[],MATCH(ВСЕ_КОДЫ[[#This Row],[CONTEST_CODE]],_report[CONTEST_CODE],0),MATCH($V$1,_report[#Headers],0)),"-")</f>
        <v>-</v>
      </c>
      <c r="W219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19" s="1" t="str">
        <f>IFERROR(INDEX(_group_[],MATCH(CONCATENATE(ВСЕ_КОДЫ[[#This Row],[CONTEST_CODE]],"_",X$2),#REF!,0),MATCH(X$1,_group_[#Headers],0)),"-")</f>
        <v>-</v>
      </c>
      <c r="Y219" s="1" t="str">
        <f>IFERROR(INDEX(_group_[],MATCH(CONCATENATE(ВСЕ_КОДЫ[[#This Row],[CONTEST_CODE]],"_",Y$2),#REF!,0),MATCH(Y$1,_group_[#Headers],0)),"-")</f>
        <v>-</v>
      </c>
      <c r="Z219" s="1" t="str">
        <f>IFERROR(INDEX(_group_[],MATCH(CONCATENATE(ВСЕ_КОДЫ[[#This Row],[CONTEST_CODE]],"_",Z$2),#REF!,0),MATCH(Z$1,_group_[#Headers],0)),"-")</f>
        <v>-</v>
      </c>
      <c r="AA219" s="1" t="str">
        <f>IFERROR(INDEX(_group_[],MATCH(CONCATENATE(ВСЕ_КОДЫ[[#This Row],[CONTEST_CODE]],"_",AA$2),#REF!,0),MATCH(AA$1,_group_[#Headers],0)),"-")</f>
        <v>-</v>
      </c>
      <c r="AB219" s="1" t="str">
        <f>IFERROR(INDEX(_DATA_[],MATCH(ВСЕ_КОДЫ[[#This Row],[CONTEST_CODE]],_DATA_[CONTEST_CODE],0),MATCH($AB$2,_DATA_[#Headers],0)),"-")</f>
        <v>["""KMKKSB"""]</v>
      </c>
      <c r="AC219" s="1" t="str">
        <f>CONCATENATE(ВСЕ_КОДЫ[[#This Row],[CONTEST_CODE]],"_",ВСЕ_КОДЫ[[#This Row],[TOURNAMENT_CODE]])</f>
        <v>CONTEST_28_TOURNAMENT_28_06</v>
      </c>
      <c r="AD219" s="1" t="str">
        <f>ВСЕ_КОДЫ[[#This Row],[FULL_NAME]]</f>
        <v>Активы. Максимизируй прирост остатка</v>
      </c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idden="1" x14ac:dyDescent="0.25">
      <c r="A220" s="1" t="s">
        <v>86</v>
      </c>
      <c r="B220" s="1" t="s">
        <v>1044</v>
      </c>
      <c r="C220" s="1" t="s">
        <v>419</v>
      </c>
      <c r="D220" s="1" t="s">
        <v>584</v>
      </c>
      <c r="E220" s="1" t="s">
        <v>87</v>
      </c>
      <c r="F220" s="1" t="s">
        <v>26</v>
      </c>
      <c r="G220" s="1" t="s">
        <v>27</v>
      </c>
      <c r="H220" s="1" t="s">
        <v>28</v>
      </c>
      <c r="I220" s="1" t="s">
        <v>50</v>
      </c>
      <c r="J220" s="1" t="s">
        <v>703</v>
      </c>
      <c r="K220" s="1" t="s">
        <v>704</v>
      </c>
      <c r="L220" s="1" t="s">
        <v>705</v>
      </c>
      <c r="M220" s="1" t="s">
        <v>176</v>
      </c>
      <c r="N220" s="1" t="s">
        <v>305</v>
      </c>
      <c r="O220" s="1" t="s">
        <v>420</v>
      </c>
      <c r="P220" s="1"/>
      <c r="Q220" s="1">
        <f>IFERROR(COUNTIFS(_report[TOURNAMENT_CODE],ВСЕ_КОДЫ[[#This Row],[TOURNAMENT_CODE]],_report[CONTEST_CODE],ВСЕ_КОДЫ[[#This Row],[CONTEST_CODE]]),"-")</f>
        <v>0</v>
      </c>
      <c r="R220" s="1" t="str">
        <f>IFERROR(INDEX(_SCHEDULE_[],MATCH(ВСЕ_КОДЫ[[#This Row],[CONTEST_CODE]],_SCHEDULE_[CONTEST_CODE],0),MATCH($R$1,_SCHEDULE_[#Headers],0)),"-")</f>
        <v>ЗАВЕРШЕН</v>
      </c>
      <c r="S220" s="1" t="str">
        <f>IFERROR(INDEX(_group_[],MATCH(ВСЕ_КОДЫ[[#This Row],[CONTEST_CODE]],_group_[CONTEST_CODE],0),MATCH($S$1,_group_[#Headers],0)),"-")</f>
        <v>BANK</v>
      </c>
      <c r="T220" s="1" t="str">
        <f>IFERROR(INDEX(_INDICATOR_[],MATCH(ВСЕ_КОДЫ[[#This Row],[CONTEST_CODE]],_INDICATOR_[CONTEST_CODE],0),MATCH($T$1,_INDICATOR_[#Headers],0)),"-")</f>
        <v>WAIT</v>
      </c>
      <c r="U220" s="1" t="str">
        <f>IFERROR(INDEX(_reward_link_[],MATCH(ВСЕ_КОДЫ[[#This Row],[CONTEST_CODE]],_reward_link_[CONTEST_CODE],0),MATCH($U$1,_reward_link_[#Headers],0)),"-")</f>
        <v>GOSB</v>
      </c>
      <c r="V220" s="1" t="str">
        <f>IFERROR(INDEX(_report[],MATCH(ВСЕ_КОДЫ[[#This Row],[CONTEST_CODE]],_report[CONTEST_CODE],0),MATCH($V$1,_report[#Headers],0)),"-")</f>
        <v>-</v>
      </c>
      <c r="W220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20" s="1" t="str">
        <f>IFERROR(INDEX(_group_[],MATCH(CONCATENATE(ВСЕ_КОДЫ[[#This Row],[CONTEST_CODE]],"_",X$2),#REF!,0),MATCH(X$1,_group_[#Headers],0)),"-")</f>
        <v>-</v>
      </c>
      <c r="Y220" s="1" t="str">
        <f>IFERROR(INDEX(_group_[],MATCH(CONCATENATE(ВСЕ_КОДЫ[[#This Row],[CONTEST_CODE]],"_",Y$2),#REF!,0),MATCH(Y$1,_group_[#Headers],0)),"-")</f>
        <v>-</v>
      </c>
      <c r="Z220" s="1" t="str">
        <f>IFERROR(INDEX(_group_[],MATCH(CONCATENATE(ВСЕ_КОДЫ[[#This Row],[CONTEST_CODE]],"_",Z$2),#REF!,0),MATCH(Z$1,_group_[#Headers],0)),"-")</f>
        <v>-</v>
      </c>
      <c r="AA220" s="1" t="str">
        <f>IFERROR(INDEX(_group_[],MATCH(CONCATENATE(ВСЕ_КОДЫ[[#This Row],[CONTEST_CODE]],"_",AA$2),#REF!,0),MATCH(AA$1,_group_[#Headers],0)),"-")</f>
        <v>-</v>
      </c>
      <c r="AB220" s="1" t="str">
        <f>IFERROR(INDEX(_DATA_[],MATCH(ВСЕ_КОДЫ[[#This Row],[CONTEST_CODE]],_DATA_[CONTEST_CODE],0),MATCH($AB$2,_DATA_[#Headers],0)),"-")</f>
        <v>["""KMKKSB"""]</v>
      </c>
      <c r="AC220" s="1" t="str">
        <f>CONCATENATE(ВСЕ_КОДЫ[[#This Row],[CONTEST_CODE]],"_",ВСЕ_КОДЫ[[#This Row],[TOURNAMENT_CODE]])</f>
        <v>CONTEST_28_TOURNAMENT_28_07</v>
      </c>
      <c r="AD220" s="1" t="str">
        <f>ВСЕ_КОДЫ[[#This Row],[FULL_NAME]]</f>
        <v>Активы. Максимизируй прирост остатка</v>
      </c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idden="1" x14ac:dyDescent="0.25">
      <c r="A221" s="1" t="s">
        <v>86</v>
      </c>
      <c r="B221" s="1" t="s">
        <v>1206</v>
      </c>
      <c r="C221" s="1" t="s">
        <v>419</v>
      </c>
      <c r="D221" s="1" t="s">
        <v>584</v>
      </c>
      <c r="E221" s="1" t="s">
        <v>87</v>
      </c>
      <c r="F221" s="1" t="s">
        <v>26</v>
      </c>
      <c r="G221" s="1" t="s">
        <v>27</v>
      </c>
      <c r="H221" s="1" t="s">
        <v>28</v>
      </c>
      <c r="I221" s="1" t="s">
        <v>50</v>
      </c>
      <c r="J221" s="1" t="s">
        <v>1078</v>
      </c>
      <c r="K221" s="1" t="s">
        <v>1173</v>
      </c>
      <c r="L221" s="1" t="s">
        <v>1712</v>
      </c>
      <c r="M221" s="1" t="s">
        <v>176</v>
      </c>
      <c r="N221" s="1" t="s">
        <v>305</v>
      </c>
      <c r="O221" s="1" t="s">
        <v>420</v>
      </c>
      <c r="P221" s="1"/>
      <c r="Q221" s="1">
        <f>IFERROR(COUNTIFS(_report[TOURNAMENT_CODE],ВСЕ_КОДЫ[[#This Row],[TOURNAMENT_CODE]],_report[CONTEST_CODE],ВСЕ_КОДЫ[[#This Row],[CONTEST_CODE]]),"-")</f>
        <v>0</v>
      </c>
      <c r="R221" s="1" t="str">
        <f>IFERROR(INDEX(_SCHEDULE_[],MATCH(ВСЕ_КОДЫ[[#This Row],[CONTEST_CODE]],_SCHEDULE_[CONTEST_CODE],0),MATCH($R$1,_SCHEDULE_[#Headers],0)),"-")</f>
        <v>ЗАВЕРШЕН</v>
      </c>
      <c r="S221" s="1" t="str">
        <f>IFERROR(INDEX(_group_[],MATCH(ВСЕ_КОДЫ[[#This Row],[CONTEST_CODE]],_group_[CONTEST_CODE],0),MATCH($S$1,_group_[#Headers],0)),"-")</f>
        <v>BANK</v>
      </c>
      <c r="T221" s="1" t="str">
        <f>IFERROR(INDEX(_INDICATOR_[],MATCH(ВСЕ_КОДЫ[[#This Row],[CONTEST_CODE]],_INDICATOR_[CONTEST_CODE],0),MATCH($T$1,_INDICATOR_[#Headers],0)),"-")</f>
        <v>WAIT</v>
      </c>
      <c r="U221" s="1" t="str">
        <f>IFERROR(INDEX(_reward_link_[],MATCH(ВСЕ_КОДЫ[[#This Row],[CONTEST_CODE]],_reward_link_[CONTEST_CODE],0),MATCH($U$1,_reward_link_[#Headers],0)),"-")</f>
        <v>GOSB</v>
      </c>
      <c r="V221" s="1" t="str">
        <f>IFERROR(INDEX(_report[],MATCH(ВСЕ_КОДЫ[[#This Row],[CONTEST_CODE]],_report[CONTEST_CODE],0),MATCH($V$1,_report[#Headers],0)),"-")</f>
        <v>-</v>
      </c>
      <c r="W221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21" s="1" t="str">
        <f>IFERROR(INDEX(_group_[],MATCH(CONCATENATE(ВСЕ_КОДЫ[[#This Row],[CONTEST_CODE]],"_",X$2),#REF!,0),MATCH(X$1,_group_[#Headers],0)),"-")</f>
        <v>-</v>
      </c>
      <c r="Y221" s="1" t="str">
        <f>IFERROR(INDEX(_group_[],MATCH(CONCATENATE(ВСЕ_КОДЫ[[#This Row],[CONTEST_CODE]],"_",Y$2),#REF!,0),MATCH(Y$1,_group_[#Headers],0)),"-")</f>
        <v>-</v>
      </c>
      <c r="Z221" s="1" t="str">
        <f>IFERROR(INDEX(_group_[],MATCH(CONCATENATE(ВСЕ_КОДЫ[[#This Row],[CONTEST_CODE]],"_",Z$2),#REF!,0),MATCH(Z$1,_group_[#Headers],0)),"-")</f>
        <v>-</v>
      </c>
      <c r="AA221" s="1" t="str">
        <f>IFERROR(INDEX(_group_[],MATCH(CONCATENATE(ВСЕ_КОДЫ[[#This Row],[CONTEST_CODE]],"_",AA$2),#REF!,0),MATCH(AA$1,_group_[#Headers],0)),"-")</f>
        <v>-</v>
      </c>
      <c r="AB221" s="1" t="str">
        <f>IFERROR(INDEX(_DATA_[],MATCH(ВСЕ_КОДЫ[[#This Row],[CONTEST_CODE]],_DATA_[CONTEST_CODE],0),MATCH($AB$2,_DATA_[#Headers],0)),"-")</f>
        <v>["""KMKKSB"""]</v>
      </c>
      <c r="AC221" s="1" t="str">
        <f>CONCATENATE(ВСЕ_КОДЫ[[#This Row],[CONTEST_CODE]],"_",ВСЕ_КОДЫ[[#This Row],[TOURNAMENT_CODE]])</f>
        <v>CONTEST_28_TOURNAMENT_28_08</v>
      </c>
      <c r="AD221" s="1" t="str">
        <f>ВСЕ_КОДЫ[[#This Row],[FULL_NAME]]</f>
        <v>Активы. Максимизируй прирост остатка</v>
      </c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idden="1" x14ac:dyDescent="0.25">
      <c r="A222" s="1" t="s">
        <v>86</v>
      </c>
      <c r="B222" s="1" t="s">
        <v>1279</v>
      </c>
      <c r="C222" s="1" t="s">
        <v>419</v>
      </c>
      <c r="D222" s="1" t="s">
        <v>584</v>
      </c>
      <c r="E222" s="1" t="s">
        <v>87</v>
      </c>
      <c r="F222" s="1" t="s">
        <v>26</v>
      </c>
      <c r="G222" s="1" t="s">
        <v>27</v>
      </c>
      <c r="H222" s="1" t="s">
        <v>28</v>
      </c>
      <c r="I222" s="1" t="s">
        <v>50</v>
      </c>
      <c r="J222" s="1" t="s">
        <v>1225</v>
      </c>
      <c r="K222" s="1" t="s">
        <v>1070</v>
      </c>
      <c r="L222" s="1" t="s">
        <v>1712</v>
      </c>
      <c r="M222" s="1" t="s">
        <v>176</v>
      </c>
      <c r="N222" s="1" t="s">
        <v>305</v>
      </c>
      <c r="O222" s="1" t="s">
        <v>420</v>
      </c>
      <c r="P222" s="1"/>
      <c r="Q222" s="1">
        <f>IFERROR(COUNTIFS(_report[TOURNAMENT_CODE],ВСЕ_КОДЫ[[#This Row],[TOURNAMENT_CODE]],_report[CONTEST_CODE],ВСЕ_КОДЫ[[#This Row],[CONTEST_CODE]]),"-")</f>
        <v>0</v>
      </c>
      <c r="R222" s="1" t="str">
        <f>IFERROR(INDEX(_SCHEDULE_[],MATCH(ВСЕ_КОДЫ[[#This Row],[CONTEST_CODE]],_SCHEDULE_[CONTEST_CODE],0),MATCH($R$1,_SCHEDULE_[#Headers],0)),"-")</f>
        <v>ЗАВЕРШЕН</v>
      </c>
      <c r="S222" s="1" t="str">
        <f>IFERROR(INDEX(_group_[],MATCH(ВСЕ_КОДЫ[[#This Row],[CONTEST_CODE]],_group_[CONTEST_CODE],0),MATCH($S$1,_group_[#Headers],0)),"-")</f>
        <v>BANK</v>
      </c>
      <c r="T222" s="1" t="str">
        <f>IFERROR(INDEX(_INDICATOR_[],MATCH(ВСЕ_КОДЫ[[#This Row],[CONTEST_CODE]],_INDICATOR_[CONTEST_CODE],0),MATCH($T$1,_INDICATOR_[#Headers],0)),"-")</f>
        <v>WAIT</v>
      </c>
      <c r="U222" s="1" t="str">
        <f>IFERROR(INDEX(_reward_link_[],MATCH(ВСЕ_КОДЫ[[#This Row],[CONTEST_CODE]],_reward_link_[CONTEST_CODE],0),MATCH($U$1,_reward_link_[#Headers],0)),"-")</f>
        <v>GOSB</v>
      </c>
      <c r="V222" s="1" t="str">
        <f>IFERROR(INDEX(_report[],MATCH(ВСЕ_КОДЫ[[#This Row],[CONTEST_CODE]],_report[CONTEST_CODE],0),MATCH($V$1,_report[#Headers],0)),"-")</f>
        <v>-</v>
      </c>
      <c r="W222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22" s="1" t="str">
        <f>IFERROR(INDEX(_group_[],MATCH(CONCATENATE(ВСЕ_КОДЫ[[#This Row],[CONTEST_CODE]],"_",X$2),#REF!,0),MATCH(X$1,_group_[#Headers],0)),"-")</f>
        <v>-</v>
      </c>
      <c r="Y222" s="1" t="str">
        <f>IFERROR(INDEX(_group_[],MATCH(CONCATENATE(ВСЕ_КОДЫ[[#This Row],[CONTEST_CODE]],"_",Y$2),#REF!,0),MATCH(Y$1,_group_[#Headers],0)),"-")</f>
        <v>-</v>
      </c>
      <c r="Z222" s="1" t="str">
        <f>IFERROR(INDEX(_group_[],MATCH(CONCATENATE(ВСЕ_КОДЫ[[#This Row],[CONTEST_CODE]],"_",Z$2),#REF!,0),MATCH(Z$1,_group_[#Headers],0)),"-")</f>
        <v>-</v>
      </c>
      <c r="AA222" s="1" t="str">
        <f>IFERROR(INDEX(_group_[],MATCH(CONCATENATE(ВСЕ_КОДЫ[[#This Row],[CONTEST_CODE]],"_",AA$2),#REF!,0),MATCH(AA$1,_group_[#Headers],0)),"-")</f>
        <v>-</v>
      </c>
      <c r="AB222" s="1" t="str">
        <f>IFERROR(INDEX(_DATA_[],MATCH(ВСЕ_КОДЫ[[#This Row],[CONTEST_CODE]],_DATA_[CONTEST_CODE],0),MATCH($AB$2,_DATA_[#Headers],0)),"-")</f>
        <v>["""KMKKSB"""]</v>
      </c>
      <c r="AC222" s="1" t="str">
        <f>CONCATENATE(ВСЕ_КОДЫ[[#This Row],[CONTEST_CODE]],"_",ВСЕ_КОДЫ[[#This Row],[TOURNAMENT_CODE]])</f>
        <v>CONTEST_28_TOURNAMENT_28_09</v>
      </c>
      <c r="AD222" s="1" t="str">
        <f>ВСЕ_КОДЫ[[#This Row],[FULL_NAME]]</f>
        <v>Активы. Максимизируй прирост остатка</v>
      </c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idden="1" x14ac:dyDescent="0.25">
      <c r="A223" s="1" t="s">
        <v>86</v>
      </c>
      <c r="B223" s="1" t="s">
        <v>1643</v>
      </c>
      <c r="C223" s="1" t="s">
        <v>419</v>
      </c>
      <c r="D223" s="1" t="s">
        <v>584</v>
      </c>
      <c r="E223" s="1" t="s">
        <v>87</v>
      </c>
      <c r="F223" s="1" t="s">
        <v>26</v>
      </c>
      <c r="G223" s="1" t="s">
        <v>27</v>
      </c>
      <c r="H223" s="1" t="s">
        <v>28</v>
      </c>
      <c r="I223" s="1" t="s">
        <v>50</v>
      </c>
      <c r="J223" s="1" t="s">
        <v>1308</v>
      </c>
      <c r="K223" s="1" t="s">
        <v>1638</v>
      </c>
      <c r="L223" s="1" t="s">
        <v>1639</v>
      </c>
      <c r="M223" s="1" t="s">
        <v>176</v>
      </c>
      <c r="N223" s="1" t="s">
        <v>305</v>
      </c>
      <c r="O223" s="1" t="s">
        <v>420</v>
      </c>
      <c r="P223" s="1"/>
      <c r="Q223" s="1">
        <f>IFERROR(COUNTIFS(_report[TOURNAMENT_CODE],ВСЕ_КОДЫ[[#This Row],[TOURNAMENT_CODE]],_report[CONTEST_CODE],ВСЕ_КОДЫ[[#This Row],[CONTEST_CODE]]),"-")</f>
        <v>0</v>
      </c>
      <c r="R223" s="1" t="str">
        <f>IFERROR(INDEX(_SCHEDULE_[],MATCH(ВСЕ_КОДЫ[[#This Row],[CONTEST_CODE]],_SCHEDULE_[CONTEST_CODE],0),MATCH($R$1,_SCHEDULE_[#Headers],0)),"-")</f>
        <v>ЗАВЕРШЕН</v>
      </c>
      <c r="S223" s="1" t="str">
        <f>IFERROR(INDEX(_group_[],MATCH(ВСЕ_КОДЫ[[#This Row],[CONTEST_CODE]],_group_[CONTEST_CODE],0),MATCH($S$1,_group_[#Headers],0)),"-")</f>
        <v>BANK</v>
      </c>
      <c r="T223" s="1" t="str">
        <f>IFERROR(INDEX(_INDICATOR_[],MATCH(ВСЕ_КОДЫ[[#This Row],[CONTEST_CODE]],_INDICATOR_[CONTEST_CODE],0),MATCH($T$1,_INDICATOR_[#Headers],0)),"-")</f>
        <v>WAIT</v>
      </c>
      <c r="U223" s="1" t="str">
        <f>IFERROR(INDEX(_reward_link_[],MATCH(ВСЕ_КОДЫ[[#This Row],[CONTEST_CODE]],_reward_link_[CONTEST_CODE],0),MATCH($U$1,_reward_link_[#Headers],0)),"-")</f>
        <v>GOSB</v>
      </c>
      <c r="V223" s="1" t="str">
        <f>IFERROR(INDEX(_report[],MATCH(ВСЕ_КОДЫ[[#This Row],[CONTEST_CODE]],_report[CONTEST_CODE],0),MATCH($V$1,_report[#Headers],0)),"-")</f>
        <v>-</v>
      </c>
      <c r="W223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23" s="1" t="str">
        <f>IFERROR(INDEX(_group_[],MATCH(CONCATENATE(ВСЕ_КОДЫ[[#This Row],[CONTEST_CODE]],"_",X$2),#REF!,0),MATCH(X$1,_group_[#Headers],0)),"-")</f>
        <v>-</v>
      </c>
      <c r="Y223" s="1" t="str">
        <f>IFERROR(INDEX(_group_[],MATCH(CONCATENATE(ВСЕ_КОДЫ[[#This Row],[CONTEST_CODE]],"_",Y$2),#REF!,0),MATCH(Y$1,_group_[#Headers],0)),"-")</f>
        <v>-</v>
      </c>
      <c r="Z223" s="1" t="str">
        <f>IFERROR(INDEX(_group_[],MATCH(CONCATENATE(ВСЕ_КОДЫ[[#This Row],[CONTEST_CODE]],"_",Z$2),#REF!,0),MATCH(Z$1,_group_[#Headers],0)),"-")</f>
        <v>-</v>
      </c>
      <c r="AA223" s="1" t="str">
        <f>IFERROR(INDEX(_group_[],MATCH(CONCATENATE(ВСЕ_КОДЫ[[#This Row],[CONTEST_CODE]],"_",AA$2),#REF!,0),MATCH(AA$1,_group_[#Headers],0)),"-")</f>
        <v>-</v>
      </c>
      <c r="AB223" s="1" t="str">
        <f>IFERROR(INDEX(_DATA_[],MATCH(ВСЕ_КОДЫ[[#This Row],[CONTEST_CODE]],_DATA_[CONTEST_CODE],0),MATCH($AB$2,_DATA_[#Headers],0)),"-")</f>
        <v>["""KMKKSB"""]</v>
      </c>
      <c r="AC223" s="1" t="str">
        <f>CONCATENATE(ВСЕ_КОДЫ[[#This Row],[CONTEST_CODE]],"_",ВСЕ_КОДЫ[[#This Row],[TOURNAMENT_CODE]])</f>
        <v>CONTEST_28_TOURNAMENT_28_2024_M10</v>
      </c>
      <c r="AD223" s="1" t="str">
        <f>ВСЕ_КОДЫ[[#This Row],[FULL_NAME]]</f>
        <v>Активы. Максимизируй прирост остатка</v>
      </c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idden="1" x14ac:dyDescent="0.25">
      <c r="A224" s="1" t="s">
        <v>86</v>
      </c>
      <c r="B224" s="1" t="s">
        <v>1806</v>
      </c>
      <c r="C224" s="1" t="s">
        <v>419</v>
      </c>
      <c r="D224" s="1" t="s">
        <v>584</v>
      </c>
      <c r="E224" s="1" t="s">
        <v>87</v>
      </c>
      <c r="F224" s="1" t="s">
        <v>26</v>
      </c>
      <c r="G224" s="1" t="s">
        <v>27</v>
      </c>
      <c r="H224" s="1" t="s">
        <v>28</v>
      </c>
      <c r="I224" s="1" t="s">
        <v>50</v>
      </c>
      <c r="J224" s="1" t="s">
        <v>1800</v>
      </c>
      <c r="K224" s="1" t="s">
        <v>1801</v>
      </c>
      <c r="L224" s="1" t="s">
        <v>1802</v>
      </c>
      <c r="M224" s="1" t="s">
        <v>155</v>
      </c>
      <c r="N224" s="1" t="s">
        <v>305</v>
      </c>
      <c r="O224" s="1" t="s">
        <v>420</v>
      </c>
      <c r="P224" s="1"/>
      <c r="Q224" s="1">
        <f>IFERROR(COUNTIFS(_report[TOURNAMENT_CODE],ВСЕ_КОДЫ[[#This Row],[TOURNAMENT_CODE]],_report[CONTEST_CODE],ВСЕ_КОДЫ[[#This Row],[CONTEST_CODE]]),"-")</f>
        <v>0</v>
      </c>
      <c r="R224" s="1" t="str">
        <f>IFERROR(INDEX(_SCHEDULE_[],MATCH(ВСЕ_КОДЫ[[#This Row],[CONTEST_CODE]],_SCHEDULE_[CONTEST_CODE],0),MATCH($R$1,_SCHEDULE_[#Headers],0)),"-")</f>
        <v>ЗАВЕРШЕН</v>
      </c>
      <c r="S224" s="1" t="str">
        <f>IFERROR(INDEX(_group_[],MATCH(ВСЕ_КОДЫ[[#This Row],[CONTEST_CODE]],_group_[CONTEST_CODE],0),MATCH($S$1,_group_[#Headers],0)),"-")</f>
        <v>BANK</v>
      </c>
      <c r="T224" s="1" t="str">
        <f>IFERROR(INDEX(_INDICATOR_[],MATCH(ВСЕ_КОДЫ[[#This Row],[CONTEST_CODE]],_INDICATOR_[CONTEST_CODE],0),MATCH($T$1,_INDICATOR_[#Headers],0)),"-")</f>
        <v>WAIT</v>
      </c>
      <c r="U224" s="1" t="str">
        <f>IFERROR(INDEX(_reward_link_[],MATCH(ВСЕ_КОДЫ[[#This Row],[CONTEST_CODE]],_reward_link_[CONTEST_CODE],0),MATCH($U$1,_reward_link_[#Headers],0)),"-")</f>
        <v>GOSB</v>
      </c>
      <c r="V224" s="1" t="str">
        <f>IFERROR(INDEX(_report[],MATCH(ВСЕ_КОДЫ[[#This Row],[CONTEST_CODE]],_report[CONTEST_CODE],0),MATCH($V$1,_report[#Headers],0)),"-")</f>
        <v>-</v>
      </c>
      <c r="W224" s="1" t="str">
        <f>IFERROR(INDEX(_reward_[],MATCH(ВСЕ_КОДЫ[[#This Row],[REWARD_CODE]],_reward_[REWARD_CODE],0),MATCH($W$1,_reward_[#Headers],0)),"-")</f>
        <v>Лучший в подразделении по приросту остатка Активов</v>
      </c>
      <c r="X224" s="1" t="str">
        <f>IFERROR(INDEX(_group_[],MATCH(CONCATENATE(ВСЕ_КОДЫ[[#This Row],[CONTEST_CODE]],"_",X$2),#REF!,0),MATCH(X$1,_group_[#Headers],0)),"-")</f>
        <v>-</v>
      </c>
      <c r="Y224" s="1" t="str">
        <f>IFERROR(INDEX(_group_[],MATCH(CONCATENATE(ВСЕ_КОДЫ[[#This Row],[CONTEST_CODE]],"_",Y$2),#REF!,0),MATCH(Y$1,_group_[#Headers],0)),"-")</f>
        <v>-</v>
      </c>
      <c r="Z224" s="1" t="str">
        <f>IFERROR(INDEX(_group_[],MATCH(CONCATENATE(ВСЕ_КОДЫ[[#This Row],[CONTEST_CODE]],"_",Z$2),#REF!,0),MATCH(Z$1,_group_[#Headers],0)),"-")</f>
        <v>-</v>
      </c>
      <c r="AA224" s="1" t="str">
        <f>IFERROR(INDEX(_group_[],MATCH(CONCATENATE(ВСЕ_КОДЫ[[#This Row],[CONTEST_CODE]],"_",AA$2),#REF!,0),MATCH(AA$1,_group_[#Headers],0)),"-")</f>
        <v>-</v>
      </c>
      <c r="AB224" s="1" t="str">
        <f>IFERROR(INDEX(_DATA_[],MATCH(ВСЕ_КОДЫ[[#This Row],[CONTEST_CODE]],_DATA_[CONTEST_CODE],0),MATCH($AB$2,_DATA_[#Headers],0)),"-")</f>
        <v>["""KMKKSB"""]</v>
      </c>
      <c r="AC224" s="1" t="str">
        <f>CONCATENATE(ВСЕ_КОДЫ[[#This Row],[CONTEST_CODE]],"_",ВСЕ_КОДЫ[[#This Row],[TOURNAMENT_CODE]])</f>
        <v>CONTEST_28_TOURNAMENT_28_2024_M11</v>
      </c>
      <c r="AD224" s="1" t="str">
        <f>ВСЕ_КОДЫ[[#This Row],[FULL_NAME]]</f>
        <v>Активы. Максимизируй прирост остатка</v>
      </c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idden="1" x14ac:dyDescent="0.25">
      <c r="A225" s="1" t="s">
        <v>86</v>
      </c>
      <c r="B225" s="1" t="s">
        <v>277</v>
      </c>
      <c r="C225" s="1" t="s">
        <v>425</v>
      </c>
      <c r="D225" s="1" t="s">
        <v>586</v>
      </c>
      <c r="E225" s="1" t="s">
        <v>87</v>
      </c>
      <c r="F225" s="1" t="s">
        <v>26</v>
      </c>
      <c r="G225" s="1" t="s">
        <v>27</v>
      </c>
      <c r="H225" s="1" t="s">
        <v>28</v>
      </c>
      <c r="I225" s="1" t="s">
        <v>50</v>
      </c>
      <c r="J225" s="1" t="s">
        <v>187</v>
      </c>
      <c r="K225" s="1" t="s">
        <v>188</v>
      </c>
      <c r="L225" s="1" t="s">
        <v>1088</v>
      </c>
      <c r="M225" s="1" t="s">
        <v>176</v>
      </c>
      <c r="N225" s="1" t="s">
        <v>305</v>
      </c>
      <c r="O225" s="1" t="s">
        <v>426</v>
      </c>
      <c r="P225" s="1"/>
      <c r="Q225" s="1">
        <f>IFERROR(COUNTIFS(_report[TOURNAMENT_CODE],ВСЕ_КОДЫ[[#This Row],[TOURNAMENT_CODE]],_report[CONTEST_CODE],ВСЕ_КОДЫ[[#This Row],[CONTEST_CODE]]),"-")</f>
        <v>0</v>
      </c>
      <c r="R225" s="1" t="str">
        <f>IFERROR(INDEX(_SCHEDULE_[],MATCH(ВСЕ_КОДЫ[[#This Row],[CONTEST_CODE]],_SCHEDULE_[CONTEST_CODE],0),MATCH($R$1,_SCHEDULE_[#Headers],0)),"-")</f>
        <v>ЗАВЕРШЕН</v>
      </c>
      <c r="S225" s="1" t="str">
        <f>IFERROR(INDEX(_group_[],MATCH(ВСЕ_КОДЫ[[#This Row],[CONTEST_CODE]],_group_[CONTEST_CODE],0),MATCH($S$1,_group_[#Headers],0)),"-")</f>
        <v>BANK</v>
      </c>
      <c r="T225" s="1" t="str">
        <f>IFERROR(INDEX(_INDICATOR_[],MATCH(ВСЕ_КОДЫ[[#This Row],[CONTEST_CODE]],_INDICATOR_[CONTEST_CODE],0),MATCH($T$1,_INDICATOR_[#Headers],0)),"-")</f>
        <v>WAIT</v>
      </c>
      <c r="U225" s="1" t="str">
        <f>IFERROR(INDEX(_reward_link_[],MATCH(ВСЕ_КОДЫ[[#This Row],[CONTEST_CODE]],_reward_link_[CONTEST_CODE],0),MATCH($U$1,_reward_link_[#Headers],0)),"-")</f>
        <v>GOSB</v>
      </c>
      <c r="V225" s="1" t="str">
        <f>IFERROR(INDEX(_report[],MATCH(ВСЕ_КОДЫ[[#This Row],[CONTEST_CODE]],_report[CONTEST_CODE],0),MATCH($V$1,_report[#Headers],0)),"-")</f>
        <v>-</v>
      </c>
      <c r="W225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25" s="1" t="str">
        <f>IFERROR(INDEX(_group_[],MATCH(CONCATENATE(ВСЕ_КОДЫ[[#This Row],[CONTEST_CODE]],"_",X$2),#REF!,0),MATCH(X$1,_group_[#Headers],0)),"-")</f>
        <v>-</v>
      </c>
      <c r="Y225" s="1" t="str">
        <f>IFERROR(INDEX(_group_[],MATCH(CONCATENATE(ВСЕ_КОДЫ[[#This Row],[CONTEST_CODE]],"_",Y$2),#REF!,0),MATCH(Y$1,_group_[#Headers],0)),"-")</f>
        <v>-</v>
      </c>
      <c r="Z225" s="1" t="str">
        <f>IFERROR(INDEX(_group_[],MATCH(CONCATENATE(ВСЕ_КОДЫ[[#This Row],[CONTEST_CODE]],"_",Z$2),#REF!,0),MATCH(Z$1,_group_[#Headers],0)),"-")</f>
        <v>-</v>
      </c>
      <c r="AA225" s="1" t="str">
        <f>IFERROR(INDEX(_group_[],MATCH(CONCATENATE(ВСЕ_КОДЫ[[#This Row],[CONTEST_CODE]],"_",AA$2),#REF!,0),MATCH(AA$1,_group_[#Headers],0)),"-")</f>
        <v>-</v>
      </c>
      <c r="AB225" s="1" t="str">
        <f>IFERROR(INDEX(_DATA_[],MATCH(ВСЕ_КОДЫ[[#This Row],[CONTEST_CODE]],_DATA_[CONTEST_CODE],0),MATCH($AB$2,_DATA_[#Headers],0)),"-")</f>
        <v>["""KMKKSB"""]</v>
      </c>
      <c r="AC225" s="1" t="str">
        <f>CONCATENATE(ВСЕ_КОДЫ[[#This Row],[CONTEST_CODE]],"_",ВСЕ_КОДЫ[[#This Row],[TOURNAMENT_CODE]])</f>
        <v>CONTEST_28_TOURNAMENT_28_03</v>
      </c>
      <c r="AD225" s="1" t="str">
        <f>ВСЕ_КОДЫ[[#This Row],[FULL_NAME]]</f>
        <v>Активы. Максимизируй прирост остатка</v>
      </c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idden="1" x14ac:dyDescent="0.25">
      <c r="A226" s="1" t="s">
        <v>86</v>
      </c>
      <c r="B226" s="1" t="s">
        <v>278</v>
      </c>
      <c r="C226" s="1" t="s">
        <v>425</v>
      </c>
      <c r="D226" s="1" t="s">
        <v>586</v>
      </c>
      <c r="E226" s="1" t="s">
        <v>87</v>
      </c>
      <c r="F226" s="1" t="s">
        <v>26</v>
      </c>
      <c r="G226" s="1" t="s">
        <v>27</v>
      </c>
      <c r="H226" s="1" t="s">
        <v>28</v>
      </c>
      <c r="I226" s="1" t="s">
        <v>50</v>
      </c>
      <c r="J226" s="1" t="s">
        <v>192</v>
      </c>
      <c r="K226" s="1" t="s">
        <v>193</v>
      </c>
      <c r="L226" s="1" t="s">
        <v>1088</v>
      </c>
      <c r="M226" s="1" t="s">
        <v>176</v>
      </c>
      <c r="N226" s="1" t="s">
        <v>305</v>
      </c>
      <c r="O226" s="1" t="s">
        <v>426</v>
      </c>
      <c r="P226" s="1"/>
      <c r="Q226" s="1">
        <f>IFERROR(COUNTIFS(_report[TOURNAMENT_CODE],ВСЕ_КОДЫ[[#This Row],[TOURNAMENT_CODE]],_report[CONTEST_CODE],ВСЕ_КОДЫ[[#This Row],[CONTEST_CODE]]),"-")</f>
        <v>0</v>
      </c>
      <c r="R226" s="1" t="str">
        <f>IFERROR(INDEX(_SCHEDULE_[],MATCH(ВСЕ_КОДЫ[[#This Row],[CONTEST_CODE]],_SCHEDULE_[CONTEST_CODE],0),MATCH($R$1,_SCHEDULE_[#Headers],0)),"-")</f>
        <v>ЗАВЕРШЕН</v>
      </c>
      <c r="S226" s="1" t="str">
        <f>IFERROR(INDEX(_group_[],MATCH(ВСЕ_КОДЫ[[#This Row],[CONTEST_CODE]],_group_[CONTEST_CODE],0),MATCH($S$1,_group_[#Headers],0)),"-")</f>
        <v>BANK</v>
      </c>
      <c r="T226" s="1" t="str">
        <f>IFERROR(INDEX(_INDICATOR_[],MATCH(ВСЕ_КОДЫ[[#This Row],[CONTEST_CODE]],_INDICATOR_[CONTEST_CODE],0),MATCH($T$1,_INDICATOR_[#Headers],0)),"-")</f>
        <v>WAIT</v>
      </c>
      <c r="U226" s="1" t="str">
        <f>IFERROR(INDEX(_reward_link_[],MATCH(ВСЕ_КОДЫ[[#This Row],[CONTEST_CODE]],_reward_link_[CONTEST_CODE],0),MATCH($U$1,_reward_link_[#Headers],0)),"-")</f>
        <v>GOSB</v>
      </c>
      <c r="V226" s="1" t="str">
        <f>IFERROR(INDEX(_report[],MATCH(ВСЕ_КОДЫ[[#This Row],[CONTEST_CODE]],_report[CONTEST_CODE],0),MATCH($V$1,_report[#Headers],0)),"-")</f>
        <v>-</v>
      </c>
      <c r="W226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26" s="1" t="str">
        <f>IFERROR(INDEX(_group_[],MATCH(CONCATENATE(ВСЕ_КОДЫ[[#This Row],[CONTEST_CODE]],"_",X$2),#REF!,0),MATCH(X$1,_group_[#Headers],0)),"-")</f>
        <v>-</v>
      </c>
      <c r="Y226" s="1" t="str">
        <f>IFERROR(INDEX(_group_[],MATCH(CONCATENATE(ВСЕ_КОДЫ[[#This Row],[CONTEST_CODE]],"_",Y$2),#REF!,0),MATCH(Y$1,_group_[#Headers],0)),"-")</f>
        <v>-</v>
      </c>
      <c r="Z226" s="1" t="str">
        <f>IFERROR(INDEX(_group_[],MATCH(CONCATENATE(ВСЕ_КОДЫ[[#This Row],[CONTEST_CODE]],"_",Z$2),#REF!,0),MATCH(Z$1,_group_[#Headers],0)),"-")</f>
        <v>-</v>
      </c>
      <c r="AA226" s="1" t="str">
        <f>IFERROR(INDEX(_group_[],MATCH(CONCATENATE(ВСЕ_КОДЫ[[#This Row],[CONTEST_CODE]],"_",AA$2),#REF!,0),MATCH(AA$1,_group_[#Headers],0)),"-")</f>
        <v>-</v>
      </c>
      <c r="AB226" s="1" t="str">
        <f>IFERROR(INDEX(_DATA_[],MATCH(ВСЕ_КОДЫ[[#This Row],[CONTEST_CODE]],_DATA_[CONTEST_CODE],0),MATCH($AB$2,_DATA_[#Headers],0)),"-")</f>
        <v>["""KMKKSB"""]</v>
      </c>
      <c r="AC226" s="1" t="str">
        <f>CONCATENATE(ВСЕ_КОДЫ[[#This Row],[CONTEST_CODE]],"_",ВСЕ_КОДЫ[[#This Row],[TOURNAMENT_CODE]])</f>
        <v>CONTEST_28_TOURNAMENT_28_04</v>
      </c>
      <c r="AD226" s="1" t="str">
        <f>ВСЕ_КОДЫ[[#This Row],[FULL_NAME]]</f>
        <v>Активы. Максимизируй прирост остатка</v>
      </c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idden="1" x14ac:dyDescent="0.25">
      <c r="A227" s="1" t="s">
        <v>86</v>
      </c>
      <c r="B227" s="1" t="s">
        <v>634</v>
      </c>
      <c r="C227" s="1" t="s">
        <v>425</v>
      </c>
      <c r="D227" s="1" t="s">
        <v>586</v>
      </c>
      <c r="E227" s="1" t="s">
        <v>87</v>
      </c>
      <c r="F227" s="1" t="s">
        <v>26</v>
      </c>
      <c r="G227" s="1" t="s">
        <v>27</v>
      </c>
      <c r="H227" s="1" t="s">
        <v>28</v>
      </c>
      <c r="I227" s="1" t="s">
        <v>50</v>
      </c>
      <c r="J227" s="1" t="s">
        <v>245</v>
      </c>
      <c r="K227" s="1" t="s">
        <v>246</v>
      </c>
      <c r="L227" s="1" t="s">
        <v>252</v>
      </c>
      <c r="M227" s="1" t="s">
        <v>176</v>
      </c>
      <c r="N227" s="1" t="s">
        <v>305</v>
      </c>
      <c r="O227" s="1" t="s">
        <v>426</v>
      </c>
      <c r="P227" s="1"/>
      <c r="Q227" s="1">
        <f>IFERROR(COUNTIFS(_report[TOURNAMENT_CODE],ВСЕ_КОДЫ[[#This Row],[TOURNAMENT_CODE]],_report[CONTEST_CODE],ВСЕ_КОДЫ[[#This Row],[CONTEST_CODE]]),"-")</f>
        <v>0</v>
      </c>
      <c r="R227" s="1" t="str">
        <f>IFERROR(INDEX(_SCHEDULE_[],MATCH(ВСЕ_КОДЫ[[#This Row],[CONTEST_CODE]],_SCHEDULE_[CONTEST_CODE],0),MATCH($R$1,_SCHEDULE_[#Headers],0)),"-")</f>
        <v>ЗАВЕРШЕН</v>
      </c>
      <c r="S227" s="1" t="str">
        <f>IFERROR(INDEX(_group_[],MATCH(ВСЕ_КОДЫ[[#This Row],[CONTEST_CODE]],_group_[CONTEST_CODE],0),MATCH($S$1,_group_[#Headers],0)),"-")</f>
        <v>BANK</v>
      </c>
      <c r="T227" s="1" t="str">
        <f>IFERROR(INDEX(_INDICATOR_[],MATCH(ВСЕ_КОДЫ[[#This Row],[CONTEST_CODE]],_INDICATOR_[CONTEST_CODE],0),MATCH($T$1,_INDICATOR_[#Headers],0)),"-")</f>
        <v>WAIT</v>
      </c>
      <c r="U227" s="1" t="str">
        <f>IFERROR(INDEX(_reward_link_[],MATCH(ВСЕ_КОДЫ[[#This Row],[CONTEST_CODE]],_reward_link_[CONTEST_CODE],0),MATCH($U$1,_reward_link_[#Headers],0)),"-")</f>
        <v>GOSB</v>
      </c>
      <c r="V227" s="1" t="str">
        <f>IFERROR(INDEX(_report[],MATCH(ВСЕ_КОДЫ[[#This Row],[CONTEST_CODE]],_report[CONTEST_CODE],0),MATCH($V$1,_report[#Headers],0)),"-")</f>
        <v>-</v>
      </c>
      <c r="W227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27" s="1" t="str">
        <f>IFERROR(INDEX(_group_[],MATCH(CONCATENATE(ВСЕ_КОДЫ[[#This Row],[CONTEST_CODE]],"_",X$2),#REF!,0),MATCH(X$1,_group_[#Headers],0)),"-")</f>
        <v>-</v>
      </c>
      <c r="Y227" s="1" t="str">
        <f>IFERROR(INDEX(_group_[],MATCH(CONCATENATE(ВСЕ_КОДЫ[[#This Row],[CONTEST_CODE]],"_",Y$2),#REF!,0),MATCH(Y$1,_group_[#Headers],0)),"-")</f>
        <v>-</v>
      </c>
      <c r="Z227" s="1" t="str">
        <f>IFERROR(INDEX(_group_[],MATCH(CONCATENATE(ВСЕ_КОДЫ[[#This Row],[CONTEST_CODE]],"_",Z$2),#REF!,0),MATCH(Z$1,_group_[#Headers],0)),"-")</f>
        <v>-</v>
      </c>
      <c r="AA227" s="1" t="str">
        <f>IFERROR(INDEX(_group_[],MATCH(CONCATENATE(ВСЕ_КОДЫ[[#This Row],[CONTEST_CODE]],"_",AA$2),#REF!,0),MATCH(AA$1,_group_[#Headers],0)),"-")</f>
        <v>-</v>
      </c>
      <c r="AB227" s="1" t="str">
        <f>IFERROR(INDEX(_DATA_[],MATCH(ВСЕ_КОДЫ[[#This Row],[CONTEST_CODE]],_DATA_[CONTEST_CODE],0),MATCH($AB$2,_DATA_[#Headers],0)),"-")</f>
        <v>["""KMKKSB"""]</v>
      </c>
      <c r="AC227" s="1" t="str">
        <f>CONCATENATE(ВСЕ_КОДЫ[[#This Row],[CONTEST_CODE]],"_",ВСЕ_КОДЫ[[#This Row],[TOURNAMENT_CODE]])</f>
        <v>CONTEST_28_TOURNAMENT_28_05</v>
      </c>
      <c r="AD227" s="1" t="str">
        <f>ВСЕ_КОДЫ[[#This Row],[FULL_NAME]]</f>
        <v>Активы. Максимизируй прирост остатка</v>
      </c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idden="1" x14ac:dyDescent="0.25">
      <c r="A228" s="1" t="s">
        <v>86</v>
      </c>
      <c r="B228" s="1" t="s">
        <v>697</v>
      </c>
      <c r="C228" s="1" t="s">
        <v>425</v>
      </c>
      <c r="D228" s="1" t="s">
        <v>586</v>
      </c>
      <c r="E228" s="1" t="s">
        <v>87</v>
      </c>
      <c r="F228" s="1" t="s">
        <v>26</v>
      </c>
      <c r="G228" s="1" t="s">
        <v>27</v>
      </c>
      <c r="H228" s="1" t="s">
        <v>28</v>
      </c>
      <c r="I228" s="1" t="s">
        <v>50</v>
      </c>
      <c r="J228" s="1" t="s">
        <v>695</v>
      </c>
      <c r="K228" s="1" t="s">
        <v>252</v>
      </c>
      <c r="L228" s="1" t="s">
        <v>1222</v>
      </c>
      <c r="M228" s="1" t="s">
        <v>176</v>
      </c>
      <c r="N228" s="1" t="s">
        <v>305</v>
      </c>
      <c r="O228" s="1" t="s">
        <v>426</v>
      </c>
      <c r="P228" s="1"/>
      <c r="Q228" s="1">
        <f>IFERROR(COUNTIFS(_report[TOURNAMENT_CODE],ВСЕ_КОДЫ[[#This Row],[TOURNAMENT_CODE]],_report[CONTEST_CODE],ВСЕ_КОДЫ[[#This Row],[CONTEST_CODE]]),"-")</f>
        <v>0</v>
      </c>
      <c r="R228" s="1" t="str">
        <f>IFERROR(INDEX(_SCHEDULE_[],MATCH(ВСЕ_КОДЫ[[#This Row],[CONTEST_CODE]],_SCHEDULE_[CONTEST_CODE],0),MATCH($R$1,_SCHEDULE_[#Headers],0)),"-")</f>
        <v>ЗАВЕРШЕН</v>
      </c>
      <c r="S228" s="1" t="str">
        <f>IFERROR(INDEX(_group_[],MATCH(ВСЕ_КОДЫ[[#This Row],[CONTEST_CODE]],_group_[CONTEST_CODE],0),MATCH($S$1,_group_[#Headers],0)),"-")</f>
        <v>BANK</v>
      </c>
      <c r="T228" s="1" t="str">
        <f>IFERROR(INDEX(_INDICATOR_[],MATCH(ВСЕ_КОДЫ[[#This Row],[CONTEST_CODE]],_INDICATOR_[CONTEST_CODE],0),MATCH($T$1,_INDICATOR_[#Headers],0)),"-")</f>
        <v>WAIT</v>
      </c>
      <c r="U228" s="1" t="str">
        <f>IFERROR(INDEX(_reward_link_[],MATCH(ВСЕ_КОДЫ[[#This Row],[CONTEST_CODE]],_reward_link_[CONTEST_CODE],0),MATCH($U$1,_reward_link_[#Headers],0)),"-")</f>
        <v>GOSB</v>
      </c>
      <c r="V228" s="1" t="str">
        <f>IFERROR(INDEX(_report[],MATCH(ВСЕ_КОДЫ[[#This Row],[CONTEST_CODE]],_report[CONTEST_CODE],0),MATCH($V$1,_report[#Headers],0)),"-")</f>
        <v>-</v>
      </c>
      <c r="W228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28" s="1" t="str">
        <f>IFERROR(INDEX(_group_[],MATCH(CONCATENATE(ВСЕ_КОДЫ[[#This Row],[CONTEST_CODE]],"_",X$2),#REF!,0),MATCH(X$1,_group_[#Headers],0)),"-")</f>
        <v>-</v>
      </c>
      <c r="Y228" s="1" t="str">
        <f>IFERROR(INDEX(_group_[],MATCH(CONCATENATE(ВСЕ_КОДЫ[[#This Row],[CONTEST_CODE]],"_",Y$2),#REF!,0),MATCH(Y$1,_group_[#Headers],0)),"-")</f>
        <v>-</v>
      </c>
      <c r="Z228" s="1" t="str">
        <f>IFERROR(INDEX(_group_[],MATCH(CONCATENATE(ВСЕ_КОДЫ[[#This Row],[CONTEST_CODE]],"_",Z$2),#REF!,0),MATCH(Z$1,_group_[#Headers],0)),"-")</f>
        <v>-</v>
      </c>
      <c r="AA228" s="1" t="str">
        <f>IFERROR(INDEX(_group_[],MATCH(CONCATENATE(ВСЕ_КОДЫ[[#This Row],[CONTEST_CODE]],"_",AA$2),#REF!,0),MATCH(AA$1,_group_[#Headers],0)),"-")</f>
        <v>-</v>
      </c>
      <c r="AB228" s="1" t="str">
        <f>IFERROR(INDEX(_DATA_[],MATCH(ВСЕ_КОДЫ[[#This Row],[CONTEST_CODE]],_DATA_[CONTEST_CODE],0),MATCH($AB$2,_DATA_[#Headers],0)),"-")</f>
        <v>["""KMKKSB"""]</v>
      </c>
      <c r="AC228" s="1" t="str">
        <f>CONCATENATE(ВСЕ_КОДЫ[[#This Row],[CONTEST_CODE]],"_",ВСЕ_КОДЫ[[#This Row],[TOURNAMENT_CODE]])</f>
        <v>CONTEST_28_TOURNAMENT_28_06</v>
      </c>
      <c r="AD228" s="1" t="str">
        <f>ВСЕ_КОДЫ[[#This Row],[FULL_NAME]]</f>
        <v>Активы. Максимизируй прирост остатка</v>
      </c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idden="1" x14ac:dyDescent="0.25">
      <c r="A229" s="1" t="s">
        <v>86</v>
      </c>
      <c r="B229" s="1" t="s">
        <v>1044</v>
      </c>
      <c r="C229" s="1" t="s">
        <v>425</v>
      </c>
      <c r="D229" s="1" t="s">
        <v>586</v>
      </c>
      <c r="E229" s="1" t="s">
        <v>87</v>
      </c>
      <c r="F229" s="1" t="s">
        <v>26</v>
      </c>
      <c r="G229" s="1" t="s">
        <v>27</v>
      </c>
      <c r="H229" s="1" t="s">
        <v>28</v>
      </c>
      <c r="I229" s="1" t="s">
        <v>50</v>
      </c>
      <c r="J229" s="1" t="s">
        <v>703</v>
      </c>
      <c r="K229" s="1" t="s">
        <v>704</v>
      </c>
      <c r="L229" s="1" t="s">
        <v>705</v>
      </c>
      <c r="M229" s="1" t="s">
        <v>176</v>
      </c>
      <c r="N229" s="1" t="s">
        <v>305</v>
      </c>
      <c r="O229" s="1" t="s">
        <v>426</v>
      </c>
      <c r="P229" s="1"/>
      <c r="Q229" s="1">
        <f>IFERROR(COUNTIFS(_report[TOURNAMENT_CODE],ВСЕ_КОДЫ[[#This Row],[TOURNAMENT_CODE]],_report[CONTEST_CODE],ВСЕ_КОДЫ[[#This Row],[CONTEST_CODE]]),"-")</f>
        <v>0</v>
      </c>
      <c r="R229" s="1" t="str">
        <f>IFERROR(INDEX(_SCHEDULE_[],MATCH(ВСЕ_КОДЫ[[#This Row],[CONTEST_CODE]],_SCHEDULE_[CONTEST_CODE],0),MATCH($R$1,_SCHEDULE_[#Headers],0)),"-")</f>
        <v>ЗАВЕРШЕН</v>
      </c>
      <c r="S229" s="1" t="str">
        <f>IFERROR(INDEX(_group_[],MATCH(ВСЕ_КОДЫ[[#This Row],[CONTEST_CODE]],_group_[CONTEST_CODE],0),MATCH($S$1,_group_[#Headers],0)),"-")</f>
        <v>BANK</v>
      </c>
      <c r="T229" s="1" t="str">
        <f>IFERROR(INDEX(_INDICATOR_[],MATCH(ВСЕ_КОДЫ[[#This Row],[CONTEST_CODE]],_INDICATOR_[CONTEST_CODE],0),MATCH($T$1,_INDICATOR_[#Headers],0)),"-")</f>
        <v>WAIT</v>
      </c>
      <c r="U229" s="1" t="str">
        <f>IFERROR(INDEX(_reward_link_[],MATCH(ВСЕ_КОДЫ[[#This Row],[CONTEST_CODE]],_reward_link_[CONTEST_CODE],0),MATCH($U$1,_reward_link_[#Headers],0)),"-")</f>
        <v>GOSB</v>
      </c>
      <c r="V229" s="1" t="str">
        <f>IFERROR(INDEX(_report[],MATCH(ВСЕ_КОДЫ[[#This Row],[CONTEST_CODE]],_report[CONTEST_CODE],0),MATCH($V$1,_report[#Headers],0)),"-")</f>
        <v>-</v>
      </c>
      <c r="W229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29" s="1" t="str">
        <f>IFERROR(INDEX(_group_[],MATCH(CONCATENATE(ВСЕ_КОДЫ[[#This Row],[CONTEST_CODE]],"_",X$2),#REF!,0),MATCH(X$1,_group_[#Headers],0)),"-")</f>
        <v>-</v>
      </c>
      <c r="Y229" s="1" t="str">
        <f>IFERROR(INDEX(_group_[],MATCH(CONCATENATE(ВСЕ_КОДЫ[[#This Row],[CONTEST_CODE]],"_",Y$2),#REF!,0),MATCH(Y$1,_group_[#Headers],0)),"-")</f>
        <v>-</v>
      </c>
      <c r="Z229" s="1" t="str">
        <f>IFERROR(INDEX(_group_[],MATCH(CONCATENATE(ВСЕ_КОДЫ[[#This Row],[CONTEST_CODE]],"_",Z$2),#REF!,0),MATCH(Z$1,_group_[#Headers],0)),"-")</f>
        <v>-</v>
      </c>
      <c r="AA229" s="1" t="str">
        <f>IFERROR(INDEX(_group_[],MATCH(CONCATENATE(ВСЕ_КОДЫ[[#This Row],[CONTEST_CODE]],"_",AA$2),#REF!,0),MATCH(AA$1,_group_[#Headers],0)),"-")</f>
        <v>-</v>
      </c>
      <c r="AB229" s="1" t="str">
        <f>IFERROR(INDEX(_DATA_[],MATCH(ВСЕ_КОДЫ[[#This Row],[CONTEST_CODE]],_DATA_[CONTEST_CODE],0),MATCH($AB$2,_DATA_[#Headers],0)),"-")</f>
        <v>["""KMKKSB"""]</v>
      </c>
      <c r="AC229" s="1" t="str">
        <f>CONCATENATE(ВСЕ_КОДЫ[[#This Row],[CONTEST_CODE]],"_",ВСЕ_КОДЫ[[#This Row],[TOURNAMENT_CODE]])</f>
        <v>CONTEST_28_TOURNAMENT_28_07</v>
      </c>
      <c r="AD229" s="1" t="str">
        <f>ВСЕ_КОДЫ[[#This Row],[FULL_NAME]]</f>
        <v>Активы. Максимизируй прирост остатка</v>
      </c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idden="1" x14ac:dyDescent="0.25">
      <c r="A230" s="1" t="s">
        <v>86</v>
      </c>
      <c r="B230" s="1" t="s">
        <v>1206</v>
      </c>
      <c r="C230" s="1" t="s">
        <v>425</v>
      </c>
      <c r="D230" s="1" t="s">
        <v>586</v>
      </c>
      <c r="E230" s="1" t="s">
        <v>87</v>
      </c>
      <c r="F230" s="1" t="s">
        <v>26</v>
      </c>
      <c r="G230" s="1" t="s">
        <v>27</v>
      </c>
      <c r="H230" s="1" t="s">
        <v>28</v>
      </c>
      <c r="I230" s="1" t="s">
        <v>50</v>
      </c>
      <c r="J230" s="1" t="s">
        <v>1078</v>
      </c>
      <c r="K230" s="1" t="s">
        <v>1173</v>
      </c>
      <c r="L230" s="1" t="s">
        <v>1712</v>
      </c>
      <c r="M230" s="1" t="s">
        <v>176</v>
      </c>
      <c r="N230" s="1" t="s">
        <v>305</v>
      </c>
      <c r="O230" s="1" t="s">
        <v>426</v>
      </c>
      <c r="P230" s="1"/>
      <c r="Q230" s="1">
        <f>IFERROR(COUNTIFS(_report[TOURNAMENT_CODE],ВСЕ_КОДЫ[[#This Row],[TOURNAMENT_CODE]],_report[CONTEST_CODE],ВСЕ_КОДЫ[[#This Row],[CONTEST_CODE]]),"-")</f>
        <v>0</v>
      </c>
      <c r="R230" s="1" t="str">
        <f>IFERROR(INDEX(_SCHEDULE_[],MATCH(ВСЕ_КОДЫ[[#This Row],[CONTEST_CODE]],_SCHEDULE_[CONTEST_CODE],0),MATCH($R$1,_SCHEDULE_[#Headers],0)),"-")</f>
        <v>ЗАВЕРШЕН</v>
      </c>
      <c r="S230" s="1" t="str">
        <f>IFERROR(INDEX(_group_[],MATCH(ВСЕ_КОДЫ[[#This Row],[CONTEST_CODE]],_group_[CONTEST_CODE],0),MATCH($S$1,_group_[#Headers],0)),"-")</f>
        <v>BANK</v>
      </c>
      <c r="T230" s="1" t="str">
        <f>IFERROR(INDEX(_INDICATOR_[],MATCH(ВСЕ_КОДЫ[[#This Row],[CONTEST_CODE]],_INDICATOR_[CONTEST_CODE],0),MATCH($T$1,_INDICATOR_[#Headers],0)),"-")</f>
        <v>WAIT</v>
      </c>
      <c r="U230" s="1" t="str">
        <f>IFERROR(INDEX(_reward_link_[],MATCH(ВСЕ_КОДЫ[[#This Row],[CONTEST_CODE]],_reward_link_[CONTEST_CODE],0),MATCH($U$1,_reward_link_[#Headers],0)),"-")</f>
        <v>GOSB</v>
      </c>
      <c r="V230" s="1" t="str">
        <f>IFERROR(INDEX(_report[],MATCH(ВСЕ_КОДЫ[[#This Row],[CONTEST_CODE]],_report[CONTEST_CODE],0),MATCH($V$1,_report[#Headers],0)),"-")</f>
        <v>-</v>
      </c>
      <c r="W230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30" s="1" t="str">
        <f>IFERROR(INDEX(_group_[],MATCH(CONCATENATE(ВСЕ_КОДЫ[[#This Row],[CONTEST_CODE]],"_",X$2),#REF!,0),MATCH(X$1,_group_[#Headers],0)),"-")</f>
        <v>-</v>
      </c>
      <c r="Y230" s="1" t="str">
        <f>IFERROR(INDEX(_group_[],MATCH(CONCATENATE(ВСЕ_КОДЫ[[#This Row],[CONTEST_CODE]],"_",Y$2),#REF!,0),MATCH(Y$1,_group_[#Headers],0)),"-")</f>
        <v>-</v>
      </c>
      <c r="Z230" s="1" t="str">
        <f>IFERROR(INDEX(_group_[],MATCH(CONCATENATE(ВСЕ_КОДЫ[[#This Row],[CONTEST_CODE]],"_",Z$2),#REF!,0),MATCH(Z$1,_group_[#Headers],0)),"-")</f>
        <v>-</v>
      </c>
      <c r="AA230" s="1" t="str">
        <f>IFERROR(INDEX(_group_[],MATCH(CONCATENATE(ВСЕ_КОДЫ[[#This Row],[CONTEST_CODE]],"_",AA$2),#REF!,0),MATCH(AA$1,_group_[#Headers],0)),"-")</f>
        <v>-</v>
      </c>
      <c r="AB230" s="1" t="str">
        <f>IFERROR(INDEX(_DATA_[],MATCH(ВСЕ_КОДЫ[[#This Row],[CONTEST_CODE]],_DATA_[CONTEST_CODE],0),MATCH($AB$2,_DATA_[#Headers],0)),"-")</f>
        <v>["""KMKKSB"""]</v>
      </c>
      <c r="AC230" s="1" t="str">
        <f>CONCATENATE(ВСЕ_КОДЫ[[#This Row],[CONTEST_CODE]],"_",ВСЕ_КОДЫ[[#This Row],[TOURNAMENT_CODE]])</f>
        <v>CONTEST_28_TOURNAMENT_28_08</v>
      </c>
      <c r="AD230" s="1" t="str">
        <f>ВСЕ_КОДЫ[[#This Row],[FULL_NAME]]</f>
        <v>Активы. Максимизируй прирост остатка</v>
      </c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idden="1" x14ac:dyDescent="0.25">
      <c r="A231" s="1" t="s">
        <v>86</v>
      </c>
      <c r="B231" s="1" t="s">
        <v>1279</v>
      </c>
      <c r="C231" s="1" t="s">
        <v>425</v>
      </c>
      <c r="D231" s="1" t="s">
        <v>586</v>
      </c>
      <c r="E231" s="1" t="s">
        <v>87</v>
      </c>
      <c r="F231" s="1" t="s">
        <v>26</v>
      </c>
      <c r="G231" s="1" t="s">
        <v>27</v>
      </c>
      <c r="H231" s="1" t="s">
        <v>28</v>
      </c>
      <c r="I231" s="1" t="s">
        <v>50</v>
      </c>
      <c r="J231" s="1" t="s">
        <v>1225</v>
      </c>
      <c r="K231" s="1" t="s">
        <v>1070</v>
      </c>
      <c r="L231" s="1" t="s">
        <v>1712</v>
      </c>
      <c r="M231" s="1" t="s">
        <v>176</v>
      </c>
      <c r="N231" s="1" t="s">
        <v>305</v>
      </c>
      <c r="O231" s="1" t="s">
        <v>426</v>
      </c>
      <c r="P231" s="1"/>
      <c r="Q231" s="1">
        <f>IFERROR(COUNTIFS(_report[TOURNAMENT_CODE],ВСЕ_КОДЫ[[#This Row],[TOURNAMENT_CODE]],_report[CONTEST_CODE],ВСЕ_КОДЫ[[#This Row],[CONTEST_CODE]]),"-")</f>
        <v>0</v>
      </c>
      <c r="R231" s="1" t="str">
        <f>IFERROR(INDEX(_SCHEDULE_[],MATCH(ВСЕ_КОДЫ[[#This Row],[CONTEST_CODE]],_SCHEDULE_[CONTEST_CODE],0),MATCH($R$1,_SCHEDULE_[#Headers],0)),"-")</f>
        <v>ЗАВЕРШЕН</v>
      </c>
      <c r="S231" s="1" t="str">
        <f>IFERROR(INDEX(_group_[],MATCH(ВСЕ_КОДЫ[[#This Row],[CONTEST_CODE]],_group_[CONTEST_CODE],0),MATCH($S$1,_group_[#Headers],0)),"-")</f>
        <v>BANK</v>
      </c>
      <c r="T231" s="1" t="str">
        <f>IFERROR(INDEX(_INDICATOR_[],MATCH(ВСЕ_КОДЫ[[#This Row],[CONTEST_CODE]],_INDICATOR_[CONTEST_CODE],0),MATCH($T$1,_INDICATOR_[#Headers],0)),"-")</f>
        <v>WAIT</v>
      </c>
      <c r="U231" s="1" t="str">
        <f>IFERROR(INDEX(_reward_link_[],MATCH(ВСЕ_КОДЫ[[#This Row],[CONTEST_CODE]],_reward_link_[CONTEST_CODE],0),MATCH($U$1,_reward_link_[#Headers],0)),"-")</f>
        <v>GOSB</v>
      </c>
      <c r="V231" s="1" t="str">
        <f>IFERROR(INDEX(_report[],MATCH(ВСЕ_КОДЫ[[#This Row],[CONTEST_CODE]],_report[CONTEST_CODE],0),MATCH($V$1,_report[#Headers],0)),"-")</f>
        <v>-</v>
      </c>
      <c r="W231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31" s="1" t="str">
        <f>IFERROR(INDEX(_group_[],MATCH(CONCATENATE(ВСЕ_КОДЫ[[#This Row],[CONTEST_CODE]],"_",X$2),#REF!,0),MATCH(X$1,_group_[#Headers],0)),"-")</f>
        <v>-</v>
      </c>
      <c r="Y231" s="1" t="str">
        <f>IFERROR(INDEX(_group_[],MATCH(CONCATENATE(ВСЕ_КОДЫ[[#This Row],[CONTEST_CODE]],"_",Y$2),#REF!,0),MATCH(Y$1,_group_[#Headers],0)),"-")</f>
        <v>-</v>
      </c>
      <c r="Z231" s="1" t="str">
        <f>IFERROR(INDEX(_group_[],MATCH(CONCATENATE(ВСЕ_КОДЫ[[#This Row],[CONTEST_CODE]],"_",Z$2),#REF!,0),MATCH(Z$1,_group_[#Headers],0)),"-")</f>
        <v>-</v>
      </c>
      <c r="AA231" s="1" t="str">
        <f>IFERROR(INDEX(_group_[],MATCH(CONCATENATE(ВСЕ_КОДЫ[[#This Row],[CONTEST_CODE]],"_",AA$2),#REF!,0),MATCH(AA$1,_group_[#Headers],0)),"-")</f>
        <v>-</v>
      </c>
      <c r="AB231" s="1" t="str">
        <f>IFERROR(INDEX(_DATA_[],MATCH(ВСЕ_КОДЫ[[#This Row],[CONTEST_CODE]],_DATA_[CONTEST_CODE],0),MATCH($AB$2,_DATA_[#Headers],0)),"-")</f>
        <v>["""KMKKSB"""]</v>
      </c>
      <c r="AC231" s="1" t="str">
        <f>CONCATENATE(ВСЕ_КОДЫ[[#This Row],[CONTEST_CODE]],"_",ВСЕ_КОДЫ[[#This Row],[TOURNAMENT_CODE]])</f>
        <v>CONTEST_28_TOURNAMENT_28_09</v>
      </c>
      <c r="AD231" s="1" t="str">
        <f>ВСЕ_КОДЫ[[#This Row],[FULL_NAME]]</f>
        <v>Активы. Максимизируй прирост остатка</v>
      </c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idden="1" x14ac:dyDescent="0.25">
      <c r="A232" s="1" t="s">
        <v>86</v>
      </c>
      <c r="B232" s="1" t="s">
        <v>1643</v>
      </c>
      <c r="C232" s="1" t="s">
        <v>425</v>
      </c>
      <c r="D232" s="1" t="s">
        <v>586</v>
      </c>
      <c r="E232" s="1" t="s">
        <v>87</v>
      </c>
      <c r="F232" s="1" t="s">
        <v>26</v>
      </c>
      <c r="G232" s="1" t="s">
        <v>27</v>
      </c>
      <c r="H232" s="1" t="s">
        <v>28</v>
      </c>
      <c r="I232" s="1" t="s">
        <v>50</v>
      </c>
      <c r="J232" s="1" t="s">
        <v>1308</v>
      </c>
      <c r="K232" s="1" t="s">
        <v>1638</v>
      </c>
      <c r="L232" s="1" t="s">
        <v>1639</v>
      </c>
      <c r="M232" s="1" t="s">
        <v>176</v>
      </c>
      <c r="N232" s="1" t="s">
        <v>305</v>
      </c>
      <c r="O232" s="1" t="s">
        <v>426</v>
      </c>
      <c r="P232" s="1"/>
      <c r="Q232" s="1">
        <f>IFERROR(COUNTIFS(_report[TOURNAMENT_CODE],ВСЕ_КОДЫ[[#This Row],[TOURNAMENT_CODE]],_report[CONTEST_CODE],ВСЕ_КОДЫ[[#This Row],[CONTEST_CODE]]),"-")</f>
        <v>0</v>
      </c>
      <c r="R232" s="1" t="str">
        <f>IFERROR(INDEX(_SCHEDULE_[],MATCH(ВСЕ_КОДЫ[[#This Row],[CONTEST_CODE]],_SCHEDULE_[CONTEST_CODE],0),MATCH($R$1,_SCHEDULE_[#Headers],0)),"-")</f>
        <v>ЗАВЕРШЕН</v>
      </c>
      <c r="S232" s="1" t="str">
        <f>IFERROR(INDEX(_group_[],MATCH(ВСЕ_КОДЫ[[#This Row],[CONTEST_CODE]],_group_[CONTEST_CODE],0),MATCH($S$1,_group_[#Headers],0)),"-")</f>
        <v>BANK</v>
      </c>
      <c r="T232" s="1" t="str">
        <f>IFERROR(INDEX(_INDICATOR_[],MATCH(ВСЕ_КОДЫ[[#This Row],[CONTEST_CODE]],_INDICATOR_[CONTEST_CODE],0),MATCH($T$1,_INDICATOR_[#Headers],0)),"-")</f>
        <v>WAIT</v>
      </c>
      <c r="U232" s="1" t="str">
        <f>IFERROR(INDEX(_reward_link_[],MATCH(ВСЕ_КОДЫ[[#This Row],[CONTEST_CODE]],_reward_link_[CONTEST_CODE],0),MATCH($U$1,_reward_link_[#Headers],0)),"-")</f>
        <v>GOSB</v>
      </c>
      <c r="V232" s="1" t="str">
        <f>IFERROR(INDEX(_report[],MATCH(ВСЕ_КОДЫ[[#This Row],[CONTEST_CODE]],_report[CONTEST_CODE],0),MATCH($V$1,_report[#Headers],0)),"-")</f>
        <v>-</v>
      </c>
      <c r="W232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32" s="1" t="str">
        <f>IFERROR(INDEX(_group_[],MATCH(CONCATENATE(ВСЕ_КОДЫ[[#This Row],[CONTEST_CODE]],"_",X$2),#REF!,0),MATCH(X$1,_group_[#Headers],0)),"-")</f>
        <v>-</v>
      </c>
      <c r="Y232" s="1" t="str">
        <f>IFERROR(INDEX(_group_[],MATCH(CONCATENATE(ВСЕ_КОДЫ[[#This Row],[CONTEST_CODE]],"_",Y$2),#REF!,0),MATCH(Y$1,_group_[#Headers],0)),"-")</f>
        <v>-</v>
      </c>
      <c r="Z232" s="1" t="str">
        <f>IFERROR(INDEX(_group_[],MATCH(CONCATENATE(ВСЕ_КОДЫ[[#This Row],[CONTEST_CODE]],"_",Z$2),#REF!,0),MATCH(Z$1,_group_[#Headers],0)),"-")</f>
        <v>-</v>
      </c>
      <c r="AA232" s="1" t="str">
        <f>IFERROR(INDEX(_group_[],MATCH(CONCATENATE(ВСЕ_КОДЫ[[#This Row],[CONTEST_CODE]],"_",AA$2),#REF!,0),MATCH(AA$1,_group_[#Headers],0)),"-")</f>
        <v>-</v>
      </c>
      <c r="AB232" s="1" t="str">
        <f>IFERROR(INDEX(_DATA_[],MATCH(ВСЕ_КОДЫ[[#This Row],[CONTEST_CODE]],_DATA_[CONTEST_CODE],0),MATCH($AB$2,_DATA_[#Headers],0)),"-")</f>
        <v>["""KMKKSB"""]</v>
      </c>
      <c r="AC232" s="1" t="str">
        <f>CONCATENATE(ВСЕ_КОДЫ[[#This Row],[CONTEST_CODE]],"_",ВСЕ_КОДЫ[[#This Row],[TOURNAMENT_CODE]])</f>
        <v>CONTEST_28_TOURNAMENT_28_2024_M10</v>
      </c>
      <c r="AD232" s="1" t="str">
        <f>ВСЕ_КОДЫ[[#This Row],[FULL_NAME]]</f>
        <v>Активы. Максимизируй прирост остатка</v>
      </c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idden="1" x14ac:dyDescent="0.25">
      <c r="A233" s="1" t="s">
        <v>86</v>
      </c>
      <c r="B233" s="1" t="s">
        <v>1806</v>
      </c>
      <c r="C233" s="1" t="s">
        <v>425</v>
      </c>
      <c r="D233" s="1" t="s">
        <v>586</v>
      </c>
      <c r="E233" s="1" t="s">
        <v>87</v>
      </c>
      <c r="F233" s="1" t="s">
        <v>26</v>
      </c>
      <c r="G233" s="1" t="s">
        <v>27</v>
      </c>
      <c r="H233" s="1" t="s">
        <v>28</v>
      </c>
      <c r="I233" s="1" t="s">
        <v>50</v>
      </c>
      <c r="J233" s="1" t="s">
        <v>1800</v>
      </c>
      <c r="K233" s="1" t="s">
        <v>1801</v>
      </c>
      <c r="L233" s="1" t="s">
        <v>1802</v>
      </c>
      <c r="M233" s="1" t="s">
        <v>155</v>
      </c>
      <c r="N233" s="1" t="s">
        <v>305</v>
      </c>
      <c r="O233" s="1" t="s">
        <v>426</v>
      </c>
      <c r="P233" s="1"/>
      <c r="Q233" s="1">
        <f>IFERROR(COUNTIFS(_report[TOURNAMENT_CODE],ВСЕ_КОДЫ[[#This Row],[TOURNAMENT_CODE]],_report[CONTEST_CODE],ВСЕ_КОДЫ[[#This Row],[CONTEST_CODE]]),"-")</f>
        <v>0</v>
      </c>
      <c r="R233" s="1" t="str">
        <f>IFERROR(INDEX(_SCHEDULE_[],MATCH(ВСЕ_КОДЫ[[#This Row],[CONTEST_CODE]],_SCHEDULE_[CONTEST_CODE],0),MATCH($R$1,_SCHEDULE_[#Headers],0)),"-")</f>
        <v>ЗАВЕРШЕН</v>
      </c>
      <c r="S233" s="1" t="str">
        <f>IFERROR(INDEX(_group_[],MATCH(ВСЕ_КОДЫ[[#This Row],[CONTEST_CODE]],_group_[CONTEST_CODE],0),MATCH($S$1,_group_[#Headers],0)),"-")</f>
        <v>BANK</v>
      </c>
      <c r="T233" s="1" t="str">
        <f>IFERROR(INDEX(_INDICATOR_[],MATCH(ВСЕ_КОДЫ[[#This Row],[CONTEST_CODE]],_INDICATOR_[CONTEST_CODE],0),MATCH($T$1,_INDICATOR_[#Headers],0)),"-")</f>
        <v>WAIT</v>
      </c>
      <c r="U233" s="1" t="str">
        <f>IFERROR(INDEX(_reward_link_[],MATCH(ВСЕ_КОДЫ[[#This Row],[CONTEST_CODE]],_reward_link_[CONTEST_CODE],0),MATCH($U$1,_reward_link_[#Headers],0)),"-")</f>
        <v>GOSB</v>
      </c>
      <c r="V233" s="1" t="str">
        <f>IFERROR(INDEX(_report[],MATCH(ВСЕ_КОДЫ[[#This Row],[CONTEST_CODE]],_report[CONTEST_CODE],0),MATCH($V$1,_report[#Headers],0)),"-")</f>
        <v>-</v>
      </c>
      <c r="W233" s="1" t="str">
        <f>IFERROR(INDEX(_reward_[],MATCH(ВСЕ_КОДЫ[[#This Row],[REWARD_CODE]],_reward_[REWARD_CODE],0),MATCH($W$1,_reward_[#Headers],0)),"-")</f>
        <v>Победитель ТБ по приросту остатка Активов</v>
      </c>
      <c r="X233" s="1" t="str">
        <f>IFERROR(INDEX(_group_[],MATCH(CONCATENATE(ВСЕ_КОДЫ[[#This Row],[CONTEST_CODE]],"_",X$2),#REF!,0),MATCH(X$1,_group_[#Headers],0)),"-")</f>
        <v>-</v>
      </c>
      <c r="Y233" s="1" t="str">
        <f>IFERROR(INDEX(_group_[],MATCH(CONCATENATE(ВСЕ_КОДЫ[[#This Row],[CONTEST_CODE]],"_",Y$2),#REF!,0),MATCH(Y$1,_group_[#Headers],0)),"-")</f>
        <v>-</v>
      </c>
      <c r="Z233" s="1" t="str">
        <f>IFERROR(INDEX(_group_[],MATCH(CONCATENATE(ВСЕ_КОДЫ[[#This Row],[CONTEST_CODE]],"_",Z$2),#REF!,0),MATCH(Z$1,_group_[#Headers],0)),"-")</f>
        <v>-</v>
      </c>
      <c r="AA233" s="1" t="str">
        <f>IFERROR(INDEX(_group_[],MATCH(CONCATENATE(ВСЕ_КОДЫ[[#This Row],[CONTEST_CODE]],"_",AA$2),#REF!,0),MATCH(AA$1,_group_[#Headers],0)),"-")</f>
        <v>-</v>
      </c>
      <c r="AB233" s="1" t="str">
        <f>IFERROR(INDEX(_DATA_[],MATCH(ВСЕ_КОДЫ[[#This Row],[CONTEST_CODE]],_DATA_[CONTEST_CODE],0),MATCH($AB$2,_DATA_[#Headers],0)),"-")</f>
        <v>["""KMKKSB"""]</v>
      </c>
      <c r="AC233" s="1" t="str">
        <f>CONCATENATE(ВСЕ_КОДЫ[[#This Row],[CONTEST_CODE]],"_",ВСЕ_КОДЫ[[#This Row],[TOURNAMENT_CODE]])</f>
        <v>CONTEST_28_TOURNAMENT_28_2024_M11</v>
      </c>
      <c r="AD233" s="1" t="str">
        <f>ВСЕ_КОДЫ[[#This Row],[FULL_NAME]]</f>
        <v>Активы. Максимизируй прирост остатка</v>
      </c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idden="1" x14ac:dyDescent="0.25">
      <c r="A234" s="1" t="s">
        <v>86</v>
      </c>
      <c r="B234" s="1" t="s">
        <v>277</v>
      </c>
      <c r="C234" s="1" t="s">
        <v>428</v>
      </c>
      <c r="D234" s="1" t="s">
        <v>583</v>
      </c>
      <c r="E234" s="1" t="s">
        <v>87</v>
      </c>
      <c r="F234" s="1" t="s">
        <v>26</v>
      </c>
      <c r="G234" s="1" t="s">
        <v>27</v>
      </c>
      <c r="H234" s="1" t="s">
        <v>28</v>
      </c>
      <c r="I234" s="1" t="s">
        <v>50</v>
      </c>
      <c r="J234" s="1" t="s">
        <v>187</v>
      </c>
      <c r="K234" s="1" t="s">
        <v>188</v>
      </c>
      <c r="L234" s="1" t="s">
        <v>1088</v>
      </c>
      <c r="M234" s="1" t="s">
        <v>176</v>
      </c>
      <c r="N234" s="1" t="s">
        <v>305</v>
      </c>
      <c r="O234" s="1" t="s">
        <v>429</v>
      </c>
      <c r="P234" s="1"/>
      <c r="Q234" s="1">
        <f>IFERROR(COUNTIFS(_report[TOURNAMENT_CODE],ВСЕ_КОДЫ[[#This Row],[TOURNAMENT_CODE]],_report[CONTEST_CODE],ВСЕ_КОДЫ[[#This Row],[CONTEST_CODE]]),"-")</f>
        <v>0</v>
      </c>
      <c r="R234" s="1" t="str">
        <f>IFERROR(INDEX(_SCHEDULE_[],MATCH(ВСЕ_КОДЫ[[#This Row],[CONTEST_CODE]],_SCHEDULE_[CONTEST_CODE],0),MATCH($R$1,_SCHEDULE_[#Headers],0)),"-")</f>
        <v>ЗАВЕРШЕН</v>
      </c>
      <c r="S234" s="1" t="str">
        <f>IFERROR(INDEX(_group_[],MATCH(ВСЕ_КОДЫ[[#This Row],[CONTEST_CODE]],_group_[CONTEST_CODE],0),MATCH($S$1,_group_[#Headers],0)),"-")</f>
        <v>BANK</v>
      </c>
      <c r="T234" s="1" t="str">
        <f>IFERROR(INDEX(_INDICATOR_[],MATCH(ВСЕ_КОДЫ[[#This Row],[CONTEST_CODE]],_INDICATOR_[CONTEST_CODE],0),MATCH($T$1,_INDICATOR_[#Headers],0)),"-")</f>
        <v>WAIT</v>
      </c>
      <c r="U234" s="1" t="str">
        <f>IFERROR(INDEX(_reward_link_[],MATCH(ВСЕ_КОДЫ[[#This Row],[CONTEST_CODE]],_reward_link_[CONTEST_CODE],0),MATCH($U$1,_reward_link_[#Headers],0)),"-")</f>
        <v>GOSB</v>
      </c>
      <c r="V234" s="1" t="str">
        <f>IFERROR(INDEX(_report[],MATCH(ВСЕ_КОДЫ[[#This Row],[CONTEST_CODE]],_report[CONTEST_CODE],0),MATCH($V$1,_report[#Headers],0)),"-")</f>
        <v>-</v>
      </c>
      <c r="W234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34" s="1" t="str">
        <f>IFERROR(INDEX(_group_[],MATCH(CONCATENATE(ВСЕ_КОДЫ[[#This Row],[CONTEST_CODE]],"_",X$2),#REF!,0),MATCH(X$1,_group_[#Headers],0)),"-")</f>
        <v>-</v>
      </c>
      <c r="Y234" s="1" t="str">
        <f>IFERROR(INDEX(_group_[],MATCH(CONCATENATE(ВСЕ_КОДЫ[[#This Row],[CONTEST_CODE]],"_",Y$2),#REF!,0),MATCH(Y$1,_group_[#Headers],0)),"-")</f>
        <v>-</v>
      </c>
      <c r="Z234" s="1" t="str">
        <f>IFERROR(INDEX(_group_[],MATCH(CONCATENATE(ВСЕ_КОДЫ[[#This Row],[CONTEST_CODE]],"_",Z$2),#REF!,0),MATCH(Z$1,_group_[#Headers],0)),"-")</f>
        <v>-</v>
      </c>
      <c r="AA234" s="1" t="str">
        <f>IFERROR(INDEX(_group_[],MATCH(CONCATENATE(ВСЕ_КОДЫ[[#This Row],[CONTEST_CODE]],"_",AA$2),#REF!,0),MATCH(AA$1,_group_[#Headers],0)),"-")</f>
        <v>-</v>
      </c>
      <c r="AB234" s="1" t="str">
        <f>IFERROR(INDEX(_DATA_[],MATCH(ВСЕ_КОДЫ[[#This Row],[CONTEST_CODE]],_DATA_[CONTEST_CODE],0),MATCH($AB$2,_DATA_[#Headers],0)),"-")</f>
        <v>["""KMKKSB"""]</v>
      </c>
      <c r="AC234" s="1" t="str">
        <f>CONCATENATE(ВСЕ_КОДЫ[[#This Row],[CONTEST_CODE]],"_",ВСЕ_КОДЫ[[#This Row],[TOURNAMENT_CODE]])</f>
        <v>CONTEST_28_TOURNAMENT_28_03</v>
      </c>
      <c r="AD234" s="1" t="str">
        <f>ВСЕ_КОДЫ[[#This Row],[FULL_NAME]]</f>
        <v>Активы. Максимизируй прирост остатка</v>
      </c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idden="1" x14ac:dyDescent="0.25">
      <c r="A235" s="1" t="s">
        <v>86</v>
      </c>
      <c r="B235" s="1" t="s">
        <v>278</v>
      </c>
      <c r="C235" s="1" t="s">
        <v>428</v>
      </c>
      <c r="D235" s="1" t="s">
        <v>583</v>
      </c>
      <c r="E235" s="1" t="s">
        <v>87</v>
      </c>
      <c r="F235" s="1" t="s">
        <v>26</v>
      </c>
      <c r="G235" s="1" t="s">
        <v>27</v>
      </c>
      <c r="H235" s="1" t="s">
        <v>28</v>
      </c>
      <c r="I235" s="1" t="s">
        <v>50</v>
      </c>
      <c r="J235" s="1" t="s">
        <v>192</v>
      </c>
      <c r="K235" s="1" t="s">
        <v>193</v>
      </c>
      <c r="L235" s="1" t="s">
        <v>1088</v>
      </c>
      <c r="M235" s="1" t="s">
        <v>176</v>
      </c>
      <c r="N235" s="1" t="s">
        <v>305</v>
      </c>
      <c r="O235" s="1" t="s">
        <v>429</v>
      </c>
      <c r="P235" s="1"/>
      <c r="Q235" s="1">
        <f>IFERROR(COUNTIFS(_report[TOURNAMENT_CODE],ВСЕ_КОДЫ[[#This Row],[TOURNAMENT_CODE]],_report[CONTEST_CODE],ВСЕ_КОДЫ[[#This Row],[CONTEST_CODE]]),"-")</f>
        <v>0</v>
      </c>
      <c r="R235" s="1" t="str">
        <f>IFERROR(INDEX(_SCHEDULE_[],MATCH(ВСЕ_КОДЫ[[#This Row],[CONTEST_CODE]],_SCHEDULE_[CONTEST_CODE],0),MATCH($R$1,_SCHEDULE_[#Headers],0)),"-")</f>
        <v>ЗАВЕРШЕН</v>
      </c>
      <c r="S235" s="1" t="str">
        <f>IFERROR(INDEX(_group_[],MATCH(ВСЕ_КОДЫ[[#This Row],[CONTEST_CODE]],_group_[CONTEST_CODE],0),MATCH($S$1,_group_[#Headers],0)),"-")</f>
        <v>BANK</v>
      </c>
      <c r="T235" s="1" t="str">
        <f>IFERROR(INDEX(_INDICATOR_[],MATCH(ВСЕ_КОДЫ[[#This Row],[CONTEST_CODE]],_INDICATOR_[CONTEST_CODE],0),MATCH($T$1,_INDICATOR_[#Headers],0)),"-")</f>
        <v>WAIT</v>
      </c>
      <c r="U235" s="1" t="str">
        <f>IFERROR(INDEX(_reward_link_[],MATCH(ВСЕ_КОДЫ[[#This Row],[CONTEST_CODE]],_reward_link_[CONTEST_CODE],0),MATCH($U$1,_reward_link_[#Headers],0)),"-")</f>
        <v>GOSB</v>
      </c>
      <c r="V235" s="1" t="str">
        <f>IFERROR(INDEX(_report[],MATCH(ВСЕ_КОДЫ[[#This Row],[CONTEST_CODE]],_report[CONTEST_CODE],0),MATCH($V$1,_report[#Headers],0)),"-")</f>
        <v>-</v>
      </c>
      <c r="W235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35" s="1" t="str">
        <f>IFERROR(INDEX(_group_[],MATCH(CONCATENATE(ВСЕ_КОДЫ[[#This Row],[CONTEST_CODE]],"_",X$2),#REF!,0),MATCH(X$1,_group_[#Headers],0)),"-")</f>
        <v>-</v>
      </c>
      <c r="Y235" s="1" t="str">
        <f>IFERROR(INDEX(_group_[],MATCH(CONCATENATE(ВСЕ_КОДЫ[[#This Row],[CONTEST_CODE]],"_",Y$2),#REF!,0),MATCH(Y$1,_group_[#Headers],0)),"-")</f>
        <v>-</v>
      </c>
      <c r="Z235" s="1" t="str">
        <f>IFERROR(INDEX(_group_[],MATCH(CONCATENATE(ВСЕ_КОДЫ[[#This Row],[CONTEST_CODE]],"_",Z$2),#REF!,0),MATCH(Z$1,_group_[#Headers],0)),"-")</f>
        <v>-</v>
      </c>
      <c r="AA235" s="1" t="str">
        <f>IFERROR(INDEX(_group_[],MATCH(CONCATENATE(ВСЕ_КОДЫ[[#This Row],[CONTEST_CODE]],"_",AA$2),#REF!,0),MATCH(AA$1,_group_[#Headers],0)),"-")</f>
        <v>-</v>
      </c>
      <c r="AB235" s="1" t="str">
        <f>IFERROR(INDEX(_DATA_[],MATCH(ВСЕ_КОДЫ[[#This Row],[CONTEST_CODE]],_DATA_[CONTEST_CODE],0),MATCH($AB$2,_DATA_[#Headers],0)),"-")</f>
        <v>["""KMKKSB"""]</v>
      </c>
      <c r="AC235" s="1" t="str">
        <f>CONCATENATE(ВСЕ_КОДЫ[[#This Row],[CONTEST_CODE]],"_",ВСЕ_КОДЫ[[#This Row],[TOURNAMENT_CODE]])</f>
        <v>CONTEST_28_TOURNAMENT_28_04</v>
      </c>
      <c r="AD235" s="1" t="str">
        <f>ВСЕ_КОДЫ[[#This Row],[FULL_NAME]]</f>
        <v>Активы. Максимизируй прирост остатка</v>
      </c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idden="1" x14ac:dyDescent="0.25">
      <c r="A236" s="1" t="s">
        <v>86</v>
      </c>
      <c r="B236" s="1" t="s">
        <v>634</v>
      </c>
      <c r="C236" s="1" t="s">
        <v>428</v>
      </c>
      <c r="D236" s="1" t="s">
        <v>583</v>
      </c>
      <c r="E236" s="1" t="s">
        <v>87</v>
      </c>
      <c r="F236" s="1" t="s">
        <v>26</v>
      </c>
      <c r="G236" s="1" t="s">
        <v>27</v>
      </c>
      <c r="H236" s="1" t="s">
        <v>28</v>
      </c>
      <c r="I236" s="1" t="s">
        <v>50</v>
      </c>
      <c r="J236" s="1" t="s">
        <v>245</v>
      </c>
      <c r="K236" s="1" t="s">
        <v>246</v>
      </c>
      <c r="L236" s="1" t="s">
        <v>252</v>
      </c>
      <c r="M236" s="1" t="s">
        <v>176</v>
      </c>
      <c r="N236" s="1" t="s">
        <v>305</v>
      </c>
      <c r="O236" s="1" t="s">
        <v>429</v>
      </c>
      <c r="P236" s="1"/>
      <c r="Q236" s="1">
        <f>IFERROR(COUNTIFS(_report[TOURNAMENT_CODE],ВСЕ_КОДЫ[[#This Row],[TOURNAMENT_CODE]],_report[CONTEST_CODE],ВСЕ_КОДЫ[[#This Row],[CONTEST_CODE]]),"-")</f>
        <v>0</v>
      </c>
      <c r="R236" s="1" t="str">
        <f>IFERROR(INDEX(_SCHEDULE_[],MATCH(ВСЕ_КОДЫ[[#This Row],[CONTEST_CODE]],_SCHEDULE_[CONTEST_CODE],0),MATCH($R$1,_SCHEDULE_[#Headers],0)),"-")</f>
        <v>ЗАВЕРШЕН</v>
      </c>
      <c r="S236" s="1" t="str">
        <f>IFERROR(INDEX(_group_[],MATCH(ВСЕ_КОДЫ[[#This Row],[CONTEST_CODE]],_group_[CONTEST_CODE],0),MATCH($S$1,_group_[#Headers],0)),"-")</f>
        <v>BANK</v>
      </c>
      <c r="T236" s="1" t="str">
        <f>IFERROR(INDEX(_INDICATOR_[],MATCH(ВСЕ_КОДЫ[[#This Row],[CONTEST_CODE]],_INDICATOR_[CONTEST_CODE],0),MATCH($T$1,_INDICATOR_[#Headers],0)),"-")</f>
        <v>WAIT</v>
      </c>
      <c r="U236" s="1" t="str">
        <f>IFERROR(INDEX(_reward_link_[],MATCH(ВСЕ_КОДЫ[[#This Row],[CONTEST_CODE]],_reward_link_[CONTEST_CODE],0),MATCH($U$1,_reward_link_[#Headers],0)),"-")</f>
        <v>GOSB</v>
      </c>
      <c r="V236" s="1" t="str">
        <f>IFERROR(INDEX(_report[],MATCH(ВСЕ_КОДЫ[[#This Row],[CONTEST_CODE]],_report[CONTEST_CODE],0),MATCH($V$1,_report[#Headers],0)),"-")</f>
        <v>-</v>
      </c>
      <c r="W236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36" s="1" t="str">
        <f>IFERROR(INDEX(_group_[],MATCH(CONCATENATE(ВСЕ_КОДЫ[[#This Row],[CONTEST_CODE]],"_",X$2),#REF!,0),MATCH(X$1,_group_[#Headers],0)),"-")</f>
        <v>-</v>
      </c>
      <c r="Y236" s="1" t="str">
        <f>IFERROR(INDEX(_group_[],MATCH(CONCATENATE(ВСЕ_КОДЫ[[#This Row],[CONTEST_CODE]],"_",Y$2),#REF!,0),MATCH(Y$1,_group_[#Headers],0)),"-")</f>
        <v>-</v>
      </c>
      <c r="Z236" s="1" t="str">
        <f>IFERROR(INDEX(_group_[],MATCH(CONCATENATE(ВСЕ_КОДЫ[[#This Row],[CONTEST_CODE]],"_",Z$2),#REF!,0),MATCH(Z$1,_group_[#Headers],0)),"-")</f>
        <v>-</v>
      </c>
      <c r="AA236" s="1" t="str">
        <f>IFERROR(INDEX(_group_[],MATCH(CONCATENATE(ВСЕ_КОДЫ[[#This Row],[CONTEST_CODE]],"_",AA$2),#REF!,0),MATCH(AA$1,_group_[#Headers],0)),"-")</f>
        <v>-</v>
      </c>
      <c r="AB236" s="1" t="str">
        <f>IFERROR(INDEX(_DATA_[],MATCH(ВСЕ_КОДЫ[[#This Row],[CONTEST_CODE]],_DATA_[CONTEST_CODE],0),MATCH($AB$2,_DATA_[#Headers],0)),"-")</f>
        <v>["""KMKKSB"""]</v>
      </c>
      <c r="AC236" s="1" t="str">
        <f>CONCATENATE(ВСЕ_КОДЫ[[#This Row],[CONTEST_CODE]],"_",ВСЕ_КОДЫ[[#This Row],[TOURNAMENT_CODE]])</f>
        <v>CONTEST_28_TOURNAMENT_28_05</v>
      </c>
      <c r="AD236" s="1" t="str">
        <f>ВСЕ_КОДЫ[[#This Row],[FULL_NAME]]</f>
        <v>Активы. Максимизируй прирост остатка</v>
      </c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idden="1" x14ac:dyDescent="0.25">
      <c r="A237" s="1" t="s">
        <v>86</v>
      </c>
      <c r="B237" s="1" t="s">
        <v>697</v>
      </c>
      <c r="C237" s="1" t="s">
        <v>428</v>
      </c>
      <c r="D237" s="1" t="s">
        <v>583</v>
      </c>
      <c r="E237" s="1" t="s">
        <v>87</v>
      </c>
      <c r="F237" s="1" t="s">
        <v>26</v>
      </c>
      <c r="G237" s="1" t="s">
        <v>27</v>
      </c>
      <c r="H237" s="1" t="s">
        <v>28</v>
      </c>
      <c r="I237" s="1" t="s">
        <v>50</v>
      </c>
      <c r="J237" s="1" t="s">
        <v>695</v>
      </c>
      <c r="K237" s="1" t="s">
        <v>252</v>
      </c>
      <c r="L237" s="1" t="s">
        <v>1222</v>
      </c>
      <c r="M237" s="1" t="s">
        <v>176</v>
      </c>
      <c r="N237" s="1" t="s">
        <v>305</v>
      </c>
      <c r="O237" s="1" t="s">
        <v>429</v>
      </c>
      <c r="P237" s="1"/>
      <c r="Q237" s="1">
        <f>IFERROR(COUNTIFS(_report[TOURNAMENT_CODE],ВСЕ_КОДЫ[[#This Row],[TOURNAMENT_CODE]],_report[CONTEST_CODE],ВСЕ_КОДЫ[[#This Row],[CONTEST_CODE]]),"-")</f>
        <v>0</v>
      </c>
      <c r="R237" s="1" t="str">
        <f>IFERROR(INDEX(_SCHEDULE_[],MATCH(ВСЕ_КОДЫ[[#This Row],[CONTEST_CODE]],_SCHEDULE_[CONTEST_CODE],0),MATCH($R$1,_SCHEDULE_[#Headers],0)),"-")</f>
        <v>ЗАВЕРШЕН</v>
      </c>
      <c r="S237" s="1" t="str">
        <f>IFERROR(INDEX(_group_[],MATCH(ВСЕ_КОДЫ[[#This Row],[CONTEST_CODE]],_group_[CONTEST_CODE],0),MATCH($S$1,_group_[#Headers],0)),"-")</f>
        <v>BANK</v>
      </c>
      <c r="T237" s="1" t="str">
        <f>IFERROR(INDEX(_INDICATOR_[],MATCH(ВСЕ_КОДЫ[[#This Row],[CONTEST_CODE]],_INDICATOR_[CONTEST_CODE],0),MATCH($T$1,_INDICATOR_[#Headers],0)),"-")</f>
        <v>WAIT</v>
      </c>
      <c r="U237" s="1" t="str">
        <f>IFERROR(INDEX(_reward_link_[],MATCH(ВСЕ_КОДЫ[[#This Row],[CONTEST_CODE]],_reward_link_[CONTEST_CODE],0),MATCH($U$1,_reward_link_[#Headers],0)),"-")</f>
        <v>GOSB</v>
      </c>
      <c r="V237" s="1" t="str">
        <f>IFERROR(INDEX(_report[],MATCH(ВСЕ_КОДЫ[[#This Row],[CONTEST_CODE]],_report[CONTEST_CODE],0),MATCH($V$1,_report[#Headers],0)),"-")</f>
        <v>-</v>
      </c>
      <c r="W237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37" s="1" t="str">
        <f>IFERROR(INDEX(_group_[],MATCH(CONCATENATE(ВСЕ_КОДЫ[[#This Row],[CONTEST_CODE]],"_",X$2),#REF!,0),MATCH(X$1,_group_[#Headers],0)),"-")</f>
        <v>-</v>
      </c>
      <c r="Y237" s="1" t="str">
        <f>IFERROR(INDEX(_group_[],MATCH(CONCATENATE(ВСЕ_КОДЫ[[#This Row],[CONTEST_CODE]],"_",Y$2),#REF!,0),MATCH(Y$1,_group_[#Headers],0)),"-")</f>
        <v>-</v>
      </c>
      <c r="Z237" s="1" t="str">
        <f>IFERROR(INDEX(_group_[],MATCH(CONCATENATE(ВСЕ_КОДЫ[[#This Row],[CONTEST_CODE]],"_",Z$2),#REF!,0),MATCH(Z$1,_group_[#Headers],0)),"-")</f>
        <v>-</v>
      </c>
      <c r="AA237" s="1" t="str">
        <f>IFERROR(INDEX(_group_[],MATCH(CONCATENATE(ВСЕ_КОДЫ[[#This Row],[CONTEST_CODE]],"_",AA$2),#REF!,0),MATCH(AA$1,_group_[#Headers],0)),"-")</f>
        <v>-</v>
      </c>
      <c r="AB237" s="1" t="str">
        <f>IFERROR(INDEX(_DATA_[],MATCH(ВСЕ_КОДЫ[[#This Row],[CONTEST_CODE]],_DATA_[CONTEST_CODE],0),MATCH($AB$2,_DATA_[#Headers],0)),"-")</f>
        <v>["""KMKKSB"""]</v>
      </c>
      <c r="AC237" s="1" t="str">
        <f>CONCATENATE(ВСЕ_КОДЫ[[#This Row],[CONTEST_CODE]],"_",ВСЕ_КОДЫ[[#This Row],[TOURNAMENT_CODE]])</f>
        <v>CONTEST_28_TOURNAMENT_28_06</v>
      </c>
      <c r="AD237" s="1" t="str">
        <f>ВСЕ_КОДЫ[[#This Row],[FULL_NAME]]</f>
        <v>Активы. Максимизируй прирост остатка</v>
      </c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idden="1" x14ac:dyDescent="0.25">
      <c r="A238" s="1" t="s">
        <v>86</v>
      </c>
      <c r="B238" s="1" t="s">
        <v>1044</v>
      </c>
      <c r="C238" s="1" t="s">
        <v>428</v>
      </c>
      <c r="D238" s="1" t="s">
        <v>583</v>
      </c>
      <c r="E238" s="1" t="s">
        <v>87</v>
      </c>
      <c r="F238" s="1" t="s">
        <v>26</v>
      </c>
      <c r="G238" s="1" t="s">
        <v>27</v>
      </c>
      <c r="H238" s="1" t="s">
        <v>28</v>
      </c>
      <c r="I238" s="1" t="s">
        <v>50</v>
      </c>
      <c r="J238" s="1" t="s">
        <v>703</v>
      </c>
      <c r="K238" s="1" t="s">
        <v>704</v>
      </c>
      <c r="L238" s="1" t="s">
        <v>705</v>
      </c>
      <c r="M238" s="1" t="s">
        <v>176</v>
      </c>
      <c r="N238" s="1" t="s">
        <v>305</v>
      </c>
      <c r="O238" s="1" t="s">
        <v>429</v>
      </c>
      <c r="P238" s="1"/>
      <c r="Q238" s="1">
        <f>IFERROR(COUNTIFS(_report[TOURNAMENT_CODE],ВСЕ_КОДЫ[[#This Row],[TOURNAMENT_CODE]],_report[CONTEST_CODE],ВСЕ_КОДЫ[[#This Row],[CONTEST_CODE]]),"-")</f>
        <v>0</v>
      </c>
      <c r="R238" s="1" t="str">
        <f>IFERROR(INDEX(_SCHEDULE_[],MATCH(ВСЕ_КОДЫ[[#This Row],[CONTEST_CODE]],_SCHEDULE_[CONTEST_CODE],0),MATCH($R$1,_SCHEDULE_[#Headers],0)),"-")</f>
        <v>ЗАВЕРШЕН</v>
      </c>
      <c r="S238" s="1" t="str">
        <f>IFERROR(INDEX(_group_[],MATCH(ВСЕ_КОДЫ[[#This Row],[CONTEST_CODE]],_group_[CONTEST_CODE],0),MATCH($S$1,_group_[#Headers],0)),"-")</f>
        <v>BANK</v>
      </c>
      <c r="T238" s="1" t="str">
        <f>IFERROR(INDEX(_INDICATOR_[],MATCH(ВСЕ_КОДЫ[[#This Row],[CONTEST_CODE]],_INDICATOR_[CONTEST_CODE],0),MATCH($T$1,_INDICATOR_[#Headers],0)),"-")</f>
        <v>WAIT</v>
      </c>
      <c r="U238" s="1" t="str">
        <f>IFERROR(INDEX(_reward_link_[],MATCH(ВСЕ_КОДЫ[[#This Row],[CONTEST_CODE]],_reward_link_[CONTEST_CODE],0),MATCH($U$1,_reward_link_[#Headers],0)),"-")</f>
        <v>GOSB</v>
      </c>
      <c r="V238" s="1" t="str">
        <f>IFERROR(INDEX(_report[],MATCH(ВСЕ_КОДЫ[[#This Row],[CONTEST_CODE]],_report[CONTEST_CODE],0),MATCH($V$1,_report[#Headers],0)),"-")</f>
        <v>-</v>
      </c>
      <c r="W238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38" s="1" t="str">
        <f>IFERROR(INDEX(_group_[],MATCH(CONCATENATE(ВСЕ_КОДЫ[[#This Row],[CONTEST_CODE]],"_",X$2),#REF!,0),MATCH(X$1,_group_[#Headers],0)),"-")</f>
        <v>-</v>
      </c>
      <c r="Y238" s="1" t="str">
        <f>IFERROR(INDEX(_group_[],MATCH(CONCATENATE(ВСЕ_КОДЫ[[#This Row],[CONTEST_CODE]],"_",Y$2),#REF!,0),MATCH(Y$1,_group_[#Headers],0)),"-")</f>
        <v>-</v>
      </c>
      <c r="Z238" s="1" t="str">
        <f>IFERROR(INDEX(_group_[],MATCH(CONCATENATE(ВСЕ_КОДЫ[[#This Row],[CONTEST_CODE]],"_",Z$2),#REF!,0),MATCH(Z$1,_group_[#Headers],0)),"-")</f>
        <v>-</v>
      </c>
      <c r="AA238" s="1" t="str">
        <f>IFERROR(INDEX(_group_[],MATCH(CONCATENATE(ВСЕ_КОДЫ[[#This Row],[CONTEST_CODE]],"_",AA$2),#REF!,0),MATCH(AA$1,_group_[#Headers],0)),"-")</f>
        <v>-</v>
      </c>
      <c r="AB238" s="1" t="str">
        <f>IFERROR(INDEX(_DATA_[],MATCH(ВСЕ_КОДЫ[[#This Row],[CONTEST_CODE]],_DATA_[CONTEST_CODE],0),MATCH($AB$2,_DATA_[#Headers],0)),"-")</f>
        <v>["""KMKKSB"""]</v>
      </c>
      <c r="AC238" s="1" t="str">
        <f>CONCATENATE(ВСЕ_КОДЫ[[#This Row],[CONTEST_CODE]],"_",ВСЕ_КОДЫ[[#This Row],[TOURNAMENT_CODE]])</f>
        <v>CONTEST_28_TOURNAMENT_28_07</v>
      </c>
      <c r="AD238" s="1" t="str">
        <f>ВСЕ_КОДЫ[[#This Row],[FULL_NAME]]</f>
        <v>Активы. Максимизируй прирост остатка</v>
      </c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idden="1" x14ac:dyDescent="0.25">
      <c r="A239" s="1" t="s">
        <v>86</v>
      </c>
      <c r="B239" s="1" t="s">
        <v>1206</v>
      </c>
      <c r="C239" s="1" t="s">
        <v>428</v>
      </c>
      <c r="D239" s="1" t="s">
        <v>583</v>
      </c>
      <c r="E239" s="1" t="s">
        <v>87</v>
      </c>
      <c r="F239" s="1" t="s">
        <v>26</v>
      </c>
      <c r="G239" s="1" t="s">
        <v>27</v>
      </c>
      <c r="H239" s="1" t="s">
        <v>28</v>
      </c>
      <c r="I239" s="1" t="s">
        <v>50</v>
      </c>
      <c r="J239" s="1" t="s">
        <v>1078</v>
      </c>
      <c r="K239" s="1" t="s">
        <v>1173</v>
      </c>
      <c r="L239" s="1" t="s">
        <v>1712</v>
      </c>
      <c r="M239" s="1" t="s">
        <v>176</v>
      </c>
      <c r="N239" s="1" t="s">
        <v>305</v>
      </c>
      <c r="O239" s="1" t="s">
        <v>429</v>
      </c>
      <c r="P239" s="1"/>
      <c r="Q239" s="1">
        <f>IFERROR(COUNTIFS(_report[TOURNAMENT_CODE],ВСЕ_КОДЫ[[#This Row],[TOURNAMENT_CODE]],_report[CONTEST_CODE],ВСЕ_КОДЫ[[#This Row],[CONTEST_CODE]]),"-")</f>
        <v>0</v>
      </c>
      <c r="R239" s="1" t="str">
        <f>IFERROR(INDEX(_SCHEDULE_[],MATCH(ВСЕ_КОДЫ[[#This Row],[CONTEST_CODE]],_SCHEDULE_[CONTEST_CODE],0),MATCH($R$1,_SCHEDULE_[#Headers],0)),"-")</f>
        <v>ЗАВЕРШЕН</v>
      </c>
      <c r="S239" s="1" t="str">
        <f>IFERROR(INDEX(_group_[],MATCH(ВСЕ_КОДЫ[[#This Row],[CONTEST_CODE]],_group_[CONTEST_CODE],0),MATCH($S$1,_group_[#Headers],0)),"-")</f>
        <v>BANK</v>
      </c>
      <c r="T239" s="1" t="str">
        <f>IFERROR(INDEX(_INDICATOR_[],MATCH(ВСЕ_КОДЫ[[#This Row],[CONTEST_CODE]],_INDICATOR_[CONTEST_CODE],0),MATCH($T$1,_INDICATOR_[#Headers],0)),"-")</f>
        <v>WAIT</v>
      </c>
      <c r="U239" s="1" t="str">
        <f>IFERROR(INDEX(_reward_link_[],MATCH(ВСЕ_КОДЫ[[#This Row],[CONTEST_CODE]],_reward_link_[CONTEST_CODE],0),MATCH($U$1,_reward_link_[#Headers],0)),"-")</f>
        <v>GOSB</v>
      </c>
      <c r="V239" s="1" t="str">
        <f>IFERROR(INDEX(_report[],MATCH(ВСЕ_КОДЫ[[#This Row],[CONTEST_CODE]],_report[CONTEST_CODE],0),MATCH($V$1,_report[#Headers],0)),"-")</f>
        <v>-</v>
      </c>
      <c r="W239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39" s="1" t="str">
        <f>IFERROR(INDEX(_group_[],MATCH(CONCATENATE(ВСЕ_КОДЫ[[#This Row],[CONTEST_CODE]],"_",X$2),#REF!,0),MATCH(X$1,_group_[#Headers],0)),"-")</f>
        <v>-</v>
      </c>
      <c r="Y239" s="1" t="str">
        <f>IFERROR(INDEX(_group_[],MATCH(CONCATENATE(ВСЕ_КОДЫ[[#This Row],[CONTEST_CODE]],"_",Y$2),#REF!,0),MATCH(Y$1,_group_[#Headers],0)),"-")</f>
        <v>-</v>
      </c>
      <c r="Z239" s="1" t="str">
        <f>IFERROR(INDEX(_group_[],MATCH(CONCATENATE(ВСЕ_КОДЫ[[#This Row],[CONTEST_CODE]],"_",Z$2),#REF!,0),MATCH(Z$1,_group_[#Headers],0)),"-")</f>
        <v>-</v>
      </c>
      <c r="AA239" s="1" t="str">
        <f>IFERROR(INDEX(_group_[],MATCH(CONCATENATE(ВСЕ_КОДЫ[[#This Row],[CONTEST_CODE]],"_",AA$2),#REF!,0),MATCH(AA$1,_group_[#Headers],0)),"-")</f>
        <v>-</v>
      </c>
      <c r="AB239" s="1" t="str">
        <f>IFERROR(INDEX(_DATA_[],MATCH(ВСЕ_КОДЫ[[#This Row],[CONTEST_CODE]],_DATA_[CONTEST_CODE],0),MATCH($AB$2,_DATA_[#Headers],0)),"-")</f>
        <v>["""KMKKSB"""]</v>
      </c>
      <c r="AC239" s="1" t="str">
        <f>CONCATENATE(ВСЕ_КОДЫ[[#This Row],[CONTEST_CODE]],"_",ВСЕ_КОДЫ[[#This Row],[TOURNAMENT_CODE]])</f>
        <v>CONTEST_28_TOURNAMENT_28_08</v>
      </c>
      <c r="AD239" s="1" t="str">
        <f>ВСЕ_КОДЫ[[#This Row],[FULL_NAME]]</f>
        <v>Активы. Максимизируй прирост остатка</v>
      </c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idden="1" x14ac:dyDescent="0.25">
      <c r="A240" s="1" t="s">
        <v>86</v>
      </c>
      <c r="B240" s="1" t="s">
        <v>1279</v>
      </c>
      <c r="C240" s="1" t="s">
        <v>428</v>
      </c>
      <c r="D240" s="1" t="s">
        <v>583</v>
      </c>
      <c r="E240" s="1" t="s">
        <v>87</v>
      </c>
      <c r="F240" s="1" t="s">
        <v>26</v>
      </c>
      <c r="G240" s="1" t="s">
        <v>27</v>
      </c>
      <c r="H240" s="1" t="s">
        <v>28</v>
      </c>
      <c r="I240" s="1" t="s">
        <v>50</v>
      </c>
      <c r="J240" s="1" t="s">
        <v>1225</v>
      </c>
      <c r="K240" s="1" t="s">
        <v>1070</v>
      </c>
      <c r="L240" s="1" t="s">
        <v>1712</v>
      </c>
      <c r="M240" s="1" t="s">
        <v>176</v>
      </c>
      <c r="N240" s="1" t="s">
        <v>305</v>
      </c>
      <c r="O240" s="1" t="s">
        <v>429</v>
      </c>
      <c r="P240" s="1"/>
      <c r="Q240" s="1">
        <f>IFERROR(COUNTIFS(_report[TOURNAMENT_CODE],ВСЕ_КОДЫ[[#This Row],[TOURNAMENT_CODE]],_report[CONTEST_CODE],ВСЕ_КОДЫ[[#This Row],[CONTEST_CODE]]),"-")</f>
        <v>0</v>
      </c>
      <c r="R240" s="1" t="str">
        <f>IFERROR(INDEX(_SCHEDULE_[],MATCH(ВСЕ_КОДЫ[[#This Row],[CONTEST_CODE]],_SCHEDULE_[CONTEST_CODE],0),MATCH($R$1,_SCHEDULE_[#Headers],0)),"-")</f>
        <v>ЗАВЕРШЕН</v>
      </c>
      <c r="S240" s="1" t="str">
        <f>IFERROR(INDEX(_group_[],MATCH(ВСЕ_КОДЫ[[#This Row],[CONTEST_CODE]],_group_[CONTEST_CODE],0),MATCH($S$1,_group_[#Headers],0)),"-")</f>
        <v>BANK</v>
      </c>
      <c r="T240" s="1" t="str">
        <f>IFERROR(INDEX(_INDICATOR_[],MATCH(ВСЕ_КОДЫ[[#This Row],[CONTEST_CODE]],_INDICATOR_[CONTEST_CODE],0),MATCH($T$1,_INDICATOR_[#Headers],0)),"-")</f>
        <v>WAIT</v>
      </c>
      <c r="U240" s="1" t="str">
        <f>IFERROR(INDEX(_reward_link_[],MATCH(ВСЕ_КОДЫ[[#This Row],[CONTEST_CODE]],_reward_link_[CONTEST_CODE],0),MATCH($U$1,_reward_link_[#Headers],0)),"-")</f>
        <v>GOSB</v>
      </c>
      <c r="V240" s="1" t="str">
        <f>IFERROR(INDEX(_report[],MATCH(ВСЕ_КОДЫ[[#This Row],[CONTEST_CODE]],_report[CONTEST_CODE],0),MATCH($V$1,_report[#Headers],0)),"-")</f>
        <v>-</v>
      </c>
      <c r="W240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40" s="1" t="str">
        <f>IFERROR(INDEX(_group_[],MATCH(CONCATENATE(ВСЕ_КОДЫ[[#This Row],[CONTEST_CODE]],"_",X$2),#REF!,0),MATCH(X$1,_group_[#Headers],0)),"-")</f>
        <v>-</v>
      </c>
      <c r="Y240" s="1" t="str">
        <f>IFERROR(INDEX(_group_[],MATCH(CONCATENATE(ВСЕ_КОДЫ[[#This Row],[CONTEST_CODE]],"_",Y$2),#REF!,0),MATCH(Y$1,_group_[#Headers],0)),"-")</f>
        <v>-</v>
      </c>
      <c r="Z240" s="1" t="str">
        <f>IFERROR(INDEX(_group_[],MATCH(CONCATENATE(ВСЕ_КОДЫ[[#This Row],[CONTEST_CODE]],"_",Z$2),#REF!,0),MATCH(Z$1,_group_[#Headers],0)),"-")</f>
        <v>-</v>
      </c>
      <c r="AA240" s="1" t="str">
        <f>IFERROR(INDEX(_group_[],MATCH(CONCATENATE(ВСЕ_КОДЫ[[#This Row],[CONTEST_CODE]],"_",AA$2),#REF!,0),MATCH(AA$1,_group_[#Headers],0)),"-")</f>
        <v>-</v>
      </c>
      <c r="AB240" s="1" t="str">
        <f>IFERROR(INDEX(_DATA_[],MATCH(ВСЕ_КОДЫ[[#This Row],[CONTEST_CODE]],_DATA_[CONTEST_CODE],0),MATCH($AB$2,_DATA_[#Headers],0)),"-")</f>
        <v>["""KMKKSB"""]</v>
      </c>
      <c r="AC240" s="1" t="str">
        <f>CONCATENATE(ВСЕ_КОДЫ[[#This Row],[CONTEST_CODE]],"_",ВСЕ_КОДЫ[[#This Row],[TOURNAMENT_CODE]])</f>
        <v>CONTEST_28_TOURNAMENT_28_09</v>
      </c>
      <c r="AD240" s="1" t="str">
        <f>ВСЕ_КОДЫ[[#This Row],[FULL_NAME]]</f>
        <v>Активы. Максимизируй прирост остатка</v>
      </c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idden="1" x14ac:dyDescent="0.25">
      <c r="A241" s="1" t="s">
        <v>86</v>
      </c>
      <c r="B241" s="1" t="s">
        <v>1643</v>
      </c>
      <c r="C241" s="1" t="s">
        <v>428</v>
      </c>
      <c r="D241" s="1" t="s">
        <v>583</v>
      </c>
      <c r="E241" s="1" t="s">
        <v>87</v>
      </c>
      <c r="F241" s="1" t="s">
        <v>26</v>
      </c>
      <c r="G241" s="1" t="s">
        <v>27</v>
      </c>
      <c r="H241" s="1" t="s">
        <v>28</v>
      </c>
      <c r="I241" s="1" t="s">
        <v>50</v>
      </c>
      <c r="J241" s="1" t="s">
        <v>1308</v>
      </c>
      <c r="K241" s="1" t="s">
        <v>1638</v>
      </c>
      <c r="L241" s="1" t="s">
        <v>1639</v>
      </c>
      <c r="M241" s="1" t="s">
        <v>176</v>
      </c>
      <c r="N241" s="1" t="s">
        <v>305</v>
      </c>
      <c r="O241" s="1" t="s">
        <v>429</v>
      </c>
      <c r="P241" s="1"/>
      <c r="Q241" s="1">
        <f>IFERROR(COUNTIFS(_report[TOURNAMENT_CODE],ВСЕ_КОДЫ[[#This Row],[TOURNAMENT_CODE]],_report[CONTEST_CODE],ВСЕ_КОДЫ[[#This Row],[CONTEST_CODE]]),"-")</f>
        <v>0</v>
      </c>
      <c r="R241" s="1" t="str">
        <f>IFERROR(INDEX(_SCHEDULE_[],MATCH(ВСЕ_КОДЫ[[#This Row],[CONTEST_CODE]],_SCHEDULE_[CONTEST_CODE],0),MATCH($R$1,_SCHEDULE_[#Headers],0)),"-")</f>
        <v>ЗАВЕРШЕН</v>
      </c>
      <c r="S241" s="1" t="str">
        <f>IFERROR(INDEX(_group_[],MATCH(ВСЕ_КОДЫ[[#This Row],[CONTEST_CODE]],_group_[CONTEST_CODE],0),MATCH($S$1,_group_[#Headers],0)),"-")</f>
        <v>BANK</v>
      </c>
      <c r="T241" s="1" t="str">
        <f>IFERROR(INDEX(_INDICATOR_[],MATCH(ВСЕ_КОДЫ[[#This Row],[CONTEST_CODE]],_INDICATOR_[CONTEST_CODE],0),MATCH($T$1,_INDICATOR_[#Headers],0)),"-")</f>
        <v>WAIT</v>
      </c>
      <c r="U241" s="1" t="str">
        <f>IFERROR(INDEX(_reward_link_[],MATCH(ВСЕ_КОДЫ[[#This Row],[CONTEST_CODE]],_reward_link_[CONTEST_CODE],0),MATCH($U$1,_reward_link_[#Headers],0)),"-")</f>
        <v>GOSB</v>
      </c>
      <c r="V241" s="1" t="str">
        <f>IFERROR(INDEX(_report[],MATCH(ВСЕ_КОДЫ[[#This Row],[CONTEST_CODE]],_report[CONTEST_CODE],0),MATCH($V$1,_report[#Headers],0)),"-")</f>
        <v>-</v>
      </c>
      <c r="W241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41" s="1" t="str">
        <f>IFERROR(INDEX(_group_[],MATCH(CONCATENATE(ВСЕ_КОДЫ[[#This Row],[CONTEST_CODE]],"_",X$2),#REF!,0),MATCH(X$1,_group_[#Headers],0)),"-")</f>
        <v>-</v>
      </c>
      <c r="Y241" s="1" t="str">
        <f>IFERROR(INDEX(_group_[],MATCH(CONCATENATE(ВСЕ_КОДЫ[[#This Row],[CONTEST_CODE]],"_",Y$2),#REF!,0),MATCH(Y$1,_group_[#Headers],0)),"-")</f>
        <v>-</v>
      </c>
      <c r="Z241" s="1" t="str">
        <f>IFERROR(INDEX(_group_[],MATCH(CONCATENATE(ВСЕ_КОДЫ[[#This Row],[CONTEST_CODE]],"_",Z$2),#REF!,0),MATCH(Z$1,_group_[#Headers],0)),"-")</f>
        <v>-</v>
      </c>
      <c r="AA241" s="1" t="str">
        <f>IFERROR(INDEX(_group_[],MATCH(CONCATENATE(ВСЕ_КОДЫ[[#This Row],[CONTEST_CODE]],"_",AA$2),#REF!,0),MATCH(AA$1,_group_[#Headers],0)),"-")</f>
        <v>-</v>
      </c>
      <c r="AB241" s="1" t="str">
        <f>IFERROR(INDEX(_DATA_[],MATCH(ВСЕ_КОДЫ[[#This Row],[CONTEST_CODE]],_DATA_[CONTEST_CODE],0),MATCH($AB$2,_DATA_[#Headers],0)),"-")</f>
        <v>["""KMKKSB"""]</v>
      </c>
      <c r="AC241" s="1" t="str">
        <f>CONCATENATE(ВСЕ_КОДЫ[[#This Row],[CONTEST_CODE]],"_",ВСЕ_КОДЫ[[#This Row],[TOURNAMENT_CODE]])</f>
        <v>CONTEST_28_TOURNAMENT_28_2024_M10</v>
      </c>
      <c r="AD241" s="1" t="str">
        <f>ВСЕ_КОДЫ[[#This Row],[FULL_NAME]]</f>
        <v>Активы. Максимизируй прирост остатка</v>
      </c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idden="1" x14ac:dyDescent="0.25">
      <c r="A242" s="1" t="s">
        <v>86</v>
      </c>
      <c r="B242" s="1" t="s">
        <v>1806</v>
      </c>
      <c r="C242" s="1" t="s">
        <v>428</v>
      </c>
      <c r="D242" s="1" t="s">
        <v>583</v>
      </c>
      <c r="E242" s="1" t="s">
        <v>87</v>
      </c>
      <c r="F242" s="1" t="s">
        <v>26</v>
      </c>
      <c r="G242" s="1" t="s">
        <v>27</v>
      </c>
      <c r="H242" s="1" t="s">
        <v>28</v>
      </c>
      <c r="I242" s="1" t="s">
        <v>50</v>
      </c>
      <c r="J242" s="1" t="s">
        <v>1800</v>
      </c>
      <c r="K242" s="1" t="s">
        <v>1801</v>
      </c>
      <c r="L242" s="1" t="s">
        <v>1802</v>
      </c>
      <c r="M242" s="1" t="s">
        <v>155</v>
      </c>
      <c r="N242" s="1" t="s">
        <v>305</v>
      </c>
      <c r="O242" s="1" t="s">
        <v>429</v>
      </c>
      <c r="P242" s="1"/>
      <c r="Q242" s="1">
        <f>IFERROR(COUNTIFS(_report[TOURNAMENT_CODE],ВСЕ_КОДЫ[[#This Row],[TOURNAMENT_CODE]],_report[CONTEST_CODE],ВСЕ_КОДЫ[[#This Row],[CONTEST_CODE]]),"-")</f>
        <v>0</v>
      </c>
      <c r="R242" s="1" t="str">
        <f>IFERROR(INDEX(_SCHEDULE_[],MATCH(ВСЕ_КОДЫ[[#This Row],[CONTEST_CODE]],_SCHEDULE_[CONTEST_CODE],0),MATCH($R$1,_SCHEDULE_[#Headers],0)),"-")</f>
        <v>ЗАВЕРШЕН</v>
      </c>
      <c r="S242" s="1" t="str">
        <f>IFERROR(INDEX(_group_[],MATCH(ВСЕ_КОДЫ[[#This Row],[CONTEST_CODE]],_group_[CONTEST_CODE],0),MATCH($S$1,_group_[#Headers],0)),"-")</f>
        <v>BANK</v>
      </c>
      <c r="T242" s="1" t="str">
        <f>IFERROR(INDEX(_INDICATOR_[],MATCH(ВСЕ_КОДЫ[[#This Row],[CONTEST_CODE]],_INDICATOR_[CONTEST_CODE],0),MATCH($T$1,_INDICATOR_[#Headers],0)),"-")</f>
        <v>WAIT</v>
      </c>
      <c r="U242" s="1" t="str">
        <f>IFERROR(INDEX(_reward_link_[],MATCH(ВСЕ_КОДЫ[[#This Row],[CONTEST_CODE]],_reward_link_[CONTEST_CODE],0),MATCH($U$1,_reward_link_[#Headers],0)),"-")</f>
        <v>GOSB</v>
      </c>
      <c r="V242" s="1" t="str">
        <f>IFERROR(INDEX(_report[],MATCH(ВСЕ_КОДЫ[[#This Row],[CONTEST_CODE]],_report[CONTEST_CODE],0),MATCH($V$1,_report[#Headers],0)),"-")</f>
        <v>-</v>
      </c>
      <c r="W242" s="1" t="str">
        <f>IFERROR(INDEX(_reward_[],MATCH(ВСЕ_КОДЫ[[#This Row],[REWARD_CODE]],_reward_[REWARD_CODE],0),MATCH($W$1,_reward_[#Headers],0)),"-")</f>
        <v>Чемпион страны по приросту остатка Активов</v>
      </c>
      <c r="X242" s="1" t="str">
        <f>IFERROR(INDEX(_group_[],MATCH(CONCATENATE(ВСЕ_КОДЫ[[#This Row],[CONTEST_CODE]],"_",X$2),#REF!,0),MATCH(X$1,_group_[#Headers],0)),"-")</f>
        <v>-</v>
      </c>
      <c r="Y242" s="1" t="str">
        <f>IFERROR(INDEX(_group_[],MATCH(CONCATENATE(ВСЕ_КОДЫ[[#This Row],[CONTEST_CODE]],"_",Y$2),#REF!,0),MATCH(Y$1,_group_[#Headers],0)),"-")</f>
        <v>-</v>
      </c>
      <c r="Z242" s="1" t="str">
        <f>IFERROR(INDEX(_group_[],MATCH(CONCATENATE(ВСЕ_КОДЫ[[#This Row],[CONTEST_CODE]],"_",Z$2),#REF!,0),MATCH(Z$1,_group_[#Headers],0)),"-")</f>
        <v>-</v>
      </c>
      <c r="AA242" s="1" t="str">
        <f>IFERROR(INDEX(_group_[],MATCH(CONCATENATE(ВСЕ_КОДЫ[[#This Row],[CONTEST_CODE]],"_",AA$2),#REF!,0),MATCH(AA$1,_group_[#Headers],0)),"-")</f>
        <v>-</v>
      </c>
      <c r="AB242" s="1" t="str">
        <f>IFERROR(INDEX(_DATA_[],MATCH(ВСЕ_КОДЫ[[#This Row],[CONTEST_CODE]],_DATA_[CONTEST_CODE],0),MATCH($AB$2,_DATA_[#Headers],0)),"-")</f>
        <v>["""KMKKSB"""]</v>
      </c>
      <c r="AC242" s="1" t="str">
        <f>CONCATENATE(ВСЕ_КОДЫ[[#This Row],[CONTEST_CODE]],"_",ВСЕ_КОДЫ[[#This Row],[TOURNAMENT_CODE]])</f>
        <v>CONTEST_28_TOURNAMENT_28_2024_M11</v>
      </c>
      <c r="AD242" s="1" t="str">
        <f>ВСЕ_КОДЫ[[#This Row],[FULL_NAME]]</f>
        <v>Активы. Максимизируй прирост остатка</v>
      </c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idden="1" x14ac:dyDescent="0.25">
      <c r="A243" s="1" t="s">
        <v>2214</v>
      </c>
      <c r="B243" s="1" t="s">
        <v>2551</v>
      </c>
      <c r="C243" s="1" t="s">
        <v>2323</v>
      </c>
      <c r="D243" s="1" t="s">
        <v>583</v>
      </c>
      <c r="E243" s="1" t="s">
        <v>80</v>
      </c>
      <c r="F243" s="1" t="s">
        <v>2508</v>
      </c>
      <c r="G243" s="1" t="s">
        <v>27</v>
      </c>
      <c r="H243" s="1" t="s">
        <v>34</v>
      </c>
      <c r="I243" s="1" t="s">
        <v>50</v>
      </c>
      <c r="J243" s="1" t="s">
        <v>2508</v>
      </c>
      <c r="K243" s="1" t="s">
        <v>2534</v>
      </c>
      <c r="L243" s="1" t="s">
        <v>4111</v>
      </c>
      <c r="M243" s="1" t="s">
        <v>176</v>
      </c>
      <c r="N243" s="1" t="s">
        <v>305</v>
      </c>
      <c r="O243" s="1" t="s">
        <v>2709</v>
      </c>
      <c r="P243" s="1"/>
      <c r="Q243" s="1">
        <f>IFERROR(COUNTIFS(_report[TOURNAMENT_CODE],ВСЕ_КОДЫ[[#This Row],[TOURNAMENT_CODE]],_report[CONTEST_CODE],ВСЕ_КОДЫ[[#This Row],[CONTEST_CODE]]),"-")</f>
        <v>0</v>
      </c>
      <c r="R243" s="1" t="str">
        <f>IFERROR(INDEX(_SCHEDULE_[],MATCH(ВСЕ_КОДЫ[[#This Row],[CONTEST_CODE]],_SCHEDULE_[CONTEST_CODE],0),MATCH($R$1,_SCHEDULE_[#Headers],0)),"-")</f>
        <v>ЗАВЕРШЕН</v>
      </c>
      <c r="S243" s="1" t="str">
        <f>IFERROR(INDEX(_group_[],MATCH(ВСЕ_КОДЫ[[#This Row],[CONTEST_CODE]],_group_[CONTEST_CODE],0),MATCH($S$1,_group_[#Headers],0)),"-")</f>
        <v>BANK</v>
      </c>
      <c r="T243" s="1" t="str">
        <f>IFERROR(INDEX(_INDICATOR_[],MATCH(ВСЕ_КОДЫ[[#This Row],[CONTEST_CODE]],_INDICATOR_[CONTEST_CODE],0),MATCH($T$1,_INDICATOR_[#Headers],0)),"-")</f>
        <v>WAIT</v>
      </c>
      <c r="U243" s="1" t="str">
        <f>IFERROR(INDEX(_reward_link_[],MATCH(ВСЕ_КОДЫ[[#This Row],[CONTEST_CODE]],_reward_link_[CONTEST_CODE],0),MATCH($U$1,_reward_link_[#Headers],0)),"-")</f>
        <v>BANK</v>
      </c>
      <c r="V243" s="1" t="str">
        <f>IFERROR(INDEX(_report[],MATCH(ВСЕ_КОДЫ[[#This Row],[CONTEST_CODE]],_report[CONTEST_CODE],0),MATCH($V$1,_report[#Headers],0)),"-")</f>
        <v>-</v>
      </c>
      <c r="W243" s="1" t="str">
        <f>IFERROR(INDEX(_reward_[],MATCH(ВСЕ_КОДЫ[[#This Row],[REWARD_CODE]],_reward_[REWARD_CODE],0),MATCH($W$1,_reward_[#Headers],0)),"-")</f>
        <v>Золото#по продажам факторинга</v>
      </c>
      <c r="X243" s="1" t="str">
        <f>IFERROR(INDEX(_group_[],MATCH(CONCATENATE(ВСЕ_КОДЫ[[#This Row],[CONTEST_CODE]],"_",X$2),#REF!,0),MATCH(X$1,_group_[#Headers],0)),"-")</f>
        <v>-</v>
      </c>
      <c r="Y243" s="1" t="str">
        <f>IFERROR(INDEX(_group_[],MATCH(CONCATENATE(ВСЕ_КОДЫ[[#This Row],[CONTEST_CODE]],"_",Y$2),#REF!,0),MATCH(Y$1,_group_[#Headers],0)),"-")</f>
        <v>-</v>
      </c>
      <c r="Z243" s="1" t="str">
        <f>IFERROR(INDEX(_group_[],MATCH(CONCATENATE(ВСЕ_КОДЫ[[#This Row],[CONTEST_CODE]],"_",Z$2),#REF!,0),MATCH(Z$1,_group_[#Headers],0)),"-")</f>
        <v>-</v>
      </c>
      <c r="AA243" s="1" t="str">
        <f>IFERROR(INDEX(_group_[],MATCH(CONCATENATE(ВСЕ_КОДЫ[[#This Row],[CONTEST_CODE]],"_",AA$2),#REF!,0),MATCH(AA$1,_group_[#Headers],0)),"-")</f>
        <v>-</v>
      </c>
      <c r="AB243" s="1" t="str">
        <f>IFERROR(INDEX(_DATA_[],MATCH(ВСЕ_КОДЫ[[#This Row],[CONTEST_CODE]],_DATA_[CONTEST_CODE],0),MATCH($AB$2,_DATA_[#Headers],0)),"-")</f>
        <v>["""KMKKSB"""]</v>
      </c>
      <c r="AC243" s="1" t="str">
        <f>CONCATENATE(ВСЕ_КОДЫ[[#This Row],[CONTEST_CODE]],"_",ВСЕ_КОДЫ[[#This Row],[TOURNAMENT_CODE]])</f>
        <v>01_2025-1_15-1_2_t_01_2025-1_15-1_2_2011</v>
      </c>
      <c r="AD243" s="1" t="str">
        <f>ВСЕ_КОДЫ[[#This Row],[FULL_NAME]]</f>
        <v>Факторинг. Лучший по продажам</v>
      </c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idden="1" x14ac:dyDescent="0.25">
      <c r="A244" s="1" t="s">
        <v>2214</v>
      </c>
      <c r="B244" s="1" t="s">
        <v>2551</v>
      </c>
      <c r="C244" s="1" t="s">
        <v>2711</v>
      </c>
      <c r="D244" s="1" t="s">
        <v>583</v>
      </c>
      <c r="E244" s="1" t="s">
        <v>80</v>
      </c>
      <c r="F244" s="1" t="s">
        <v>2508</v>
      </c>
      <c r="G244" s="1" t="s">
        <v>27</v>
      </c>
      <c r="H244" s="1" t="s">
        <v>34</v>
      </c>
      <c r="I244" s="1" t="s">
        <v>50</v>
      </c>
      <c r="J244" s="1" t="s">
        <v>2508</v>
      </c>
      <c r="K244" s="1" t="s">
        <v>2534</v>
      </c>
      <c r="L244" s="1" t="s">
        <v>4111</v>
      </c>
      <c r="M244" s="1" t="s">
        <v>176</v>
      </c>
      <c r="N244" s="1" t="s">
        <v>305</v>
      </c>
      <c r="O244" s="1" t="s">
        <v>2712</v>
      </c>
      <c r="P244" s="1"/>
      <c r="Q244" s="1">
        <f>IFERROR(COUNTIFS(_report[TOURNAMENT_CODE],ВСЕ_КОДЫ[[#This Row],[TOURNAMENT_CODE]],_report[CONTEST_CODE],ВСЕ_КОДЫ[[#This Row],[CONTEST_CODE]]),"-")</f>
        <v>0</v>
      </c>
      <c r="R244" s="1" t="str">
        <f>IFERROR(INDEX(_SCHEDULE_[],MATCH(ВСЕ_КОДЫ[[#This Row],[CONTEST_CODE]],_SCHEDULE_[CONTEST_CODE],0),MATCH($R$1,_SCHEDULE_[#Headers],0)),"-")</f>
        <v>ЗАВЕРШЕН</v>
      </c>
      <c r="S244" s="1" t="str">
        <f>IFERROR(INDEX(_group_[],MATCH(ВСЕ_КОДЫ[[#This Row],[CONTEST_CODE]],_group_[CONTEST_CODE],0),MATCH($S$1,_group_[#Headers],0)),"-")</f>
        <v>BANK</v>
      </c>
      <c r="T244" s="1" t="str">
        <f>IFERROR(INDEX(_INDICATOR_[],MATCH(ВСЕ_КОДЫ[[#This Row],[CONTEST_CODE]],_INDICATOR_[CONTEST_CODE],0),MATCH($T$1,_INDICATOR_[#Headers],0)),"-")</f>
        <v>WAIT</v>
      </c>
      <c r="U244" s="1" t="str">
        <f>IFERROR(INDEX(_reward_link_[],MATCH(ВСЕ_КОДЫ[[#This Row],[CONTEST_CODE]],_reward_link_[CONTEST_CODE],0),MATCH($U$1,_reward_link_[#Headers],0)),"-")</f>
        <v>BANK</v>
      </c>
      <c r="V244" s="1" t="str">
        <f>IFERROR(INDEX(_report[],MATCH(ВСЕ_КОДЫ[[#This Row],[CONTEST_CODE]],_report[CONTEST_CODE],0),MATCH($V$1,_report[#Headers],0)),"-")</f>
        <v>-</v>
      </c>
      <c r="W244" s="1" t="str">
        <f>IFERROR(INDEX(_reward_[],MATCH(ВСЕ_КОДЫ[[#This Row],[REWARD_CODE]],_reward_[REWARD_CODE],0),MATCH($W$1,_reward_[#Headers],0)),"-")</f>
        <v>Серебро#по продажам факторинга</v>
      </c>
      <c r="X244" s="1" t="str">
        <f>IFERROR(INDEX(_group_[],MATCH(CONCATENATE(ВСЕ_КОДЫ[[#This Row],[CONTEST_CODE]],"_",X$2),#REF!,0),MATCH(X$1,_group_[#Headers],0)),"-")</f>
        <v>-</v>
      </c>
      <c r="Y244" s="1" t="str">
        <f>IFERROR(INDEX(_group_[],MATCH(CONCATENATE(ВСЕ_КОДЫ[[#This Row],[CONTEST_CODE]],"_",Y$2),#REF!,0),MATCH(Y$1,_group_[#Headers],0)),"-")</f>
        <v>-</v>
      </c>
      <c r="Z244" s="1" t="str">
        <f>IFERROR(INDEX(_group_[],MATCH(CONCATENATE(ВСЕ_КОДЫ[[#This Row],[CONTEST_CODE]],"_",Z$2),#REF!,0),MATCH(Z$1,_group_[#Headers],0)),"-")</f>
        <v>-</v>
      </c>
      <c r="AA244" s="1" t="str">
        <f>IFERROR(INDEX(_group_[],MATCH(CONCATENATE(ВСЕ_КОДЫ[[#This Row],[CONTEST_CODE]],"_",AA$2),#REF!,0),MATCH(AA$1,_group_[#Headers],0)),"-")</f>
        <v>-</v>
      </c>
      <c r="AB244" s="1" t="str">
        <f>IFERROR(INDEX(_DATA_[],MATCH(ВСЕ_КОДЫ[[#This Row],[CONTEST_CODE]],_DATA_[CONTEST_CODE],0),MATCH($AB$2,_DATA_[#Headers],0)),"-")</f>
        <v>["""KMKKSB"""]</v>
      </c>
      <c r="AC244" s="1" t="str">
        <f>CONCATENATE(ВСЕ_КОДЫ[[#This Row],[CONTEST_CODE]],"_",ВСЕ_КОДЫ[[#This Row],[TOURNAMENT_CODE]])</f>
        <v>01_2025-1_15-1_2_t_01_2025-1_15-1_2_2011</v>
      </c>
      <c r="AD244" s="1" t="str">
        <f>ВСЕ_КОДЫ[[#This Row],[FULL_NAME]]</f>
        <v>Факторинг. Лучший по продажам</v>
      </c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idden="1" x14ac:dyDescent="0.25">
      <c r="A245" s="1" t="s">
        <v>2214</v>
      </c>
      <c r="B245" s="1" t="s">
        <v>2551</v>
      </c>
      <c r="C245" s="1" t="s">
        <v>2714</v>
      </c>
      <c r="D245" s="1" t="s">
        <v>583</v>
      </c>
      <c r="E245" s="1" t="s">
        <v>80</v>
      </c>
      <c r="F245" s="1" t="s">
        <v>2508</v>
      </c>
      <c r="G245" s="1" t="s">
        <v>27</v>
      </c>
      <c r="H245" s="1" t="s">
        <v>34</v>
      </c>
      <c r="I245" s="1" t="s">
        <v>50</v>
      </c>
      <c r="J245" s="1" t="s">
        <v>2508</v>
      </c>
      <c r="K245" s="1" t="s">
        <v>2534</v>
      </c>
      <c r="L245" s="1" t="s">
        <v>4111</v>
      </c>
      <c r="M245" s="1" t="s">
        <v>176</v>
      </c>
      <c r="N245" s="1" t="s">
        <v>305</v>
      </c>
      <c r="O245" s="1" t="s">
        <v>2715</v>
      </c>
      <c r="P245" s="1"/>
      <c r="Q245" s="1">
        <f>IFERROR(COUNTIFS(_report[TOURNAMENT_CODE],ВСЕ_КОДЫ[[#This Row],[TOURNAMENT_CODE]],_report[CONTEST_CODE],ВСЕ_КОДЫ[[#This Row],[CONTEST_CODE]]),"-")</f>
        <v>0</v>
      </c>
      <c r="R245" s="1" t="str">
        <f>IFERROR(INDEX(_SCHEDULE_[],MATCH(ВСЕ_КОДЫ[[#This Row],[CONTEST_CODE]],_SCHEDULE_[CONTEST_CODE],0),MATCH($R$1,_SCHEDULE_[#Headers],0)),"-")</f>
        <v>ЗАВЕРШЕН</v>
      </c>
      <c r="S245" s="1" t="str">
        <f>IFERROR(INDEX(_group_[],MATCH(ВСЕ_КОДЫ[[#This Row],[CONTEST_CODE]],_group_[CONTEST_CODE],0),MATCH($S$1,_group_[#Headers],0)),"-")</f>
        <v>BANK</v>
      </c>
      <c r="T245" s="1" t="str">
        <f>IFERROR(INDEX(_INDICATOR_[],MATCH(ВСЕ_КОДЫ[[#This Row],[CONTEST_CODE]],_INDICATOR_[CONTEST_CODE],0),MATCH($T$1,_INDICATOR_[#Headers],0)),"-")</f>
        <v>WAIT</v>
      </c>
      <c r="U245" s="1" t="str">
        <f>IFERROR(INDEX(_reward_link_[],MATCH(ВСЕ_КОДЫ[[#This Row],[CONTEST_CODE]],_reward_link_[CONTEST_CODE],0),MATCH($U$1,_reward_link_[#Headers],0)),"-")</f>
        <v>BANK</v>
      </c>
      <c r="V245" s="1" t="str">
        <f>IFERROR(INDEX(_report[],MATCH(ВСЕ_КОДЫ[[#This Row],[CONTEST_CODE]],_report[CONTEST_CODE],0),MATCH($V$1,_report[#Headers],0)),"-")</f>
        <v>-</v>
      </c>
      <c r="W245" s="1" t="str">
        <f>IFERROR(INDEX(_reward_[],MATCH(ВСЕ_КОДЫ[[#This Row],[REWARD_CODE]],_reward_[REWARD_CODE],0),MATCH($W$1,_reward_[#Headers],0)),"-")</f>
        <v>Бронза#по продажам факторинга</v>
      </c>
      <c r="X245" s="1" t="str">
        <f>IFERROR(INDEX(_group_[],MATCH(CONCATENATE(ВСЕ_КОДЫ[[#This Row],[CONTEST_CODE]],"_",X$2),#REF!,0),MATCH(X$1,_group_[#Headers],0)),"-")</f>
        <v>-</v>
      </c>
      <c r="Y245" s="1" t="str">
        <f>IFERROR(INDEX(_group_[],MATCH(CONCATENATE(ВСЕ_КОДЫ[[#This Row],[CONTEST_CODE]],"_",Y$2),#REF!,0),MATCH(Y$1,_group_[#Headers],0)),"-")</f>
        <v>-</v>
      </c>
      <c r="Z245" s="1" t="str">
        <f>IFERROR(INDEX(_group_[],MATCH(CONCATENATE(ВСЕ_КОДЫ[[#This Row],[CONTEST_CODE]],"_",Z$2),#REF!,0),MATCH(Z$1,_group_[#Headers],0)),"-")</f>
        <v>-</v>
      </c>
      <c r="AA245" s="1" t="str">
        <f>IFERROR(INDEX(_group_[],MATCH(CONCATENATE(ВСЕ_КОДЫ[[#This Row],[CONTEST_CODE]],"_",AA$2),#REF!,0),MATCH(AA$1,_group_[#Headers],0)),"-")</f>
        <v>-</v>
      </c>
      <c r="AB245" s="1" t="str">
        <f>IFERROR(INDEX(_DATA_[],MATCH(ВСЕ_КОДЫ[[#This Row],[CONTEST_CODE]],_DATA_[CONTEST_CODE],0),MATCH($AB$2,_DATA_[#Headers],0)),"-")</f>
        <v>["""KMKKSB"""]</v>
      </c>
      <c r="AC245" s="1" t="str">
        <f>CONCATENATE(ВСЕ_КОДЫ[[#This Row],[CONTEST_CODE]],"_",ВСЕ_КОДЫ[[#This Row],[TOURNAMENT_CODE]])</f>
        <v>01_2025-1_15-1_2_t_01_2025-1_15-1_2_2011</v>
      </c>
      <c r="AD245" s="1" t="str">
        <f>ВСЕ_КОДЫ[[#This Row],[FULL_NAME]]</f>
        <v>Факторинг. Лучший по продажам</v>
      </c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idden="1" x14ac:dyDescent="0.25">
      <c r="A246" s="1" t="s">
        <v>2198</v>
      </c>
      <c r="B246" s="1" t="s">
        <v>2532</v>
      </c>
      <c r="C246" s="1" t="s">
        <v>2370</v>
      </c>
      <c r="D246" s="1" t="s">
        <v>583</v>
      </c>
      <c r="E246" s="1" t="s">
        <v>117</v>
      </c>
      <c r="F246" s="1" t="s">
        <v>2508</v>
      </c>
      <c r="G246" s="1" t="s">
        <v>27</v>
      </c>
      <c r="H246" s="1" t="s">
        <v>34</v>
      </c>
      <c r="I246" s="1" t="s">
        <v>50</v>
      </c>
      <c r="J246" s="1" t="s">
        <v>2508</v>
      </c>
      <c r="K246" s="1" t="s">
        <v>2534</v>
      </c>
      <c r="L246" s="1" t="s">
        <v>4118</v>
      </c>
      <c r="M246" s="1" t="s">
        <v>176</v>
      </c>
      <c r="N246" s="1" t="s">
        <v>305</v>
      </c>
      <c r="O246" s="1" t="s">
        <v>2717</v>
      </c>
      <c r="P246" s="1"/>
      <c r="Q246" s="1">
        <f>IFERROR(COUNTIFS(_report[TOURNAMENT_CODE],ВСЕ_КОДЫ[[#This Row],[TOURNAMENT_CODE]],_report[CONTEST_CODE],ВСЕ_КОДЫ[[#This Row],[CONTEST_CODE]]),"-")</f>
        <v>0</v>
      </c>
      <c r="R246" s="1" t="str">
        <f>IFERROR(INDEX(_SCHEDULE_[],MATCH(ВСЕ_КОДЫ[[#This Row],[CONTEST_CODE]],_SCHEDULE_[CONTEST_CODE],0),MATCH($R$1,_SCHEDULE_[#Headers],0)),"-")</f>
        <v>ЗАВЕРШЕН</v>
      </c>
      <c r="S246" s="1" t="str">
        <f>IFERROR(INDEX(_group_[],MATCH(ВСЕ_КОДЫ[[#This Row],[CONTEST_CODE]],_group_[CONTEST_CODE],0),MATCH($S$1,_group_[#Headers],0)),"-")</f>
        <v>BANK</v>
      </c>
      <c r="T246" s="1" t="str">
        <f>IFERROR(INDEX(_INDICATOR_[],MATCH(ВСЕ_КОДЫ[[#This Row],[CONTEST_CODE]],_INDICATOR_[CONTEST_CODE],0),MATCH($T$1,_INDICATOR_[#Headers],0)),"-")</f>
        <v>WAIT</v>
      </c>
      <c r="U246" s="1" t="str">
        <f>IFERROR(INDEX(_reward_link_[],MATCH(ВСЕ_КОДЫ[[#This Row],[CONTEST_CODE]],_reward_link_[CONTEST_CODE],0),MATCH($U$1,_reward_link_[#Headers],0)),"-")</f>
        <v>BANK</v>
      </c>
      <c r="V246" s="1" t="str">
        <f>IFERROR(INDEX(_report[],MATCH(ВСЕ_КОДЫ[[#This Row],[CONTEST_CODE]],_report[CONTEST_CODE],0),MATCH($V$1,_report[#Headers],0)),"-")</f>
        <v>-</v>
      </c>
      <c r="W246" s="1" t="str">
        <f>IFERROR(INDEX(_reward_[],MATCH(ВСЕ_КОДЫ[[#This Row],[REWARD_CODE]],_reward_[REWARD_CODE],0),MATCH($W$1,_reward_[#Headers],0)),"-")</f>
        <v>Золото#по лизингу сумма договоров</v>
      </c>
      <c r="X246" s="1" t="str">
        <f>IFERROR(INDEX(_group_[],MATCH(CONCATENATE(ВСЕ_КОДЫ[[#This Row],[CONTEST_CODE]],"_",X$2),#REF!,0),MATCH(X$1,_group_[#Headers],0)),"-")</f>
        <v>-</v>
      </c>
      <c r="Y246" s="1" t="str">
        <f>IFERROR(INDEX(_group_[],MATCH(CONCATENATE(ВСЕ_КОДЫ[[#This Row],[CONTEST_CODE]],"_",Y$2),#REF!,0),MATCH(Y$1,_group_[#Headers],0)),"-")</f>
        <v>-</v>
      </c>
      <c r="Z246" s="1" t="str">
        <f>IFERROR(INDEX(_group_[],MATCH(CONCATENATE(ВСЕ_КОДЫ[[#This Row],[CONTEST_CODE]],"_",Z$2),#REF!,0),MATCH(Z$1,_group_[#Headers],0)),"-")</f>
        <v>-</v>
      </c>
      <c r="AA246" s="1" t="str">
        <f>IFERROR(INDEX(_group_[],MATCH(CONCATENATE(ВСЕ_КОДЫ[[#This Row],[CONTEST_CODE]],"_",AA$2),#REF!,0),MATCH(AA$1,_group_[#Headers],0)),"-")</f>
        <v>-</v>
      </c>
      <c r="AB246" s="1" t="str">
        <f>IFERROR(INDEX(_DATA_[],MATCH(ВСЕ_КОДЫ[[#This Row],[CONTEST_CODE]],_DATA_[CONTEST_CODE],0),MATCH($AB$2,_DATA_[#Headers],0)),"-")</f>
        <v>["""KMKKSB"""]</v>
      </c>
      <c r="AC246" s="1" t="str">
        <f>CONCATENATE(ВСЕ_КОДЫ[[#This Row],[CONTEST_CODE]],"_",ВСЕ_КОДЫ[[#This Row],[TOURNAMENT_CODE]])</f>
        <v>01_2025-1_16-1_1_t_01_2025-1_16-1_1_2011</v>
      </c>
      <c r="AD246" s="1" t="str">
        <f>ВСЕ_КОДЫ[[#This Row],[FULL_NAME]]</f>
        <v>Лизинг. Максимизируй сумму договоров</v>
      </c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idden="1" x14ac:dyDescent="0.25">
      <c r="A247" s="1" t="s">
        <v>2198</v>
      </c>
      <c r="B247" s="1" t="s">
        <v>3651</v>
      </c>
      <c r="C247" s="1" t="s">
        <v>2370</v>
      </c>
      <c r="D247" s="1" t="s">
        <v>583</v>
      </c>
      <c r="E247" s="1" t="s">
        <v>117</v>
      </c>
      <c r="F247" s="1" t="s">
        <v>2508</v>
      </c>
      <c r="G247" s="1" t="s">
        <v>27</v>
      </c>
      <c r="H247" s="1" t="s">
        <v>34</v>
      </c>
      <c r="I247" s="1" t="s">
        <v>50</v>
      </c>
      <c r="J247" s="1" t="s">
        <v>4019</v>
      </c>
      <c r="K247" s="1" t="s">
        <v>2542</v>
      </c>
      <c r="L247" s="1" t="s">
        <v>3545</v>
      </c>
      <c r="M247" s="1" t="s">
        <v>34</v>
      </c>
      <c r="N247" s="1" t="s">
        <v>305</v>
      </c>
      <c r="O247" s="1" t="s">
        <v>2717</v>
      </c>
      <c r="P247" s="1"/>
      <c r="Q247" s="1">
        <f>IFERROR(COUNTIFS(_report[TOURNAMENT_CODE],ВСЕ_КОДЫ[[#This Row],[TOURNAMENT_CODE]],_report[CONTEST_CODE],ВСЕ_КОДЫ[[#This Row],[CONTEST_CODE]]),"-")</f>
        <v>0</v>
      </c>
      <c r="R247" s="1" t="str">
        <f>IFERROR(INDEX(_SCHEDULE_[],MATCH(ВСЕ_КОДЫ[[#This Row],[CONTEST_CODE]],_SCHEDULE_[CONTEST_CODE],0),MATCH($R$1,_SCHEDULE_[#Headers],0)),"-")</f>
        <v>ЗАВЕРШЕН</v>
      </c>
      <c r="S247" s="1" t="str">
        <f>IFERROR(INDEX(_group_[],MATCH(ВСЕ_КОДЫ[[#This Row],[CONTEST_CODE]],_group_[CONTEST_CODE],0),MATCH($S$1,_group_[#Headers],0)),"-")</f>
        <v>BANK</v>
      </c>
      <c r="T247" s="1" t="str">
        <f>IFERROR(INDEX(_INDICATOR_[],MATCH(ВСЕ_КОДЫ[[#This Row],[CONTEST_CODE]],_INDICATOR_[CONTEST_CODE],0),MATCH($T$1,_INDICATOR_[#Headers],0)),"-")</f>
        <v>WAIT</v>
      </c>
      <c r="U247" s="1" t="str">
        <f>IFERROR(INDEX(_reward_link_[],MATCH(ВСЕ_КОДЫ[[#This Row],[CONTEST_CODE]],_reward_link_[CONTEST_CODE],0),MATCH($U$1,_reward_link_[#Headers],0)),"-")</f>
        <v>BANK</v>
      </c>
      <c r="V247" s="1" t="str">
        <f>IFERROR(INDEX(_report[],MATCH(ВСЕ_КОДЫ[[#This Row],[CONTEST_CODE]],_report[CONTEST_CODE],0),MATCH($V$1,_report[#Headers],0)),"-")</f>
        <v>-</v>
      </c>
      <c r="W247" s="1" t="str">
        <f>IFERROR(INDEX(_reward_[],MATCH(ВСЕ_КОДЫ[[#This Row],[REWARD_CODE]],_reward_[REWARD_CODE],0),MATCH($W$1,_reward_[#Headers],0)),"-")</f>
        <v>Золото#по лизингу сумма договоров</v>
      </c>
      <c r="X247" s="1" t="str">
        <f>IFERROR(INDEX(_group_[],MATCH(CONCATENATE(ВСЕ_КОДЫ[[#This Row],[CONTEST_CODE]],"_",X$2),#REF!,0),MATCH(X$1,_group_[#Headers],0)),"-")</f>
        <v>-</v>
      </c>
      <c r="Y247" s="1" t="str">
        <f>IFERROR(INDEX(_group_[],MATCH(CONCATENATE(ВСЕ_КОДЫ[[#This Row],[CONTEST_CODE]],"_",Y$2),#REF!,0),MATCH(Y$1,_group_[#Headers],0)),"-")</f>
        <v>-</v>
      </c>
      <c r="Z247" s="1" t="str">
        <f>IFERROR(INDEX(_group_[],MATCH(CONCATENATE(ВСЕ_КОДЫ[[#This Row],[CONTEST_CODE]],"_",Z$2),#REF!,0),MATCH(Z$1,_group_[#Headers],0)),"-")</f>
        <v>-</v>
      </c>
      <c r="AA247" s="1" t="str">
        <f>IFERROR(INDEX(_group_[],MATCH(CONCATENATE(ВСЕ_КОДЫ[[#This Row],[CONTEST_CODE]],"_",AA$2),#REF!,0),MATCH(AA$1,_group_[#Headers],0)),"-")</f>
        <v>-</v>
      </c>
      <c r="AB247" s="1" t="str">
        <f>IFERROR(INDEX(_DATA_[],MATCH(ВСЕ_КОДЫ[[#This Row],[CONTEST_CODE]],_DATA_[CONTEST_CODE],0),MATCH($AB$2,_DATA_[#Headers],0)),"-")</f>
        <v>["""KMKKSB"""]</v>
      </c>
      <c r="AC247" s="1" t="str">
        <f>CONCATENATE(ВСЕ_КОДЫ[[#This Row],[CONTEST_CODE]],"_",ВСЕ_КОДЫ[[#This Row],[TOURNAMENT_CODE]])</f>
        <v>01_2025-1_16-1_1_t_01_2025-1_16-1_1_2021</v>
      </c>
      <c r="AD247" s="1" t="str">
        <f>ВСЕ_КОДЫ[[#This Row],[FULL_NAME]]</f>
        <v>Лизинг. Максимизируй сумму договоров</v>
      </c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idden="1" x14ac:dyDescent="0.25">
      <c r="A248" s="1" t="s">
        <v>2198</v>
      </c>
      <c r="B248" s="1" t="s">
        <v>2532</v>
      </c>
      <c r="C248" s="1" t="s">
        <v>2720</v>
      </c>
      <c r="D248" s="1" t="s">
        <v>583</v>
      </c>
      <c r="E248" s="1" t="s">
        <v>117</v>
      </c>
      <c r="F248" s="1" t="s">
        <v>2508</v>
      </c>
      <c r="G248" s="1" t="s">
        <v>27</v>
      </c>
      <c r="H248" s="1" t="s">
        <v>34</v>
      </c>
      <c r="I248" s="1" t="s">
        <v>50</v>
      </c>
      <c r="J248" s="1" t="s">
        <v>2508</v>
      </c>
      <c r="K248" s="1" t="s">
        <v>2534</v>
      </c>
      <c r="L248" s="1" t="s">
        <v>4118</v>
      </c>
      <c r="M248" s="1" t="s">
        <v>176</v>
      </c>
      <c r="N248" s="1" t="s">
        <v>305</v>
      </c>
      <c r="O248" s="1" t="s">
        <v>2721</v>
      </c>
      <c r="P248" s="1"/>
      <c r="Q248" s="1">
        <f>IFERROR(COUNTIFS(_report[TOURNAMENT_CODE],ВСЕ_КОДЫ[[#This Row],[TOURNAMENT_CODE]],_report[CONTEST_CODE],ВСЕ_КОДЫ[[#This Row],[CONTEST_CODE]]),"-")</f>
        <v>0</v>
      </c>
      <c r="R248" s="1" t="str">
        <f>IFERROR(INDEX(_SCHEDULE_[],MATCH(ВСЕ_КОДЫ[[#This Row],[CONTEST_CODE]],_SCHEDULE_[CONTEST_CODE],0),MATCH($R$1,_SCHEDULE_[#Headers],0)),"-")</f>
        <v>ЗАВЕРШЕН</v>
      </c>
      <c r="S248" s="1" t="str">
        <f>IFERROR(INDEX(_group_[],MATCH(ВСЕ_КОДЫ[[#This Row],[CONTEST_CODE]],_group_[CONTEST_CODE],0),MATCH($S$1,_group_[#Headers],0)),"-")</f>
        <v>BANK</v>
      </c>
      <c r="T248" s="1" t="str">
        <f>IFERROR(INDEX(_INDICATOR_[],MATCH(ВСЕ_КОДЫ[[#This Row],[CONTEST_CODE]],_INDICATOR_[CONTEST_CODE],0),MATCH($T$1,_INDICATOR_[#Headers],0)),"-")</f>
        <v>WAIT</v>
      </c>
      <c r="U248" s="1" t="str">
        <f>IFERROR(INDEX(_reward_link_[],MATCH(ВСЕ_КОДЫ[[#This Row],[CONTEST_CODE]],_reward_link_[CONTEST_CODE],0),MATCH($U$1,_reward_link_[#Headers],0)),"-")</f>
        <v>BANK</v>
      </c>
      <c r="V248" s="1" t="str">
        <f>IFERROR(INDEX(_report[],MATCH(ВСЕ_КОДЫ[[#This Row],[CONTEST_CODE]],_report[CONTEST_CODE],0),MATCH($V$1,_report[#Headers],0)),"-")</f>
        <v>-</v>
      </c>
      <c r="W248" s="1" t="str">
        <f>IFERROR(INDEX(_reward_[],MATCH(ВСЕ_КОДЫ[[#This Row],[REWARD_CODE]],_reward_[REWARD_CODE],0),MATCH($W$1,_reward_[#Headers],0)),"-")</f>
        <v>Серебро#по лизингу сумма договоров</v>
      </c>
      <c r="X248" s="1" t="str">
        <f>IFERROR(INDEX(_group_[],MATCH(CONCATENATE(ВСЕ_КОДЫ[[#This Row],[CONTEST_CODE]],"_",X$2),#REF!,0),MATCH(X$1,_group_[#Headers],0)),"-")</f>
        <v>-</v>
      </c>
      <c r="Y248" s="1" t="str">
        <f>IFERROR(INDEX(_group_[],MATCH(CONCATENATE(ВСЕ_КОДЫ[[#This Row],[CONTEST_CODE]],"_",Y$2),#REF!,0),MATCH(Y$1,_group_[#Headers],0)),"-")</f>
        <v>-</v>
      </c>
      <c r="Z248" s="1" t="str">
        <f>IFERROR(INDEX(_group_[],MATCH(CONCATENATE(ВСЕ_КОДЫ[[#This Row],[CONTEST_CODE]],"_",Z$2),#REF!,0),MATCH(Z$1,_group_[#Headers],0)),"-")</f>
        <v>-</v>
      </c>
      <c r="AA248" s="1" t="str">
        <f>IFERROR(INDEX(_group_[],MATCH(CONCATENATE(ВСЕ_КОДЫ[[#This Row],[CONTEST_CODE]],"_",AA$2),#REF!,0),MATCH(AA$1,_group_[#Headers],0)),"-")</f>
        <v>-</v>
      </c>
      <c r="AB248" s="1" t="str">
        <f>IFERROR(INDEX(_DATA_[],MATCH(ВСЕ_КОДЫ[[#This Row],[CONTEST_CODE]],_DATA_[CONTEST_CODE],0),MATCH($AB$2,_DATA_[#Headers],0)),"-")</f>
        <v>["""KMKKSB"""]</v>
      </c>
      <c r="AC248" s="1" t="str">
        <f>CONCATENATE(ВСЕ_КОДЫ[[#This Row],[CONTEST_CODE]],"_",ВСЕ_КОДЫ[[#This Row],[TOURNAMENT_CODE]])</f>
        <v>01_2025-1_16-1_1_t_01_2025-1_16-1_1_2011</v>
      </c>
      <c r="AD248" s="1" t="str">
        <f>ВСЕ_КОДЫ[[#This Row],[FULL_NAME]]</f>
        <v>Лизинг. Максимизируй сумму договоров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idden="1" x14ac:dyDescent="0.25">
      <c r="A249" s="1" t="s">
        <v>2198</v>
      </c>
      <c r="B249" s="1" t="s">
        <v>3651</v>
      </c>
      <c r="C249" s="1" t="s">
        <v>2720</v>
      </c>
      <c r="D249" s="1" t="s">
        <v>583</v>
      </c>
      <c r="E249" s="1" t="s">
        <v>117</v>
      </c>
      <c r="F249" s="1" t="s">
        <v>2508</v>
      </c>
      <c r="G249" s="1" t="s">
        <v>27</v>
      </c>
      <c r="H249" s="1" t="s">
        <v>34</v>
      </c>
      <c r="I249" s="1" t="s">
        <v>50</v>
      </c>
      <c r="J249" s="1" t="s">
        <v>4019</v>
      </c>
      <c r="K249" s="1" t="s">
        <v>2542</v>
      </c>
      <c r="L249" s="1" t="s">
        <v>3545</v>
      </c>
      <c r="M249" s="1" t="s">
        <v>34</v>
      </c>
      <c r="N249" s="1" t="s">
        <v>305</v>
      </c>
      <c r="O249" s="1" t="s">
        <v>2721</v>
      </c>
      <c r="P249" s="1"/>
      <c r="Q249" s="1">
        <f>IFERROR(COUNTIFS(_report[TOURNAMENT_CODE],ВСЕ_КОДЫ[[#This Row],[TOURNAMENT_CODE]],_report[CONTEST_CODE],ВСЕ_КОДЫ[[#This Row],[CONTEST_CODE]]),"-")</f>
        <v>0</v>
      </c>
      <c r="R249" s="1" t="str">
        <f>IFERROR(INDEX(_SCHEDULE_[],MATCH(ВСЕ_КОДЫ[[#This Row],[CONTEST_CODE]],_SCHEDULE_[CONTEST_CODE],0),MATCH($R$1,_SCHEDULE_[#Headers],0)),"-")</f>
        <v>ЗАВЕРШЕН</v>
      </c>
      <c r="S249" s="1" t="str">
        <f>IFERROR(INDEX(_group_[],MATCH(ВСЕ_КОДЫ[[#This Row],[CONTEST_CODE]],_group_[CONTEST_CODE],0),MATCH($S$1,_group_[#Headers],0)),"-")</f>
        <v>BANK</v>
      </c>
      <c r="T249" s="1" t="str">
        <f>IFERROR(INDEX(_INDICATOR_[],MATCH(ВСЕ_КОДЫ[[#This Row],[CONTEST_CODE]],_INDICATOR_[CONTEST_CODE],0),MATCH($T$1,_INDICATOR_[#Headers],0)),"-")</f>
        <v>WAIT</v>
      </c>
      <c r="U249" s="1" t="str">
        <f>IFERROR(INDEX(_reward_link_[],MATCH(ВСЕ_КОДЫ[[#This Row],[CONTEST_CODE]],_reward_link_[CONTEST_CODE],0),MATCH($U$1,_reward_link_[#Headers],0)),"-")</f>
        <v>BANK</v>
      </c>
      <c r="V249" s="1" t="str">
        <f>IFERROR(INDEX(_report[],MATCH(ВСЕ_КОДЫ[[#This Row],[CONTEST_CODE]],_report[CONTEST_CODE],0),MATCH($V$1,_report[#Headers],0)),"-")</f>
        <v>-</v>
      </c>
      <c r="W249" s="1" t="str">
        <f>IFERROR(INDEX(_reward_[],MATCH(ВСЕ_КОДЫ[[#This Row],[REWARD_CODE]],_reward_[REWARD_CODE],0),MATCH($W$1,_reward_[#Headers],0)),"-")</f>
        <v>Серебро#по лизингу сумма договоров</v>
      </c>
      <c r="X249" s="1" t="str">
        <f>IFERROR(INDEX(_group_[],MATCH(CONCATENATE(ВСЕ_КОДЫ[[#This Row],[CONTEST_CODE]],"_",X$2),#REF!,0),MATCH(X$1,_group_[#Headers],0)),"-")</f>
        <v>-</v>
      </c>
      <c r="Y249" s="1" t="str">
        <f>IFERROR(INDEX(_group_[],MATCH(CONCATENATE(ВСЕ_КОДЫ[[#This Row],[CONTEST_CODE]],"_",Y$2),#REF!,0),MATCH(Y$1,_group_[#Headers],0)),"-")</f>
        <v>-</v>
      </c>
      <c r="Z249" s="1" t="str">
        <f>IFERROR(INDEX(_group_[],MATCH(CONCATENATE(ВСЕ_КОДЫ[[#This Row],[CONTEST_CODE]],"_",Z$2),#REF!,0),MATCH(Z$1,_group_[#Headers],0)),"-")</f>
        <v>-</v>
      </c>
      <c r="AA249" s="1" t="str">
        <f>IFERROR(INDEX(_group_[],MATCH(CONCATENATE(ВСЕ_КОДЫ[[#This Row],[CONTEST_CODE]],"_",AA$2),#REF!,0),MATCH(AA$1,_group_[#Headers],0)),"-")</f>
        <v>-</v>
      </c>
      <c r="AB249" s="1" t="str">
        <f>IFERROR(INDEX(_DATA_[],MATCH(ВСЕ_КОДЫ[[#This Row],[CONTEST_CODE]],_DATA_[CONTEST_CODE],0),MATCH($AB$2,_DATA_[#Headers],0)),"-")</f>
        <v>["""KMKKSB"""]</v>
      </c>
      <c r="AC249" s="1" t="str">
        <f>CONCATENATE(ВСЕ_КОДЫ[[#This Row],[CONTEST_CODE]],"_",ВСЕ_КОДЫ[[#This Row],[TOURNAMENT_CODE]])</f>
        <v>01_2025-1_16-1_1_t_01_2025-1_16-1_1_2021</v>
      </c>
      <c r="AD249" s="1" t="str">
        <f>ВСЕ_КОДЫ[[#This Row],[FULL_NAME]]</f>
        <v>Лизинг. Максимизируй сумму договоров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idden="1" x14ac:dyDescent="0.25">
      <c r="A250" s="1" t="s">
        <v>2198</v>
      </c>
      <c r="B250" s="1" t="s">
        <v>2532</v>
      </c>
      <c r="C250" s="1" t="s">
        <v>2724</v>
      </c>
      <c r="D250" s="1" t="s">
        <v>583</v>
      </c>
      <c r="E250" s="1" t="s">
        <v>117</v>
      </c>
      <c r="F250" s="1" t="s">
        <v>2508</v>
      </c>
      <c r="G250" s="1" t="s">
        <v>27</v>
      </c>
      <c r="H250" s="1" t="s">
        <v>34</v>
      </c>
      <c r="I250" s="1" t="s">
        <v>50</v>
      </c>
      <c r="J250" s="1" t="s">
        <v>2508</v>
      </c>
      <c r="K250" s="1" t="s">
        <v>2534</v>
      </c>
      <c r="L250" s="1" t="s">
        <v>4118</v>
      </c>
      <c r="M250" s="1" t="s">
        <v>176</v>
      </c>
      <c r="N250" s="1" t="s">
        <v>305</v>
      </c>
      <c r="O250" s="1" t="s">
        <v>2725</v>
      </c>
      <c r="P250" s="1"/>
      <c r="Q250" s="1">
        <f>IFERROR(COUNTIFS(_report[TOURNAMENT_CODE],ВСЕ_КОДЫ[[#This Row],[TOURNAMENT_CODE]],_report[CONTEST_CODE],ВСЕ_КОДЫ[[#This Row],[CONTEST_CODE]]),"-")</f>
        <v>0</v>
      </c>
      <c r="R250" s="1" t="str">
        <f>IFERROR(INDEX(_SCHEDULE_[],MATCH(ВСЕ_КОДЫ[[#This Row],[CONTEST_CODE]],_SCHEDULE_[CONTEST_CODE],0),MATCH($R$1,_SCHEDULE_[#Headers],0)),"-")</f>
        <v>ЗАВЕРШЕН</v>
      </c>
      <c r="S250" s="1" t="str">
        <f>IFERROR(INDEX(_group_[],MATCH(ВСЕ_КОДЫ[[#This Row],[CONTEST_CODE]],_group_[CONTEST_CODE],0),MATCH($S$1,_group_[#Headers],0)),"-")</f>
        <v>BANK</v>
      </c>
      <c r="T250" s="1" t="str">
        <f>IFERROR(INDEX(_INDICATOR_[],MATCH(ВСЕ_КОДЫ[[#This Row],[CONTEST_CODE]],_INDICATOR_[CONTEST_CODE],0),MATCH($T$1,_INDICATOR_[#Headers],0)),"-")</f>
        <v>WAIT</v>
      </c>
      <c r="U250" s="1" t="str">
        <f>IFERROR(INDEX(_reward_link_[],MATCH(ВСЕ_КОДЫ[[#This Row],[CONTEST_CODE]],_reward_link_[CONTEST_CODE],0),MATCH($U$1,_reward_link_[#Headers],0)),"-")</f>
        <v>BANK</v>
      </c>
      <c r="V250" s="1" t="str">
        <f>IFERROR(INDEX(_report[],MATCH(ВСЕ_КОДЫ[[#This Row],[CONTEST_CODE]],_report[CONTEST_CODE],0),MATCH($V$1,_report[#Headers],0)),"-")</f>
        <v>-</v>
      </c>
      <c r="W250" s="1" t="str">
        <f>IFERROR(INDEX(_reward_[],MATCH(ВСЕ_КОДЫ[[#This Row],[REWARD_CODE]],_reward_[REWARD_CODE],0),MATCH($W$1,_reward_[#Headers],0)),"-")</f>
        <v>Бронза#по лизингу сумма договоров</v>
      </c>
      <c r="X250" s="1" t="str">
        <f>IFERROR(INDEX(_group_[],MATCH(CONCATENATE(ВСЕ_КОДЫ[[#This Row],[CONTEST_CODE]],"_",X$2),#REF!,0),MATCH(X$1,_group_[#Headers],0)),"-")</f>
        <v>-</v>
      </c>
      <c r="Y250" s="1" t="str">
        <f>IFERROR(INDEX(_group_[],MATCH(CONCATENATE(ВСЕ_КОДЫ[[#This Row],[CONTEST_CODE]],"_",Y$2),#REF!,0),MATCH(Y$1,_group_[#Headers],0)),"-")</f>
        <v>-</v>
      </c>
      <c r="Z250" s="1" t="str">
        <f>IFERROR(INDEX(_group_[],MATCH(CONCATENATE(ВСЕ_КОДЫ[[#This Row],[CONTEST_CODE]],"_",Z$2),#REF!,0),MATCH(Z$1,_group_[#Headers],0)),"-")</f>
        <v>-</v>
      </c>
      <c r="AA250" s="1" t="str">
        <f>IFERROR(INDEX(_group_[],MATCH(CONCATENATE(ВСЕ_КОДЫ[[#This Row],[CONTEST_CODE]],"_",AA$2),#REF!,0),MATCH(AA$1,_group_[#Headers],0)),"-")</f>
        <v>-</v>
      </c>
      <c r="AB250" s="1" t="str">
        <f>IFERROR(INDEX(_DATA_[],MATCH(ВСЕ_КОДЫ[[#This Row],[CONTEST_CODE]],_DATA_[CONTEST_CODE],0),MATCH($AB$2,_DATA_[#Headers],0)),"-")</f>
        <v>["""KMKKSB"""]</v>
      </c>
      <c r="AC250" s="1" t="str">
        <f>CONCATENATE(ВСЕ_КОДЫ[[#This Row],[CONTEST_CODE]],"_",ВСЕ_КОДЫ[[#This Row],[TOURNAMENT_CODE]])</f>
        <v>01_2025-1_16-1_1_t_01_2025-1_16-1_1_2011</v>
      </c>
      <c r="AD250" s="1" t="str">
        <f>ВСЕ_КОДЫ[[#This Row],[FULL_NAME]]</f>
        <v>Лизинг. Максимизируй сумму договоров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idden="1" x14ac:dyDescent="0.25">
      <c r="A251" s="1" t="s">
        <v>2198</v>
      </c>
      <c r="B251" s="1" t="s">
        <v>3651</v>
      </c>
      <c r="C251" s="1" t="s">
        <v>2724</v>
      </c>
      <c r="D251" s="1" t="s">
        <v>583</v>
      </c>
      <c r="E251" s="1" t="s">
        <v>117</v>
      </c>
      <c r="F251" s="1" t="s">
        <v>2508</v>
      </c>
      <c r="G251" s="1" t="s">
        <v>27</v>
      </c>
      <c r="H251" s="1" t="s">
        <v>34</v>
      </c>
      <c r="I251" s="1" t="s">
        <v>50</v>
      </c>
      <c r="J251" s="1" t="s">
        <v>4019</v>
      </c>
      <c r="K251" s="1" t="s">
        <v>2542</v>
      </c>
      <c r="L251" s="1" t="s">
        <v>3545</v>
      </c>
      <c r="M251" s="1" t="s">
        <v>34</v>
      </c>
      <c r="N251" s="1" t="s">
        <v>305</v>
      </c>
      <c r="O251" s="1" t="s">
        <v>2725</v>
      </c>
      <c r="P251" s="1"/>
      <c r="Q251" s="1">
        <f>IFERROR(COUNTIFS(_report[TOURNAMENT_CODE],ВСЕ_КОДЫ[[#This Row],[TOURNAMENT_CODE]],_report[CONTEST_CODE],ВСЕ_КОДЫ[[#This Row],[CONTEST_CODE]]),"-")</f>
        <v>0</v>
      </c>
      <c r="R251" s="1" t="str">
        <f>IFERROR(INDEX(_SCHEDULE_[],MATCH(ВСЕ_КОДЫ[[#This Row],[CONTEST_CODE]],_SCHEDULE_[CONTEST_CODE],0),MATCH($R$1,_SCHEDULE_[#Headers],0)),"-")</f>
        <v>ЗАВЕРШЕН</v>
      </c>
      <c r="S251" s="1" t="str">
        <f>IFERROR(INDEX(_group_[],MATCH(ВСЕ_КОДЫ[[#This Row],[CONTEST_CODE]],_group_[CONTEST_CODE],0),MATCH($S$1,_group_[#Headers],0)),"-")</f>
        <v>BANK</v>
      </c>
      <c r="T251" s="1" t="str">
        <f>IFERROR(INDEX(_INDICATOR_[],MATCH(ВСЕ_КОДЫ[[#This Row],[CONTEST_CODE]],_INDICATOR_[CONTEST_CODE],0),MATCH($T$1,_INDICATOR_[#Headers],0)),"-")</f>
        <v>WAIT</v>
      </c>
      <c r="U251" s="1" t="str">
        <f>IFERROR(INDEX(_reward_link_[],MATCH(ВСЕ_КОДЫ[[#This Row],[CONTEST_CODE]],_reward_link_[CONTEST_CODE],0),MATCH($U$1,_reward_link_[#Headers],0)),"-")</f>
        <v>BANK</v>
      </c>
      <c r="V251" s="1" t="str">
        <f>IFERROR(INDEX(_report[],MATCH(ВСЕ_КОДЫ[[#This Row],[CONTEST_CODE]],_report[CONTEST_CODE],0),MATCH($V$1,_report[#Headers],0)),"-")</f>
        <v>-</v>
      </c>
      <c r="W251" s="1" t="str">
        <f>IFERROR(INDEX(_reward_[],MATCH(ВСЕ_КОДЫ[[#This Row],[REWARD_CODE]],_reward_[REWARD_CODE],0),MATCH($W$1,_reward_[#Headers],0)),"-")</f>
        <v>Бронза#по лизингу сумма договоров</v>
      </c>
      <c r="X251" s="1" t="str">
        <f>IFERROR(INDEX(_group_[],MATCH(CONCATENATE(ВСЕ_КОДЫ[[#This Row],[CONTEST_CODE]],"_",X$2),#REF!,0),MATCH(X$1,_group_[#Headers],0)),"-")</f>
        <v>-</v>
      </c>
      <c r="Y251" s="1" t="str">
        <f>IFERROR(INDEX(_group_[],MATCH(CONCATENATE(ВСЕ_КОДЫ[[#This Row],[CONTEST_CODE]],"_",Y$2),#REF!,0),MATCH(Y$1,_group_[#Headers],0)),"-")</f>
        <v>-</v>
      </c>
      <c r="Z251" s="1" t="str">
        <f>IFERROR(INDEX(_group_[],MATCH(CONCATENATE(ВСЕ_КОДЫ[[#This Row],[CONTEST_CODE]],"_",Z$2),#REF!,0),MATCH(Z$1,_group_[#Headers],0)),"-")</f>
        <v>-</v>
      </c>
      <c r="AA251" s="1" t="str">
        <f>IFERROR(INDEX(_group_[],MATCH(CONCATENATE(ВСЕ_КОДЫ[[#This Row],[CONTEST_CODE]],"_",AA$2),#REF!,0),MATCH(AA$1,_group_[#Headers],0)),"-")</f>
        <v>-</v>
      </c>
      <c r="AB251" s="1" t="str">
        <f>IFERROR(INDEX(_DATA_[],MATCH(ВСЕ_КОДЫ[[#This Row],[CONTEST_CODE]],_DATA_[CONTEST_CODE],0),MATCH($AB$2,_DATA_[#Headers],0)),"-")</f>
        <v>["""KMKKSB"""]</v>
      </c>
      <c r="AC251" s="1" t="str">
        <f>CONCATENATE(ВСЕ_КОДЫ[[#This Row],[CONTEST_CODE]],"_",ВСЕ_КОДЫ[[#This Row],[TOURNAMENT_CODE]])</f>
        <v>01_2025-1_16-1_1_t_01_2025-1_16-1_1_2021</v>
      </c>
      <c r="AD251" s="1" t="str">
        <f>ВСЕ_КОДЫ[[#This Row],[FULL_NAME]]</f>
        <v>Лизинг. Максимизируй сумму договоров</v>
      </c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idden="1" x14ac:dyDescent="0.25">
      <c r="A252" s="1" t="s">
        <v>91</v>
      </c>
      <c r="B252" s="1" t="s">
        <v>279</v>
      </c>
      <c r="C252" s="1" t="s">
        <v>440</v>
      </c>
      <c r="D252" s="1" t="s">
        <v>583</v>
      </c>
      <c r="E252" s="1" t="s">
        <v>92</v>
      </c>
      <c r="F252" s="1" t="s">
        <v>26</v>
      </c>
      <c r="G252" s="1" t="s">
        <v>27</v>
      </c>
      <c r="H252" s="1" t="s">
        <v>28</v>
      </c>
      <c r="I252" s="1" t="s">
        <v>50</v>
      </c>
      <c r="J252" s="1" t="s">
        <v>280</v>
      </c>
      <c r="K252" s="1" t="s">
        <v>188</v>
      </c>
      <c r="L252" s="1" t="s">
        <v>189</v>
      </c>
      <c r="M252" s="1" t="s">
        <v>176</v>
      </c>
      <c r="N252" s="1" t="s">
        <v>305</v>
      </c>
      <c r="O252" s="1" t="s">
        <v>441</v>
      </c>
      <c r="P252" s="1"/>
      <c r="Q252" s="1">
        <f>IFERROR(COUNTIFS(_report[TOURNAMENT_CODE],ВСЕ_КОДЫ[[#This Row],[TOURNAMENT_CODE]],_report[CONTEST_CODE],ВСЕ_КОДЫ[[#This Row],[CONTEST_CODE]]),"-")</f>
        <v>0</v>
      </c>
      <c r="R252" s="1" t="str">
        <f>IFERROR(INDEX(_SCHEDULE_[],MATCH(ВСЕ_КОДЫ[[#This Row],[CONTEST_CODE]],_SCHEDULE_[CONTEST_CODE],0),MATCH($R$1,_SCHEDULE_[#Headers],0)),"-")</f>
        <v>ЗАВЕРШЕН</v>
      </c>
      <c r="S252" s="1" t="str">
        <f>IFERROR(INDEX(_group_[],MATCH(ВСЕ_КОДЫ[[#This Row],[CONTEST_CODE]],_group_[CONTEST_CODE],0),MATCH($S$1,_group_[#Headers],0)),"-")</f>
        <v>BANK</v>
      </c>
      <c r="T252" s="1" t="str">
        <f>IFERROR(INDEX(_INDICATOR_[],MATCH(ВСЕ_КОДЫ[[#This Row],[CONTEST_CODE]],_INDICATOR_[CONTEST_CODE],0),MATCH($T$1,_INDICATOR_[#Headers],0)),"-")</f>
        <v>WAIT</v>
      </c>
      <c r="U252" s="1" t="str">
        <f>IFERROR(INDEX(_reward_link_[],MATCH(ВСЕ_КОДЫ[[#This Row],[CONTEST_CODE]],_reward_link_[CONTEST_CODE],0),MATCH($U$1,_reward_link_[#Headers],0)),"-")</f>
        <v>TB</v>
      </c>
      <c r="V252" s="1" t="str">
        <f>IFERROR(INDEX(_report[],MATCH(ВСЕ_КОДЫ[[#This Row],[CONTEST_CODE]],_report[CONTEST_CODE],0),MATCH($V$1,_report[#Headers],0)),"-")</f>
        <v>-</v>
      </c>
      <c r="W252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2" s="1" t="str">
        <f>IFERROR(INDEX(_group_[],MATCH(CONCATENATE(ВСЕ_КОДЫ[[#This Row],[CONTEST_CODE]],"_",X$2),#REF!,0),MATCH(X$1,_group_[#Headers],0)),"-")</f>
        <v>-</v>
      </c>
      <c r="Y252" s="1" t="str">
        <f>IFERROR(INDEX(_group_[],MATCH(CONCATENATE(ВСЕ_КОДЫ[[#This Row],[CONTEST_CODE]],"_",Y$2),#REF!,0),MATCH(Y$1,_group_[#Headers],0)),"-")</f>
        <v>-</v>
      </c>
      <c r="Z252" s="1" t="str">
        <f>IFERROR(INDEX(_group_[],MATCH(CONCATENATE(ВСЕ_КОДЫ[[#This Row],[CONTEST_CODE]],"_",Z$2),#REF!,0),MATCH(Z$1,_group_[#Headers],0)),"-")</f>
        <v>-</v>
      </c>
      <c r="AA252" s="1" t="str">
        <f>IFERROR(INDEX(_group_[],MATCH(CONCATENATE(ВСЕ_КОДЫ[[#This Row],[CONTEST_CODE]],"_",AA$2),#REF!,0),MATCH(AA$1,_group_[#Headers],0)),"-")</f>
        <v>-</v>
      </c>
      <c r="AB252" s="1" t="str">
        <f>IFERROR(INDEX(_DATA_[],MATCH(ВСЕ_КОДЫ[[#This Row],[CONTEST_CODE]],_DATA_[CONTEST_CODE],0),MATCH($AB$2,_DATA_[#Headers],0)),"-")</f>
        <v>["""KMKKSB"""]</v>
      </c>
      <c r="AC252" s="1" t="str">
        <f>CONCATENATE(ВСЕ_КОДЫ[[#This Row],[CONTEST_CODE]],"_",ВСЕ_КОДЫ[[#This Row],[TOURNAMENT_CODE]])</f>
        <v>CONTEST_29_TOURNAMENT_29_03</v>
      </c>
      <c r="AD252" s="1" t="str">
        <f>ВСЕ_КОДЫ[[#This Row],[FULL_NAME]]</f>
        <v>Пассивы. Прирост остатка долгосрочных депозитов</v>
      </c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idden="1" x14ac:dyDescent="0.25">
      <c r="A253" s="1" t="s">
        <v>91</v>
      </c>
      <c r="B253" s="1" t="s">
        <v>281</v>
      </c>
      <c r="C253" s="1" t="s">
        <v>440</v>
      </c>
      <c r="D253" s="1" t="s">
        <v>583</v>
      </c>
      <c r="E253" s="1" t="s">
        <v>92</v>
      </c>
      <c r="F253" s="1" t="s">
        <v>26</v>
      </c>
      <c r="G253" s="1" t="s">
        <v>27</v>
      </c>
      <c r="H253" s="1" t="s">
        <v>28</v>
      </c>
      <c r="I253" s="1" t="s">
        <v>50</v>
      </c>
      <c r="J253" s="1" t="s">
        <v>192</v>
      </c>
      <c r="K253" s="1" t="s">
        <v>193</v>
      </c>
      <c r="L253" s="1" t="s">
        <v>247</v>
      </c>
      <c r="M253" s="1" t="s">
        <v>176</v>
      </c>
      <c r="N253" s="1" t="s">
        <v>305</v>
      </c>
      <c r="O253" s="1" t="s">
        <v>441</v>
      </c>
      <c r="P253" s="1"/>
      <c r="Q253" s="1">
        <f>IFERROR(COUNTIFS(_report[TOURNAMENT_CODE],ВСЕ_КОДЫ[[#This Row],[TOURNAMENT_CODE]],_report[CONTEST_CODE],ВСЕ_КОДЫ[[#This Row],[CONTEST_CODE]]),"-")</f>
        <v>0</v>
      </c>
      <c r="R253" s="1" t="str">
        <f>IFERROR(INDEX(_SCHEDULE_[],MATCH(ВСЕ_КОДЫ[[#This Row],[CONTEST_CODE]],_SCHEDULE_[CONTEST_CODE],0),MATCH($R$1,_SCHEDULE_[#Headers],0)),"-")</f>
        <v>ЗАВЕРШЕН</v>
      </c>
      <c r="S253" s="1" t="str">
        <f>IFERROR(INDEX(_group_[],MATCH(ВСЕ_КОДЫ[[#This Row],[CONTEST_CODE]],_group_[CONTEST_CODE],0),MATCH($S$1,_group_[#Headers],0)),"-")</f>
        <v>BANK</v>
      </c>
      <c r="T253" s="1" t="str">
        <f>IFERROR(INDEX(_INDICATOR_[],MATCH(ВСЕ_КОДЫ[[#This Row],[CONTEST_CODE]],_INDICATOR_[CONTEST_CODE],0),MATCH($T$1,_INDICATOR_[#Headers],0)),"-")</f>
        <v>WAIT</v>
      </c>
      <c r="U253" s="1" t="str">
        <f>IFERROR(INDEX(_reward_link_[],MATCH(ВСЕ_КОДЫ[[#This Row],[CONTEST_CODE]],_reward_link_[CONTEST_CODE],0),MATCH($U$1,_reward_link_[#Headers],0)),"-")</f>
        <v>TB</v>
      </c>
      <c r="V253" s="1" t="str">
        <f>IFERROR(INDEX(_report[],MATCH(ВСЕ_КОДЫ[[#This Row],[CONTEST_CODE]],_report[CONTEST_CODE],0),MATCH($V$1,_report[#Headers],0)),"-")</f>
        <v>-</v>
      </c>
      <c r="W253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3" s="1" t="str">
        <f>IFERROR(INDEX(_group_[],MATCH(CONCATENATE(ВСЕ_КОДЫ[[#This Row],[CONTEST_CODE]],"_",X$2),#REF!,0),MATCH(X$1,_group_[#Headers],0)),"-")</f>
        <v>-</v>
      </c>
      <c r="Y253" s="1" t="str">
        <f>IFERROR(INDEX(_group_[],MATCH(CONCATENATE(ВСЕ_КОДЫ[[#This Row],[CONTEST_CODE]],"_",Y$2),#REF!,0),MATCH(Y$1,_group_[#Headers],0)),"-")</f>
        <v>-</v>
      </c>
      <c r="Z253" s="1" t="str">
        <f>IFERROR(INDEX(_group_[],MATCH(CONCATENATE(ВСЕ_КОДЫ[[#This Row],[CONTEST_CODE]],"_",Z$2),#REF!,0),MATCH(Z$1,_group_[#Headers],0)),"-")</f>
        <v>-</v>
      </c>
      <c r="AA253" s="1" t="str">
        <f>IFERROR(INDEX(_group_[],MATCH(CONCATENATE(ВСЕ_КОДЫ[[#This Row],[CONTEST_CODE]],"_",AA$2),#REF!,0),MATCH(AA$1,_group_[#Headers],0)),"-")</f>
        <v>-</v>
      </c>
      <c r="AB253" s="1" t="str">
        <f>IFERROR(INDEX(_DATA_[],MATCH(ВСЕ_КОДЫ[[#This Row],[CONTEST_CODE]],_DATA_[CONTEST_CODE],0),MATCH($AB$2,_DATA_[#Headers],0)),"-")</f>
        <v>["""KMKKSB"""]</v>
      </c>
      <c r="AC253" s="1" t="str">
        <f>CONCATENATE(ВСЕ_КОДЫ[[#This Row],[CONTEST_CODE]],"_",ВСЕ_КОДЫ[[#This Row],[TOURNAMENT_CODE]])</f>
        <v>CONTEST_29_TOURNAMENT_29_04</v>
      </c>
      <c r="AD253" s="1" t="str">
        <f>ВСЕ_КОДЫ[[#This Row],[FULL_NAME]]</f>
        <v>Пассивы. Прирост остатка долгосрочных депозитов</v>
      </c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idden="1" x14ac:dyDescent="0.25">
      <c r="A254" s="1" t="s">
        <v>91</v>
      </c>
      <c r="B254" s="1" t="s">
        <v>635</v>
      </c>
      <c r="C254" s="1" t="s">
        <v>440</v>
      </c>
      <c r="D254" s="1" t="s">
        <v>583</v>
      </c>
      <c r="E254" s="1" t="s">
        <v>92</v>
      </c>
      <c r="F254" s="1" t="s">
        <v>26</v>
      </c>
      <c r="G254" s="1" t="s">
        <v>27</v>
      </c>
      <c r="H254" s="1" t="s">
        <v>28</v>
      </c>
      <c r="I254" s="1" t="s">
        <v>50</v>
      </c>
      <c r="J254" s="1" t="s">
        <v>245</v>
      </c>
      <c r="K254" s="1" t="s">
        <v>246</v>
      </c>
      <c r="L254" s="1" t="s">
        <v>252</v>
      </c>
      <c r="M254" s="1" t="s">
        <v>176</v>
      </c>
      <c r="N254" s="1" t="s">
        <v>305</v>
      </c>
      <c r="O254" s="1" t="s">
        <v>441</v>
      </c>
      <c r="P254" s="1"/>
      <c r="Q254" s="1">
        <f>IFERROR(COUNTIFS(_report[TOURNAMENT_CODE],ВСЕ_КОДЫ[[#This Row],[TOURNAMENT_CODE]],_report[CONTEST_CODE],ВСЕ_КОДЫ[[#This Row],[CONTEST_CODE]]),"-")</f>
        <v>0</v>
      </c>
      <c r="R254" s="1" t="str">
        <f>IFERROR(INDEX(_SCHEDULE_[],MATCH(ВСЕ_КОДЫ[[#This Row],[CONTEST_CODE]],_SCHEDULE_[CONTEST_CODE],0),MATCH($R$1,_SCHEDULE_[#Headers],0)),"-")</f>
        <v>ЗАВЕРШЕН</v>
      </c>
      <c r="S254" s="1" t="str">
        <f>IFERROR(INDEX(_group_[],MATCH(ВСЕ_КОДЫ[[#This Row],[CONTEST_CODE]],_group_[CONTEST_CODE],0),MATCH($S$1,_group_[#Headers],0)),"-")</f>
        <v>BANK</v>
      </c>
      <c r="T254" s="1" t="str">
        <f>IFERROR(INDEX(_INDICATOR_[],MATCH(ВСЕ_КОДЫ[[#This Row],[CONTEST_CODE]],_INDICATOR_[CONTEST_CODE],0),MATCH($T$1,_INDICATOR_[#Headers],0)),"-")</f>
        <v>WAIT</v>
      </c>
      <c r="U254" s="1" t="str">
        <f>IFERROR(INDEX(_reward_link_[],MATCH(ВСЕ_КОДЫ[[#This Row],[CONTEST_CODE]],_reward_link_[CONTEST_CODE],0),MATCH($U$1,_reward_link_[#Headers],0)),"-")</f>
        <v>TB</v>
      </c>
      <c r="V254" s="1" t="str">
        <f>IFERROR(INDEX(_report[],MATCH(ВСЕ_КОДЫ[[#This Row],[CONTEST_CODE]],_report[CONTEST_CODE],0),MATCH($V$1,_report[#Headers],0)),"-")</f>
        <v>-</v>
      </c>
      <c r="W254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4" s="1" t="str">
        <f>IFERROR(INDEX(_group_[],MATCH(CONCATENATE(ВСЕ_КОДЫ[[#This Row],[CONTEST_CODE]],"_",X$2),#REF!,0),MATCH(X$1,_group_[#Headers],0)),"-")</f>
        <v>-</v>
      </c>
      <c r="Y254" s="1" t="str">
        <f>IFERROR(INDEX(_group_[],MATCH(CONCATENATE(ВСЕ_КОДЫ[[#This Row],[CONTEST_CODE]],"_",Y$2),#REF!,0),MATCH(Y$1,_group_[#Headers],0)),"-")</f>
        <v>-</v>
      </c>
      <c r="Z254" s="1" t="str">
        <f>IFERROR(INDEX(_group_[],MATCH(CONCATENATE(ВСЕ_КОДЫ[[#This Row],[CONTEST_CODE]],"_",Z$2),#REF!,0),MATCH(Z$1,_group_[#Headers],0)),"-")</f>
        <v>-</v>
      </c>
      <c r="AA254" s="1" t="str">
        <f>IFERROR(INDEX(_group_[],MATCH(CONCATENATE(ВСЕ_КОДЫ[[#This Row],[CONTEST_CODE]],"_",AA$2),#REF!,0),MATCH(AA$1,_group_[#Headers],0)),"-")</f>
        <v>-</v>
      </c>
      <c r="AB254" s="1" t="str">
        <f>IFERROR(INDEX(_DATA_[],MATCH(ВСЕ_КОДЫ[[#This Row],[CONTEST_CODE]],_DATA_[CONTEST_CODE],0),MATCH($AB$2,_DATA_[#Headers],0)),"-")</f>
        <v>["""KMKKSB"""]</v>
      </c>
      <c r="AC254" s="1" t="str">
        <f>CONCATENATE(ВСЕ_КОДЫ[[#This Row],[CONTEST_CODE]],"_",ВСЕ_КОДЫ[[#This Row],[TOURNAMENT_CODE]])</f>
        <v>CONTEST_29_TOURNAMENT_29_05</v>
      </c>
      <c r="AD254" s="1" t="str">
        <f>ВСЕ_КОДЫ[[#This Row],[FULL_NAME]]</f>
        <v>Пассивы. Прирост остатка долгосрочных депозитов</v>
      </c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idden="1" x14ac:dyDescent="0.25">
      <c r="A255" s="1" t="s">
        <v>91</v>
      </c>
      <c r="B255" s="1" t="s">
        <v>1043</v>
      </c>
      <c r="C255" s="1" t="s">
        <v>440</v>
      </c>
      <c r="D255" s="1" t="s">
        <v>583</v>
      </c>
      <c r="E255" s="1" t="s">
        <v>92</v>
      </c>
      <c r="F255" s="1" t="s">
        <v>26</v>
      </c>
      <c r="G255" s="1" t="s">
        <v>27</v>
      </c>
      <c r="H255" s="1" t="s">
        <v>28</v>
      </c>
      <c r="I255" s="1" t="s">
        <v>50</v>
      </c>
      <c r="J255" s="1" t="s">
        <v>695</v>
      </c>
      <c r="K255" s="1" t="s">
        <v>252</v>
      </c>
      <c r="L255" s="1" t="s">
        <v>1158</v>
      </c>
      <c r="M255" s="1" t="s">
        <v>176</v>
      </c>
      <c r="N255" s="1" t="s">
        <v>305</v>
      </c>
      <c r="O255" s="1" t="s">
        <v>441</v>
      </c>
      <c r="P255" s="1"/>
      <c r="Q255" s="1">
        <f>IFERROR(COUNTIFS(_report[TOURNAMENT_CODE],ВСЕ_КОДЫ[[#This Row],[TOURNAMENT_CODE]],_report[CONTEST_CODE],ВСЕ_КОДЫ[[#This Row],[CONTEST_CODE]]),"-")</f>
        <v>0</v>
      </c>
      <c r="R255" s="1" t="str">
        <f>IFERROR(INDEX(_SCHEDULE_[],MATCH(ВСЕ_КОДЫ[[#This Row],[CONTEST_CODE]],_SCHEDULE_[CONTEST_CODE],0),MATCH($R$1,_SCHEDULE_[#Headers],0)),"-")</f>
        <v>ЗАВЕРШЕН</v>
      </c>
      <c r="S255" s="1" t="str">
        <f>IFERROR(INDEX(_group_[],MATCH(ВСЕ_КОДЫ[[#This Row],[CONTEST_CODE]],_group_[CONTEST_CODE],0),MATCH($S$1,_group_[#Headers],0)),"-")</f>
        <v>BANK</v>
      </c>
      <c r="T255" s="1" t="str">
        <f>IFERROR(INDEX(_INDICATOR_[],MATCH(ВСЕ_КОДЫ[[#This Row],[CONTEST_CODE]],_INDICATOR_[CONTEST_CODE],0),MATCH($T$1,_INDICATOR_[#Headers],0)),"-")</f>
        <v>WAIT</v>
      </c>
      <c r="U255" s="1" t="str">
        <f>IFERROR(INDEX(_reward_link_[],MATCH(ВСЕ_КОДЫ[[#This Row],[CONTEST_CODE]],_reward_link_[CONTEST_CODE],0),MATCH($U$1,_reward_link_[#Headers],0)),"-")</f>
        <v>TB</v>
      </c>
      <c r="V255" s="1" t="str">
        <f>IFERROR(INDEX(_report[],MATCH(ВСЕ_КОДЫ[[#This Row],[CONTEST_CODE]],_report[CONTEST_CODE],0),MATCH($V$1,_report[#Headers],0)),"-")</f>
        <v>-</v>
      </c>
      <c r="W255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5" s="1" t="str">
        <f>IFERROR(INDEX(_group_[],MATCH(CONCATENATE(ВСЕ_КОДЫ[[#This Row],[CONTEST_CODE]],"_",X$2),#REF!,0),MATCH(X$1,_group_[#Headers],0)),"-")</f>
        <v>-</v>
      </c>
      <c r="Y255" s="1" t="str">
        <f>IFERROR(INDEX(_group_[],MATCH(CONCATENATE(ВСЕ_КОДЫ[[#This Row],[CONTEST_CODE]],"_",Y$2),#REF!,0),MATCH(Y$1,_group_[#Headers],0)),"-")</f>
        <v>-</v>
      </c>
      <c r="Z255" s="1" t="str">
        <f>IFERROR(INDEX(_group_[],MATCH(CONCATENATE(ВСЕ_КОДЫ[[#This Row],[CONTEST_CODE]],"_",Z$2),#REF!,0),MATCH(Z$1,_group_[#Headers],0)),"-")</f>
        <v>-</v>
      </c>
      <c r="AA255" s="1" t="str">
        <f>IFERROR(INDEX(_group_[],MATCH(CONCATENATE(ВСЕ_КОДЫ[[#This Row],[CONTEST_CODE]],"_",AA$2),#REF!,0),MATCH(AA$1,_group_[#Headers],0)),"-")</f>
        <v>-</v>
      </c>
      <c r="AB255" s="1" t="str">
        <f>IFERROR(INDEX(_DATA_[],MATCH(ВСЕ_КОДЫ[[#This Row],[CONTEST_CODE]],_DATA_[CONTEST_CODE],0),MATCH($AB$2,_DATA_[#Headers],0)),"-")</f>
        <v>["""KMKKSB"""]</v>
      </c>
      <c r="AC255" s="1" t="str">
        <f>CONCATENATE(ВСЕ_КОДЫ[[#This Row],[CONTEST_CODE]],"_",ВСЕ_КОДЫ[[#This Row],[TOURNAMENT_CODE]])</f>
        <v>CONTEST_29_TOURNAMENT_29_06</v>
      </c>
      <c r="AD255" s="1" t="str">
        <f>ВСЕ_КОДЫ[[#This Row],[FULL_NAME]]</f>
        <v>Пассивы. Прирост остатка долгосрочных депозитов</v>
      </c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idden="1" x14ac:dyDescent="0.25">
      <c r="A256" s="1" t="s">
        <v>91</v>
      </c>
      <c r="B256" s="1" t="s">
        <v>1065</v>
      </c>
      <c r="C256" s="1" t="s">
        <v>440</v>
      </c>
      <c r="D256" s="1" t="s">
        <v>583</v>
      </c>
      <c r="E256" s="1" t="s">
        <v>92</v>
      </c>
      <c r="F256" s="1" t="s">
        <v>26</v>
      </c>
      <c r="G256" s="1" t="s">
        <v>27</v>
      </c>
      <c r="H256" s="1" t="s">
        <v>28</v>
      </c>
      <c r="I256" s="1" t="s">
        <v>50</v>
      </c>
      <c r="J256" s="1" t="s">
        <v>703</v>
      </c>
      <c r="K256" s="1" t="s">
        <v>704</v>
      </c>
      <c r="L256" s="1" t="s">
        <v>1268</v>
      </c>
      <c r="M256" s="1" t="s">
        <v>176</v>
      </c>
      <c r="N256" s="1" t="s">
        <v>305</v>
      </c>
      <c r="O256" s="1" t="s">
        <v>441</v>
      </c>
      <c r="P256" s="1"/>
      <c r="Q256" s="1">
        <f>IFERROR(COUNTIFS(_report[TOURNAMENT_CODE],ВСЕ_КОДЫ[[#This Row],[TOURNAMENT_CODE]],_report[CONTEST_CODE],ВСЕ_КОДЫ[[#This Row],[CONTEST_CODE]]),"-")</f>
        <v>0</v>
      </c>
      <c r="R256" s="1" t="str">
        <f>IFERROR(INDEX(_SCHEDULE_[],MATCH(ВСЕ_КОДЫ[[#This Row],[CONTEST_CODE]],_SCHEDULE_[CONTEST_CODE],0),MATCH($R$1,_SCHEDULE_[#Headers],0)),"-")</f>
        <v>ЗАВЕРШЕН</v>
      </c>
      <c r="S256" s="1" t="str">
        <f>IFERROR(INDEX(_group_[],MATCH(ВСЕ_КОДЫ[[#This Row],[CONTEST_CODE]],_group_[CONTEST_CODE],0),MATCH($S$1,_group_[#Headers],0)),"-")</f>
        <v>BANK</v>
      </c>
      <c r="T256" s="1" t="str">
        <f>IFERROR(INDEX(_INDICATOR_[],MATCH(ВСЕ_КОДЫ[[#This Row],[CONTEST_CODE]],_INDICATOR_[CONTEST_CODE],0),MATCH($T$1,_INDICATOR_[#Headers],0)),"-")</f>
        <v>WAIT</v>
      </c>
      <c r="U256" s="1" t="str">
        <f>IFERROR(INDEX(_reward_link_[],MATCH(ВСЕ_КОДЫ[[#This Row],[CONTEST_CODE]],_reward_link_[CONTEST_CODE],0),MATCH($U$1,_reward_link_[#Headers],0)),"-")</f>
        <v>TB</v>
      </c>
      <c r="V256" s="1" t="str">
        <f>IFERROR(INDEX(_report[],MATCH(ВСЕ_КОДЫ[[#This Row],[CONTEST_CODE]],_report[CONTEST_CODE],0),MATCH($V$1,_report[#Headers],0)),"-")</f>
        <v>-</v>
      </c>
      <c r="W256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6" s="1" t="str">
        <f>IFERROR(INDEX(_group_[],MATCH(CONCATENATE(ВСЕ_КОДЫ[[#This Row],[CONTEST_CODE]],"_",X$2),#REF!,0),MATCH(X$1,_group_[#Headers],0)),"-")</f>
        <v>-</v>
      </c>
      <c r="Y256" s="1" t="str">
        <f>IFERROR(INDEX(_group_[],MATCH(CONCATENATE(ВСЕ_КОДЫ[[#This Row],[CONTEST_CODE]],"_",Y$2),#REF!,0),MATCH(Y$1,_group_[#Headers],0)),"-")</f>
        <v>-</v>
      </c>
      <c r="Z256" s="1" t="str">
        <f>IFERROR(INDEX(_group_[],MATCH(CONCATENATE(ВСЕ_КОДЫ[[#This Row],[CONTEST_CODE]],"_",Z$2),#REF!,0),MATCH(Z$1,_group_[#Headers],0)),"-")</f>
        <v>-</v>
      </c>
      <c r="AA256" s="1" t="str">
        <f>IFERROR(INDEX(_group_[],MATCH(CONCATENATE(ВСЕ_КОДЫ[[#This Row],[CONTEST_CODE]],"_",AA$2),#REF!,0),MATCH(AA$1,_group_[#Headers],0)),"-")</f>
        <v>-</v>
      </c>
      <c r="AB256" s="1" t="str">
        <f>IFERROR(INDEX(_DATA_[],MATCH(ВСЕ_КОДЫ[[#This Row],[CONTEST_CODE]],_DATA_[CONTEST_CODE],0),MATCH($AB$2,_DATA_[#Headers],0)),"-")</f>
        <v>["""KMKKSB"""]</v>
      </c>
      <c r="AC256" s="1" t="str">
        <f>CONCATENATE(ВСЕ_КОДЫ[[#This Row],[CONTEST_CODE]],"_",ВСЕ_КОДЫ[[#This Row],[TOURNAMENT_CODE]])</f>
        <v>CONTEST_29_TOURNAMENT_29_07</v>
      </c>
      <c r="AD256" s="1" t="str">
        <f>ВСЕ_КОДЫ[[#This Row],[FULL_NAME]]</f>
        <v>Пассивы. Прирост остатка долгосрочных депозитов</v>
      </c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idden="1" x14ac:dyDescent="0.25">
      <c r="A257" s="1" t="s">
        <v>91</v>
      </c>
      <c r="B257" s="1" t="s">
        <v>1207</v>
      </c>
      <c r="C257" s="1" t="s">
        <v>440</v>
      </c>
      <c r="D257" s="1" t="s">
        <v>583</v>
      </c>
      <c r="E257" s="1" t="s">
        <v>92</v>
      </c>
      <c r="F257" s="1" t="s">
        <v>26</v>
      </c>
      <c r="G257" s="1" t="s">
        <v>27</v>
      </c>
      <c r="H257" s="1" t="s">
        <v>28</v>
      </c>
      <c r="I257" s="1" t="s">
        <v>50</v>
      </c>
      <c r="J257" s="1" t="s">
        <v>1078</v>
      </c>
      <c r="K257" s="1" t="s">
        <v>1173</v>
      </c>
      <c r="L257" s="1" t="s">
        <v>1715</v>
      </c>
      <c r="M257" s="1" t="s">
        <v>176</v>
      </c>
      <c r="N257" s="1" t="s">
        <v>305</v>
      </c>
      <c r="O257" s="1" t="s">
        <v>441</v>
      </c>
      <c r="P257" s="1"/>
      <c r="Q257" s="1">
        <f>IFERROR(COUNTIFS(_report[TOURNAMENT_CODE],ВСЕ_КОДЫ[[#This Row],[TOURNAMENT_CODE]],_report[CONTEST_CODE],ВСЕ_КОДЫ[[#This Row],[CONTEST_CODE]]),"-")</f>
        <v>0</v>
      </c>
      <c r="R257" s="1" t="str">
        <f>IFERROR(INDEX(_SCHEDULE_[],MATCH(ВСЕ_КОДЫ[[#This Row],[CONTEST_CODE]],_SCHEDULE_[CONTEST_CODE],0),MATCH($R$1,_SCHEDULE_[#Headers],0)),"-")</f>
        <v>ЗАВЕРШЕН</v>
      </c>
      <c r="S257" s="1" t="str">
        <f>IFERROR(INDEX(_group_[],MATCH(ВСЕ_КОДЫ[[#This Row],[CONTEST_CODE]],_group_[CONTEST_CODE],0),MATCH($S$1,_group_[#Headers],0)),"-")</f>
        <v>BANK</v>
      </c>
      <c r="T257" s="1" t="str">
        <f>IFERROR(INDEX(_INDICATOR_[],MATCH(ВСЕ_КОДЫ[[#This Row],[CONTEST_CODE]],_INDICATOR_[CONTEST_CODE],0),MATCH($T$1,_INDICATOR_[#Headers],0)),"-")</f>
        <v>WAIT</v>
      </c>
      <c r="U257" s="1" t="str">
        <f>IFERROR(INDEX(_reward_link_[],MATCH(ВСЕ_КОДЫ[[#This Row],[CONTEST_CODE]],_reward_link_[CONTEST_CODE],0),MATCH($U$1,_reward_link_[#Headers],0)),"-")</f>
        <v>TB</v>
      </c>
      <c r="V257" s="1" t="str">
        <f>IFERROR(INDEX(_report[],MATCH(ВСЕ_КОДЫ[[#This Row],[CONTEST_CODE]],_report[CONTEST_CODE],0),MATCH($V$1,_report[#Headers],0)),"-")</f>
        <v>-</v>
      </c>
      <c r="W257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7" s="1" t="str">
        <f>IFERROR(INDEX(_group_[],MATCH(CONCATENATE(ВСЕ_КОДЫ[[#This Row],[CONTEST_CODE]],"_",X$2),#REF!,0),MATCH(X$1,_group_[#Headers],0)),"-")</f>
        <v>-</v>
      </c>
      <c r="Y257" s="1" t="str">
        <f>IFERROR(INDEX(_group_[],MATCH(CONCATENATE(ВСЕ_КОДЫ[[#This Row],[CONTEST_CODE]],"_",Y$2),#REF!,0),MATCH(Y$1,_group_[#Headers],0)),"-")</f>
        <v>-</v>
      </c>
      <c r="Z257" s="1" t="str">
        <f>IFERROR(INDEX(_group_[],MATCH(CONCATENATE(ВСЕ_КОДЫ[[#This Row],[CONTEST_CODE]],"_",Z$2),#REF!,0),MATCH(Z$1,_group_[#Headers],0)),"-")</f>
        <v>-</v>
      </c>
      <c r="AA257" s="1" t="str">
        <f>IFERROR(INDEX(_group_[],MATCH(CONCATENATE(ВСЕ_КОДЫ[[#This Row],[CONTEST_CODE]],"_",AA$2),#REF!,0),MATCH(AA$1,_group_[#Headers],0)),"-")</f>
        <v>-</v>
      </c>
      <c r="AB257" s="1" t="str">
        <f>IFERROR(INDEX(_DATA_[],MATCH(ВСЕ_КОДЫ[[#This Row],[CONTEST_CODE]],_DATA_[CONTEST_CODE],0),MATCH($AB$2,_DATA_[#Headers],0)),"-")</f>
        <v>["""KMKKSB"""]</v>
      </c>
      <c r="AC257" s="1" t="str">
        <f>CONCATENATE(ВСЕ_КОДЫ[[#This Row],[CONTEST_CODE]],"_",ВСЕ_КОДЫ[[#This Row],[TOURNAMENT_CODE]])</f>
        <v>CONTEST_29_TOURNAMENT_29_08</v>
      </c>
      <c r="AD257" s="1" t="str">
        <f>ВСЕ_КОДЫ[[#This Row],[FULL_NAME]]</f>
        <v>Пассивы. Прирост остатка долгосрочных депозитов</v>
      </c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idden="1" x14ac:dyDescent="0.25">
      <c r="A258" s="1" t="s">
        <v>91</v>
      </c>
      <c r="B258" s="1" t="s">
        <v>1280</v>
      </c>
      <c r="C258" s="1" t="s">
        <v>440</v>
      </c>
      <c r="D258" s="1" t="s">
        <v>583</v>
      </c>
      <c r="E258" s="1" t="s">
        <v>92</v>
      </c>
      <c r="F258" s="1" t="s">
        <v>26</v>
      </c>
      <c r="G258" s="1" t="s">
        <v>27</v>
      </c>
      <c r="H258" s="1" t="s">
        <v>28</v>
      </c>
      <c r="I258" s="1" t="s">
        <v>50</v>
      </c>
      <c r="J258" s="1" t="s">
        <v>1225</v>
      </c>
      <c r="K258" s="1" t="s">
        <v>1070</v>
      </c>
      <c r="L258" s="1" t="s">
        <v>1715</v>
      </c>
      <c r="M258" s="1" t="s">
        <v>176</v>
      </c>
      <c r="N258" s="1" t="s">
        <v>305</v>
      </c>
      <c r="O258" s="1" t="s">
        <v>441</v>
      </c>
      <c r="P258" s="1"/>
      <c r="Q258" s="1">
        <f>IFERROR(COUNTIFS(_report[TOURNAMENT_CODE],ВСЕ_КОДЫ[[#This Row],[TOURNAMENT_CODE]],_report[CONTEST_CODE],ВСЕ_КОДЫ[[#This Row],[CONTEST_CODE]]),"-")</f>
        <v>0</v>
      </c>
      <c r="R258" s="1" t="str">
        <f>IFERROR(INDEX(_SCHEDULE_[],MATCH(ВСЕ_КОДЫ[[#This Row],[CONTEST_CODE]],_SCHEDULE_[CONTEST_CODE],0),MATCH($R$1,_SCHEDULE_[#Headers],0)),"-")</f>
        <v>ЗАВЕРШЕН</v>
      </c>
      <c r="S258" s="1" t="str">
        <f>IFERROR(INDEX(_group_[],MATCH(ВСЕ_КОДЫ[[#This Row],[CONTEST_CODE]],_group_[CONTEST_CODE],0),MATCH($S$1,_group_[#Headers],0)),"-")</f>
        <v>BANK</v>
      </c>
      <c r="T258" s="1" t="str">
        <f>IFERROR(INDEX(_INDICATOR_[],MATCH(ВСЕ_КОДЫ[[#This Row],[CONTEST_CODE]],_INDICATOR_[CONTEST_CODE],0),MATCH($T$1,_INDICATOR_[#Headers],0)),"-")</f>
        <v>WAIT</v>
      </c>
      <c r="U258" s="1" t="str">
        <f>IFERROR(INDEX(_reward_link_[],MATCH(ВСЕ_КОДЫ[[#This Row],[CONTEST_CODE]],_reward_link_[CONTEST_CODE],0),MATCH($U$1,_reward_link_[#Headers],0)),"-")</f>
        <v>TB</v>
      </c>
      <c r="V258" s="1" t="str">
        <f>IFERROR(INDEX(_report[],MATCH(ВСЕ_КОДЫ[[#This Row],[CONTEST_CODE]],_report[CONTEST_CODE],0),MATCH($V$1,_report[#Headers],0)),"-")</f>
        <v>-</v>
      </c>
      <c r="W258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8" s="1" t="str">
        <f>IFERROR(INDEX(_group_[],MATCH(CONCATENATE(ВСЕ_КОДЫ[[#This Row],[CONTEST_CODE]],"_",X$2),#REF!,0),MATCH(X$1,_group_[#Headers],0)),"-")</f>
        <v>-</v>
      </c>
      <c r="Y258" s="1" t="str">
        <f>IFERROR(INDEX(_group_[],MATCH(CONCATENATE(ВСЕ_КОДЫ[[#This Row],[CONTEST_CODE]],"_",Y$2),#REF!,0),MATCH(Y$1,_group_[#Headers],0)),"-")</f>
        <v>-</v>
      </c>
      <c r="Z258" s="1" t="str">
        <f>IFERROR(INDEX(_group_[],MATCH(CONCATENATE(ВСЕ_КОДЫ[[#This Row],[CONTEST_CODE]],"_",Z$2),#REF!,0),MATCH(Z$1,_group_[#Headers],0)),"-")</f>
        <v>-</v>
      </c>
      <c r="AA258" s="1" t="str">
        <f>IFERROR(INDEX(_group_[],MATCH(CONCATENATE(ВСЕ_КОДЫ[[#This Row],[CONTEST_CODE]],"_",AA$2),#REF!,0),MATCH(AA$1,_group_[#Headers],0)),"-")</f>
        <v>-</v>
      </c>
      <c r="AB258" s="1" t="str">
        <f>IFERROR(INDEX(_DATA_[],MATCH(ВСЕ_КОДЫ[[#This Row],[CONTEST_CODE]],_DATA_[CONTEST_CODE],0),MATCH($AB$2,_DATA_[#Headers],0)),"-")</f>
        <v>["""KMKKSB"""]</v>
      </c>
      <c r="AC258" s="1" t="str">
        <f>CONCATENATE(ВСЕ_КОДЫ[[#This Row],[CONTEST_CODE]],"_",ВСЕ_КОДЫ[[#This Row],[TOURNAMENT_CODE]])</f>
        <v>CONTEST_29_TOURNAMENT_29_09</v>
      </c>
      <c r="AD258" s="1" t="str">
        <f>ВСЕ_КОДЫ[[#This Row],[FULL_NAME]]</f>
        <v>Пассивы. Прирост остатка долгосрочных депозитов</v>
      </c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idden="1" x14ac:dyDescent="0.25">
      <c r="A259" s="1" t="s">
        <v>91</v>
      </c>
      <c r="B259" s="1" t="s">
        <v>1645</v>
      </c>
      <c r="C259" s="1" t="s">
        <v>440</v>
      </c>
      <c r="D259" s="1" t="s">
        <v>583</v>
      </c>
      <c r="E259" s="1" t="s">
        <v>92</v>
      </c>
      <c r="F259" s="1" t="s">
        <v>26</v>
      </c>
      <c r="G259" s="1" t="s">
        <v>27</v>
      </c>
      <c r="H259" s="1" t="s">
        <v>28</v>
      </c>
      <c r="I259" s="1" t="s">
        <v>50</v>
      </c>
      <c r="J259" s="1" t="s">
        <v>1308</v>
      </c>
      <c r="K259" s="1" t="s">
        <v>1638</v>
      </c>
      <c r="L259" s="1" t="s">
        <v>1846</v>
      </c>
      <c r="M259" s="1" t="s">
        <v>176</v>
      </c>
      <c r="N259" s="1" t="s">
        <v>305</v>
      </c>
      <c r="O259" s="1" t="s">
        <v>441</v>
      </c>
      <c r="P259" s="1"/>
      <c r="Q259" s="1">
        <f>IFERROR(COUNTIFS(_report[TOURNAMENT_CODE],ВСЕ_КОДЫ[[#This Row],[TOURNAMENT_CODE]],_report[CONTEST_CODE],ВСЕ_КОДЫ[[#This Row],[CONTEST_CODE]]),"-")</f>
        <v>0</v>
      </c>
      <c r="R259" s="1" t="str">
        <f>IFERROR(INDEX(_SCHEDULE_[],MATCH(ВСЕ_КОДЫ[[#This Row],[CONTEST_CODE]],_SCHEDULE_[CONTEST_CODE],0),MATCH($R$1,_SCHEDULE_[#Headers],0)),"-")</f>
        <v>ЗАВЕРШЕН</v>
      </c>
      <c r="S259" s="1" t="str">
        <f>IFERROR(INDEX(_group_[],MATCH(ВСЕ_КОДЫ[[#This Row],[CONTEST_CODE]],_group_[CONTEST_CODE],0),MATCH($S$1,_group_[#Headers],0)),"-")</f>
        <v>BANK</v>
      </c>
      <c r="T259" s="1" t="str">
        <f>IFERROR(INDEX(_INDICATOR_[],MATCH(ВСЕ_КОДЫ[[#This Row],[CONTEST_CODE]],_INDICATOR_[CONTEST_CODE],0),MATCH($T$1,_INDICATOR_[#Headers],0)),"-")</f>
        <v>WAIT</v>
      </c>
      <c r="U259" s="1" t="str">
        <f>IFERROR(INDEX(_reward_link_[],MATCH(ВСЕ_КОДЫ[[#This Row],[CONTEST_CODE]],_reward_link_[CONTEST_CODE],0),MATCH($U$1,_reward_link_[#Headers],0)),"-")</f>
        <v>TB</v>
      </c>
      <c r="V259" s="1" t="str">
        <f>IFERROR(INDEX(_report[],MATCH(ВСЕ_КОДЫ[[#This Row],[CONTEST_CODE]],_report[CONTEST_CODE],0),MATCH($V$1,_report[#Headers],0)),"-")</f>
        <v>-</v>
      </c>
      <c r="W259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59" s="1" t="str">
        <f>IFERROR(INDEX(_group_[],MATCH(CONCATENATE(ВСЕ_КОДЫ[[#This Row],[CONTEST_CODE]],"_",X$2),#REF!,0),MATCH(X$1,_group_[#Headers],0)),"-")</f>
        <v>-</v>
      </c>
      <c r="Y259" s="1" t="str">
        <f>IFERROR(INDEX(_group_[],MATCH(CONCATENATE(ВСЕ_КОДЫ[[#This Row],[CONTEST_CODE]],"_",Y$2),#REF!,0),MATCH(Y$1,_group_[#Headers],0)),"-")</f>
        <v>-</v>
      </c>
      <c r="Z259" s="1" t="str">
        <f>IFERROR(INDEX(_group_[],MATCH(CONCATENATE(ВСЕ_КОДЫ[[#This Row],[CONTEST_CODE]],"_",Z$2),#REF!,0),MATCH(Z$1,_group_[#Headers],0)),"-")</f>
        <v>-</v>
      </c>
      <c r="AA259" s="1" t="str">
        <f>IFERROR(INDEX(_group_[],MATCH(CONCATENATE(ВСЕ_КОДЫ[[#This Row],[CONTEST_CODE]],"_",AA$2),#REF!,0),MATCH(AA$1,_group_[#Headers],0)),"-")</f>
        <v>-</v>
      </c>
      <c r="AB259" s="1" t="str">
        <f>IFERROR(INDEX(_DATA_[],MATCH(ВСЕ_КОДЫ[[#This Row],[CONTEST_CODE]],_DATA_[CONTEST_CODE],0),MATCH($AB$2,_DATA_[#Headers],0)),"-")</f>
        <v>["""KMKKSB"""]</v>
      </c>
      <c r="AC259" s="1" t="str">
        <f>CONCATENATE(ВСЕ_КОДЫ[[#This Row],[CONTEST_CODE]],"_",ВСЕ_КОДЫ[[#This Row],[TOURNAMENT_CODE]])</f>
        <v>CONTEST_29_TOURNAMENT_29_2024_M10</v>
      </c>
      <c r="AD259" s="1" t="str">
        <f>ВСЕ_КОДЫ[[#This Row],[FULL_NAME]]</f>
        <v>Пассивы. Прирост остатка долгосрочных депозитов</v>
      </c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idden="1" x14ac:dyDescent="0.25">
      <c r="A260" s="1" t="s">
        <v>91</v>
      </c>
      <c r="B260" s="1" t="s">
        <v>1808</v>
      </c>
      <c r="C260" s="1" t="s">
        <v>440</v>
      </c>
      <c r="D260" s="1" t="s">
        <v>583</v>
      </c>
      <c r="E260" s="1" t="s">
        <v>92</v>
      </c>
      <c r="F260" s="1" t="s">
        <v>26</v>
      </c>
      <c r="G260" s="1" t="s">
        <v>27</v>
      </c>
      <c r="H260" s="1" t="s">
        <v>28</v>
      </c>
      <c r="I260" s="1" t="s">
        <v>50</v>
      </c>
      <c r="J260" s="1" t="s">
        <v>1800</v>
      </c>
      <c r="K260" s="1" t="s">
        <v>1801</v>
      </c>
      <c r="L260" s="1" t="s">
        <v>1802</v>
      </c>
      <c r="M260" s="1" t="s">
        <v>155</v>
      </c>
      <c r="N260" s="1" t="s">
        <v>305</v>
      </c>
      <c r="O260" s="1" t="s">
        <v>441</v>
      </c>
      <c r="P260" s="1"/>
      <c r="Q260" s="1">
        <f>IFERROR(COUNTIFS(_report[TOURNAMENT_CODE],ВСЕ_КОДЫ[[#This Row],[TOURNAMENT_CODE]],_report[CONTEST_CODE],ВСЕ_КОДЫ[[#This Row],[CONTEST_CODE]]),"-")</f>
        <v>0</v>
      </c>
      <c r="R260" s="1" t="str">
        <f>IFERROR(INDEX(_SCHEDULE_[],MATCH(ВСЕ_КОДЫ[[#This Row],[CONTEST_CODE]],_SCHEDULE_[CONTEST_CODE],0),MATCH($R$1,_SCHEDULE_[#Headers],0)),"-")</f>
        <v>ЗАВЕРШЕН</v>
      </c>
      <c r="S260" s="1" t="str">
        <f>IFERROR(INDEX(_group_[],MATCH(ВСЕ_КОДЫ[[#This Row],[CONTEST_CODE]],_group_[CONTEST_CODE],0),MATCH($S$1,_group_[#Headers],0)),"-")</f>
        <v>BANK</v>
      </c>
      <c r="T260" s="1" t="str">
        <f>IFERROR(INDEX(_INDICATOR_[],MATCH(ВСЕ_КОДЫ[[#This Row],[CONTEST_CODE]],_INDICATOR_[CONTEST_CODE],0),MATCH($T$1,_INDICATOR_[#Headers],0)),"-")</f>
        <v>WAIT</v>
      </c>
      <c r="U260" s="1" t="str">
        <f>IFERROR(INDEX(_reward_link_[],MATCH(ВСЕ_КОДЫ[[#This Row],[CONTEST_CODE]],_reward_link_[CONTEST_CODE],0),MATCH($U$1,_reward_link_[#Headers],0)),"-")</f>
        <v>TB</v>
      </c>
      <c r="V260" s="1" t="str">
        <f>IFERROR(INDEX(_report[],MATCH(ВСЕ_КОДЫ[[#This Row],[CONTEST_CODE]],_report[CONTEST_CODE],0),MATCH($V$1,_report[#Headers],0)),"-")</f>
        <v>-</v>
      </c>
      <c r="W260" s="1" t="str">
        <f>IFERROR(INDEX(_reward_[],MATCH(ВСЕ_КОДЫ[[#This Row],[REWARD_CODE]],_reward_[REWARD_CODE],0),MATCH($W$1,_reward_[#Headers],0)),"-")</f>
        <v>Чемпион страны по приросту остатка долгосрочных депозитов</v>
      </c>
      <c r="X260" s="1" t="str">
        <f>IFERROR(INDEX(_group_[],MATCH(CONCATENATE(ВСЕ_КОДЫ[[#This Row],[CONTEST_CODE]],"_",X$2),#REF!,0),MATCH(X$1,_group_[#Headers],0)),"-")</f>
        <v>-</v>
      </c>
      <c r="Y260" s="1" t="str">
        <f>IFERROR(INDEX(_group_[],MATCH(CONCATENATE(ВСЕ_КОДЫ[[#This Row],[CONTEST_CODE]],"_",Y$2),#REF!,0),MATCH(Y$1,_group_[#Headers],0)),"-")</f>
        <v>-</v>
      </c>
      <c r="Z260" s="1" t="str">
        <f>IFERROR(INDEX(_group_[],MATCH(CONCATENATE(ВСЕ_КОДЫ[[#This Row],[CONTEST_CODE]],"_",Z$2),#REF!,0),MATCH(Z$1,_group_[#Headers],0)),"-")</f>
        <v>-</v>
      </c>
      <c r="AA260" s="1" t="str">
        <f>IFERROR(INDEX(_group_[],MATCH(CONCATENATE(ВСЕ_КОДЫ[[#This Row],[CONTEST_CODE]],"_",AA$2),#REF!,0),MATCH(AA$1,_group_[#Headers],0)),"-")</f>
        <v>-</v>
      </c>
      <c r="AB260" s="1" t="str">
        <f>IFERROR(INDEX(_DATA_[],MATCH(ВСЕ_КОДЫ[[#This Row],[CONTEST_CODE]],_DATA_[CONTEST_CODE],0),MATCH($AB$2,_DATA_[#Headers],0)),"-")</f>
        <v>["""KMKKSB"""]</v>
      </c>
      <c r="AC260" s="1" t="str">
        <f>CONCATENATE(ВСЕ_КОДЫ[[#This Row],[CONTEST_CODE]],"_",ВСЕ_КОДЫ[[#This Row],[TOURNAMENT_CODE]])</f>
        <v>CONTEST_29_TOURNAMENT_29_2024_M11</v>
      </c>
      <c r="AD260" s="1" t="str">
        <f>ВСЕ_КОДЫ[[#This Row],[FULL_NAME]]</f>
        <v>Пассивы. Прирост остатка долгосрочных депозитов</v>
      </c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idden="1" x14ac:dyDescent="0.25">
      <c r="A261" s="1" t="s">
        <v>91</v>
      </c>
      <c r="B261" s="1" t="s">
        <v>279</v>
      </c>
      <c r="C261" s="1" t="s">
        <v>437</v>
      </c>
      <c r="D261" s="1" t="s">
        <v>586</v>
      </c>
      <c r="E261" s="1" t="s">
        <v>92</v>
      </c>
      <c r="F261" s="1" t="s">
        <v>26</v>
      </c>
      <c r="G261" s="1" t="s">
        <v>27</v>
      </c>
      <c r="H261" s="1" t="s">
        <v>28</v>
      </c>
      <c r="I261" s="1" t="s">
        <v>50</v>
      </c>
      <c r="J261" s="1" t="s">
        <v>280</v>
      </c>
      <c r="K261" s="1" t="s">
        <v>188</v>
      </c>
      <c r="L261" s="1" t="s">
        <v>189</v>
      </c>
      <c r="M261" s="1" t="s">
        <v>176</v>
      </c>
      <c r="N261" s="1" t="s">
        <v>305</v>
      </c>
      <c r="O261" s="1" t="s">
        <v>438</v>
      </c>
      <c r="P261" s="1"/>
      <c r="Q261" s="1">
        <f>IFERROR(COUNTIFS(_report[TOURNAMENT_CODE],ВСЕ_КОДЫ[[#This Row],[TOURNAMENT_CODE]],_report[CONTEST_CODE],ВСЕ_КОДЫ[[#This Row],[CONTEST_CODE]]),"-")</f>
        <v>0</v>
      </c>
      <c r="R261" s="1" t="str">
        <f>IFERROR(INDEX(_SCHEDULE_[],MATCH(ВСЕ_КОДЫ[[#This Row],[CONTEST_CODE]],_SCHEDULE_[CONTEST_CODE],0),MATCH($R$1,_SCHEDULE_[#Headers],0)),"-")</f>
        <v>ЗАВЕРШЕН</v>
      </c>
      <c r="S261" s="1" t="str">
        <f>IFERROR(INDEX(_group_[],MATCH(ВСЕ_КОДЫ[[#This Row],[CONTEST_CODE]],_group_[CONTEST_CODE],0),MATCH($S$1,_group_[#Headers],0)),"-")</f>
        <v>BANK</v>
      </c>
      <c r="T261" s="1" t="str">
        <f>IFERROR(INDEX(_INDICATOR_[],MATCH(ВСЕ_КОДЫ[[#This Row],[CONTEST_CODE]],_INDICATOR_[CONTEST_CODE],0),MATCH($T$1,_INDICATOR_[#Headers],0)),"-")</f>
        <v>WAIT</v>
      </c>
      <c r="U261" s="1" t="str">
        <f>IFERROR(INDEX(_reward_link_[],MATCH(ВСЕ_КОДЫ[[#This Row],[CONTEST_CODE]],_reward_link_[CONTEST_CODE],0),MATCH($U$1,_reward_link_[#Headers],0)),"-")</f>
        <v>TB</v>
      </c>
      <c r="V261" s="1" t="str">
        <f>IFERROR(INDEX(_report[],MATCH(ВСЕ_КОДЫ[[#This Row],[CONTEST_CODE]],_report[CONTEST_CODE],0),MATCH($V$1,_report[#Headers],0)),"-")</f>
        <v>-</v>
      </c>
      <c r="W261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1" s="1" t="str">
        <f>IFERROR(INDEX(_group_[],MATCH(CONCATENATE(ВСЕ_КОДЫ[[#This Row],[CONTEST_CODE]],"_",X$2),#REF!,0),MATCH(X$1,_group_[#Headers],0)),"-")</f>
        <v>-</v>
      </c>
      <c r="Y261" s="1" t="str">
        <f>IFERROR(INDEX(_group_[],MATCH(CONCATENATE(ВСЕ_КОДЫ[[#This Row],[CONTEST_CODE]],"_",Y$2),#REF!,0),MATCH(Y$1,_group_[#Headers],0)),"-")</f>
        <v>-</v>
      </c>
      <c r="Z261" s="1" t="str">
        <f>IFERROR(INDEX(_group_[],MATCH(CONCATENATE(ВСЕ_КОДЫ[[#This Row],[CONTEST_CODE]],"_",Z$2),#REF!,0),MATCH(Z$1,_group_[#Headers],0)),"-")</f>
        <v>-</v>
      </c>
      <c r="AA261" s="1" t="str">
        <f>IFERROR(INDEX(_group_[],MATCH(CONCATENATE(ВСЕ_КОДЫ[[#This Row],[CONTEST_CODE]],"_",AA$2),#REF!,0),MATCH(AA$1,_group_[#Headers],0)),"-")</f>
        <v>-</v>
      </c>
      <c r="AB261" s="1" t="str">
        <f>IFERROR(INDEX(_DATA_[],MATCH(ВСЕ_КОДЫ[[#This Row],[CONTEST_CODE]],_DATA_[CONTEST_CODE],0),MATCH($AB$2,_DATA_[#Headers],0)),"-")</f>
        <v>["""KMKKSB"""]</v>
      </c>
      <c r="AC261" s="1" t="str">
        <f>CONCATENATE(ВСЕ_КОДЫ[[#This Row],[CONTEST_CODE]],"_",ВСЕ_КОДЫ[[#This Row],[TOURNAMENT_CODE]])</f>
        <v>CONTEST_29_TOURNAMENT_29_03</v>
      </c>
      <c r="AD261" s="1" t="str">
        <f>ВСЕ_КОДЫ[[#This Row],[FULL_NAME]]</f>
        <v>Пассивы. Прирост остатка долгосрочных депозитов</v>
      </c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idden="1" x14ac:dyDescent="0.25">
      <c r="A262" s="1" t="s">
        <v>91</v>
      </c>
      <c r="B262" s="1" t="s">
        <v>281</v>
      </c>
      <c r="C262" s="1" t="s">
        <v>437</v>
      </c>
      <c r="D262" s="1" t="s">
        <v>586</v>
      </c>
      <c r="E262" s="1" t="s">
        <v>92</v>
      </c>
      <c r="F262" s="1" t="s">
        <v>26</v>
      </c>
      <c r="G262" s="1" t="s">
        <v>27</v>
      </c>
      <c r="H262" s="1" t="s">
        <v>28</v>
      </c>
      <c r="I262" s="1" t="s">
        <v>50</v>
      </c>
      <c r="J262" s="1" t="s">
        <v>192</v>
      </c>
      <c r="K262" s="1" t="s">
        <v>193</v>
      </c>
      <c r="L262" s="1" t="s">
        <v>247</v>
      </c>
      <c r="M262" s="1" t="s">
        <v>176</v>
      </c>
      <c r="N262" s="1" t="s">
        <v>305</v>
      </c>
      <c r="O262" s="1" t="s">
        <v>438</v>
      </c>
      <c r="P262" s="1"/>
      <c r="Q262" s="1">
        <f>IFERROR(COUNTIFS(_report[TOURNAMENT_CODE],ВСЕ_КОДЫ[[#This Row],[TOURNAMENT_CODE]],_report[CONTEST_CODE],ВСЕ_КОДЫ[[#This Row],[CONTEST_CODE]]),"-")</f>
        <v>0</v>
      </c>
      <c r="R262" s="1" t="str">
        <f>IFERROR(INDEX(_SCHEDULE_[],MATCH(ВСЕ_КОДЫ[[#This Row],[CONTEST_CODE]],_SCHEDULE_[CONTEST_CODE],0),MATCH($R$1,_SCHEDULE_[#Headers],0)),"-")</f>
        <v>ЗАВЕРШЕН</v>
      </c>
      <c r="S262" s="1" t="str">
        <f>IFERROR(INDEX(_group_[],MATCH(ВСЕ_КОДЫ[[#This Row],[CONTEST_CODE]],_group_[CONTEST_CODE],0),MATCH($S$1,_group_[#Headers],0)),"-")</f>
        <v>BANK</v>
      </c>
      <c r="T262" s="1" t="str">
        <f>IFERROR(INDEX(_INDICATOR_[],MATCH(ВСЕ_КОДЫ[[#This Row],[CONTEST_CODE]],_INDICATOR_[CONTEST_CODE],0),MATCH($T$1,_INDICATOR_[#Headers],0)),"-")</f>
        <v>WAIT</v>
      </c>
      <c r="U262" s="1" t="str">
        <f>IFERROR(INDEX(_reward_link_[],MATCH(ВСЕ_КОДЫ[[#This Row],[CONTEST_CODE]],_reward_link_[CONTEST_CODE],0),MATCH($U$1,_reward_link_[#Headers],0)),"-")</f>
        <v>TB</v>
      </c>
      <c r="V262" s="1" t="str">
        <f>IFERROR(INDEX(_report[],MATCH(ВСЕ_КОДЫ[[#This Row],[CONTEST_CODE]],_report[CONTEST_CODE],0),MATCH($V$1,_report[#Headers],0)),"-")</f>
        <v>-</v>
      </c>
      <c r="W262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2" s="1" t="str">
        <f>IFERROR(INDEX(_group_[],MATCH(CONCATENATE(ВСЕ_КОДЫ[[#This Row],[CONTEST_CODE]],"_",X$2),#REF!,0),MATCH(X$1,_group_[#Headers],0)),"-")</f>
        <v>-</v>
      </c>
      <c r="Y262" s="1" t="str">
        <f>IFERROR(INDEX(_group_[],MATCH(CONCATENATE(ВСЕ_КОДЫ[[#This Row],[CONTEST_CODE]],"_",Y$2),#REF!,0),MATCH(Y$1,_group_[#Headers],0)),"-")</f>
        <v>-</v>
      </c>
      <c r="Z262" s="1" t="str">
        <f>IFERROR(INDEX(_group_[],MATCH(CONCATENATE(ВСЕ_КОДЫ[[#This Row],[CONTEST_CODE]],"_",Z$2),#REF!,0),MATCH(Z$1,_group_[#Headers],0)),"-")</f>
        <v>-</v>
      </c>
      <c r="AA262" s="1" t="str">
        <f>IFERROR(INDEX(_group_[],MATCH(CONCATENATE(ВСЕ_КОДЫ[[#This Row],[CONTEST_CODE]],"_",AA$2),#REF!,0),MATCH(AA$1,_group_[#Headers],0)),"-")</f>
        <v>-</v>
      </c>
      <c r="AB262" s="1" t="str">
        <f>IFERROR(INDEX(_DATA_[],MATCH(ВСЕ_КОДЫ[[#This Row],[CONTEST_CODE]],_DATA_[CONTEST_CODE],0),MATCH($AB$2,_DATA_[#Headers],0)),"-")</f>
        <v>["""KMKKSB"""]</v>
      </c>
      <c r="AC262" s="1" t="str">
        <f>CONCATENATE(ВСЕ_КОДЫ[[#This Row],[CONTEST_CODE]],"_",ВСЕ_КОДЫ[[#This Row],[TOURNAMENT_CODE]])</f>
        <v>CONTEST_29_TOURNAMENT_29_04</v>
      </c>
      <c r="AD262" s="1" t="str">
        <f>ВСЕ_КОДЫ[[#This Row],[FULL_NAME]]</f>
        <v>Пассивы. Прирост остатка долгосрочных депозитов</v>
      </c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idden="1" x14ac:dyDescent="0.25">
      <c r="A263" s="1" t="s">
        <v>91</v>
      </c>
      <c r="B263" s="1" t="s">
        <v>635</v>
      </c>
      <c r="C263" s="1" t="s">
        <v>437</v>
      </c>
      <c r="D263" s="1" t="s">
        <v>586</v>
      </c>
      <c r="E263" s="1" t="s">
        <v>92</v>
      </c>
      <c r="F263" s="1" t="s">
        <v>26</v>
      </c>
      <c r="G263" s="1" t="s">
        <v>27</v>
      </c>
      <c r="H263" s="1" t="s">
        <v>28</v>
      </c>
      <c r="I263" s="1" t="s">
        <v>50</v>
      </c>
      <c r="J263" s="1" t="s">
        <v>245</v>
      </c>
      <c r="K263" s="1" t="s">
        <v>246</v>
      </c>
      <c r="L263" s="1" t="s">
        <v>252</v>
      </c>
      <c r="M263" s="1" t="s">
        <v>176</v>
      </c>
      <c r="N263" s="1" t="s">
        <v>305</v>
      </c>
      <c r="O263" s="1" t="s">
        <v>438</v>
      </c>
      <c r="P263" s="1"/>
      <c r="Q263" s="1">
        <f>IFERROR(COUNTIFS(_report[TOURNAMENT_CODE],ВСЕ_КОДЫ[[#This Row],[TOURNAMENT_CODE]],_report[CONTEST_CODE],ВСЕ_КОДЫ[[#This Row],[CONTEST_CODE]]),"-")</f>
        <v>0</v>
      </c>
      <c r="R263" s="1" t="str">
        <f>IFERROR(INDEX(_SCHEDULE_[],MATCH(ВСЕ_КОДЫ[[#This Row],[CONTEST_CODE]],_SCHEDULE_[CONTEST_CODE],0),MATCH($R$1,_SCHEDULE_[#Headers],0)),"-")</f>
        <v>ЗАВЕРШЕН</v>
      </c>
      <c r="S263" s="1" t="str">
        <f>IFERROR(INDEX(_group_[],MATCH(ВСЕ_КОДЫ[[#This Row],[CONTEST_CODE]],_group_[CONTEST_CODE],0),MATCH($S$1,_group_[#Headers],0)),"-")</f>
        <v>BANK</v>
      </c>
      <c r="T263" s="1" t="str">
        <f>IFERROR(INDEX(_INDICATOR_[],MATCH(ВСЕ_КОДЫ[[#This Row],[CONTEST_CODE]],_INDICATOR_[CONTEST_CODE],0),MATCH($T$1,_INDICATOR_[#Headers],0)),"-")</f>
        <v>WAIT</v>
      </c>
      <c r="U263" s="1" t="str">
        <f>IFERROR(INDEX(_reward_link_[],MATCH(ВСЕ_КОДЫ[[#This Row],[CONTEST_CODE]],_reward_link_[CONTEST_CODE],0),MATCH($U$1,_reward_link_[#Headers],0)),"-")</f>
        <v>TB</v>
      </c>
      <c r="V263" s="1" t="str">
        <f>IFERROR(INDEX(_report[],MATCH(ВСЕ_КОДЫ[[#This Row],[CONTEST_CODE]],_report[CONTEST_CODE],0),MATCH($V$1,_report[#Headers],0)),"-")</f>
        <v>-</v>
      </c>
      <c r="W263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3" s="1" t="str">
        <f>IFERROR(INDEX(_group_[],MATCH(CONCATENATE(ВСЕ_КОДЫ[[#This Row],[CONTEST_CODE]],"_",X$2),#REF!,0),MATCH(X$1,_group_[#Headers],0)),"-")</f>
        <v>-</v>
      </c>
      <c r="Y263" s="1" t="str">
        <f>IFERROR(INDEX(_group_[],MATCH(CONCATENATE(ВСЕ_КОДЫ[[#This Row],[CONTEST_CODE]],"_",Y$2),#REF!,0),MATCH(Y$1,_group_[#Headers],0)),"-")</f>
        <v>-</v>
      </c>
      <c r="Z263" s="1" t="str">
        <f>IFERROR(INDEX(_group_[],MATCH(CONCATENATE(ВСЕ_КОДЫ[[#This Row],[CONTEST_CODE]],"_",Z$2),#REF!,0),MATCH(Z$1,_group_[#Headers],0)),"-")</f>
        <v>-</v>
      </c>
      <c r="AA263" s="1" t="str">
        <f>IFERROR(INDEX(_group_[],MATCH(CONCATENATE(ВСЕ_КОДЫ[[#This Row],[CONTEST_CODE]],"_",AA$2),#REF!,0),MATCH(AA$1,_group_[#Headers],0)),"-")</f>
        <v>-</v>
      </c>
      <c r="AB263" s="1" t="str">
        <f>IFERROR(INDEX(_DATA_[],MATCH(ВСЕ_КОДЫ[[#This Row],[CONTEST_CODE]],_DATA_[CONTEST_CODE],0),MATCH($AB$2,_DATA_[#Headers],0)),"-")</f>
        <v>["""KMKKSB"""]</v>
      </c>
      <c r="AC263" s="1" t="str">
        <f>CONCATENATE(ВСЕ_КОДЫ[[#This Row],[CONTEST_CODE]],"_",ВСЕ_КОДЫ[[#This Row],[TOURNAMENT_CODE]])</f>
        <v>CONTEST_29_TOURNAMENT_29_05</v>
      </c>
      <c r="AD263" s="1" t="str">
        <f>ВСЕ_КОДЫ[[#This Row],[FULL_NAME]]</f>
        <v>Пассивы. Прирост остатка долгосрочных депозитов</v>
      </c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idden="1" x14ac:dyDescent="0.25">
      <c r="A264" s="1" t="s">
        <v>91</v>
      </c>
      <c r="B264" s="1" t="s">
        <v>1043</v>
      </c>
      <c r="C264" s="1" t="s">
        <v>437</v>
      </c>
      <c r="D264" s="1" t="s">
        <v>586</v>
      </c>
      <c r="E264" s="1" t="s">
        <v>92</v>
      </c>
      <c r="F264" s="1" t="s">
        <v>26</v>
      </c>
      <c r="G264" s="1" t="s">
        <v>27</v>
      </c>
      <c r="H264" s="1" t="s">
        <v>28</v>
      </c>
      <c r="I264" s="1" t="s">
        <v>50</v>
      </c>
      <c r="J264" s="1" t="s">
        <v>695</v>
      </c>
      <c r="K264" s="1" t="s">
        <v>252</v>
      </c>
      <c r="L264" s="1" t="s">
        <v>1158</v>
      </c>
      <c r="M264" s="1" t="s">
        <v>176</v>
      </c>
      <c r="N264" s="1" t="s">
        <v>305</v>
      </c>
      <c r="O264" s="1" t="s">
        <v>438</v>
      </c>
      <c r="P264" s="1"/>
      <c r="Q264" s="1">
        <f>IFERROR(COUNTIFS(_report[TOURNAMENT_CODE],ВСЕ_КОДЫ[[#This Row],[TOURNAMENT_CODE]],_report[CONTEST_CODE],ВСЕ_КОДЫ[[#This Row],[CONTEST_CODE]]),"-")</f>
        <v>0</v>
      </c>
      <c r="R264" s="1" t="str">
        <f>IFERROR(INDEX(_SCHEDULE_[],MATCH(ВСЕ_КОДЫ[[#This Row],[CONTEST_CODE]],_SCHEDULE_[CONTEST_CODE],0),MATCH($R$1,_SCHEDULE_[#Headers],0)),"-")</f>
        <v>ЗАВЕРШЕН</v>
      </c>
      <c r="S264" s="1" t="str">
        <f>IFERROR(INDEX(_group_[],MATCH(ВСЕ_КОДЫ[[#This Row],[CONTEST_CODE]],_group_[CONTEST_CODE],0),MATCH($S$1,_group_[#Headers],0)),"-")</f>
        <v>BANK</v>
      </c>
      <c r="T264" s="1" t="str">
        <f>IFERROR(INDEX(_INDICATOR_[],MATCH(ВСЕ_КОДЫ[[#This Row],[CONTEST_CODE]],_INDICATOR_[CONTEST_CODE],0),MATCH($T$1,_INDICATOR_[#Headers],0)),"-")</f>
        <v>WAIT</v>
      </c>
      <c r="U264" s="1" t="str">
        <f>IFERROR(INDEX(_reward_link_[],MATCH(ВСЕ_КОДЫ[[#This Row],[CONTEST_CODE]],_reward_link_[CONTEST_CODE],0),MATCH($U$1,_reward_link_[#Headers],0)),"-")</f>
        <v>TB</v>
      </c>
      <c r="V264" s="1" t="str">
        <f>IFERROR(INDEX(_report[],MATCH(ВСЕ_КОДЫ[[#This Row],[CONTEST_CODE]],_report[CONTEST_CODE],0),MATCH($V$1,_report[#Headers],0)),"-")</f>
        <v>-</v>
      </c>
      <c r="W264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4" s="1" t="str">
        <f>IFERROR(INDEX(_group_[],MATCH(CONCATENATE(ВСЕ_КОДЫ[[#This Row],[CONTEST_CODE]],"_",X$2),#REF!,0),MATCH(X$1,_group_[#Headers],0)),"-")</f>
        <v>-</v>
      </c>
      <c r="Y264" s="1" t="str">
        <f>IFERROR(INDEX(_group_[],MATCH(CONCATENATE(ВСЕ_КОДЫ[[#This Row],[CONTEST_CODE]],"_",Y$2),#REF!,0),MATCH(Y$1,_group_[#Headers],0)),"-")</f>
        <v>-</v>
      </c>
      <c r="Z264" s="1" t="str">
        <f>IFERROR(INDEX(_group_[],MATCH(CONCATENATE(ВСЕ_КОДЫ[[#This Row],[CONTEST_CODE]],"_",Z$2),#REF!,0),MATCH(Z$1,_group_[#Headers],0)),"-")</f>
        <v>-</v>
      </c>
      <c r="AA264" s="1" t="str">
        <f>IFERROR(INDEX(_group_[],MATCH(CONCATENATE(ВСЕ_КОДЫ[[#This Row],[CONTEST_CODE]],"_",AA$2),#REF!,0),MATCH(AA$1,_group_[#Headers],0)),"-")</f>
        <v>-</v>
      </c>
      <c r="AB264" s="1" t="str">
        <f>IFERROR(INDEX(_DATA_[],MATCH(ВСЕ_КОДЫ[[#This Row],[CONTEST_CODE]],_DATA_[CONTEST_CODE],0),MATCH($AB$2,_DATA_[#Headers],0)),"-")</f>
        <v>["""KMKKSB"""]</v>
      </c>
      <c r="AC264" s="1" t="str">
        <f>CONCATENATE(ВСЕ_КОДЫ[[#This Row],[CONTEST_CODE]],"_",ВСЕ_КОДЫ[[#This Row],[TOURNAMENT_CODE]])</f>
        <v>CONTEST_29_TOURNAMENT_29_06</v>
      </c>
      <c r="AD264" s="1" t="str">
        <f>ВСЕ_КОДЫ[[#This Row],[FULL_NAME]]</f>
        <v>Пассивы. Прирост остатка долгосрочных депозитов</v>
      </c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idden="1" x14ac:dyDescent="0.25">
      <c r="A265" s="1" t="s">
        <v>91</v>
      </c>
      <c r="B265" s="1" t="s">
        <v>1065</v>
      </c>
      <c r="C265" s="1" t="s">
        <v>437</v>
      </c>
      <c r="D265" s="1" t="s">
        <v>586</v>
      </c>
      <c r="E265" s="1" t="s">
        <v>92</v>
      </c>
      <c r="F265" s="1" t="s">
        <v>26</v>
      </c>
      <c r="G265" s="1" t="s">
        <v>27</v>
      </c>
      <c r="H265" s="1" t="s">
        <v>28</v>
      </c>
      <c r="I265" s="1" t="s">
        <v>50</v>
      </c>
      <c r="J265" s="1" t="s">
        <v>703</v>
      </c>
      <c r="K265" s="1" t="s">
        <v>704</v>
      </c>
      <c r="L265" s="1" t="s">
        <v>1268</v>
      </c>
      <c r="M265" s="1" t="s">
        <v>176</v>
      </c>
      <c r="N265" s="1" t="s">
        <v>305</v>
      </c>
      <c r="O265" s="1" t="s">
        <v>438</v>
      </c>
      <c r="P265" s="1"/>
      <c r="Q265" s="1">
        <f>IFERROR(COUNTIFS(_report[TOURNAMENT_CODE],ВСЕ_КОДЫ[[#This Row],[TOURNAMENT_CODE]],_report[CONTEST_CODE],ВСЕ_КОДЫ[[#This Row],[CONTEST_CODE]]),"-")</f>
        <v>0</v>
      </c>
      <c r="R265" s="1" t="str">
        <f>IFERROR(INDEX(_SCHEDULE_[],MATCH(ВСЕ_КОДЫ[[#This Row],[CONTEST_CODE]],_SCHEDULE_[CONTEST_CODE],0),MATCH($R$1,_SCHEDULE_[#Headers],0)),"-")</f>
        <v>ЗАВЕРШЕН</v>
      </c>
      <c r="S265" s="1" t="str">
        <f>IFERROR(INDEX(_group_[],MATCH(ВСЕ_КОДЫ[[#This Row],[CONTEST_CODE]],_group_[CONTEST_CODE],0),MATCH($S$1,_group_[#Headers],0)),"-")</f>
        <v>BANK</v>
      </c>
      <c r="T265" s="1" t="str">
        <f>IFERROR(INDEX(_INDICATOR_[],MATCH(ВСЕ_КОДЫ[[#This Row],[CONTEST_CODE]],_INDICATOR_[CONTEST_CODE],0),MATCH($T$1,_INDICATOR_[#Headers],0)),"-")</f>
        <v>WAIT</v>
      </c>
      <c r="U265" s="1" t="str">
        <f>IFERROR(INDEX(_reward_link_[],MATCH(ВСЕ_КОДЫ[[#This Row],[CONTEST_CODE]],_reward_link_[CONTEST_CODE],0),MATCH($U$1,_reward_link_[#Headers],0)),"-")</f>
        <v>TB</v>
      </c>
      <c r="V265" s="1" t="str">
        <f>IFERROR(INDEX(_report[],MATCH(ВСЕ_КОДЫ[[#This Row],[CONTEST_CODE]],_report[CONTEST_CODE],0),MATCH($V$1,_report[#Headers],0)),"-")</f>
        <v>-</v>
      </c>
      <c r="W265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5" s="1" t="str">
        <f>IFERROR(INDEX(_group_[],MATCH(CONCATENATE(ВСЕ_КОДЫ[[#This Row],[CONTEST_CODE]],"_",X$2),#REF!,0),MATCH(X$1,_group_[#Headers],0)),"-")</f>
        <v>-</v>
      </c>
      <c r="Y265" s="1" t="str">
        <f>IFERROR(INDEX(_group_[],MATCH(CONCATENATE(ВСЕ_КОДЫ[[#This Row],[CONTEST_CODE]],"_",Y$2),#REF!,0),MATCH(Y$1,_group_[#Headers],0)),"-")</f>
        <v>-</v>
      </c>
      <c r="Z265" s="1" t="str">
        <f>IFERROR(INDEX(_group_[],MATCH(CONCATENATE(ВСЕ_КОДЫ[[#This Row],[CONTEST_CODE]],"_",Z$2),#REF!,0),MATCH(Z$1,_group_[#Headers],0)),"-")</f>
        <v>-</v>
      </c>
      <c r="AA265" s="1" t="str">
        <f>IFERROR(INDEX(_group_[],MATCH(CONCATENATE(ВСЕ_КОДЫ[[#This Row],[CONTEST_CODE]],"_",AA$2),#REF!,0),MATCH(AA$1,_group_[#Headers],0)),"-")</f>
        <v>-</v>
      </c>
      <c r="AB265" s="1" t="str">
        <f>IFERROR(INDEX(_DATA_[],MATCH(ВСЕ_КОДЫ[[#This Row],[CONTEST_CODE]],_DATA_[CONTEST_CODE],0),MATCH($AB$2,_DATA_[#Headers],0)),"-")</f>
        <v>["""KMKKSB"""]</v>
      </c>
      <c r="AC265" s="1" t="str">
        <f>CONCATENATE(ВСЕ_КОДЫ[[#This Row],[CONTEST_CODE]],"_",ВСЕ_КОДЫ[[#This Row],[TOURNAMENT_CODE]])</f>
        <v>CONTEST_29_TOURNAMENT_29_07</v>
      </c>
      <c r="AD265" s="1" t="str">
        <f>ВСЕ_КОДЫ[[#This Row],[FULL_NAME]]</f>
        <v>Пассивы. Прирост остатка долгосрочных депозитов</v>
      </c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idden="1" x14ac:dyDescent="0.25">
      <c r="A266" s="1" t="s">
        <v>91</v>
      </c>
      <c r="B266" s="1" t="s">
        <v>1207</v>
      </c>
      <c r="C266" s="1" t="s">
        <v>437</v>
      </c>
      <c r="D266" s="1" t="s">
        <v>586</v>
      </c>
      <c r="E266" s="1" t="s">
        <v>92</v>
      </c>
      <c r="F266" s="1" t="s">
        <v>26</v>
      </c>
      <c r="G266" s="1" t="s">
        <v>27</v>
      </c>
      <c r="H266" s="1" t="s">
        <v>28</v>
      </c>
      <c r="I266" s="1" t="s">
        <v>50</v>
      </c>
      <c r="J266" s="1" t="s">
        <v>1078</v>
      </c>
      <c r="K266" s="1" t="s">
        <v>1173</v>
      </c>
      <c r="L266" s="1" t="s">
        <v>1715</v>
      </c>
      <c r="M266" s="1" t="s">
        <v>176</v>
      </c>
      <c r="N266" s="1" t="s">
        <v>305</v>
      </c>
      <c r="O266" s="1" t="s">
        <v>438</v>
      </c>
      <c r="P266" s="1"/>
      <c r="Q266" s="1">
        <f>IFERROR(COUNTIFS(_report[TOURNAMENT_CODE],ВСЕ_КОДЫ[[#This Row],[TOURNAMENT_CODE]],_report[CONTEST_CODE],ВСЕ_КОДЫ[[#This Row],[CONTEST_CODE]]),"-")</f>
        <v>0</v>
      </c>
      <c r="R266" s="1" t="str">
        <f>IFERROR(INDEX(_SCHEDULE_[],MATCH(ВСЕ_КОДЫ[[#This Row],[CONTEST_CODE]],_SCHEDULE_[CONTEST_CODE],0),MATCH($R$1,_SCHEDULE_[#Headers],0)),"-")</f>
        <v>ЗАВЕРШЕН</v>
      </c>
      <c r="S266" s="1" t="str">
        <f>IFERROR(INDEX(_group_[],MATCH(ВСЕ_КОДЫ[[#This Row],[CONTEST_CODE]],_group_[CONTEST_CODE],0),MATCH($S$1,_group_[#Headers],0)),"-")</f>
        <v>BANK</v>
      </c>
      <c r="T266" s="1" t="str">
        <f>IFERROR(INDEX(_INDICATOR_[],MATCH(ВСЕ_КОДЫ[[#This Row],[CONTEST_CODE]],_INDICATOR_[CONTEST_CODE],0),MATCH($T$1,_INDICATOR_[#Headers],0)),"-")</f>
        <v>WAIT</v>
      </c>
      <c r="U266" s="1" t="str">
        <f>IFERROR(INDEX(_reward_link_[],MATCH(ВСЕ_КОДЫ[[#This Row],[CONTEST_CODE]],_reward_link_[CONTEST_CODE],0),MATCH($U$1,_reward_link_[#Headers],0)),"-")</f>
        <v>TB</v>
      </c>
      <c r="V266" s="1" t="str">
        <f>IFERROR(INDEX(_report[],MATCH(ВСЕ_КОДЫ[[#This Row],[CONTEST_CODE]],_report[CONTEST_CODE],0),MATCH($V$1,_report[#Headers],0)),"-")</f>
        <v>-</v>
      </c>
      <c r="W266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6" s="1" t="str">
        <f>IFERROR(INDEX(_group_[],MATCH(CONCATENATE(ВСЕ_КОДЫ[[#This Row],[CONTEST_CODE]],"_",X$2),#REF!,0),MATCH(X$1,_group_[#Headers],0)),"-")</f>
        <v>-</v>
      </c>
      <c r="Y266" s="1" t="str">
        <f>IFERROR(INDEX(_group_[],MATCH(CONCATENATE(ВСЕ_КОДЫ[[#This Row],[CONTEST_CODE]],"_",Y$2),#REF!,0),MATCH(Y$1,_group_[#Headers],0)),"-")</f>
        <v>-</v>
      </c>
      <c r="Z266" s="1" t="str">
        <f>IFERROR(INDEX(_group_[],MATCH(CONCATENATE(ВСЕ_КОДЫ[[#This Row],[CONTEST_CODE]],"_",Z$2),#REF!,0),MATCH(Z$1,_group_[#Headers],0)),"-")</f>
        <v>-</v>
      </c>
      <c r="AA266" s="1" t="str">
        <f>IFERROR(INDEX(_group_[],MATCH(CONCATENATE(ВСЕ_КОДЫ[[#This Row],[CONTEST_CODE]],"_",AA$2),#REF!,0),MATCH(AA$1,_group_[#Headers],0)),"-")</f>
        <v>-</v>
      </c>
      <c r="AB266" s="1" t="str">
        <f>IFERROR(INDEX(_DATA_[],MATCH(ВСЕ_КОДЫ[[#This Row],[CONTEST_CODE]],_DATA_[CONTEST_CODE],0),MATCH($AB$2,_DATA_[#Headers],0)),"-")</f>
        <v>["""KMKKSB"""]</v>
      </c>
      <c r="AC266" s="1" t="str">
        <f>CONCATENATE(ВСЕ_КОДЫ[[#This Row],[CONTEST_CODE]],"_",ВСЕ_КОДЫ[[#This Row],[TOURNAMENT_CODE]])</f>
        <v>CONTEST_29_TOURNAMENT_29_08</v>
      </c>
      <c r="AD266" s="1" t="str">
        <f>ВСЕ_КОДЫ[[#This Row],[FULL_NAME]]</f>
        <v>Пассивы. Прирост остатка долгосрочных депозитов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idden="1" x14ac:dyDescent="0.25">
      <c r="A267" s="1" t="s">
        <v>91</v>
      </c>
      <c r="B267" s="1" t="s">
        <v>1280</v>
      </c>
      <c r="C267" s="1" t="s">
        <v>437</v>
      </c>
      <c r="D267" s="1" t="s">
        <v>586</v>
      </c>
      <c r="E267" s="1" t="s">
        <v>92</v>
      </c>
      <c r="F267" s="1" t="s">
        <v>26</v>
      </c>
      <c r="G267" s="1" t="s">
        <v>27</v>
      </c>
      <c r="H267" s="1" t="s">
        <v>28</v>
      </c>
      <c r="I267" s="1" t="s">
        <v>50</v>
      </c>
      <c r="J267" s="1" t="s">
        <v>1225</v>
      </c>
      <c r="K267" s="1" t="s">
        <v>1070</v>
      </c>
      <c r="L267" s="1" t="s">
        <v>1715</v>
      </c>
      <c r="M267" s="1" t="s">
        <v>176</v>
      </c>
      <c r="N267" s="1" t="s">
        <v>305</v>
      </c>
      <c r="O267" s="1" t="s">
        <v>438</v>
      </c>
      <c r="P267" s="1"/>
      <c r="Q267" s="1">
        <f>IFERROR(COUNTIFS(_report[TOURNAMENT_CODE],ВСЕ_КОДЫ[[#This Row],[TOURNAMENT_CODE]],_report[CONTEST_CODE],ВСЕ_КОДЫ[[#This Row],[CONTEST_CODE]]),"-")</f>
        <v>0</v>
      </c>
      <c r="R267" s="1" t="str">
        <f>IFERROR(INDEX(_SCHEDULE_[],MATCH(ВСЕ_КОДЫ[[#This Row],[CONTEST_CODE]],_SCHEDULE_[CONTEST_CODE],0),MATCH($R$1,_SCHEDULE_[#Headers],0)),"-")</f>
        <v>ЗАВЕРШЕН</v>
      </c>
      <c r="S267" s="1" t="str">
        <f>IFERROR(INDEX(_group_[],MATCH(ВСЕ_КОДЫ[[#This Row],[CONTEST_CODE]],_group_[CONTEST_CODE],0),MATCH($S$1,_group_[#Headers],0)),"-")</f>
        <v>BANK</v>
      </c>
      <c r="T267" s="1" t="str">
        <f>IFERROR(INDEX(_INDICATOR_[],MATCH(ВСЕ_КОДЫ[[#This Row],[CONTEST_CODE]],_INDICATOR_[CONTEST_CODE],0),MATCH($T$1,_INDICATOR_[#Headers],0)),"-")</f>
        <v>WAIT</v>
      </c>
      <c r="U267" s="1" t="str">
        <f>IFERROR(INDEX(_reward_link_[],MATCH(ВСЕ_КОДЫ[[#This Row],[CONTEST_CODE]],_reward_link_[CONTEST_CODE],0),MATCH($U$1,_reward_link_[#Headers],0)),"-")</f>
        <v>TB</v>
      </c>
      <c r="V267" s="1" t="str">
        <f>IFERROR(INDEX(_report[],MATCH(ВСЕ_КОДЫ[[#This Row],[CONTEST_CODE]],_report[CONTEST_CODE],0),MATCH($V$1,_report[#Headers],0)),"-")</f>
        <v>-</v>
      </c>
      <c r="W267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7" s="1" t="str">
        <f>IFERROR(INDEX(_group_[],MATCH(CONCATENATE(ВСЕ_КОДЫ[[#This Row],[CONTEST_CODE]],"_",X$2),#REF!,0),MATCH(X$1,_group_[#Headers],0)),"-")</f>
        <v>-</v>
      </c>
      <c r="Y267" s="1" t="str">
        <f>IFERROR(INDEX(_group_[],MATCH(CONCATENATE(ВСЕ_КОДЫ[[#This Row],[CONTEST_CODE]],"_",Y$2),#REF!,0),MATCH(Y$1,_group_[#Headers],0)),"-")</f>
        <v>-</v>
      </c>
      <c r="Z267" s="1" t="str">
        <f>IFERROR(INDEX(_group_[],MATCH(CONCATENATE(ВСЕ_КОДЫ[[#This Row],[CONTEST_CODE]],"_",Z$2),#REF!,0),MATCH(Z$1,_group_[#Headers],0)),"-")</f>
        <v>-</v>
      </c>
      <c r="AA267" s="1" t="str">
        <f>IFERROR(INDEX(_group_[],MATCH(CONCATENATE(ВСЕ_КОДЫ[[#This Row],[CONTEST_CODE]],"_",AA$2),#REF!,0),MATCH(AA$1,_group_[#Headers],0)),"-")</f>
        <v>-</v>
      </c>
      <c r="AB267" s="1" t="str">
        <f>IFERROR(INDEX(_DATA_[],MATCH(ВСЕ_КОДЫ[[#This Row],[CONTEST_CODE]],_DATA_[CONTEST_CODE],0),MATCH($AB$2,_DATA_[#Headers],0)),"-")</f>
        <v>["""KMKKSB"""]</v>
      </c>
      <c r="AC267" s="1" t="str">
        <f>CONCATENATE(ВСЕ_КОДЫ[[#This Row],[CONTEST_CODE]],"_",ВСЕ_КОДЫ[[#This Row],[TOURNAMENT_CODE]])</f>
        <v>CONTEST_29_TOURNAMENT_29_09</v>
      </c>
      <c r="AD267" s="1" t="str">
        <f>ВСЕ_КОДЫ[[#This Row],[FULL_NAME]]</f>
        <v>Пассивы. Прирост остатка долгосрочных депозитов</v>
      </c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idden="1" x14ac:dyDescent="0.25">
      <c r="A268" s="1" t="s">
        <v>91</v>
      </c>
      <c r="B268" s="1" t="s">
        <v>1645</v>
      </c>
      <c r="C268" s="1" t="s">
        <v>437</v>
      </c>
      <c r="D268" s="1" t="s">
        <v>586</v>
      </c>
      <c r="E268" s="1" t="s">
        <v>92</v>
      </c>
      <c r="F268" s="1" t="s">
        <v>26</v>
      </c>
      <c r="G268" s="1" t="s">
        <v>27</v>
      </c>
      <c r="H268" s="1" t="s">
        <v>28</v>
      </c>
      <c r="I268" s="1" t="s">
        <v>50</v>
      </c>
      <c r="J268" s="1" t="s">
        <v>1308</v>
      </c>
      <c r="K268" s="1" t="s">
        <v>1638</v>
      </c>
      <c r="L268" s="1" t="s">
        <v>1846</v>
      </c>
      <c r="M268" s="1" t="s">
        <v>176</v>
      </c>
      <c r="N268" s="1" t="s">
        <v>305</v>
      </c>
      <c r="O268" s="1" t="s">
        <v>438</v>
      </c>
      <c r="P268" s="1"/>
      <c r="Q268" s="1">
        <f>IFERROR(COUNTIFS(_report[TOURNAMENT_CODE],ВСЕ_КОДЫ[[#This Row],[TOURNAMENT_CODE]],_report[CONTEST_CODE],ВСЕ_КОДЫ[[#This Row],[CONTEST_CODE]]),"-")</f>
        <v>0</v>
      </c>
      <c r="R268" s="1" t="str">
        <f>IFERROR(INDEX(_SCHEDULE_[],MATCH(ВСЕ_КОДЫ[[#This Row],[CONTEST_CODE]],_SCHEDULE_[CONTEST_CODE],0),MATCH($R$1,_SCHEDULE_[#Headers],0)),"-")</f>
        <v>ЗАВЕРШЕН</v>
      </c>
      <c r="S268" s="1" t="str">
        <f>IFERROR(INDEX(_group_[],MATCH(ВСЕ_КОДЫ[[#This Row],[CONTEST_CODE]],_group_[CONTEST_CODE],0),MATCH($S$1,_group_[#Headers],0)),"-")</f>
        <v>BANK</v>
      </c>
      <c r="T268" s="1" t="str">
        <f>IFERROR(INDEX(_INDICATOR_[],MATCH(ВСЕ_КОДЫ[[#This Row],[CONTEST_CODE]],_INDICATOR_[CONTEST_CODE],0),MATCH($T$1,_INDICATOR_[#Headers],0)),"-")</f>
        <v>WAIT</v>
      </c>
      <c r="U268" s="1" t="str">
        <f>IFERROR(INDEX(_reward_link_[],MATCH(ВСЕ_КОДЫ[[#This Row],[CONTEST_CODE]],_reward_link_[CONTEST_CODE],0),MATCH($U$1,_reward_link_[#Headers],0)),"-")</f>
        <v>TB</v>
      </c>
      <c r="V268" s="1" t="str">
        <f>IFERROR(INDEX(_report[],MATCH(ВСЕ_КОДЫ[[#This Row],[CONTEST_CODE]],_report[CONTEST_CODE],0),MATCH($V$1,_report[#Headers],0)),"-")</f>
        <v>-</v>
      </c>
      <c r="W268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8" s="1" t="str">
        <f>IFERROR(INDEX(_group_[],MATCH(CONCATENATE(ВСЕ_КОДЫ[[#This Row],[CONTEST_CODE]],"_",X$2),#REF!,0),MATCH(X$1,_group_[#Headers],0)),"-")</f>
        <v>-</v>
      </c>
      <c r="Y268" s="1" t="str">
        <f>IFERROR(INDEX(_group_[],MATCH(CONCATENATE(ВСЕ_КОДЫ[[#This Row],[CONTEST_CODE]],"_",Y$2),#REF!,0),MATCH(Y$1,_group_[#Headers],0)),"-")</f>
        <v>-</v>
      </c>
      <c r="Z268" s="1" t="str">
        <f>IFERROR(INDEX(_group_[],MATCH(CONCATENATE(ВСЕ_КОДЫ[[#This Row],[CONTEST_CODE]],"_",Z$2),#REF!,0),MATCH(Z$1,_group_[#Headers],0)),"-")</f>
        <v>-</v>
      </c>
      <c r="AA268" s="1" t="str">
        <f>IFERROR(INDEX(_group_[],MATCH(CONCATENATE(ВСЕ_КОДЫ[[#This Row],[CONTEST_CODE]],"_",AA$2),#REF!,0),MATCH(AA$1,_group_[#Headers],0)),"-")</f>
        <v>-</v>
      </c>
      <c r="AB268" s="1" t="str">
        <f>IFERROR(INDEX(_DATA_[],MATCH(ВСЕ_КОДЫ[[#This Row],[CONTEST_CODE]],_DATA_[CONTEST_CODE],0),MATCH($AB$2,_DATA_[#Headers],0)),"-")</f>
        <v>["""KMKKSB"""]</v>
      </c>
      <c r="AC268" s="1" t="str">
        <f>CONCATENATE(ВСЕ_КОДЫ[[#This Row],[CONTEST_CODE]],"_",ВСЕ_КОДЫ[[#This Row],[TOURNAMENT_CODE]])</f>
        <v>CONTEST_29_TOURNAMENT_29_2024_M10</v>
      </c>
      <c r="AD268" s="1" t="str">
        <f>ВСЕ_КОДЫ[[#This Row],[FULL_NAME]]</f>
        <v>Пассивы. Прирост остатка долгосрочных депозитов</v>
      </c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idden="1" x14ac:dyDescent="0.25">
      <c r="A269" s="1" t="s">
        <v>91</v>
      </c>
      <c r="B269" s="1" t="s">
        <v>1808</v>
      </c>
      <c r="C269" s="1" t="s">
        <v>437</v>
      </c>
      <c r="D269" s="1" t="s">
        <v>586</v>
      </c>
      <c r="E269" s="1" t="s">
        <v>92</v>
      </c>
      <c r="F269" s="1" t="s">
        <v>26</v>
      </c>
      <c r="G269" s="1" t="s">
        <v>27</v>
      </c>
      <c r="H269" s="1" t="s">
        <v>28</v>
      </c>
      <c r="I269" s="1" t="s">
        <v>50</v>
      </c>
      <c r="J269" s="1" t="s">
        <v>1800</v>
      </c>
      <c r="K269" s="1" t="s">
        <v>1801</v>
      </c>
      <c r="L269" s="1" t="s">
        <v>1802</v>
      </c>
      <c r="M269" s="1" t="s">
        <v>155</v>
      </c>
      <c r="N269" s="1" t="s">
        <v>305</v>
      </c>
      <c r="O269" s="1" t="s">
        <v>438</v>
      </c>
      <c r="P269" s="1"/>
      <c r="Q269" s="1">
        <f>IFERROR(COUNTIFS(_report[TOURNAMENT_CODE],ВСЕ_КОДЫ[[#This Row],[TOURNAMENT_CODE]],_report[CONTEST_CODE],ВСЕ_КОДЫ[[#This Row],[CONTEST_CODE]]),"-")</f>
        <v>0</v>
      </c>
      <c r="R269" s="1" t="str">
        <f>IFERROR(INDEX(_SCHEDULE_[],MATCH(ВСЕ_КОДЫ[[#This Row],[CONTEST_CODE]],_SCHEDULE_[CONTEST_CODE],0),MATCH($R$1,_SCHEDULE_[#Headers],0)),"-")</f>
        <v>ЗАВЕРШЕН</v>
      </c>
      <c r="S269" s="1" t="str">
        <f>IFERROR(INDEX(_group_[],MATCH(ВСЕ_КОДЫ[[#This Row],[CONTEST_CODE]],_group_[CONTEST_CODE],0),MATCH($S$1,_group_[#Headers],0)),"-")</f>
        <v>BANK</v>
      </c>
      <c r="T269" s="1" t="str">
        <f>IFERROR(INDEX(_INDICATOR_[],MATCH(ВСЕ_КОДЫ[[#This Row],[CONTEST_CODE]],_INDICATOR_[CONTEST_CODE],0),MATCH($T$1,_INDICATOR_[#Headers],0)),"-")</f>
        <v>WAIT</v>
      </c>
      <c r="U269" s="1" t="str">
        <f>IFERROR(INDEX(_reward_link_[],MATCH(ВСЕ_КОДЫ[[#This Row],[CONTEST_CODE]],_reward_link_[CONTEST_CODE],0),MATCH($U$1,_reward_link_[#Headers],0)),"-")</f>
        <v>TB</v>
      </c>
      <c r="V269" s="1" t="str">
        <f>IFERROR(INDEX(_report[],MATCH(ВСЕ_КОДЫ[[#This Row],[CONTEST_CODE]],_report[CONTEST_CODE],0),MATCH($V$1,_report[#Headers],0)),"-")</f>
        <v>-</v>
      </c>
      <c r="W269" s="1" t="str">
        <f>IFERROR(INDEX(_reward_[],MATCH(ВСЕ_КОДЫ[[#This Row],[REWARD_CODE]],_reward_[REWARD_CODE],0),MATCH($W$1,_reward_[#Headers],0)),"-")</f>
        <v>Победитель ТБ по приросту остатка долгосрочных депозитов</v>
      </c>
      <c r="X269" s="1" t="str">
        <f>IFERROR(INDEX(_group_[],MATCH(CONCATENATE(ВСЕ_КОДЫ[[#This Row],[CONTEST_CODE]],"_",X$2),#REF!,0),MATCH(X$1,_group_[#Headers],0)),"-")</f>
        <v>-</v>
      </c>
      <c r="Y269" s="1" t="str">
        <f>IFERROR(INDEX(_group_[],MATCH(CONCATENATE(ВСЕ_КОДЫ[[#This Row],[CONTEST_CODE]],"_",Y$2),#REF!,0),MATCH(Y$1,_group_[#Headers],0)),"-")</f>
        <v>-</v>
      </c>
      <c r="Z269" s="1" t="str">
        <f>IFERROR(INDEX(_group_[],MATCH(CONCATENATE(ВСЕ_КОДЫ[[#This Row],[CONTEST_CODE]],"_",Z$2),#REF!,0),MATCH(Z$1,_group_[#Headers],0)),"-")</f>
        <v>-</v>
      </c>
      <c r="AA269" s="1" t="str">
        <f>IFERROR(INDEX(_group_[],MATCH(CONCATENATE(ВСЕ_КОДЫ[[#This Row],[CONTEST_CODE]],"_",AA$2),#REF!,0),MATCH(AA$1,_group_[#Headers],0)),"-")</f>
        <v>-</v>
      </c>
      <c r="AB269" s="1" t="str">
        <f>IFERROR(INDEX(_DATA_[],MATCH(ВСЕ_КОДЫ[[#This Row],[CONTEST_CODE]],_DATA_[CONTEST_CODE],0),MATCH($AB$2,_DATA_[#Headers],0)),"-")</f>
        <v>["""KMKKSB"""]</v>
      </c>
      <c r="AC269" s="1" t="str">
        <f>CONCATENATE(ВСЕ_КОДЫ[[#This Row],[CONTEST_CODE]],"_",ВСЕ_КОДЫ[[#This Row],[TOURNAMENT_CODE]])</f>
        <v>CONTEST_29_TOURNAMENT_29_2024_M11</v>
      </c>
      <c r="AD269" s="1" t="str">
        <f>ВСЕ_КОДЫ[[#This Row],[FULL_NAME]]</f>
        <v>Пассивы. Прирост остатка долгосрочных депозитов</v>
      </c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idden="1" x14ac:dyDescent="0.25">
      <c r="A270" s="1" t="s">
        <v>8</v>
      </c>
      <c r="B270" s="1" t="s">
        <v>9</v>
      </c>
      <c r="C270" s="1" t="s">
        <v>451</v>
      </c>
      <c r="D270" s="1" t="s">
        <v>583</v>
      </c>
      <c r="E270" s="1" t="s">
        <v>95</v>
      </c>
      <c r="F270" s="1" t="s">
        <v>26</v>
      </c>
      <c r="G270" s="1" t="s">
        <v>27</v>
      </c>
      <c r="H270" s="1" t="s">
        <v>28</v>
      </c>
      <c r="I270" s="1" t="s">
        <v>50</v>
      </c>
      <c r="J270" s="1" t="s">
        <v>187</v>
      </c>
      <c r="K270" s="1" t="s">
        <v>188</v>
      </c>
      <c r="L270" s="1" t="s">
        <v>1088</v>
      </c>
      <c r="M270" s="1" t="s">
        <v>176</v>
      </c>
      <c r="N270" s="1" t="s">
        <v>305</v>
      </c>
      <c r="O270" s="1" t="s">
        <v>452</v>
      </c>
      <c r="P270" s="1"/>
      <c r="Q270" s="1">
        <f>IFERROR(COUNTIFS(_report[TOURNAMENT_CODE],ВСЕ_КОДЫ[[#This Row],[TOURNAMENT_CODE]],_report[CONTEST_CODE],ВСЕ_КОДЫ[[#This Row],[CONTEST_CODE]]),"-")</f>
        <v>0</v>
      </c>
      <c r="R270" s="1" t="str">
        <f>IFERROR(INDEX(_SCHEDULE_[],MATCH(ВСЕ_КОДЫ[[#This Row],[CONTEST_CODE]],_SCHEDULE_[CONTEST_CODE],0),MATCH($R$1,_SCHEDULE_[#Headers],0)),"-")</f>
        <v>ЗАВЕРШЕН</v>
      </c>
      <c r="S270" s="1" t="str">
        <f>IFERROR(INDEX(_group_[],MATCH(ВСЕ_КОДЫ[[#This Row],[CONTEST_CODE]],_group_[CONTEST_CODE],0),MATCH($S$1,_group_[#Headers],0)),"-")</f>
        <v>BANK</v>
      </c>
      <c r="T270" s="1" t="str">
        <f>IFERROR(INDEX(_INDICATOR_[],MATCH(ВСЕ_КОДЫ[[#This Row],[CONTEST_CODE]],_INDICATOR_[CONTEST_CODE],0),MATCH($T$1,_INDICATOR_[#Headers],0)),"-")</f>
        <v>WAIT</v>
      </c>
      <c r="U270" s="1" t="str">
        <f>IFERROR(INDEX(_reward_link_[],MATCH(ВСЕ_КОДЫ[[#This Row],[CONTEST_CODE]],_reward_link_[CONTEST_CODE],0),MATCH($U$1,_reward_link_[#Headers],0)),"-")</f>
        <v>TB</v>
      </c>
      <c r="V270" s="1" t="str">
        <f>IFERROR(INDEX(_report[],MATCH(ВСЕ_КОДЫ[[#This Row],[CONTEST_CODE]],_report[CONTEST_CODE],0),MATCH($V$1,_report[#Headers],0)),"-")</f>
        <v>-</v>
      </c>
      <c r="W270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0" s="1" t="str">
        <f>IFERROR(INDEX(_group_[],MATCH(CONCATENATE(ВСЕ_КОДЫ[[#This Row],[CONTEST_CODE]],"_",X$2),#REF!,0),MATCH(X$1,_group_[#Headers],0)),"-")</f>
        <v>-</v>
      </c>
      <c r="Y270" s="1" t="str">
        <f>IFERROR(INDEX(_group_[],MATCH(CONCATENATE(ВСЕ_КОДЫ[[#This Row],[CONTEST_CODE]],"_",Y$2),#REF!,0),MATCH(Y$1,_group_[#Headers],0)),"-")</f>
        <v>-</v>
      </c>
      <c r="Z270" s="1" t="str">
        <f>IFERROR(INDEX(_group_[],MATCH(CONCATENATE(ВСЕ_КОДЫ[[#This Row],[CONTEST_CODE]],"_",Z$2),#REF!,0),MATCH(Z$1,_group_[#Headers],0)),"-")</f>
        <v>-</v>
      </c>
      <c r="AA270" s="1" t="str">
        <f>IFERROR(INDEX(_group_[],MATCH(CONCATENATE(ВСЕ_КОДЫ[[#This Row],[CONTEST_CODE]],"_",AA$2),#REF!,0),MATCH(AA$1,_group_[#Headers],0)),"-")</f>
        <v>-</v>
      </c>
      <c r="AB270" s="1" t="str">
        <f>IFERROR(INDEX(_DATA_[],MATCH(ВСЕ_КОДЫ[[#This Row],[CONTEST_CODE]],_DATA_[CONTEST_CODE],0),MATCH($AB$2,_DATA_[#Headers],0)),"-")</f>
        <v>["""KMKKSB"""]</v>
      </c>
      <c r="AC270" s="1" t="str">
        <f>CONCATENATE(ВСЕ_КОДЫ[[#This Row],[CONTEST_CODE]],"_",ВСЕ_КОДЫ[[#This Row],[TOURNAMENT_CODE]])</f>
        <v>CONTEST_30_TOURNAMENT_30_03</v>
      </c>
      <c r="AD270" s="1" t="str">
        <f>ВСЕ_КОДЫ[[#This Row],[FULL_NAME]]</f>
        <v>Пассивы. Максимизируй прирост остатка</v>
      </c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idden="1" x14ac:dyDescent="0.25">
      <c r="A271" s="1" t="s">
        <v>8</v>
      </c>
      <c r="B271" s="1" t="s">
        <v>10</v>
      </c>
      <c r="C271" s="1" t="s">
        <v>451</v>
      </c>
      <c r="D271" s="1" t="s">
        <v>583</v>
      </c>
      <c r="E271" s="1" t="s">
        <v>95</v>
      </c>
      <c r="F271" s="1" t="s">
        <v>26</v>
      </c>
      <c r="G271" s="1" t="s">
        <v>27</v>
      </c>
      <c r="H271" s="1" t="s">
        <v>28</v>
      </c>
      <c r="I271" s="1" t="s">
        <v>50</v>
      </c>
      <c r="J271" s="1" t="s">
        <v>192</v>
      </c>
      <c r="K271" s="1" t="s">
        <v>193</v>
      </c>
      <c r="L271" s="1" t="s">
        <v>1088</v>
      </c>
      <c r="M271" s="1" t="s">
        <v>176</v>
      </c>
      <c r="N271" s="1" t="s">
        <v>305</v>
      </c>
      <c r="O271" s="1" t="s">
        <v>452</v>
      </c>
      <c r="P271" s="1"/>
      <c r="Q271" s="1">
        <f>IFERROR(COUNTIFS(_report[TOURNAMENT_CODE],ВСЕ_КОДЫ[[#This Row],[TOURNAMENT_CODE]],_report[CONTEST_CODE],ВСЕ_КОДЫ[[#This Row],[CONTEST_CODE]]),"-")</f>
        <v>0</v>
      </c>
      <c r="R271" s="1" t="str">
        <f>IFERROR(INDEX(_SCHEDULE_[],MATCH(ВСЕ_КОДЫ[[#This Row],[CONTEST_CODE]],_SCHEDULE_[CONTEST_CODE],0),MATCH($R$1,_SCHEDULE_[#Headers],0)),"-")</f>
        <v>ЗАВЕРШЕН</v>
      </c>
      <c r="S271" s="1" t="str">
        <f>IFERROR(INDEX(_group_[],MATCH(ВСЕ_КОДЫ[[#This Row],[CONTEST_CODE]],_group_[CONTEST_CODE],0),MATCH($S$1,_group_[#Headers],0)),"-")</f>
        <v>BANK</v>
      </c>
      <c r="T271" s="1" t="str">
        <f>IFERROR(INDEX(_INDICATOR_[],MATCH(ВСЕ_КОДЫ[[#This Row],[CONTEST_CODE]],_INDICATOR_[CONTEST_CODE],0),MATCH($T$1,_INDICATOR_[#Headers],0)),"-")</f>
        <v>WAIT</v>
      </c>
      <c r="U271" s="1" t="str">
        <f>IFERROR(INDEX(_reward_link_[],MATCH(ВСЕ_КОДЫ[[#This Row],[CONTEST_CODE]],_reward_link_[CONTEST_CODE],0),MATCH($U$1,_reward_link_[#Headers],0)),"-")</f>
        <v>TB</v>
      </c>
      <c r="V271" s="1" t="str">
        <f>IFERROR(INDEX(_report[],MATCH(ВСЕ_КОДЫ[[#This Row],[CONTEST_CODE]],_report[CONTEST_CODE],0),MATCH($V$1,_report[#Headers],0)),"-")</f>
        <v>-</v>
      </c>
      <c r="W271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1" s="1" t="str">
        <f>IFERROR(INDEX(_group_[],MATCH(CONCATENATE(ВСЕ_КОДЫ[[#This Row],[CONTEST_CODE]],"_",X$2),#REF!,0),MATCH(X$1,_group_[#Headers],0)),"-")</f>
        <v>-</v>
      </c>
      <c r="Y271" s="1" t="str">
        <f>IFERROR(INDEX(_group_[],MATCH(CONCATENATE(ВСЕ_КОДЫ[[#This Row],[CONTEST_CODE]],"_",Y$2),#REF!,0),MATCH(Y$1,_group_[#Headers],0)),"-")</f>
        <v>-</v>
      </c>
      <c r="Z271" s="1" t="str">
        <f>IFERROR(INDEX(_group_[],MATCH(CONCATENATE(ВСЕ_КОДЫ[[#This Row],[CONTEST_CODE]],"_",Z$2),#REF!,0),MATCH(Z$1,_group_[#Headers],0)),"-")</f>
        <v>-</v>
      </c>
      <c r="AA271" s="1" t="str">
        <f>IFERROR(INDEX(_group_[],MATCH(CONCATENATE(ВСЕ_КОДЫ[[#This Row],[CONTEST_CODE]],"_",AA$2),#REF!,0),MATCH(AA$1,_group_[#Headers],0)),"-")</f>
        <v>-</v>
      </c>
      <c r="AB271" s="1" t="str">
        <f>IFERROR(INDEX(_DATA_[],MATCH(ВСЕ_КОДЫ[[#This Row],[CONTEST_CODE]],_DATA_[CONTEST_CODE],0),MATCH($AB$2,_DATA_[#Headers],0)),"-")</f>
        <v>["""KMKKSB"""]</v>
      </c>
      <c r="AC271" s="1" t="str">
        <f>CONCATENATE(ВСЕ_КОДЫ[[#This Row],[CONTEST_CODE]],"_",ВСЕ_КОДЫ[[#This Row],[TOURNAMENT_CODE]])</f>
        <v>CONTEST_30_TOURNAMENT_30_04</v>
      </c>
      <c r="AD271" s="1" t="str">
        <f>ВСЕ_КОДЫ[[#This Row],[FULL_NAME]]</f>
        <v>Пассивы. Максимизируй прирост остатка</v>
      </c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idden="1" x14ac:dyDescent="0.25">
      <c r="A272" s="1" t="s">
        <v>8</v>
      </c>
      <c r="B272" s="1" t="s">
        <v>636</v>
      </c>
      <c r="C272" s="1" t="s">
        <v>451</v>
      </c>
      <c r="D272" s="1" t="s">
        <v>583</v>
      </c>
      <c r="E272" s="1" t="s">
        <v>95</v>
      </c>
      <c r="F272" s="1" t="s">
        <v>26</v>
      </c>
      <c r="G272" s="1" t="s">
        <v>27</v>
      </c>
      <c r="H272" s="1" t="s">
        <v>28</v>
      </c>
      <c r="I272" s="1" t="s">
        <v>50</v>
      </c>
      <c r="J272" s="1" t="s">
        <v>245</v>
      </c>
      <c r="K272" s="1" t="s">
        <v>246</v>
      </c>
      <c r="L272" s="1" t="s">
        <v>1088</v>
      </c>
      <c r="M272" s="1" t="s">
        <v>176</v>
      </c>
      <c r="N272" s="1" t="s">
        <v>305</v>
      </c>
      <c r="O272" s="1" t="s">
        <v>452</v>
      </c>
      <c r="P272" s="1"/>
      <c r="Q272" s="1">
        <f>IFERROR(COUNTIFS(_report[TOURNAMENT_CODE],ВСЕ_КОДЫ[[#This Row],[TOURNAMENT_CODE]],_report[CONTEST_CODE],ВСЕ_КОДЫ[[#This Row],[CONTEST_CODE]]),"-")</f>
        <v>0</v>
      </c>
      <c r="R272" s="1" t="str">
        <f>IFERROR(INDEX(_SCHEDULE_[],MATCH(ВСЕ_КОДЫ[[#This Row],[CONTEST_CODE]],_SCHEDULE_[CONTEST_CODE],0),MATCH($R$1,_SCHEDULE_[#Headers],0)),"-")</f>
        <v>ЗАВЕРШЕН</v>
      </c>
      <c r="S272" s="1" t="str">
        <f>IFERROR(INDEX(_group_[],MATCH(ВСЕ_КОДЫ[[#This Row],[CONTEST_CODE]],_group_[CONTEST_CODE],0),MATCH($S$1,_group_[#Headers],0)),"-")</f>
        <v>BANK</v>
      </c>
      <c r="T272" s="1" t="str">
        <f>IFERROR(INDEX(_INDICATOR_[],MATCH(ВСЕ_КОДЫ[[#This Row],[CONTEST_CODE]],_INDICATOR_[CONTEST_CODE],0),MATCH($T$1,_INDICATOR_[#Headers],0)),"-")</f>
        <v>WAIT</v>
      </c>
      <c r="U272" s="1" t="str">
        <f>IFERROR(INDEX(_reward_link_[],MATCH(ВСЕ_КОДЫ[[#This Row],[CONTEST_CODE]],_reward_link_[CONTEST_CODE],0),MATCH($U$1,_reward_link_[#Headers],0)),"-")</f>
        <v>TB</v>
      </c>
      <c r="V272" s="1" t="str">
        <f>IFERROR(INDEX(_report[],MATCH(ВСЕ_КОДЫ[[#This Row],[CONTEST_CODE]],_report[CONTEST_CODE],0),MATCH($V$1,_report[#Headers],0)),"-")</f>
        <v>-</v>
      </c>
      <c r="W272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2" s="1" t="str">
        <f>IFERROR(INDEX(_group_[],MATCH(CONCATENATE(ВСЕ_КОДЫ[[#This Row],[CONTEST_CODE]],"_",X$2),#REF!,0),MATCH(X$1,_group_[#Headers],0)),"-")</f>
        <v>-</v>
      </c>
      <c r="Y272" s="1" t="str">
        <f>IFERROR(INDEX(_group_[],MATCH(CONCATENATE(ВСЕ_КОДЫ[[#This Row],[CONTEST_CODE]],"_",Y$2),#REF!,0),MATCH(Y$1,_group_[#Headers],0)),"-")</f>
        <v>-</v>
      </c>
      <c r="Z272" s="1" t="str">
        <f>IFERROR(INDEX(_group_[],MATCH(CONCATENATE(ВСЕ_КОДЫ[[#This Row],[CONTEST_CODE]],"_",Z$2),#REF!,0),MATCH(Z$1,_group_[#Headers],0)),"-")</f>
        <v>-</v>
      </c>
      <c r="AA272" s="1" t="str">
        <f>IFERROR(INDEX(_group_[],MATCH(CONCATENATE(ВСЕ_КОДЫ[[#This Row],[CONTEST_CODE]],"_",AA$2),#REF!,0),MATCH(AA$1,_group_[#Headers],0)),"-")</f>
        <v>-</v>
      </c>
      <c r="AB272" s="1" t="str">
        <f>IFERROR(INDEX(_DATA_[],MATCH(ВСЕ_КОДЫ[[#This Row],[CONTEST_CODE]],_DATA_[CONTEST_CODE],0),MATCH($AB$2,_DATA_[#Headers],0)),"-")</f>
        <v>["""KMKKSB"""]</v>
      </c>
      <c r="AC272" s="1" t="str">
        <f>CONCATENATE(ВСЕ_КОДЫ[[#This Row],[CONTEST_CODE]],"_",ВСЕ_КОДЫ[[#This Row],[TOURNAMENT_CODE]])</f>
        <v>CONTEST_30_TOURNAMENT_30_05</v>
      </c>
      <c r="AD272" s="1" t="str">
        <f>ВСЕ_КОДЫ[[#This Row],[FULL_NAME]]</f>
        <v>Пассивы. Максимизируй прирост остатка</v>
      </c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idden="1" x14ac:dyDescent="0.25">
      <c r="A273" s="1" t="s">
        <v>8</v>
      </c>
      <c r="B273" s="1" t="s">
        <v>698</v>
      </c>
      <c r="C273" s="1" t="s">
        <v>451</v>
      </c>
      <c r="D273" s="1" t="s">
        <v>583</v>
      </c>
      <c r="E273" s="1" t="s">
        <v>95</v>
      </c>
      <c r="F273" s="1" t="s">
        <v>26</v>
      </c>
      <c r="G273" s="1" t="s">
        <v>27</v>
      </c>
      <c r="H273" s="1" t="s">
        <v>28</v>
      </c>
      <c r="I273" s="1" t="s">
        <v>50</v>
      </c>
      <c r="J273" s="1" t="s">
        <v>695</v>
      </c>
      <c r="K273" s="1" t="s">
        <v>252</v>
      </c>
      <c r="L273" s="1" t="s">
        <v>1204</v>
      </c>
      <c r="M273" s="1" t="s">
        <v>176</v>
      </c>
      <c r="N273" s="1" t="s">
        <v>305</v>
      </c>
      <c r="O273" s="1" t="s">
        <v>452</v>
      </c>
      <c r="P273" s="1"/>
      <c r="Q273" s="1">
        <f>IFERROR(COUNTIFS(_report[TOURNAMENT_CODE],ВСЕ_КОДЫ[[#This Row],[TOURNAMENT_CODE]],_report[CONTEST_CODE],ВСЕ_КОДЫ[[#This Row],[CONTEST_CODE]]),"-")</f>
        <v>0</v>
      </c>
      <c r="R273" s="1" t="str">
        <f>IFERROR(INDEX(_SCHEDULE_[],MATCH(ВСЕ_КОДЫ[[#This Row],[CONTEST_CODE]],_SCHEDULE_[CONTEST_CODE],0),MATCH($R$1,_SCHEDULE_[#Headers],0)),"-")</f>
        <v>ЗАВЕРШЕН</v>
      </c>
      <c r="S273" s="1" t="str">
        <f>IFERROR(INDEX(_group_[],MATCH(ВСЕ_КОДЫ[[#This Row],[CONTEST_CODE]],_group_[CONTEST_CODE],0),MATCH($S$1,_group_[#Headers],0)),"-")</f>
        <v>BANK</v>
      </c>
      <c r="T273" s="1" t="str">
        <f>IFERROR(INDEX(_INDICATOR_[],MATCH(ВСЕ_КОДЫ[[#This Row],[CONTEST_CODE]],_INDICATOR_[CONTEST_CODE],0),MATCH($T$1,_INDICATOR_[#Headers],0)),"-")</f>
        <v>WAIT</v>
      </c>
      <c r="U273" s="1" t="str">
        <f>IFERROR(INDEX(_reward_link_[],MATCH(ВСЕ_КОДЫ[[#This Row],[CONTEST_CODE]],_reward_link_[CONTEST_CODE],0),MATCH($U$1,_reward_link_[#Headers],0)),"-")</f>
        <v>TB</v>
      </c>
      <c r="V273" s="1" t="str">
        <f>IFERROR(INDEX(_report[],MATCH(ВСЕ_КОДЫ[[#This Row],[CONTEST_CODE]],_report[CONTEST_CODE],0),MATCH($V$1,_report[#Headers],0)),"-")</f>
        <v>-</v>
      </c>
      <c r="W273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3" s="1" t="str">
        <f>IFERROR(INDEX(_group_[],MATCH(CONCATENATE(ВСЕ_КОДЫ[[#This Row],[CONTEST_CODE]],"_",X$2),#REF!,0),MATCH(X$1,_group_[#Headers],0)),"-")</f>
        <v>-</v>
      </c>
      <c r="Y273" s="1" t="str">
        <f>IFERROR(INDEX(_group_[],MATCH(CONCATENATE(ВСЕ_КОДЫ[[#This Row],[CONTEST_CODE]],"_",Y$2),#REF!,0),MATCH(Y$1,_group_[#Headers],0)),"-")</f>
        <v>-</v>
      </c>
      <c r="Z273" s="1" t="str">
        <f>IFERROR(INDEX(_group_[],MATCH(CONCATENATE(ВСЕ_КОДЫ[[#This Row],[CONTEST_CODE]],"_",Z$2),#REF!,0),MATCH(Z$1,_group_[#Headers],0)),"-")</f>
        <v>-</v>
      </c>
      <c r="AA273" s="1" t="str">
        <f>IFERROR(INDEX(_group_[],MATCH(CONCATENATE(ВСЕ_КОДЫ[[#This Row],[CONTEST_CODE]],"_",AA$2),#REF!,0),MATCH(AA$1,_group_[#Headers],0)),"-")</f>
        <v>-</v>
      </c>
      <c r="AB273" s="1" t="str">
        <f>IFERROR(INDEX(_DATA_[],MATCH(ВСЕ_КОДЫ[[#This Row],[CONTEST_CODE]],_DATA_[CONTEST_CODE],0),MATCH($AB$2,_DATA_[#Headers],0)),"-")</f>
        <v>["""KMKKSB"""]</v>
      </c>
      <c r="AC273" s="1" t="str">
        <f>CONCATENATE(ВСЕ_КОДЫ[[#This Row],[CONTEST_CODE]],"_",ВСЕ_КОДЫ[[#This Row],[TOURNAMENT_CODE]])</f>
        <v>CONTEST_30_TOURNAMENT_30_06</v>
      </c>
      <c r="AD273" s="1" t="str">
        <f>ВСЕ_КОДЫ[[#This Row],[FULL_NAME]]</f>
        <v>Пассивы. Максимизируй прирост остатка</v>
      </c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idden="1" x14ac:dyDescent="0.25">
      <c r="A274" s="1" t="s">
        <v>8</v>
      </c>
      <c r="B274" s="1" t="s">
        <v>1045</v>
      </c>
      <c r="C274" s="1" t="s">
        <v>451</v>
      </c>
      <c r="D274" s="1" t="s">
        <v>583</v>
      </c>
      <c r="E274" s="1" t="s">
        <v>95</v>
      </c>
      <c r="F274" s="1" t="s">
        <v>26</v>
      </c>
      <c r="G274" s="1" t="s">
        <v>27</v>
      </c>
      <c r="H274" s="1" t="s">
        <v>28</v>
      </c>
      <c r="I274" s="1" t="s">
        <v>50</v>
      </c>
      <c r="J274" s="1" t="s">
        <v>703</v>
      </c>
      <c r="K274" s="1" t="s">
        <v>704</v>
      </c>
      <c r="L274" s="1" t="s">
        <v>1275</v>
      </c>
      <c r="M274" s="1" t="s">
        <v>176</v>
      </c>
      <c r="N274" s="1" t="s">
        <v>305</v>
      </c>
      <c r="O274" s="1" t="s">
        <v>452</v>
      </c>
      <c r="P274" s="1"/>
      <c r="Q274" s="1">
        <f>IFERROR(COUNTIFS(_report[TOURNAMENT_CODE],ВСЕ_КОДЫ[[#This Row],[TOURNAMENT_CODE]],_report[CONTEST_CODE],ВСЕ_КОДЫ[[#This Row],[CONTEST_CODE]]),"-")</f>
        <v>0</v>
      </c>
      <c r="R274" s="1" t="str">
        <f>IFERROR(INDEX(_SCHEDULE_[],MATCH(ВСЕ_КОДЫ[[#This Row],[CONTEST_CODE]],_SCHEDULE_[CONTEST_CODE],0),MATCH($R$1,_SCHEDULE_[#Headers],0)),"-")</f>
        <v>ЗАВЕРШЕН</v>
      </c>
      <c r="S274" s="1" t="str">
        <f>IFERROR(INDEX(_group_[],MATCH(ВСЕ_КОДЫ[[#This Row],[CONTEST_CODE]],_group_[CONTEST_CODE],0),MATCH($S$1,_group_[#Headers],0)),"-")</f>
        <v>BANK</v>
      </c>
      <c r="T274" s="1" t="str">
        <f>IFERROR(INDEX(_INDICATOR_[],MATCH(ВСЕ_КОДЫ[[#This Row],[CONTEST_CODE]],_INDICATOR_[CONTEST_CODE],0),MATCH($T$1,_INDICATOR_[#Headers],0)),"-")</f>
        <v>WAIT</v>
      </c>
      <c r="U274" s="1" t="str">
        <f>IFERROR(INDEX(_reward_link_[],MATCH(ВСЕ_КОДЫ[[#This Row],[CONTEST_CODE]],_reward_link_[CONTEST_CODE],0),MATCH($U$1,_reward_link_[#Headers],0)),"-")</f>
        <v>TB</v>
      </c>
      <c r="V274" s="1" t="str">
        <f>IFERROR(INDEX(_report[],MATCH(ВСЕ_КОДЫ[[#This Row],[CONTEST_CODE]],_report[CONTEST_CODE],0),MATCH($V$1,_report[#Headers],0)),"-")</f>
        <v>-</v>
      </c>
      <c r="W274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4" s="1" t="str">
        <f>IFERROR(INDEX(_group_[],MATCH(CONCATENATE(ВСЕ_КОДЫ[[#This Row],[CONTEST_CODE]],"_",X$2),#REF!,0),MATCH(X$1,_group_[#Headers],0)),"-")</f>
        <v>-</v>
      </c>
      <c r="Y274" s="1" t="str">
        <f>IFERROR(INDEX(_group_[],MATCH(CONCATENATE(ВСЕ_КОДЫ[[#This Row],[CONTEST_CODE]],"_",Y$2),#REF!,0),MATCH(Y$1,_group_[#Headers],0)),"-")</f>
        <v>-</v>
      </c>
      <c r="Z274" s="1" t="str">
        <f>IFERROR(INDEX(_group_[],MATCH(CONCATENATE(ВСЕ_КОДЫ[[#This Row],[CONTEST_CODE]],"_",Z$2),#REF!,0),MATCH(Z$1,_group_[#Headers],0)),"-")</f>
        <v>-</v>
      </c>
      <c r="AA274" s="1" t="str">
        <f>IFERROR(INDEX(_group_[],MATCH(CONCATENATE(ВСЕ_КОДЫ[[#This Row],[CONTEST_CODE]],"_",AA$2),#REF!,0),MATCH(AA$1,_group_[#Headers],0)),"-")</f>
        <v>-</v>
      </c>
      <c r="AB274" s="1" t="str">
        <f>IFERROR(INDEX(_DATA_[],MATCH(ВСЕ_КОДЫ[[#This Row],[CONTEST_CODE]],_DATA_[CONTEST_CODE],0),MATCH($AB$2,_DATA_[#Headers],0)),"-")</f>
        <v>["""KMKKSB"""]</v>
      </c>
      <c r="AC274" s="1" t="str">
        <f>CONCATENATE(ВСЕ_КОДЫ[[#This Row],[CONTEST_CODE]],"_",ВСЕ_КОДЫ[[#This Row],[TOURNAMENT_CODE]])</f>
        <v>CONTEST_30_TOURNAMENT_30_07</v>
      </c>
      <c r="AD274" s="1" t="str">
        <f>ВСЕ_КОДЫ[[#This Row],[FULL_NAME]]</f>
        <v>Пассивы. Максимизируй прирост остатка</v>
      </c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idden="1" x14ac:dyDescent="0.25">
      <c r="A275" s="1" t="s">
        <v>8</v>
      </c>
      <c r="B275" s="1" t="s">
        <v>1208</v>
      </c>
      <c r="C275" s="1" t="s">
        <v>451</v>
      </c>
      <c r="D275" s="1" t="s">
        <v>583</v>
      </c>
      <c r="E275" s="1" t="s">
        <v>95</v>
      </c>
      <c r="F275" s="1" t="s">
        <v>26</v>
      </c>
      <c r="G275" s="1" t="s">
        <v>27</v>
      </c>
      <c r="H275" s="1" t="s">
        <v>28</v>
      </c>
      <c r="I275" s="1" t="s">
        <v>50</v>
      </c>
      <c r="J275" s="1" t="s">
        <v>1078</v>
      </c>
      <c r="K275" s="1" t="s">
        <v>1173</v>
      </c>
      <c r="L275" s="1" t="s">
        <v>1712</v>
      </c>
      <c r="M275" s="1" t="s">
        <v>176</v>
      </c>
      <c r="N275" s="1" t="s">
        <v>305</v>
      </c>
      <c r="O275" s="1" t="s">
        <v>452</v>
      </c>
      <c r="P275" s="1"/>
      <c r="Q275" s="1">
        <f>IFERROR(COUNTIFS(_report[TOURNAMENT_CODE],ВСЕ_КОДЫ[[#This Row],[TOURNAMENT_CODE]],_report[CONTEST_CODE],ВСЕ_КОДЫ[[#This Row],[CONTEST_CODE]]),"-")</f>
        <v>0</v>
      </c>
      <c r="R275" s="1" t="str">
        <f>IFERROR(INDEX(_SCHEDULE_[],MATCH(ВСЕ_КОДЫ[[#This Row],[CONTEST_CODE]],_SCHEDULE_[CONTEST_CODE],0),MATCH($R$1,_SCHEDULE_[#Headers],0)),"-")</f>
        <v>ЗАВЕРШЕН</v>
      </c>
      <c r="S275" s="1" t="str">
        <f>IFERROR(INDEX(_group_[],MATCH(ВСЕ_КОДЫ[[#This Row],[CONTEST_CODE]],_group_[CONTEST_CODE],0),MATCH($S$1,_group_[#Headers],0)),"-")</f>
        <v>BANK</v>
      </c>
      <c r="T275" s="1" t="str">
        <f>IFERROR(INDEX(_INDICATOR_[],MATCH(ВСЕ_КОДЫ[[#This Row],[CONTEST_CODE]],_INDICATOR_[CONTEST_CODE],0),MATCH($T$1,_INDICATOR_[#Headers],0)),"-")</f>
        <v>WAIT</v>
      </c>
      <c r="U275" s="1" t="str">
        <f>IFERROR(INDEX(_reward_link_[],MATCH(ВСЕ_КОДЫ[[#This Row],[CONTEST_CODE]],_reward_link_[CONTEST_CODE],0),MATCH($U$1,_reward_link_[#Headers],0)),"-")</f>
        <v>TB</v>
      </c>
      <c r="V275" s="1" t="str">
        <f>IFERROR(INDEX(_report[],MATCH(ВСЕ_КОДЫ[[#This Row],[CONTEST_CODE]],_report[CONTEST_CODE],0),MATCH($V$1,_report[#Headers],0)),"-")</f>
        <v>-</v>
      </c>
      <c r="W275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5" s="1" t="str">
        <f>IFERROR(INDEX(_group_[],MATCH(CONCATENATE(ВСЕ_КОДЫ[[#This Row],[CONTEST_CODE]],"_",X$2),#REF!,0),MATCH(X$1,_group_[#Headers],0)),"-")</f>
        <v>-</v>
      </c>
      <c r="Y275" s="1" t="str">
        <f>IFERROR(INDEX(_group_[],MATCH(CONCATENATE(ВСЕ_КОДЫ[[#This Row],[CONTEST_CODE]],"_",Y$2),#REF!,0),MATCH(Y$1,_group_[#Headers],0)),"-")</f>
        <v>-</v>
      </c>
      <c r="Z275" s="1" t="str">
        <f>IFERROR(INDEX(_group_[],MATCH(CONCATENATE(ВСЕ_КОДЫ[[#This Row],[CONTEST_CODE]],"_",Z$2),#REF!,0),MATCH(Z$1,_group_[#Headers],0)),"-")</f>
        <v>-</v>
      </c>
      <c r="AA275" s="1" t="str">
        <f>IFERROR(INDEX(_group_[],MATCH(CONCATENATE(ВСЕ_КОДЫ[[#This Row],[CONTEST_CODE]],"_",AA$2),#REF!,0),MATCH(AA$1,_group_[#Headers],0)),"-")</f>
        <v>-</v>
      </c>
      <c r="AB275" s="1" t="str">
        <f>IFERROR(INDEX(_DATA_[],MATCH(ВСЕ_КОДЫ[[#This Row],[CONTEST_CODE]],_DATA_[CONTEST_CODE],0),MATCH($AB$2,_DATA_[#Headers],0)),"-")</f>
        <v>["""KMKKSB"""]</v>
      </c>
      <c r="AC275" s="1" t="str">
        <f>CONCATENATE(ВСЕ_КОДЫ[[#This Row],[CONTEST_CODE]],"_",ВСЕ_КОДЫ[[#This Row],[TOURNAMENT_CODE]])</f>
        <v>CONTEST_30_TOURNAMENT_30_08</v>
      </c>
      <c r="AD275" s="1" t="str">
        <f>ВСЕ_КОДЫ[[#This Row],[FULL_NAME]]</f>
        <v>Пассивы. Максимизируй прирост остатка</v>
      </c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idden="1" x14ac:dyDescent="0.25">
      <c r="A276" s="1" t="s">
        <v>8</v>
      </c>
      <c r="B276" s="1" t="s">
        <v>1281</v>
      </c>
      <c r="C276" s="1" t="s">
        <v>451</v>
      </c>
      <c r="D276" s="1" t="s">
        <v>583</v>
      </c>
      <c r="E276" s="1" t="s">
        <v>95</v>
      </c>
      <c r="F276" s="1" t="s">
        <v>26</v>
      </c>
      <c r="G276" s="1" t="s">
        <v>27</v>
      </c>
      <c r="H276" s="1" t="s">
        <v>28</v>
      </c>
      <c r="I276" s="1" t="s">
        <v>50</v>
      </c>
      <c r="J276" s="1" t="s">
        <v>1225</v>
      </c>
      <c r="K276" s="1" t="s">
        <v>1070</v>
      </c>
      <c r="L276" s="1" t="s">
        <v>1712</v>
      </c>
      <c r="M276" s="1" t="s">
        <v>176</v>
      </c>
      <c r="N276" s="1" t="s">
        <v>305</v>
      </c>
      <c r="O276" s="1" t="s">
        <v>452</v>
      </c>
      <c r="P276" s="1"/>
      <c r="Q276" s="1">
        <f>IFERROR(COUNTIFS(_report[TOURNAMENT_CODE],ВСЕ_КОДЫ[[#This Row],[TOURNAMENT_CODE]],_report[CONTEST_CODE],ВСЕ_КОДЫ[[#This Row],[CONTEST_CODE]]),"-")</f>
        <v>0</v>
      </c>
      <c r="R276" s="1" t="str">
        <f>IFERROR(INDEX(_SCHEDULE_[],MATCH(ВСЕ_КОДЫ[[#This Row],[CONTEST_CODE]],_SCHEDULE_[CONTEST_CODE],0),MATCH($R$1,_SCHEDULE_[#Headers],0)),"-")</f>
        <v>ЗАВЕРШЕН</v>
      </c>
      <c r="S276" s="1" t="str">
        <f>IFERROR(INDEX(_group_[],MATCH(ВСЕ_КОДЫ[[#This Row],[CONTEST_CODE]],_group_[CONTEST_CODE],0),MATCH($S$1,_group_[#Headers],0)),"-")</f>
        <v>BANK</v>
      </c>
      <c r="T276" s="1" t="str">
        <f>IFERROR(INDEX(_INDICATOR_[],MATCH(ВСЕ_КОДЫ[[#This Row],[CONTEST_CODE]],_INDICATOR_[CONTEST_CODE],0),MATCH($T$1,_INDICATOR_[#Headers],0)),"-")</f>
        <v>WAIT</v>
      </c>
      <c r="U276" s="1" t="str">
        <f>IFERROR(INDEX(_reward_link_[],MATCH(ВСЕ_КОДЫ[[#This Row],[CONTEST_CODE]],_reward_link_[CONTEST_CODE],0),MATCH($U$1,_reward_link_[#Headers],0)),"-")</f>
        <v>TB</v>
      </c>
      <c r="V276" s="1" t="str">
        <f>IFERROR(INDEX(_report[],MATCH(ВСЕ_КОДЫ[[#This Row],[CONTEST_CODE]],_report[CONTEST_CODE],0),MATCH($V$1,_report[#Headers],0)),"-")</f>
        <v>-</v>
      </c>
      <c r="W276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6" s="1" t="str">
        <f>IFERROR(INDEX(_group_[],MATCH(CONCATENATE(ВСЕ_КОДЫ[[#This Row],[CONTEST_CODE]],"_",X$2),#REF!,0),MATCH(X$1,_group_[#Headers],0)),"-")</f>
        <v>-</v>
      </c>
      <c r="Y276" s="1" t="str">
        <f>IFERROR(INDEX(_group_[],MATCH(CONCATENATE(ВСЕ_КОДЫ[[#This Row],[CONTEST_CODE]],"_",Y$2),#REF!,0),MATCH(Y$1,_group_[#Headers],0)),"-")</f>
        <v>-</v>
      </c>
      <c r="Z276" s="1" t="str">
        <f>IFERROR(INDEX(_group_[],MATCH(CONCATENATE(ВСЕ_КОДЫ[[#This Row],[CONTEST_CODE]],"_",Z$2),#REF!,0),MATCH(Z$1,_group_[#Headers],0)),"-")</f>
        <v>-</v>
      </c>
      <c r="AA276" s="1" t="str">
        <f>IFERROR(INDEX(_group_[],MATCH(CONCATENATE(ВСЕ_КОДЫ[[#This Row],[CONTEST_CODE]],"_",AA$2),#REF!,0),MATCH(AA$1,_group_[#Headers],0)),"-")</f>
        <v>-</v>
      </c>
      <c r="AB276" s="1" t="str">
        <f>IFERROR(INDEX(_DATA_[],MATCH(ВСЕ_КОДЫ[[#This Row],[CONTEST_CODE]],_DATA_[CONTEST_CODE],0),MATCH($AB$2,_DATA_[#Headers],0)),"-")</f>
        <v>["""KMKKSB"""]</v>
      </c>
      <c r="AC276" s="1" t="str">
        <f>CONCATENATE(ВСЕ_КОДЫ[[#This Row],[CONTEST_CODE]],"_",ВСЕ_КОДЫ[[#This Row],[TOURNAMENT_CODE]])</f>
        <v>CONTEST_30_TOURNAMENT_30_09</v>
      </c>
      <c r="AD276" s="1" t="str">
        <f>ВСЕ_КОДЫ[[#This Row],[FULL_NAME]]</f>
        <v>Пассивы. Максимизируй прирост остатка</v>
      </c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idden="1" x14ac:dyDescent="0.25">
      <c r="A277" s="1" t="s">
        <v>8</v>
      </c>
      <c r="B277" s="1" t="s">
        <v>1647</v>
      </c>
      <c r="C277" s="1" t="s">
        <v>451</v>
      </c>
      <c r="D277" s="1" t="s">
        <v>583</v>
      </c>
      <c r="E277" s="1" t="s">
        <v>95</v>
      </c>
      <c r="F277" s="1" t="s">
        <v>26</v>
      </c>
      <c r="G277" s="1" t="s">
        <v>27</v>
      </c>
      <c r="H277" s="1" t="s">
        <v>28</v>
      </c>
      <c r="I277" s="1" t="s">
        <v>50</v>
      </c>
      <c r="J277" s="1" t="s">
        <v>1308</v>
      </c>
      <c r="K277" s="1" t="s">
        <v>1638</v>
      </c>
      <c r="L277" s="1" t="s">
        <v>1639</v>
      </c>
      <c r="M277" s="1" t="s">
        <v>176</v>
      </c>
      <c r="N277" s="1" t="s">
        <v>305</v>
      </c>
      <c r="O277" s="1" t="s">
        <v>452</v>
      </c>
      <c r="P277" s="1"/>
      <c r="Q277" s="1">
        <f>IFERROR(COUNTIFS(_report[TOURNAMENT_CODE],ВСЕ_КОДЫ[[#This Row],[TOURNAMENT_CODE]],_report[CONTEST_CODE],ВСЕ_КОДЫ[[#This Row],[CONTEST_CODE]]),"-")</f>
        <v>0</v>
      </c>
      <c r="R277" s="1" t="str">
        <f>IFERROR(INDEX(_SCHEDULE_[],MATCH(ВСЕ_КОДЫ[[#This Row],[CONTEST_CODE]],_SCHEDULE_[CONTEST_CODE],0),MATCH($R$1,_SCHEDULE_[#Headers],0)),"-")</f>
        <v>ЗАВЕРШЕН</v>
      </c>
      <c r="S277" s="1" t="str">
        <f>IFERROR(INDEX(_group_[],MATCH(ВСЕ_КОДЫ[[#This Row],[CONTEST_CODE]],_group_[CONTEST_CODE],0),MATCH($S$1,_group_[#Headers],0)),"-")</f>
        <v>BANK</v>
      </c>
      <c r="T277" s="1" t="str">
        <f>IFERROR(INDEX(_INDICATOR_[],MATCH(ВСЕ_КОДЫ[[#This Row],[CONTEST_CODE]],_INDICATOR_[CONTEST_CODE],0),MATCH($T$1,_INDICATOR_[#Headers],0)),"-")</f>
        <v>WAIT</v>
      </c>
      <c r="U277" s="1" t="str">
        <f>IFERROR(INDEX(_reward_link_[],MATCH(ВСЕ_КОДЫ[[#This Row],[CONTEST_CODE]],_reward_link_[CONTEST_CODE],0),MATCH($U$1,_reward_link_[#Headers],0)),"-")</f>
        <v>TB</v>
      </c>
      <c r="V277" s="1" t="str">
        <f>IFERROR(INDEX(_report[],MATCH(ВСЕ_КОДЫ[[#This Row],[CONTEST_CODE]],_report[CONTEST_CODE],0),MATCH($V$1,_report[#Headers],0)),"-")</f>
        <v>-</v>
      </c>
      <c r="W277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7" s="1" t="str">
        <f>IFERROR(INDEX(_group_[],MATCH(CONCATENATE(ВСЕ_КОДЫ[[#This Row],[CONTEST_CODE]],"_",X$2),#REF!,0),MATCH(X$1,_group_[#Headers],0)),"-")</f>
        <v>-</v>
      </c>
      <c r="Y277" s="1" t="str">
        <f>IFERROR(INDEX(_group_[],MATCH(CONCATENATE(ВСЕ_КОДЫ[[#This Row],[CONTEST_CODE]],"_",Y$2),#REF!,0),MATCH(Y$1,_group_[#Headers],0)),"-")</f>
        <v>-</v>
      </c>
      <c r="Z277" s="1" t="str">
        <f>IFERROR(INDEX(_group_[],MATCH(CONCATENATE(ВСЕ_КОДЫ[[#This Row],[CONTEST_CODE]],"_",Z$2),#REF!,0),MATCH(Z$1,_group_[#Headers],0)),"-")</f>
        <v>-</v>
      </c>
      <c r="AA277" s="1" t="str">
        <f>IFERROR(INDEX(_group_[],MATCH(CONCATENATE(ВСЕ_КОДЫ[[#This Row],[CONTEST_CODE]],"_",AA$2),#REF!,0),MATCH(AA$1,_group_[#Headers],0)),"-")</f>
        <v>-</v>
      </c>
      <c r="AB277" s="1" t="str">
        <f>IFERROR(INDEX(_DATA_[],MATCH(ВСЕ_КОДЫ[[#This Row],[CONTEST_CODE]],_DATA_[CONTEST_CODE],0),MATCH($AB$2,_DATA_[#Headers],0)),"-")</f>
        <v>["""KMKKSB"""]</v>
      </c>
      <c r="AC277" s="1" t="str">
        <f>CONCATENATE(ВСЕ_КОДЫ[[#This Row],[CONTEST_CODE]],"_",ВСЕ_КОДЫ[[#This Row],[TOURNAMENT_CODE]])</f>
        <v>CONTEST_30_TOURNAMENT_30_2024_M10</v>
      </c>
      <c r="AD277" s="1" t="str">
        <f>ВСЕ_КОДЫ[[#This Row],[FULL_NAME]]</f>
        <v>Пассивы. Максимизируй прирост остатка</v>
      </c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idden="1" x14ac:dyDescent="0.25">
      <c r="A278" s="1" t="s">
        <v>8</v>
      </c>
      <c r="B278" s="1" t="s">
        <v>1810</v>
      </c>
      <c r="C278" s="1" t="s">
        <v>451</v>
      </c>
      <c r="D278" s="1" t="s">
        <v>583</v>
      </c>
      <c r="E278" s="1" t="s">
        <v>95</v>
      </c>
      <c r="F278" s="1" t="s">
        <v>26</v>
      </c>
      <c r="G278" s="1" t="s">
        <v>27</v>
      </c>
      <c r="H278" s="1" t="s">
        <v>28</v>
      </c>
      <c r="I278" s="1" t="s">
        <v>50</v>
      </c>
      <c r="J278" s="1" t="s">
        <v>1800</v>
      </c>
      <c r="K278" s="1" t="s">
        <v>1801</v>
      </c>
      <c r="L278" s="1" t="s">
        <v>1802</v>
      </c>
      <c r="M278" s="1" t="s">
        <v>155</v>
      </c>
      <c r="N278" s="1" t="s">
        <v>305</v>
      </c>
      <c r="O278" s="1" t="s">
        <v>452</v>
      </c>
      <c r="P278" s="1"/>
      <c r="Q278" s="1">
        <f>IFERROR(COUNTIFS(_report[TOURNAMENT_CODE],ВСЕ_КОДЫ[[#This Row],[TOURNAMENT_CODE]],_report[CONTEST_CODE],ВСЕ_КОДЫ[[#This Row],[CONTEST_CODE]]),"-")</f>
        <v>0</v>
      </c>
      <c r="R278" s="1" t="str">
        <f>IFERROR(INDEX(_SCHEDULE_[],MATCH(ВСЕ_КОДЫ[[#This Row],[CONTEST_CODE]],_SCHEDULE_[CONTEST_CODE],0),MATCH($R$1,_SCHEDULE_[#Headers],0)),"-")</f>
        <v>ЗАВЕРШЕН</v>
      </c>
      <c r="S278" s="1" t="str">
        <f>IFERROR(INDEX(_group_[],MATCH(ВСЕ_КОДЫ[[#This Row],[CONTEST_CODE]],_group_[CONTEST_CODE],0),MATCH($S$1,_group_[#Headers],0)),"-")</f>
        <v>BANK</v>
      </c>
      <c r="T278" s="1" t="str">
        <f>IFERROR(INDEX(_INDICATOR_[],MATCH(ВСЕ_КОДЫ[[#This Row],[CONTEST_CODE]],_INDICATOR_[CONTEST_CODE],0),MATCH($T$1,_INDICATOR_[#Headers],0)),"-")</f>
        <v>WAIT</v>
      </c>
      <c r="U278" s="1" t="str">
        <f>IFERROR(INDEX(_reward_link_[],MATCH(ВСЕ_КОДЫ[[#This Row],[CONTEST_CODE]],_reward_link_[CONTEST_CODE],0),MATCH($U$1,_reward_link_[#Headers],0)),"-")</f>
        <v>TB</v>
      </c>
      <c r="V278" s="1" t="str">
        <f>IFERROR(INDEX(_report[],MATCH(ВСЕ_КОДЫ[[#This Row],[CONTEST_CODE]],_report[CONTEST_CODE],0),MATCH($V$1,_report[#Headers],0)),"-")</f>
        <v>-</v>
      </c>
      <c r="W278" s="1" t="str">
        <f>IFERROR(INDEX(_reward_[],MATCH(ВСЕ_КОДЫ[[#This Row],[REWARD_CODE]],_reward_[REWARD_CODE],0),MATCH($W$1,_reward_[#Headers],0)),"-")</f>
        <v>Чемпион страны по приросту остатка Пассивов</v>
      </c>
      <c r="X278" s="1" t="str">
        <f>IFERROR(INDEX(_group_[],MATCH(CONCATENATE(ВСЕ_КОДЫ[[#This Row],[CONTEST_CODE]],"_",X$2),#REF!,0),MATCH(X$1,_group_[#Headers],0)),"-")</f>
        <v>-</v>
      </c>
      <c r="Y278" s="1" t="str">
        <f>IFERROR(INDEX(_group_[],MATCH(CONCATENATE(ВСЕ_КОДЫ[[#This Row],[CONTEST_CODE]],"_",Y$2),#REF!,0),MATCH(Y$1,_group_[#Headers],0)),"-")</f>
        <v>-</v>
      </c>
      <c r="Z278" s="1" t="str">
        <f>IFERROR(INDEX(_group_[],MATCH(CONCATENATE(ВСЕ_КОДЫ[[#This Row],[CONTEST_CODE]],"_",Z$2),#REF!,0),MATCH(Z$1,_group_[#Headers],0)),"-")</f>
        <v>-</v>
      </c>
      <c r="AA278" s="1" t="str">
        <f>IFERROR(INDEX(_group_[],MATCH(CONCATENATE(ВСЕ_КОДЫ[[#This Row],[CONTEST_CODE]],"_",AA$2),#REF!,0),MATCH(AA$1,_group_[#Headers],0)),"-")</f>
        <v>-</v>
      </c>
      <c r="AB278" s="1" t="str">
        <f>IFERROR(INDEX(_DATA_[],MATCH(ВСЕ_КОДЫ[[#This Row],[CONTEST_CODE]],_DATA_[CONTEST_CODE],0),MATCH($AB$2,_DATA_[#Headers],0)),"-")</f>
        <v>["""KMKKSB"""]</v>
      </c>
      <c r="AC278" s="1" t="str">
        <f>CONCATENATE(ВСЕ_КОДЫ[[#This Row],[CONTEST_CODE]],"_",ВСЕ_КОДЫ[[#This Row],[TOURNAMENT_CODE]])</f>
        <v>CONTEST_30_TOURNAMENT_30_2024_M11</v>
      </c>
      <c r="AD278" s="1" t="str">
        <f>ВСЕ_КОДЫ[[#This Row],[FULL_NAME]]</f>
        <v>Пассивы. Максимизируй прирост остатка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idden="1" x14ac:dyDescent="0.25">
      <c r="A279" s="1" t="s">
        <v>8</v>
      </c>
      <c r="B279" s="1" t="s">
        <v>9</v>
      </c>
      <c r="C279" s="1" t="s">
        <v>448</v>
      </c>
      <c r="D279" s="1" t="s">
        <v>586</v>
      </c>
      <c r="E279" s="1" t="s">
        <v>95</v>
      </c>
      <c r="F279" s="1" t="s">
        <v>26</v>
      </c>
      <c r="G279" s="1" t="s">
        <v>27</v>
      </c>
      <c r="H279" s="1" t="s">
        <v>28</v>
      </c>
      <c r="I279" s="1" t="s">
        <v>50</v>
      </c>
      <c r="J279" s="1" t="s">
        <v>187</v>
      </c>
      <c r="K279" s="1" t="s">
        <v>188</v>
      </c>
      <c r="L279" s="1" t="s">
        <v>1088</v>
      </c>
      <c r="M279" s="1" t="s">
        <v>176</v>
      </c>
      <c r="N279" s="1" t="s">
        <v>305</v>
      </c>
      <c r="O279" s="1" t="s">
        <v>449</v>
      </c>
      <c r="P279" s="1"/>
      <c r="Q279" s="1">
        <f>IFERROR(COUNTIFS(_report[TOURNAMENT_CODE],ВСЕ_КОДЫ[[#This Row],[TOURNAMENT_CODE]],_report[CONTEST_CODE],ВСЕ_КОДЫ[[#This Row],[CONTEST_CODE]]),"-")</f>
        <v>0</v>
      </c>
      <c r="R279" s="1" t="str">
        <f>IFERROR(INDEX(_SCHEDULE_[],MATCH(ВСЕ_КОДЫ[[#This Row],[CONTEST_CODE]],_SCHEDULE_[CONTEST_CODE],0),MATCH($R$1,_SCHEDULE_[#Headers],0)),"-")</f>
        <v>ЗАВЕРШЕН</v>
      </c>
      <c r="S279" s="1" t="str">
        <f>IFERROR(INDEX(_group_[],MATCH(ВСЕ_КОДЫ[[#This Row],[CONTEST_CODE]],_group_[CONTEST_CODE],0),MATCH($S$1,_group_[#Headers],0)),"-")</f>
        <v>BANK</v>
      </c>
      <c r="T279" s="1" t="str">
        <f>IFERROR(INDEX(_INDICATOR_[],MATCH(ВСЕ_КОДЫ[[#This Row],[CONTEST_CODE]],_INDICATOR_[CONTEST_CODE],0),MATCH($T$1,_INDICATOR_[#Headers],0)),"-")</f>
        <v>WAIT</v>
      </c>
      <c r="U279" s="1" t="str">
        <f>IFERROR(INDEX(_reward_link_[],MATCH(ВСЕ_КОДЫ[[#This Row],[CONTEST_CODE]],_reward_link_[CONTEST_CODE],0),MATCH($U$1,_reward_link_[#Headers],0)),"-")</f>
        <v>TB</v>
      </c>
      <c r="V279" s="1" t="str">
        <f>IFERROR(INDEX(_report[],MATCH(ВСЕ_КОДЫ[[#This Row],[CONTEST_CODE]],_report[CONTEST_CODE],0),MATCH($V$1,_report[#Headers],0)),"-")</f>
        <v>-</v>
      </c>
      <c r="W279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79" s="1" t="str">
        <f>IFERROR(INDEX(_group_[],MATCH(CONCATENATE(ВСЕ_КОДЫ[[#This Row],[CONTEST_CODE]],"_",X$2),#REF!,0),MATCH(X$1,_group_[#Headers],0)),"-")</f>
        <v>-</v>
      </c>
      <c r="Y279" s="1" t="str">
        <f>IFERROR(INDEX(_group_[],MATCH(CONCATENATE(ВСЕ_КОДЫ[[#This Row],[CONTEST_CODE]],"_",Y$2),#REF!,0),MATCH(Y$1,_group_[#Headers],0)),"-")</f>
        <v>-</v>
      </c>
      <c r="Z279" s="1" t="str">
        <f>IFERROR(INDEX(_group_[],MATCH(CONCATENATE(ВСЕ_КОДЫ[[#This Row],[CONTEST_CODE]],"_",Z$2),#REF!,0),MATCH(Z$1,_group_[#Headers],0)),"-")</f>
        <v>-</v>
      </c>
      <c r="AA279" s="1" t="str">
        <f>IFERROR(INDEX(_group_[],MATCH(CONCATENATE(ВСЕ_КОДЫ[[#This Row],[CONTEST_CODE]],"_",AA$2),#REF!,0),MATCH(AA$1,_group_[#Headers],0)),"-")</f>
        <v>-</v>
      </c>
      <c r="AB279" s="1" t="str">
        <f>IFERROR(INDEX(_DATA_[],MATCH(ВСЕ_КОДЫ[[#This Row],[CONTEST_CODE]],_DATA_[CONTEST_CODE],0),MATCH($AB$2,_DATA_[#Headers],0)),"-")</f>
        <v>["""KMKKSB"""]</v>
      </c>
      <c r="AC279" s="1" t="str">
        <f>CONCATENATE(ВСЕ_КОДЫ[[#This Row],[CONTEST_CODE]],"_",ВСЕ_КОДЫ[[#This Row],[TOURNAMENT_CODE]])</f>
        <v>CONTEST_30_TOURNAMENT_30_03</v>
      </c>
      <c r="AD279" s="1" t="str">
        <f>ВСЕ_КОДЫ[[#This Row],[FULL_NAME]]</f>
        <v>Пассивы. Максимизируй прирост остатка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idden="1" x14ac:dyDescent="0.25">
      <c r="A280" s="1" t="s">
        <v>8</v>
      </c>
      <c r="B280" s="1" t="s">
        <v>10</v>
      </c>
      <c r="C280" s="1" t="s">
        <v>448</v>
      </c>
      <c r="D280" s="1" t="s">
        <v>586</v>
      </c>
      <c r="E280" s="1" t="s">
        <v>95</v>
      </c>
      <c r="F280" s="1" t="s">
        <v>26</v>
      </c>
      <c r="G280" s="1" t="s">
        <v>27</v>
      </c>
      <c r="H280" s="1" t="s">
        <v>28</v>
      </c>
      <c r="I280" s="1" t="s">
        <v>50</v>
      </c>
      <c r="J280" s="1" t="s">
        <v>192</v>
      </c>
      <c r="K280" s="1" t="s">
        <v>193</v>
      </c>
      <c r="L280" s="1" t="s">
        <v>1088</v>
      </c>
      <c r="M280" s="1" t="s">
        <v>176</v>
      </c>
      <c r="N280" s="1" t="s">
        <v>305</v>
      </c>
      <c r="O280" s="1" t="s">
        <v>449</v>
      </c>
      <c r="P280" s="1"/>
      <c r="Q280" s="1">
        <f>IFERROR(COUNTIFS(_report[TOURNAMENT_CODE],ВСЕ_КОДЫ[[#This Row],[TOURNAMENT_CODE]],_report[CONTEST_CODE],ВСЕ_КОДЫ[[#This Row],[CONTEST_CODE]]),"-")</f>
        <v>0</v>
      </c>
      <c r="R280" s="1" t="str">
        <f>IFERROR(INDEX(_SCHEDULE_[],MATCH(ВСЕ_КОДЫ[[#This Row],[CONTEST_CODE]],_SCHEDULE_[CONTEST_CODE],0),MATCH($R$1,_SCHEDULE_[#Headers],0)),"-")</f>
        <v>ЗАВЕРШЕН</v>
      </c>
      <c r="S280" s="1" t="str">
        <f>IFERROR(INDEX(_group_[],MATCH(ВСЕ_КОДЫ[[#This Row],[CONTEST_CODE]],_group_[CONTEST_CODE],0),MATCH($S$1,_group_[#Headers],0)),"-")</f>
        <v>BANK</v>
      </c>
      <c r="T280" s="1" t="str">
        <f>IFERROR(INDEX(_INDICATOR_[],MATCH(ВСЕ_КОДЫ[[#This Row],[CONTEST_CODE]],_INDICATOR_[CONTEST_CODE],0),MATCH($T$1,_INDICATOR_[#Headers],0)),"-")</f>
        <v>WAIT</v>
      </c>
      <c r="U280" s="1" t="str">
        <f>IFERROR(INDEX(_reward_link_[],MATCH(ВСЕ_КОДЫ[[#This Row],[CONTEST_CODE]],_reward_link_[CONTEST_CODE],0),MATCH($U$1,_reward_link_[#Headers],0)),"-")</f>
        <v>TB</v>
      </c>
      <c r="V280" s="1" t="str">
        <f>IFERROR(INDEX(_report[],MATCH(ВСЕ_КОДЫ[[#This Row],[CONTEST_CODE]],_report[CONTEST_CODE],0),MATCH($V$1,_report[#Headers],0)),"-")</f>
        <v>-</v>
      </c>
      <c r="W280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0" s="1" t="str">
        <f>IFERROR(INDEX(_group_[],MATCH(CONCATENATE(ВСЕ_КОДЫ[[#This Row],[CONTEST_CODE]],"_",X$2),#REF!,0),MATCH(X$1,_group_[#Headers],0)),"-")</f>
        <v>-</v>
      </c>
      <c r="Y280" s="1" t="str">
        <f>IFERROR(INDEX(_group_[],MATCH(CONCATENATE(ВСЕ_КОДЫ[[#This Row],[CONTEST_CODE]],"_",Y$2),#REF!,0),MATCH(Y$1,_group_[#Headers],0)),"-")</f>
        <v>-</v>
      </c>
      <c r="Z280" s="1" t="str">
        <f>IFERROR(INDEX(_group_[],MATCH(CONCATENATE(ВСЕ_КОДЫ[[#This Row],[CONTEST_CODE]],"_",Z$2),#REF!,0),MATCH(Z$1,_group_[#Headers],0)),"-")</f>
        <v>-</v>
      </c>
      <c r="AA280" s="1" t="str">
        <f>IFERROR(INDEX(_group_[],MATCH(CONCATENATE(ВСЕ_КОДЫ[[#This Row],[CONTEST_CODE]],"_",AA$2),#REF!,0),MATCH(AA$1,_group_[#Headers],0)),"-")</f>
        <v>-</v>
      </c>
      <c r="AB280" s="1" t="str">
        <f>IFERROR(INDEX(_DATA_[],MATCH(ВСЕ_КОДЫ[[#This Row],[CONTEST_CODE]],_DATA_[CONTEST_CODE],0),MATCH($AB$2,_DATA_[#Headers],0)),"-")</f>
        <v>["""KMKKSB"""]</v>
      </c>
      <c r="AC280" s="1" t="str">
        <f>CONCATENATE(ВСЕ_КОДЫ[[#This Row],[CONTEST_CODE]],"_",ВСЕ_КОДЫ[[#This Row],[TOURNAMENT_CODE]])</f>
        <v>CONTEST_30_TOURNAMENT_30_04</v>
      </c>
      <c r="AD280" s="1" t="str">
        <f>ВСЕ_КОДЫ[[#This Row],[FULL_NAME]]</f>
        <v>Пассивы. Максимизируй прирост остатка</v>
      </c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idden="1" x14ac:dyDescent="0.25">
      <c r="A281" s="1" t="s">
        <v>8</v>
      </c>
      <c r="B281" s="1" t="s">
        <v>636</v>
      </c>
      <c r="C281" s="1" t="s">
        <v>448</v>
      </c>
      <c r="D281" s="1" t="s">
        <v>586</v>
      </c>
      <c r="E281" s="1" t="s">
        <v>95</v>
      </c>
      <c r="F281" s="1" t="s">
        <v>26</v>
      </c>
      <c r="G281" s="1" t="s">
        <v>27</v>
      </c>
      <c r="H281" s="1" t="s">
        <v>28</v>
      </c>
      <c r="I281" s="1" t="s">
        <v>50</v>
      </c>
      <c r="J281" s="1" t="s">
        <v>245</v>
      </c>
      <c r="K281" s="1" t="s">
        <v>246</v>
      </c>
      <c r="L281" s="1" t="s">
        <v>1088</v>
      </c>
      <c r="M281" s="1" t="s">
        <v>176</v>
      </c>
      <c r="N281" s="1" t="s">
        <v>305</v>
      </c>
      <c r="O281" s="1" t="s">
        <v>449</v>
      </c>
      <c r="P281" s="1"/>
      <c r="Q281" s="1">
        <f>IFERROR(COUNTIFS(_report[TOURNAMENT_CODE],ВСЕ_КОДЫ[[#This Row],[TOURNAMENT_CODE]],_report[CONTEST_CODE],ВСЕ_КОДЫ[[#This Row],[CONTEST_CODE]]),"-")</f>
        <v>0</v>
      </c>
      <c r="R281" s="1" t="str">
        <f>IFERROR(INDEX(_SCHEDULE_[],MATCH(ВСЕ_КОДЫ[[#This Row],[CONTEST_CODE]],_SCHEDULE_[CONTEST_CODE],0),MATCH($R$1,_SCHEDULE_[#Headers],0)),"-")</f>
        <v>ЗАВЕРШЕН</v>
      </c>
      <c r="S281" s="1" t="str">
        <f>IFERROR(INDEX(_group_[],MATCH(ВСЕ_КОДЫ[[#This Row],[CONTEST_CODE]],_group_[CONTEST_CODE],0),MATCH($S$1,_group_[#Headers],0)),"-")</f>
        <v>BANK</v>
      </c>
      <c r="T281" s="1" t="str">
        <f>IFERROR(INDEX(_INDICATOR_[],MATCH(ВСЕ_КОДЫ[[#This Row],[CONTEST_CODE]],_INDICATOR_[CONTEST_CODE],0),MATCH($T$1,_INDICATOR_[#Headers],0)),"-")</f>
        <v>WAIT</v>
      </c>
      <c r="U281" s="1" t="str">
        <f>IFERROR(INDEX(_reward_link_[],MATCH(ВСЕ_КОДЫ[[#This Row],[CONTEST_CODE]],_reward_link_[CONTEST_CODE],0),MATCH($U$1,_reward_link_[#Headers],0)),"-")</f>
        <v>TB</v>
      </c>
      <c r="V281" s="1" t="str">
        <f>IFERROR(INDEX(_report[],MATCH(ВСЕ_КОДЫ[[#This Row],[CONTEST_CODE]],_report[CONTEST_CODE],0),MATCH($V$1,_report[#Headers],0)),"-")</f>
        <v>-</v>
      </c>
      <c r="W281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1" s="1" t="str">
        <f>IFERROR(INDEX(_group_[],MATCH(CONCATENATE(ВСЕ_КОДЫ[[#This Row],[CONTEST_CODE]],"_",X$2),#REF!,0),MATCH(X$1,_group_[#Headers],0)),"-")</f>
        <v>-</v>
      </c>
      <c r="Y281" s="1" t="str">
        <f>IFERROR(INDEX(_group_[],MATCH(CONCATENATE(ВСЕ_КОДЫ[[#This Row],[CONTEST_CODE]],"_",Y$2),#REF!,0),MATCH(Y$1,_group_[#Headers],0)),"-")</f>
        <v>-</v>
      </c>
      <c r="Z281" s="1" t="str">
        <f>IFERROR(INDEX(_group_[],MATCH(CONCATENATE(ВСЕ_КОДЫ[[#This Row],[CONTEST_CODE]],"_",Z$2),#REF!,0),MATCH(Z$1,_group_[#Headers],0)),"-")</f>
        <v>-</v>
      </c>
      <c r="AA281" s="1" t="str">
        <f>IFERROR(INDEX(_group_[],MATCH(CONCATENATE(ВСЕ_КОДЫ[[#This Row],[CONTEST_CODE]],"_",AA$2),#REF!,0),MATCH(AA$1,_group_[#Headers],0)),"-")</f>
        <v>-</v>
      </c>
      <c r="AB281" s="1" t="str">
        <f>IFERROR(INDEX(_DATA_[],MATCH(ВСЕ_КОДЫ[[#This Row],[CONTEST_CODE]],_DATA_[CONTEST_CODE],0),MATCH($AB$2,_DATA_[#Headers],0)),"-")</f>
        <v>["""KMKKSB"""]</v>
      </c>
      <c r="AC281" s="1" t="str">
        <f>CONCATENATE(ВСЕ_КОДЫ[[#This Row],[CONTEST_CODE]],"_",ВСЕ_КОДЫ[[#This Row],[TOURNAMENT_CODE]])</f>
        <v>CONTEST_30_TOURNAMENT_30_05</v>
      </c>
      <c r="AD281" s="1" t="str">
        <f>ВСЕ_КОДЫ[[#This Row],[FULL_NAME]]</f>
        <v>Пассивы. Максимизируй прирост остатка</v>
      </c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idden="1" x14ac:dyDescent="0.25">
      <c r="A282" s="1" t="s">
        <v>8</v>
      </c>
      <c r="B282" s="1" t="s">
        <v>698</v>
      </c>
      <c r="C282" s="1" t="s">
        <v>448</v>
      </c>
      <c r="D282" s="1" t="s">
        <v>586</v>
      </c>
      <c r="E282" s="1" t="s">
        <v>95</v>
      </c>
      <c r="F282" s="1" t="s">
        <v>26</v>
      </c>
      <c r="G282" s="1" t="s">
        <v>27</v>
      </c>
      <c r="H282" s="1" t="s">
        <v>28</v>
      </c>
      <c r="I282" s="1" t="s">
        <v>50</v>
      </c>
      <c r="J282" s="1" t="s">
        <v>695</v>
      </c>
      <c r="K282" s="1" t="s">
        <v>252</v>
      </c>
      <c r="L282" s="1" t="s">
        <v>1204</v>
      </c>
      <c r="M282" s="1" t="s">
        <v>176</v>
      </c>
      <c r="N282" s="1" t="s">
        <v>305</v>
      </c>
      <c r="O282" s="1" t="s">
        <v>449</v>
      </c>
      <c r="P282" s="1"/>
      <c r="Q282" s="1">
        <f>IFERROR(COUNTIFS(_report[TOURNAMENT_CODE],ВСЕ_КОДЫ[[#This Row],[TOURNAMENT_CODE]],_report[CONTEST_CODE],ВСЕ_КОДЫ[[#This Row],[CONTEST_CODE]]),"-")</f>
        <v>0</v>
      </c>
      <c r="R282" s="1" t="str">
        <f>IFERROR(INDEX(_SCHEDULE_[],MATCH(ВСЕ_КОДЫ[[#This Row],[CONTEST_CODE]],_SCHEDULE_[CONTEST_CODE],0),MATCH($R$1,_SCHEDULE_[#Headers],0)),"-")</f>
        <v>ЗАВЕРШЕН</v>
      </c>
      <c r="S282" s="1" t="str">
        <f>IFERROR(INDEX(_group_[],MATCH(ВСЕ_КОДЫ[[#This Row],[CONTEST_CODE]],_group_[CONTEST_CODE],0),MATCH($S$1,_group_[#Headers],0)),"-")</f>
        <v>BANK</v>
      </c>
      <c r="T282" s="1" t="str">
        <f>IFERROR(INDEX(_INDICATOR_[],MATCH(ВСЕ_КОДЫ[[#This Row],[CONTEST_CODE]],_INDICATOR_[CONTEST_CODE],0),MATCH($T$1,_INDICATOR_[#Headers],0)),"-")</f>
        <v>WAIT</v>
      </c>
      <c r="U282" s="1" t="str">
        <f>IFERROR(INDEX(_reward_link_[],MATCH(ВСЕ_КОДЫ[[#This Row],[CONTEST_CODE]],_reward_link_[CONTEST_CODE],0),MATCH($U$1,_reward_link_[#Headers],0)),"-")</f>
        <v>TB</v>
      </c>
      <c r="V282" s="1" t="str">
        <f>IFERROR(INDEX(_report[],MATCH(ВСЕ_КОДЫ[[#This Row],[CONTEST_CODE]],_report[CONTEST_CODE],0),MATCH($V$1,_report[#Headers],0)),"-")</f>
        <v>-</v>
      </c>
      <c r="W282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2" s="1" t="str">
        <f>IFERROR(INDEX(_group_[],MATCH(CONCATENATE(ВСЕ_КОДЫ[[#This Row],[CONTEST_CODE]],"_",X$2),#REF!,0),MATCH(X$1,_group_[#Headers],0)),"-")</f>
        <v>-</v>
      </c>
      <c r="Y282" s="1" t="str">
        <f>IFERROR(INDEX(_group_[],MATCH(CONCATENATE(ВСЕ_КОДЫ[[#This Row],[CONTEST_CODE]],"_",Y$2),#REF!,0),MATCH(Y$1,_group_[#Headers],0)),"-")</f>
        <v>-</v>
      </c>
      <c r="Z282" s="1" t="str">
        <f>IFERROR(INDEX(_group_[],MATCH(CONCATENATE(ВСЕ_КОДЫ[[#This Row],[CONTEST_CODE]],"_",Z$2),#REF!,0),MATCH(Z$1,_group_[#Headers],0)),"-")</f>
        <v>-</v>
      </c>
      <c r="AA282" s="1" t="str">
        <f>IFERROR(INDEX(_group_[],MATCH(CONCATENATE(ВСЕ_КОДЫ[[#This Row],[CONTEST_CODE]],"_",AA$2),#REF!,0),MATCH(AA$1,_group_[#Headers],0)),"-")</f>
        <v>-</v>
      </c>
      <c r="AB282" s="1" t="str">
        <f>IFERROR(INDEX(_DATA_[],MATCH(ВСЕ_КОДЫ[[#This Row],[CONTEST_CODE]],_DATA_[CONTEST_CODE],0),MATCH($AB$2,_DATA_[#Headers],0)),"-")</f>
        <v>["""KMKKSB"""]</v>
      </c>
      <c r="AC282" s="1" t="str">
        <f>CONCATENATE(ВСЕ_КОДЫ[[#This Row],[CONTEST_CODE]],"_",ВСЕ_КОДЫ[[#This Row],[TOURNAMENT_CODE]])</f>
        <v>CONTEST_30_TOURNAMENT_30_06</v>
      </c>
      <c r="AD282" s="1" t="str">
        <f>ВСЕ_КОДЫ[[#This Row],[FULL_NAME]]</f>
        <v>Пассивы. Максимизируй прирост остатка</v>
      </c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idden="1" x14ac:dyDescent="0.25">
      <c r="A283" s="1" t="s">
        <v>8</v>
      </c>
      <c r="B283" s="1" t="s">
        <v>1045</v>
      </c>
      <c r="C283" s="1" t="s">
        <v>448</v>
      </c>
      <c r="D283" s="1" t="s">
        <v>586</v>
      </c>
      <c r="E283" s="1" t="s">
        <v>95</v>
      </c>
      <c r="F283" s="1" t="s">
        <v>26</v>
      </c>
      <c r="G283" s="1" t="s">
        <v>27</v>
      </c>
      <c r="H283" s="1" t="s">
        <v>28</v>
      </c>
      <c r="I283" s="1" t="s">
        <v>50</v>
      </c>
      <c r="J283" s="1" t="s">
        <v>703</v>
      </c>
      <c r="K283" s="1" t="s">
        <v>704</v>
      </c>
      <c r="L283" s="1" t="s">
        <v>1275</v>
      </c>
      <c r="M283" s="1" t="s">
        <v>176</v>
      </c>
      <c r="N283" s="1" t="s">
        <v>305</v>
      </c>
      <c r="O283" s="1" t="s">
        <v>449</v>
      </c>
      <c r="P283" s="1"/>
      <c r="Q283" s="1">
        <f>IFERROR(COUNTIFS(_report[TOURNAMENT_CODE],ВСЕ_КОДЫ[[#This Row],[TOURNAMENT_CODE]],_report[CONTEST_CODE],ВСЕ_КОДЫ[[#This Row],[CONTEST_CODE]]),"-")</f>
        <v>0</v>
      </c>
      <c r="R283" s="1" t="str">
        <f>IFERROR(INDEX(_SCHEDULE_[],MATCH(ВСЕ_КОДЫ[[#This Row],[CONTEST_CODE]],_SCHEDULE_[CONTEST_CODE],0),MATCH($R$1,_SCHEDULE_[#Headers],0)),"-")</f>
        <v>ЗАВЕРШЕН</v>
      </c>
      <c r="S283" s="1" t="str">
        <f>IFERROR(INDEX(_group_[],MATCH(ВСЕ_КОДЫ[[#This Row],[CONTEST_CODE]],_group_[CONTEST_CODE],0),MATCH($S$1,_group_[#Headers],0)),"-")</f>
        <v>BANK</v>
      </c>
      <c r="T283" s="1" t="str">
        <f>IFERROR(INDEX(_INDICATOR_[],MATCH(ВСЕ_КОДЫ[[#This Row],[CONTEST_CODE]],_INDICATOR_[CONTEST_CODE],0),MATCH($T$1,_INDICATOR_[#Headers],0)),"-")</f>
        <v>WAIT</v>
      </c>
      <c r="U283" s="1" t="str">
        <f>IFERROR(INDEX(_reward_link_[],MATCH(ВСЕ_КОДЫ[[#This Row],[CONTEST_CODE]],_reward_link_[CONTEST_CODE],0),MATCH($U$1,_reward_link_[#Headers],0)),"-")</f>
        <v>TB</v>
      </c>
      <c r="V283" s="1" t="str">
        <f>IFERROR(INDEX(_report[],MATCH(ВСЕ_КОДЫ[[#This Row],[CONTEST_CODE]],_report[CONTEST_CODE],0),MATCH($V$1,_report[#Headers],0)),"-")</f>
        <v>-</v>
      </c>
      <c r="W283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3" s="1" t="str">
        <f>IFERROR(INDEX(_group_[],MATCH(CONCATENATE(ВСЕ_КОДЫ[[#This Row],[CONTEST_CODE]],"_",X$2),#REF!,0),MATCH(X$1,_group_[#Headers],0)),"-")</f>
        <v>-</v>
      </c>
      <c r="Y283" s="1" t="str">
        <f>IFERROR(INDEX(_group_[],MATCH(CONCATENATE(ВСЕ_КОДЫ[[#This Row],[CONTEST_CODE]],"_",Y$2),#REF!,0),MATCH(Y$1,_group_[#Headers],0)),"-")</f>
        <v>-</v>
      </c>
      <c r="Z283" s="1" t="str">
        <f>IFERROR(INDEX(_group_[],MATCH(CONCATENATE(ВСЕ_КОДЫ[[#This Row],[CONTEST_CODE]],"_",Z$2),#REF!,0),MATCH(Z$1,_group_[#Headers],0)),"-")</f>
        <v>-</v>
      </c>
      <c r="AA283" s="1" t="str">
        <f>IFERROR(INDEX(_group_[],MATCH(CONCATENATE(ВСЕ_КОДЫ[[#This Row],[CONTEST_CODE]],"_",AA$2),#REF!,0),MATCH(AA$1,_group_[#Headers],0)),"-")</f>
        <v>-</v>
      </c>
      <c r="AB283" s="1" t="str">
        <f>IFERROR(INDEX(_DATA_[],MATCH(ВСЕ_КОДЫ[[#This Row],[CONTEST_CODE]],_DATA_[CONTEST_CODE],0),MATCH($AB$2,_DATA_[#Headers],0)),"-")</f>
        <v>["""KMKKSB"""]</v>
      </c>
      <c r="AC283" s="1" t="str">
        <f>CONCATENATE(ВСЕ_КОДЫ[[#This Row],[CONTEST_CODE]],"_",ВСЕ_КОДЫ[[#This Row],[TOURNAMENT_CODE]])</f>
        <v>CONTEST_30_TOURNAMENT_30_07</v>
      </c>
      <c r="AD283" s="1" t="str">
        <f>ВСЕ_КОДЫ[[#This Row],[FULL_NAME]]</f>
        <v>Пассивы. Максимизируй прирост остатка</v>
      </c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idden="1" x14ac:dyDescent="0.25">
      <c r="A284" s="1" t="s">
        <v>8</v>
      </c>
      <c r="B284" s="1" t="s">
        <v>1208</v>
      </c>
      <c r="C284" s="1" t="s">
        <v>448</v>
      </c>
      <c r="D284" s="1" t="s">
        <v>586</v>
      </c>
      <c r="E284" s="1" t="s">
        <v>95</v>
      </c>
      <c r="F284" s="1" t="s">
        <v>26</v>
      </c>
      <c r="G284" s="1" t="s">
        <v>27</v>
      </c>
      <c r="H284" s="1" t="s">
        <v>28</v>
      </c>
      <c r="I284" s="1" t="s">
        <v>50</v>
      </c>
      <c r="J284" s="1" t="s">
        <v>1078</v>
      </c>
      <c r="K284" s="1" t="s">
        <v>1173</v>
      </c>
      <c r="L284" s="1" t="s">
        <v>1712</v>
      </c>
      <c r="M284" s="1" t="s">
        <v>176</v>
      </c>
      <c r="N284" s="1" t="s">
        <v>305</v>
      </c>
      <c r="O284" s="1" t="s">
        <v>449</v>
      </c>
      <c r="P284" s="1"/>
      <c r="Q284" s="1">
        <f>IFERROR(COUNTIFS(_report[TOURNAMENT_CODE],ВСЕ_КОДЫ[[#This Row],[TOURNAMENT_CODE]],_report[CONTEST_CODE],ВСЕ_КОДЫ[[#This Row],[CONTEST_CODE]]),"-")</f>
        <v>0</v>
      </c>
      <c r="R284" s="1" t="str">
        <f>IFERROR(INDEX(_SCHEDULE_[],MATCH(ВСЕ_КОДЫ[[#This Row],[CONTEST_CODE]],_SCHEDULE_[CONTEST_CODE],0),MATCH($R$1,_SCHEDULE_[#Headers],0)),"-")</f>
        <v>ЗАВЕРШЕН</v>
      </c>
      <c r="S284" s="1" t="str">
        <f>IFERROR(INDEX(_group_[],MATCH(ВСЕ_КОДЫ[[#This Row],[CONTEST_CODE]],_group_[CONTEST_CODE],0),MATCH($S$1,_group_[#Headers],0)),"-")</f>
        <v>BANK</v>
      </c>
      <c r="T284" s="1" t="str">
        <f>IFERROR(INDEX(_INDICATOR_[],MATCH(ВСЕ_КОДЫ[[#This Row],[CONTEST_CODE]],_INDICATOR_[CONTEST_CODE],0),MATCH($T$1,_INDICATOR_[#Headers],0)),"-")</f>
        <v>WAIT</v>
      </c>
      <c r="U284" s="1" t="str">
        <f>IFERROR(INDEX(_reward_link_[],MATCH(ВСЕ_КОДЫ[[#This Row],[CONTEST_CODE]],_reward_link_[CONTEST_CODE],0),MATCH($U$1,_reward_link_[#Headers],0)),"-")</f>
        <v>TB</v>
      </c>
      <c r="V284" s="1" t="str">
        <f>IFERROR(INDEX(_report[],MATCH(ВСЕ_КОДЫ[[#This Row],[CONTEST_CODE]],_report[CONTEST_CODE],0),MATCH($V$1,_report[#Headers],0)),"-")</f>
        <v>-</v>
      </c>
      <c r="W284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4" s="1" t="str">
        <f>IFERROR(INDEX(_group_[],MATCH(CONCATENATE(ВСЕ_КОДЫ[[#This Row],[CONTEST_CODE]],"_",X$2),#REF!,0),MATCH(X$1,_group_[#Headers],0)),"-")</f>
        <v>-</v>
      </c>
      <c r="Y284" s="1" t="str">
        <f>IFERROR(INDEX(_group_[],MATCH(CONCATENATE(ВСЕ_КОДЫ[[#This Row],[CONTEST_CODE]],"_",Y$2),#REF!,0),MATCH(Y$1,_group_[#Headers],0)),"-")</f>
        <v>-</v>
      </c>
      <c r="Z284" s="1" t="str">
        <f>IFERROR(INDEX(_group_[],MATCH(CONCATENATE(ВСЕ_КОДЫ[[#This Row],[CONTEST_CODE]],"_",Z$2),#REF!,0),MATCH(Z$1,_group_[#Headers],0)),"-")</f>
        <v>-</v>
      </c>
      <c r="AA284" s="1" t="str">
        <f>IFERROR(INDEX(_group_[],MATCH(CONCATENATE(ВСЕ_КОДЫ[[#This Row],[CONTEST_CODE]],"_",AA$2),#REF!,0),MATCH(AA$1,_group_[#Headers],0)),"-")</f>
        <v>-</v>
      </c>
      <c r="AB284" s="1" t="str">
        <f>IFERROR(INDEX(_DATA_[],MATCH(ВСЕ_КОДЫ[[#This Row],[CONTEST_CODE]],_DATA_[CONTEST_CODE],0),MATCH($AB$2,_DATA_[#Headers],0)),"-")</f>
        <v>["""KMKKSB"""]</v>
      </c>
      <c r="AC284" s="1" t="str">
        <f>CONCATENATE(ВСЕ_КОДЫ[[#This Row],[CONTEST_CODE]],"_",ВСЕ_КОДЫ[[#This Row],[TOURNAMENT_CODE]])</f>
        <v>CONTEST_30_TOURNAMENT_30_08</v>
      </c>
      <c r="AD284" s="1" t="str">
        <f>ВСЕ_КОДЫ[[#This Row],[FULL_NAME]]</f>
        <v>Пассивы. Максимизируй прирост остатка</v>
      </c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idden="1" x14ac:dyDescent="0.25">
      <c r="A285" s="1" t="s">
        <v>8</v>
      </c>
      <c r="B285" s="1" t="s">
        <v>1281</v>
      </c>
      <c r="C285" s="1" t="s">
        <v>448</v>
      </c>
      <c r="D285" s="1" t="s">
        <v>586</v>
      </c>
      <c r="E285" s="1" t="s">
        <v>95</v>
      </c>
      <c r="F285" s="1" t="s">
        <v>26</v>
      </c>
      <c r="G285" s="1" t="s">
        <v>27</v>
      </c>
      <c r="H285" s="1" t="s">
        <v>28</v>
      </c>
      <c r="I285" s="1" t="s">
        <v>50</v>
      </c>
      <c r="J285" s="1" t="s">
        <v>1225</v>
      </c>
      <c r="K285" s="1" t="s">
        <v>1070</v>
      </c>
      <c r="L285" s="1" t="s">
        <v>1712</v>
      </c>
      <c r="M285" s="1" t="s">
        <v>176</v>
      </c>
      <c r="N285" s="1" t="s">
        <v>305</v>
      </c>
      <c r="O285" s="1" t="s">
        <v>449</v>
      </c>
      <c r="P285" s="1"/>
      <c r="Q285" s="1">
        <f>IFERROR(COUNTIFS(_report[TOURNAMENT_CODE],ВСЕ_КОДЫ[[#This Row],[TOURNAMENT_CODE]],_report[CONTEST_CODE],ВСЕ_КОДЫ[[#This Row],[CONTEST_CODE]]),"-")</f>
        <v>0</v>
      </c>
      <c r="R285" s="1" t="str">
        <f>IFERROR(INDEX(_SCHEDULE_[],MATCH(ВСЕ_КОДЫ[[#This Row],[CONTEST_CODE]],_SCHEDULE_[CONTEST_CODE],0),MATCH($R$1,_SCHEDULE_[#Headers],0)),"-")</f>
        <v>ЗАВЕРШЕН</v>
      </c>
      <c r="S285" s="1" t="str">
        <f>IFERROR(INDEX(_group_[],MATCH(ВСЕ_КОДЫ[[#This Row],[CONTEST_CODE]],_group_[CONTEST_CODE],0),MATCH($S$1,_group_[#Headers],0)),"-")</f>
        <v>BANK</v>
      </c>
      <c r="T285" s="1" t="str">
        <f>IFERROR(INDEX(_INDICATOR_[],MATCH(ВСЕ_КОДЫ[[#This Row],[CONTEST_CODE]],_INDICATOR_[CONTEST_CODE],0),MATCH($T$1,_INDICATOR_[#Headers],0)),"-")</f>
        <v>WAIT</v>
      </c>
      <c r="U285" s="1" t="str">
        <f>IFERROR(INDEX(_reward_link_[],MATCH(ВСЕ_КОДЫ[[#This Row],[CONTEST_CODE]],_reward_link_[CONTEST_CODE],0),MATCH($U$1,_reward_link_[#Headers],0)),"-")</f>
        <v>TB</v>
      </c>
      <c r="V285" s="1" t="str">
        <f>IFERROR(INDEX(_report[],MATCH(ВСЕ_КОДЫ[[#This Row],[CONTEST_CODE]],_report[CONTEST_CODE],0),MATCH($V$1,_report[#Headers],0)),"-")</f>
        <v>-</v>
      </c>
      <c r="W285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5" s="1" t="str">
        <f>IFERROR(INDEX(_group_[],MATCH(CONCATENATE(ВСЕ_КОДЫ[[#This Row],[CONTEST_CODE]],"_",X$2),#REF!,0),MATCH(X$1,_group_[#Headers],0)),"-")</f>
        <v>-</v>
      </c>
      <c r="Y285" s="1" t="str">
        <f>IFERROR(INDEX(_group_[],MATCH(CONCATENATE(ВСЕ_КОДЫ[[#This Row],[CONTEST_CODE]],"_",Y$2),#REF!,0),MATCH(Y$1,_group_[#Headers],0)),"-")</f>
        <v>-</v>
      </c>
      <c r="Z285" s="1" t="str">
        <f>IFERROR(INDEX(_group_[],MATCH(CONCATENATE(ВСЕ_КОДЫ[[#This Row],[CONTEST_CODE]],"_",Z$2),#REF!,0),MATCH(Z$1,_group_[#Headers],0)),"-")</f>
        <v>-</v>
      </c>
      <c r="AA285" s="1" t="str">
        <f>IFERROR(INDEX(_group_[],MATCH(CONCATENATE(ВСЕ_КОДЫ[[#This Row],[CONTEST_CODE]],"_",AA$2),#REF!,0),MATCH(AA$1,_group_[#Headers],0)),"-")</f>
        <v>-</v>
      </c>
      <c r="AB285" s="1" t="str">
        <f>IFERROR(INDEX(_DATA_[],MATCH(ВСЕ_КОДЫ[[#This Row],[CONTEST_CODE]],_DATA_[CONTEST_CODE],0),MATCH($AB$2,_DATA_[#Headers],0)),"-")</f>
        <v>["""KMKKSB"""]</v>
      </c>
      <c r="AC285" s="1" t="str">
        <f>CONCATENATE(ВСЕ_КОДЫ[[#This Row],[CONTEST_CODE]],"_",ВСЕ_КОДЫ[[#This Row],[TOURNAMENT_CODE]])</f>
        <v>CONTEST_30_TOURNAMENT_30_09</v>
      </c>
      <c r="AD285" s="1" t="str">
        <f>ВСЕ_КОДЫ[[#This Row],[FULL_NAME]]</f>
        <v>Пассивы. Максимизируй прирост остатка</v>
      </c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idden="1" x14ac:dyDescent="0.25">
      <c r="A286" s="1" t="s">
        <v>8</v>
      </c>
      <c r="B286" s="1" t="s">
        <v>1647</v>
      </c>
      <c r="C286" s="1" t="s">
        <v>448</v>
      </c>
      <c r="D286" s="1" t="s">
        <v>586</v>
      </c>
      <c r="E286" s="1" t="s">
        <v>95</v>
      </c>
      <c r="F286" s="1" t="s">
        <v>26</v>
      </c>
      <c r="G286" s="1" t="s">
        <v>27</v>
      </c>
      <c r="H286" s="1" t="s">
        <v>28</v>
      </c>
      <c r="I286" s="1" t="s">
        <v>50</v>
      </c>
      <c r="J286" s="1" t="s">
        <v>1308</v>
      </c>
      <c r="K286" s="1" t="s">
        <v>1638</v>
      </c>
      <c r="L286" s="1" t="s">
        <v>1639</v>
      </c>
      <c r="M286" s="1" t="s">
        <v>176</v>
      </c>
      <c r="N286" s="1" t="s">
        <v>305</v>
      </c>
      <c r="O286" s="1" t="s">
        <v>449</v>
      </c>
      <c r="P286" s="1"/>
      <c r="Q286" s="1">
        <f>IFERROR(COUNTIFS(_report[TOURNAMENT_CODE],ВСЕ_КОДЫ[[#This Row],[TOURNAMENT_CODE]],_report[CONTEST_CODE],ВСЕ_КОДЫ[[#This Row],[CONTEST_CODE]]),"-")</f>
        <v>0</v>
      </c>
      <c r="R286" s="1" t="str">
        <f>IFERROR(INDEX(_SCHEDULE_[],MATCH(ВСЕ_КОДЫ[[#This Row],[CONTEST_CODE]],_SCHEDULE_[CONTEST_CODE],0),MATCH($R$1,_SCHEDULE_[#Headers],0)),"-")</f>
        <v>ЗАВЕРШЕН</v>
      </c>
      <c r="S286" s="1" t="str">
        <f>IFERROR(INDEX(_group_[],MATCH(ВСЕ_КОДЫ[[#This Row],[CONTEST_CODE]],_group_[CONTEST_CODE],0),MATCH($S$1,_group_[#Headers],0)),"-")</f>
        <v>BANK</v>
      </c>
      <c r="T286" s="1" t="str">
        <f>IFERROR(INDEX(_INDICATOR_[],MATCH(ВСЕ_КОДЫ[[#This Row],[CONTEST_CODE]],_INDICATOR_[CONTEST_CODE],0),MATCH($T$1,_INDICATOR_[#Headers],0)),"-")</f>
        <v>WAIT</v>
      </c>
      <c r="U286" s="1" t="str">
        <f>IFERROR(INDEX(_reward_link_[],MATCH(ВСЕ_КОДЫ[[#This Row],[CONTEST_CODE]],_reward_link_[CONTEST_CODE],0),MATCH($U$1,_reward_link_[#Headers],0)),"-")</f>
        <v>TB</v>
      </c>
      <c r="V286" s="1" t="str">
        <f>IFERROR(INDEX(_report[],MATCH(ВСЕ_КОДЫ[[#This Row],[CONTEST_CODE]],_report[CONTEST_CODE],0),MATCH($V$1,_report[#Headers],0)),"-")</f>
        <v>-</v>
      </c>
      <c r="W286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6" s="1" t="str">
        <f>IFERROR(INDEX(_group_[],MATCH(CONCATENATE(ВСЕ_КОДЫ[[#This Row],[CONTEST_CODE]],"_",X$2),#REF!,0),MATCH(X$1,_group_[#Headers],0)),"-")</f>
        <v>-</v>
      </c>
      <c r="Y286" s="1" t="str">
        <f>IFERROR(INDEX(_group_[],MATCH(CONCATENATE(ВСЕ_КОДЫ[[#This Row],[CONTEST_CODE]],"_",Y$2),#REF!,0),MATCH(Y$1,_group_[#Headers],0)),"-")</f>
        <v>-</v>
      </c>
      <c r="Z286" s="1" t="str">
        <f>IFERROR(INDEX(_group_[],MATCH(CONCATENATE(ВСЕ_КОДЫ[[#This Row],[CONTEST_CODE]],"_",Z$2),#REF!,0),MATCH(Z$1,_group_[#Headers],0)),"-")</f>
        <v>-</v>
      </c>
      <c r="AA286" s="1" t="str">
        <f>IFERROR(INDEX(_group_[],MATCH(CONCATENATE(ВСЕ_КОДЫ[[#This Row],[CONTEST_CODE]],"_",AA$2),#REF!,0),MATCH(AA$1,_group_[#Headers],0)),"-")</f>
        <v>-</v>
      </c>
      <c r="AB286" s="1" t="str">
        <f>IFERROR(INDEX(_DATA_[],MATCH(ВСЕ_КОДЫ[[#This Row],[CONTEST_CODE]],_DATA_[CONTEST_CODE],0),MATCH($AB$2,_DATA_[#Headers],0)),"-")</f>
        <v>["""KMKKSB"""]</v>
      </c>
      <c r="AC286" s="1" t="str">
        <f>CONCATENATE(ВСЕ_КОДЫ[[#This Row],[CONTEST_CODE]],"_",ВСЕ_КОДЫ[[#This Row],[TOURNAMENT_CODE]])</f>
        <v>CONTEST_30_TOURNAMENT_30_2024_M10</v>
      </c>
      <c r="AD286" s="1" t="str">
        <f>ВСЕ_КОДЫ[[#This Row],[FULL_NAME]]</f>
        <v>Пассивы. Максимизируй прирост остатка</v>
      </c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idden="1" x14ac:dyDescent="0.25">
      <c r="A287" s="1" t="s">
        <v>8</v>
      </c>
      <c r="B287" s="1" t="s">
        <v>1810</v>
      </c>
      <c r="C287" s="1" t="s">
        <v>448</v>
      </c>
      <c r="D287" s="1" t="s">
        <v>586</v>
      </c>
      <c r="E287" s="1" t="s">
        <v>95</v>
      </c>
      <c r="F287" s="1" t="s">
        <v>26</v>
      </c>
      <c r="G287" s="1" t="s">
        <v>27</v>
      </c>
      <c r="H287" s="1" t="s">
        <v>28</v>
      </c>
      <c r="I287" s="1" t="s">
        <v>50</v>
      </c>
      <c r="J287" s="1" t="s">
        <v>1800</v>
      </c>
      <c r="K287" s="1" t="s">
        <v>1801</v>
      </c>
      <c r="L287" s="1" t="s">
        <v>1802</v>
      </c>
      <c r="M287" s="1" t="s">
        <v>155</v>
      </c>
      <c r="N287" s="1" t="s">
        <v>305</v>
      </c>
      <c r="O287" s="1" t="s">
        <v>449</v>
      </c>
      <c r="P287" s="1"/>
      <c r="Q287" s="1">
        <f>IFERROR(COUNTIFS(_report[TOURNAMENT_CODE],ВСЕ_КОДЫ[[#This Row],[TOURNAMENT_CODE]],_report[CONTEST_CODE],ВСЕ_КОДЫ[[#This Row],[CONTEST_CODE]]),"-")</f>
        <v>0</v>
      </c>
      <c r="R287" s="1" t="str">
        <f>IFERROR(INDEX(_SCHEDULE_[],MATCH(ВСЕ_КОДЫ[[#This Row],[CONTEST_CODE]],_SCHEDULE_[CONTEST_CODE],0),MATCH($R$1,_SCHEDULE_[#Headers],0)),"-")</f>
        <v>ЗАВЕРШЕН</v>
      </c>
      <c r="S287" s="1" t="str">
        <f>IFERROR(INDEX(_group_[],MATCH(ВСЕ_КОДЫ[[#This Row],[CONTEST_CODE]],_group_[CONTEST_CODE],0),MATCH($S$1,_group_[#Headers],0)),"-")</f>
        <v>BANK</v>
      </c>
      <c r="T287" s="1" t="str">
        <f>IFERROR(INDEX(_INDICATOR_[],MATCH(ВСЕ_КОДЫ[[#This Row],[CONTEST_CODE]],_INDICATOR_[CONTEST_CODE],0),MATCH($T$1,_INDICATOR_[#Headers],0)),"-")</f>
        <v>WAIT</v>
      </c>
      <c r="U287" s="1" t="str">
        <f>IFERROR(INDEX(_reward_link_[],MATCH(ВСЕ_КОДЫ[[#This Row],[CONTEST_CODE]],_reward_link_[CONTEST_CODE],0),MATCH($U$1,_reward_link_[#Headers],0)),"-")</f>
        <v>TB</v>
      </c>
      <c r="V287" s="1" t="str">
        <f>IFERROR(INDEX(_report[],MATCH(ВСЕ_КОДЫ[[#This Row],[CONTEST_CODE]],_report[CONTEST_CODE],0),MATCH($V$1,_report[#Headers],0)),"-")</f>
        <v>-</v>
      </c>
      <c r="W287" s="1" t="str">
        <f>IFERROR(INDEX(_reward_[],MATCH(ВСЕ_КОДЫ[[#This Row],[REWARD_CODE]],_reward_[REWARD_CODE],0),MATCH($W$1,_reward_[#Headers],0)),"-")</f>
        <v>Победитель ТБ по приросту остатка Пассивов</v>
      </c>
      <c r="X287" s="1" t="str">
        <f>IFERROR(INDEX(_group_[],MATCH(CONCATENATE(ВСЕ_КОДЫ[[#This Row],[CONTEST_CODE]],"_",X$2),#REF!,0),MATCH(X$1,_group_[#Headers],0)),"-")</f>
        <v>-</v>
      </c>
      <c r="Y287" s="1" t="str">
        <f>IFERROR(INDEX(_group_[],MATCH(CONCATENATE(ВСЕ_КОДЫ[[#This Row],[CONTEST_CODE]],"_",Y$2),#REF!,0),MATCH(Y$1,_group_[#Headers],0)),"-")</f>
        <v>-</v>
      </c>
      <c r="Z287" s="1" t="str">
        <f>IFERROR(INDEX(_group_[],MATCH(CONCATENATE(ВСЕ_КОДЫ[[#This Row],[CONTEST_CODE]],"_",Z$2),#REF!,0),MATCH(Z$1,_group_[#Headers],0)),"-")</f>
        <v>-</v>
      </c>
      <c r="AA287" s="1" t="str">
        <f>IFERROR(INDEX(_group_[],MATCH(CONCATENATE(ВСЕ_КОДЫ[[#This Row],[CONTEST_CODE]],"_",AA$2),#REF!,0),MATCH(AA$1,_group_[#Headers],0)),"-")</f>
        <v>-</v>
      </c>
      <c r="AB287" s="1" t="str">
        <f>IFERROR(INDEX(_DATA_[],MATCH(ВСЕ_КОДЫ[[#This Row],[CONTEST_CODE]],_DATA_[CONTEST_CODE],0),MATCH($AB$2,_DATA_[#Headers],0)),"-")</f>
        <v>["""KMKKSB"""]</v>
      </c>
      <c r="AC287" s="1" t="str">
        <f>CONCATENATE(ВСЕ_КОДЫ[[#This Row],[CONTEST_CODE]],"_",ВСЕ_КОДЫ[[#This Row],[TOURNAMENT_CODE]])</f>
        <v>CONTEST_30_TOURNAMENT_30_2024_M11</v>
      </c>
      <c r="AD287" s="1" t="str">
        <f>ВСЕ_КОДЫ[[#This Row],[FULL_NAME]]</f>
        <v>Пассивы. Максимизируй прирост остатка</v>
      </c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idden="1" x14ac:dyDescent="0.25">
      <c r="A288" s="1" t="s">
        <v>97</v>
      </c>
      <c r="B288" s="1" t="s">
        <v>282</v>
      </c>
      <c r="C288" s="1" t="s">
        <v>454</v>
      </c>
      <c r="D288" s="1" t="s">
        <v>583</v>
      </c>
      <c r="E288" s="1" t="s">
        <v>98</v>
      </c>
      <c r="F288" s="1" t="s">
        <v>26</v>
      </c>
      <c r="G288" s="1" t="s">
        <v>27</v>
      </c>
      <c r="H288" s="1" t="s">
        <v>28</v>
      </c>
      <c r="I288" s="1" t="s">
        <v>29</v>
      </c>
      <c r="J288" s="1" t="s">
        <v>192</v>
      </c>
      <c r="K288" s="1" t="s">
        <v>1275</v>
      </c>
      <c r="L288" s="1" t="s">
        <v>1275</v>
      </c>
      <c r="M288" s="1" t="s">
        <v>176</v>
      </c>
      <c r="N288" s="1" t="s">
        <v>305</v>
      </c>
      <c r="O288" s="1" t="s">
        <v>455</v>
      </c>
      <c r="P288" s="1"/>
      <c r="Q288" s="1">
        <f>IFERROR(COUNTIFS(_report[TOURNAMENT_CODE],ВСЕ_КОДЫ[[#This Row],[TOURNAMENT_CODE]],_report[CONTEST_CODE],ВСЕ_КОДЫ[[#This Row],[CONTEST_CODE]]),"-")</f>
        <v>0</v>
      </c>
      <c r="R288" s="1" t="str">
        <f>IFERROR(INDEX(_SCHEDULE_[],MATCH(ВСЕ_КОДЫ[[#This Row],[CONTEST_CODE]],_SCHEDULE_[CONTEST_CODE],0),MATCH($R$1,_SCHEDULE_[#Headers],0)),"-")</f>
        <v>ЗАВЕРШЕН</v>
      </c>
      <c r="S288" s="1" t="str">
        <f>IFERROR(INDEX(_group_[],MATCH(ВСЕ_КОДЫ[[#This Row],[CONTEST_CODE]],_group_[CONTEST_CODE],0),MATCH($S$1,_group_[#Headers],0)),"-")</f>
        <v>BANK</v>
      </c>
      <c r="T288" s="1" t="str">
        <f>IFERROR(INDEX(_INDICATOR_[],MATCH(ВСЕ_КОДЫ[[#This Row],[CONTEST_CODE]],_INDICATOR_[CONTEST_CODE],0),MATCH($T$1,_INDICATOR_[#Headers],0)),"-")</f>
        <v>WAIT</v>
      </c>
      <c r="U288" s="1" t="str">
        <f>IFERROR(INDEX(_reward_link_[],MATCH(ВСЕ_КОДЫ[[#This Row],[CONTEST_CODE]],_reward_link_[CONTEST_CODE],0),MATCH($U$1,_reward_link_[#Headers],0)),"-")</f>
        <v>BANK</v>
      </c>
      <c r="V288" s="1" t="str">
        <f>IFERROR(INDEX(_report[],MATCH(ВСЕ_КОДЫ[[#This Row],[CONTEST_CODE]],_report[CONTEST_CODE],0),MATCH($V$1,_report[#Headers],0)),"-")</f>
        <v>-</v>
      </c>
      <c r="W288" s="1" t="str">
        <f>IFERROR(INDEX(_reward_[],MATCH(ВСЕ_КОДЫ[[#This Row],[REWARD_CODE]],_reward_[REWARD_CODE],0),MATCH($W$1,_reward_[#Headers],0)),"-")</f>
        <v>Защита бизнеса 360. Первая продажа</v>
      </c>
      <c r="X288" s="1" t="str">
        <f>IFERROR(INDEX(_group_[],MATCH(CONCATENATE(ВСЕ_КОДЫ[[#This Row],[CONTEST_CODE]],"_",X$2),#REF!,0),MATCH(X$1,_group_[#Headers],0)),"-")</f>
        <v>-</v>
      </c>
      <c r="Y288" s="1" t="str">
        <f>IFERROR(INDEX(_group_[],MATCH(CONCATENATE(ВСЕ_КОДЫ[[#This Row],[CONTEST_CODE]],"_",Y$2),#REF!,0),MATCH(Y$1,_group_[#Headers],0)),"-")</f>
        <v>-</v>
      </c>
      <c r="Z288" s="1" t="str">
        <f>IFERROR(INDEX(_group_[],MATCH(CONCATENATE(ВСЕ_КОДЫ[[#This Row],[CONTEST_CODE]],"_",Z$2),#REF!,0),MATCH(Z$1,_group_[#Headers],0)),"-")</f>
        <v>-</v>
      </c>
      <c r="AA288" s="1" t="str">
        <f>IFERROR(INDEX(_group_[],MATCH(CONCATENATE(ВСЕ_КОДЫ[[#This Row],[CONTEST_CODE]],"_",AA$2),#REF!,0),MATCH(AA$1,_group_[#Headers],0)),"-")</f>
        <v>-</v>
      </c>
      <c r="AB288" s="1" t="str">
        <f>IFERROR(INDEX(_DATA_[],MATCH(ВСЕ_КОДЫ[[#This Row],[CONTEST_CODE]],_DATA_[CONTEST_CODE],0),MATCH($AB$2,_DATA_[#Headers],0)),"-")</f>
        <v>["""KMKKSB"""]</v>
      </c>
      <c r="AC288" s="1" t="str">
        <f>CONCATENATE(ВСЕ_КОДЫ[[#This Row],[CONTEST_CODE]],"_",ВСЕ_КОДЫ[[#This Row],[TOURNAMENT_CODE]])</f>
        <v>CONTEST_31_TOURNAMENT_31_01</v>
      </c>
      <c r="AD288" s="1" t="str">
        <f>ВСЕ_КОДЫ[[#This Row],[FULL_NAME]]</f>
        <v>Защита 360. Первая продажа</v>
      </c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idden="1" x14ac:dyDescent="0.25">
      <c r="A289" s="1" t="s">
        <v>99</v>
      </c>
      <c r="B289" s="1" t="s">
        <v>283</v>
      </c>
      <c r="C289" s="1" t="s">
        <v>463</v>
      </c>
      <c r="D289" s="1" t="s">
        <v>586</v>
      </c>
      <c r="E289" s="1" t="s">
        <v>100</v>
      </c>
      <c r="F289" s="1" t="s">
        <v>26</v>
      </c>
      <c r="G289" s="1" t="s">
        <v>27</v>
      </c>
      <c r="H289" s="1" t="s">
        <v>28</v>
      </c>
      <c r="I289" s="1" t="s">
        <v>50</v>
      </c>
      <c r="J289" s="1" t="s">
        <v>187</v>
      </c>
      <c r="K289" s="1" t="s">
        <v>188</v>
      </c>
      <c r="L289" s="1" t="s">
        <v>188</v>
      </c>
      <c r="M289" s="1" t="s">
        <v>176</v>
      </c>
      <c r="N289" s="1" t="s">
        <v>305</v>
      </c>
      <c r="O289" s="1" t="s">
        <v>464</v>
      </c>
      <c r="P289" s="1"/>
      <c r="Q289" s="1">
        <f>IFERROR(COUNTIFS(_report[TOURNAMENT_CODE],ВСЕ_КОДЫ[[#This Row],[TOURNAMENT_CODE]],_report[CONTEST_CODE],ВСЕ_КОДЫ[[#This Row],[CONTEST_CODE]]),"-")</f>
        <v>0</v>
      </c>
      <c r="R289" s="1" t="str">
        <f>IFERROR(INDEX(_SCHEDULE_[],MATCH(ВСЕ_КОДЫ[[#This Row],[CONTEST_CODE]],_SCHEDULE_[CONTEST_CODE],0),MATCH($R$1,_SCHEDULE_[#Headers],0)),"-")</f>
        <v>ЗАВЕРШЕН</v>
      </c>
      <c r="S289" s="1" t="str">
        <f>IFERROR(INDEX(_group_[],MATCH(ВСЕ_КОДЫ[[#This Row],[CONTEST_CODE]],_group_[CONTEST_CODE],0),MATCH($S$1,_group_[#Headers],0)),"-")</f>
        <v>BANK</v>
      </c>
      <c r="T289" s="1" t="str">
        <f>IFERROR(INDEX(_INDICATOR_[],MATCH(ВСЕ_КОДЫ[[#This Row],[CONTEST_CODE]],_INDICATOR_[CONTEST_CODE],0),MATCH($T$1,_INDICATOR_[#Headers],0)),"-")</f>
        <v>WAIT</v>
      </c>
      <c r="U289" s="1" t="str">
        <f>IFERROR(INDEX(_reward_link_[],MATCH(ВСЕ_КОДЫ[[#This Row],[CONTEST_CODE]],_reward_link_[CONTEST_CODE],0),MATCH($U$1,_reward_link_[#Headers],0)),"-")</f>
        <v>TB</v>
      </c>
      <c r="V289" s="1" t="str">
        <f>IFERROR(INDEX(_report[],MATCH(ВСЕ_КОДЫ[[#This Row],[CONTEST_CODE]],_report[CONTEST_CODE],0),MATCH($V$1,_report[#Headers],0)),"-")</f>
        <v>-</v>
      </c>
      <c r="W289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89" s="1" t="str">
        <f>IFERROR(INDEX(_group_[],MATCH(CONCATENATE(ВСЕ_КОДЫ[[#This Row],[CONTEST_CODE]],"_",X$2),#REF!,0),MATCH(X$1,_group_[#Headers],0)),"-")</f>
        <v>-</v>
      </c>
      <c r="Y289" s="1" t="str">
        <f>IFERROR(INDEX(_group_[],MATCH(CONCATENATE(ВСЕ_КОДЫ[[#This Row],[CONTEST_CODE]],"_",Y$2),#REF!,0),MATCH(Y$1,_group_[#Headers],0)),"-")</f>
        <v>-</v>
      </c>
      <c r="Z289" s="1" t="str">
        <f>IFERROR(INDEX(_group_[],MATCH(CONCATENATE(ВСЕ_КОДЫ[[#This Row],[CONTEST_CODE]],"_",Z$2),#REF!,0),MATCH(Z$1,_group_[#Headers],0)),"-")</f>
        <v>-</v>
      </c>
      <c r="AA289" s="1" t="str">
        <f>IFERROR(INDEX(_group_[],MATCH(CONCATENATE(ВСЕ_КОДЫ[[#This Row],[CONTEST_CODE]],"_",AA$2),#REF!,0),MATCH(AA$1,_group_[#Headers],0)),"-")</f>
        <v>-</v>
      </c>
      <c r="AB289" s="1" t="str">
        <f>IFERROR(INDEX(_DATA_[],MATCH(ВСЕ_КОДЫ[[#This Row],[CONTEST_CODE]],_DATA_[CONTEST_CODE],0),MATCH($AB$2,_DATA_[#Headers],0)),"-")</f>
        <v>["""KMKKSB"""]</v>
      </c>
      <c r="AC289" s="1" t="str">
        <f>CONCATENATE(ВСЕ_КОДЫ[[#This Row],[CONTEST_CODE]],"_",ВСЕ_КОДЫ[[#This Row],[TOURNAMENT_CODE]])</f>
        <v>CONTEST_32_TOURNAMENT_32_03</v>
      </c>
      <c r="AD289" s="1" t="str">
        <f>ВСЕ_КОДЫ[[#This Row],[FULL_NAME]]</f>
        <v>Страхование. Рыночные продажи</v>
      </c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idden="1" x14ac:dyDescent="0.25">
      <c r="A290" s="1" t="s">
        <v>99</v>
      </c>
      <c r="B290" s="1" t="s">
        <v>284</v>
      </c>
      <c r="C290" s="1" t="s">
        <v>463</v>
      </c>
      <c r="D290" s="1" t="s">
        <v>586</v>
      </c>
      <c r="E290" s="1" t="s">
        <v>100</v>
      </c>
      <c r="F290" s="1" t="s">
        <v>26</v>
      </c>
      <c r="G290" s="1" t="s">
        <v>27</v>
      </c>
      <c r="H290" s="1" t="s">
        <v>28</v>
      </c>
      <c r="I290" s="1" t="s">
        <v>50</v>
      </c>
      <c r="J290" s="1" t="s">
        <v>192</v>
      </c>
      <c r="K290" s="1" t="s">
        <v>193</v>
      </c>
      <c r="L290" s="1" t="s">
        <v>195</v>
      </c>
      <c r="M290" s="1" t="s">
        <v>176</v>
      </c>
      <c r="N290" s="1" t="s">
        <v>305</v>
      </c>
      <c r="O290" s="1" t="s">
        <v>464</v>
      </c>
      <c r="P290" s="1"/>
      <c r="Q290" s="1">
        <f>IFERROR(COUNTIFS(_report[TOURNAMENT_CODE],ВСЕ_КОДЫ[[#This Row],[TOURNAMENT_CODE]],_report[CONTEST_CODE],ВСЕ_КОДЫ[[#This Row],[CONTEST_CODE]]),"-")</f>
        <v>0</v>
      </c>
      <c r="R290" s="1" t="str">
        <f>IFERROR(INDEX(_SCHEDULE_[],MATCH(ВСЕ_КОДЫ[[#This Row],[CONTEST_CODE]],_SCHEDULE_[CONTEST_CODE],0),MATCH($R$1,_SCHEDULE_[#Headers],0)),"-")</f>
        <v>ЗАВЕРШЕН</v>
      </c>
      <c r="S290" s="1" t="str">
        <f>IFERROR(INDEX(_group_[],MATCH(ВСЕ_КОДЫ[[#This Row],[CONTEST_CODE]],_group_[CONTEST_CODE],0),MATCH($S$1,_group_[#Headers],0)),"-")</f>
        <v>BANK</v>
      </c>
      <c r="T290" s="1" t="str">
        <f>IFERROR(INDEX(_INDICATOR_[],MATCH(ВСЕ_КОДЫ[[#This Row],[CONTEST_CODE]],_INDICATOR_[CONTEST_CODE],0),MATCH($T$1,_INDICATOR_[#Headers],0)),"-")</f>
        <v>WAIT</v>
      </c>
      <c r="U290" s="1" t="str">
        <f>IFERROR(INDEX(_reward_link_[],MATCH(ВСЕ_КОДЫ[[#This Row],[CONTEST_CODE]],_reward_link_[CONTEST_CODE],0),MATCH($U$1,_reward_link_[#Headers],0)),"-")</f>
        <v>TB</v>
      </c>
      <c r="V290" s="1" t="str">
        <f>IFERROR(INDEX(_report[],MATCH(ВСЕ_КОДЫ[[#This Row],[CONTEST_CODE]],_report[CONTEST_CODE],0),MATCH($V$1,_report[#Headers],0)),"-")</f>
        <v>-</v>
      </c>
      <c r="W290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0" s="1" t="str">
        <f>IFERROR(INDEX(_group_[],MATCH(CONCATENATE(ВСЕ_КОДЫ[[#This Row],[CONTEST_CODE]],"_",X$2),#REF!,0),MATCH(X$1,_group_[#Headers],0)),"-")</f>
        <v>-</v>
      </c>
      <c r="Y290" s="1" t="str">
        <f>IFERROR(INDEX(_group_[],MATCH(CONCATENATE(ВСЕ_КОДЫ[[#This Row],[CONTEST_CODE]],"_",Y$2),#REF!,0),MATCH(Y$1,_group_[#Headers],0)),"-")</f>
        <v>-</v>
      </c>
      <c r="Z290" s="1" t="str">
        <f>IFERROR(INDEX(_group_[],MATCH(CONCATENATE(ВСЕ_КОДЫ[[#This Row],[CONTEST_CODE]],"_",Z$2),#REF!,0),MATCH(Z$1,_group_[#Headers],0)),"-")</f>
        <v>-</v>
      </c>
      <c r="AA290" s="1" t="str">
        <f>IFERROR(INDEX(_group_[],MATCH(CONCATENATE(ВСЕ_КОДЫ[[#This Row],[CONTEST_CODE]],"_",AA$2),#REF!,0),MATCH(AA$1,_group_[#Headers],0)),"-")</f>
        <v>-</v>
      </c>
      <c r="AB290" s="1" t="str">
        <f>IFERROR(INDEX(_DATA_[],MATCH(ВСЕ_КОДЫ[[#This Row],[CONTEST_CODE]],_DATA_[CONTEST_CODE],0),MATCH($AB$2,_DATA_[#Headers],0)),"-")</f>
        <v>["""KMKKSB"""]</v>
      </c>
      <c r="AC290" s="1" t="str">
        <f>CONCATENATE(ВСЕ_КОДЫ[[#This Row],[CONTEST_CODE]],"_",ВСЕ_КОДЫ[[#This Row],[TOURNAMENT_CODE]])</f>
        <v>CONTEST_32_TOURNAMENT_32_04</v>
      </c>
      <c r="AD290" s="1" t="str">
        <f>ВСЕ_КОДЫ[[#This Row],[FULL_NAME]]</f>
        <v>Страхование. Рыночные продажи</v>
      </c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idden="1" x14ac:dyDescent="0.25">
      <c r="A291" s="1" t="s">
        <v>99</v>
      </c>
      <c r="B291" s="1" t="s">
        <v>637</v>
      </c>
      <c r="C291" s="1" t="s">
        <v>463</v>
      </c>
      <c r="D291" s="1" t="s">
        <v>586</v>
      </c>
      <c r="E291" s="1" t="s">
        <v>100</v>
      </c>
      <c r="F291" s="1" t="s">
        <v>26</v>
      </c>
      <c r="G291" s="1" t="s">
        <v>27</v>
      </c>
      <c r="H291" s="1" t="s">
        <v>28</v>
      </c>
      <c r="I291" s="1" t="s">
        <v>50</v>
      </c>
      <c r="J291" s="1" t="s">
        <v>245</v>
      </c>
      <c r="K291" s="1" t="s">
        <v>246</v>
      </c>
      <c r="L291" s="1" t="s">
        <v>247</v>
      </c>
      <c r="M291" s="1" t="s">
        <v>176</v>
      </c>
      <c r="N291" s="1" t="s">
        <v>305</v>
      </c>
      <c r="O291" s="1" t="s">
        <v>464</v>
      </c>
      <c r="P291" s="1"/>
      <c r="Q291" s="1">
        <f>IFERROR(COUNTIFS(_report[TOURNAMENT_CODE],ВСЕ_КОДЫ[[#This Row],[TOURNAMENT_CODE]],_report[CONTEST_CODE],ВСЕ_КОДЫ[[#This Row],[CONTEST_CODE]]),"-")</f>
        <v>0</v>
      </c>
      <c r="R291" s="1" t="str">
        <f>IFERROR(INDEX(_SCHEDULE_[],MATCH(ВСЕ_КОДЫ[[#This Row],[CONTEST_CODE]],_SCHEDULE_[CONTEST_CODE],0),MATCH($R$1,_SCHEDULE_[#Headers],0)),"-")</f>
        <v>ЗАВЕРШЕН</v>
      </c>
      <c r="S291" s="1" t="str">
        <f>IFERROR(INDEX(_group_[],MATCH(ВСЕ_КОДЫ[[#This Row],[CONTEST_CODE]],_group_[CONTEST_CODE],0),MATCH($S$1,_group_[#Headers],0)),"-")</f>
        <v>BANK</v>
      </c>
      <c r="T291" s="1" t="str">
        <f>IFERROR(INDEX(_INDICATOR_[],MATCH(ВСЕ_КОДЫ[[#This Row],[CONTEST_CODE]],_INDICATOR_[CONTEST_CODE],0),MATCH($T$1,_INDICATOR_[#Headers],0)),"-")</f>
        <v>WAIT</v>
      </c>
      <c r="U291" s="1" t="str">
        <f>IFERROR(INDEX(_reward_link_[],MATCH(ВСЕ_КОДЫ[[#This Row],[CONTEST_CODE]],_reward_link_[CONTEST_CODE],0),MATCH($U$1,_reward_link_[#Headers],0)),"-")</f>
        <v>TB</v>
      </c>
      <c r="V291" s="1" t="str">
        <f>IFERROR(INDEX(_report[],MATCH(ВСЕ_КОДЫ[[#This Row],[CONTEST_CODE]],_report[CONTEST_CODE],0),MATCH($V$1,_report[#Headers],0)),"-")</f>
        <v>-</v>
      </c>
      <c r="W291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1" s="1" t="str">
        <f>IFERROR(INDEX(_group_[],MATCH(CONCATENATE(ВСЕ_КОДЫ[[#This Row],[CONTEST_CODE]],"_",X$2),#REF!,0),MATCH(X$1,_group_[#Headers],0)),"-")</f>
        <v>-</v>
      </c>
      <c r="Y291" s="1" t="str">
        <f>IFERROR(INDEX(_group_[],MATCH(CONCATENATE(ВСЕ_КОДЫ[[#This Row],[CONTEST_CODE]],"_",Y$2),#REF!,0),MATCH(Y$1,_group_[#Headers],0)),"-")</f>
        <v>-</v>
      </c>
      <c r="Z291" s="1" t="str">
        <f>IFERROR(INDEX(_group_[],MATCH(CONCATENATE(ВСЕ_КОДЫ[[#This Row],[CONTEST_CODE]],"_",Z$2),#REF!,0),MATCH(Z$1,_group_[#Headers],0)),"-")</f>
        <v>-</v>
      </c>
      <c r="AA291" s="1" t="str">
        <f>IFERROR(INDEX(_group_[],MATCH(CONCATENATE(ВСЕ_КОДЫ[[#This Row],[CONTEST_CODE]],"_",AA$2),#REF!,0),MATCH(AA$1,_group_[#Headers],0)),"-")</f>
        <v>-</v>
      </c>
      <c r="AB291" s="1" t="str">
        <f>IFERROR(INDEX(_DATA_[],MATCH(ВСЕ_КОДЫ[[#This Row],[CONTEST_CODE]],_DATA_[CONTEST_CODE],0),MATCH($AB$2,_DATA_[#Headers],0)),"-")</f>
        <v>["""KMKKSB"""]</v>
      </c>
      <c r="AC291" s="1" t="str">
        <f>CONCATENATE(ВСЕ_КОДЫ[[#This Row],[CONTEST_CODE]],"_",ВСЕ_КОДЫ[[#This Row],[TOURNAMENT_CODE]])</f>
        <v>CONTEST_32_TOURNAMENT_32_05</v>
      </c>
      <c r="AD291" s="1" t="str">
        <f>ВСЕ_КОДЫ[[#This Row],[FULL_NAME]]</f>
        <v>Страхование. Рыночные продажи</v>
      </c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idden="1" x14ac:dyDescent="0.25">
      <c r="A292" s="1" t="s">
        <v>99</v>
      </c>
      <c r="B292" s="1" t="s">
        <v>699</v>
      </c>
      <c r="C292" s="1" t="s">
        <v>463</v>
      </c>
      <c r="D292" s="1" t="s">
        <v>586</v>
      </c>
      <c r="E292" s="1" t="s">
        <v>100</v>
      </c>
      <c r="F292" s="1" t="s">
        <v>26</v>
      </c>
      <c r="G292" s="1" t="s">
        <v>27</v>
      </c>
      <c r="H292" s="1" t="s">
        <v>28</v>
      </c>
      <c r="I292" s="1" t="s">
        <v>50</v>
      </c>
      <c r="J292" s="1" t="s">
        <v>695</v>
      </c>
      <c r="K292" s="1" t="s">
        <v>252</v>
      </c>
      <c r="L292" s="1" t="s">
        <v>1067</v>
      </c>
      <c r="M292" s="1" t="s">
        <v>176</v>
      </c>
      <c r="N292" s="1" t="s">
        <v>305</v>
      </c>
      <c r="O292" s="1" t="s">
        <v>464</v>
      </c>
      <c r="P292" s="1"/>
      <c r="Q292" s="1">
        <f>IFERROR(COUNTIFS(_report[TOURNAMENT_CODE],ВСЕ_КОДЫ[[#This Row],[TOURNAMENT_CODE]],_report[CONTEST_CODE],ВСЕ_КОДЫ[[#This Row],[CONTEST_CODE]]),"-")</f>
        <v>0</v>
      </c>
      <c r="R292" s="1" t="str">
        <f>IFERROR(INDEX(_SCHEDULE_[],MATCH(ВСЕ_КОДЫ[[#This Row],[CONTEST_CODE]],_SCHEDULE_[CONTEST_CODE],0),MATCH($R$1,_SCHEDULE_[#Headers],0)),"-")</f>
        <v>ЗАВЕРШЕН</v>
      </c>
      <c r="S292" s="1" t="str">
        <f>IFERROR(INDEX(_group_[],MATCH(ВСЕ_КОДЫ[[#This Row],[CONTEST_CODE]],_group_[CONTEST_CODE],0),MATCH($S$1,_group_[#Headers],0)),"-")</f>
        <v>BANK</v>
      </c>
      <c r="T292" s="1" t="str">
        <f>IFERROR(INDEX(_INDICATOR_[],MATCH(ВСЕ_КОДЫ[[#This Row],[CONTEST_CODE]],_INDICATOR_[CONTEST_CODE],0),MATCH($T$1,_INDICATOR_[#Headers],0)),"-")</f>
        <v>WAIT</v>
      </c>
      <c r="U292" s="1" t="str">
        <f>IFERROR(INDEX(_reward_link_[],MATCH(ВСЕ_КОДЫ[[#This Row],[CONTEST_CODE]],_reward_link_[CONTEST_CODE],0),MATCH($U$1,_reward_link_[#Headers],0)),"-")</f>
        <v>TB</v>
      </c>
      <c r="V292" s="1" t="str">
        <f>IFERROR(INDEX(_report[],MATCH(ВСЕ_КОДЫ[[#This Row],[CONTEST_CODE]],_report[CONTEST_CODE],0),MATCH($V$1,_report[#Headers],0)),"-")</f>
        <v>-</v>
      </c>
      <c r="W292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2" s="1" t="str">
        <f>IFERROR(INDEX(_group_[],MATCH(CONCATENATE(ВСЕ_КОДЫ[[#This Row],[CONTEST_CODE]],"_",X$2),#REF!,0),MATCH(X$1,_group_[#Headers],0)),"-")</f>
        <v>-</v>
      </c>
      <c r="Y292" s="1" t="str">
        <f>IFERROR(INDEX(_group_[],MATCH(CONCATENATE(ВСЕ_КОДЫ[[#This Row],[CONTEST_CODE]],"_",Y$2),#REF!,0),MATCH(Y$1,_group_[#Headers],0)),"-")</f>
        <v>-</v>
      </c>
      <c r="Z292" s="1" t="str">
        <f>IFERROR(INDEX(_group_[],MATCH(CONCATENATE(ВСЕ_КОДЫ[[#This Row],[CONTEST_CODE]],"_",Z$2),#REF!,0),MATCH(Z$1,_group_[#Headers],0)),"-")</f>
        <v>-</v>
      </c>
      <c r="AA292" s="1" t="str">
        <f>IFERROR(INDEX(_group_[],MATCH(CONCATENATE(ВСЕ_КОДЫ[[#This Row],[CONTEST_CODE]],"_",AA$2),#REF!,0),MATCH(AA$1,_group_[#Headers],0)),"-")</f>
        <v>-</v>
      </c>
      <c r="AB292" s="1" t="str">
        <f>IFERROR(INDEX(_DATA_[],MATCH(ВСЕ_КОДЫ[[#This Row],[CONTEST_CODE]],_DATA_[CONTEST_CODE],0),MATCH($AB$2,_DATA_[#Headers],0)),"-")</f>
        <v>["""KMKKSB"""]</v>
      </c>
      <c r="AC292" s="1" t="str">
        <f>CONCATENATE(ВСЕ_КОДЫ[[#This Row],[CONTEST_CODE]],"_",ВСЕ_КОДЫ[[#This Row],[TOURNAMENT_CODE]])</f>
        <v>CONTEST_32_TOURNAMENT_32_06</v>
      </c>
      <c r="AD292" s="1" t="str">
        <f>ВСЕ_КОДЫ[[#This Row],[FULL_NAME]]</f>
        <v>Страхование. Рыночные продажи</v>
      </c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idden="1" x14ac:dyDescent="0.25">
      <c r="A293" s="1" t="s">
        <v>99</v>
      </c>
      <c r="B293" s="1" t="s">
        <v>1072</v>
      </c>
      <c r="C293" s="1" t="s">
        <v>463</v>
      </c>
      <c r="D293" s="1" t="s">
        <v>586</v>
      </c>
      <c r="E293" s="1" t="s">
        <v>100</v>
      </c>
      <c r="F293" s="1" t="s">
        <v>26</v>
      </c>
      <c r="G293" s="1" t="s">
        <v>27</v>
      </c>
      <c r="H293" s="1" t="s">
        <v>28</v>
      </c>
      <c r="I293" s="1" t="s">
        <v>50</v>
      </c>
      <c r="J293" s="1" t="s">
        <v>703</v>
      </c>
      <c r="K293" s="1" t="s">
        <v>704</v>
      </c>
      <c r="L293" s="1" t="s">
        <v>1259</v>
      </c>
      <c r="M293" s="1" t="s">
        <v>176</v>
      </c>
      <c r="N293" s="1" t="s">
        <v>305</v>
      </c>
      <c r="O293" s="1" t="s">
        <v>464</v>
      </c>
      <c r="P293" s="1"/>
      <c r="Q293" s="1">
        <f>IFERROR(COUNTIFS(_report[TOURNAMENT_CODE],ВСЕ_КОДЫ[[#This Row],[TOURNAMENT_CODE]],_report[CONTEST_CODE],ВСЕ_КОДЫ[[#This Row],[CONTEST_CODE]]),"-")</f>
        <v>0</v>
      </c>
      <c r="R293" s="1" t="str">
        <f>IFERROR(INDEX(_SCHEDULE_[],MATCH(ВСЕ_КОДЫ[[#This Row],[CONTEST_CODE]],_SCHEDULE_[CONTEST_CODE],0),MATCH($R$1,_SCHEDULE_[#Headers],0)),"-")</f>
        <v>ЗАВЕРШЕН</v>
      </c>
      <c r="S293" s="1" t="str">
        <f>IFERROR(INDEX(_group_[],MATCH(ВСЕ_КОДЫ[[#This Row],[CONTEST_CODE]],_group_[CONTEST_CODE],0),MATCH($S$1,_group_[#Headers],0)),"-")</f>
        <v>BANK</v>
      </c>
      <c r="T293" s="1" t="str">
        <f>IFERROR(INDEX(_INDICATOR_[],MATCH(ВСЕ_КОДЫ[[#This Row],[CONTEST_CODE]],_INDICATOR_[CONTEST_CODE],0),MATCH($T$1,_INDICATOR_[#Headers],0)),"-")</f>
        <v>WAIT</v>
      </c>
      <c r="U293" s="1" t="str">
        <f>IFERROR(INDEX(_reward_link_[],MATCH(ВСЕ_КОДЫ[[#This Row],[CONTEST_CODE]],_reward_link_[CONTEST_CODE],0),MATCH($U$1,_reward_link_[#Headers],0)),"-")</f>
        <v>TB</v>
      </c>
      <c r="V293" s="1" t="str">
        <f>IFERROR(INDEX(_report[],MATCH(ВСЕ_КОДЫ[[#This Row],[CONTEST_CODE]],_report[CONTEST_CODE],0),MATCH($V$1,_report[#Headers],0)),"-")</f>
        <v>-</v>
      </c>
      <c r="W293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3" s="1" t="str">
        <f>IFERROR(INDEX(_group_[],MATCH(CONCATENATE(ВСЕ_КОДЫ[[#This Row],[CONTEST_CODE]],"_",X$2),#REF!,0),MATCH(X$1,_group_[#Headers],0)),"-")</f>
        <v>-</v>
      </c>
      <c r="Y293" s="1" t="str">
        <f>IFERROR(INDEX(_group_[],MATCH(CONCATENATE(ВСЕ_КОДЫ[[#This Row],[CONTEST_CODE]],"_",Y$2),#REF!,0),MATCH(Y$1,_group_[#Headers],0)),"-")</f>
        <v>-</v>
      </c>
      <c r="Z293" s="1" t="str">
        <f>IFERROR(INDEX(_group_[],MATCH(CONCATENATE(ВСЕ_КОДЫ[[#This Row],[CONTEST_CODE]],"_",Z$2),#REF!,0),MATCH(Z$1,_group_[#Headers],0)),"-")</f>
        <v>-</v>
      </c>
      <c r="AA293" s="1" t="str">
        <f>IFERROR(INDEX(_group_[],MATCH(CONCATENATE(ВСЕ_КОДЫ[[#This Row],[CONTEST_CODE]],"_",AA$2),#REF!,0),MATCH(AA$1,_group_[#Headers],0)),"-")</f>
        <v>-</v>
      </c>
      <c r="AB293" s="1" t="str">
        <f>IFERROR(INDEX(_DATA_[],MATCH(ВСЕ_КОДЫ[[#This Row],[CONTEST_CODE]],_DATA_[CONTEST_CODE],0),MATCH($AB$2,_DATA_[#Headers],0)),"-")</f>
        <v>["""KMKKSB"""]</v>
      </c>
      <c r="AC293" s="1" t="str">
        <f>CONCATENATE(ВСЕ_КОДЫ[[#This Row],[CONTEST_CODE]],"_",ВСЕ_КОДЫ[[#This Row],[TOURNAMENT_CODE]])</f>
        <v>CONTEST_32_TOURNAMENT_32_07</v>
      </c>
      <c r="AD293" s="1" t="str">
        <f>ВСЕ_КОДЫ[[#This Row],[FULL_NAME]]</f>
        <v>Страхование. Рыночные продажи</v>
      </c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idden="1" x14ac:dyDescent="0.25">
      <c r="A294" s="1" t="s">
        <v>99</v>
      </c>
      <c r="B294" s="1" t="s">
        <v>1209</v>
      </c>
      <c r="C294" s="1" t="s">
        <v>463</v>
      </c>
      <c r="D294" s="1" t="s">
        <v>586</v>
      </c>
      <c r="E294" s="1" t="s">
        <v>100</v>
      </c>
      <c r="F294" s="1" t="s">
        <v>26</v>
      </c>
      <c r="G294" s="1" t="s">
        <v>27</v>
      </c>
      <c r="H294" s="1" t="s">
        <v>28</v>
      </c>
      <c r="I294" s="1" t="s">
        <v>50</v>
      </c>
      <c r="J294" s="1" t="s">
        <v>1078</v>
      </c>
      <c r="K294" s="1" t="s">
        <v>1173</v>
      </c>
      <c r="L294" s="1" t="s">
        <v>1711</v>
      </c>
      <c r="M294" s="1" t="s">
        <v>176</v>
      </c>
      <c r="N294" s="1" t="s">
        <v>305</v>
      </c>
      <c r="O294" s="1" t="s">
        <v>464</v>
      </c>
      <c r="P294" s="1"/>
      <c r="Q294" s="1">
        <f>IFERROR(COUNTIFS(_report[TOURNAMENT_CODE],ВСЕ_КОДЫ[[#This Row],[TOURNAMENT_CODE]],_report[CONTEST_CODE],ВСЕ_КОДЫ[[#This Row],[CONTEST_CODE]]),"-")</f>
        <v>0</v>
      </c>
      <c r="R294" s="1" t="str">
        <f>IFERROR(INDEX(_SCHEDULE_[],MATCH(ВСЕ_КОДЫ[[#This Row],[CONTEST_CODE]],_SCHEDULE_[CONTEST_CODE],0),MATCH($R$1,_SCHEDULE_[#Headers],0)),"-")</f>
        <v>ЗАВЕРШЕН</v>
      </c>
      <c r="S294" s="1" t="str">
        <f>IFERROR(INDEX(_group_[],MATCH(ВСЕ_КОДЫ[[#This Row],[CONTEST_CODE]],_group_[CONTEST_CODE],0),MATCH($S$1,_group_[#Headers],0)),"-")</f>
        <v>BANK</v>
      </c>
      <c r="T294" s="1" t="str">
        <f>IFERROR(INDEX(_INDICATOR_[],MATCH(ВСЕ_КОДЫ[[#This Row],[CONTEST_CODE]],_INDICATOR_[CONTEST_CODE],0),MATCH($T$1,_INDICATOR_[#Headers],0)),"-")</f>
        <v>WAIT</v>
      </c>
      <c r="U294" s="1" t="str">
        <f>IFERROR(INDEX(_reward_link_[],MATCH(ВСЕ_КОДЫ[[#This Row],[CONTEST_CODE]],_reward_link_[CONTEST_CODE],0),MATCH($U$1,_reward_link_[#Headers],0)),"-")</f>
        <v>TB</v>
      </c>
      <c r="V294" s="1" t="str">
        <f>IFERROR(INDEX(_report[],MATCH(ВСЕ_КОДЫ[[#This Row],[CONTEST_CODE]],_report[CONTEST_CODE],0),MATCH($V$1,_report[#Headers],0)),"-")</f>
        <v>-</v>
      </c>
      <c r="W294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4" s="1" t="str">
        <f>IFERROR(INDEX(_group_[],MATCH(CONCATENATE(ВСЕ_КОДЫ[[#This Row],[CONTEST_CODE]],"_",X$2),#REF!,0),MATCH(X$1,_group_[#Headers],0)),"-")</f>
        <v>-</v>
      </c>
      <c r="Y294" s="1" t="str">
        <f>IFERROR(INDEX(_group_[],MATCH(CONCATENATE(ВСЕ_КОДЫ[[#This Row],[CONTEST_CODE]],"_",Y$2),#REF!,0),MATCH(Y$1,_group_[#Headers],0)),"-")</f>
        <v>-</v>
      </c>
      <c r="Z294" s="1" t="str">
        <f>IFERROR(INDEX(_group_[],MATCH(CONCATENATE(ВСЕ_КОДЫ[[#This Row],[CONTEST_CODE]],"_",Z$2),#REF!,0),MATCH(Z$1,_group_[#Headers],0)),"-")</f>
        <v>-</v>
      </c>
      <c r="AA294" s="1" t="str">
        <f>IFERROR(INDEX(_group_[],MATCH(CONCATENATE(ВСЕ_КОДЫ[[#This Row],[CONTEST_CODE]],"_",AA$2),#REF!,0),MATCH(AA$1,_group_[#Headers],0)),"-")</f>
        <v>-</v>
      </c>
      <c r="AB294" s="1" t="str">
        <f>IFERROR(INDEX(_DATA_[],MATCH(ВСЕ_КОДЫ[[#This Row],[CONTEST_CODE]],_DATA_[CONTEST_CODE],0),MATCH($AB$2,_DATA_[#Headers],0)),"-")</f>
        <v>["""KMKKSB"""]</v>
      </c>
      <c r="AC294" s="1" t="str">
        <f>CONCATENATE(ВСЕ_КОДЫ[[#This Row],[CONTEST_CODE]],"_",ВСЕ_КОДЫ[[#This Row],[TOURNAMENT_CODE]])</f>
        <v>CONTEST_32_TOURNAMENT_32_08</v>
      </c>
      <c r="AD294" s="1" t="str">
        <f>ВСЕ_КОДЫ[[#This Row],[FULL_NAME]]</f>
        <v>Страхование. Рыночные продажи</v>
      </c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idden="1" x14ac:dyDescent="0.25">
      <c r="A295" s="1" t="s">
        <v>99</v>
      </c>
      <c r="B295" s="1" t="s">
        <v>1282</v>
      </c>
      <c r="C295" s="1" t="s">
        <v>463</v>
      </c>
      <c r="D295" s="1" t="s">
        <v>586</v>
      </c>
      <c r="E295" s="1" t="s">
        <v>100</v>
      </c>
      <c r="F295" s="1" t="s">
        <v>26</v>
      </c>
      <c r="G295" s="1" t="s">
        <v>27</v>
      </c>
      <c r="H295" s="1" t="s">
        <v>28</v>
      </c>
      <c r="I295" s="1" t="s">
        <v>50</v>
      </c>
      <c r="J295" s="1" t="s">
        <v>1225</v>
      </c>
      <c r="K295" s="1" t="s">
        <v>1070</v>
      </c>
      <c r="L295" s="1" t="s">
        <v>1711</v>
      </c>
      <c r="M295" s="1" t="s">
        <v>176</v>
      </c>
      <c r="N295" s="1" t="s">
        <v>305</v>
      </c>
      <c r="O295" s="1" t="s">
        <v>464</v>
      </c>
      <c r="P295" s="1"/>
      <c r="Q295" s="1">
        <f>IFERROR(COUNTIFS(_report[TOURNAMENT_CODE],ВСЕ_КОДЫ[[#This Row],[TOURNAMENT_CODE]],_report[CONTEST_CODE],ВСЕ_КОДЫ[[#This Row],[CONTEST_CODE]]),"-")</f>
        <v>0</v>
      </c>
      <c r="R295" s="1" t="str">
        <f>IFERROR(INDEX(_SCHEDULE_[],MATCH(ВСЕ_КОДЫ[[#This Row],[CONTEST_CODE]],_SCHEDULE_[CONTEST_CODE],0),MATCH($R$1,_SCHEDULE_[#Headers],0)),"-")</f>
        <v>ЗАВЕРШЕН</v>
      </c>
      <c r="S295" s="1" t="str">
        <f>IFERROR(INDEX(_group_[],MATCH(ВСЕ_КОДЫ[[#This Row],[CONTEST_CODE]],_group_[CONTEST_CODE],0),MATCH($S$1,_group_[#Headers],0)),"-")</f>
        <v>BANK</v>
      </c>
      <c r="T295" s="1" t="str">
        <f>IFERROR(INDEX(_INDICATOR_[],MATCH(ВСЕ_КОДЫ[[#This Row],[CONTEST_CODE]],_INDICATOR_[CONTEST_CODE],0),MATCH($T$1,_INDICATOR_[#Headers],0)),"-")</f>
        <v>WAIT</v>
      </c>
      <c r="U295" s="1" t="str">
        <f>IFERROR(INDEX(_reward_link_[],MATCH(ВСЕ_КОДЫ[[#This Row],[CONTEST_CODE]],_reward_link_[CONTEST_CODE],0),MATCH($U$1,_reward_link_[#Headers],0)),"-")</f>
        <v>TB</v>
      </c>
      <c r="V295" s="1" t="str">
        <f>IFERROR(INDEX(_report[],MATCH(ВСЕ_КОДЫ[[#This Row],[CONTEST_CODE]],_report[CONTEST_CODE],0),MATCH($V$1,_report[#Headers],0)),"-")</f>
        <v>-</v>
      </c>
      <c r="W295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5" s="1" t="str">
        <f>IFERROR(INDEX(_group_[],MATCH(CONCATENATE(ВСЕ_КОДЫ[[#This Row],[CONTEST_CODE]],"_",X$2),#REF!,0),MATCH(X$1,_group_[#Headers],0)),"-")</f>
        <v>-</v>
      </c>
      <c r="Y295" s="1" t="str">
        <f>IFERROR(INDEX(_group_[],MATCH(CONCATENATE(ВСЕ_КОДЫ[[#This Row],[CONTEST_CODE]],"_",Y$2),#REF!,0),MATCH(Y$1,_group_[#Headers],0)),"-")</f>
        <v>-</v>
      </c>
      <c r="Z295" s="1" t="str">
        <f>IFERROR(INDEX(_group_[],MATCH(CONCATENATE(ВСЕ_КОДЫ[[#This Row],[CONTEST_CODE]],"_",Z$2),#REF!,0),MATCH(Z$1,_group_[#Headers],0)),"-")</f>
        <v>-</v>
      </c>
      <c r="AA295" s="1" t="str">
        <f>IFERROR(INDEX(_group_[],MATCH(CONCATENATE(ВСЕ_КОДЫ[[#This Row],[CONTEST_CODE]],"_",AA$2),#REF!,0),MATCH(AA$1,_group_[#Headers],0)),"-")</f>
        <v>-</v>
      </c>
      <c r="AB295" s="1" t="str">
        <f>IFERROR(INDEX(_DATA_[],MATCH(ВСЕ_КОДЫ[[#This Row],[CONTEST_CODE]],_DATA_[CONTEST_CODE],0),MATCH($AB$2,_DATA_[#Headers],0)),"-")</f>
        <v>["""KMKKSB"""]</v>
      </c>
      <c r="AC295" s="1" t="str">
        <f>CONCATENATE(ВСЕ_КОДЫ[[#This Row],[CONTEST_CODE]],"_",ВСЕ_КОДЫ[[#This Row],[TOURNAMENT_CODE]])</f>
        <v>CONTEST_32_TOURNAMENT_32_09</v>
      </c>
      <c r="AD295" s="1" t="str">
        <f>ВСЕ_КОДЫ[[#This Row],[FULL_NAME]]</f>
        <v>Страхование. Рыночные продажи</v>
      </c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idden="1" x14ac:dyDescent="0.25">
      <c r="A296" s="1" t="s">
        <v>99</v>
      </c>
      <c r="B296" s="1" t="s">
        <v>1649</v>
      </c>
      <c r="C296" s="1" t="s">
        <v>463</v>
      </c>
      <c r="D296" s="1" t="s">
        <v>586</v>
      </c>
      <c r="E296" s="1" t="s">
        <v>100</v>
      </c>
      <c r="F296" s="1" t="s">
        <v>26</v>
      </c>
      <c r="G296" s="1" t="s">
        <v>27</v>
      </c>
      <c r="H296" s="1" t="s">
        <v>28</v>
      </c>
      <c r="I296" s="1" t="s">
        <v>50</v>
      </c>
      <c r="J296" s="1" t="s">
        <v>1308</v>
      </c>
      <c r="K296" s="1" t="s">
        <v>1638</v>
      </c>
      <c r="L296" s="1" t="s">
        <v>1834</v>
      </c>
      <c r="M296" s="1" t="s">
        <v>176</v>
      </c>
      <c r="N296" s="1" t="s">
        <v>305</v>
      </c>
      <c r="O296" s="1" t="s">
        <v>464</v>
      </c>
      <c r="P296" s="1"/>
      <c r="Q296" s="1">
        <f>IFERROR(COUNTIFS(_report[TOURNAMENT_CODE],ВСЕ_КОДЫ[[#This Row],[TOURNAMENT_CODE]],_report[CONTEST_CODE],ВСЕ_КОДЫ[[#This Row],[CONTEST_CODE]]),"-")</f>
        <v>0</v>
      </c>
      <c r="R296" s="1" t="str">
        <f>IFERROR(INDEX(_SCHEDULE_[],MATCH(ВСЕ_КОДЫ[[#This Row],[CONTEST_CODE]],_SCHEDULE_[CONTEST_CODE],0),MATCH($R$1,_SCHEDULE_[#Headers],0)),"-")</f>
        <v>ЗАВЕРШЕН</v>
      </c>
      <c r="S296" s="1" t="str">
        <f>IFERROR(INDEX(_group_[],MATCH(ВСЕ_КОДЫ[[#This Row],[CONTEST_CODE]],_group_[CONTEST_CODE],0),MATCH($S$1,_group_[#Headers],0)),"-")</f>
        <v>BANK</v>
      </c>
      <c r="T296" s="1" t="str">
        <f>IFERROR(INDEX(_INDICATOR_[],MATCH(ВСЕ_КОДЫ[[#This Row],[CONTEST_CODE]],_INDICATOR_[CONTEST_CODE],0),MATCH($T$1,_INDICATOR_[#Headers],0)),"-")</f>
        <v>WAIT</v>
      </c>
      <c r="U296" s="1" t="str">
        <f>IFERROR(INDEX(_reward_link_[],MATCH(ВСЕ_КОДЫ[[#This Row],[CONTEST_CODE]],_reward_link_[CONTEST_CODE],0),MATCH($U$1,_reward_link_[#Headers],0)),"-")</f>
        <v>TB</v>
      </c>
      <c r="V296" s="1" t="str">
        <f>IFERROR(INDEX(_report[],MATCH(ВСЕ_КОДЫ[[#This Row],[CONTEST_CODE]],_report[CONTEST_CODE],0),MATCH($V$1,_report[#Headers],0)),"-")</f>
        <v>-</v>
      </c>
      <c r="W296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6" s="1" t="str">
        <f>IFERROR(INDEX(_group_[],MATCH(CONCATENATE(ВСЕ_КОДЫ[[#This Row],[CONTEST_CODE]],"_",X$2),#REF!,0),MATCH(X$1,_group_[#Headers],0)),"-")</f>
        <v>-</v>
      </c>
      <c r="Y296" s="1" t="str">
        <f>IFERROR(INDEX(_group_[],MATCH(CONCATENATE(ВСЕ_КОДЫ[[#This Row],[CONTEST_CODE]],"_",Y$2),#REF!,0),MATCH(Y$1,_group_[#Headers],0)),"-")</f>
        <v>-</v>
      </c>
      <c r="Z296" s="1" t="str">
        <f>IFERROR(INDEX(_group_[],MATCH(CONCATENATE(ВСЕ_КОДЫ[[#This Row],[CONTEST_CODE]],"_",Z$2),#REF!,0),MATCH(Z$1,_group_[#Headers],0)),"-")</f>
        <v>-</v>
      </c>
      <c r="AA296" s="1" t="str">
        <f>IFERROR(INDEX(_group_[],MATCH(CONCATENATE(ВСЕ_КОДЫ[[#This Row],[CONTEST_CODE]],"_",AA$2),#REF!,0),MATCH(AA$1,_group_[#Headers],0)),"-")</f>
        <v>-</v>
      </c>
      <c r="AB296" s="1" t="str">
        <f>IFERROR(INDEX(_DATA_[],MATCH(ВСЕ_КОДЫ[[#This Row],[CONTEST_CODE]],_DATA_[CONTEST_CODE],0),MATCH($AB$2,_DATA_[#Headers],0)),"-")</f>
        <v>["""KMKKSB"""]</v>
      </c>
      <c r="AC296" s="1" t="str">
        <f>CONCATENATE(ВСЕ_КОДЫ[[#This Row],[CONTEST_CODE]],"_",ВСЕ_КОДЫ[[#This Row],[TOURNAMENT_CODE]])</f>
        <v>CONTEST_32_TOURNAMENT_32_2024_M10</v>
      </c>
      <c r="AD296" s="1" t="str">
        <f>ВСЕ_КОДЫ[[#This Row],[FULL_NAME]]</f>
        <v>Страхование. Рыночные продажи</v>
      </c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idden="1" x14ac:dyDescent="0.25">
      <c r="A297" s="1" t="s">
        <v>99</v>
      </c>
      <c r="B297" s="1" t="s">
        <v>1812</v>
      </c>
      <c r="C297" s="1" t="s">
        <v>463</v>
      </c>
      <c r="D297" s="1" t="s">
        <v>586</v>
      </c>
      <c r="E297" s="1" t="s">
        <v>100</v>
      </c>
      <c r="F297" s="1" t="s">
        <v>26</v>
      </c>
      <c r="G297" s="1" t="s">
        <v>27</v>
      </c>
      <c r="H297" s="1" t="s">
        <v>28</v>
      </c>
      <c r="I297" s="1" t="s">
        <v>50</v>
      </c>
      <c r="J297" s="1" t="s">
        <v>1800</v>
      </c>
      <c r="K297" s="1" t="s">
        <v>1801</v>
      </c>
      <c r="L297" s="1" t="s">
        <v>1802</v>
      </c>
      <c r="M297" s="1" t="s">
        <v>155</v>
      </c>
      <c r="N297" s="1" t="s">
        <v>305</v>
      </c>
      <c r="O297" s="1" t="s">
        <v>464</v>
      </c>
      <c r="P297" s="1"/>
      <c r="Q297" s="1">
        <f>IFERROR(COUNTIFS(_report[TOURNAMENT_CODE],ВСЕ_КОДЫ[[#This Row],[TOURNAMENT_CODE]],_report[CONTEST_CODE],ВСЕ_КОДЫ[[#This Row],[CONTEST_CODE]]),"-")</f>
        <v>0</v>
      </c>
      <c r="R297" s="1" t="str">
        <f>IFERROR(INDEX(_SCHEDULE_[],MATCH(ВСЕ_КОДЫ[[#This Row],[CONTEST_CODE]],_SCHEDULE_[CONTEST_CODE],0),MATCH($R$1,_SCHEDULE_[#Headers],0)),"-")</f>
        <v>ЗАВЕРШЕН</v>
      </c>
      <c r="S297" s="1" t="str">
        <f>IFERROR(INDEX(_group_[],MATCH(ВСЕ_КОДЫ[[#This Row],[CONTEST_CODE]],_group_[CONTEST_CODE],0),MATCH($S$1,_group_[#Headers],0)),"-")</f>
        <v>BANK</v>
      </c>
      <c r="T297" s="1" t="str">
        <f>IFERROR(INDEX(_INDICATOR_[],MATCH(ВСЕ_КОДЫ[[#This Row],[CONTEST_CODE]],_INDICATOR_[CONTEST_CODE],0),MATCH($T$1,_INDICATOR_[#Headers],0)),"-")</f>
        <v>WAIT</v>
      </c>
      <c r="U297" s="1" t="str">
        <f>IFERROR(INDEX(_reward_link_[],MATCH(ВСЕ_КОДЫ[[#This Row],[CONTEST_CODE]],_reward_link_[CONTEST_CODE],0),MATCH($U$1,_reward_link_[#Headers],0)),"-")</f>
        <v>TB</v>
      </c>
      <c r="V297" s="1" t="str">
        <f>IFERROR(INDEX(_report[],MATCH(ВСЕ_КОДЫ[[#This Row],[CONTEST_CODE]],_report[CONTEST_CODE],0),MATCH($V$1,_report[#Headers],0)),"-")</f>
        <v>-</v>
      </c>
      <c r="W297" s="1" t="str">
        <f>IFERROR(INDEX(_reward_[],MATCH(ВСЕ_КОДЫ[[#This Row],[REWARD_CODE]],_reward_[REWARD_CODE],0),MATCH($W$1,_reward_[#Headers],0)),"-")</f>
        <v>Победитель ТБ по комиссионному вознаграждению от рыночных продаж страхования</v>
      </c>
      <c r="X297" s="1" t="str">
        <f>IFERROR(INDEX(_group_[],MATCH(CONCATENATE(ВСЕ_КОДЫ[[#This Row],[CONTEST_CODE]],"_",X$2),#REF!,0),MATCH(X$1,_group_[#Headers],0)),"-")</f>
        <v>-</v>
      </c>
      <c r="Y297" s="1" t="str">
        <f>IFERROR(INDEX(_group_[],MATCH(CONCATENATE(ВСЕ_КОДЫ[[#This Row],[CONTEST_CODE]],"_",Y$2),#REF!,0),MATCH(Y$1,_group_[#Headers],0)),"-")</f>
        <v>-</v>
      </c>
      <c r="Z297" s="1" t="str">
        <f>IFERROR(INDEX(_group_[],MATCH(CONCATENATE(ВСЕ_КОДЫ[[#This Row],[CONTEST_CODE]],"_",Z$2),#REF!,0),MATCH(Z$1,_group_[#Headers],0)),"-")</f>
        <v>-</v>
      </c>
      <c r="AA297" s="1" t="str">
        <f>IFERROR(INDEX(_group_[],MATCH(CONCATENATE(ВСЕ_КОДЫ[[#This Row],[CONTEST_CODE]],"_",AA$2),#REF!,0),MATCH(AA$1,_group_[#Headers],0)),"-")</f>
        <v>-</v>
      </c>
      <c r="AB297" s="1" t="str">
        <f>IFERROR(INDEX(_DATA_[],MATCH(ВСЕ_КОДЫ[[#This Row],[CONTEST_CODE]],_DATA_[CONTEST_CODE],0),MATCH($AB$2,_DATA_[#Headers],0)),"-")</f>
        <v>["""KMKKSB"""]</v>
      </c>
      <c r="AC297" s="1" t="str">
        <f>CONCATENATE(ВСЕ_КОДЫ[[#This Row],[CONTEST_CODE]],"_",ВСЕ_КОДЫ[[#This Row],[TOURNAMENT_CODE]])</f>
        <v>CONTEST_32_TOURNAMENT_32_2024_M11</v>
      </c>
      <c r="AD297" s="1" t="str">
        <f>ВСЕ_КОДЫ[[#This Row],[FULL_NAME]]</f>
        <v>Страхование. Рыночные продажи</v>
      </c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idden="1" x14ac:dyDescent="0.25">
      <c r="A298" s="1" t="s">
        <v>99</v>
      </c>
      <c r="B298" s="1" t="s">
        <v>283</v>
      </c>
      <c r="C298" s="1" t="s">
        <v>466</v>
      </c>
      <c r="D298" s="1" t="s">
        <v>583</v>
      </c>
      <c r="E298" s="1" t="s">
        <v>100</v>
      </c>
      <c r="F298" s="1" t="s">
        <v>26</v>
      </c>
      <c r="G298" s="1" t="s">
        <v>27</v>
      </c>
      <c r="H298" s="1" t="s">
        <v>28</v>
      </c>
      <c r="I298" s="1" t="s">
        <v>50</v>
      </c>
      <c r="J298" s="1" t="s">
        <v>187</v>
      </c>
      <c r="K298" s="1" t="s">
        <v>188</v>
      </c>
      <c r="L298" s="1" t="s">
        <v>188</v>
      </c>
      <c r="M298" s="1" t="s">
        <v>176</v>
      </c>
      <c r="N298" s="1" t="s">
        <v>305</v>
      </c>
      <c r="O298" s="1" t="s">
        <v>467</v>
      </c>
      <c r="P298" s="1"/>
      <c r="Q298" s="1">
        <f>IFERROR(COUNTIFS(_report[TOURNAMENT_CODE],ВСЕ_КОДЫ[[#This Row],[TOURNAMENT_CODE]],_report[CONTEST_CODE],ВСЕ_КОДЫ[[#This Row],[CONTEST_CODE]]),"-")</f>
        <v>0</v>
      </c>
      <c r="R298" s="1" t="str">
        <f>IFERROR(INDEX(_SCHEDULE_[],MATCH(ВСЕ_КОДЫ[[#This Row],[CONTEST_CODE]],_SCHEDULE_[CONTEST_CODE],0),MATCH($R$1,_SCHEDULE_[#Headers],0)),"-")</f>
        <v>ЗАВЕРШЕН</v>
      </c>
      <c r="S298" s="1" t="str">
        <f>IFERROR(INDEX(_group_[],MATCH(ВСЕ_КОДЫ[[#This Row],[CONTEST_CODE]],_group_[CONTEST_CODE],0),MATCH($S$1,_group_[#Headers],0)),"-")</f>
        <v>BANK</v>
      </c>
      <c r="T298" s="1" t="str">
        <f>IFERROR(INDEX(_INDICATOR_[],MATCH(ВСЕ_КОДЫ[[#This Row],[CONTEST_CODE]],_INDICATOR_[CONTEST_CODE],0),MATCH($T$1,_INDICATOR_[#Headers],0)),"-")</f>
        <v>WAIT</v>
      </c>
      <c r="U298" s="1" t="str">
        <f>IFERROR(INDEX(_reward_link_[],MATCH(ВСЕ_КОДЫ[[#This Row],[CONTEST_CODE]],_reward_link_[CONTEST_CODE],0),MATCH($U$1,_reward_link_[#Headers],0)),"-")</f>
        <v>TB</v>
      </c>
      <c r="V298" s="1" t="str">
        <f>IFERROR(INDEX(_report[],MATCH(ВСЕ_КОДЫ[[#This Row],[CONTEST_CODE]],_report[CONTEST_CODE],0),MATCH($V$1,_report[#Headers],0)),"-")</f>
        <v>-</v>
      </c>
      <c r="W298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298" s="1" t="str">
        <f>IFERROR(INDEX(_group_[],MATCH(CONCATENATE(ВСЕ_КОДЫ[[#This Row],[CONTEST_CODE]],"_",X$2),#REF!,0),MATCH(X$1,_group_[#Headers],0)),"-")</f>
        <v>-</v>
      </c>
      <c r="Y298" s="1" t="str">
        <f>IFERROR(INDEX(_group_[],MATCH(CONCATENATE(ВСЕ_КОДЫ[[#This Row],[CONTEST_CODE]],"_",Y$2),#REF!,0),MATCH(Y$1,_group_[#Headers],0)),"-")</f>
        <v>-</v>
      </c>
      <c r="Z298" s="1" t="str">
        <f>IFERROR(INDEX(_group_[],MATCH(CONCATENATE(ВСЕ_КОДЫ[[#This Row],[CONTEST_CODE]],"_",Z$2),#REF!,0),MATCH(Z$1,_group_[#Headers],0)),"-")</f>
        <v>-</v>
      </c>
      <c r="AA298" s="1" t="str">
        <f>IFERROR(INDEX(_group_[],MATCH(CONCATENATE(ВСЕ_КОДЫ[[#This Row],[CONTEST_CODE]],"_",AA$2),#REF!,0),MATCH(AA$1,_group_[#Headers],0)),"-")</f>
        <v>-</v>
      </c>
      <c r="AB298" s="1" t="str">
        <f>IFERROR(INDEX(_DATA_[],MATCH(ВСЕ_КОДЫ[[#This Row],[CONTEST_CODE]],_DATA_[CONTEST_CODE],0),MATCH($AB$2,_DATA_[#Headers],0)),"-")</f>
        <v>["""KMKKSB"""]</v>
      </c>
      <c r="AC298" s="1" t="str">
        <f>CONCATENATE(ВСЕ_КОДЫ[[#This Row],[CONTEST_CODE]],"_",ВСЕ_КОДЫ[[#This Row],[TOURNAMENT_CODE]])</f>
        <v>CONTEST_32_TOURNAMENT_32_03</v>
      </c>
      <c r="AD298" s="1" t="str">
        <f>ВСЕ_КОДЫ[[#This Row],[FULL_NAME]]</f>
        <v>Страхование. Рыночные продажи</v>
      </c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idden="1" x14ac:dyDescent="0.25">
      <c r="A299" s="1" t="s">
        <v>99</v>
      </c>
      <c r="B299" s="1" t="s">
        <v>284</v>
      </c>
      <c r="C299" s="1" t="s">
        <v>466</v>
      </c>
      <c r="D299" s="1" t="s">
        <v>583</v>
      </c>
      <c r="E299" s="1" t="s">
        <v>100</v>
      </c>
      <c r="F299" s="1" t="s">
        <v>26</v>
      </c>
      <c r="G299" s="1" t="s">
        <v>27</v>
      </c>
      <c r="H299" s="1" t="s">
        <v>28</v>
      </c>
      <c r="I299" s="1" t="s">
        <v>50</v>
      </c>
      <c r="J299" s="1" t="s">
        <v>192</v>
      </c>
      <c r="K299" s="1" t="s">
        <v>193</v>
      </c>
      <c r="L299" s="1" t="s">
        <v>195</v>
      </c>
      <c r="M299" s="1" t="s">
        <v>176</v>
      </c>
      <c r="N299" s="1" t="s">
        <v>305</v>
      </c>
      <c r="O299" s="1" t="s">
        <v>467</v>
      </c>
      <c r="P299" s="1"/>
      <c r="Q299" s="1">
        <f>IFERROR(COUNTIFS(_report[TOURNAMENT_CODE],ВСЕ_КОДЫ[[#This Row],[TOURNAMENT_CODE]],_report[CONTEST_CODE],ВСЕ_КОДЫ[[#This Row],[CONTEST_CODE]]),"-")</f>
        <v>0</v>
      </c>
      <c r="R299" s="1" t="str">
        <f>IFERROR(INDEX(_SCHEDULE_[],MATCH(ВСЕ_КОДЫ[[#This Row],[CONTEST_CODE]],_SCHEDULE_[CONTEST_CODE],0),MATCH($R$1,_SCHEDULE_[#Headers],0)),"-")</f>
        <v>ЗАВЕРШЕН</v>
      </c>
      <c r="S299" s="1" t="str">
        <f>IFERROR(INDEX(_group_[],MATCH(ВСЕ_КОДЫ[[#This Row],[CONTEST_CODE]],_group_[CONTEST_CODE],0),MATCH($S$1,_group_[#Headers],0)),"-")</f>
        <v>BANK</v>
      </c>
      <c r="T299" s="1" t="str">
        <f>IFERROR(INDEX(_INDICATOR_[],MATCH(ВСЕ_КОДЫ[[#This Row],[CONTEST_CODE]],_INDICATOR_[CONTEST_CODE],0),MATCH($T$1,_INDICATOR_[#Headers],0)),"-")</f>
        <v>WAIT</v>
      </c>
      <c r="U299" s="1" t="str">
        <f>IFERROR(INDEX(_reward_link_[],MATCH(ВСЕ_КОДЫ[[#This Row],[CONTEST_CODE]],_reward_link_[CONTEST_CODE],0),MATCH($U$1,_reward_link_[#Headers],0)),"-")</f>
        <v>TB</v>
      </c>
      <c r="V299" s="1" t="str">
        <f>IFERROR(INDEX(_report[],MATCH(ВСЕ_КОДЫ[[#This Row],[CONTEST_CODE]],_report[CONTEST_CODE],0),MATCH($V$1,_report[#Headers],0)),"-")</f>
        <v>-</v>
      </c>
      <c r="W299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299" s="1" t="str">
        <f>IFERROR(INDEX(_group_[],MATCH(CONCATENATE(ВСЕ_КОДЫ[[#This Row],[CONTEST_CODE]],"_",X$2),#REF!,0),MATCH(X$1,_group_[#Headers],0)),"-")</f>
        <v>-</v>
      </c>
      <c r="Y299" s="1" t="str">
        <f>IFERROR(INDEX(_group_[],MATCH(CONCATENATE(ВСЕ_КОДЫ[[#This Row],[CONTEST_CODE]],"_",Y$2),#REF!,0),MATCH(Y$1,_group_[#Headers],0)),"-")</f>
        <v>-</v>
      </c>
      <c r="Z299" s="1" t="str">
        <f>IFERROR(INDEX(_group_[],MATCH(CONCATENATE(ВСЕ_КОДЫ[[#This Row],[CONTEST_CODE]],"_",Z$2),#REF!,0),MATCH(Z$1,_group_[#Headers],0)),"-")</f>
        <v>-</v>
      </c>
      <c r="AA299" s="1" t="str">
        <f>IFERROR(INDEX(_group_[],MATCH(CONCATENATE(ВСЕ_КОДЫ[[#This Row],[CONTEST_CODE]],"_",AA$2),#REF!,0),MATCH(AA$1,_group_[#Headers],0)),"-")</f>
        <v>-</v>
      </c>
      <c r="AB299" s="1" t="str">
        <f>IFERROR(INDEX(_DATA_[],MATCH(ВСЕ_КОДЫ[[#This Row],[CONTEST_CODE]],_DATA_[CONTEST_CODE],0),MATCH($AB$2,_DATA_[#Headers],0)),"-")</f>
        <v>["""KMKKSB"""]</v>
      </c>
      <c r="AC299" s="1" t="str">
        <f>CONCATENATE(ВСЕ_КОДЫ[[#This Row],[CONTEST_CODE]],"_",ВСЕ_КОДЫ[[#This Row],[TOURNAMENT_CODE]])</f>
        <v>CONTEST_32_TOURNAMENT_32_04</v>
      </c>
      <c r="AD299" s="1" t="str">
        <f>ВСЕ_КОДЫ[[#This Row],[FULL_NAME]]</f>
        <v>Страхование. Рыночные продажи</v>
      </c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idden="1" x14ac:dyDescent="0.25">
      <c r="A300" s="1" t="s">
        <v>99</v>
      </c>
      <c r="B300" s="1" t="s">
        <v>637</v>
      </c>
      <c r="C300" s="1" t="s">
        <v>466</v>
      </c>
      <c r="D300" s="1" t="s">
        <v>583</v>
      </c>
      <c r="E300" s="1" t="s">
        <v>100</v>
      </c>
      <c r="F300" s="1" t="s">
        <v>26</v>
      </c>
      <c r="G300" s="1" t="s">
        <v>27</v>
      </c>
      <c r="H300" s="1" t="s">
        <v>28</v>
      </c>
      <c r="I300" s="1" t="s">
        <v>50</v>
      </c>
      <c r="J300" s="1" t="s">
        <v>245</v>
      </c>
      <c r="K300" s="1" t="s">
        <v>246</v>
      </c>
      <c r="L300" s="1" t="s">
        <v>247</v>
      </c>
      <c r="M300" s="1" t="s">
        <v>176</v>
      </c>
      <c r="N300" s="1" t="s">
        <v>305</v>
      </c>
      <c r="O300" s="1" t="s">
        <v>467</v>
      </c>
      <c r="P300" s="1"/>
      <c r="Q300" s="1">
        <f>IFERROR(COUNTIFS(_report[TOURNAMENT_CODE],ВСЕ_КОДЫ[[#This Row],[TOURNAMENT_CODE]],_report[CONTEST_CODE],ВСЕ_КОДЫ[[#This Row],[CONTEST_CODE]]),"-")</f>
        <v>0</v>
      </c>
      <c r="R300" s="1" t="str">
        <f>IFERROR(INDEX(_SCHEDULE_[],MATCH(ВСЕ_КОДЫ[[#This Row],[CONTEST_CODE]],_SCHEDULE_[CONTEST_CODE],0),MATCH($R$1,_SCHEDULE_[#Headers],0)),"-")</f>
        <v>ЗАВЕРШЕН</v>
      </c>
      <c r="S300" s="1" t="str">
        <f>IFERROR(INDEX(_group_[],MATCH(ВСЕ_КОДЫ[[#This Row],[CONTEST_CODE]],_group_[CONTEST_CODE],0),MATCH($S$1,_group_[#Headers],0)),"-")</f>
        <v>BANK</v>
      </c>
      <c r="T300" s="1" t="str">
        <f>IFERROR(INDEX(_INDICATOR_[],MATCH(ВСЕ_КОДЫ[[#This Row],[CONTEST_CODE]],_INDICATOR_[CONTEST_CODE],0),MATCH($T$1,_INDICATOR_[#Headers],0)),"-")</f>
        <v>WAIT</v>
      </c>
      <c r="U300" s="1" t="str">
        <f>IFERROR(INDEX(_reward_link_[],MATCH(ВСЕ_КОДЫ[[#This Row],[CONTEST_CODE]],_reward_link_[CONTEST_CODE],0),MATCH($U$1,_reward_link_[#Headers],0)),"-")</f>
        <v>TB</v>
      </c>
      <c r="V300" s="1" t="str">
        <f>IFERROR(INDEX(_report[],MATCH(ВСЕ_КОДЫ[[#This Row],[CONTEST_CODE]],_report[CONTEST_CODE],0),MATCH($V$1,_report[#Headers],0)),"-")</f>
        <v>-</v>
      </c>
      <c r="W300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300" s="1" t="str">
        <f>IFERROR(INDEX(_group_[],MATCH(CONCATENATE(ВСЕ_КОДЫ[[#This Row],[CONTEST_CODE]],"_",X$2),#REF!,0),MATCH(X$1,_group_[#Headers],0)),"-")</f>
        <v>-</v>
      </c>
      <c r="Y300" s="1" t="str">
        <f>IFERROR(INDEX(_group_[],MATCH(CONCATENATE(ВСЕ_КОДЫ[[#This Row],[CONTEST_CODE]],"_",Y$2),#REF!,0),MATCH(Y$1,_group_[#Headers],0)),"-")</f>
        <v>-</v>
      </c>
      <c r="Z300" s="1" t="str">
        <f>IFERROR(INDEX(_group_[],MATCH(CONCATENATE(ВСЕ_КОДЫ[[#This Row],[CONTEST_CODE]],"_",Z$2),#REF!,0),MATCH(Z$1,_group_[#Headers],0)),"-")</f>
        <v>-</v>
      </c>
      <c r="AA300" s="1" t="str">
        <f>IFERROR(INDEX(_group_[],MATCH(CONCATENATE(ВСЕ_КОДЫ[[#This Row],[CONTEST_CODE]],"_",AA$2),#REF!,0),MATCH(AA$1,_group_[#Headers],0)),"-")</f>
        <v>-</v>
      </c>
      <c r="AB300" s="1" t="str">
        <f>IFERROR(INDEX(_DATA_[],MATCH(ВСЕ_КОДЫ[[#This Row],[CONTEST_CODE]],_DATA_[CONTEST_CODE],0),MATCH($AB$2,_DATA_[#Headers],0)),"-")</f>
        <v>["""KMKKSB"""]</v>
      </c>
      <c r="AC300" s="1" t="str">
        <f>CONCATENATE(ВСЕ_КОДЫ[[#This Row],[CONTEST_CODE]],"_",ВСЕ_КОДЫ[[#This Row],[TOURNAMENT_CODE]])</f>
        <v>CONTEST_32_TOURNAMENT_32_05</v>
      </c>
      <c r="AD300" s="1" t="str">
        <f>ВСЕ_КОДЫ[[#This Row],[FULL_NAME]]</f>
        <v>Страхование. Рыночные продажи</v>
      </c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idden="1" x14ac:dyDescent="0.25">
      <c r="A301" s="1" t="s">
        <v>99</v>
      </c>
      <c r="B301" s="1" t="s">
        <v>699</v>
      </c>
      <c r="C301" s="1" t="s">
        <v>466</v>
      </c>
      <c r="D301" s="1" t="s">
        <v>583</v>
      </c>
      <c r="E301" s="1" t="s">
        <v>100</v>
      </c>
      <c r="F301" s="1" t="s">
        <v>26</v>
      </c>
      <c r="G301" s="1" t="s">
        <v>27</v>
      </c>
      <c r="H301" s="1" t="s">
        <v>28</v>
      </c>
      <c r="I301" s="1" t="s">
        <v>50</v>
      </c>
      <c r="J301" s="1" t="s">
        <v>695</v>
      </c>
      <c r="K301" s="1" t="s">
        <v>252</v>
      </c>
      <c r="L301" s="1" t="s">
        <v>1067</v>
      </c>
      <c r="M301" s="1" t="s">
        <v>176</v>
      </c>
      <c r="N301" s="1" t="s">
        <v>305</v>
      </c>
      <c r="O301" s="1" t="s">
        <v>467</v>
      </c>
      <c r="P301" s="1"/>
      <c r="Q301" s="1">
        <f>IFERROR(COUNTIFS(_report[TOURNAMENT_CODE],ВСЕ_КОДЫ[[#This Row],[TOURNAMENT_CODE]],_report[CONTEST_CODE],ВСЕ_КОДЫ[[#This Row],[CONTEST_CODE]]),"-")</f>
        <v>0</v>
      </c>
      <c r="R301" s="1" t="str">
        <f>IFERROR(INDEX(_SCHEDULE_[],MATCH(ВСЕ_КОДЫ[[#This Row],[CONTEST_CODE]],_SCHEDULE_[CONTEST_CODE],0),MATCH($R$1,_SCHEDULE_[#Headers],0)),"-")</f>
        <v>ЗАВЕРШЕН</v>
      </c>
      <c r="S301" s="1" t="str">
        <f>IFERROR(INDEX(_group_[],MATCH(ВСЕ_КОДЫ[[#This Row],[CONTEST_CODE]],_group_[CONTEST_CODE],0),MATCH($S$1,_group_[#Headers],0)),"-")</f>
        <v>BANK</v>
      </c>
      <c r="T301" s="1" t="str">
        <f>IFERROR(INDEX(_INDICATOR_[],MATCH(ВСЕ_КОДЫ[[#This Row],[CONTEST_CODE]],_INDICATOR_[CONTEST_CODE],0),MATCH($T$1,_INDICATOR_[#Headers],0)),"-")</f>
        <v>WAIT</v>
      </c>
      <c r="U301" s="1" t="str">
        <f>IFERROR(INDEX(_reward_link_[],MATCH(ВСЕ_КОДЫ[[#This Row],[CONTEST_CODE]],_reward_link_[CONTEST_CODE],0),MATCH($U$1,_reward_link_[#Headers],0)),"-")</f>
        <v>TB</v>
      </c>
      <c r="V301" s="1" t="str">
        <f>IFERROR(INDEX(_report[],MATCH(ВСЕ_КОДЫ[[#This Row],[CONTEST_CODE]],_report[CONTEST_CODE],0),MATCH($V$1,_report[#Headers],0)),"-")</f>
        <v>-</v>
      </c>
      <c r="W301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301" s="1" t="str">
        <f>IFERROR(INDEX(_group_[],MATCH(CONCATENATE(ВСЕ_КОДЫ[[#This Row],[CONTEST_CODE]],"_",X$2),#REF!,0),MATCH(X$1,_group_[#Headers],0)),"-")</f>
        <v>-</v>
      </c>
      <c r="Y301" s="1" t="str">
        <f>IFERROR(INDEX(_group_[],MATCH(CONCATENATE(ВСЕ_КОДЫ[[#This Row],[CONTEST_CODE]],"_",Y$2),#REF!,0),MATCH(Y$1,_group_[#Headers],0)),"-")</f>
        <v>-</v>
      </c>
      <c r="Z301" s="1" t="str">
        <f>IFERROR(INDEX(_group_[],MATCH(CONCATENATE(ВСЕ_КОДЫ[[#This Row],[CONTEST_CODE]],"_",Z$2),#REF!,0),MATCH(Z$1,_group_[#Headers],0)),"-")</f>
        <v>-</v>
      </c>
      <c r="AA301" s="1" t="str">
        <f>IFERROR(INDEX(_group_[],MATCH(CONCATENATE(ВСЕ_КОДЫ[[#This Row],[CONTEST_CODE]],"_",AA$2),#REF!,0),MATCH(AA$1,_group_[#Headers],0)),"-")</f>
        <v>-</v>
      </c>
      <c r="AB301" s="1" t="str">
        <f>IFERROR(INDEX(_DATA_[],MATCH(ВСЕ_КОДЫ[[#This Row],[CONTEST_CODE]],_DATA_[CONTEST_CODE],0),MATCH($AB$2,_DATA_[#Headers],0)),"-")</f>
        <v>["""KMKKSB"""]</v>
      </c>
      <c r="AC301" s="1" t="str">
        <f>CONCATENATE(ВСЕ_КОДЫ[[#This Row],[CONTEST_CODE]],"_",ВСЕ_КОДЫ[[#This Row],[TOURNAMENT_CODE]])</f>
        <v>CONTEST_32_TOURNAMENT_32_06</v>
      </c>
      <c r="AD301" s="1" t="str">
        <f>ВСЕ_КОДЫ[[#This Row],[FULL_NAME]]</f>
        <v>Страхование. Рыночные продажи</v>
      </c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idden="1" x14ac:dyDescent="0.25">
      <c r="A302" s="1" t="s">
        <v>99</v>
      </c>
      <c r="B302" s="1" t="s">
        <v>1072</v>
      </c>
      <c r="C302" s="1" t="s">
        <v>466</v>
      </c>
      <c r="D302" s="1" t="s">
        <v>583</v>
      </c>
      <c r="E302" s="1" t="s">
        <v>100</v>
      </c>
      <c r="F302" s="1" t="s">
        <v>26</v>
      </c>
      <c r="G302" s="1" t="s">
        <v>27</v>
      </c>
      <c r="H302" s="1" t="s">
        <v>28</v>
      </c>
      <c r="I302" s="1" t="s">
        <v>50</v>
      </c>
      <c r="J302" s="1" t="s">
        <v>703</v>
      </c>
      <c r="K302" s="1" t="s">
        <v>704</v>
      </c>
      <c r="L302" s="1" t="s">
        <v>1259</v>
      </c>
      <c r="M302" s="1" t="s">
        <v>176</v>
      </c>
      <c r="N302" s="1" t="s">
        <v>305</v>
      </c>
      <c r="O302" s="1" t="s">
        <v>467</v>
      </c>
      <c r="P302" s="1"/>
      <c r="Q302" s="1">
        <f>IFERROR(COUNTIFS(_report[TOURNAMENT_CODE],ВСЕ_КОДЫ[[#This Row],[TOURNAMENT_CODE]],_report[CONTEST_CODE],ВСЕ_КОДЫ[[#This Row],[CONTEST_CODE]]),"-")</f>
        <v>0</v>
      </c>
      <c r="R302" s="1" t="str">
        <f>IFERROR(INDEX(_SCHEDULE_[],MATCH(ВСЕ_КОДЫ[[#This Row],[CONTEST_CODE]],_SCHEDULE_[CONTEST_CODE],0),MATCH($R$1,_SCHEDULE_[#Headers],0)),"-")</f>
        <v>ЗАВЕРШЕН</v>
      </c>
      <c r="S302" s="1" t="str">
        <f>IFERROR(INDEX(_group_[],MATCH(ВСЕ_КОДЫ[[#This Row],[CONTEST_CODE]],_group_[CONTEST_CODE],0),MATCH($S$1,_group_[#Headers],0)),"-")</f>
        <v>BANK</v>
      </c>
      <c r="T302" s="1" t="str">
        <f>IFERROR(INDEX(_INDICATOR_[],MATCH(ВСЕ_КОДЫ[[#This Row],[CONTEST_CODE]],_INDICATOR_[CONTEST_CODE],0),MATCH($T$1,_INDICATOR_[#Headers],0)),"-")</f>
        <v>WAIT</v>
      </c>
      <c r="U302" s="1" t="str">
        <f>IFERROR(INDEX(_reward_link_[],MATCH(ВСЕ_КОДЫ[[#This Row],[CONTEST_CODE]],_reward_link_[CONTEST_CODE],0),MATCH($U$1,_reward_link_[#Headers],0)),"-")</f>
        <v>TB</v>
      </c>
      <c r="V302" s="1" t="str">
        <f>IFERROR(INDEX(_report[],MATCH(ВСЕ_КОДЫ[[#This Row],[CONTEST_CODE]],_report[CONTEST_CODE],0),MATCH($V$1,_report[#Headers],0)),"-")</f>
        <v>-</v>
      </c>
      <c r="W302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302" s="1" t="str">
        <f>IFERROR(INDEX(_group_[],MATCH(CONCATENATE(ВСЕ_КОДЫ[[#This Row],[CONTEST_CODE]],"_",X$2),#REF!,0),MATCH(X$1,_group_[#Headers],0)),"-")</f>
        <v>-</v>
      </c>
      <c r="Y302" s="1" t="str">
        <f>IFERROR(INDEX(_group_[],MATCH(CONCATENATE(ВСЕ_КОДЫ[[#This Row],[CONTEST_CODE]],"_",Y$2),#REF!,0),MATCH(Y$1,_group_[#Headers],0)),"-")</f>
        <v>-</v>
      </c>
      <c r="Z302" s="1" t="str">
        <f>IFERROR(INDEX(_group_[],MATCH(CONCATENATE(ВСЕ_КОДЫ[[#This Row],[CONTEST_CODE]],"_",Z$2),#REF!,0),MATCH(Z$1,_group_[#Headers],0)),"-")</f>
        <v>-</v>
      </c>
      <c r="AA302" s="1" t="str">
        <f>IFERROR(INDEX(_group_[],MATCH(CONCATENATE(ВСЕ_КОДЫ[[#This Row],[CONTEST_CODE]],"_",AA$2),#REF!,0),MATCH(AA$1,_group_[#Headers],0)),"-")</f>
        <v>-</v>
      </c>
      <c r="AB302" s="1" t="str">
        <f>IFERROR(INDEX(_DATA_[],MATCH(ВСЕ_КОДЫ[[#This Row],[CONTEST_CODE]],_DATA_[CONTEST_CODE],0),MATCH($AB$2,_DATA_[#Headers],0)),"-")</f>
        <v>["""KMKKSB"""]</v>
      </c>
      <c r="AC302" s="1" t="str">
        <f>CONCATENATE(ВСЕ_КОДЫ[[#This Row],[CONTEST_CODE]],"_",ВСЕ_КОДЫ[[#This Row],[TOURNAMENT_CODE]])</f>
        <v>CONTEST_32_TOURNAMENT_32_07</v>
      </c>
      <c r="AD302" s="1" t="str">
        <f>ВСЕ_КОДЫ[[#This Row],[FULL_NAME]]</f>
        <v>Страхование. Рыночные продажи</v>
      </c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idden="1" x14ac:dyDescent="0.25">
      <c r="A303" s="1" t="s">
        <v>99</v>
      </c>
      <c r="B303" s="1" t="s">
        <v>1209</v>
      </c>
      <c r="C303" s="1" t="s">
        <v>466</v>
      </c>
      <c r="D303" s="1" t="s">
        <v>583</v>
      </c>
      <c r="E303" s="1" t="s">
        <v>100</v>
      </c>
      <c r="F303" s="1" t="s">
        <v>26</v>
      </c>
      <c r="G303" s="1" t="s">
        <v>27</v>
      </c>
      <c r="H303" s="1" t="s">
        <v>28</v>
      </c>
      <c r="I303" s="1" t="s">
        <v>50</v>
      </c>
      <c r="J303" s="1" t="s">
        <v>1078</v>
      </c>
      <c r="K303" s="1" t="s">
        <v>1173</v>
      </c>
      <c r="L303" s="1" t="s">
        <v>1711</v>
      </c>
      <c r="M303" s="1" t="s">
        <v>176</v>
      </c>
      <c r="N303" s="1" t="s">
        <v>305</v>
      </c>
      <c r="O303" s="1" t="s">
        <v>467</v>
      </c>
      <c r="P303" s="1"/>
      <c r="Q303" s="1">
        <f>IFERROR(COUNTIFS(_report[TOURNAMENT_CODE],ВСЕ_КОДЫ[[#This Row],[TOURNAMENT_CODE]],_report[CONTEST_CODE],ВСЕ_КОДЫ[[#This Row],[CONTEST_CODE]]),"-")</f>
        <v>0</v>
      </c>
      <c r="R303" s="1" t="str">
        <f>IFERROR(INDEX(_SCHEDULE_[],MATCH(ВСЕ_КОДЫ[[#This Row],[CONTEST_CODE]],_SCHEDULE_[CONTEST_CODE],0),MATCH($R$1,_SCHEDULE_[#Headers],0)),"-")</f>
        <v>ЗАВЕРШЕН</v>
      </c>
      <c r="S303" s="1" t="str">
        <f>IFERROR(INDEX(_group_[],MATCH(ВСЕ_КОДЫ[[#This Row],[CONTEST_CODE]],_group_[CONTEST_CODE],0),MATCH($S$1,_group_[#Headers],0)),"-")</f>
        <v>BANK</v>
      </c>
      <c r="T303" s="1" t="str">
        <f>IFERROR(INDEX(_INDICATOR_[],MATCH(ВСЕ_КОДЫ[[#This Row],[CONTEST_CODE]],_INDICATOR_[CONTEST_CODE],0),MATCH($T$1,_INDICATOR_[#Headers],0)),"-")</f>
        <v>WAIT</v>
      </c>
      <c r="U303" s="1" t="str">
        <f>IFERROR(INDEX(_reward_link_[],MATCH(ВСЕ_КОДЫ[[#This Row],[CONTEST_CODE]],_reward_link_[CONTEST_CODE],0),MATCH($U$1,_reward_link_[#Headers],0)),"-")</f>
        <v>TB</v>
      </c>
      <c r="V303" s="1" t="str">
        <f>IFERROR(INDEX(_report[],MATCH(ВСЕ_КОДЫ[[#This Row],[CONTEST_CODE]],_report[CONTEST_CODE],0),MATCH($V$1,_report[#Headers],0)),"-")</f>
        <v>-</v>
      </c>
      <c r="W303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303" s="1" t="str">
        <f>IFERROR(INDEX(_group_[],MATCH(CONCATENATE(ВСЕ_КОДЫ[[#This Row],[CONTEST_CODE]],"_",X$2),#REF!,0),MATCH(X$1,_group_[#Headers],0)),"-")</f>
        <v>-</v>
      </c>
      <c r="Y303" s="1" t="str">
        <f>IFERROR(INDEX(_group_[],MATCH(CONCATENATE(ВСЕ_КОДЫ[[#This Row],[CONTEST_CODE]],"_",Y$2),#REF!,0),MATCH(Y$1,_group_[#Headers],0)),"-")</f>
        <v>-</v>
      </c>
      <c r="Z303" s="1" t="str">
        <f>IFERROR(INDEX(_group_[],MATCH(CONCATENATE(ВСЕ_КОДЫ[[#This Row],[CONTEST_CODE]],"_",Z$2),#REF!,0),MATCH(Z$1,_group_[#Headers],0)),"-")</f>
        <v>-</v>
      </c>
      <c r="AA303" s="1" t="str">
        <f>IFERROR(INDEX(_group_[],MATCH(CONCATENATE(ВСЕ_КОДЫ[[#This Row],[CONTEST_CODE]],"_",AA$2),#REF!,0),MATCH(AA$1,_group_[#Headers],0)),"-")</f>
        <v>-</v>
      </c>
      <c r="AB303" s="1" t="str">
        <f>IFERROR(INDEX(_DATA_[],MATCH(ВСЕ_КОДЫ[[#This Row],[CONTEST_CODE]],_DATA_[CONTEST_CODE],0),MATCH($AB$2,_DATA_[#Headers],0)),"-")</f>
        <v>["""KMKKSB"""]</v>
      </c>
      <c r="AC303" s="1" t="str">
        <f>CONCATENATE(ВСЕ_КОДЫ[[#This Row],[CONTEST_CODE]],"_",ВСЕ_КОДЫ[[#This Row],[TOURNAMENT_CODE]])</f>
        <v>CONTEST_32_TOURNAMENT_32_08</v>
      </c>
      <c r="AD303" s="1" t="str">
        <f>ВСЕ_КОДЫ[[#This Row],[FULL_NAME]]</f>
        <v>Страхование. Рыночные продажи</v>
      </c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idden="1" x14ac:dyDescent="0.25">
      <c r="A304" s="1" t="s">
        <v>99</v>
      </c>
      <c r="B304" s="1" t="s">
        <v>1282</v>
      </c>
      <c r="C304" s="1" t="s">
        <v>466</v>
      </c>
      <c r="D304" s="1" t="s">
        <v>583</v>
      </c>
      <c r="E304" s="1" t="s">
        <v>100</v>
      </c>
      <c r="F304" s="1" t="s">
        <v>26</v>
      </c>
      <c r="G304" s="1" t="s">
        <v>27</v>
      </c>
      <c r="H304" s="1" t="s">
        <v>28</v>
      </c>
      <c r="I304" s="1" t="s">
        <v>50</v>
      </c>
      <c r="J304" s="1" t="s">
        <v>1225</v>
      </c>
      <c r="K304" s="1" t="s">
        <v>1070</v>
      </c>
      <c r="L304" s="1" t="s">
        <v>1711</v>
      </c>
      <c r="M304" s="1" t="s">
        <v>176</v>
      </c>
      <c r="N304" s="1" t="s">
        <v>305</v>
      </c>
      <c r="O304" s="1" t="s">
        <v>467</v>
      </c>
      <c r="P304" s="1"/>
      <c r="Q304" s="1">
        <f>IFERROR(COUNTIFS(_report[TOURNAMENT_CODE],ВСЕ_КОДЫ[[#This Row],[TOURNAMENT_CODE]],_report[CONTEST_CODE],ВСЕ_КОДЫ[[#This Row],[CONTEST_CODE]]),"-")</f>
        <v>0</v>
      </c>
      <c r="R304" s="1" t="str">
        <f>IFERROR(INDEX(_SCHEDULE_[],MATCH(ВСЕ_КОДЫ[[#This Row],[CONTEST_CODE]],_SCHEDULE_[CONTEST_CODE],0),MATCH($R$1,_SCHEDULE_[#Headers],0)),"-")</f>
        <v>ЗАВЕРШЕН</v>
      </c>
      <c r="S304" s="1" t="str">
        <f>IFERROR(INDEX(_group_[],MATCH(ВСЕ_КОДЫ[[#This Row],[CONTEST_CODE]],_group_[CONTEST_CODE],0),MATCH($S$1,_group_[#Headers],0)),"-")</f>
        <v>BANK</v>
      </c>
      <c r="T304" s="1" t="str">
        <f>IFERROR(INDEX(_INDICATOR_[],MATCH(ВСЕ_КОДЫ[[#This Row],[CONTEST_CODE]],_INDICATOR_[CONTEST_CODE],0),MATCH($T$1,_INDICATOR_[#Headers],0)),"-")</f>
        <v>WAIT</v>
      </c>
      <c r="U304" s="1" t="str">
        <f>IFERROR(INDEX(_reward_link_[],MATCH(ВСЕ_КОДЫ[[#This Row],[CONTEST_CODE]],_reward_link_[CONTEST_CODE],0),MATCH($U$1,_reward_link_[#Headers],0)),"-")</f>
        <v>TB</v>
      </c>
      <c r="V304" s="1" t="str">
        <f>IFERROR(INDEX(_report[],MATCH(ВСЕ_КОДЫ[[#This Row],[CONTEST_CODE]],_report[CONTEST_CODE],0),MATCH($V$1,_report[#Headers],0)),"-")</f>
        <v>-</v>
      </c>
      <c r="W304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304" s="1" t="str">
        <f>IFERROR(INDEX(_group_[],MATCH(CONCATENATE(ВСЕ_КОДЫ[[#This Row],[CONTEST_CODE]],"_",X$2),#REF!,0),MATCH(X$1,_group_[#Headers],0)),"-")</f>
        <v>-</v>
      </c>
      <c r="Y304" s="1" t="str">
        <f>IFERROR(INDEX(_group_[],MATCH(CONCATENATE(ВСЕ_КОДЫ[[#This Row],[CONTEST_CODE]],"_",Y$2),#REF!,0),MATCH(Y$1,_group_[#Headers],0)),"-")</f>
        <v>-</v>
      </c>
      <c r="Z304" s="1" t="str">
        <f>IFERROR(INDEX(_group_[],MATCH(CONCATENATE(ВСЕ_КОДЫ[[#This Row],[CONTEST_CODE]],"_",Z$2),#REF!,0),MATCH(Z$1,_group_[#Headers],0)),"-")</f>
        <v>-</v>
      </c>
      <c r="AA304" s="1" t="str">
        <f>IFERROR(INDEX(_group_[],MATCH(CONCATENATE(ВСЕ_КОДЫ[[#This Row],[CONTEST_CODE]],"_",AA$2),#REF!,0),MATCH(AA$1,_group_[#Headers],0)),"-")</f>
        <v>-</v>
      </c>
      <c r="AB304" s="1" t="str">
        <f>IFERROR(INDEX(_DATA_[],MATCH(ВСЕ_КОДЫ[[#This Row],[CONTEST_CODE]],_DATA_[CONTEST_CODE],0),MATCH($AB$2,_DATA_[#Headers],0)),"-")</f>
        <v>["""KMKKSB"""]</v>
      </c>
      <c r="AC304" s="1" t="str">
        <f>CONCATENATE(ВСЕ_КОДЫ[[#This Row],[CONTEST_CODE]],"_",ВСЕ_КОДЫ[[#This Row],[TOURNAMENT_CODE]])</f>
        <v>CONTEST_32_TOURNAMENT_32_09</v>
      </c>
      <c r="AD304" s="1" t="str">
        <f>ВСЕ_КОДЫ[[#This Row],[FULL_NAME]]</f>
        <v>Страхование. Рыночные продажи</v>
      </c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idden="1" x14ac:dyDescent="0.25">
      <c r="A305" s="1" t="s">
        <v>99</v>
      </c>
      <c r="B305" s="1" t="s">
        <v>1649</v>
      </c>
      <c r="C305" s="1" t="s">
        <v>466</v>
      </c>
      <c r="D305" s="1" t="s">
        <v>583</v>
      </c>
      <c r="E305" s="1" t="s">
        <v>100</v>
      </c>
      <c r="F305" s="1" t="s">
        <v>26</v>
      </c>
      <c r="G305" s="1" t="s">
        <v>27</v>
      </c>
      <c r="H305" s="1" t="s">
        <v>28</v>
      </c>
      <c r="I305" s="1" t="s">
        <v>50</v>
      </c>
      <c r="J305" s="1" t="s">
        <v>1308</v>
      </c>
      <c r="K305" s="1" t="s">
        <v>1638</v>
      </c>
      <c r="L305" s="1" t="s">
        <v>1834</v>
      </c>
      <c r="M305" s="1" t="s">
        <v>176</v>
      </c>
      <c r="N305" s="1" t="s">
        <v>305</v>
      </c>
      <c r="O305" s="1" t="s">
        <v>467</v>
      </c>
      <c r="P305" s="1"/>
      <c r="Q305" s="1">
        <f>IFERROR(COUNTIFS(_report[TOURNAMENT_CODE],ВСЕ_КОДЫ[[#This Row],[TOURNAMENT_CODE]],_report[CONTEST_CODE],ВСЕ_КОДЫ[[#This Row],[CONTEST_CODE]]),"-")</f>
        <v>0</v>
      </c>
      <c r="R305" s="1" t="str">
        <f>IFERROR(INDEX(_SCHEDULE_[],MATCH(ВСЕ_КОДЫ[[#This Row],[CONTEST_CODE]],_SCHEDULE_[CONTEST_CODE],0),MATCH($R$1,_SCHEDULE_[#Headers],0)),"-")</f>
        <v>ЗАВЕРШЕН</v>
      </c>
      <c r="S305" s="1" t="str">
        <f>IFERROR(INDEX(_group_[],MATCH(ВСЕ_КОДЫ[[#This Row],[CONTEST_CODE]],_group_[CONTEST_CODE],0),MATCH($S$1,_group_[#Headers],0)),"-")</f>
        <v>BANK</v>
      </c>
      <c r="T305" s="1" t="str">
        <f>IFERROR(INDEX(_INDICATOR_[],MATCH(ВСЕ_КОДЫ[[#This Row],[CONTEST_CODE]],_INDICATOR_[CONTEST_CODE],0),MATCH($T$1,_INDICATOR_[#Headers],0)),"-")</f>
        <v>WAIT</v>
      </c>
      <c r="U305" s="1" t="str">
        <f>IFERROR(INDEX(_reward_link_[],MATCH(ВСЕ_КОДЫ[[#This Row],[CONTEST_CODE]],_reward_link_[CONTEST_CODE],0),MATCH($U$1,_reward_link_[#Headers],0)),"-")</f>
        <v>TB</v>
      </c>
      <c r="V305" s="1" t="str">
        <f>IFERROR(INDEX(_report[],MATCH(ВСЕ_КОДЫ[[#This Row],[CONTEST_CODE]],_report[CONTEST_CODE],0),MATCH($V$1,_report[#Headers],0)),"-")</f>
        <v>-</v>
      </c>
      <c r="W305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305" s="1" t="str">
        <f>IFERROR(INDEX(_group_[],MATCH(CONCATENATE(ВСЕ_КОДЫ[[#This Row],[CONTEST_CODE]],"_",X$2),#REF!,0),MATCH(X$1,_group_[#Headers],0)),"-")</f>
        <v>-</v>
      </c>
      <c r="Y305" s="1" t="str">
        <f>IFERROR(INDEX(_group_[],MATCH(CONCATENATE(ВСЕ_КОДЫ[[#This Row],[CONTEST_CODE]],"_",Y$2),#REF!,0),MATCH(Y$1,_group_[#Headers],0)),"-")</f>
        <v>-</v>
      </c>
      <c r="Z305" s="1" t="str">
        <f>IFERROR(INDEX(_group_[],MATCH(CONCATENATE(ВСЕ_КОДЫ[[#This Row],[CONTEST_CODE]],"_",Z$2),#REF!,0),MATCH(Z$1,_group_[#Headers],0)),"-")</f>
        <v>-</v>
      </c>
      <c r="AA305" s="1" t="str">
        <f>IFERROR(INDEX(_group_[],MATCH(CONCATENATE(ВСЕ_КОДЫ[[#This Row],[CONTEST_CODE]],"_",AA$2),#REF!,0),MATCH(AA$1,_group_[#Headers],0)),"-")</f>
        <v>-</v>
      </c>
      <c r="AB305" s="1" t="str">
        <f>IFERROR(INDEX(_DATA_[],MATCH(ВСЕ_КОДЫ[[#This Row],[CONTEST_CODE]],_DATA_[CONTEST_CODE],0),MATCH($AB$2,_DATA_[#Headers],0)),"-")</f>
        <v>["""KMKKSB"""]</v>
      </c>
      <c r="AC305" s="1" t="str">
        <f>CONCATENATE(ВСЕ_КОДЫ[[#This Row],[CONTEST_CODE]],"_",ВСЕ_КОДЫ[[#This Row],[TOURNAMENT_CODE]])</f>
        <v>CONTEST_32_TOURNAMENT_32_2024_M10</v>
      </c>
      <c r="AD305" s="1" t="str">
        <f>ВСЕ_КОДЫ[[#This Row],[FULL_NAME]]</f>
        <v>Страхование. Рыночные продажи</v>
      </c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idden="1" x14ac:dyDescent="0.25">
      <c r="A306" s="1" t="s">
        <v>99</v>
      </c>
      <c r="B306" s="1" t="s">
        <v>1812</v>
      </c>
      <c r="C306" s="1" t="s">
        <v>466</v>
      </c>
      <c r="D306" s="1" t="s">
        <v>583</v>
      </c>
      <c r="E306" s="1" t="s">
        <v>100</v>
      </c>
      <c r="F306" s="1" t="s">
        <v>26</v>
      </c>
      <c r="G306" s="1" t="s">
        <v>27</v>
      </c>
      <c r="H306" s="1" t="s">
        <v>28</v>
      </c>
      <c r="I306" s="1" t="s">
        <v>50</v>
      </c>
      <c r="J306" s="1" t="s">
        <v>1800</v>
      </c>
      <c r="K306" s="1" t="s">
        <v>1801</v>
      </c>
      <c r="L306" s="1" t="s">
        <v>1802</v>
      </c>
      <c r="M306" s="1" t="s">
        <v>155</v>
      </c>
      <c r="N306" s="1" t="s">
        <v>305</v>
      </c>
      <c r="O306" s="1" t="s">
        <v>467</v>
      </c>
      <c r="P306" s="1"/>
      <c r="Q306" s="1">
        <f>IFERROR(COUNTIFS(_report[TOURNAMENT_CODE],ВСЕ_КОДЫ[[#This Row],[TOURNAMENT_CODE]],_report[CONTEST_CODE],ВСЕ_КОДЫ[[#This Row],[CONTEST_CODE]]),"-")</f>
        <v>0</v>
      </c>
      <c r="R306" s="1" t="str">
        <f>IFERROR(INDEX(_SCHEDULE_[],MATCH(ВСЕ_КОДЫ[[#This Row],[CONTEST_CODE]],_SCHEDULE_[CONTEST_CODE],0),MATCH($R$1,_SCHEDULE_[#Headers],0)),"-")</f>
        <v>ЗАВЕРШЕН</v>
      </c>
      <c r="S306" s="1" t="str">
        <f>IFERROR(INDEX(_group_[],MATCH(ВСЕ_КОДЫ[[#This Row],[CONTEST_CODE]],_group_[CONTEST_CODE],0),MATCH($S$1,_group_[#Headers],0)),"-")</f>
        <v>BANK</v>
      </c>
      <c r="T306" s="1" t="str">
        <f>IFERROR(INDEX(_INDICATOR_[],MATCH(ВСЕ_КОДЫ[[#This Row],[CONTEST_CODE]],_INDICATOR_[CONTEST_CODE],0),MATCH($T$1,_INDICATOR_[#Headers],0)),"-")</f>
        <v>WAIT</v>
      </c>
      <c r="U306" s="1" t="str">
        <f>IFERROR(INDEX(_reward_link_[],MATCH(ВСЕ_КОДЫ[[#This Row],[CONTEST_CODE]],_reward_link_[CONTEST_CODE],0),MATCH($U$1,_reward_link_[#Headers],0)),"-")</f>
        <v>TB</v>
      </c>
      <c r="V306" s="1" t="str">
        <f>IFERROR(INDEX(_report[],MATCH(ВСЕ_КОДЫ[[#This Row],[CONTEST_CODE]],_report[CONTEST_CODE],0),MATCH($V$1,_report[#Headers],0)),"-")</f>
        <v>-</v>
      </c>
      <c r="W306" s="1" t="str">
        <f>IFERROR(INDEX(_reward_[],MATCH(ВСЕ_КОДЫ[[#This Row],[REWARD_CODE]],_reward_[REWARD_CODE],0),MATCH($W$1,_reward_[#Headers],0)),"-")</f>
        <v>Чемпион страны по комиссионному вознаграждению от рыночных продаж страхования</v>
      </c>
      <c r="X306" s="1" t="str">
        <f>IFERROR(INDEX(_group_[],MATCH(CONCATENATE(ВСЕ_КОДЫ[[#This Row],[CONTEST_CODE]],"_",X$2),#REF!,0),MATCH(X$1,_group_[#Headers],0)),"-")</f>
        <v>-</v>
      </c>
      <c r="Y306" s="1" t="str">
        <f>IFERROR(INDEX(_group_[],MATCH(CONCATENATE(ВСЕ_КОДЫ[[#This Row],[CONTEST_CODE]],"_",Y$2),#REF!,0),MATCH(Y$1,_group_[#Headers],0)),"-")</f>
        <v>-</v>
      </c>
      <c r="Z306" s="1" t="str">
        <f>IFERROR(INDEX(_group_[],MATCH(CONCATENATE(ВСЕ_КОДЫ[[#This Row],[CONTEST_CODE]],"_",Z$2),#REF!,0),MATCH(Z$1,_group_[#Headers],0)),"-")</f>
        <v>-</v>
      </c>
      <c r="AA306" s="1" t="str">
        <f>IFERROR(INDEX(_group_[],MATCH(CONCATENATE(ВСЕ_КОДЫ[[#This Row],[CONTEST_CODE]],"_",AA$2),#REF!,0),MATCH(AA$1,_group_[#Headers],0)),"-")</f>
        <v>-</v>
      </c>
      <c r="AB306" s="1" t="str">
        <f>IFERROR(INDEX(_DATA_[],MATCH(ВСЕ_КОДЫ[[#This Row],[CONTEST_CODE]],_DATA_[CONTEST_CODE],0),MATCH($AB$2,_DATA_[#Headers],0)),"-")</f>
        <v>["""KMKKSB"""]</v>
      </c>
      <c r="AC306" s="1" t="str">
        <f>CONCATENATE(ВСЕ_КОДЫ[[#This Row],[CONTEST_CODE]],"_",ВСЕ_КОДЫ[[#This Row],[TOURNAMENT_CODE]])</f>
        <v>CONTEST_32_TOURNAMENT_32_2024_M11</v>
      </c>
      <c r="AD306" s="1" t="str">
        <f>ВСЕ_КОДЫ[[#This Row],[FULL_NAME]]</f>
        <v>Страхование. Рыночные продажи</v>
      </c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idden="1" x14ac:dyDescent="0.25">
      <c r="A307" s="1" t="s">
        <v>102</v>
      </c>
      <c r="B307" s="1" t="s">
        <v>285</v>
      </c>
      <c r="C307" s="1" t="s">
        <v>469</v>
      </c>
      <c r="D307" s="1" t="s">
        <v>584</v>
      </c>
      <c r="E307" s="1" t="s">
        <v>103</v>
      </c>
      <c r="F307" s="1" t="s">
        <v>26</v>
      </c>
      <c r="G307" s="1" t="s">
        <v>27</v>
      </c>
      <c r="H307" s="1" t="s">
        <v>28</v>
      </c>
      <c r="I307" s="1" t="s">
        <v>50</v>
      </c>
      <c r="J307" s="1" t="s">
        <v>187</v>
      </c>
      <c r="K307" s="1" t="s">
        <v>188</v>
      </c>
      <c r="L307" s="1" t="s">
        <v>1088</v>
      </c>
      <c r="M307" s="1" t="s">
        <v>176</v>
      </c>
      <c r="N307" s="1" t="s">
        <v>305</v>
      </c>
      <c r="O307" s="1" t="s">
        <v>470</v>
      </c>
      <c r="P307" s="1"/>
      <c r="Q307" s="1">
        <f>IFERROR(COUNTIFS(_report[TOURNAMENT_CODE],ВСЕ_КОДЫ[[#This Row],[TOURNAMENT_CODE]],_report[CONTEST_CODE],ВСЕ_КОДЫ[[#This Row],[CONTEST_CODE]]),"-")</f>
        <v>0</v>
      </c>
      <c r="R307" s="1" t="str">
        <f>IFERROR(INDEX(_SCHEDULE_[],MATCH(ВСЕ_КОДЫ[[#This Row],[CONTEST_CODE]],_SCHEDULE_[CONTEST_CODE],0),MATCH($R$1,_SCHEDULE_[#Headers],0)),"-")</f>
        <v>ЗАВЕРШЕН</v>
      </c>
      <c r="S307" s="1" t="str">
        <f>IFERROR(INDEX(_group_[],MATCH(ВСЕ_КОДЫ[[#This Row],[CONTEST_CODE]],_group_[CONTEST_CODE],0),MATCH($S$1,_group_[#Headers],0)),"-")</f>
        <v>BANK</v>
      </c>
      <c r="T307" s="1" t="str">
        <f>IFERROR(INDEX(_INDICATOR_[],MATCH(ВСЕ_КОДЫ[[#This Row],[CONTEST_CODE]],_INDICATOR_[CONTEST_CODE],0),MATCH($T$1,_INDICATOR_[#Headers],0)),"-")</f>
        <v>WAIT</v>
      </c>
      <c r="U307" s="1" t="str">
        <f>IFERROR(INDEX(_reward_link_[],MATCH(ВСЕ_КОДЫ[[#This Row],[CONTEST_CODE]],_reward_link_[CONTEST_CODE],0),MATCH($U$1,_reward_link_[#Headers],0)),"-")</f>
        <v>GOSB</v>
      </c>
      <c r="V307" s="1" t="str">
        <f>IFERROR(INDEX(_report[],MATCH(ВСЕ_КОДЫ[[#This Row],[CONTEST_CODE]],_report[CONTEST_CODE],0),MATCH($V$1,_report[#Headers],0)),"-")</f>
        <v>-</v>
      </c>
      <c r="W307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07" s="1" t="str">
        <f>IFERROR(INDEX(_group_[],MATCH(CONCATENATE(ВСЕ_КОДЫ[[#This Row],[CONTEST_CODE]],"_",X$2),#REF!,0),MATCH(X$1,_group_[#Headers],0)),"-")</f>
        <v>-</v>
      </c>
      <c r="Y307" s="1" t="str">
        <f>IFERROR(INDEX(_group_[],MATCH(CONCATENATE(ВСЕ_КОДЫ[[#This Row],[CONTEST_CODE]],"_",Y$2),#REF!,0),MATCH(Y$1,_group_[#Headers],0)),"-")</f>
        <v>-</v>
      </c>
      <c r="Z307" s="1" t="str">
        <f>IFERROR(INDEX(_group_[],MATCH(CONCATENATE(ВСЕ_КОДЫ[[#This Row],[CONTEST_CODE]],"_",Z$2),#REF!,0),MATCH(Z$1,_group_[#Headers],0)),"-")</f>
        <v>-</v>
      </c>
      <c r="AA307" s="1" t="str">
        <f>IFERROR(INDEX(_group_[],MATCH(CONCATENATE(ВСЕ_КОДЫ[[#This Row],[CONTEST_CODE]],"_",AA$2),#REF!,0),MATCH(AA$1,_group_[#Headers],0)),"-")</f>
        <v>-</v>
      </c>
      <c r="AB307" s="1" t="str">
        <f>IFERROR(INDEX(_DATA_[],MATCH(ВСЕ_КОДЫ[[#This Row],[CONTEST_CODE]],_DATA_[CONTEST_CODE],0),MATCH($AB$2,_DATA_[#Headers],0)),"-")</f>
        <v>["""KMKKSB"""]</v>
      </c>
      <c r="AC307" s="1" t="str">
        <f>CONCATENATE(ВСЕ_КОДЫ[[#This Row],[CONTEST_CODE]],"_",ВСЕ_КОДЫ[[#This Row],[TOURNAMENT_CODE]])</f>
        <v>CONTEST_33_TOURNAMENT_33_03</v>
      </c>
      <c r="AD307" s="1" t="str">
        <f>ВСЕ_КОДЫ[[#This Row],[FULL_NAME]]</f>
        <v>Гарантии. Прирост комиссии</v>
      </c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idden="1" x14ac:dyDescent="0.25">
      <c r="A308" s="1" t="s">
        <v>102</v>
      </c>
      <c r="B308" s="1" t="s">
        <v>286</v>
      </c>
      <c r="C308" s="1" t="s">
        <v>469</v>
      </c>
      <c r="D308" s="1" t="s">
        <v>584</v>
      </c>
      <c r="E308" s="1" t="s">
        <v>103</v>
      </c>
      <c r="F308" s="1" t="s">
        <v>26</v>
      </c>
      <c r="G308" s="1" t="s">
        <v>27</v>
      </c>
      <c r="H308" s="1" t="s">
        <v>28</v>
      </c>
      <c r="I308" s="1" t="s">
        <v>50</v>
      </c>
      <c r="J308" s="1" t="s">
        <v>192</v>
      </c>
      <c r="K308" s="1" t="s">
        <v>193</v>
      </c>
      <c r="L308" s="1" t="s">
        <v>247</v>
      </c>
      <c r="M308" s="1" t="s">
        <v>176</v>
      </c>
      <c r="N308" s="1" t="s">
        <v>305</v>
      </c>
      <c r="O308" s="1" t="s">
        <v>470</v>
      </c>
      <c r="P308" s="1"/>
      <c r="Q308" s="1">
        <f>IFERROR(COUNTIFS(_report[TOURNAMENT_CODE],ВСЕ_КОДЫ[[#This Row],[TOURNAMENT_CODE]],_report[CONTEST_CODE],ВСЕ_КОДЫ[[#This Row],[CONTEST_CODE]]),"-")</f>
        <v>0</v>
      </c>
      <c r="R308" s="1" t="str">
        <f>IFERROR(INDEX(_SCHEDULE_[],MATCH(ВСЕ_КОДЫ[[#This Row],[CONTEST_CODE]],_SCHEDULE_[CONTEST_CODE],0),MATCH($R$1,_SCHEDULE_[#Headers],0)),"-")</f>
        <v>ЗАВЕРШЕН</v>
      </c>
      <c r="S308" s="1" t="str">
        <f>IFERROR(INDEX(_group_[],MATCH(ВСЕ_КОДЫ[[#This Row],[CONTEST_CODE]],_group_[CONTEST_CODE],0),MATCH($S$1,_group_[#Headers],0)),"-")</f>
        <v>BANK</v>
      </c>
      <c r="T308" s="1" t="str">
        <f>IFERROR(INDEX(_INDICATOR_[],MATCH(ВСЕ_КОДЫ[[#This Row],[CONTEST_CODE]],_INDICATOR_[CONTEST_CODE],0),MATCH($T$1,_INDICATOR_[#Headers],0)),"-")</f>
        <v>WAIT</v>
      </c>
      <c r="U308" s="1" t="str">
        <f>IFERROR(INDEX(_reward_link_[],MATCH(ВСЕ_КОДЫ[[#This Row],[CONTEST_CODE]],_reward_link_[CONTEST_CODE],0),MATCH($U$1,_reward_link_[#Headers],0)),"-")</f>
        <v>GOSB</v>
      </c>
      <c r="V308" s="1" t="str">
        <f>IFERROR(INDEX(_report[],MATCH(ВСЕ_КОДЫ[[#This Row],[CONTEST_CODE]],_report[CONTEST_CODE],0),MATCH($V$1,_report[#Headers],0)),"-")</f>
        <v>-</v>
      </c>
      <c r="W308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08" s="1" t="str">
        <f>IFERROR(INDEX(_group_[],MATCH(CONCATENATE(ВСЕ_КОДЫ[[#This Row],[CONTEST_CODE]],"_",X$2),#REF!,0),MATCH(X$1,_group_[#Headers],0)),"-")</f>
        <v>-</v>
      </c>
      <c r="Y308" s="1" t="str">
        <f>IFERROR(INDEX(_group_[],MATCH(CONCATENATE(ВСЕ_КОДЫ[[#This Row],[CONTEST_CODE]],"_",Y$2),#REF!,0),MATCH(Y$1,_group_[#Headers],0)),"-")</f>
        <v>-</v>
      </c>
      <c r="Z308" s="1" t="str">
        <f>IFERROR(INDEX(_group_[],MATCH(CONCATENATE(ВСЕ_КОДЫ[[#This Row],[CONTEST_CODE]],"_",Z$2),#REF!,0),MATCH(Z$1,_group_[#Headers],0)),"-")</f>
        <v>-</v>
      </c>
      <c r="AA308" s="1" t="str">
        <f>IFERROR(INDEX(_group_[],MATCH(CONCATENATE(ВСЕ_КОДЫ[[#This Row],[CONTEST_CODE]],"_",AA$2),#REF!,0),MATCH(AA$1,_group_[#Headers],0)),"-")</f>
        <v>-</v>
      </c>
      <c r="AB308" s="1" t="str">
        <f>IFERROR(INDEX(_DATA_[],MATCH(ВСЕ_КОДЫ[[#This Row],[CONTEST_CODE]],_DATA_[CONTEST_CODE],0),MATCH($AB$2,_DATA_[#Headers],0)),"-")</f>
        <v>["""KMKKSB"""]</v>
      </c>
      <c r="AC308" s="1" t="str">
        <f>CONCATENATE(ВСЕ_КОДЫ[[#This Row],[CONTEST_CODE]],"_",ВСЕ_КОДЫ[[#This Row],[TOURNAMENT_CODE]])</f>
        <v>CONTEST_33_TOURNAMENT_33_04</v>
      </c>
      <c r="AD308" s="1" t="str">
        <f>ВСЕ_КОДЫ[[#This Row],[FULL_NAME]]</f>
        <v>Гарантии. Прирост комиссии</v>
      </c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idden="1" x14ac:dyDescent="0.25">
      <c r="A309" s="1" t="s">
        <v>102</v>
      </c>
      <c r="B309" s="1" t="s">
        <v>638</v>
      </c>
      <c r="C309" s="1" t="s">
        <v>469</v>
      </c>
      <c r="D309" s="1" t="s">
        <v>584</v>
      </c>
      <c r="E309" s="1" t="s">
        <v>103</v>
      </c>
      <c r="F309" s="1" t="s">
        <v>26</v>
      </c>
      <c r="G309" s="1" t="s">
        <v>27</v>
      </c>
      <c r="H309" s="1" t="s">
        <v>28</v>
      </c>
      <c r="I309" s="1" t="s">
        <v>50</v>
      </c>
      <c r="J309" s="1" t="s">
        <v>245</v>
      </c>
      <c r="K309" s="1" t="s">
        <v>246</v>
      </c>
      <c r="L309" s="1" t="s">
        <v>252</v>
      </c>
      <c r="M309" s="1" t="s">
        <v>176</v>
      </c>
      <c r="N309" s="1" t="s">
        <v>305</v>
      </c>
      <c r="O309" s="1" t="s">
        <v>470</v>
      </c>
      <c r="P309" s="1"/>
      <c r="Q309" s="1">
        <f>IFERROR(COUNTIFS(_report[TOURNAMENT_CODE],ВСЕ_КОДЫ[[#This Row],[TOURNAMENT_CODE]],_report[CONTEST_CODE],ВСЕ_КОДЫ[[#This Row],[CONTEST_CODE]]),"-")</f>
        <v>0</v>
      </c>
      <c r="R309" s="1" t="str">
        <f>IFERROR(INDEX(_SCHEDULE_[],MATCH(ВСЕ_КОДЫ[[#This Row],[CONTEST_CODE]],_SCHEDULE_[CONTEST_CODE],0),MATCH($R$1,_SCHEDULE_[#Headers],0)),"-")</f>
        <v>ЗАВЕРШЕН</v>
      </c>
      <c r="S309" s="1" t="str">
        <f>IFERROR(INDEX(_group_[],MATCH(ВСЕ_КОДЫ[[#This Row],[CONTEST_CODE]],_group_[CONTEST_CODE],0),MATCH($S$1,_group_[#Headers],0)),"-")</f>
        <v>BANK</v>
      </c>
      <c r="T309" s="1" t="str">
        <f>IFERROR(INDEX(_INDICATOR_[],MATCH(ВСЕ_КОДЫ[[#This Row],[CONTEST_CODE]],_INDICATOR_[CONTEST_CODE],0),MATCH($T$1,_INDICATOR_[#Headers],0)),"-")</f>
        <v>WAIT</v>
      </c>
      <c r="U309" s="1" t="str">
        <f>IFERROR(INDEX(_reward_link_[],MATCH(ВСЕ_КОДЫ[[#This Row],[CONTEST_CODE]],_reward_link_[CONTEST_CODE],0),MATCH($U$1,_reward_link_[#Headers],0)),"-")</f>
        <v>GOSB</v>
      </c>
      <c r="V309" s="1" t="str">
        <f>IFERROR(INDEX(_report[],MATCH(ВСЕ_КОДЫ[[#This Row],[CONTEST_CODE]],_report[CONTEST_CODE],0),MATCH($V$1,_report[#Headers],0)),"-")</f>
        <v>-</v>
      </c>
      <c r="W309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09" s="1" t="str">
        <f>IFERROR(INDEX(_group_[],MATCH(CONCATENATE(ВСЕ_КОДЫ[[#This Row],[CONTEST_CODE]],"_",X$2),#REF!,0),MATCH(X$1,_group_[#Headers],0)),"-")</f>
        <v>-</v>
      </c>
      <c r="Y309" s="1" t="str">
        <f>IFERROR(INDEX(_group_[],MATCH(CONCATENATE(ВСЕ_КОДЫ[[#This Row],[CONTEST_CODE]],"_",Y$2),#REF!,0),MATCH(Y$1,_group_[#Headers],0)),"-")</f>
        <v>-</v>
      </c>
      <c r="Z309" s="1" t="str">
        <f>IFERROR(INDEX(_group_[],MATCH(CONCATENATE(ВСЕ_КОДЫ[[#This Row],[CONTEST_CODE]],"_",Z$2),#REF!,0),MATCH(Z$1,_group_[#Headers],0)),"-")</f>
        <v>-</v>
      </c>
      <c r="AA309" s="1" t="str">
        <f>IFERROR(INDEX(_group_[],MATCH(CONCATENATE(ВСЕ_КОДЫ[[#This Row],[CONTEST_CODE]],"_",AA$2),#REF!,0),MATCH(AA$1,_group_[#Headers],0)),"-")</f>
        <v>-</v>
      </c>
      <c r="AB309" s="1" t="str">
        <f>IFERROR(INDEX(_DATA_[],MATCH(ВСЕ_КОДЫ[[#This Row],[CONTEST_CODE]],_DATA_[CONTEST_CODE],0),MATCH($AB$2,_DATA_[#Headers],0)),"-")</f>
        <v>["""KMKKSB"""]</v>
      </c>
      <c r="AC309" s="1" t="str">
        <f>CONCATENATE(ВСЕ_КОДЫ[[#This Row],[CONTEST_CODE]],"_",ВСЕ_КОДЫ[[#This Row],[TOURNAMENT_CODE]])</f>
        <v>CONTEST_33_TOURNAMENT_33_05</v>
      </c>
      <c r="AD309" s="1" t="str">
        <f>ВСЕ_КОДЫ[[#This Row],[FULL_NAME]]</f>
        <v>Гарантии. Прирост комиссии</v>
      </c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idden="1" x14ac:dyDescent="0.25">
      <c r="A310" s="1" t="s">
        <v>102</v>
      </c>
      <c r="B310" s="1" t="s">
        <v>700</v>
      </c>
      <c r="C310" s="1" t="s">
        <v>469</v>
      </c>
      <c r="D310" s="1" t="s">
        <v>584</v>
      </c>
      <c r="E310" s="1" t="s">
        <v>103</v>
      </c>
      <c r="F310" s="1" t="s">
        <v>26</v>
      </c>
      <c r="G310" s="1" t="s">
        <v>27</v>
      </c>
      <c r="H310" s="1" t="s">
        <v>28</v>
      </c>
      <c r="I310" s="1" t="s">
        <v>50</v>
      </c>
      <c r="J310" s="1" t="s">
        <v>695</v>
      </c>
      <c r="K310" s="1" t="s">
        <v>252</v>
      </c>
      <c r="L310" s="1" t="s">
        <v>1213</v>
      </c>
      <c r="M310" s="1" t="s">
        <v>176</v>
      </c>
      <c r="N310" s="1" t="s">
        <v>305</v>
      </c>
      <c r="O310" s="1" t="s">
        <v>470</v>
      </c>
      <c r="P310" s="1"/>
      <c r="Q310" s="1">
        <f>IFERROR(COUNTIFS(_report[TOURNAMENT_CODE],ВСЕ_КОДЫ[[#This Row],[TOURNAMENT_CODE]],_report[CONTEST_CODE],ВСЕ_КОДЫ[[#This Row],[CONTEST_CODE]]),"-")</f>
        <v>0</v>
      </c>
      <c r="R310" s="1" t="str">
        <f>IFERROR(INDEX(_SCHEDULE_[],MATCH(ВСЕ_КОДЫ[[#This Row],[CONTEST_CODE]],_SCHEDULE_[CONTEST_CODE],0),MATCH($R$1,_SCHEDULE_[#Headers],0)),"-")</f>
        <v>ЗАВЕРШЕН</v>
      </c>
      <c r="S310" s="1" t="str">
        <f>IFERROR(INDEX(_group_[],MATCH(ВСЕ_КОДЫ[[#This Row],[CONTEST_CODE]],_group_[CONTEST_CODE],0),MATCH($S$1,_group_[#Headers],0)),"-")</f>
        <v>BANK</v>
      </c>
      <c r="T310" s="1" t="str">
        <f>IFERROR(INDEX(_INDICATOR_[],MATCH(ВСЕ_КОДЫ[[#This Row],[CONTEST_CODE]],_INDICATOR_[CONTEST_CODE],0),MATCH($T$1,_INDICATOR_[#Headers],0)),"-")</f>
        <v>WAIT</v>
      </c>
      <c r="U310" s="1" t="str">
        <f>IFERROR(INDEX(_reward_link_[],MATCH(ВСЕ_КОДЫ[[#This Row],[CONTEST_CODE]],_reward_link_[CONTEST_CODE],0),MATCH($U$1,_reward_link_[#Headers],0)),"-")</f>
        <v>GOSB</v>
      </c>
      <c r="V310" s="1" t="str">
        <f>IFERROR(INDEX(_report[],MATCH(ВСЕ_КОДЫ[[#This Row],[CONTEST_CODE]],_report[CONTEST_CODE],0),MATCH($V$1,_report[#Headers],0)),"-")</f>
        <v>-</v>
      </c>
      <c r="W310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10" s="1" t="str">
        <f>IFERROR(INDEX(_group_[],MATCH(CONCATENATE(ВСЕ_КОДЫ[[#This Row],[CONTEST_CODE]],"_",X$2),#REF!,0),MATCH(X$1,_group_[#Headers],0)),"-")</f>
        <v>-</v>
      </c>
      <c r="Y310" s="1" t="str">
        <f>IFERROR(INDEX(_group_[],MATCH(CONCATENATE(ВСЕ_КОДЫ[[#This Row],[CONTEST_CODE]],"_",Y$2),#REF!,0),MATCH(Y$1,_group_[#Headers],0)),"-")</f>
        <v>-</v>
      </c>
      <c r="Z310" s="1" t="str">
        <f>IFERROR(INDEX(_group_[],MATCH(CONCATENATE(ВСЕ_КОДЫ[[#This Row],[CONTEST_CODE]],"_",Z$2),#REF!,0),MATCH(Z$1,_group_[#Headers],0)),"-")</f>
        <v>-</v>
      </c>
      <c r="AA310" s="1" t="str">
        <f>IFERROR(INDEX(_group_[],MATCH(CONCATENATE(ВСЕ_КОДЫ[[#This Row],[CONTEST_CODE]],"_",AA$2),#REF!,0),MATCH(AA$1,_group_[#Headers],0)),"-")</f>
        <v>-</v>
      </c>
      <c r="AB310" s="1" t="str">
        <f>IFERROR(INDEX(_DATA_[],MATCH(ВСЕ_КОДЫ[[#This Row],[CONTEST_CODE]],_DATA_[CONTEST_CODE],0),MATCH($AB$2,_DATA_[#Headers],0)),"-")</f>
        <v>["""KMKKSB"""]</v>
      </c>
      <c r="AC310" s="1" t="str">
        <f>CONCATENATE(ВСЕ_КОДЫ[[#This Row],[CONTEST_CODE]],"_",ВСЕ_КОДЫ[[#This Row],[TOURNAMENT_CODE]])</f>
        <v>CONTEST_33_TOURNAMENT_33_06</v>
      </c>
      <c r="AD310" s="1" t="str">
        <f>ВСЕ_КОДЫ[[#This Row],[FULL_NAME]]</f>
        <v>Гарантии. Прирост комиссии</v>
      </c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idden="1" x14ac:dyDescent="0.25">
      <c r="A311" s="1" t="s">
        <v>102</v>
      </c>
      <c r="B311" s="1" t="s">
        <v>1073</v>
      </c>
      <c r="C311" s="1" t="s">
        <v>469</v>
      </c>
      <c r="D311" s="1" t="s">
        <v>584</v>
      </c>
      <c r="E311" s="1" t="s">
        <v>103</v>
      </c>
      <c r="F311" s="1" t="s">
        <v>26</v>
      </c>
      <c r="G311" s="1" t="s">
        <v>27</v>
      </c>
      <c r="H311" s="1" t="s">
        <v>28</v>
      </c>
      <c r="I311" s="1" t="s">
        <v>50</v>
      </c>
      <c r="J311" s="1" t="s">
        <v>703</v>
      </c>
      <c r="K311" s="1" t="s">
        <v>704</v>
      </c>
      <c r="L311" s="1" t="s">
        <v>1275</v>
      </c>
      <c r="M311" s="1" t="s">
        <v>176</v>
      </c>
      <c r="N311" s="1" t="s">
        <v>305</v>
      </c>
      <c r="O311" s="1" t="s">
        <v>470</v>
      </c>
      <c r="P311" s="1"/>
      <c r="Q311" s="1">
        <f>IFERROR(COUNTIFS(_report[TOURNAMENT_CODE],ВСЕ_КОДЫ[[#This Row],[TOURNAMENT_CODE]],_report[CONTEST_CODE],ВСЕ_КОДЫ[[#This Row],[CONTEST_CODE]]),"-")</f>
        <v>0</v>
      </c>
      <c r="R311" s="1" t="str">
        <f>IFERROR(INDEX(_SCHEDULE_[],MATCH(ВСЕ_КОДЫ[[#This Row],[CONTEST_CODE]],_SCHEDULE_[CONTEST_CODE],0),MATCH($R$1,_SCHEDULE_[#Headers],0)),"-")</f>
        <v>ЗАВЕРШЕН</v>
      </c>
      <c r="S311" s="1" t="str">
        <f>IFERROR(INDEX(_group_[],MATCH(ВСЕ_КОДЫ[[#This Row],[CONTEST_CODE]],_group_[CONTEST_CODE],0),MATCH($S$1,_group_[#Headers],0)),"-")</f>
        <v>BANK</v>
      </c>
      <c r="T311" s="1" t="str">
        <f>IFERROR(INDEX(_INDICATOR_[],MATCH(ВСЕ_КОДЫ[[#This Row],[CONTEST_CODE]],_INDICATOR_[CONTEST_CODE],0),MATCH($T$1,_INDICATOR_[#Headers],0)),"-")</f>
        <v>WAIT</v>
      </c>
      <c r="U311" s="1" t="str">
        <f>IFERROR(INDEX(_reward_link_[],MATCH(ВСЕ_КОДЫ[[#This Row],[CONTEST_CODE]],_reward_link_[CONTEST_CODE],0),MATCH($U$1,_reward_link_[#Headers],0)),"-")</f>
        <v>GOSB</v>
      </c>
      <c r="V311" s="1" t="str">
        <f>IFERROR(INDEX(_report[],MATCH(ВСЕ_КОДЫ[[#This Row],[CONTEST_CODE]],_report[CONTEST_CODE],0),MATCH($V$1,_report[#Headers],0)),"-")</f>
        <v>-</v>
      </c>
      <c r="W311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11" s="1" t="str">
        <f>IFERROR(INDEX(_group_[],MATCH(CONCATENATE(ВСЕ_КОДЫ[[#This Row],[CONTEST_CODE]],"_",X$2),#REF!,0),MATCH(X$1,_group_[#Headers],0)),"-")</f>
        <v>-</v>
      </c>
      <c r="Y311" s="1" t="str">
        <f>IFERROR(INDEX(_group_[],MATCH(CONCATENATE(ВСЕ_КОДЫ[[#This Row],[CONTEST_CODE]],"_",Y$2),#REF!,0),MATCH(Y$1,_group_[#Headers],0)),"-")</f>
        <v>-</v>
      </c>
      <c r="Z311" s="1" t="str">
        <f>IFERROR(INDEX(_group_[],MATCH(CONCATENATE(ВСЕ_КОДЫ[[#This Row],[CONTEST_CODE]],"_",Z$2),#REF!,0),MATCH(Z$1,_group_[#Headers],0)),"-")</f>
        <v>-</v>
      </c>
      <c r="AA311" s="1" t="str">
        <f>IFERROR(INDEX(_group_[],MATCH(CONCATENATE(ВСЕ_КОДЫ[[#This Row],[CONTEST_CODE]],"_",AA$2),#REF!,0),MATCH(AA$1,_group_[#Headers],0)),"-")</f>
        <v>-</v>
      </c>
      <c r="AB311" s="1" t="str">
        <f>IFERROR(INDEX(_DATA_[],MATCH(ВСЕ_КОДЫ[[#This Row],[CONTEST_CODE]],_DATA_[CONTEST_CODE],0),MATCH($AB$2,_DATA_[#Headers],0)),"-")</f>
        <v>["""KMKKSB"""]</v>
      </c>
      <c r="AC311" s="1" t="str">
        <f>CONCATENATE(ВСЕ_КОДЫ[[#This Row],[CONTEST_CODE]],"_",ВСЕ_КОДЫ[[#This Row],[TOURNAMENT_CODE]])</f>
        <v>CONTEST_33_TOURNAMENT_33_07</v>
      </c>
      <c r="AD311" s="1" t="str">
        <f>ВСЕ_КОДЫ[[#This Row],[FULL_NAME]]</f>
        <v>Гарантии. Прирост комиссии</v>
      </c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idden="1" x14ac:dyDescent="0.25">
      <c r="A312" s="1" t="s">
        <v>102</v>
      </c>
      <c r="B312" s="1" t="s">
        <v>1210</v>
      </c>
      <c r="C312" s="1" t="s">
        <v>469</v>
      </c>
      <c r="D312" s="1" t="s">
        <v>584</v>
      </c>
      <c r="E312" s="1" t="s">
        <v>103</v>
      </c>
      <c r="F312" s="1" t="s">
        <v>26</v>
      </c>
      <c r="G312" s="1" t="s">
        <v>27</v>
      </c>
      <c r="H312" s="1" t="s">
        <v>28</v>
      </c>
      <c r="I312" s="1" t="s">
        <v>50</v>
      </c>
      <c r="J312" s="1" t="s">
        <v>1078</v>
      </c>
      <c r="K312" s="1" t="s">
        <v>1173</v>
      </c>
      <c r="L312" s="1" t="s">
        <v>1711</v>
      </c>
      <c r="M312" s="1" t="s">
        <v>176</v>
      </c>
      <c r="N312" s="1" t="s">
        <v>305</v>
      </c>
      <c r="O312" s="1" t="s">
        <v>470</v>
      </c>
      <c r="P312" s="1"/>
      <c r="Q312" s="1">
        <f>IFERROR(COUNTIFS(_report[TOURNAMENT_CODE],ВСЕ_КОДЫ[[#This Row],[TOURNAMENT_CODE]],_report[CONTEST_CODE],ВСЕ_КОДЫ[[#This Row],[CONTEST_CODE]]),"-")</f>
        <v>0</v>
      </c>
      <c r="R312" s="1" t="str">
        <f>IFERROR(INDEX(_SCHEDULE_[],MATCH(ВСЕ_КОДЫ[[#This Row],[CONTEST_CODE]],_SCHEDULE_[CONTEST_CODE],0),MATCH($R$1,_SCHEDULE_[#Headers],0)),"-")</f>
        <v>ЗАВЕРШЕН</v>
      </c>
      <c r="S312" s="1" t="str">
        <f>IFERROR(INDEX(_group_[],MATCH(ВСЕ_КОДЫ[[#This Row],[CONTEST_CODE]],_group_[CONTEST_CODE],0),MATCH($S$1,_group_[#Headers],0)),"-")</f>
        <v>BANK</v>
      </c>
      <c r="T312" s="1" t="str">
        <f>IFERROR(INDEX(_INDICATOR_[],MATCH(ВСЕ_КОДЫ[[#This Row],[CONTEST_CODE]],_INDICATOR_[CONTEST_CODE],0),MATCH($T$1,_INDICATOR_[#Headers],0)),"-")</f>
        <v>WAIT</v>
      </c>
      <c r="U312" s="1" t="str">
        <f>IFERROR(INDEX(_reward_link_[],MATCH(ВСЕ_КОДЫ[[#This Row],[CONTEST_CODE]],_reward_link_[CONTEST_CODE],0),MATCH($U$1,_reward_link_[#Headers],0)),"-")</f>
        <v>GOSB</v>
      </c>
      <c r="V312" s="1" t="str">
        <f>IFERROR(INDEX(_report[],MATCH(ВСЕ_КОДЫ[[#This Row],[CONTEST_CODE]],_report[CONTEST_CODE],0),MATCH($V$1,_report[#Headers],0)),"-")</f>
        <v>-</v>
      </c>
      <c r="W312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12" s="1" t="str">
        <f>IFERROR(INDEX(_group_[],MATCH(CONCATENATE(ВСЕ_КОДЫ[[#This Row],[CONTEST_CODE]],"_",X$2),#REF!,0),MATCH(X$1,_group_[#Headers],0)),"-")</f>
        <v>-</v>
      </c>
      <c r="Y312" s="1" t="str">
        <f>IFERROR(INDEX(_group_[],MATCH(CONCATENATE(ВСЕ_КОДЫ[[#This Row],[CONTEST_CODE]],"_",Y$2),#REF!,0),MATCH(Y$1,_group_[#Headers],0)),"-")</f>
        <v>-</v>
      </c>
      <c r="Z312" s="1" t="str">
        <f>IFERROR(INDEX(_group_[],MATCH(CONCATENATE(ВСЕ_КОДЫ[[#This Row],[CONTEST_CODE]],"_",Z$2),#REF!,0),MATCH(Z$1,_group_[#Headers],0)),"-")</f>
        <v>-</v>
      </c>
      <c r="AA312" s="1" t="str">
        <f>IFERROR(INDEX(_group_[],MATCH(CONCATENATE(ВСЕ_КОДЫ[[#This Row],[CONTEST_CODE]],"_",AA$2),#REF!,0),MATCH(AA$1,_group_[#Headers],0)),"-")</f>
        <v>-</v>
      </c>
      <c r="AB312" s="1" t="str">
        <f>IFERROR(INDEX(_DATA_[],MATCH(ВСЕ_КОДЫ[[#This Row],[CONTEST_CODE]],_DATA_[CONTEST_CODE],0),MATCH($AB$2,_DATA_[#Headers],0)),"-")</f>
        <v>["""KMKKSB"""]</v>
      </c>
      <c r="AC312" s="1" t="str">
        <f>CONCATENATE(ВСЕ_КОДЫ[[#This Row],[CONTEST_CODE]],"_",ВСЕ_КОДЫ[[#This Row],[TOURNAMENT_CODE]])</f>
        <v>CONTEST_33_TOURNAMENT_33_08</v>
      </c>
      <c r="AD312" s="1" t="str">
        <f>ВСЕ_КОДЫ[[#This Row],[FULL_NAME]]</f>
        <v>Гарантии. Прирост комиссии</v>
      </c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idden="1" x14ac:dyDescent="0.25">
      <c r="A313" s="1" t="s">
        <v>102</v>
      </c>
      <c r="B313" s="1" t="s">
        <v>1283</v>
      </c>
      <c r="C313" s="1" t="s">
        <v>469</v>
      </c>
      <c r="D313" s="1" t="s">
        <v>584</v>
      </c>
      <c r="E313" s="1" t="s">
        <v>103</v>
      </c>
      <c r="F313" s="1" t="s">
        <v>26</v>
      </c>
      <c r="G313" s="1" t="s">
        <v>27</v>
      </c>
      <c r="H313" s="1" t="s">
        <v>28</v>
      </c>
      <c r="I313" s="1" t="s">
        <v>50</v>
      </c>
      <c r="J313" s="1" t="s">
        <v>1225</v>
      </c>
      <c r="K313" s="1" t="s">
        <v>1070</v>
      </c>
      <c r="L313" s="1" t="s">
        <v>1712</v>
      </c>
      <c r="M313" s="1" t="s">
        <v>176</v>
      </c>
      <c r="N313" s="1" t="s">
        <v>305</v>
      </c>
      <c r="O313" s="1" t="s">
        <v>470</v>
      </c>
      <c r="P313" s="1"/>
      <c r="Q313" s="1">
        <f>IFERROR(COUNTIFS(_report[TOURNAMENT_CODE],ВСЕ_КОДЫ[[#This Row],[TOURNAMENT_CODE]],_report[CONTEST_CODE],ВСЕ_КОДЫ[[#This Row],[CONTEST_CODE]]),"-")</f>
        <v>0</v>
      </c>
      <c r="R313" s="1" t="str">
        <f>IFERROR(INDEX(_SCHEDULE_[],MATCH(ВСЕ_КОДЫ[[#This Row],[CONTEST_CODE]],_SCHEDULE_[CONTEST_CODE],0),MATCH($R$1,_SCHEDULE_[#Headers],0)),"-")</f>
        <v>ЗАВЕРШЕН</v>
      </c>
      <c r="S313" s="1" t="str">
        <f>IFERROR(INDEX(_group_[],MATCH(ВСЕ_КОДЫ[[#This Row],[CONTEST_CODE]],_group_[CONTEST_CODE],0),MATCH($S$1,_group_[#Headers],0)),"-")</f>
        <v>BANK</v>
      </c>
      <c r="T313" s="1" t="str">
        <f>IFERROR(INDEX(_INDICATOR_[],MATCH(ВСЕ_КОДЫ[[#This Row],[CONTEST_CODE]],_INDICATOR_[CONTEST_CODE],0),MATCH($T$1,_INDICATOR_[#Headers],0)),"-")</f>
        <v>WAIT</v>
      </c>
      <c r="U313" s="1" t="str">
        <f>IFERROR(INDEX(_reward_link_[],MATCH(ВСЕ_КОДЫ[[#This Row],[CONTEST_CODE]],_reward_link_[CONTEST_CODE],0),MATCH($U$1,_reward_link_[#Headers],0)),"-")</f>
        <v>GOSB</v>
      </c>
      <c r="V313" s="1" t="str">
        <f>IFERROR(INDEX(_report[],MATCH(ВСЕ_КОДЫ[[#This Row],[CONTEST_CODE]],_report[CONTEST_CODE],0),MATCH($V$1,_report[#Headers],0)),"-")</f>
        <v>-</v>
      </c>
      <c r="W313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13" s="1" t="str">
        <f>IFERROR(INDEX(_group_[],MATCH(CONCATENATE(ВСЕ_КОДЫ[[#This Row],[CONTEST_CODE]],"_",X$2),#REF!,0),MATCH(X$1,_group_[#Headers],0)),"-")</f>
        <v>-</v>
      </c>
      <c r="Y313" s="1" t="str">
        <f>IFERROR(INDEX(_group_[],MATCH(CONCATENATE(ВСЕ_КОДЫ[[#This Row],[CONTEST_CODE]],"_",Y$2),#REF!,0),MATCH(Y$1,_group_[#Headers],0)),"-")</f>
        <v>-</v>
      </c>
      <c r="Z313" s="1" t="str">
        <f>IFERROR(INDEX(_group_[],MATCH(CONCATENATE(ВСЕ_КОДЫ[[#This Row],[CONTEST_CODE]],"_",Z$2),#REF!,0),MATCH(Z$1,_group_[#Headers],0)),"-")</f>
        <v>-</v>
      </c>
      <c r="AA313" s="1" t="str">
        <f>IFERROR(INDEX(_group_[],MATCH(CONCATENATE(ВСЕ_КОДЫ[[#This Row],[CONTEST_CODE]],"_",AA$2),#REF!,0),MATCH(AA$1,_group_[#Headers],0)),"-")</f>
        <v>-</v>
      </c>
      <c r="AB313" s="1" t="str">
        <f>IFERROR(INDEX(_DATA_[],MATCH(ВСЕ_КОДЫ[[#This Row],[CONTEST_CODE]],_DATA_[CONTEST_CODE],0),MATCH($AB$2,_DATA_[#Headers],0)),"-")</f>
        <v>["""KMKKSB"""]</v>
      </c>
      <c r="AC313" s="1" t="str">
        <f>CONCATENATE(ВСЕ_КОДЫ[[#This Row],[CONTEST_CODE]],"_",ВСЕ_КОДЫ[[#This Row],[TOURNAMENT_CODE]])</f>
        <v>CONTEST_33_TOURNAMENT_33_09</v>
      </c>
      <c r="AD313" s="1" t="str">
        <f>ВСЕ_КОДЫ[[#This Row],[FULL_NAME]]</f>
        <v>Гарантии. Прирост комиссии</v>
      </c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idden="1" x14ac:dyDescent="0.25">
      <c r="A314" s="1" t="s">
        <v>102</v>
      </c>
      <c r="B314" s="1" t="s">
        <v>1651</v>
      </c>
      <c r="C314" s="1" t="s">
        <v>469</v>
      </c>
      <c r="D314" s="1" t="s">
        <v>584</v>
      </c>
      <c r="E314" s="1" t="s">
        <v>103</v>
      </c>
      <c r="F314" s="1" t="s">
        <v>26</v>
      </c>
      <c r="G314" s="1" t="s">
        <v>27</v>
      </c>
      <c r="H314" s="1" t="s">
        <v>28</v>
      </c>
      <c r="I314" s="1" t="s">
        <v>50</v>
      </c>
      <c r="J314" s="1" t="s">
        <v>1308</v>
      </c>
      <c r="K314" s="1" t="s">
        <v>1638</v>
      </c>
      <c r="L314" s="1" t="s">
        <v>1847</v>
      </c>
      <c r="M314" s="1" t="s">
        <v>176</v>
      </c>
      <c r="N314" s="1" t="s">
        <v>305</v>
      </c>
      <c r="O314" s="1" t="s">
        <v>470</v>
      </c>
      <c r="P314" s="1"/>
      <c r="Q314" s="1">
        <f>IFERROR(COUNTIFS(_report[TOURNAMENT_CODE],ВСЕ_КОДЫ[[#This Row],[TOURNAMENT_CODE]],_report[CONTEST_CODE],ВСЕ_КОДЫ[[#This Row],[CONTEST_CODE]]),"-")</f>
        <v>0</v>
      </c>
      <c r="R314" s="1" t="str">
        <f>IFERROR(INDEX(_SCHEDULE_[],MATCH(ВСЕ_КОДЫ[[#This Row],[CONTEST_CODE]],_SCHEDULE_[CONTEST_CODE],0),MATCH($R$1,_SCHEDULE_[#Headers],0)),"-")</f>
        <v>ЗАВЕРШЕН</v>
      </c>
      <c r="S314" s="1" t="str">
        <f>IFERROR(INDEX(_group_[],MATCH(ВСЕ_КОДЫ[[#This Row],[CONTEST_CODE]],_group_[CONTEST_CODE],0),MATCH($S$1,_group_[#Headers],0)),"-")</f>
        <v>BANK</v>
      </c>
      <c r="T314" s="1" t="str">
        <f>IFERROR(INDEX(_INDICATOR_[],MATCH(ВСЕ_КОДЫ[[#This Row],[CONTEST_CODE]],_INDICATOR_[CONTEST_CODE],0),MATCH($T$1,_INDICATOR_[#Headers],0)),"-")</f>
        <v>WAIT</v>
      </c>
      <c r="U314" s="1" t="str">
        <f>IFERROR(INDEX(_reward_link_[],MATCH(ВСЕ_КОДЫ[[#This Row],[CONTEST_CODE]],_reward_link_[CONTEST_CODE],0),MATCH($U$1,_reward_link_[#Headers],0)),"-")</f>
        <v>GOSB</v>
      </c>
      <c r="V314" s="1" t="str">
        <f>IFERROR(INDEX(_report[],MATCH(ВСЕ_КОДЫ[[#This Row],[CONTEST_CODE]],_report[CONTEST_CODE],0),MATCH($V$1,_report[#Headers],0)),"-")</f>
        <v>-</v>
      </c>
      <c r="W314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14" s="1" t="str">
        <f>IFERROR(INDEX(_group_[],MATCH(CONCATENATE(ВСЕ_КОДЫ[[#This Row],[CONTEST_CODE]],"_",X$2),#REF!,0),MATCH(X$1,_group_[#Headers],0)),"-")</f>
        <v>-</v>
      </c>
      <c r="Y314" s="1" t="str">
        <f>IFERROR(INDEX(_group_[],MATCH(CONCATENATE(ВСЕ_КОДЫ[[#This Row],[CONTEST_CODE]],"_",Y$2),#REF!,0),MATCH(Y$1,_group_[#Headers],0)),"-")</f>
        <v>-</v>
      </c>
      <c r="Z314" s="1" t="str">
        <f>IFERROR(INDEX(_group_[],MATCH(CONCATENATE(ВСЕ_КОДЫ[[#This Row],[CONTEST_CODE]],"_",Z$2),#REF!,0),MATCH(Z$1,_group_[#Headers],0)),"-")</f>
        <v>-</v>
      </c>
      <c r="AA314" s="1" t="str">
        <f>IFERROR(INDEX(_group_[],MATCH(CONCATENATE(ВСЕ_КОДЫ[[#This Row],[CONTEST_CODE]],"_",AA$2),#REF!,0),MATCH(AA$1,_group_[#Headers],0)),"-")</f>
        <v>-</v>
      </c>
      <c r="AB314" s="1" t="str">
        <f>IFERROR(INDEX(_DATA_[],MATCH(ВСЕ_КОДЫ[[#This Row],[CONTEST_CODE]],_DATA_[CONTEST_CODE],0),MATCH($AB$2,_DATA_[#Headers],0)),"-")</f>
        <v>["""KMKKSB"""]</v>
      </c>
      <c r="AC314" s="1" t="str">
        <f>CONCATENATE(ВСЕ_КОДЫ[[#This Row],[CONTEST_CODE]],"_",ВСЕ_КОДЫ[[#This Row],[TOURNAMENT_CODE]])</f>
        <v>CONTEST_33_TOURNAMENT_33_2024_M10</v>
      </c>
      <c r="AD314" s="1" t="str">
        <f>ВСЕ_КОДЫ[[#This Row],[FULL_NAME]]</f>
        <v>Гарантии. Прирост комиссии</v>
      </c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idden="1" x14ac:dyDescent="0.25">
      <c r="A315" s="1" t="s">
        <v>102</v>
      </c>
      <c r="B315" s="1" t="s">
        <v>1814</v>
      </c>
      <c r="C315" s="1" t="s">
        <v>469</v>
      </c>
      <c r="D315" s="1" t="s">
        <v>584</v>
      </c>
      <c r="E315" s="1" t="s">
        <v>103</v>
      </c>
      <c r="F315" s="1" t="s">
        <v>26</v>
      </c>
      <c r="G315" s="1" t="s">
        <v>27</v>
      </c>
      <c r="H315" s="1" t="s">
        <v>28</v>
      </c>
      <c r="I315" s="1" t="s">
        <v>50</v>
      </c>
      <c r="J315" s="1" t="s">
        <v>1800</v>
      </c>
      <c r="K315" s="1" t="s">
        <v>1801</v>
      </c>
      <c r="L315" s="1" t="s">
        <v>1802</v>
      </c>
      <c r="M315" s="1" t="s">
        <v>155</v>
      </c>
      <c r="N315" s="1" t="s">
        <v>305</v>
      </c>
      <c r="O315" s="1" t="s">
        <v>470</v>
      </c>
      <c r="P315" s="1"/>
      <c r="Q315" s="1">
        <f>IFERROR(COUNTIFS(_report[TOURNAMENT_CODE],ВСЕ_КОДЫ[[#This Row],[TOURNAMENT_CODE]],_report[CONTEST_CODE],ВСЕ_КОДЫ[[#This Row],[CONTEST_CODE]]),"-")</f>
        <v>0</v>
      </c>
      <c r="R315" s="1" t="str">
        <f>IFERROR(INDEX(_SCHEDULE_[],MATCH(ВСЕ_КОДЫ[[#This Row],[CONTEST_CODE]],_SCHEDULE_[CONTEST_CODE],0),MATCH($R$1,_SCHEDULE_[#Headers],0)),"-")</f>
        <v>ЗАВЕРШЕН</v>
      </c>
      <c r="S315" s="1" t="str">
        <f>IFERROR(INDEX(_group_[],MATCH(ВСЕ_КОДЫ[[#This Row],[CONTEST_CODE]],_group_[CONTEST_CODE],0),MATCH($S$1,_group_[#Headers],0)),"-")</f>
        <v>BANK</v>
      </c>
      <c r="T315" s="1" t="str">
        <f>IFERROR(INDEX(_INDICATOR_[],MATCH(ВСЕ_КОДЫ[[#This Row],[CONTEST_CODE]],_INDICATOR_[CONTEST_CODE],0),MATCH($T$1,_INDICATOR_[#Headers],0)),"-")</f>
        <v>WAIT</v>
      </c>
      <c r="U315" s="1" t="str">
        <f>IFERROR(INDEX(_reward_link_[],MATCH(ВСЕ_КОДЫ[[#This Row],[CONTEST_CODE]],_reward_link_[CONTEST_CODE],0),MATCH($U$1,_reward_link_[#Headers],0)),"-")</f>
        <v>GOSB</v>
      </c>
      <c r="V315" s="1" t="str">
        <f>IFERROR(INDEX(_report[],MATCH(ВСЕ_КОДЫ[[#This Row],[CONTEST_CODE]],_report[CONTEST_CODE],0),MATCH($V$1,_report[#Headers],0)),"-")</f>
        <v>-</v>
      </c>
      <c r="W315" s="1" t="str">
        <f>IFERROR(INDEX(_reward_[],MATCH(ВСЕ_КОДЫ[[#This Row],[REWARD_CODE]],_reward_[REWARD_CODE],0),MATCH($W$1,_reward_[#Headers],0)),"-")</f>
        <v>Лучший в подразделении по приросту комиссии от банковских гарантий</v>
      </c>
      <c r="X315" s="1" t="str">
        <f>IFERROR(INDEX(_group_[],MATCH(CONCATENATE(ВСЕ_КОДЫ[[#This Row],[CONTEST_CODE]],"_",X$2),#REF!,0),MATCH(X$1,_group_[#Headers],0)),"-")</f>
        <v>-</v>
      </c>
      <c r="Y315" s="1" t="str">
        <f>IFERROR(INDEX(_group_[],MATCH(CONCATENATE(ВСЕ_КОДЫ[[#This Row],[CONTEST_CODE]],"_",Y$2),#REF!,0),MATCH(Y$1,_group_[#Headers],0)),"-")</f>
        <v>-</v>
      </c>
      <c r="Z315" s="1" t="str">
        <f>IFERROR(INDEX(_group_[],MATCH(CONCATENATE(ВСЕ_КОДЫ[[#This Row],[CONTEST_CODE]],"_",Z$2),#REF!,0),MATCH(Z$1,_group_[#Headers],0)),"-")</f>
        <v>-</v>
      </c>
      <c r="AA315" s="1" t="str">
        <f>IFERROR(INDEX(_group_[],MATCH(CONCATENATE(ВСЕ_КОДЫ[[#This Row],[CONTEST_CODE]],"_",AA$2),#REF!,0),MATCH(AA$1,_group_[#Headers],0)),"-")</f>
        <v>-</v>
      </c>
      <c r="AB315" s="1" t="str">
        <f>IFERROR(INDEX(_DATA_[],MATCH(ВСЕ_КОДЫ[[#This Row],[CONTEST_CODE]],_DATA_[CONTEST_CODE],0),MATCH($AB$2,_DATA_[#Headers],0)),"-")</f>
        <v>["""KMKKSB"""]</v>
      </c>
      <c r="AC315" s="1" t="str">
        <f>CONCATENATE(ВСЕ_КОДЫ[[#This Row],[CONTEST_CODE]],"_",ВСЕ_КОДЫ[[#This Row],[TOURNAMENT_CODE]])</f>
        <v>CONTEST_33_TOURNAMENT_33_2024_M11</v>
      </c>
      <c r="AD315" s="1" t="str">
        <f>ВСЕ_КОДЫ[[#This Row],[FULL_NAME]]</f>
        <v>Гарантии. Прирост комиссии</v>
      </c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idden="1" x14ac:dyDescent="0.25">
      <c r="A316" s="1" t="s">
        <v>102</v>
      </c>
      <c r="B316" s="1" t="s">
        <v>285</v>
      </c>
      <c r="C316" s="1" t="s">
        <v>478</v>
      </c>
      <c r="D316" s="1" t="s">
        <v>583</v>
      </c>
      <c r="E316" s="1" t="s">
        <v>103</v>
      </c>
      <c r="F316" s="1" t="s">
        <v>26</v>
      </c>
      <c r="G316" s="1" t="s">
        <v>27</v>
      </c>
      <c r="H316" s="1" t="s">
        <v>28</v>
      </c>
      <c r="I316" s="1" t="s">
        <v>50</v>
      </c>
      <c r="J316" s="1" t="s">
        <v>187</v>
      </c>
      <c r="K316" s="1" t="s">
        <v>188</v>
      </c>
      <c r="L316" s="1" t="s">
        <v>1088</v>
      </c>
      <c r="M316" s="1" t="s">
        <v>176</v>
      </c>
      <c r="N316" s="1" t="s">
        <v>305</v>
      </c>
      <c r="O316" s="1" t="s">
        <v>479</v>
      </c>
      <c r="P316" s="1"/>
      <c r="Q316" s="1">
        <f>IFERROR(COUNTIFS(_report[TOURNAMENT_CODE],ВСЕ_КОДЫ[[#This Row],[TOURNAMENT_CODE]],_report[CONTEST_CODE],ВСЕ_КОДЫ[[#This Row],[CONTEST_CODE]]),"-")</f>
        <v>0</v>
      </c>
      <c r="R316" s="1" t="str">
        <f>IFERROR(INDEX(_SCHEDULE_[],MATCH(ВСЕ_КОДЫ[[#This Row],[CONTEST_CODE]],_SCHEDULE_[CONTEST_CODE],0),MATCH($R$1,_SCHEDULE_[#Headers],0)),"-")</f>
        <v>ЗАВЕРШЕН</v>
      </c>
      <c r="S316" s="1" t="str">
        <f>IFERROR(INDEX(_group_[],MATCH(ВСЕ_КОДЫ[[#This Row],[CONTEST_CODE]],_group_[CONTEST_CODE],0),MATCH($S$1,_group_[#Headers],0)),"-")</f>
        <v>BANK</v>
      </c>
      <c r="T316" s="1" t="str">
        <f>IFERROR(INDEX(_INDICATOR_[],MATCH(ВСЕ_КОДЫ[[#This Row],[CONTEST_CODE]],_INDICATOR_[CONTEST_CODE],0),MATCH($T$1,_INDICATOR_[#Headers],0)),"-")</f>
        <v>WAIT</v>
      </c>
      <c r="U316" s="1" t="str">
        <f>IFERROR(INDEX(_reward_link_[],MATCH(ВСЕ_КОДЫ[[#This Row],[CONTEST_CODE]],_reward_link_[CONTEST_CODE],0),MATCH($U$1,_reward_link_[#Headers],0)),"-")</f>
        <v>GOSB</v>
      </c>
      <c r="V316" s="1" t="str">
        <f>IFERROR(INDEX(_report[],MATCH(ВСЕ_КОДЫ[[#This Row],[CONTEST_CODE]],_report[CONTEST_CODE],0),MATCH($V$1,_report[#Headers],0)),"-")</f>
        <v>-</v>
      </c>
      <c r="W316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16" s="1" t="str">
        <f>IFERROR(INDEX(_group_[],MATCH(CONCATENATE(ВСЕ_КОДЫ[[#This Row],[CONTEST_CODE]],"_",X$2),#REF!,0),MATCH(X$1,_group_[#Headers],0)),"-")</f>
        <v>-</v>
      </c>
      <c r="Y316" s="1" t="str">
        <f>IFERROR(INDEX(_group_[],MATCH(CONCATENATE(ВСЕ_КОДЫ[[#This Row],[CONTEST_CODE]],"_",Y$2),#REF!,0),MATCH(Y$1,_group_[#Headers],0)),"-")</f>
        <v>-</v>
      </c>
      <c r="Z316" s="1" t="str">
        <f>IFERROR(INDEX(_group_[],MATCH(CONCATENATE(ВСЕ_КОДЫ[[#This Row],[CONTEST_CODE]],"_",Z$2),#REF!,0),MATCH(Z$1,_group_[#Headers],0)),"-")</f>
        <v>-</v>
      </c>
      <c r="AA316" s="1" t="str">
        <f>IFERROR(INDEX(_group_[],MATCH(CONCATENATE(ВСЕ_КОДЫ[[#This Row],[CONTEST_CODE]],"_",AA$2),#REF!,0),MATCH(AA$1,_group_[#Headers],0)),"-")</f>
        <v>-</v>
      </c>
      <c r="AB316" s="1" t="str">
        <f>IFERROR(INDEX(_DATA_[],MATCH(ВСЕ_КОДЫ[[#This Row],[CONTEST_CODE]],_DATA_[CONTEST_CODE],0),MATCH($AB$2,_DATA_[#Headers],0)),"-")</f>
        <v>["""KMKKSB"""]</v>
      </c>
      <c r="AC316" s="1" t="str">
        <f>CONCATENATE(ВСЕ_КОДЫ[[#This Row],[CONTEST_CODE]],"_",ВСЕ_КОДЫ[[#This Row],[TOURNAMENT_CODE]])</f>
        <v>CONTEST_33_TOURNAMENT_33_03</v>
      </c>
      <c r="AD316" s="1" t="str">
        <f>ВСЕ_КОДЫ[[#This Row],[FULL_NAME]]</f>
        <v>Гарантии. Прирост комиссии</v>
      </c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idden="1" x14ac:dyDescent="0.25">
      <c r="A317" s="1" t="s">
        <v>102</v>
      </c>
      <c r="B317" s="1" t="s">
        <v>286</v>
      </c>
      <c r="C317" s="1" t="s">
        <v>478</v>
      </c>
      <c r="D317" s="1" t="s">
        <v>583</v>
      </c>
      <c r="E317" s="1" t="s">
        <v>103</v>
      </c>
      <c r="F317" s="1" t="s">
        <v>26</v>
      </c>
      <c r="G317" s="1" t="s">
        <v>27</v>
      </c>
      <c r="H317" s="1" t="s">
        <v>28</v>
      </c>
      <c r="I317" s="1" t="s">
        <v>50</v>
      </c>
      <c r="J317" s="1" t="s">
        <v>192</v>
      </c>
      <c r="K317" s="1" t="s">
        <v>193</v>
      </c>
      <c r="L317" s="1" t="s">
        <v>247</v>
      </c>
      <c r="M317" s="1" t="s">
        <v>176</v>
      </c>
      <c r="N317" s="1" t="s">
        <v>305</v>
      </c>
      <c r="O317" s="1" t="s">
        <v>479</v>
      </c>
      <c r="P317" s="1"/>
      <c r="Q317" s="1">
        <f>IFERROR(COUNTIFS(_report[TOURNAMENT_CODE],ВСЕ_КОДЫ[[#This Row],[TOURNAMENT_CODE]],_report[CONTEST_CODE],ВСЕ_КОДЫ[[#This Row],[CONTEST_CODE]]),"-")</f>
        <v>0</v>
      </c>
      <c r="R317" s="1" t="str">
        <f>IFERROR(INDEX(_SCHEDULE_[],MATCH(ВСЕ_КОДЫ[[#This Row],[CONTEST_CODE]],_SCHEDULE_[CONTEST_CODE],0),MATCH($R$1,_SCHEDULE_[#Headers],0)),"-")</f>
        <v>ЗАВЕРШЕН</v>
      </c>
      <c r="S317" s="1" t="str">
        <f>IFERROR(INDEX(_group_[],MATCH(ВСЕ_КОДЫ[[#This Row],[CONTEST_CODE]],_group_[CONTEST_CODE],0),MATCH($S$1,_group_[#Headers],0)),"-")</f>
        <v>BANK</v>
      </c>
      <c r="T317" s="1" t="str">
        <f>IFERROR(INDEX(_INDICATOR_[],MATCH(ВСЕ_КОДЫ[[#This Row],[CONTEST_CODE]],_INDICATOR_[CONTEST_CODE],0),MATCH($T$1,_INDICATOR_[#Headers],0)),"-")</f>
        <v>WAIT</v>
      </c>
      <c r="U317" s="1" t="str">
        <f>IFERROR(INDEX(_reward_link_[],MATCH(ВСЕ_КОДЫ[[#This Row],[CONTEST_CODE]],_reward_link_[CONTEST_CODE],0),MATCH($U$1,_reward_link_[#Headers],0)),"-")</f>
        <v>GOSB</v>
      </c>
      <c r="V317" s="1" t="str">
        <f>IFERROR(INDEX(_report[],MATCH(ВСЕ_КОДЫ[[#This Row],[CONTEST_CODE]],_report[CONTEST_CODE],0),MATCH($V$1,_report[#Headers],0)),"-")</f>
        <v>-</v>
      </c>
      <c r="W317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17" s="1" t="str">
        <f>IFERROR(INDEX(_group_[],MATCH(CONCATENATE(ВСЕ_КОДЫ[[#This Row],[CONTEST_CODE]],"_",X$2),#REF!,0),MATCH(X$1,_group_[#Headers],0)),"-")</f>
        <v>-</v>
      </c>
      <c r="Y317" s="1" t="str">
        <f>IFERROR(INDEX(_group_[],MATCH(CONCATENATE(ВСЕ_КОДЫ[[#This Row],[CONTEST_CODE]],"_",Y$2),#REF!,0),MATCH(Y$1,_group_[#Headers],0)),"-")</f>
        <v>-</v>
      </c>
      <c r="Z317" s="1" t="str">
        <f>IFERROR(INDEX(_group_[],MATCH(CONCATENATE(ВСЕ_КОДЫ[[#This Row],[CONTEST_CODE]],"_",Z$2),#REF!,0),MATCH(Z$1,_group_[#Headers],0)),"-")</f>
        <v>-</v>
      </c>
      <c r="AA317" s="1" t="str">
        <f>IFERROR(INDEX(_group_[],MATCH(CONCATENATE(ВСЕ_КОДЫ[[#This Row],[CONTEST_CODE]],"_",AA$2),#REF!,0),MATCH(AA$1,_group_[#Headers],0)),"-")</f>
        <v>-</v>
      </c>
      <c r="AB317" s="1" t="str">
        <f>IFERROR(INDEX(_DATA_[],MATCH(ВСЕ_КОДЫ[[#This Row],[CONTEST_CODE]],_DATA_[CONTEST_CODE],0),MATCH($AB$2,_DATA_[#Headers],0)),"-")</f>
        <v>["""KMKKSB"""]</v>
      </c>
      <c r="AC317" s="1" t="str">
        <f>CONCATENATE(ВСЕ_КОДЫ[[#This Row],[CONTEST_CODE]],"_",ВСЕ_КОДЫ[[#This Row],[TOURNAMENT_CODE]])</f>
        <v>CONTEST_33_TOURNAMENT_33_04</v>
      </c>
      <c r="AD317" s="1" t="str">
        <f>ВСЕ_КОДЫ[[#This Row],[FULL_NAME]]</f>
        <v>Гарантии. Прирост комиссии</v>
      </c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idden="1" x14ac:dyDescent="0.25">
      <c r="A318" s="1" t="s">
        <v>102</v>
      </c>
      <c r="B318" s="1" t="s">
        <v>638</v>
      </c>
      <c r="C318" s="1" t="s">
        <v>478</v>
      </c>
      <c r="D318" s="1" t="s">
        <v>583</v>
      </c>
      <c r="E318" s="1" t="s">
        <v>103</v>
      </c>
      <c r="F318" s="1" t="s">
        <v>26</v>
      </c>
      <c r="G318" s="1" t="s">
        <v>27</v>
      </c>
      <c r="H318" s="1" t="s">
        <v>28</v>
      </c>
      <c r="I318" s="1" t="s">
        <v>50</v>
      </c>
      <c r="J318" s="1" t="s">
        <v>245</v>
      </c>
      <c r="K318" s="1" t="s">
        <v>246</v>
      </c>
      <c r="L318" s="1" t="s">
        <v>252</v>
      </c>
      <c r="M318" s="1" t="s">
        <v>176</v>
      </c>
      <c r="N318" s="1" t="s">
        <v>305</v>
      </c>
      <c r="O318" s="1" t="s">
        <v>479</v>
      </c>
      <c r="P318" s="1"/>
      <c r="Q318" s="1">
        <f>IFERROR(COUNTIFS(_report[TOURNAMENT_CODE],ВСЕ_КОДЫ[[#This Row],[TOURNAMENT_CODE]],_report[CONTEST_CODE],ВСЕ_КОДЫ[[#This Row],[CONTEST_CODE]]),"-")</f>
        <v>0</v>
      </c>
      <c r="R318" s="1" t="str">
        <f>IFERROR(INDEX(_SCHEDULE_[],MATCH(ВСЕ_КОДЫ[[#This Row],[CONTEST_CODE]],_SCHEDULE_[CONTEST_CODE],0),MATCH($R$1,_SCHEDULE_[#Headers],0)),"-")</f>
        <v>ЗАВЕРШЕН</v>
      </c>
      <c r="S318" s="1" t="str">
        <f>IFERROR(INDEX(_group_[],MATCH(ВСЕ_КОДЫ[[#This Row],[CONTEST_CODE]],_group_[CONTEST_CODE],0),MATCH($S$1,_group_[#Headers],0)),"-")</f>
        <v>BANK</v>
      </c>
      <c r="T318" s="1" t="str">
        <f>IFERROR(INDEX(_INDICATOR_[],MATCH(ВСЕ_КОДЫ[[#This Row],[CONTEST_CODE]],_INDICATOR_[CONTEST_CODE],0),MATCH($T$1,_INDICATOR_[#Headers],0)),"-")</f>
        <v>WAIT</v>
      </c>
      <c r="U318" s="1" t="str">
        <f>IFERROR(INDEX(_reward_link_[],MATCH(ВСЕ_КОДЫ[[#This Row],[CONTEST_CODE]],_reward_link_[CONTEST_CODE],0),MATCH($U$1,_reward_link_[#Headers],0)),"-")</f>
        <v>GOSB</v>
      </c>
      <c r="V318" s="1" t="str">
        <f>IFERROR(INDEX(_report[],MATCH(ВСЕ_КОДЫ[[#This Row],[CONTEST_CODE]],_report[CONTEST_CODE],0),MATCH($V$1,_report[#Headers],0)),"-")</f>
        <v>-</v>
      </c>
      <c r="W318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18" s="1" t="str">
        <f>IFERROR(INDEX(_group_[],MATCH(CONCATENATE(ВСЕ_КОДЫ[[#This Row],[CONTEST_CODE]],"_",X$2),#REF!,0),MATCH(X$1,_group_[#Headers],0)),"-")</f>
        <v>-</v>
      </c>
      <c r="Y318" s="1" t="str">
        <f>IFERROR(INDEX(_group_[],MATCH(CONCATENATE(ВСЕ_КОДЫ[[#This Row],[CONTEST_CODE]],"_",Y$2),#REF!,0),MATCH(Y$1,_group_[#Headers],0)),"-")</f>
        <v>-</v>
      </c>
      <c r="Z318" s="1" t="str">
        <f>IFERROR(INDEX(_group_[],MATCH(CONCATENATE(ВСЕ_КОДЫ[[#This Row],[CONTEST_CODE]],"_",Z$2),#REF!,0),MATCH(Z$1,_group_[#Headers],0)),"-")</f>
        <v>-</v>
      </c>
      <c r="AA318" s="1" t="str">
        <f>IFERROR(INDEX(_group_[],MATCH(CONCATENATE(ВСЕ_КОДЫ[[#This Row],[CONTEST_CODE]],"_",AA$2),#REF!,0),MATCH(AA$1,_group_[#Headers],0)),"-")</f>
        <v>-</v>
      </c>
      <c r="AB318" s="1" t="str">
        <f>IFERROR(INDEX(_DATA_[],MATCH(ВСЕ_КОДЫ[[#This Row],[CONTEST_CODE]],_DATA_[CONTEST_CODE],0),MATCH($AB$2,_DATA_[#Headers],0)),"-")</f>
        <v>["""KMKKSB"""]</v>
      </c>
      <c r="AC318" s="1" t="str">
        <f>CONCATENATE(ВСЕ_КОДЫ[[#This Row],[CONTEST_CODE]],"_",ВСЕ_КОДЫ[[#This Row],[TOURNAMENT_CODE]])</f>
        <v>CONTEST_33_TOURNAMENT_33_05</v>
      </c>
      <c r="AD318" s="1" t="str">
        <f>ВСЕ_КОДЫ[[#This Row],[FULL_NAME]]</f>
        <v>Гарантии. Прирост комиссии</v>
      </c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idden="1" x14ac:dyDescent="0.25">
      <c r="A319" s="1" t="s">
        <v>102</v>
      </c>
      <c r="B319" s="1" t="s">
        <v>700</v>
      </c>
      <c r="C319" s="1" t="s">
        <v>478</v>
      </c>
      <c r="D319" s="1" t="s">
        <v>583</v>
      </c>
      <c r="E319" s="1" t="s">
        <v>103</v>
      </c>
      <c r="F319" s="1" t="s">
        <v>26</v>
      </c>
      <c r="G319" s="1" t="s">
        <v>27</v>
      </c>
      <c r="H319" s="1" t="s">
        <v>28</v>
      </c>
      <c r="I319" s="1" t="s">
        <v>50</v>
      </c>
      <c r="J319" s="1" t="s">
        <v>695</v>
      </c>
      <c r="K319" s="1" t="s">
        <v>252</v>
      </c>
      <c r="L319" s="1" t="s">
        <v>1213</v>
      </c>
      <c r="M319" s="1" t="s">
        <v>176</v>
      </c>
      <c r="N319" s="1" t="s">
        <v>305</v>
      </c>
      <c r="O319" s="1" t="s">
        <v>479</v>
      </c>
      <c r="P319" s="1"/>
      <c r="Q319" s="1">
        <f>IFERROR(COUNTIFS(_report[TOURNAMENT_CODE],ВСЕ_КОДЫ[[#This Row],[TOURNAMENT_CODE]],_report[CONTEST_CODE],ВСЕ_КОДЫ[[#This Row],[CONTEST_CODE]]),"-")</f>
        <v>0</v>
      </c>
      <c r="R319" s="1" t="str">
        <f>IFERROR(INDEX(_SCHEDULE_[],MATCH(ВСЕ_КОДЫ[[#This Row],[CONTEST_CODE]],_SCHEDULE_[CONTEST_CODE],0),MATCH($R$1,_SCHEDULE_[#Headers],0)),"-")</f>
        <v>ЗАВЕРШЕН</v>
      </c>
      <c r="S319" s="1" t="str">
        <f>IFERROR(INDEX(_group_[],MATCH(ВСЕ_КОДЫ[[#This Row],[CONTEST_CODE]],_group_[CONTEST_CODE],0),MATCH($S$1,_group_[#Headers],0)),"-")</f>
        <v>BANK</v>
      </c>
      <c r="T319" s="1" t="str">
        <f>IFERROR(INDEX(_INDICATOR_[],MATCH(ВСЕ_КОДЫ[[#This Row],[CONTEST_CODE]],_INDICATOR_[CONTEST_CODE],0),MATCH($T$1,_INDICATOR_[#Headers],0)),"-")</f>
        <v>WAIT</v>
      </c>
      <c r="U319" s="1" t="str">
        <f>IFERROR(INDEX(_reward_link_[],MATCH(ВСЕ_КОДЫ[[#This Row],[CONTEST_CODE]],_reward_link_[CONTEST_CODE],0),MATCH($U$1,_reward_link_[#Headers],0)),"-")</f>
        <v>GOSB</v>
      </c>
      <c r="V319" s="1" t="str">
        <f>IFERROR(INDEX(_report[],MATCH(ВСЕ_КОДЫ[[#This Row],[CONTEST_CODE]],_report[CONTEST_CODE],0),MATCH($V$1,_report[#Headers],0)),"-")</f>
        <v>-</v>
      </c>
      <c r="W319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19" s="1" t="str">
        <f>IFERROR(INDEX(_group_[],MATCH(CONCATENATE(ВСЕ_КОДЫ[[#This Row],[CONTEST_CODE]],"_",X$2),#REF!,0),MATCH(X$1,_group_[#Headers],0)),"-")</f>
        <v>-</v>
      </c>
      <c r="Y319" s="1" t="str">
        <f>IFERROR(INDEX(_group_[],MATCH(CONCATENATE(ВСЕ_КОДЫ[[#This Row],[CONTEST_CODE]],"_",Y$2),#REF!,0),MATCH(Y$1,_group_[#Headers],0)),"-")</f>
        <v>-</v>
      </c>
      <c r="Z319" s="1" t="str">
        <f>IFERROR(INDEX(_group_[],MATCH(CONCATENATE(ВСЕ_КОДЫ[[#This Row],[CONTEST_CODE]],"_",Z$2),#REF!,0),MATCH(Z$1,_group_[#Headers],0)),"-")</f>
        <v>-</v>
      </c>
      <c r="AA319" s="1" t="str">
        <f>IFERROR(INDEX(_group_[],MATCH(CONCATENATE(ВСЕ_КОДЫ[[#This Row],[CONTEST_CODE]],"_",AA$2),#REF!,0),MATCH(AA$1,_group_[#Headers],0)),"-")</f>
        <v>-</v>
      </c>
      <c r="AB319" s="1" t="str">
        <f>IFERROR(INDEX(_DATA_[],MATCH(ВСЕ_КОДЫ[[#This Row],[CONTEST_CODE]],_DATA_[CONTEST_CODE],0),MATCH($AB$2,_DATA_[#Headers],0)),"-")</f>
        <v>["""KMKKSB"""]</v>
      </c>
      <c r="AC319" s="1" t="str">
        <f>CONCATENATE(ВСЕ_КОДЫ[[#This Row],[CONTEST_CODE]],"_",ВСЕ_КОДЫ[[#This Row],[TOURNAMENT_CODE]])</f>
        <v>CONTEST_33_TOURNAMENT_33_06</v>
      </c>
      <c r="AD319" s="1" t="str">
        <f>ВСЕ_КОДЫ[[#This Row],[FULL_NAME]]</f>
        <v>Гарантии. Прирост комиссии</v>
      </c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idden="1" x14ac:dyDescent="0.25">
      <c r="A320" s="1" t="s">
        <v>102</v>
      </c>
      <c r="B320" s="1" t="s">
        <v>1073</v>
      </c>
      <c r="C320" s="1" t="s">
        <v>478</v>
      </c>
      <c r="D320" s="1" t="s">
        <v>583</v>
      </c>
      <c r="E320" s="1" t="s">
        <v>103</v>
      </c>
      <c r="F320" s="1" t="s">
        <v>26</v>
      </c>
      <c r="G320" s="1" t="s">
        <v>27</v>
      </c>
      <c r="H320" s="1" t="s">
        <v>28</v>
      </c>
      <c r="I320" s="1" t="s">
        <v>50</v>
      </c>
      <c r="J320" s="1" t="s">
        <v>703</v>
      </c>
      <c r="K320" s="1" t="s">
        <v>704</v>
      </c>
      <c r="L320" s="1" t="s">
        <v>1275</v>
      </c>
      <c r="M320" s="1" t="s">
        <v>176</v>
      </c>
      <c r="N320" s="1" t="s">
        <v>305</v>
      </c>
      <c r="O320" s="1" t="s">
        <v>479</v>
      </c>
      <c r="P320" s="1"/>
      <c r="Q320" s="1">
        <f>IFERROR(COUNTIFS(_report[TOURNAMENT_CODE],ВСЕ_КОДЫ[[#This Row],[TOURNAMENT_CODE]],_report[CONTEST_CODE],ВСЕ_КОДЫ[[#This Row],[CONTEST_CODE]]),"-")</f>
        <v>0</v>
      </c>
      <c r="R320" s="1" t="str">
        <f>IFERROR(INDEX(_SCHEDULE_[],MATCH(ВСЕ_КОДЫ[[#This Row],[CONTEST_CODE]],_SCHEDULE_[CONTEST_CODE],0),MATCH($R$1,_SCHEDULE_[#Headers],0)),"-")</f>
        <v>ЗАВЕРШЕН</v>
      </c>
      <c r="S320" s="1" t="str">
        <f>IFERROR(INDEX(_group_[],MATCH(ВСЕ_КОДЫ[[#This Row],[CONTEST_CODE]],_group_[CONTEST_CODE],0),MATCH($S$1,_group_[#Headers],0)),"-")</f>
        <v>BANK</v>
      </c>
      <c r="T320" s="1" t="str">
        <f>IFERROR(INDEX(_INDICATOR_[],MATCH(ВСЕ_КОДЫ[[#This Row],[CONTEST_CODE]],_INDICATOR_[CONTEST_CODE],0),MATCH($T$1,_INDICATOR_[#Headers],0)),"-")</f>
        <v>WAIT</v>
      </c>
      <c r="U320" s="1" t="str">
        <f>IFERROR(INDEX(_reward_link_[],MATCH(ВСЕ_КОДЫ[[#This Row],[CONTEST_CODE]],_reward_link_[CONTEST_CODE],0),MATCH($U$1,_reward_link_[#Headers],0)),"-")</f>
        <v>GOSB</v>
      </c>
      <c r="V320" s="1" t="str">
        <f>IFERROR(INDEX(_report[],MATCH(ВСЕ_КОДЫ[[#This Row],[CONTEST_CODE]],_report[CONTEST_CODE],0),MATCH($V$1,_report[#Headers],0)),"-")</f>
        <v>-</v>
      </c>
      <c r="W320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20" s="1" t="str">
        <f>IFERROR(INDEX(_group_[],MATCH(CONCATENATE(ВСЕ_КОДЫ[[#This Row],[CONTEST_CODE]],"_",X$2),#REF!,0),MATCH(X$1,_group_[#Headers],0)),"-")</f>
        <v>-</v>
      </c>
      <c r="Y320" s="1" t="str">
        <f>IFERROR(INDEX(_group_[],MATCH(CONCATENATE(ВСЕ_КОДЫ[[#This Row],[CONTEST_CODE]],"_",Y$2),#REF!,0),MATCH(Y$1,_group_[#Headers],0)),"-")</f>
        <v>-</v>
      </c>
      <c r="Z320" s="1" t="str">
        <f>IFERROR(INDEX(_group_[],MATCH(CONCATENATE(ВСЕ_КОДЫ[[#This Row],[CONTEST_CODE]],"_",Z$2),#REF!,0),MATCH(Z$1,_group_[#Headers],0)),"-")</f>
        <v>-</v>
      </c>
      <c r="AA320" s="1" t="str">
        <f>IFERROR(INDEX(_group_[],MATCH(CONCATENATE(ВСЕ_КОДЫ[[#This Row],[CONTEST_CODE]],"_",AA$2),#REF!,0),MATCH(AA$1,_group_[#Headers],0)),"-")</f>
        <v>-</v>
      </c>
      <c r="AB320" s="1" t="str">
        <f>IFERROR(INDEX(_DATA_[],MATCH(ВСЕ_КОДЫ[[#This Row],[CONTEST_CODE]],_DATA_[CONTEST_CODE],0),MATCH($AB$2,_DATA_[#Headers],0)),"-")</f>
        <v>["""KMKKSB"""]</v>
      </c>
      <c r="AC320" s="1" t="str">
        <f>CONCATENATE(ВСЕ_КОДЫ[[#This Row],[CONTEST_CODE]],"_",ВСЕ_КОДЫ[[#This Row],[TOURNAMENT_CODE]])</f>
        <v>CONTEST_33_TOURNAMENT_33_07</v>
      </c>
      <c r="AD320" s="1" t="str">
        <f>ВСЕ_КОДЫ[[#This Row],[FULL_NAME]]</f>
        <v>Гарантии. Прирост комиссии</v>
      </c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idden="1" x14ac:dyDescent="0.25">
      <c r="A321" s="1" t="s">
        <v>102</v>
      </c>
      <c r="B321" s="1" t="s">
        <v>1210</v>
      </c>
      <c r="C321" s="1" t="s">
        <v>478</v>
      </c>
      <c r="D321" s="1" t="s">
        <v>583</v>
      </c>
      <c r="E321" s="1" t="s">
        <v>103</v>
      </c>
      <c r="F321" s="1" t="s">
        <v>26</v>
      </c>
      <c r="G321" s="1" t="s">
        <v>27</v>
      </c>
      <c r="H321" s="1" t="s">
        <v>28</v>
      </c>
      <c r="I321" s="1" t="s">
        <v>50</v>
      </c>
      <c r="J321" s="1" t="s">
        <v>1078</v>
      </c>
      <c r="K321" s="1" t="s">
        <v>1173</v>
      </c>
      <c r="L321" s="1" t="s">
        <v>1711</v>
      </c>
      <c r="M321" s="1" t="s">
        <v>176</v>
      </c>
      <c r="N321" s="1" t="s">
        <v>305</v>
      </c>
      <c r="O321" s="1" t="s">
        <v>479</v>
      </c>
      <c r="P321" s="1"/>
      <c r="Q321" s="1">
        <f>IFERROR(COUNTIFS(_report[TOURNAMENT_CODE],ВСЕ_КОДЫ[[#This Row],[TOURNAMENT_CODE]],_report[CONTEST_CODE],ВСЕ_КОДЫ[[#This Row],[CONTEST_CODE]]),"-")</f>
        <v>0</v>
      </c>
      <c r="R321" s="1" t="str">
        <f>IFERROR(INDEX(_SCHEDULE_[],MATCH(ВСЕ_КОДЫ[[#This Row],[CONTEST_CODE]],_SCHEDULE_[CONTEST_CODE],0),MATCH($R$1,_SCHEDULE_[#Headers],0)),"-")</f>
        <v>ЗАВЕРШЕН</v>
      </c>
      <c r="S321" s="1" t="str">
        <f>IFERROR(INDEX(_group_[],MATCH(ВСЕ_КОДЫ[[#This Row],[CONTEST_CODE]],_group_[CONTEST_CODE],0),MATCH($S$1,_group_[#Headers],0)),"-")</f>
        <v>BANK</v>
      </c>
      <c r="T321" s="1" t="str">
        <f>IFERROR(INDEX(_INDICATOR_[],MATCH(ВСЕ_КОДЫ[[#This Row],[CONTEST_CODE]],_INDICATOR_[CONTEST_CODE],0),MATCH($T$1,_INDICATOR_[#Headers],0)),"-")</f>
        <v>WAIT</v>
      </c>
      <c r="U321" s="1" t="str">
        <f>IFERROR(INDEX(_reward_link_[],MATCH(ВСЕ_КОДЫ[[#This Row],[CONTEST_CODE]],_reward_link_[CONTEST_CODE],0),MATCH($U$1,_reward_link_[#Headers],0)),"-")</f>
        <v>GOSB</v>
      </c>
      <c r="V321" s="1" t="str">
        <f>IFERROR(INDEX(_report[],MATCH(ВСЕ_КОДЫ[[#This Row],[CONTEST_CODE]],_report[CONTEST_CODE],0),MATCH($V$1,_report[#Headers],0)),"-")</f>
        <v>-</v>
      </c>
      <c r="W321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21" s="1" t="str">
        <f>IFERROR(INDEX(_group_[],MATCH(CONCATENATE(ВСЕ_КОДЫ[[#This Row],[CONTEST_CODE]],"_",X$2),#REF!,0),MATCH(X$1,_group_[#Headers],0)),"-")</f>
        <v>-</v>
      </c>
      <c r="Y321" s="1" t="str">
        <f>IFERROR(INDEX(_group_[],MATCH(CONCATENATE(ВСЕ_КОДЫ[[#This Row],[CONTEST_CODE]],"_",Y$2),#REF!,0),MATCH(Y$1,_group_[#Headers],0)),"-")</f>
        <v>-</v>
      </c>
      <c r="Z321" s="1" t="str">
        <f>IFERROR(INDEX(_group_[],MATCH(CONCATENATE(ВСЕ_КОДЫ[[#This Row],[CONTEST_CODE]],"_",Z$2),#REF!,0),MATCH(Z$1,_group_[#Headers],0)),"-")</f>
        <v>-</v>
      </c>
      <c r="AA321" s="1" t="str">
        <f>IFERROR(INDEX(_group_[],MATCH(CONCATENATE(ВСЕ_КОДЫ[[#This Row],[CONTEST_CODE]],"_",AA$2),#REF!,0),MATCH(AA$1,_group_[#Headers],0)),"-")</f>
        <v>-</v>
      </c>
      <c r="AB321" s="1" t="str">
        <f>IFERROR(INDEX(_DATA_[],MATCH(ВСЕ_КОДЫ[[#This Row],[CONTEST_CODE]],_DATA_[CONTEST_CODE],0),MATCH($AB$2,_DATA_[#Headers],0)),"-")</f>
        <v>["""KMKKSB"""]</v>
      </c>
      <c r="AC321" s="1" t="str">
        <f>CONCATENATE(ВСЕ_КОДЫ[[#This Row],[CONTEST_CODE]],"_",ВСЕ_КОДЫ[[#This Row],[TOURNAMENT_CODE]])</f>
        <v>CONTEST_33_TOURNAMENT_33_08</v>
      </c>
      <c r="AD321" s="1" t="str">
        <f>ВСЕ_КОДЫ[[#This Row],[FULL_NAME]]</f>
        <v>Гарантии. Прирост комиссии</v>
      </c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idden="1" x14ac:dyDescent="0.25">
      <c r="A322" s="1" t="s">
        <v>102</v>
      </c>
      <c r="B322" s="1" t="s">
        <v>1283</v>
      </c>
      <c r="C322" s="1" t="s">
        <v>478</v>
      </c>
      <c r="D322" s="1" t="s">
        <v>583</v>
      </c>
      <c r="E322" s="1" t="s">
        <v>103</v>
      </c>
      <c r="F322" s="1" t="s">
        <v>26</v>
      </c>
      <c r="G322" s="1" t="s">
        <v>27</v>
      </c>
      <c r="H322" s="1" t="s">
        <v>28</v>
      </c>
      <c r="I322" s="1" t="s">
        <v>50</v>
      </c>
      <c r="J322" s="1" t="s">
        <v>1225</v>
      </c>
      <c r="K322" s="1" t="s">
        <v>1070</v>
      </c>
      <c r="L322" s="1" t="s">
        <v>1712</v>
      </c>
      <c r="M322" s="1" t="s">
        <v>176</v>
      </c>
      <c r="N322" s="1" t="s">
        <v>305</v>
      </c>
      <c r="O322" s="1" t="s">
        <v>479</v>
      </c>
      <c r="P322" s="1"/>
      <c r="Q322" s="1">
        <f>IFERROR(COUNTIFS(_report[TOURNAMENT_CODE],ВСЕ_КОДЫ[[#This Row],[TOURNAMENT_CODE]],_report[CONTEST_CODE],ВСЕ_КОДЫ[[#This Row],[CONTEST_CODE]]),"-")</f>
        <v>0</v>
      </c>
      <c r="R322" s="1" t="str">
        <f>IFERROR(INDEX(_SCHEDULE_[],MATCH(ВСЕ_КОДЫ[[#This Row],[CONTEST_CODE]],_SCHEDULE_[CONTEST_CODE],0),MATCH($R$1,_SCHEDULE_[#Headers],0)),"-")</f>
        <v>ЗАВЕРШЕН</v>
      </c>
      <c r="S322" s="1" t="str">
        <f>IFERROR(INDEX(_group_[],MATCH(ВСЕ_КОДЫ[[#This Row],[CONTEST_CODE]],_group_[CONTEST_CODE],0),MATCH($S$1,_group_[#Headers],0)),"-")</f>
        <v>BANK</v>
      </c>
      <c r="T322" s="1" t="str">
        <f>IFERROR(INDEX(_INDICATOR_[],MATCH(ВСЕ_КОДЫ[[#This Row],[CONTEST_CODE]],_INDICATOR_[CONTEST_CODE],0),MATCH($T$1,_INDICATOR_[#Headers],0)),"-")</f>
        <v>WAIT</v>
      </c>
      <c r="U322" s="1" t="str">
        <f>IFERROR(INDEX(_reward_link_[],MATCH(ВСЕ_КОДЫ[[#This Row],[CONTEST_CODE]],_reward_link_[CONTEST_CODE],0),MATCH($U$1,_reward_link_[#Headers],0)),"-")</f>
        <v>GOSB</v>
      </c>
      <c r="V322" s="1" t="str">
        <f>IFERROR(INDEX(_report[],MATCH(ВСЕ_КОДЫ[[#This Row],[CONTEST_CODE]],_report[CONTEST_CODE],0),MATCH($V$1,_report[#Headers],0)),"-")</f>
        <v>-</v>
      </c>
      <c r="W322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22" s="1" t="str">
        <f>IFERROR(INDEX(_group_[],MATCH(CONCATENATE(ВСЕ_КОДЫ[[#This Row],[CONTEST_CODE]],"_",X$2),#REF!,0),MATCH(X$1,_group_[#Headers],0)),"-")</f>
        <v>-</v>
      </c>
      <c r="Y322" s="1" t="str">
        <f>IFERROR(INDEX(_group_[],MATCH(CONCATENATE(ВСЕ_КОДЫ[[#This Row],[CONTEST_CODE]],"_",Y$2),#REF!,0),MATCH(Y$1,_group_[#Headers],0)),"-")</f>
        <v>-</v>
      </c>
      <c r="Z322" s="1" t="str">
        <f>IFERROR(INDEX(_group_[],MATCH(CONCATENATE(ВСЕ_КОДЫ[[#This Row],[CONTEST_CODE]],"_",Z$2),#REF!,0),MATCH(Z$1,_group_[#Headers],0)),"-")</f>
        <v>-</v>
      </c>
      <c r="AA322" s="1" t="str">
        <f>IFERROR(INDEX(_group_[],MATCH(CONCATENATE(ВСЕ_КОДЫ[[#This Row],[CONTEST_CODE]],"_",AA$2),#REF!,0),MATCH(AA$1,_group_[#Headers],0)),"-")</f>
        <v>-</v>
      </c>
      <c r="AB322" s="1" t="str">
        <f>IFERROR(INDEX(_DATA_[],MATCH(ВСЕ_КОДЫ[[#This Row],[CONTEST_CODE]],_DATA_[CONTEST_CODE],0),MATCH($AB$2,_DATA_[#Headers],0)),"-")</f>
        <v>["""KMKKSB"""]</v>
      </c>
      <c r="AC322" s="1" t="str">
        <f>CONCATENATE(ВСЕ_КОДЫ[[#This Row],[CONTEST_CODE]],"_",ВСЕ_КОДЫ[[#This Row],[TOURNAMENT_CODE]])</f>
        <v>CONTEST_33_TOURNAMENT_33_09</v>
      </c>
      <c r="AD322" s="1" t="str">
        <f>ВСЕ_КОДЫ[[#This Row],[FULL_NAME]]</f>
        <v>Гарантии. Прирост комиссии</v>
      </c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idden="1" x14ac:dyDescent="0.25">
      <c r="A323" s="1" t="s">
        <v>102</v>
      </c>
      <c r="B323" s="1" t="s">
        <v>1651</v>
      </c>
      <c r="C323" s="1" t="s">
        <v>478</v>
      </c>
      <c r="D323" s="1" t="s">
        <v>583</v>
      </c>
      <c r="E323" s="1" t="s">
        <v>103</v>
      </c>
      <c r="F323" s="1" t="s">
        <v>26</v>
      </c>
      <c r="G323" s="1" t="s">
        <v>27</v>
      </c>
      <c r="H323" s="1" t="s">
        <v>28</v>
      </c>
      <c r="I323" s="1" t="s">
        <v>50</v>
      </c>
      <c r="J323" s="1" t="s">
        <v>1308</v>
      </c>
      <c r="K323" s="1" t="s">
        <v>1638</v>
      </c>
      <c r="L323" s="1" t="s">
        <v>1847</v>
      </c>
      <c r="M323" s="1" t="s">
        <v>176</v>
      </c>
      <c r="N323" s="1" t="s">
        <v>305</v>
      </c>
      <c r="O323" s="1" t="s">
        <v>479</v>
      </c>
      <c r="P323" s="1"/>
      <c r="Q323" s="1">
        <f>IFERROR(COUNTIFS(_report[TOURNAMENT_CODE],ВСЕ_КОДЫ[[#This Row],[TOURNAMENT_CODE]],_report[CONTEST_CODE],ВСЕ_КОДЫ[[#This Row],[CONTEST_CODE]]),"-")</f>
        <v>0</v>
      </c>
      <c r="R323" s="1" t="str">
        <f>IFERROR(INDEX(_SCHEDULE_[],MATCH(ВСЕ_КОДЫ[[#This Row],[CONTEST_CODE]],_SCHEDULE_[CONTEST_CODE],0),MATCH($R$1,_SCHEDULE_[#Headers],0)),"-")</f>
        <v>ЗАВЕРШЕН</v>
      </c>
      <c r="S323" s="1" t="str">
        <f>IFERROR(INDEX(_group_[],MATCH(ВСЕ_КОДЫ[[#This Row],[CONTEST_CODE]],_group_[CONTEST_CODE],0),MATCH($S$1,_group_[#Headers],0)),"-")</f>
        <v>BANK</v>
      </c>
      <c r="T323" s="1" t="str">
        <f>IFERROR(INDEX(_INDICATOR_[],MATCH(ВСЕ_КОДЫ[[#This Row],[CONTEST_CODE]],_INDICATOR_[CONTEST_CODE],0),MATCH($T$1,_INDICATOR_[#Headers],0)),"-")</f>
        <v>WAIT</v>
      </c>
      <c r="U323" s="1" t="str">
        <f>IFERROR(INDEX(_reward_link_[],MATCH(ВСЕ_КОДЫ[[#This Row],[CONTEST_CODE]],_reward_link_[CONTEST_CODE],0),MATCH($U$1,_reward_link_[#Headers],0)),"-")</f>
        <v>GOSB</v>
      </c>
      <c r="V323" s="1" t="str">
        <f>IFERROR(INDEX(_report[],MATCH(ВСЕ_КОДЫ[[#This Row],[CONTEST_CODE]],_report[CONTEST_CODE],0),MATCH($V$1,_report[#Headers],0)),"-")</f>
        <v>-</v>
      </c>
      <c r="W323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23" s="1" t="str">
        <f>IFERROR(INDEX(_group_[],MATCH(CONCATENATE(ВСЕ_КОДЫ[[#This Row],[CONTEST_CODE]],"_",X$2),#REF!,0),MATCH(X$1,_group_[#Headers],0)),"-")</f>
        <v>-</v>
      </c>
      <c r="Y323" s="1" t="str">
        <f>IFERROR(INDEX(_group_[],MATCH(CONCATENATE(ВСЕ_КОДЫ[[#This Row],[CONTEST_CODE]],"_",Y$2),#REF!,0),MATCH(Y$1,_group_[#Headers],0)),"-")</f>
        <v>-</v>
      </c>
      <c r="Z323" s="1" t="str">
        <f>IFERROR(INDEX(_group_[],MATCH(CONCATENATE(ВСЕ_КОДЫ[[#This Row],[CONTEST_CODE]],"_",Z$2),#REF!,0),MATCH(Z$1,_group_[#Headers],0)),"-")</f>
        <v>-</v>
      </c>
      <c r="AA323" s="1" t="str">
        <f>IFERROR(INDEX(_group_[],MATCH(CONCATENATE(ВСЕ_КОДЫ[[#This Row],[CONTEST_CODE]],"_",AA$2),#REF!,0),MATCH(AA$1,_group_[#Headers],0)),"-")</f>
        <v>-</v>
      </c>
      <c r="AB323" s="1" t="str">
        <f>IFERROR(INDEX(_DATA_[],MATCH(ВСЕ_КОДЫ[[#This Row],[CONTEST_CODE]],_DATA_[CONTEST_CODE],0),MATCH($AB$2,_DATA_[#Headers],0)),"-")</f>
        <v>["""KMKKSB"""]</v>
      </c>
      <c r="AC323" s="1" t="str">
        <f>CONCATENATE(ВСЕ_КОДЫ[[#This Row],[CONTEST_CODE]],"_",ВСЕ_КОДЫ[[#This Row],[TOURNAMENT_CODE]])</f>
        <v>CONTEST_33_TOURNAMENT_33_2024_M10</v>
      </c>
      <c r="AD323" s="1" t="str">
        <f>ВСЕ_КОДЫ[[#This Row],[FULL_NAME]]</f>
        <v>Гарантии. Прирост комиссии</v>
      </c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idden="1" x14ac:dyDescent="0.25">
      <c r="A324" s="1" t="s">
        <v>102</v>
      </c>
      <c r="B324" s="1" t="s">
        <v>1814</v>
      </c>
      <c r="C324" s="1" t="s">
        <v>478</v>
      </c>
      <c r="D324" s="1" t="s">
        <v>583</v>
      </c>
      <c r="E324" s="1" t="s">
        <v>103</v>
      </c>
      <c r="F324" s="1" t="s">
        <v>26</v>
      </c>
      <c r="G324" s="1" t="s">
        <v>27</v>
      </c>
      <c r="H324" s="1" t="s">
        <v>28</v>
      </c>
      <c r="I324" s="1" t="s">
        <v>50</v>
      </c>
      <c r="J324" s="1" t="s">
        <v>1800</v>
      </c>
      <c r="K324" s="1" t="s">
        <v>1801</v>
      </c>
      <c r="L324" s="1" t="s">
        <v>1802</v>
      </c>
      <c r="M324" s="1" t="s">
        <v>155</v>
      </c>
      <c r="N324" s="1" t="s">
        <v>305</v>
      </c>
      <c r="O324" s="1" t="s">
        <v>479</v>
      </c>
      <c r="P324" s="1"/>
      <c r="Q324" s="1">
        <f>IFERROR(COUNTIFS(_report[TOURNAMENT_CODE],ВСЕ_КОДЫ[[#This Row],[TOURNAMENT_CODE]],_report[CONTEST_CODE],ВСЕ_КОДЫ[[#This Row],[CONTEST_CODE]]),"-")</f>
        <v>0</v>
      </c>
      <c r="R324" s="1" t="str">
        <f>IFERROR(INDEX(_SCHEDULE_[],MATCH(ВСЕ_КОДЫ[[#This Row],[CONTEST_CODE]],_SCHEDULE_[CONTEST_CODE],0),MATCH($R$1,_SCHEDULE_[#Headers],0)),"-")</f>
        <v>ЗАВЕРШЕН</v>
      </c>
      <c r="S324" s="1" t="str">
        <f>IFERROR(INDEX(_group_[],MATCH(ВСЕ_КОДЫ[[#This Row],[CONTEST_CODE]],_group_[CONTEST_CODE],0),MATCH($S$1,_group_[#Headers],0)),"-")</f>
        <v>BANK</v>
      </c>
      <c r="T324" s="1" t="str">
        <f>IFERROR(INDEX(_INDICATOR_[],MATCH(ВСЕ_КОДЫ[[#This Row],[CONTEST_CODE]],_INDICATOR_[CONTEST_CODE],0),MATCH($T$1,_INDICATOR_[#Headers],0)),"-")</f>
        <v>WAIT</v>
      </c>
      <c r="U324" s="1" t="str">
        <f>IFERROR(INDEX(_reward_link_[],MATCH(ВСЕ_КОДЫ[[#This Row],[CONTEST_CODE]],_reward_link_[CONTEST_CODE],0),MATCH($U$1,_reward_link_[#Headers],0)),"-")</f>
        <v>GOSB</v>
      </c>
      <c r="V324" s="1" t="str">
        <f>IFERROR(INDEX(_report[],MATCH(ВСЕ_КОДЫ[[#This Row],[CONTEST_CODE]],_report[CONTEST_CODE],0),MATCH($V$1,_report[#Headers],0)),"-")</f>
        <v>-</v>
      </c>
      <c r="W324" s="1" t="str">
        <f>IFERROR(INDEX(_reward_[],MATCH(ВСЕ_КОДЫ[[#This Row],[REWARD_CODE]],_reward_[REWARD_CODE],0),MATCH($W$1,_reward_[#Headers],0)),"-")</f>
        <v>Чемпион страны по приросту комиссии от банковских гарантий</v>
      </c>
      <c r="X324" s="1" t="str">
        <f>IFERROR(INDEX(_group_[],MATCH(CONCATENATE(ВСЕ_КОДЫ[[#This Row],[CONTEST_CODE]],"_",X$2),#REF!,0),MATCH(X$1,_group_[#Headers],0)),"-")</f>
        <v>-</v>
      </c>
      <c r="Y324" s="1" t="str">
        <f>IFERROR(INDEX(_group_[],MATCH(CONCATENATE(ВСЕ_КОДЫ[[#This Row],[CONTEST_CODE]],"_",Y$2),#REF!,0),MATCH(Y$1,_group_[#Headers],0)),"-")</f>
        <v>-</v>
      </c>
      <c r="Z324" s="1" t="str">
        <f>IFERROR(INDEX(_group_[],MATCH(CONCATENATE(ВСЕ_КОДЫ[[#This Row],[CONTEST_CODE]],"_",Z$2),#REF!,0),MATCH(Z$1,_group_[#Headers],0)),"-")</f>
        <v>-</v>
      </c>
      <c r="AA324" s="1" t="str">
        <f>IFERROR(INDEX(_group_[],MATCH(CONCATENATE(ВСЕ_КОДЫ[[#This Row],[CONTEST_CODE]],"_",AA$2),#REF!,0),MATCH(AA$1,_group_[#Headers],0)),"-")</f>
        <v>-</v>
      </c>
      <c r="AB324" s="1" t="str">
        <f>IFERROR(INDEX(_DATA_[],MATCH(ВСЕ_КОДЫ[[#This Row],[CONTEST_CODE]],_DATA_[CONTEST_CODE],0),MATCH($AB$2,_DATA_[#Headers],0)),"-")</f>
        <v>["""KMKKSB"""]</v>
      </c>
      <c r="AC324" s="1" t="str">
        <f>CONCATENATE(ВСЕ_КОДЫ[[#This Row],[CONTEST_CODE]],"_",ВСЕ_КОДЫ[[#This Row],[TOURNAMENT_CODE]])</f>
        <v>CONTEST_33_TOURNAMENT_33_2024_M11</v>
      </c>
      <c r="AD324" s="1" t="str">
        <f>ВСЕ_КОДЫ[[#This Row],[FULL_NAME]]</f>
        <v>Гарантии. Прирост комиссии</v>
      </c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idden="1" x14ac:dyDescent="0.25">
      <c r="A325" s="1" t="s">
        <v>105</v>
      </c>
      <c r="B325" s="1" t="s">
        <v>287</v>
      </c>
      <c r="C325" s="1" t="s">
        <v>481</v>
      </c>
      <c r="D325" s="1" t="s">
        <v>584</v>
      </c>
      <c r="E325" s="1" t="s">
        <v>106</v>
      </c>
      <c r="F325" s="1" t="s">
        <v>26</v>
      </c>
      <c r="G325" s="1" t="s">
        <v>27</v>
      </c>
      <c r="H325" s="1" t="s">
        <v>28</v>
      </c>
      <c r="I325" s="1" t="s">
        <v>50</v>
      </c>
      <c r="J325" s="1" t="s">
        <v>187</v>
      </c>
      <c r="K325" s="1" t="s">
        <v>188</v>
      </c>
      <c r="L325" s="1" t="s">
        <v>1088</v>
      </c>
      <c r="M325" s="1" t="s">
        <v>176</v>
      </c>
      <c r="N325" s="1" t="s">
        <v>305</v>
      </c>
      <c r="O325" s="1" t="s">
        <v>482</v>
      </c>
      <c r="P325" s="1"/>
      <c r="Q325" s="1">
        <f>IFERROR(COUNTIFS(_report[TOURNAMENT_CODE],ВСЕ_КОДЫ[[#This Row],[TOURNAMENT_CODE]],_report[CONTEST_CODE],ВСЕ_КОДЫ[[#This Row],[CONTEST_CODE]]),"-")</f>
        <v>0</v>
      </c>
      <c r="R325" s="1" t="str">
        <f>IFERROR(INDEX(_SCHEDULE_[],MATCH(ВСЕ_КОДЫ[[#This Row],[CONTEST_CODE]],_SCHEDULE_[CONTEST_CODE],0),MATCH($R$1,_SCHEDULE_[#Headers],0)),"-")</f>
        <v>ЗАВЕРШЕН</v>
      </c>
      <c r="S325" s="1" t="str">
        <f>IFERROR(INDEX(_group_[],MATCH(ВСЕ_КОДЫ[[#This Row],[CONTEST_CODE]],_group_[CONTEST_CODE],0),MATCH($S$1,_group_[#Headers],0)),"-")</f>
        <v>BANK</v>
      </c>
      <c r="T325" s="1" t="str">
        <f>IFERROR(INDEX(_INDICATOR_[],MATCH(ВСЕ_КОДЫ[[#This Row],[CONTEST_CODE]],_INDICATOR_[CONTEST_CODE],0),MATCH($T$1,_INDICATOR_[#Headers],0)),"-")</f>
        <v>WAIT</v>
      </c>
      <c r="U325" s="1" t="str">
        <f>IFERROR(INDEX(_reward_link_[],MATCH(ВСЕ_КОДЫ[[#This Row],[CONTEST_CODE]],_reward_link_[CONTEST_CODE],0),MATCH($U$1,_reward_link_[#Headers],0)),"-")</f>
        <v>GOSB</v>
      </c>
      <c r="V325" s="1" t="str">
        <f>IFERROR(INDEX(_report[],MATCH(ВСЕ_КОДЫ[[#This Row],[CONTEST_CODE]],_report[CONTEST_CODE],0),MATCH($V$1,_report[#Headers],0)),"-")</f>
        <v>-</v>
      </c>
      <c r="W325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25" s="1" t="str">
        <f>IFERROR(INDEX(_group_[],MATCH(CONCATENATE(ВСЕ_КОДЫ[[#This Row],[CONTEST_CODE]],"_",X$2),#REF!,0),MATCH(X$1,_group_[#Headers],0)),"-")</f>
        <v>-</v>
      </c>
      <c r="Y325" s="1" t="str">
        <f>IFERROR(INDEX(_group_[],MATCH(CONCATENATE(ВСЕ_КОДЫ[[#This Row],[CONTEST_CODE]],"_",Y$2),#REF!,0),MATCH(Y$1,_group_[#Headers],0)),"-")</f>
        <v>-</v>
      </c>
      <c r="Z325" s="1" t="str">
        <f>IFERROR(INDEX(_group_[],MATCH(CONCATENATE(ВСЕ_КОДЫ[[#This Row],[CONTEST_CODE]],"_",Z$2),#REF!,0),MATCH(Z$1,_group_[#Headers],0)),"-")</f>
        <v>-</v>
      </c>
      <c r="AA325" s="1" t="str">
        <f>IFERROR(INDEX(_group_[],MATCH(CONCATENATE(ВСЕ_КОДЫ[[#This Row],[CONTEST_CODE]],"_",AA$2),#REF!,0),MATCH(AA$1,_group_[#Headers],0)),"-")</f>
        <v>-</v>
      </c>
      <c r="AB325" s="1" t="str">
        <f>IFERROR(INDEX(_DATA_[],MATCH(ВСЕ_КОДЫ[[#This Row],[CONTEST_CODE]],_DATA_[CONTEST_CODE],0),MATCH($AB$2,_DATA_[#Headers],0)),"-")</f>
        <v>["""KMKKSB"""]</v>
      </c>
      <c r="AC325" s="1" t="str">
        <f>CONCATENATE(ВСЕ_КОДЫ[[#This Row],[CONTEST_CODE]],"_",ВСЕ_КОДЫ[[#This Row],[TOURNAMENT_CODE]])</f>
        <v>CONTEST_34_TOURNAMENT_34_03</v>
      </c>
      <c r="AD325" s="1" t="str">
        <f>ВСЕ_КОДЫ[[#This Row],[FULL_NAME]]</f>
        <v>ФОТ. Прирост объема перечислений</v>
      </c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idden="1" x14ac:dyDescent="0.25">
      <c r="A326" s="1" t="s">
        <v>105</v>
      </c>
      <c r="B326" s="1" t="s">
        <v>288</v>
      </c>
      <c r="C326" s="1" t="s">
        <v>481</v>
      </c>
      <c r="D326" s="1" t="s">
        <v>584</v>
      </c>
      <c r="E326" s="1" t="s">
        <v>106</v>
      </c>
      <c r="F326" s="1" t="s">
        <v>26</v>
      </c>
      <c r="G326" s="1" t="s">
        <v>27</v>
      </c>
      <c r="H326" s="1" t="s">
        <v>28</v>
      </c>
      <c r="I326" s="1" t="s">
        <v>50</v>
      </c>
      <c r="J326" s="1" t="s">
        <v>192</v>
      </c>
      <c r="K326" s="1" t="s">
        <v>193</v>
      </c>
      <c r="L326" s="1" t="s">
        <v>1088</v>
      </c>
      <c r="M326" s="1" t="s">
        <v>176</v>
      </c>
      <c r="N326" s="1" t="s">
        <v>305</v>
      </c>
      <c r="O326" s="1" t="s">
        <v>482</v>
      </c>
      <c r="P326" s="1"/>
      <c r="Q326" s="1">
        <f>IFERROR(COUNTIFS(_report[TOURNAMENT_CODE],ВСЕ_КОДЫ[[#This Row],[TOURNAMENT_CODE]],_report[CONTEST_CODE],ВСЕ_КОДЫ[[#This Row],[CONTEST_CODE]]),"-")</f>
        <v>0</v>
      </c>
      <c r="R326" s="1" t="str">
        <f>IFERROR(INDEX(_SCHEDULE_[],MATCH(ВСЕ_КОДЫ[[#This Row],[CONTEST_CODE]],_SCHEDULE_[CONTEST_CODE],0),MATCH($R$1,_SCHEDULE_[#Headers],0)),"-")</f>
        <v>ЗАВЕРШЕН</v>
      </c>
      <c r="S326" s="1" t="str">
        <f>IFERROR(INDEX(_group_[],MATCH(ВСЕ_КОДЫ[[#This Row],[CONTEST_CODE]],_group_[CONTEST_CODE],0),MATCH($S$1,_group_[#Headers],0)),"-")</f>
        <v>BANK</v>
      </c>
      <c r="T326" s="1" t="str">
        <f>IFERROR(INDEX(_INDICATOR_[],MATCH(ВСЕ_КОДЫ[[#This Row],[CONTEST_CODE]],_INDICATOR_[CONTEST_CODE],0),MATCH($T$1,_INDICATOR_[#Headers],0)),"-")</f>
        <v>WAIT</v>
      </c>
      <c r="U326" s="1" t="str">
        <f>IFERROR(INDEX(_reward_link_[],MATCH(ВСЕ_КОДЫ[[#This Row],[CONTEST_CODE]],_reward_link_[CONTEST_CODE],0),MATCH($U$1,_reward_link_[#Headers],0)),"-")</f>
        <v>GOSB</v>
      </c>
      <c r="V326" s="1" t="str">
        <f>IFERROR(INDEX(_report[],MATCH(ВСЕ_КОДЫ[[#This Row],[CONTEST_CODE]],_report[CONTEST_CODE],0),MATCH($V$1,_report[#Headers],0)),"-")</f>
        <v>-</v>
      </c>
      <c r="W326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26" s="1" t="str">
        <f>IFERROR(INDEX(_group_[],MATCH(CONCATENATE(ВСЕ_КОДЫ[[#This Row],[CONTEST_CODE]],"_",X$2),#REF!,0),MATCH(X$1,_group_[#Headers],0)),"-")</f>
        <v>-</v>
      </c>
      <c r="Y326" s="1" t="str">
        <f>IFERROR(INDEX(_group_[],MATCH(CONCATENATE(ВСЕ_КОДЫ[[#This Row],[CONTEST_CODE]],"_",Y$2),#REF!,0),MATCH(Y$1,_group_[#Headers],0)),"-")</f>
        <v>-</v>
      </c>
      <c r="Z326" s="1" t="str">
        <f>IFERROR(INDEX(_group_[],MATCH(CONCATENATE(ВСЕ_КОДЫ[[#This Row],[CONTEST_CODE]],"_",Z$2),#REF!,0),MATCH(Z$1,_group_[#Headers],0)),"-")</f>
        <v>-</v>
      </c>
      <c r="AA326" s="1" t="str">
        <f>IFERROR(INDEX(_group_[],MATCH(CONCATENATE(ВСЕ_КОДЫ[[#This Row],[CONTEST_CODE]],"_",AA$2),#REF!,0),MATCH(AA$1,_group_[#Headers],0)),"-")</f>
        <v>-</v>
      </c>
      <c r="AB326" s="1" t="str">
        <f>IFERROR(INDEX(_DATA_[],MATCH(ВСЕ_КОДЫ[[#This Row],[CONTEST_CODE]],_DATA_[CONTEST_CODE],0),MATCH($AB$2,_DATA_[#Headers],0)),"-")</f>
        <v>["""KMKKSB"""]</v>
      </c>
      <c r="AC326" s="1" t="str">
        <f>CONCATENATE(ВСЕ_КОДЫ[[#This Row],[CONTEST_CODE]],"_",ВСЕ_КОДЫ[[#This Row],[TOURNAMENT_CODE]])</f>
        <v>CONTEST_34_TOURNAMENT_34_04</v>
      </c>
      <c r="AD326" s="1" t="str">
        <f>ВСЕ_КОДЫ[[#This Row],[FULL_NAME]]</f>
        <v>ФОТ. Прирост объема перечислений</v>
      </c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idden="1" x14ac:dyDescent="0.25">
      <c r="A327" s="1" t="s">
        <v>105</v>
      </c>
      <c r="B327" s="1" t="s">
        <v>639</v>
      </c>
      <c r="C327" s="1" t="s">
        <v>481</v>
      </c>
      <c r="D327" s="1" t="s">
        <v>584</v>
      </c>
      <c r="E327" s="1" t="s">
        <v>106</v>
      </c>
      <c r="F327" s="1" t="s">
        <v>26</v>
      </c>
      <c r="G327" s="1" t="s">
        <v>27</v>
      </c>
      <c r="H327" s="1" t="s">
        <v>28</v>
      </c>
      <c r="I327" s="1" t="s">
        <v>50</v>
      </c>
      <c r="J327" s="1" t="s">
        <v>245</v>
      </c>
      <c r="K327" s="1" t="s">
        <v>246</v>
      </c>
      <c r="L327" s="1" t="s">
        <v>1074</v>
      </c>
      <c r="M327" s="1" t="s">
        <v>176</v>
      </c>
      <c r="N327" s="1" t="s">
        <v>305</v>
      </c>
      <c r="O327" s="1" t="s">
        <v>482</v>
      </c>
      <c r="P327" s="1"/>
      <c r="Q327" s="1">
        <f>IFERROR(COUNTIFS(_report[TOURNAMENT_CODE],ВСЕ_КОДЫ[[#This Row],[TOURNAMENT_CODE]],_report[CONTEST_CODE],ВСЕ_КОДЫ[[#This Row],[CONTEST_CODE]]),"-")</f>
        <v>0</v>
      </c>
      <c r="R327" s="1" t="str">
        <f>IFERROR(INDEX(_SCHEDULE_[],MATCH(ВСЕ_КОДЫ[[#This Row],[CONTEST_CODE]],_SCHEDULE_[CONTEST_CODE],0),MATCH($R$1,_SCHEDULE_[#Headers],0)),"-")</f>
        <v>ЗАВЕРШЕН</v>
      </c>
      <c r="S327" s="1" t="str">
        <f>IFERROR(INDEX(_group_[],MATCH(ВСЕ_КОДЫ[[#This Row],[CONTEST_CODE]],_group_[CONTEST_CODE],0),MATCH($S$1,_group_[#Headers],0)),"-")</f>
        <v>BANK</v>
      </c>
      <c r="T327" s="1" t="str">
        <f>IFERROR(INDEX(_INDICATOR_[],MATCH(ВСЕ_КОДЫ[[#This Row],[CONTEST_CODE]],_INDICATOR_[CONTEST_CODE],0),MATCH($T$1,_INDICATOR_[#Headers],0)),"-")</f>
        <v>WAIT</v>
      </c>
      <c r="U327" s="1" t="str">
        <f>IFERROR(INDEX(_reward_link_[],MATCH(ВСЕ_КОДЫ[[#This Row],[CONTEST_CODE]],_reward_link_[CONTEST_CODE],0),MATCH($U$1,_reward_link_[#Headers],0)),"-")</f>
        <v>GOSB</v>
      </c>
      <c r="V327" s="1" t="str">
        <f>IFERROR(INDEX(_report[],MATCH(ВСЕ_КОДЫ[[#This Row],[CONTEST_CODE]],_report[CONTEST_CODE],0),MATCH($V$1,_report[#Headers],0)),"-")</f>
        <v>-</v>
      </c>
      <c r="W327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27" s="1" t="str">
        <f>IFERROR(INDEX(_group_[],MATCH(CONCATENATE(ВСЕ_КОДЫ[[#This Row],[CONTEST_CODE]],"_",X$2),#REF!,0),MATCH(X$1,_group_[#Headers],0)),"-")</f>
        <v>-</v>
      </c>
      <c r="Y327" s="1" t="str">
        <f>IFERROR(INDEX(_group_[],MATCH(CONCATENATE(ВСЕ_КОДЫ[[#This Row],[CONTEST_CODE]],"_",Y$2),#REF!,0),MATCH(Y$1,_group_[#Headers],0)),"-")</f>
        <v>-</v>
      </c>
      <c r="Z327" s="1" t="str">
        <f>IFERROR(INDEX(_group_[],MATCH(CONCATENATE(ВСЕ_КОДЫ[[#This Row],[CONTEST_CODE]],"_",Z$2),#REF!,0),MATCH(Z$1,_group_[#Headers],0)),"-")</f>
        <v>-</v>
      </c>
      <c r="AA327" s="1" t="str">
        <f>IFERROR(INDEX(_group_[],MATCH(CONCATENATE(ВСЕ_КОДЫ[[#This Row],[CONTEST_CODE]],"_",AA$2),#REF!,0),MATCH(AA$1,_group_[#Headers],0)),"-")</f>
        <v>-</v>
      </c>
      <c r="AB327" s="1" t="str">
        <f>IFERROR(INDEX(_DATA_[],MATCH(ВСЕ_КОДЫ[[#This Row],[CONTEST_CODE]],_DATA_[CONTEST_CODE],0),MATCH($AB$2,_DATA_[#Headers],0)),"-")</f>
        <v>["""KMKKSB"""]</v>
      </c>
      <c r="AC327" s="1" t="str">
        <f>CONCATENATE(ВСЕ_КОДЫ[[#This Row],[CONTEST_CODE]],"_",ВСЕ_КОДЫ[[#This Row],[TOURNAMENT_CODE]])</f>
        <v>CONTEST_34_TOURNAMENT_34_05</v>
      </c>
      <c r="AD327" s="1" t="str">
        <f>ВСЕ_КОДЫ[[#This Row],[FULL_NAME]]</f>
        <v>ФОТ. Прирост объема перечислений</v>
      </c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idden="1" x14ac:dyDescent="0.25">
      <c r="A328" s="1" t="s">
        <v>105</v>
      </c>
      <c r="B328" s="1" t="s">
        <v>701</v>
      </c>
      <c r="C328" s="1" t="s">
        <v>481</v>
      </c>
      <c r="D328" s="1" t="s">
        <v>584</v>
      </c>
      <c r="E328" s="1" t="s">
        <v>106</v>
      </c>
      <c r="F328" s="1" t="s">
        <v>26</v>
      </c>
      <c r="G328" s="1" t="s">
        <v>27</v>
      </c>
      <c r="H328" s="1" t="s">
        <v>28</v>
      </c>
      <c r="I328" s="1" t="s">
        <v>50</v>
      </c>
      <c r="J328" s="1" t="s">
        <v>695</v>
      </c>
      <c r="K328" s="1" t="s">
        <v>252</v>
      </c>
      <c r="L328" s="1" t="s">
        <v>704</v>
      </c>
      <c r="M328" s="1" t="s">
        <v>176</v>
      </c>
      <c r="N328" s="1" t="s">
        <v>305</v>
      </c>
      <c r="O328" s="1" t="s">
        <v>482</v>
      </c>
      <c r="P328" s="1"/>
      <c r="Q328" s="1">
        <f>IFERROR(COUNTIFS(_report[TOURNAMENT_CODE],ВСЕ_КОДЫ[[#This Row],[TOURNAMENT_CODE]],_report[CONTEST_CODE],ВСЕ_КОДЫ[[#This Row],[CONTEST_CODE]]),"-")</f>
        <v>0</v>
      </c>
      <c r="R328" s="1" t="str">
        <f>IFERROR(INDEX(_SCHEDULE_[],MATCH(ВСЕ_КОДЫ[[#This Row],[CONTEST_CODE]],_SCHEDULE_[CONTEST_CODE],0),MATCH($R$1,_SCHEDULE_[#Headers],0)),"-")</f>
        <v>ЗАВЕРШЕН</v>
      </c>
      <c r="S328" s="1" t="str">
        <f>IFERROR(INDEX(_group_[],MATCH(ВСЕ_КОДЫ[[#This Row],[CONTEST_CODE]],_group_[CONTEST_CODE],0),MATCH($S$1,_group_[#Headers],0)),"-")</f>
        <v>BANK</v>
      </c>
      <c r="T328" s="1" t="str">
        <f>IFERROR(INDEX(_INDICATOR_[],MATCH(ВСЕ_КОДЫ[[#This Row],[CONTEST_CODE]],_INDICATOR_[CONTEST_CODE],0),MATCH($T$1,_INDICATOR_[#Headers],0)),"-")</f>
        <v>WAIT</v>
      </c>
      <c r="U328" s="1" t="str">
        <f>IFERROR(INDEX(_reward_link_[],MATCH(ВСЕ_КОДЫ[[#This Row],[CONTEST_CODE]],_reward_link_[CONTEST_CODE],0),MATCH($U$1,_reward_link_[#Headers],0)),"-")</f>
        <v>GOSB</v>
      </c>
      <c r="V328" s="1" t="str">
        <f>IFERROR(INDEX(_report[],MATCH(ВСЕ_КОДЫ[[#This Row],[CONTEST_CODE]],_report[CONTEST_CODE],0),MATCH($V$1,_report[#Headers],0)),"-")</f>
        <v>-</v>
      </c>
      <c r="W328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28" s="1" t="str">
        <f>IFERROR(INDEX(_group_[],MATCH(CONCATENATE(ВСЕ_КОДЫ[[#This Row],[CONTEST_CODE]],"_",X$2),#REF!,0),MATCH(X$1,_group_[#Headers],0)),"-")</f>
        <v>-</v>
      </c>
      <c r="Y328" s="1" t="str">
        <f>IFERROR(INDEX(_group_[],MATCH(CONCATENATE(ВСЕ_КОДЫ[[#This Row],[CONTEST_CODE]],"_",Y$2),#REF!,0),MATCH(Y$1,_group_[#Headers],0)),"-")</f>
        <v>-</v>
      </c>
      <c r="Z328" s="1" t="str">
        <f>IFERROR(INDEX(_group_[],MATCH(CONCATENATE(ВСЕ_КОДЫ[[#This Row],[CONTEST_CODE]],"_",Z$2),#REF!,0),MATCH(Z$1,_group_[#Headers],0)),"-")</f>
        <v>-</v>
      </c>
      <c r="AA328" s="1" t="str">
        <f>IFERROR(INDEX(_group_[],MATCH(CONCATENATE(ВСЕ_КОДЫ[[#This Row],[CONTEST_CODE]],"_",AA$2),#REF!,0),MATCH(AA$1,_group_[#Headers],0)),"-")</f>
        <v>-</v>
      </c>
      <c r="AB328" s="1" t="str">
        <f>IFERROR(INDEX(_DATA_[],MATCH(ВСЕ_КОДЫ[[#This Row],[CONTEST_CODE]],_DATA_[CONTEST_CODE],0),MATCH($AB$2,_DATA_[#Headers],0)),"-")</f>
        <v>["""KMKKSB"""]</v>
      </c>
      <c r="AC328" s="1" t="str">
        <f>CONCATENATE(ВСЕ_КОДЫ[[#This Row],[CONTEST_CODE]],"_",ВСЕ_КОДЫ[[#This Row],[TOURNAMENT_CODE]])</f>
        <v>CONTEST_34_TOURNAMENT_34_06</v>
      </c>
      <c r="AD328" s="1" t="str">
        <f>ВСЕ_КОДЫ[[#This Row],[FULL_NAME]]</f>
        <v>ФОТ. Прирост объема перечислений</v>
      </c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idden="1" x14ac:dyDescent="0.25">
      <c r="A329" s="1" t="s">
        <v>105</v>
      </c>
      <c r="B329" s="1" t="s">
        <v>1075</v>
      </c>
      <c r="C329" s="1" t="s">
        <v>481</v>
      </c>
      <c r="D329" s="1" t="s">
        <v>584</v>
      </c>
      <c r="E329" s="1" t="s">
        <v>106</v>
      </c>
      <c r="F329" s="1" t="s">
        <v>26</v>
      </c>
      <c r="G329" s="1" t="s">
        <v>27</v>
      </c>
      <c r="H329" s="1" t="s">
        <v>28</v>
      </c>
      <c r="I329" s="1" t="s">
        <v>50</v>
      </c>
      <c r="J329" s="1" t="s">
        <v>703</v>
      </c>
      <c r="K329" s="1" t="s">
        <v>704</v>
      </c>
      <c r="L329" s="1" t="s">
        <v>1276</v>
      </c>
      <c r="M329" s="1" t="s">
        <v>176</v>
      </c>
      <c r="N329" s="1" t="s">
        <v>305</v>
      </c>
      <c r="O329" s="1" t="s">
        <v>482</v>
      </c>
      <c r="P329" s="1"/>
      <c r="Q329" s="1">
        <f>IFERROR(COUNTIFS(_report[TOURNAMENT_CODE],ВСЕ_КОДЫ[[#This Row],[TOURNAMENT_CODE]],_report[CONTEST_CODE],ВСЕ_КОДЫ[[#This Row],[CONTEST_CODE]]),"-")</f>
        <v>0</v>
      </c>
      <c r="R329" s="1" t="str">
        <f>IFERROR(INDEX(_SCHEDULE_[],MATCH(ВСЕ_КОДЫ[[#This Row],[CONTEST_CODE]],_SCHEDULE_[CONTEST_CODE],0),MATCH($R$1,_SCHEDULE_[#Headers],0)),"-")</f>
        <v>ЗАВЕРШЕН</v>
      </c>
      <c r="S329" s="1" t="str">
        <f>IFERROR(INDEX(_group_[],MATCH(ВСЕ_КОДЫ[[#This Row],[CONTEST_CODE]],_group_[CONTEST_CODE],0),MATCH($S$1,_group_[#Headers],0)),"-")</f>
        <v>BANK</v>
      </c>
      <c r="T329" s="1" t="str">
        <f>IFERROR(INDEX(_INDICATOR_[],MATCH(ВСЕ_КОДЫ[[#This Row],[CONTEST_CODE]],_INDICATOR_[CONTEST_CODE],0),MATCH($T$1,_INDICATOR_[#Headers],0)),"-")</f>
        <v>WAIT</v>
      </c>
      <c r="U329" s="1" t="str">
        <f>IFERROR(INDEX(_reward_link_[],MATCH(ВСЕ_КОДЫ[[#This Row],[CONTEST_CODE]],_reward_link_[CONTEST_CODE],0),MATCH($U$1,_reward_link_[#Headers],0)),"-")</f>
        <v>GOSB</v>
      </c>
      <c r="V329" s="1" t="str">
        <f>IFERROR(INDEX(_report[],MATCH(ВСЕ_КОДЫ[[#This Row],[CONTEST_CODE]],_report[CONTEST_CODE],0),MATCH($V$1,_report[#Headers],0)),"-")</f>
        <v>-</v>
      </c>
      <c r="W329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29" s="1" t="str">
        <f>IFERROR(INDEX(_group_[],MATCH(CONCATENATE(ВСЕ_КОДЫ[[#This Row],[CONTEST_CODE]],"_",X$2),#REF!,0),MATCH(X$1,_group_[#Headers],0)),"-")</f>
        <v>-</v>
      </c>
      <c r="Y329" s="1" t="str">
        <f>IFERROR(INDEX(_group_[],MATCH(CONCATENATE(ВСЕ_КОДЫ[[#This Row],[CONTEST_CODE]],"_",Y$2),#REF!,0),MATCH(Y$1,_group_[#Headers],0)),"-")</f>
        <v>-</v>
      </c>
      <c r="Z329" s="1" t="str">
        <f>IFERROR(INDEX(_group_[],MATCH(CONCATENATE(ВСЕ_КОДЫ[[#This Row],[CONTEST_CODE]],"_",Z$2),#REF!,0),MATCH(Z$1,_group_[#Headers],0)),"-")</f>
        <v>-</v>
      </c>
      <c r="AA329" s="1" t="str">
        <f>IFERROR(INDEX(_group_[],MATCH(CONCATENATE(ВСЕ_КОДЫ[[#This Row],[CONTEST_CODE]],"_",AA$2),#REF!,0),MATCH(AA$1,_group_[#Headers],0)),"-")</f>
        <v>-</v>
      </c>
      <c r="AB329" s="1" t="str">
        <f>IFERROR(INDEX(_DATA_[],MATCH(ВСЕ_КОДЫ[[#This Row],[CONTEST_CODE]],_DATA_[CONTEST_CODE],0),MATCH($AB$2,_DATA_[#Headers],0)),"-")</f>
        <v>["""KMKKSB"""]</v>
      </c>
      <c r="AC329" s="1" t="str">
        <f>CONCATENATE(ВСЕ_КОДЫ[[#This Row],[CONTEST_CODE]],"_",ВСЕ_КОДЫ[[#This Row],[TOURNAMENT_CODE]])</f>
        <v>CONTEST_34_TOURNAMENT_34_07</v>
      </c>
      <c r="AD329" s="1" t="str">
        <f>ВСЕ_КОДЫ[[#This Row],[FULL_NAME]]</f>
        <v>ФОТ. Прирост объема перечислений</v>
      </c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idden="1" x14ac:dyDescent="0.25">
      <c r="A330" s="1" t="s">
        <v>105</v>
      </c>
      <c r="B330" s="1" t="s">
        <v>1211</v>
      </c>
      <c r="C330" s="1" t="s">
        <v>481</v>
      </c>
      <c r="D330" s="1" t="s">
        <v>584</v>
      </c>
      <c r="E330" s="1" t="s">
        <v>106</v>
      </c>
      <c r="F330" s="1" t="s">
        <v>26</v>
      </c>
      <c r="G330" s="1" t="s">
        <v>27</v>
      </c>
      <c r="H330" s="1" t="s">
        <v>28</v>
      </c>
      <c r="I330" s="1" t="s">
        <v>50</v>
      </c>
      <c r="J330" s="1" t="s">
        <v>1078</v>
      </c>
      <c r="K330" s="1" t="s">
        <v>1173</v>
      </c>
      <c r="L330" s="1" t="s">
        <v>1712</v>
      </c>
      <c r="M330" s="1" t="s">
        <v>176</v>
      </c>
      <c r="N330" s="1" t="s">
        <v>305</v>
      </c>
      <c r="O330" s="1" t="s">
        <v>482</v>
      </c>
      <c r="P330" s="1"/>
      <c r="Q330" s="1">
        <f>IFERROR(COUNTIFS(_report[TOURNAMENT_CODE],ВСЕ_КОДЫ[[#This Row],[TOURNAMENT_CODE]],_report[CONTEST_CODE],ВСЕ_КОДЫ[[#This Row],[CONTEST_CODE]]),"-")</f>
        <v>0</v>
      </c>
      <c r="R330" s="1" t="str">
        <f>IFERROR(INDEX(_SCHEDULE_[],MATCH(ВСЕ_КОДЫ[[#This Row],[CONTEST_CODE]],_SCHEDULE_[CONTEST_CODE],0),MATCH($R$1,_SCHEDULE_[#Headers],0)),"-")</f>
        <v>ЗАВЕРШЕН</v>
      </c>
      <c r="S330" s="1" t="str">
        <f>IFERROR(INDEX(_group_[],MATCH(ВСЕ_КОДЫ[[#This Row],[CONTEST_CODE]],_group_[CONTEST_CODE],0),MATCH($S$1,_group_[#Headers],0)),"-")</f>
        <v>BANK</v>
      </c>
      <c r="T330" s="1" t="str">
        <f>IFERROR(INDEX(_INDICATOR_[],MATCH(ВСЕ_КОДЫ[[#This Row],[CONTEST_CODE]],_INDICATOR_[CONTEST_CODE],0),MATCH($T$1,_INDICATOR_[#Headers],0)),"-")</f>
        <v>WAIT</v>
      </c>
      <c r="U330" s="1" t="str">
        <f>IFERROR(INDEX(_reward_link_[],MATCH(ВСЕ_КОДЫ[[#This Row],[CONTEST_CODE]],_reward_link_[CONTEST_CODE],0),MATCH($U$1,_reward_link_[#Headers],0)),"-")</f>
        <v>GOSB</v>
      </c>
      <c r="V330" s="1" t="str">
        <f>IFERROR(INDEX(_report[],MATCH(ВСЕ_КОДЫ[[#This Row],[CONTEST_CODE]],_report[CONTEST_CODE],0),MATCH($V$1,_report[#Headers],0)),"-")</f>
        <v>-</v>
      </c>
      <c r="W330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30" s="1" t="str">
        <f>IFERROR(INDEX(_group_[],MATCH(CONCATENATE(ВСЕ_КОДЫ[[#This Row],[CONTEST_CODE]],"_",X$2),#REF!,0),MATCH(X$1,_group_[#Headers],0)),"-")</f>
        <v>-</v>
      </c>
      <c r="Y330" s="1" t="str">
        <f>IFERROR(INDEX(_group_[],MATCH(CONCATENATE(ВСЕ_КОДЫ[[#This Row],[CONTEST_CODE]],"_",Y$2),#REF!,0),MATCH(Y$1,_group_[#Headers],0)),"-")</f>
        <v>-</v>
      </c>
      <c r="Z330" s="1" t="str">
        <f>IFERROR(INDEX(_group_[],MATCH(CONCATENATE(ВСЕ_КОДЫ[[#This Row],[CONTEST_CODE]],"_",Z$2),#REF!,0),MATCH(Z$1,_group_[#Headers],0)),"-")</f>
        <v>-</v>
      </c>
      <c r="AA330" s="1" t="str">
        <f>IFERROR(INDEX(_group_[],MATCH(CONCATENATE(ВСЕ_КОДЫ[[#This Row],[CONTEST_CODE]],"_",AA$2),#REF!,0),MATCH(AA$1,_group_[#Headers],0)),"-")</f>
        <v>-</v>
      </c>
      <c r="AB330" s="1" t="str">
        <f>IFERROR(INDEX(_DATA_[],MATCH(ВСЕ_КОДЫ[[#This Row],[CONTEST_CODE]],_DATA_[CONTEST_CODE],0),MATCH($AB$2,_DATA_[#Headers],0)),"-")</f>
        <v>["""KMKKSB"""]</v>
      </c>
      <c r="AC330" s="1" t="str">
        <f>CONCATENATE(ВСЕ_КОДЫ[[#This Row],[CONTEST_CODE]],"_",ВСЕ_КОДЫ[[#This Row],[TOURNAMENT_CODE]])</f>
        <v>CONTEST_34_TOURNAMENT_34_08</v>
      </c>
      <c r="AD330" s="1" t="str">
        <f>ВСЕ_КОДЫ[[#This Row],[FULL_NAME]]</f>
        <v>ФОТ. Прирост объема перечислений</v>
      </c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idden="1" x14ac:dyDescent="0.25">
      <c r="A331" s="1" t="s">
        <v>105</v>
      </c>
      <c r="B331" s="1" t="s">
        <v>1284</v>
      </c>
      <c r="C331" s="1" t="s">
        <v>481</v>
      </c>
      <c r="D331" s="1" t="s">
        <v>584</v>
      </c>
      <c r="E331" s="1" t="s">
        <v>106</v>
      </c>
      <c r="F331" s="1" t="s">
        <v>26</v>
      </c>
      <c r="G331" s="1" t="s">
        <v>27</v>
      </c>
      <c r="H331" s="1" t="s">
        <v>28</v>
      </c>
      <c r="I331" s="1" t="s">
        <v>50</v>
      </c>
      <c r="J331" s="1" t="s">
        <v>1225</v>
      </c>
      <c r="K331" s="1" t="s">
        <v>1070</v>
      </c>
      <c r="L331" s="1" t="s">
        <v>1712</v>
      </c>
      <c r="M331" s="1" t="s">
        <v>176</v>
      </c>
      <c r="N331" s="1" t="s">
        <v>305</v>
      </c>
      <c r="O331" s="1" t="s">
        <v>482</v>
      </c>
      <c r="P331" s="1"/>
      <c r="Q331" s="1">
        <f>IFERROR(COUNTIFS(_report[TOURNAMENT_CODE],ВСЕ_КОДЫ[[#This Row],[TOURNAMENT_CODE]],_report[CONTEST_CODE],ВСЕ_КОДЫ[[#This Row],[CONTEST_CODE]]),"-")</f>
        <v>0</v>
      </c>
      <c r="R331" s="1" t="str">
        <f>IFERROR(INDEX(_SCHEDULE_[],MATCH(ВСЕ_КОДЫ[[#This Row],[CONTEST_CODE]],_SCHEDULE_[CONTEST_CODE],0),MATCH($R$1,_SCHEDULE_[#Headers],0)),"-")</f>
        <v>ЗАВЕРШЕН</v>
      </c>
      <c r="S331" s="1" t="str">
        <f>IFERROR(INDEX(_group_[],MATCH(ВСЕ_КОДЫ[[#This Row],[CONTEST_CODE]],_group_[CONTEST_CODE],0),MATCH($S$1,_group_[#Headers],0)),"-")</f>
        <v>BANK</v>
      </c>
      <c r="T331" s="1" t="str">
        <f>IFERROR(INDEX(_INDICATOR_[],MATCH(ВСЕ_КОДЫ[[#This Row],[CONTEST_CODE]],_INDICATOR_[CONTEST_CODE],0),MATCH($T$1,_INDICATOR_[#Headers],0)),"-")</f>
        <v>WAIT</v>
      </c>
      <c r="U331" s="1" t="str">
        <f>IFERROR(INDEX(_reward_link_[],MATCH(ВСЕ_КОДЫ[[#This Row],[CONTEST_CODE]],_reward_link_[CONTEST_CODE],0),MATCH($U$1,_reward_link_[#Headers],0)),"-")</f>
        <v>GOSB</v>
      </c>
      <c r="V331" s="1" t="str">
        <f>IFERROR(INDEX(_report[],MATCH(ВСЕ_КОДЫ[[#This Row],[CONTEST_CODE]],_report[CONTEST_CODE],0),MATCH($V$1,_report[#Headers],0)),"-")</f>
        <v>-</v>
      </c>
      <c r="W331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31" s="1" t="str">
        <f>IFERROR(INDEX(_group_[],MATCH(CONCATENATE(ВСЕ_КОДЫ[[#This Row],[CONTEST_CODE]],"_",X$2),#REF!,0),MATCH(X$1,_group_[#Headers],0)),"-")</f>
        <v>-</v>
      </c>
      <c r="Y331" s="1" t="str">
        <f>IFERROR(INDEX(_group_[],MATCH(CONCATENATE(ВСЕ_КОДЫ[[#This Row],[CONTEST_CODE]],"_",Y$2),#REF!,0),MATCH(Y$1,_group_[#Headers],0)),"-")</f>
        <v>-</v>
      </c>
      <c r="Z331" s="1" t="str">
        <f>IFERROR(INDEX(_group_[],MATCH(CONCATENATE(ВСЕ_КОДЫ[[#This Row],[CONTEST_CODE]],"_",Z$2),#REF!,0),MATCH(Z$1,_group_[#Headers],0)),"-")</f>
        <v>-</v>
      </c>
      <c r="AA331" s="1" t="str">
        <f>IFERROR(INDEX(_group_[],MATCH(CONCATENATE(ВСЕ_КОДЫ[[#This Row],[CONTEST_CODE]],"_",AA$2),#REF!,0),MATCH(AA$1,_group_[#Headers],0)),"-")</f>
        <v>-</v>
      </c>
      <c r="AB331" s="1" t="str">
        <f>IFERROR(INDEX(_DATA_[],MATCH(ВСЕ_КОДЫ[[#This Row],[CONTEST_CODE]],_DATA_[CONTEST_CODE],0),MATCH($AB$2,_DATA_[#Headers],0)),"-")</f>
        <v>["""KMKKSB"""]</v>
      </c>
      <c r="AC331" s="1" t="str">
        <f>CONCATENATE(ВСЕ_КОДЫ[[#This Row],[CONTEST_CODE]],"_",ВСЕ_КОДЫ[[#This Row],[TOURNAMENT_CODE]])</f>
        <v>CONTEST_34_TOURNAMENT_34_09</v>
      </c>
      <c r="AD331" s="1" t="str">
        <f>ВСЕ_КОДЫ[[#This Row],[FULL_NAME]]</f>
        <v>ФОТ. Прирост объема перечислений</v>
      </c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idden="1" x14ac:dyDescent="0.25">
      <c r="A332" s="1" t="s">
        <v>105</v>
      </c>
      <c r="B332" s="1" t="s">
        <v>1653</v>
      </c>
      <c r="C332" s="1" t="s">
        <v>481</v>
      </c>
      <c r="D332" s="1" t="s">
        <v>584</v>
      </c>
      <c r="E332" s="1" t="s">
        <v>106</v>
      </c>
      <c r="F332" s="1" t="s">
        <v>26</v>
      </c>
      <c r="G332" s="1" t="s">
        <v>27</v>
      </c>
      <c r="H332" s="1" t="s">
        <v>28</v>
      </c>
      <c r="I332" s="1" t="s">
        <v>50</v>
      </c>
      <c r="J332" s="1" t="s">
        <v>1308</v>
      </c>
      <c r="K332" s="1" t="s">
        <v>1638</v>
      </c>
      <c r="L332" s="1" t="s">
        <v>1847</v>
      </c>
      <c r="M332" s="1" t="s">
        <v>176</v>
      </c>
      <c r="N332" s="1" t="s">
        <v>305</v>
      </c>
      <c r="O332" s="1" t="s">
        <v>482</v>
      </c>
      <c r="P332" s="1"/>
      <c r="Q332" s="1">
        <f>IFERROR(COUNTIFS(_report[TOURNAMENT_CODE],ВСЕ_КОДЫ[[#This Row],[TOURNAMENT_CODE]],_report[CONTEST_CODE],ВСЕ_КОДЫ[[#This Row],[CONTEST_CODE]]),"-")</f>
        <v>0</v>
      </c>
      <c r="R332" s="1" t="str">
        <f>IFERROR(INDEX(_SCHEDULE_[],MATCH(ВСЕ_КОДЫ[[#This Row],[CONTEST_CODE]],_SCHEDULE_[CONTEST_CODE],0),MATCH($R$1,_SCHEDULE_[#Headers],0)),"-")</f>
        <v>ЗАВЕРШЕН</v>
      </c>
      <c r="S332" s="1" t="str">
        <f>IFERROR(INDEX(_group_[],MATCH(ВСЕ_КОДЫ[[#This Row],[CONTEST_CODE]],_group_[CONTEST_CODE],0),MATCH($S$1,_group_[#Headers],0)),"-")</f>
        <v>BANK</v>
      </c>
      <c r="T332" s="1" t="str">
        <f>IFERROR(INDEX(_INDICATOR_[],MATCH(ВСЕ_КОДЫ[[#This Row],[CONTEST_CODE]],_INDICATOR_[CONTEST_CODE],0),MATCH($T$1,_INDICATOR_[#Headers],0)),"-")</f>
        <v>WAIT</v>
      </c>
      <c r="U332" s="1" t="str">
        <f>IFERROR(INDEX(_reward_link_[],MATCH(ВСЕ_КОДЫ[[#This Row],[CONTEST_CODE]],_reward_link_[CONTEST_CODE],0),MATCH($U$1,_reward_link_[#Headers],0)),"-")</f>
        <v>GOSB</v>
      </c>
      <c r="V332" s="1" t="str">
        <f>IFERROR(INDEX(_report[],MATCH(ВСЕ_КОДЫ[[#This Row],[CONTEST_CODE]],_report[CONTEST_CODE],0),MATCH($V$1,_report[#Headers],0)),"-")</f>
        <v>-</v>
      </c>
      <c r="W332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32" s="1" t="str">
        <f>IFERROR(INDEX(_group_[],MATCH(CONCATENATE(ВСЕ_КОДЫ[[#This Row],[CONTEST_CODE]],"_",X$2),#REF!,0),MATCH(X$1,_group_[#Headers],0)),"-")</f>
        <v>-</v>
      </c>
      <c r="Y332" s="1" t="str">
        <f>IFERROR(INDEX(_group_[],MATCH(CONCATENATE(ВСЕ_КОДЫ[[#This Row],[CONTEST_CODE]],"_",Y$2),#REF!,0),MATCH(Y$1,_group_[#Headers],0)),"-")</f>
        <v>-</v>
      </c>
      <c r="Z332" s="1" t="str">
        <f>IFERROR(INDEX(_group_[],MATCH(CONCATENATE(ВСЕ_КОДЫ[[#This Row],[CONTEST_CODE]],"_",Z$2),#REF!,0),MATCH(Z$1,_group_[#Headers],0)),"-")</f>
        <v>-</v>
      </c>
      <c r="AA332" s="1" t="str">
        <f>IFERROR(INDEX(_group_[],MATCH(CONCATENATE(ВСЕ_КОДЫ[[#This Row],[CONTEST_CODE]],"_",AA$2),#REF!,0),MATCH(AA$1,_group_[#Headers],0)),"-")</f>
        <v>-</v>
      </c>
      <c r="AB332" s="1" t="str">
        <f>IFERROR(INDEX(_DATA_[],MATCH(ВСЕ_КОДЫ[[#This Row],[CONTEST_CODE]],_DATA_[CONTEST_CODE],0),MATCH($AB$2,_DATA_[#Headers],0)),"-")</f>
        <v>["""KMKKSB"""]</v>
      </c>
      <c r="AC332" s="1" t="str">
        <f>CONCATENATE(ВСЕ_КОДЫ[[#This Row],[CONTEST_CODE]],"_",ВСЕ_КОДЫ[[#This Row],[TOURNAMENT_CODE]])</f>
        <v>CONTEST_34_TOURNAMENT_34_2024_M10</v>
      </c>
      <c r="AD332" s="1" t="str">
        <f>ВСЕ_КОДЫ[[#This Row],[FULL_NAME]]</f>
        <v>ФОТ. Прирост объема перечислений</v>
      </c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idden="1" x14ac:dyDescent="0.25">
      <c r="A333" s="1" t="s">
        <v>105</v>
      </c>
      <c r="B333" s="1" t="s">
        <v>1816</v>
      </c>
      <c r="C333" s="1" t="s">
        <v>481</v>
      </c>
      <c r="D333" s="1" t="s">
        <v>584</v>
      </c>
      <c r="E333" s="1" t="s">
        <v>106</v>
      </c>
      <c r="F333" s="1" t="s">
        <v>26</v>
      </c>
      <c r="G333" s="1" t="s">
        <v>27</v>
      </c>
      <c r="H333" s="1" t="s">
        <v>28</v>
      </c>
      <c r="I333" s="1" t="s">
        <v>50</v>
      </c>
      <c r="J333" s="1" t="s">
        <v>1800</v>
      </c>
      <c r="K333" s="1" t="s">
        <v>1801</v>
      </c>
      <c r="L333" s="1" t="s">
        <v>1802</v>
      </c>
      <c r="M333" s="1" t="s">
        <v>155</v>
      </c>
      <c r="N333" s="1" t="s">
        <v>305</v>
      </c>
      <c r="O333" s="1" t="s">
        <v>482</v>
      </c>
      <c r="P333" s="1"/>
      <c r="Q333" s="1">
        <f>IFERROR(COUNTIFS(_report[TOURNAMENT_CODE],ВСЕ_КОДЫ[[#This Row],[TOURNAMENT_CODE]],_report[CONTEST_CODE],ВСЕ_КОДЫ[[#This Row],[CONTEST_CODE]]),"-")</f>
        <v>0</v>
      </c>
      <c r="R333" s="1" t="str">
        <f>IFERROR(INDEX(_SCHEDULE_[],MATCH(ВСЕ_КОДЫ[[#This Row],[CONTEST_CODE]],_SCHEDULE_[CONTEST_CODE],0),MATCH($R$1,_SCHEDULE_[#Headers],0)),"-")</f>
        <v>ЗАВЕРШЕН</v>
      </c>
      <c r="S333" s="1" t="str">
        <f>IFERROR(INDEX(_group_[],MATCH(ВСЕ_КОДЫ[[#This Row],[CONTEST_CODE]],_group_[CONTEST_CODE],0),MATCH($S$1,_group_[#Headers],0)),"-")</f>
        <v>BANK</v>
      </c>
      <c r="T333" s="1" t="str">
        <f>IFERROR(INDEX(_INDICATOR_[],MATCH(ВСЕ_КОДЫ[[#This Row],[CONTEST_CODE]],_INDICATOR_[CONTEST_CODE],0),MATCH($T$1,_INDICATOR_[#Headers],0)),"-")</f>
        <v>WAIT</v>
      </c>
      <c r="U333" s="1" t="str">
        <f>IFERROR(INDEX(_reward_link_[],MATCH(ВСЕ_КОДЫ[[#This Row],[CONTEST_CODE]],_reward_link_[CONTEST_CODE],0),MATCH($U$1,_reward_link_[#Headers],0)),"-")</f>
        <v>GOSB</v>
      </c>
      <c r="V333" s="1" t="str">
        <f>IFERROR(INDEX(_report[],MATCH(ВСЕ_КОДЫ[[#This Row],[CONTEST_CODE]],_report[CONTEST_CODE],0),MATCH($V$1,_report[#Headers],0)),"-")</f>
        <v>-</v>
      </c>
      <c r="W333" s="1" t="str">
        <f>IFERROR(INDEX(_reward_[],MATCH(ВСЕ_КОДЫ[[#This Row],[REWARD_CODE]],_reward_[REWARD_CODE],0),MATCH($W$1,_reward_[#Headers],0)),"-")</f>
        <v>Лучший в подразделении по приросту объема перечислений ФОТ</v>
      </c>
      <c r="X333" s="1" t="str">
        <f>IFERROR(INDEX(_group_[],MATCH(CONCATENATE(ВСЕ_КОДЫ[[#This Row],[CONTEST_CODE]],"_",X$2),#REF!,0),MATCH(X$1,_group_[#Headers],0)),"-")</f>
        <v>-</v>
      </c>
      <c r="Y333" s="1" t="str">
        <f>IFERROR(INDEX(_group_[],MATCH(CONCATENATE(ВСЕ_КОДЫ[[#This Row],[CONTEST_CODE]],"_",Y$2),#REF!,0),MATCH(Y$1,_group_[#Headers],0)),"-")</f>
        <v>-</v>
      </c>
      <c r="Z333" s="1" t="str">
        <f>IFERROR(INDEX(_group_[],MATCH(CONCATENATE(ВСЕ_КОДЫ[[#This Row],[CONTEST_CODE]],"_",Z$2),#REF!,0),MATCH(Z$1,_group_[#Headers],0)),"-")</f>
        <v>-</v>
      </c>
      <c r="AA333" s="1" t="str">
        <f>IFERROR(INDEX(_group_[],MATCH(CONCATENATE(ВСЕ_КОДЫ[[#This Row],[CONTEST_CODE]],"_",AA$2),#REF!,0),MATCH(AA$1,_group_[#Headers],0)),"-")</f>
        <v>-</v>
      </c>
      <c r="AB333" s="1" t="str">
        <f>IFERROR(INDEX(_DATA_[],MATCH(ВСЕ_КОДЫ[[#This Row],[CONTEST_CODE]],_DATA_[CONTEST_CODE],0),MATCH($AB$2,_DATA_[#Headers],0)),"-")</f>
        <v>["""KMKKSB"""]</v>
      </c>
      <c r="AC333" s="1" t="str">
        <f>CONCATENATE(ВСЕ_КОДЫ[[#This Row],[CONTEST_CODE]],"_",ВСЕ_КОДЫ[[#This Row],[TOURNAMENT_CODE]])</f>
        <v>CONTEST_34_TOURNAMENT_34_2024_M11</v>
      </c>
      <c r="AD333" s="1" t="str">
        <f>ВСЕ_КОДЫ[[#This Row],[FULL_NAME]]</f>
        <v>ФОТ. Прирост объема перечислений</v>
      </c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idden="1" x14ac:dyDescent="0.25">
      <c r="A334" s="1" t="s">
        <v>105</v>
      </c>
      <c r="B334" s="1" t="s">
        <v>287</v>
      </c>
      <c r="C334" s="1" t="s">
        <v>487</v>
      </c>
      <c r="D334" s="1" t="s">
        <v>586</v>
      </c>
      <c r="E334" s="1" t="s">
        <v>106</v>
      </c>
      <c r="F334" s="1" t="s">
        <v>26</v>
      </c>
      <c r="G334" s="1" t="s">
        <v>27</v>
      </c>
      <c r="H334" s="1" t="s">
        <v>28</v>
      </c>
      <c r="I334" s="1" t="s">
        <v>50</v>
      </c>
      <c r="J334" s="1" t="s">
        <v>187</v>
      </c>
      <c r="K334" s="1" t="s">
        <v>188</v>
      </c>
      <c r="L334" s="1" t="s">
        <v>1088</v>
      </c>
      <c r="M334" s="1" t="s">
        <v>176</v>
      </c>
      <c r="N334" s="1" t="s">
        <v>305</v>
      </c>
      <c r="O334" s="1" t="s">
        <v>488</v>
      </c>
      <c r="P334" s="1"/>
      <c r="Q334" s="1">
        <f>IFERROR(COUNTIFS(_report[TOURNAMENT_CODE],ВСЕ_КОДЫ[[#This Row],[TOURNAMENT_CODE]],_report[CONTEST_CODE],ВСЕ_КОДЫ[[#This Row],[CONTEST_CODE]]),"-")</f>
        <v>0</v>
      </c>
      <c r="R334" s="1" t="str">
        <f>IFERROR(INDEX(_SCHEDULE_[],MATCH(ВСЕ_КОДЫ[[#This Row],[CONTEST_CODE]],_SCHEDULE_[CONTEST_CODE],0),MATCH($R$1,_SCHEDULE_[#Headers],0)),"-")</f>
        <v>ЗАВЕРШЕН</v>
      </c>
      <c r="S334" s="1" t="str">
        <f>IFERROR(INDEX(_group_[],MATCH(ВСЕ_КОДЫ[[#This Row],[CONTEST_CODE]],_group_[CONTEST_CODE],0),MATCH($S$1,_group_[#Headers],0)),"-")</f>
        <v>BANK</v>
      </c>
      <c r="T334" s="1" t="str">
        <f>IFERROR(INDEX(_INDICATOR_[],MATCH(ВСЕ_КОДЫ[[#This Row],[CONTEST_CODE]],_INDICATOR_[CONTEST_CODE],0),MATCH($T$1,_INDICATOR_[#Headers],0)),"-")</f>
        <v>WAIT</v>
      </c>
      <c r="U334" s="1" t="str">
        <f>IFERROR(INDEX(_reward_link_[],MATCH(ВСЕ_КОДЫ[[#This Row],[CONTEST_CODE]],_reward_link_[CONTEST_CODE],0),MATCH($U$1,_reward_link_[#Headers],0)),"-")</f>
        <v>GOSB</v>
      </c>
      <c r="V334" s="1" t="str">
        <f>IFERROR(INDEX(_report[],MATCH(ВСЕ_КОДЫ[[#This Row],[CONTEST_CODE]],_report[CONTEST_CODE],0),MATCH($V$1,_report[#Headers],0)),"-")</f>
        <v>-</v>
      </c>
      <c r="W334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34" s="1" t="str">
        <f>IFERROR(INDEX(_group_[],MATCH(CONCATENATE(ВСЕ_КОДЫ[[#This Row],[CONTEST_CODE]],"_",X$2),#REF!,0),MATCH(X$1,_group_[#Headers],0)),"-")</f>
        <v>-</v>
      </c>
      <c r="Y334" s="1" t="str">
        <f>IFERROR(INDEX(_group_[],MATCH(CONCATENATE(ВСЕ_КОДЫ[[#This Row],[CONTEST_CODE]],"_",Y$2),#REF!,0),MATCH(Y$1,_group_[#Headers],0)),"-")</f>
        <v>-</v>
      </c>
      <c r="Z334" s="1" t="str">
        <f>IFERROR(INDEX(_group_[],MATCH(CONCATENATE(ВСЕ_КОДЫ[[#This Row],[CONTEST_CODE]],"_",Z$2),#REF!,0),MATCH(Z$1,_group_[#Headers],0)),"-")</f>
        <v>-</v>
      </c>
      <c r="AA334" s="1" t="str">
        <f>IFERROR(INDEX(_group_[],MATCH(CONCATENATE(ВСЕ_КОДЫ[[#This Row],[CONTEST_CODE]],"_",AA$2),#REF!,0),MATCH(AA$1,_group_[#Headers],0)),"-")</f>
        <v>-</v>
      </c>
      <c r="AB334" s="1" t="str">
        <f>IFERROR(INDEX(_DATA_[],MATCH(ВСЕ_КОДЫ[[#This Row],[CONTEST_CODE]],_DATA_[CONTEST_CODE],0),MATCH($AB$2,_DATA_[#Headers],0)),"-")</f>
        <v>["""KMKKSB"""]</v>
      </c>
      <c r="AC334" s="1" t="str">
        <f>CONCATENATE(ВСЕ_КОДЫ[[#This Row],[CONTEST_CODE]],"_",ВСЕ_КОДЫ[[#This Row],[TOURNAMENT_CODE]])</f>
        <v>CONTEST_34_TOURNAMENT_34_03</v>
      </c>
      <c r="AD334" s="1" t="str">
        <f>ВСЕ_КОДЫ[[#This Row],[FULL_NAME]]</f>
        <v>ФОТ. Прирост объема перечислений</v>
      </c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idden="1" x14ac:dyDescent="0.25">
      <c r="A335" s="1" t="s">
        <v>105</v>
      </c>
      <c r="B335" s="1" t="s">
        <v>288</v>
      </c>
      <c r="C335" s="1" t="s">
        <v>487</v>
      </c>
      <c r="D335" s="1" t="s">
        <v>586</v>
      </c>
      <c r="E335" s="1" t="s">
        <v>106</v>
      </c>
      <c r="F335" s="1" t="s">
        <v>26</v>
      </c>
      <c r="G335" s="1" t="s">
        <v>27</v>
      </c>
      <c r="H335" s="1" t="s">
        <v>28</v>
      </c>
      <c r="I335" s="1" t="s">
        <v>50</v>
      </c>
      <c r="J335" s="1" t="s">
        <v>192</v>
      </c>
      <c r="K335" s="1" t="s">
        <v>193</v>
      </c>
      <c r="L335" s="1" t="s">
        <v>1088</v>
      </c>
      <c r="M335" s="1" t="s">
        <v>176</v>
      </c>
      <c r="N335" s="1" t="s">
        <v>305</v>
      </c>
      <c r="O335" s="1" t="s">
        <v>488</v>
      </c>
      <c r="P335" s="1"/>
      <c r="Q335" s="1">
        <f>IFERROR(COUNTIFS(_report[TOURNAMENT_CODE],ВСЕ_КОДЫ[[#This Row],[TOURNAMENT_CODE]],_report[CONTEST_CODE],ВСЕ_КОДЫ[[#This Row],[CONTEST_CODE]]),"-")</f>
        <v>0</v>
      </c>
      <c r="R335" s="1" t="str">
        <f>IFERROR(INDEX(_SCHEDULE_[],MATCH(ВСЕ_КОДЫ[[#This Row],[CONTEST_CODE]],_SCHEDULE_[CONTEST_CODE],0),MATCH($R$1,_SCHEDULE_[#Headers],0)),"-")</f>
        <v>ЗАВЕРШЕН</v>
      </c>
      <c r="S335" s="1" t="str">
        <f>IFERROR(INDEX(_group_[],MATCH(ВСЕ_КОДЫ[[#This Row],[CONTEST_CODE]],_group_[CONTEST_CODE],0),MATCH($S$1,_group_[#Headers],0)),"-")</f>
        <v>BANK</v>
      </c>
      <c r="T335" s="1" t="str">
        <f>IFERROR(INDEX(_INDICATOR_[],MATCH(ВСЕ_КОДЫ[[#This Row],[CONTEST_CODE]],_INDICATOR_[CONTEST_CODE],0),MATCH($T$1,_INDICATOR_[#Headers],0)),"-")</f>
        <v>WAIT</v>
      </c>
      <c r="U335" s="1" t="str">
        <f>IFERROR(INDEX(_reward_link_[],MATCH(ВСЕ_КОДЫ[[#This Row],[CONTEST_CODE]],_reward_link_[CONTEST_CODE],0),MATCH($U$1,_reward_link_[#Headers],0)),"-")</f>
        <v>GOSB</v>
      </c>
      <c r="V335" s="1" t="str">
        <f>IFERROR(INDEX(_report[],MATCH(ВСЕ_КОДЫ[[#This Row],[CONTEST_CODE]],_report[CONTEST_CODE],0),MATCH($V$1,_report[#Headers],0)),"-")</f>
        <v>-</v>
      </c>
      <c r="W335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35" s="1" t="str">
        <f>IFERROR(INDEX(_group_[],MATCH(CONCATENATE(ВСЕ_КОДЫ[[#This Row],[CONTEST_CODE]],"_",X$2),#REF!,0),MATCH(X$1,_group_[#Headers],0)),"-")</f>
        <v>-</v>
      </c>
      <c r="Y335" s="1" t="str">
        <f>IFERROR(INDEX(_group_[],MATCH(CONCATENATE(ВСЕ_КОДЫ[[#This Row],[CONTEST_CODE]],"_",Y$2),#REF!,0),MATCH(Y$1,_group_[#Headers],0)),"-")</f>
        <v>-</v>
      </c>
      <c r="Z335" s="1" t="str">
        <f>IFERROR(INDEX(_group_[],MATCH(CONCATENATE(ВСЕ_КОДЫ[[#This Row],[CONTEST_CODE]],"_",Z$2),#REF!,0),MATCH(Z$1,_group_[#Headers],0)),"-")</f>
        <v>-</v>
      </c>
      <c r="AA335" s="1" t="str">
        <f>IFERROR(INDEX(_group_[],MATCH(CONCATENATE(ВСЕ_КОДЫ[[#This Row],[CONTEST_CODE]],"_",AA$2),#REF!,0),MATCH(AA$1,_group_[#Headers],0)),"-")</f>
        <v>-</v>
      </c>
      <c r="AB335" s="1" t="str">
        <f>IFERROR(INDEX(_DATA_[],MATCH(ВСЕ_КОДЫ[[#This Row],[CONTEST_CODE]],_DATA_[CONTEST_CODE],0),MATCH($AB$2,_DATA_[#Headers],0)),"-")</f>
        <v>["""KMKKSB"""]</v>
      </c>
      <c r="AC335" s="1" t="str">
        <f>CONCATENATE(ВСЕ_КОДЫ[[#This Row],[CONTEST_CODE]],"_",ВСЕ_КОДЫ[[#This Row],[TOURNAMENT_CODE]])</f>
        <v>CONTEST_34_TOURNAMENT_34_04</v>
      </c>
      <c r="AD335" s="1" t="str">
        <f>ВСЕ_КОДЫ[[#This Row],[FULL_NAME]]</f>
        <v>ФОТ. Прирост объема перечислений</v>
      </c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idden="1" x14ac:dyDescent="0.25">
      <c r="A336" s="1" t="s">
        <v>105</v>
      </c>
      <c r="B336" s="1" t="s">
        <v>639</v>
      </c>
      <c r="C336" s="1" t="s">
        <v>487</v>
      </c>
      <c r="D336" s="1" t="s">
        <v>586</v>
      </c>
      <c r="E336" s="1" t="s">
        <v>106</v>
      </c>
      <c r="F336" s="1" t="s">
        <v>26</v>
      </c>
      <c r="G336" s="1" t="s">
        <v>27</v>
      </c>
      <c r="H336" s="1" t="s">
        <v>28</v>
      </c>
      <c r="I336" s="1" t="s">
        <v>50</v>
      </c>
      <c r="J336" s="1" t="s">
        <v>245</v>
      </c>
      <c r="K336" s="1" t="s">
        <v>246</v>
      </c>
      <c r="L336" s="1" t="s">
        <v>1074</v>
      </c>
      <c r="M336" s="1" t="s">
        <v>176</v>
      </c>
      <c r="N336" s="1" t="s">
        <v>305</v>
      </c>
      <c r="O336" s="1" t="s">
        <v>488</v>
      </c>
      <c r="P336" s="1"/>
      <c r="Q336" s="1">
        <f>IFERROR(COUNTIFS(_report[TOURNAMENT_CODE],ВСЕ_КОДЫ[[#This Row],[TOURNAMENT_CODE]],_report[CONTEST_CODE],ВСЕ_КОДЫ[[#This Row],[CONTEST_CODE]]),"-")</f>
        <v>0</v>
      </c>
      <c r="R336" s="1" t="str">
        <f>IFERROR(INDEX(_SCHEDULE_[],MATCH(ВСЕ_КОДЫ[[#This Row],[CONTEST_CODE]],_SCHEDULE_[CONTEST_CODE],0),MATCH($R$1,_SCHEDULE_[#Headers],0)),"-")</f>
        <v>ЗАВЕРШЕН</v>
      </c>
      <c r="S336" s="1" t="str">
        <f>IFERROR(INDEX(_group_[],MATCH(ВСЕ_КОДЫ[[#This Row],[CONTEST_CODE]],_group_[CONTEST_CODE],0),MATCH($S$1,_group_[#Headers],0)),"-")</f>
        <v>BANK</v>
      </c>
      <c r="T336" s="1" t="str">
        <f>IFERROR(INDEX(_INDICATOR_[],MATCH(ВСЕ_КОДЫ[[#This Row],[CONTEST_CODE]],_INDICATOR_[CONTEST_CODE],0),MATCH($T$1,_INDICATOR_[#Headers],0)),"-")</f>
        <v>WAIT</v>
      </c>
      <c r="U336" s="1" t="str">
        <f>IFERROR(INDEX(_reward_link_[],MATCH(ВСЕ_КОДЫ[[#This Row],[CONTEST_CODE]],_reward_link_[CONTEST_CODE],0),MATCH($U$1,_reward_link_[#Headers],0)),"-")</f>
        <v>GOSB</v>
      </c>
      <c r="V336" s="1" t="str">
        <f>IFERROR(INDEX(_report[],MATCH(ВСЕ_КОДЫ[[#This Row],[CONTEST_CODE]],_report[CONTEST_CODE],0),MATCH($V$1,_report[#Headers],0)),"-")</f>
        <v>-</v>
      </c>
      <c r="W336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36" s="1" t="str">
        <f>IFERROR(INDEX(_group_[],MATCH(CONCATENATE(ВСЕ_КОДЫ[[#This Row],[CONTEST_CODE]],"_",X$2),#REF!,0),MATCH(X$1,_group_[#Headers],0)),"-")</f>
        <v>-</v>
      </c>
      <c r="Y336" s="1" t="str">
        <f>IFERROR(INDEX(_group_[],MATCH(CONCATENATE(ВСЕ_КОДЫ[[#This Row],[CONTEST_CODE]],"_",Y$2),#REF!,0),MATCH(Y$1,_group_[#Headers],0)),"-")</f>
        <v>-</v>
      </c>
      <c r="Z336" s="1" t="str">
        <f>IFERROR(INDEX(_group_[],MATCH(CONCATENATE(ВСЕ_КОДЫ[[#This Row],[CONTEST_CODE]],"_",Z$2),#REF!,0),MATCH(Z$1,_group_[#Headers],0)),"-")</f>
        <v>-</v>
      </c>
      <c r="AA336" s="1" t="str">
        <f>IFERROR(INDEX(_group_[],MATCH(CONCATENATE(ВСЕ_КОДЫ[[#This Row],[CONTEST_CODE]],"_",AA$2),#REF!,0),MATCH(AA$1,_group_[#Headers],0)),"-")</f>
        <v>-</v>
      </c>
      <c r="AB336" s="1" t="str">
        <f>IFERROR(INDEX(_DATA_[],MATCH(ВСЕ_КОДЫ[[#This Row],[CONTEST_CODE]],_DATA_[CONTEST_CODE],0),MATCH($AB$2,_DATA_[#Headers],0)),"-")</f>
        <v>["""KMKKSB"""]</v>
      </c>
      <c r="AC336" s="1" t="str">
        <f>CONCATENATE(ВСЕ_КОДЫ[[#This Row],[CONTEST_CODE]],"_",ВСЕ_КОДЫ[[#This Row],[TOURNAMENT_CODE]])</f>
        <v>CONTEST_34_TOURNAMENT_34_05</v>
      </c>
      <c r="AD336" s="1" t="str">
        <f>ВСЕ_КОДЫ[[#This Row],[FULL_NAME]]</f>
        <v>ФОТ. Прирост объема перечислений</v>
      </c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idden="1" x14ac:dyDescent="0.25">
      <c r="A337" s="1" t="s">
        <v>105</v>
      </c>
      <c r="B337" s="1" t="s">
        <v>701</v>
      </c>
      <c r="C337" s="1" t="s">
        <v>487</v>
      </c>
      <c r="D337" s="1" t="s">
        <v>586</v>
      </c>
      <c r="E337" s="1" t="s">
        <v>106</v>
      </c>
      <c r="F337" s="1" t="s">
        <v>26</v>
      </c>
      <c r="G337" s="1" t="s">
        <v>27</v>
      </c>
      <c r="H337" s="1" t="s">
        <v>28</v>
      </c>
      <c r="I337" s="1" t="s">
        <v>50</v>
      </c>
      <c r="J337" s="1" t="s">
        <v>695</v>
      </c>
      <c r="K337" s="1" t="s">
        <v>252</v>
      </c>
      <c r="L337" s="1" t="s">
        <v>704</v>
      </c>
      <c r="M337" s="1" t="s">
        <v>176</v>
      </c>
      <c r="N337" s="1" t="s">
        <v>305</v>
      </c>
      <c r="O337" s="1" t="s">
        <v>488</v>
      </c>
      <c r="P337" s="1"/>
      <c r="Q337" s="1">
        <f>IFERROR(COUNTIFS(_report[TOURNAMENT_CODE],ВСЕ_КОДЫ[[#This Row],[TOURNAMENT_CODE]],_report[CONTEST_CODE],ВСЕ_КОДЫ[[#This Row],[CONTEST_CODE]]),"-")</f>
        <v>0</v>
      </c>
      <c r="R337" s="1" t="str">
        <f>IFERROR(INDEX(_SCHEDULE_[],MATCH(ВСЕ_КОДЫ[[#This Row],[CONTEST_CODE]],_SCHEDULE_[CONTEST_CODE],0),MATCH($R$1,_SCHEDULE_[#Headers],0)),"-")</f>
        <v>ЗАВЕРШЕН</v>
      </c>
      <c r="S337" s="1" t="str">
        <f>IFERROR(INDEX(_group_[],MATCH(ВСЕ_КОДЫ[[#This Row],[CONTEST_CODE]],_group_[CONTEST_CODE],0),MATCH($S$1,_group_[#Headers],0)),"-")</f>
        <v>BANK</v>
      </c>
      <c r="T337" s="1" t="str">
        <f>IFERROR(INDEX(_INDICATOR_[],MATCH(ВСЕ_КОДЫ[[#This Row],[CONTEST_CODE]],_INDICATOR_[CONTEST_CODE],0),MATCH($T$1,_INDICATOR_[#Headers],0)),"-")</f>
        <v>WAIT</v>
      </c>
      <c r="U337" s="1" t="str">
        <f>IFERROR(INDEX(_reward_link_[],MATCH(ВСЕ_КОДЫ[[#This Row],[CONTEST_CODE]],_reward_link_[CONTEST_CODE],0),MATCH($U$1,_reward_link_[#Headers],0)),"-")</f>
        <v>GOSB</v>
      </c>
      <c r="V337" s="1" t="str">
        <f>IFERROR(INDEX(_report[],MATCH(ВСЕ_КОДЫ[[#This Row],[CONTEST_CODE]],_report[CONTEST_CODE],0),MATCH($V$1,_report[#Headers],0)),"-")</f>
        <v>-</v>
      </c>
      <c r="W337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37" s="1" t="str">
        <f>IFERROR(INDEX(_group_[],MATCH(CONCATENATE(ВСЕ_КОДЫ[[#This Row],[CONTEST_CODE]],"_",X$2),#REF!,0),MATCH(X$1,_group_[#Headers],0)),"-")</f>
        <v>-</v>
      </c>
      <c r="Y337" s="1" t="str">
        <f>IFERROR(INDEX(_group_[],MATCH(CONCATENATE(ВСЕ_КОДЫ[[#This Row],[CONTEST_CODE]],"_",Y$2),#REF!,0),MATCH(Y$1,_group_[#Headers],0)),"-")</f>
        <v>-</v>
      </c>
      <c r="Z337" s="1" t="str">
        <f>IFERROR(INDEX(_group_[],MATCH(CONCATENATE(ВСЕ_КОДЫ[[#This Row],[CONTEST_CODE]],"_",Z$2),#REF!,0),MATCH(Z$1,_group_[#Headers],0)),"-")</f>
        <v>-</v>
      </c>
      <c r="AA337" s="1" t="str">
        <f>IFERROR(INDEX(_group_[],MATCH(CONCATENATE(ВСЕ_КОДЫ[[#This Row],[CONTEST_CODE]],"_",AA$2),#REF!,0),MATCH(AA$1,_group_[#Headers],0)),"-")</f>
        <v>-</v>
      </c>
      <c r="AB337" s="1" t="str">
        <f>IFERROR(INDEX(_DATA_[],MATCH(ВСЕ_КОДЫ[[#This Row],[CONTEST_CODE]],_DATA_[CONTEST_CODE],0),MATCH($AB$2,_DATA_[#Headers],0)),"-")</f>
        <v>["""KMKKSB"""]</v>
      </c>
      <c r="AC337" s="1" t="str">
        <f>CONCATENATE(ВСЕ_КОДЫ[[#This Row],[CONTEST_CODE]],"_",ВСЕ_КОДЫ[[#This Row],[TOURNAMENT_CODE]])</f>
        <v>CONTEST_34_TOURNAMENT_34_06</v>
      </c>
      <c r="AD337" s="1" t="str">
        <f>ВСЕ_КОДЫ[[#This Row],[FULL_NAME]]</f>
        <v>ФОТ. Прирост объема перечислений</v>
      </c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idden="1" x14ac:dyDescent="0.25">
      <c r="A338" s="1" t="s">
        <v>105</v>
      </c>
      <c r="B338" s="1" t="s">
        <v>1075</v>
      </c>
      <c r="C338" s="1" t="s">
        <v>487</v>
      </c>
      <c r="D338" s="1" t="s">
        <v>586</v>
      </c>
      <c r="E338" s="1" t="s">
        <v>106</v>
      </c>
      <c r="F338" s="1" t="s">
        <v>26</v>
      </c>
      <c r="G338" s="1" t="s">
        <v>27</v>
      </c>
      <c r="H338" s="1" t="s">
        <v>28</v>
      </c>
      <c r="I338" s="1" t="s">
        <v>50</v>
      </c>
      <c r="J338" s="1" t="s">
        <v>703</v>
      </c>
      <c r="K338" s="1" t="s">
        <v>704</v>
      </c>
      <c r="L338" s="1" t="s">
        <v>1276</v>
      </c>
      <c r="M338" s="1" t="s">
        <v>176</v>
      </c>
      <c r="N338" s="1" t="s">
        <v>305</v>
      </c>
      <c r="O338" s="1" t="s">
        <v>488</v>
      </c>
      <c r="P338" s="1"/>
      <c r="Q338" s="1">
        <f>IFERROR(COUNTIFS(_report[TOURNAMENT_CODE],ВСЕ_КОДЫ[[#This Row],[TOURNAMENT_CODE]],_report[CONTEST_CODE],ВСЕ_КОДЫ[[#This Row],[CONTEST_CODE]]),"-")</f>
        <v>0</v>
      </c>
      <c r="R338" s="1" t="str">
        <f>IFERROR(INDEX(_SCHEDULE_[],MATCH(ВСЕ_КОДЫ[[#This Row],[CONTEST_CODE]],_SCHEDULE_[CONTEST_CODE],0),MATCH($R$1,_SCHEDULE_[#Headers],0)),"-")</f>
        <v>ЗАВЕРШЕН</v>
      </c>
      <c r="S338" s="1" t="str">
        <f>IFERROR(INDEX(_group_[],MATCH(ВСЕ_КОДЫ[[#This Row],[CONTEST_CODE]],_group_[CONTEST_CODE],0),MATCH($S$1,_group_[#Headers],0)),"-")</f>
        <v>BANK</v>
      </c>
      <c r="T338" s="1" t="str">
        <f>IFERROR(INDEX(_INDICATOR_[],MATCH(ВСЕ_КОДЫ[[#This Row],[CONTEST_CODE]],_INDICATOR_[CONTEST_CODE],0),MATCH($T$1,_INDICATOR_[#Headers],0)),"-")</f>
        <v>WAIT</v>
      </c>
      <c r="U338" s="1" t="str">
        <f>IFERROR(INDEX(_reward_link_[],MATCH(ВСЕ_КОДЫ[[#This Row],[CONTEST_CODE]],_reward_link_[CONTEST_CODE],0),MATCH($U$1,_reward_link_[#Headers],0)),"-")</f>
        <v>GOSB</v>
      </c>
      <c r="V338" s="1" t="str">
        <f>IFERROR(INDEX(_report[],MATCH(ВСЕ_КОДЫ[[#This Row],[CONTEST_CODE]],_report[CONTEST_CODE],0),MATCH($V$1,_report[#Headers],0)),"-")</f>
        <v>-</v>
      </c>
      <c r="W338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38" s="1" t="str">
        <f>IFERROR(INDEX(_group_[],MATCH(CONCATENATE(ВСЕ_КОДЫ[[#This Row],[CONTEST_CODE]],"_",X$2),#REF!,0),MATCH(X$1,_group_[#Headers],0)),"-")</f>
        <v>-</v>
      </c>
      <c r="Y338" s="1" t="str">
        <f>IFERROR(INDEX(_group_[],MATCH(CONCATENATE(ВСЕ_КОДЫ[[#This Row],[CONTEST_CODE]],"_",Y$2),#REF!,0),MATCH(Y$1,_group_[#Headers],0)),"-")</f>
        <v>-</v>
      </c>
      <c r="Z338" s="1" t="str">
        <f>IFERROR(INDEX(_group_[],MATCH(CONCATENATE(ВСЕ_КОДЫ[[#This Row],[CONTEST_CODE]],"_",Z$2),#REF!,0),MATCH(Z$1,_group_[#Headers],0)),"-")</f>
        <v>-</v>
      </c>
      <c r="AA338" s="1" t="str">
        <f>IFERROR(INDEX(_group_[],MATCH(CONCATENATE(ВСЕ_КОДЫ[[#This Row],[CONTEST_CODE]],"_",AA$2),#REF!,0),MATCH(AA$1,_group_[#Headers],0)),"-")</f>
        <v>-</v>
      </c>
      <c r="AB338" s="1" t="str">
        <f>IFERROR(INDEX(_DATA_[],MATCH(ВСЕ_КОДЫ[[#This Row],[CONTEST_CODE]],_DATA_[CONTEST_CODE],0),MATCH($AB$2,_DATA_[#Headers],0)),"-")</f>
        <v>["""KMKKSB"""]</v>
      </c>
      <c r="AC338" s="1" t="str">
        <f>CONCATENATE(ВСЕ_КОДЫ[[#This Row],[CONTEST_CODE]],"_",ВСЕ_КОДЫ[[#This Row],[TOURNAMENT_CODE]])</f>
        <v>CONTEST_34_TOURNAMENT_34_07</v>
      </c>
      <c r="AD338" s="1" t="str">
        <f>ВСЕ_КОДЫ[[#This Row],[FULL_NAME]]</f>
        <v>ФОТ. Прирост объема перечислений</v>
      </c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idden="1" x14ac:dyDescent="0.25">
      <c r="A339" s="1" t="s">
        <v>105</v>
      </c>
      <c r="B339" s="1" t="s">
        <v>1211</v>
      </c>
      <c r="C339" s="1" t="s">
        <v>487</v>
      </c>
      <c r="D339" s="1" t="s">
        <v>586</v>
      </c>
      <c r="E339" s="1" t="s">
        <v>106</v>
      </c>
      <c r="F339" s="1" t="s">
        <v>26</v>
      </c>
      <c r="G339" s="1" t="s">
        <v>27</v>
      </c>
      <c r="H339" s="1" t="s">
        <v>28</v>
      </c>
      <c r="I339" s="1" t="s">
        <v>50</v>
      </c>
      <c r="J339" s="1" t="s">
        <v>1078</v>
      </c>
      <c r="K339" s="1" t="s">
        <v>1173</v>
      </c>
      <c r="L339" s="1" t="s">
        <v>1712</v>
      </c>
      <c r="M339" s="1" t="s">
        <v>176</v>
      </c>
      <c r="N339" s="1" t="s">
        <v>305</v>
      </c>
      <c r="O339" s="1" t="s">
        <v>488</v>
      </c>
      <c r="P339" s="1"/>
      <c r="Q339" s="1">
        <f>IFERROR(COUNTIFS(_report[TOURNAMENT_CODE],ВСЕ_КОДЫ[[#This Row],[TOURNAMENT_CODE]],_report[CONTEST_CODE],ВСЕ_КОДЫ[[#This Row],[CONTEST_CODE]]),"-")</f>
        <v>0</v>
      </c>
      <c r="R339" s="1" t="str">
        <f>IFERROR(INDEX(_SCHEDULE_[],MATCH(ВСЕ_КОДЫ[[#This Row],[CONTEST_CODE]],_SCHEDULE_[CONTEST_CODE],0),MATCH($R$1,_SCHEDULE_[#Headers],0)),"-")</f>
        <v>ЗАВЕРШЕН</v>
      </c>
      <c r="S339" s="1" t="str">
        <f>IFERROR(INDEX(_group_[],MATCH(ВСЕ_КОДЫ[[#This Row],[CONTEST_CODE]],_group_[CONTEST_CODE],0),MATCH($S$1,_group_[#Headers],0)),"-")</f>
        <v>BANK</v>
      </c>
      <c r="T339" s="1" t="str">
        <f>IFERROR(INDEX(_INDICATOR_[],MATCH(ВСЕ_КОДЫ[[#This Row],[CONTEST_CODE]],_INDICATOR_[CONTEST_CODE],0),MATCH($T$1,_INDICATOR_[#Headers],0)),"-")</f>
        <v>WAIT</v>
      </c>
      <c r="U339" s="1" t="str">
        <f>IFERROR(INDEX(_reward_link_[],MATCH(ВСЕ_КОДЫ[[#This Row],[CONTEST_CODE]],_reward_link_[CONTEST_CODE],0),MATCH($U$1,_reward_link_[#Headers],0)),"-")</f>
        <v>GOSB</v>
      </c>
      <c r="V339" s="1" t="str">
        <f>IFERROR(INDEX(_report[],MATCH(ВСЕ_КОДЫ[[#This Row],[CONTEST_CODE]],_report[CONTEST_CODE],0),MATCH($V$1,_report[#Headers],0)),"-")</f>
        <v>-</v>
      </c>
      <c r="W339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39" s="1" t="str">
        <f>IFERROR(INDEX(_group_[],MATCH(CONCATENATE(ВСЕ_КОДЫ[[#This Row],[CONTEST_CODE]],"_",X$2),#REF!,0),MATCH(X$1,_group_[#Headers],0)),"-")</f>
        <v>-</v>
      </c>
      <c r="Y339" s="1" t="str">
        <f>IFERROR(INDEX(_group_[],MATCH(CONCATENATE(ВСЕ_КОДЫ[[#This Row],[CONTEST_CODE]],"_",Y$2),#REF!,0),MATCH(Y$1,_group_[#Headers],0)),"-")</f>
        <v>-</v>
      </c>
      <c r="Z339" s="1" t="str">
        <f>IFERROR(INDEX(_group_[],MATCH(CONCATENATE(ВСЕ_КОДЫ[[#This Row],[CONTEST_CODE]],"_",Z$2),#REF!,0),MATCH(Z$1,_group_[#Headers],0)),"-")</f>
        <v>-</v>
      </c>
      <c r="AA339" s="1" t="str">
        <f>IFERROR(INDEX(_group_[],MATCH(CONCATENATE(ВСЕ_КОДЫ[[#This Row],[CONTEST_CODE]],"_",AA$2),#REF!,0),MATCH(AA$1,_group_[#Headers],0)),"-")</f>
        <v>-</v>
      </c>
      <c r="AB339" s="1" t="str">
        <f>IFERROR(INDEX(_DATA_[],MATCH(ВСЕ_КОДЫ[[#This Row],[CONTEST_CODE]],_DATA_[CONTEST_CODE],0),MATCH($AB$2,_DATA_[#Headers],0)),"-")</f>
        <v>["""KMKKSB"""]</v>
      </c>
      <c r="AC339" s="1" t="str">
        <f>CONCATENATE(ВСЕ_КОДЫ[[#This Row],[CONTEST_CODE]],"_",ВСЕ_КОДЫ[[#This Row],[TOURNAMENT_CODE]])</f>
        <v>CONTEST_34_TOURNAMENT_34_08</v>
      </c>
      <c r="AD339" s="1" t="str">
        <f>ВСЕ_КОДЫ[[#This Row],[FULL_NAME]]</f>
        <v>ФОТ. Прирост объема перечислений</v>
      </c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idden="1" x14ac:dyDescent="0.25">
      <c r="A340" s="1" t="s">
        <v>105</v>
      </c>
      <c r="B340" s="1" t="s">
        <v>1284</v>
      </c>
      <c r="C340" s="1" t="s">
        <v>487</v>
      </c>
      <c r="D340" s="1" t="s">
        <v>586</v>
      </c>
      <c r="E340" s="1" t="s">
        <v>106</v>
      </c>
      <c r="F340" s="1" t="s">
        <v>26</v>
      </c>
      <c r="G340" s="1" t="s">
        <v>27</v>
      </c>
      <c r="H340" s="1" t="s">
        <v>28</v>
      </c>
      <c r="I340" s="1" t="s">
        <v>50</v>
      </c>
      <c r="J340" s="1" t="s">
        <v>1225</v>
      </c>
      <c r="K340" s="1" t="s">
        <v>1070</v>
      </c>
      <c r="L340" s="1" t="s">
        <v>1712</v>
      </c>
      <c r="M340" s="1" t="s">
        <v>176</v>
      </c>
      <c r="N340" s="1" t="s">
        <v>305</v>
      </c>
      <c r="O340" s="1" t="s">
        <v>488</v>
      </c>
      <c r="P340" s="1"/>
      <c r="Q340" s="1">
        <f>IFERROR(COUNTIFS(_report[TOURNAMENT_CODE],ВСЕ_КОДЫ[[#This Row],[TOURNAMENT_CODE]],_report[CONTEST_CODE],ВСЕ_КОДЫ[[#This Row],[CONTEST_CODE]]),"-")</f>
        <v>0</v>
      </c>
      <c r="R340" s="1" t="str">
        <f>IFERROR(INDEX(_SCHEDULE_[],MATCH(ВСЕ_КОДЫ[[#This Row],[CONTEST_CODE]],_SCHEDULE_[CONTEST_CODE],0),MATCH($R$1,_SCHEDULE_[#Headers],0)),"-")</f>
        <v>ЗАВЕРШЕН</v>
      </c>
      <c r="S340" s="1" t="str">
        <f>IFERROR(INDEX(_group_[],MATCH(ВСЕ_КОДЫ[[#This Row],[CONTEST_CODE]],_group_[CONTEST_CODE],0),MATCH($S$1,_group_[#Headers],0)),"-")</f>
        <v>BANK</v>
      </c>
      <c r="T340" s="1" t="str">
        <f>IFERROR(INDEX(_INDICATOR_[],MATCH(ВСЕ_КОДЫ[[#This Row],[CONTEST_CODE]],_INDICATOR_[CONTEST_CODE],0),MATCH($T$1,_INDICATOR_[#Headers],0)),"-")</f>
        <v>WAIT</v>
      </c>
      <c r="U340" s="1" t="str">
        <f>IFERROR(INDEX(_reward_link_[],MATCH(ВСЕ_КОДЫ[[#This Row],[CONTEST_CODE]],_reward_link_[CONTEST_CODE],0),MATCH($U$1,_reward_link_[#Headers],0)),"-")</f>
        <v>GOSB</v>
      </c>
      <c r="V340" s="1" t="str">
        <f>IFERROR(INDEX(_report[],MATCH(ВСЕ_КОДЫ[[#This Row],[CONTEST_CODE]],_report[CONTEST_CODE],0),MATCH($V$1,_report[#Headers],0)),"-")</f>
        <v>-</v>
      </c>
      <c r="W340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40" s="1" t="str">
        <f>IFERROR(INDEX(_group_[],MATCH(CONCATENATE(ВСЕ_КОДЫ[[#This Row],[CONTEST_CODE]],"_",X$2),#REF!,0),MATCH(X$1,_group_[#Headers],0)),"-")</f>
        <v>-</v>
      </c>
      <c r="Y340" s="1" t="str">
        <f>IFERROR(INDEX(_group_[],MATCH(CONCATENATE(ВСЕ_КОДЫ[[#This Row],[CONTEST_CODE]],"_",Y$2),#REF!,0),MATCH(Y$1,_group_[#Headers],0)),"-")</f>
        <v>-</v>
      </c>
      <c r="Z340" s="1" t="str">
        <f>IFERROR(INDEX(_group_[],MATCH(CONCATENATE(ВСЕ_КОДЫ[[#This Row],[CONTEST_CODE]],"_",Z$2),#REF!,0),MATCH(Z$1,_group_[#Headers],0)),"-")</f>
        <v>-</v>
      </c>
      <c r="AA340" s="1" t="str">
        <f>IFERROR(INDEX(_group_[],MATCH(CONCATENATE(ВСЕ_КОДЫ[[#This Row],[CONTEST_CODE]],"_",AA$2),#REF!,0),MATCH(AA$1,_group_[#Headers],0)),"-")</f>
        <v>-</v>
      </c>
      <c r="AB340" s="1" t="str">
        <f>IFERROR(INDEX(_DATA_[],MATCH(ВСЕ_КОДЫ[[#This Row],[CONTEST_CODE]],_DATA_[CONTEST_CODE],0),MATCH($AB$2,_DATA_[#Headers],0)),"-")</f>
        <v>["""KMKKSB"""]</v>
      </c>
      <c r="AC340" s="1" t="str">
        <f>CONCATENATE(ВСЕ_КОДЫ[[#This Row],[CONTEST_CODE]],"_",ВСЕ_КОДЫ[[#This Row],[TOURNAMENT_CODE]])</f>
        <v>CONTEST_34_TOURNAMENT_34_09</v>
      </c>
      <c r="AD340" s="1" t="str">
        <f>ВСЕ_КОДЫ[[#This Row],[FULL_NAME]]</f>
        <v>ФОТ. Прирост объема перечислений</v>
      </c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idden="1" x14ac:dyDescent="0.25">
      <c r="A341" s="1" t="s">
        <v>105</v>
      </c>
      <c r="B341" s="1" t="s">
        <v>1653</v>
      </c>
      <c r="C341" s="1" t="s">
        <v>487</v>
      </c>
      <c r="D341" s="1" t="s">
        <v>586</v>
      </c>
      <c r="E341" s="1" t="s">
        <v>106</v>
      </c>
      <c r="F341" s="1" t="s">
        <v>26</v>
      </c>
      <c r="G341" s="1" t="s">
        <v>27</v>
      </c>
      <c r="H341" s="1" t="s">
        <v>28</v>
      </c>
      <c r="I341" s="1" t="s">
        <v>50</v>
      </c>
      <c r="J341" s="1" t="s">
        <v>1308</v>
      </c>
      <c r="K341" s="1" t="s">
        <v>1638</v>
      </c>
      <c r="L341" s="1" t="s">
        <v>1847</v>
      </c>
      <c r="M341" s="1" t="s">
        <v>176</v>
      </c>
      <c r="N341" s="1" t="s">
        <v>305</v>
      </c>
      <c r="O341" s="1" t="s">
        <v>488</v>
      </c>
      <c r="P341" s="1"/>
      <c r="Q341" s="1">
        <f>IFERROR(COUNTIFS(_report[TOURNAMENT_CODE],ВСЕ_КОДЫ[[#This Row],[TOURNAMENT_CODE]],_report[CONTEST_CODE],ВСЕ_КОДЫ[[#This Row],[CONTEST_CODE]]),"-")</f>
        <v>0</v>
      </c>
      <c r="R341" s="1" t="str">
        <f>IFERROR(INDEX(_SCHEDULE_[],MATCH(ВСЕ_КОДЫ[[#This Row],[CONTEST_CODE]],_SCHEDULE_[CONTEST_CODE],0),MATCH($R$1,_SCHEDULE_[#Headers],0)),"-")</f>
        <v>ЗАВЕРШЕН</v>
      </c>
      <c r="S341" s="1" t="str">
        <f>IFERROR(INDEX(_group_[],MATCH(ВСЕ_КОДЫ[[#This Row],[CONTEST_CODE]],_group_[CONTEST_CODE],0),MATCH($S$1,_group_[#Headers],0)),"-")</f>
        <v>BANK</v>
      </c>
      <c r="T341" s="1" t="str">
        <f>IFERROR(INDEX(_INDICATOR_[],MATCH(ВСЕ_КОДЫ[[#This Row],[CONTEST_CODE]],_INDICATOR_[CONTEST_CODE],0),MATCH($T$1,_INDICATOR_[#Headers],0)),"-")</f>
        <v>WAIT</v>
      </c>
      <c r="U341" s="1" t="str">
        <f>IFERROR(INDEX(_reward_link_[],MATCH(ВСЕ_КОДЫ[[#This Row],[CONTEST_CODE]],_reward_link_[CONTEST_CODE],0),MATCH($U$1,_reward_link_[#Headers],0)),"-")</f>
        <v>GOSB</v>
      </c>
      <c r="V341" s="1" t="str">
        <f>IFERROR(INDEX(_report[],MATCH(ВСЕ_КОДЫ[[#This Row],[CONTEST_CODE]],_report[CONTEST_CODE],0),MATCH($V$1,_report[#Headers],0)),"-")</f>
        <v>-</v>
      </c>
      <c r="W341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41" s="1" t="str">
        <f>IFERROR(INDEX(_group_[],MATCH(CONCATENATE(ВСЕ_КОДЫ[[#This Row],[CONTEST_CODE]],"_",X$2),#REF!,0),MATCH(X$1,_group_[#Headers],0)),"-")</f>
        <v>-</v>
      </c>
      <c r="Y341" s="1" t="str">
        <f>IFERROR(INDEX(_group_[],MATCH(CONCATENATE(ВСЕ_КОДЫ[[#This Row],[CONTEST_CODE]],"_",Y$2),#REF!,0),MATCH(Y$1,_group_[#Headers],0)),"-")</f>
        <v>-</v>
      </c>
      <c r="Z341" s="1" t="str">
        <f>IFERROR(INDEX(_group_[],MATCH(CONCATENATE(ВСЕ_КОДЫ[[#This Row],[CONTEST_CODE]],"_",Z$2),#REF!,0),MATCH(Z$1,_group_[#Headers],0)),"-")</f>
        <v>-</v>
      </c>
      <c r="AA341" s="1" t="str">
        <f>IFERROR(INDEX(_group_[],MATCH(CONCATENATE(ВСЕ_КОДЫ[[#This Row],[CONTEST_CODE]],"_",AA$2),#REF!,0),MATCH(AA$1,_group_[#Headers],0)),"-")</f>
        <v>-</v>
      </c>
      <c r="AB341" s="1" t="str">
        <f>IFERROR(INDEX(_DATA_[],MATCH(ВСЕ_КОДЫ[[#This Row],[CONTEST_CODE]],_DATA_[CONTEST_CODE],0),MATCH($AB$2,_DATA_[#Headers],0)),"-")</f>
        <v>["""KMKKSB"""]</v>
      </c>
      <c r="AC341" s="1" t="str">
        <f>CONCATENATE(ВСЕ_КОДЫ[[#This Row],[CONTEST_CODE]],"_",ВСЕ_КОДЫ[[#This Row],[TOURNAMENT_CODE]])</f>
        <v>CONTEST_34_TOURNAMENT_34_2024_M10</v>
      </c>
      <c r="AD341" s="1" t="str">
        <f>ВСЕ_КОДЫ[[#This Row],[FULL_NAME]]</f>
        <v>ФОТ. Прирост объема перечислений</v>
      </c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idden="1" x14ac:dyDescent="0.25">
      <c r="A342" s="1" t="s">
        <v>105</v>
      </c>
      <c r="B342" s="1" t="s">
        <v>1816</v>
      </c>
      <c r="C342" s="1" t="s">
        <v>487</v>
      </c>
      <c r="D342" s="1" t="s">
        <v>586</v>
      </c>
      <c r="E342" s="1" t="s">
        <v>106</v>
      </c>
      <c r="F342" s="1" t="s">
        <v>26</v>
      </c>
      <c r="G342" s="1" t="s">
        <v>27</v>
      </c>
      <c r="H342" s="1" t="s">
        <v>28</v>
      </c>
      <c r="I342" s="1" t="s">
        <v>50</v>
      </c>
      <c r="J342" s="1" t="s">
        <v>1800</v>
      </c>
      <c r="K342" s="1" t="s">
        <v>1801</v>
      </c>
      <c r="L342" s="1" t="s">
        <v>1802</v>
      </c>
      <c r="M342" s="1" t="s">
        <v>155</v>
      </c>
      <c r="N342" s="1" t="s">
        <v>305</v>
      </c>
      <c r="O342" s="1" t="s">
        <v>488</v>
      </c>
      <c r="P342" s="1"/>
      <c r="Q342" s="1">
        <f>IFERROR(COUNTIFS(_report[TOURNAMENT_CODE],ВСЕ_КОДЫ[[#This Row],[TOURNAMENT_CODE]],_report[CONTEST_CODE],ВСЕ_КОДЫ[[#This Row],[CONTEST_CODE]]),"-")</f>
        <v>0</v>
      </c>
      <c r="R342" s="1" t="str">
        <f>IFERROR(INDEX(_SCHEDULE_[],MATCH(ВСЕ_КОДЫ[[#This Row],[CONTEST_CODE]],_SCHEDULE_[CONTEST_CODE],0),MATCH($R$1,_SCHEDULE_[#Headers],0)),"-")</f>
        <v>ЗАВЕРШЕН</v>
      </c>
      <c r="S342" s="1" t="str">
        <f>IFERROR(INDEX(_group_[],MATCH(ВСЕ_КОДЫ[[#This Row],[CONTEST_CODE]],_group_[CONTEST_CODE],0),MATCH($S$1,_group_[#Headers],0)),"-")</f>
        <v>BANK</v>
      </c>
      <c r="T342" s="1" t="str">
        <f>IFERROR(INDEX(_INDICATOR_[],MATCH(ВСЕ_КОДЫ[[#This Row],[CONTEST_CODE]],_INDICATOR_[CONTEST_CODE],0),MATCH($T$1,_INDICATOR_[#Headers],0)),"-")</f>
        <v>WAIT</v>
      </c>
      <c r="U342" s="1" t="str">
        <f>IFERROR(INDEX(_reward_link_[],MATCH(ВСЕ_КОДЫ[[#This Row],[CONTEST_CODE]],_reward_link_[CONTEST_CODE],0),MATCH($U$1,_reward_link_[#Headers],0)),"-")</f>
        <v>GOSB</v>
      </c>
      <c r="V342" s="1" t="str">
        <f>IFERROR(INDEX(_report[],MATCH(ВСЕ_КОДЫ[[#This Row],[CONTEST_CODE]],_report[CONTEST_CODE],0),MATCH($V$1,_report[#Headers],0)),"-")</f>
        <v>-</v>
      </c>
      <c r="W342" s="1" t="str">
        <f>IFERROR(INDEX(_reward_[],MATCH(ВСЕ_КОДЫ[[#This Row],[REWARD_CODE]],_reward_[REWARD_CODE],0),MATCH($W$1,_reward_[#Headers],0)),"-")</f>
        <v>Победитель ТБ по приросту объема перечислений ФОТ</v>
      </c>
      <c r="X342" s="1" t="str">
        <f>IFERROR(INDEX(_group_[],MATCH(CONCATENATE(ВСЕ_КОДЫ[[#This Row],[CONTEST_CODE]],"_",X$2),#REF!,0),MATCH(X$1,_group_[#Headers],0)),"-")</f>
        <v>-</v>
      </c>
      <c r="Y342" s="1" t="str">
        <f>IFERROR(INDEX(_group_[],MATCH(CONCATENATE(ВСЕ_КОДЫ[[#This Row],[CONTEST_CODE]],"_",Y$2),#REF!,0),MATCH(Y$1,_group_[#Headers],0)),"-")</f>
        <v>-</v>
      </c>
      <c r="Z342" s="1" t="str">
        <f>IFERROR(INDEX(_group_[],MATCH(CONCATENATE(ВСЕ_КОДЫ[[#This Row],[CONTEST_CODE]],"_",Z$2),#REF!,0),MATCH(Z$1,_group_[#Headers],0)),"-")</f>
        <v>-</v>
      </c>
      <c r="AA342" s="1" t="str">
        <f>IFERROR(INDEX(_group_[],MATCH(CONCATENATE(ВСЕ_КОДЫ[[#This Row],[CONTEST_CODE]],"_",AA$2),#REF!,0),MATCH(AA$1,_group_[#Headers],0)),"-")</f>
        <v>-</v>
      </c>
      <c r="AB342" s="1" t="str">
        <f>IFERROR(INDEX(_DATA_[],MATCH(ВСЕ_КОДЫ[[#This Row],[CONTEST_CODE]],_DATA_[CONTEST_CODE],0),MATCH($AB$2,_DATA_[#Headers],0)),"-")</f>
        <v>["""KMKKSB"""]</v>
      </c>
      <c r="AC342" s="1" t="str">
        <f>CONCATENATE(ВСЕ_КОДЫ[[#This Row],[CONTEST_CODE]],"_",ВСЕ_КОДЫ[[#This Row],[TOURNAMENT_CODE]])</f>
        <v>CONTEST_34_TOURNAMENT_34_2024_M11</v>
      </c>
      <c r="AD342" s="1" t="str">
        <f>ВСЕ_КОДЫ[[#This Row],[FULL_NAME]]</f>
        <v>ФОТ. Прирост объема перечислений</v>
      </c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idden="1" x14ac:dyDescent="0.25">
      <c r="A343" s="1" t="s">
        <v>105</v>
      </c>
      <c r="B343" s="1" t="s">
        <v>287</v>
      </c>
      <c r="C343" s="1" t="s">
        <v>490</v>
      </c>
      <c r="D343" s="1" t="s">
        <v>583</v>
      </c>
      <c r="E343" s="1" t="s">
        <v>106</v>
      </c>
      <c r="F343" s="1" t="s">
        <v>26</v>
      </c>
      <c r="G343" s="1" t="s">
        <v>27</v>
      </c>
      <c r="H343" s="1" t="s">
        <v>28</v>
      </c>
      <c r="I343" s="1" t="s">
        <v>50</v>
      </c>
      <c r="J343" s="1" t="s">
        <v>187</v>
      </c>
      <c r="K343" s="1" t="s">
        <v>188</v>
      </c>
      <c r="L343" s="1" t="s">
        <v>1088</v>
      </c>
      <c r="M343" s="1" t="s">
        <v>176</v>
      </c>
      <c r="N343" s="1" t="s">
        <v>305</v>
      </c>
      <c r="O343" s="1" t="s">
        <v>491</v>
      </c>
      <c r="P343" s="1"/>
      <c r="Q343" s="1">
        <f>IFERROR(COUNTIFS(_report[TOURNAMENT_CODE],ВСЕ_КОДЫ[[#This Row],[TOURNAMENT_CODE]],_report[CONTEST_CODE],ВСЕ_КОДЫ[[#This Row],[CONTEST_CODE]]),"-")</f>
        <v>0</v>
      </c>
      <c r="R343" s="1" t="str">
        <f>IFERROR(INDEX(_SCHEDULE_[],MATCH(ВСЕ_КОДЫ[[#This Row],[CONTEST_CODE]],_SCHEDULE_[CONTEST_CODE],0),MATCH($R$1,_SCHEDULE_[#Headers],0)),"-")</f>
        <v>ЗАВЕРШЕН</v>
      </c>
      <c r="S343" s="1" t="str">
        <f>IFERROR(INDEX(_group_[],MATCH(ВСЕ_КОДЫ[[#This Row],[CONTEST_CODE]],_group_[CONTEST_CODE],0),MATCH($S$1,_group_[#Headers],0)),"-")</f>
        <v>BANK</v>
      </c>
      <c r="T343" s="1" t="str">
        <f>IFERROR(INDEX(_INDICATOR_[],MATCH(ВСЕ_КОДЫ[[#This Row],[CONTEST_CODE]],_INDICATOR_[CONTEST_CODE],0),MATCH($T$1,_INDICATOR_[#Headers],0)),"-")</f>
        <v>WAIT</v>
      </c>
      <c r="U343" s="1" t="str">
        <f>IFERROR(INDEX(_reward_link_[],MATCH(ВСЕ_КОДЫ[[#This Row],[CONTEST_CODE]],_reward_link_[CONTEST_CODE],0),MATCH($U$1,_reward_link_[#Headers],0)),"-")</f>
        <v>GOSB</v>
      </c>
      <c r="V343" s="1" t="str">
        <f>IFERROR(INDEX(_report[],MATCH(ВСЕ_КОДЫ[[#This Row],[CONTEST_CODE]],_report[CONTEST_CODE],0),MATCH($V$1,_report[#Headers],0)),"-")</f>
        <v>-</v>
      </c>
      <c r="W343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43" s="1" t="str">
        <f>IFERROR(INDEX(_group_[],MATCH(CONCATENATE(ВСЕ_КОДЫ[[#This Row],[CONTEST_CODE]],"_",X$2),#REF!,0),MATCH(X$1,_group_[#Headers],0)),"-")</f>
        <v>-</v>
      </c>
      <c r="Y343" s="1" t="str">
        <f>IFERROR(INDEX(_group_[],MATCH(CONCATENATE(ВСЕ_КОДЫ[[#This Row],[CONTEST_CODE]],"_",Y$2),#REF!,0),MATCH(Y$1,_group_[#Headers],0)),"-")</f>
        <v>-</v>
      </c>
      <c r="Z343" s="1" t="str">
        <f>IFERROR(INDEX(_group_[],MATCH(CONCATENATE(ВСЕ_КОДЫ[[#This Row],[CONTEST_CODE]],"_",Z$2),#REF!,0),MATCH(Z$1,_group_[#Headers],0)),"-")</f>
        <v>-</v>
      </c>
      <c r="AA343" s="1" t="str">
        <f>IFERROR(INDEX(_group_[],MATCH(CONCATENATE(ВСЕ_КОДЫ[[#This Row],[CONTEST_CODE]],"_",AA$2),#REF!,0),MATCH(AA$1,_group_[#Headers],0)),"-")</f>
        <v>-</v>
      </c>
      <c r="AB343" s="1" t="str">
        <f>IFERROR(INDEX(_DATA_[],MATCH(ВСЕ_КОДЫ[[#This Row],[CONTEST_CODE]],_DATA_[CONTEST_CODE],0),MATCH($AB$2,_DATA_[#Headers],0)),"-")</f>
        <v>["""KMKKSB"""]</v>
      </c>
      <c r="AC343" s="1" t="str">
        <f>CONCATENATE(ВСЕ_КОДЫ[[#This Row],[CONTEST_CODE]],"_",ВСЕ_КОДЫ[[#This Row],[TOURNAMENT_CODE]])</f>
        <v>CONTEST_34_TOURNAMENT_34_03</v>
      </c>
      <c r="AD343" s="1" t="str">
        <f>ВСЕ_КОДЫ[[#This Row],[FULL_NAME]]</f>
        <v>ФОТ. Прирост объема перечислений</v>
      </c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idden="1" x14ac:dyDescent="0.25">
      <c r="A344" s="1" t="s">
        <v>105</v>
      </c>
      <c r="B344" s="1" t="s">
        <v>288</v>
      </c>
      <c r="C344" s="1" t="s">
        <v>490</v>
      </c>
      <c r="D344" s="1" t="s">
        <v>583</v>
      </c>
      <c r="E344" s="1" t="s">
        <v>106</v>
      </c>
      <c r="F344" s="1" t="s">
        <v>26</v>
      </c>
      <c r="G344" s="1" t="s">
        <v>27</v>
      </c>
      <c r="H344" s="1" t="s">
        <v>28</v>
      </c>
      <c r="I344" s="1" t="s">
        <v>50</v>
      </c>
      <c r="J344" s="1" t="s">
        <v>192</v>
      </c>
      <c r="K344" s="1" t="s">
        <v>193</v>
      </c>
      <c r="L344" s="1" t="s">
        <v>1088</v>
      </c>
      <c r="M344" s="1" t="s">
        <v>176</v>
      </c>
      <c r="N344" s="1" t="s">
        <v>305</v>
      </c>
      <c r="O344" s="1" t="s">
        <v>491</v>
      </c>
      <c r="P344" s="1"/>
      <c r="Q344" s="1">
        <f>IFERROR(COUNTIFS(_report[TOURNAMENT_CODE],ВСЕ_КОДЫ[[#This Row],[TOURNAMENT_CODE]],_report[CONTEST_CODE],ВСЕ_КОДЫ[[#This Row],[CONTEST_CODE]]),"-")</f>
        <v>0</v>
      </c>
      <c r="R344" s="1" t="str">
        <f>IFERROR(INDEX(_SCHEDULE_[],MATCH(ВСЕ_КОДЫ[[#This Row],[CONTEST_CODE]],_SCHEDULE_[CONTEST_CODE],0),MATCH($R$1,_SCHEDULE_[#Headers],0)),"-")</f>
        <v>ЗАВЕРШЕН</v>
      </c>
      <c r="S344" s="1" t="str">
        <f>IFERROR(INDEX(_group_[],MATCH(ВСЕ_КОДЫ[[#This Row],[CONTEST_CODE]],_group_[CONTEST_CODE],0),MATCH($S$1,_group_[#Headers],0)),"-")</f>
        <v>BANK</v>
      </c>
      <c r="T344" s="1" t="str">
        <f>IFERROR(INDEX(_INDICATOR_[],MATCH(ВСЕ_КОДЫ[[#This Row],[CONTEST_CODE]],_INDICATOR_[CONTEST_CODE],0),MATCH($T$1,_INDICATOR_[#Headers],0)),"-")</f>
        <v>WAIT</v>
      </c>
      <c r="U344" s="1" t="str">
        <f>IFERROR(INDEX(_reward_link_[],MATCH(ВСЕ_КОДЫ[[#This Row],[CONTEST_CODE]],_reward_link_[CONTEST_CODE],0),MATCH($U$1,_reward_link_[#Headers],0)),"-")</f>
        <v>GOSB</v>
      </c>
      <c r="V344" s="1" t="str">
        <f>IFERROR(INDEX(_report[],MATCH(ВСЕ_КОДЫ[[#This Row],[CONTEST_CODE]],_report[CONTEST_CODE],0),MATCH($V$1,_report[#Headers],0)),"-")</f>
        <v>-</v>
      </c>
      <c r="W344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44" s="1" t="str">
        <f>IFERROR(INDEX(_group_[],MATCH(CONCATENATE(ВСЕ_КОДЫ[[#This Row],[CONTEST_CODE]],"_",X$2),#REF!,0),MATCH(X$1,_group_[#Headers],0)),"-")</f>
        <v>-</v>
      </c>
      <c r="Y344" s="1" t="str">
        <f>IFERROR(INDEX(_group_[],MATCH(CONCATENATE(ВСЕ_КОДЫ[[#This Row],[CONTEST_CODE]],"_",Y$2),#REF!,0),MATCH(Y$1,_group_[#Headers],0)),"-")</f>
        <v>-</v>
      </c>
      <c r="Z344" s="1" t="str">
        <f>IFERROR(INDEX(_group_[],MATCH(CONCATENATE(ВСЕ_КОДЫ[[#This Row],[CONTEST_CODE]],"_",Z$2),#REF!,0),MATCH(Z$1,_group_[#Headers],0)),"-")</f>
        <v>-</v>
      </c>
      <c r="AA344" s="1" t="str">
        <f>IFERROR(INDEX(_group_[],MATCH(CONCATENATE(ВСЕ_КОДЫ[[#This Row],[CONTEST_CODE]],"_",AA$2),#REF!,0),MATCH(AA$1,_group_[#Headers],0)),"-")</f>
        <v>-</v>
      </c>
      <c r="AB344" s="1" t="str">
        <f>IFERROR(INDEX(_DATA_[],MATCH(ВСЕ_КОДЫ[[#This Row],[CONTEST_CODE]],_DATA_[CONTEST_CODE],0),MATCH($AB$2,_DATA_[#Headers],0)),"-")</f>
        <v>["""KMKKSB"""]</v>
      </c>
      <c r="AC344" s="1" t="str">
        <f>CONCATENATE(ВСЕ_КОДЫ[[#This Row],[CONTEST_CODE]],"_",ВСЕ_КОДЫ[[#This Row],[TOURNAMENT_CODE]])</f>
        <v>CONTEST_34_TOURNAMENT_34_04</v>
      </c>
      <c r="AD344" s="1" t="str">
        <f>ВСЕ_КОДЫ[[#This Row],[FULL_NAME]]</f>
        <v>ФОТ. Прирост объема перечислений</v>
      </c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idden="1" x14ac:dyDescent="0.25">
      <c r="A345" s="1" t="s">
        <v>105</v>
      </c>
      <c r="B345" s="1" t="s">
        <v>639</v>
      </c>
      <c r="C345" s="1" t="s">
        <v>490</v>
      </c>
      <c r="D345" s="1" t="s">
        <v>583</v>
      </c>
      <c r="E345" s="1" t="s">
        <v>106</v>
      </c>
      <c r="F345" s="1" t="s">
        <v>26</v>
      </c>
      <c r="G345" s="1" t="s">
        <v>27</v>
      </c>
      <c r="H345" s="1" t="s">
        <v>28</v>
      </c>
      <c r="I345" s="1" t="s">
        <v>50</v>
      </c>
      <c r="J345" s="1" t="s">
        <v>245</v>
      </c>
      <c r="K345" s="1" t="s">
        <v>246</v>
      </c>
      <c r="L345" s="1" t="s">
        <v>1074</v>
      </c>
      <c r="M345" s="1" t="s">
        <v>176</v>
      </c>
      <c r="N345" s="1" t="s">
        <v>305</v>
      </c>
      <c r="O345" s="1" t="s">
        <v>491</v>
      </c>
      <c r="P345" s="1"/>
      <c r="Q345" s="1">
        <f>IFERROR(COUNTIFS(_report[TOURNAMENT_CODE],ВСЕ_КОДЫ[[#This Row],[TOURNAMENT_CODE]],_report[CONTEST_CODE],ВСЕ_КОДЫ[[#This Row],[CONTEST_CODE]]),"-")</f>
        <v>0</v>
      </c>
      <c r="R345" s="1" t="str">
        <f>IFERROR(INDEX(_SCHEDULE_[],MATCH(ВСЕ_КОДЫ[[#This Row],[CONTEST_CODE]],_SCHEDULE_[CONTEST_CODE],0),MATCH($R$1,_SCHEDULE_[#Headers],0)),"-")</f>
        <v>ЗАВЕРШЕН</v>
      </c>
      <c r="S345" s="1" t="str">
        <f>IFERROR(INDEX(_group_[],MATCH(ВСЕ_КОДЫ[[#This Row],[CONTEST_CODE]],_group_[CONTEST_CODE],0),MATCH($S$1,_group_[#Headers],0)),"-")</f>
        <v>BANK</v>
      </c>
      <c r="T345" s="1" t="str">
        <f>IFERROR(INDEX(_INDICATOR_[],MATCH(ВСЕ_КОДЫ[[#This Row],[CONTEST_CODE]],_INDICATOR_[CONTEST_CODE],0),MATCH($T$1,_INDICATOR_[#Headers],0)),"-")</f>
        <v>WAIT</v>
      </c>
      <c r="U345" s="1" t="str">
        <f>IFERROR(INDEX(_reward_link_[],MATCH(ВСЕ_КОДЫ[[#This Row],[CONTEST_CODE]],_reward_link_[CONTEST_CODE],0),MATCH($U$1,_reward_link_[#Headers],0)),"-")</f>
        <v>GOSB</v>
      </c>
      <c r="V345" s="1" t="str">
        <f>IFERROR(INDEX(_report[],MATCH(ВСЕ_КОДЫ[[#This Row],[CONTEST_CODE]],_report[CONTEST_CODE],0),MATCH($V$1,_report[#Headers],0)),"-")</f>
        <v>-</v>
      </c>
      <c r="W345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45" s="1" t="str">
        <f>IFERROR(INDEX(_group_[],MATCH(CONCATENATE(ВСЕ_КОДЫ[[#This Row],[CONTEST_CODE]],"_",X$2),#REF!,0),MATCH(X$1,_group_[#Headers],0)),"-")</f>
        <v>-</v>
      </c>
      <c r="Y345" s="1" t="str">
        <f>IFERROR(INDEX(_group_[],MATCH(CONCATENATE(ВСЕ_КОДЫ[[#This Row],[CONTEST_CODE]],"_",Y$2),#REF!,0),MATCH(Y$1,_group_[#Headers],0)),"-")</f>
        <v>-</v>
      </c>
      <c r="Z345" s="1" t="str">
        <f>IFERROR(INDEX(_group_[],MATCH(CONCATENATE(ВСЕ_КОДЫ[[#This Row],[CONTEST_CODE]],"_",Z$2),#REF!,0),MATCH(Z$1,_group_[#Headers],0)),"-")</f>
        <v>-</v>
      </c>
      <c r="AA345" s="1" t="str">
        <f>IFERROR(INDEX(_group_[],MATCH(CONCATENATE(ВСЕ_КОДЫ[[#This Row],[CONTEST_CODE]],"_",AA$2),#REF!,0),MATCH(AA$1,_group_[#Headers],0)),"-")</f>
        <v>-</v>
      </c>
      <c r="AB345" s="1" t="str">
        <f>IFERROR(INDEX(_DATA_[],MATCH(ВСЕ_КОДЫ[[#This Row],[CONTEST_CODE]],_DATA_[CONTEST_CODE],0),MATCH($AB$2,_DATA_[#Headers],0)),"-")</f>
        <v>["""KMKKSB"""]</v>
      </c>
      <c r="AC345" s="1" t="str">
        <f>CONCATENATE(ВСЕ_КОДЫ[[#This Row],[CONTEST_CODE]],"_",ВСЕ_КОДЫ[[#This Row],[TOURNAMENT_CODE]])</f>
        <v>CONTEST_34_TOURNAMENT_34_05</v>
      </c>
      <c r="AD345" s="1" t="str">
        <f>ВСЕ_КОДЫ[[#This Row],[FULL_NAME]]</f>
        <v>ФОТ. Прирост объема перечислений</v>
      </c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idden="1" x14ac:dyDescent="0.25">
      <c r="A346" s="1" t="s">
        <v>105</v>
      </c>
      <c r="B346" s="1" t="s">
        <v>701</v>
      </c>
      <c r="C346" s="1" t="s">
        <v>490</v>
      </c>
      <c r="D346" s="1" t="s">
        <v>583</v>
      </c>
      <c r="E346" s="1" t="s">
        <v>106</v>
      </c>
      <c r="F346" s="1" t="s">
        <v>26</v>
      </c>
      <c r="G346" s="1" t="s">
        <v>27</v>
      </c>
      <c r="H346" s="1" t="s">
        <v>28</v>
      </c>
      <c r="I346" s="1" t="s">
        <v>50</v>
      </c>
      <c r="J346" s="1" t="s">
        <v>695</v>
      </c>
      <c r="K346" s="1" t="s">
        <v>252</v>
      </c>
      <c r="L346" s="1" t="s">
        <v>704</v>
      </c>
      <c r="M346" s="1" t="s">
        <v>176</v>
      </c>
      <c r="N346" s="1" t="s">
        <v>305</v>
      </c>
      <c r="O346" s="1" t="s">
        <v>491</v>
      </c>
      <c r="P346" s="1"/>
      <c r="Q346" s="1">
        <f>IFERROR(COUNTIFS(_report[TOURNAMENT_CODE],ВСЕ_КОДЫ[[#This Row],[TOURNAMENT_CODE]],_report[CONTEST_CODE],ВСЕ_КОДЫ[[#This Row],[CONTEST_CODE]]),"-")</f>
        <v>0</v>
      </c>
      <c r="R346" s="1" t="str">
        <f>IFERROR(INDEX(_SCHEDULE_[],MATCH(ВСЕ_КОДЫ[[#This Row],[CONTEST_CODE]],_SCHEDULE_[CONTEST_CODE],0),MATCH($R$1,_SCHEDULE_[#Headers],0)),"-")</f>
        <v>ЗАВЕРШЕН</v>
      </c>
      <c r="S346" s="1" t="str">
        <f>IFERROR(INDEX(_group_[],MATCH(ВСЕ_КОДЫ[[#This Row],[CONTEST_CODE]],_group_[CONTEST_CODE],0),MATCH($S$1,_group_[#Headers],0)),"-")</f>
        <v>BANK</v>
      </c>
      <c r="T346" s="1" t="str">
        <f>IFERROR(INDEX(_INDICATOR_[],MATCH(ВСЕ_КОДЫ[[#This Row],[CONTEST_CODE]],_INDICATOR_[CONTEST_CODE],0),MATCH($T$1,_INDICATOR_[#Headers],0)),"-")</f>
        <v>WAIT</v>
      </c>
      <c r="U346" s="1" t="str">
        <f>IFERROR(INDEX(_reward_link_[],MATCH(ВСЕ_КОДЫ[[#This Row],[CONTEST_CODE]],_reward_link_[CONTEST_CODE],0),MATCH($U$1,_reward_link_[#Headers],0)),"-")</f>
        <v>GOSB</v>
      </c>
      <c r="V346" s="1" t="str">
        <f>IFERROR(INDEX(_report[],MATCH(ВСЕ_КОДЫ[[#This Row],[CONTEST_CODE]],_report[CONTEST_CODE],0),MATCH($V$1,_report[#Headers],0)),"-")</f>
        <v>-</v>
      </c>
      <c r="W346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46" s="1" t="str">
        <f>IFERROR(INDEX(_group_[],MATCH(CONCATENATE(ВСЕ_КОДЫ[[#This Row],[CONTEST_CODE]],"_",X$2),#REF!,0),MATCH(X$1,_group_[#Headers],0)),"-")</f>
        <v>-</v>
      </c>
      <c r="Y346" s="1" t="str">
        <f>IFERROR(INDEX(_group_[],MATCH(CONCATENATE(ВСЕ_КОДЫ[[#This Row],[CONTEST_CODE]],"_",Y$2),#REF!,0),MATCH(Y$1,_group_[#Headers],0)),"-")</f>
        <v>-</v>
      </c>
      <c r="Z346" s="1" t="str">
        <f>IFERROR(INDEX(_group_[],MATCH(CONCATENATE(ВСЕ_КОДЫ[[#This Row],[CONTEST_CODE]],"_",Z$2),#REF!,0),MATCH(Z$1,_group_[#Headers],0)),"-")</f>
        <v>-</v>
      </c>
      <c r="AA346" s="1" t="str">
        <f>IFERROR(INDEX(_group_[],MATCH(CONCATENATE(ВСЕ_КОДЫ[[#This Row],[CONTEST_CODE]],"_",AA$2),#REF!,0),MATCH(AA$1,_group_[#Headers],0)),"-")</f>
        <v>-</v>
      </c>
      <c r="AB346" s="1" t="str">
        <f>IFERROR(INDEX(_DATA_[],MATCH(ВСЕ_КОДЫ[[#This Row],[CONTEST_CODE]],_DATA_[CONTEST_CODE],0),MATCH($AB$2,_DATA_[#Headers],0)),"-")</f>
        <v>["""KMKKSB"""]</v>
      </c>
      <c r="AC346" s="1" t="str">
        <f>CONCATENATE(ВСЕ_КОДЫ[[#This Row],[CONTEST_CODE]],"_",ВСЕ_КОДЫ[[#This Row],[TOURNAMENT_CODE]])</f>
        <v>CONTEST_34_TOURNAMENT_34_06</v>
      </c>
      <c r="AD346" s="1" t="str">
        <f>ВСЕ_КОДЫ[[#This Row],[FULL_NAME]]</f>
        <v>ФОТ. Прирост объема перечислений</v>
      </c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idden="1" x14ac:dyDescent="0.25">
      <c r="A347" s="1" t="s">
        <v>105</v>
      </c>
      <c r="B347" s="1" t="s">
        <v>1075</v>
      </c>
      <c r="C347" s="1" t="s">
        <v>490</v>
      </c>
      <c r="D347" s="1" t="s">
        <v>583</v>
      </c>
      <c r="E347" s="1" t="s">
        <v>106</v>
      </c>
      <c r="F347" s="1" t="s">
        <v>26</v>
      </c>
      <c r="G347" s="1" t="s">
        <v>27</v>
      </c>
      <c r="H347" s="1" t="s">
        <v>28</v>
      </c>
      <c r="I347" s="1" t="s">
        <v>50</v>
      </c>
      <c r="J347" s="1" t="s">
        <v>703</v>
      </c>
      <c r="K347" s="1" t="s">
        <v>704</v>
      </c>
      <c r="L347" s="1" t="s">
        <v>1276</v>
      </c>
      <c r="M347" s="1" t="s">
        <v>176</v>
      </c>
      <c r="N347" s="1" t="s">
        <v>305</v>
      </c>
      <c r="O347" s="1" t="s">
        <v>491</v>
      </c>
      <c r="P347" s="1"/>
      <c r="Q347" s="1">
        <f>IFERROR(COUNTIFS(_report[TOURNAMENT_CODE],ВСЕ_КОДЫ[[#This Row],[TOURNAMENT_CODE]],_report[CONTEST_CODE],ВСЕ_КОДЫ[[#This Row],[CONTEST_CODE]]),"-")</f>
        <v>0</v>
      </c>
      <c r="R347" s="1" t="str">
        <f>IFERROR(INDEX(_SCHEDULE_[],MATCH(ВСЕ_КОДЫ[[#This Row],[CONTEST_CODE]],_SCHEDULE_[CONTEST_CODE],0),MATCH($R$1,_SCHEDULE_[#Headers],0)),"-")</f>
        <v>ЗАВЕРШЕН</v>
      </c>
      <c r="S347" s="1" t="str">
        <f>IFERROR(INDEX(_group_[],MATCH(ВСЕ_КОДЫ[[#This Row],[CONTEST_CODE]],_group_[CONTEST_CODE],0),MATCH($S$1,_group_[#Headers],0)),"-")</f>
        <v>BANK</v>
      </c>
      <c r="T347" s="1" t="str">
        <f>IFERROR(INDEX(_INDICATOR_[],MATCH(ВСЕ_КОДЫ[[#This Row],[CONTEST_CODE]],_INDICATOR_[CONTEST_CODE],0),MATCH($T$1,_INDICATOR_[#Headers],0)),"-")</f>
        <v>WAIT</v>
      </c>
      <c r="U347" s="1" t="str">
        <f>IFERROR(INDEX(_reward_link_[],MATCH(ВСЕ_КОДЫ[[#This Row],[CONTEST_CODE]],_reward_link_[CONTEST_CODE],0),MATCH($U$1,_reward_link_[#Headers],0)),"-")</f>
        <v>GOSB</v>
      </c>
      <c r="V347" s="1" t="str">
        <f>IFERROR(INDEX(_report[],MATCH(ВСЕ_КОДЫ[[#This Row],[CONTEST_CODE]],_report[CONTEST_CODE],0),MATCH($V$1,_report[#Headers],0)),"-")</f>
        <v>-</v>
      </c>
      <c r="W347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47" s="1" t="str">
        <f>IFERROR(INDEX(_group_[],MATCH(CONCATENATE(ВСЕ_КОДЫ[[#This Row],[CONTEST_CODE]],"_",X$2),#REF!,0),MATCH(X$1,_group_[#Headers],0)),"-")</f>
        <v>-</v>
      </c>
      <c r="Y347" s="1" t="str">
        <f>IFERROR(INDEX(_group_[],MATCH(CONCATENATE(ВСЕ_КОДЫ[[#This Row],[CONTEST_CODE]],"_",Y$2),#REF!,0),MATCH(Y$1,_group_[#Headers],0)),"-")</f>
        <v>-</v>
      </c>
      <c r="Z347" s="1" t="str">
        <f>IFERROR(INDEX(_group_[],MATCH(CONCATENATE(ВСЕ_КОДЫ[[#This Row],[CONTEST_CODE]],"_",Z$2),#REF!,0),MATCH(Z$1,_group_[#Headers],0)),"-")</f>
        <v>-</v>
      </c>
      <c r="AA347" s="1" t="str">
        <f>IFERROR(INDEX(_group_[],MATCH(CONCATENATE(ВСЕ_КОДЫ[[#This Row],[CONTEST_CODE]],"_",AA$2),#REF!,0),MATCH(AA$1,_group_[#Headers],0)),"-")</f>
        <v>-</v>
      </c>
      <c r="AB347" s="1" t="str">
        <f>IFERROR(INDEX(_DATA_[],MATCH(ВСЕ_КОДЫ[[#This Row],[CONTEST_CODE]],_DATA_[CONTEST_CODE],0),MATCH($AB$2,_DATA_[#Headers],0)),"-")</f>
        <v>["""KMKKSB"""]</v>
      </c>
      <c r="AC347" s="1" t="str">
        <f>CONCATENATE(ВСЕ_КОДЫ[[#This Row],[CONTEST_CODE]],"_",ВСЕ_КОДЫ[[#This Row],[TOURNAMENT_CODE]])</f>
        <v>CONTEST_34_TOURNAMENT_34_07</v>
      </c>
      <c r="AD347" s="1" t="str">
        <f>ВСЕ_КОДЫ[[#This Row],[FULL_NAME]]</f>
        <v>ФОТ. Прирост объема перечислений</v>
      </c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idden="1" x14ac:dyDescent="0.25">
      <c r="A348" s="1" t="s">
        <v>105</v>
      </c>
      <c r="B348" s="1" t="s">
        <v>1211</v>
      </c>
      <c r="C348" s="1" t="s">
        <v>490</v>
      </c>
      <c r="D348" s="1" t="s">
        <v>583</v>
      </c>
      <c r="E348" s="1" t="s">
        <v>106</v>
      </c>
      <c r="F348" s="1" t="s">
        <v>26</v>
      </c>
      <c r="G348" s="1" t="s">
        <v>27</v>
      </c>
      <c r="H348" s="1" t="s">
        <v>28</v>
      </c>
      <c r="I348" s="1" t="s">
        <v>50</v>
      </c>
      <c r="J348" s="1" t="s">
        <v>1078</v>
      </c>
      <c r="K348" s="1" t="s">
        <v>1173</v>
      </c>
      <c r="L348" s="1" t="s">
        <v>1712</v>
      </c>
      <c r="M348" s="1" t="s">
        <v>176</v>
      </c>
      <c r="N348" s="1" t="s">
        <v>305</v>
      </c>
      <c r="O348" s="1" t="s">
        <v>491</v>
      </c>
      <c r="P348" s="1"/>
      <c r="Q348" s="1">
        <f>IFERROR(COUNTIFS(_report[TOURNAMENT_CODE],ВСЕ_КОДЫ[[#This Row],[TOURNAMENT_CODE]],_report[CONTEST_CODE],ВСЕ_КОДЫ[[#This Row],[CONTEST_CODE]]),"-")</f>
        <v>0</v>
      </c>
      <c r="R348" s="1" t="str">
        <f>IFERROR(INDEX(_SCHEDULE_[],MATCH(ВСЕ_КОДЫ[[#This Row],[CONTEST_CODE]],_SCHEDULE_[CONTEST_CODE],0),MATCH($R$1,_SCHEDULE_[#Headers],0)),"-")</f>
        <v>ЗАВЕРШЕН</v>
      </c>
      <c r="S348" s="1" t="str">
        <f>IFERROR(INDEX(_group_[],MATCH(ВСЕ_КОДЫ[[#This Row],[CONTEST_CODE]],_group_[CONTEST_CODE],0),MATCH($S$1,_group_[#Headers],0)),"-")</f>
        <v>BANK</v>
      </c>
      <c r="T348" s="1" t="str">
        <f>IFERROR(INDEX(_INDICATOR_[],MATCH(ВСЕ_КОДЫ[[#This Row],[CONTEST_CODE]],_INDICATOR_[CONTEST_CODE],0),MATCH($T$1,_INDICATOR_[#Headers],0)),"-")</f>
        <v>WAIT</v>
      </c>
      <c r="U348" s="1" t="str">
        <f>IFERROR(INDEX(_reward_link_[],MATCH(ВСЕ_КОДЫ[[#This Row],[CONTEST_CODE]],_reward_link_[CONTEST_CODE],0),MATCH($U$1,_reward_link_[#Headers],0)),"-")</f>
        <v>GOSB</v>
      </c>
      <c r="V348" s="1" t="str">
        <f>IFERROR(INDEX(_report[],MATCH(ВСЕ_КОДЫ[[#This Row],[CONTEST_CODE]],_report[CONTEST_CODE],0),MATCH($V$1,_report[#Headers],0)),"-")</f>
        <v>-</v>
      </c>
      <c r="W348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48" s="1" t="str">
        <f>IFERROR(INDEX(_group_[],MATCH(CONCATENATE(ВСЕ_КОДЫ[[#This Row],[CONTEST_CODE]],"_",X$2),#REF!,0),MATCH(X$1,_group_[#Headers],0)),"-")</f>
        <v>-</v>
      </c>
      <c r="Y348" s="1" t="str">
        <f>IFERROR(INDEX(_group_[],MATCH(CONCATENATE(ВСЕ_КОДЫ[[#This Row],[CONTEST_CODE]],"_",Y$2),#REF!,0),MATCH(Y$1,_group_[#Headers],0)),"-")</f>
        <v>-</v>
      </c>
      <c r="Z348" s="1" t="str">
        <f>IFERROR(INDEX(_group_[],MATCH(CONCATENATE(ВСЕ_КОДЫ[[#This Row],[CONTEST_CODE]],"_",Z$2),#REF!,0),MATCH(Z$1,_group_[#Headers],0)),"-")</f>
        <v>-</v>
      </c>
      <c r="AA348" s="1" t="str">
        <f>IFERROR(INDEX(_group_[],MATCH(CONCATENATE(ВСЕ_КОДЫ[[#This Row],[CONTEST_CODE]],"_",AA$2),#REF!,0),MATCH(AA$1,_group_[#Headers],0)),"-")</f>
        <v>-</v>
      </c>
      <c r="AB348" s="1" t="str">
        <f>IFERROR(INDEX(_DATA_[],MATCH(ВСЕ_КОДЫ[[#This Row],[CONTEST_CODE]],_DATA_[CONTEST_CODE],0),MATCH($AB$2,_DATA_[#Headers],0)),"-")</f>
        <v>["""KMKKSB"""]</v>
      </c>
      <c r="AC348" s="1" t="str">
        <f>CONCATENATE(ВСЕ_КОДЫ[[#This Row],[CONTEST_CODE]],"_",ВСЕ_КОДЫ[[#This Row],[TOURNAMENT_CODE]])</f>
        <v>CONTEST_34_TOURNAMENT_34_08</v>
      </c>
      <c r="AD348" s="1" t="str">
        <f>ВСЕ_КОДЫ[[#This Row],[FULL_NAME]]</f>
        <v>ФОТ. Прирост объема перечислений</v>
      </c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idden="1" x14ac:dyDescent="0.25">
      <c r="A349" s="1" t="s">
        <v>105</v>
      </c>
      <c r="B349" s="1" t="s">
        <v>1284</v>
      </c>
      <c r="C349" s="1" t="s">
        <v>490</v>
      </c>
      <c r="D349" s="1" t="s">
        <v>583</v>
      </c>
      <c r="E349" s="1" t="s">
        <v>106</v>
      </c>
      <c r="F349" s="1" t="s">
        <v>26</v>
      </c>
      <c r="G349" s="1" t="s">
        <v>27</v>
      </c>
      <c r="H349" s="1" t="s">
        <v>28</v>
      </c>
      <c r="I349" s="1" t="s">
        <v>50</v>
      </c>
      <c r="J349" s="1" t="s">
        <v>1225</v>
      </c>
      <c r="K349" s="1" t="s">
        <v>1070</v>
      </c>
      <c r="L349" s="1" t="s">
        <v>1712</v>
      </c>
      <c r="M349" s="1" t="s">
        <v>176</v>
      </c>
      <c r="N349" s="1" t="s">
        <v>305</v>
      </c>
      <c r="O349" s="1" t="s">
        <v>491</v>
      </c>
      <c r="P349" s="1"/>
      <c r="Q349" s="1">
        <f>IFERROR(COUNTIFS(_report[TOURNAMENT_CODE],ВСЕ_КОДЫ[[#This Row],[TOURNAMENT_CODE]],_report[CONTEST_CODE],ВСЕ_КОДЫ[[#This Row],[CONTEST_CODE]]),"-")</f>
        <v>0</v>
      </c>
      <c r="R349" s="1" t="str">
        <f>IFERROR(INDEX(_SCHEDULE_[],MATCH(ВСЕ_КОДЫ[[#This Row],[CONTEST_CODE]],_SCHEDULE_[CONTEST_CODE],0),MATCH($R$1,_SCHEDULE_[#Headers],0)),"-")</f>
        <v>ЗАВЕРШЕН</v>
      </c>
      <c r="S349" s="1" t="str">
        <f>IFERROR(INDEX(_group_[],MATCH(ВСЕ_КОДЫ[[#This Row],[CONTEST_CODE]],_group_[CONTEST_CODE],0),MATCH($S$1,_group_[#Headers],0)),"-")</f>
        <v>BANK</v>
      </c>
      <c r="T349" s="1" t="str">
        <f>IFERROR(INDEX(_INDICATOR_[],MATCH(ВСЕ_КОДЫ[[#This Row],[CONTEST_CODE]],_INDICATOR_[CONTEST_CODE],0),MATCH($T$1,_INDICATOR_[#Headers],0)),"-")</f>
        <v>WAIT</v>
      </c>
      <c r="U349" s="1" t="str">
        <f>IFERROR(INDEX(_reward_link_[],MATCH(ВСЕ_КОДЫ[[#This Row],[CONTEST_CODE]],_reward_link_[CONTEST_CODE],0),MATCH($U$1,_reward_link_[#Headers],0)),"-")</f>
        <v>GOSB</v>
      </c>
      <c r="V349" s="1" t="str">
        <f>IFERROR(INDEX(_report[],MATCH(ВСЕ_КОДЫ[[#This Row],[CONTEST_CODE]],_report[CONTEST_CODE],0),MATCH($V$1,_report[#Headers],0)),"-")</f>
        <v>-</v>
      </c>
      <c r="W349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49" s="1" t="str">
        <f>IFERROR(INDEX(_group_[],MATCH(CONCATENATE(ВСЕ_КОДЫ[[#This Row],[CONTEST_CODE]],"_",X$2),#REF!,0),MATCH(X$1,_group_[#Headers],0)),"-")</f>
        <v>-</v>
      </c>
      <c r="Y349" s="1" t="str">
        <f>IFERROR(INDEX(_group_[],MATCH(CONCATENATE(ВСЕ_КОДЫ[[#This Row],[CONTEST_CODE]],"_",Y$2),#REF!,0),MATCH(Y$1,_group_[#Headers],0)),"-")</f>
        <v>-</v>
      </c>
      <c r="Z349" s="1" t="str">
        <f>IFERROR(INDEX(_group_[],MATCH(CONCATENATE(ВСЕ_КОДЫ[[#This Row],[CONTEST_CODE]],"_",Z$2),#REF!,0),MATCH(Z$1,_group_[#Headers],0)),"-")</f>
        <v>-</v>
      </c>
      <c r="AA349" s="1" t="str">
        <f>IFERROR(INDEX(_group_[],MATCH(CONCATENATE(ВСЕ_КОДЫ[[#This Row],[CONTEST_CODE]],"_",AA$2),#REF!,0),MATCH(AA$1,_group_[#Headers],0)),"-")</f>
        <v>-</v>
      </c>
      <c r="AB349" s="1" t="str">
        <f>IFERROR(INDEX(_DATA_[],MATCH(ВСЕ_КОДЫ[[#This Row],[CONTEST_CODE]],_DATA_[CONTEST_CODE],0),MATCH($AB$2,_DATA_[#Headers],0)),"-")</f>
        <v>["""KMKKSB"""]</v>
      </c>
      <c r="AC349" s="1" t="str">
        <f>CONCATENATE(ВСЕ_КОДЫ[[#This Row],[CONTEST_CODE]],"_",ВСЕ_КОДЫ[[#This Row],[TOURNAMENT_CODE]])</f>
        <v>CONTEST_34_TOURNAMENT_34_09</v>
      </c>
      <c r="AD349" s="1" t="str">
        <f>ВСЕ_КОДЫ[[#This Row],[FULL_NAME]]</f>
        <v>ФОТ. Прирост объема перечислений</v>
      </c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idden="1" x14ac:dyDescent="0.25">
      <c r="A350" s="1" t="s">
        <v>105</v>
      </c>
      <c r="B350" s="1" t="s">
        <v>1653</v>
      </c>
      <c r="C350" s="1" t="s">
        <v>490</v>
      </c>
      <c r="D350" s="1" t="s">
        <v>583</v>
      </c>
      <c r="E350" s="1" t="s">
        <v>106</v>
      </c>
      <c r="F350" s="1" t="s">
        <v>26</v>
      </c>
      <c r="G350" s="1" t="s">
        <v>27</v>
      </c>
      <c r="H350" s="1" t="s">
        <v>28</v>
      </c>
      <c r="I350" s="1" t="s">
        <v>50</v>
      </c>
      <c r="J350" s="1" t="s">
        <v>1308</v>
      </c>
      <c r="K350" s="1" t="s">
        <v>1638</v>
      </c>
      <c r="L350" s="1" t="s">
        <v>1847</v>
      </c>
      <c r="M350" s="1" t="s">
        <v>176</v>
      </c>
      <c r="N350" s="1" t="s">
        <v>305</v>
      </c>
      <c r="O350" s="1" t="s">
        <v>491</v>
      </c>
      <c r="P350" s="1"/>
      <c r="Q350" s="1">
        <f>IFERROR(COUNTIFS(_report[TOURNAMENT_CODE],ВСЕ_КОДЫ[[#This Row],[TOURNAMENT_CODE]],_report[CONTEST_CODE],ВСЕ_КОДЫ[[#This Row],[CONTEST_CODE]]),"-")</f>
        <v>0</v>
      </c>
      <c r="R350" s="1" t="str">
        <f>IFERROR(INDEX(_SCHEDULE_[],MATCH(ВСЕ_КОДЫ[[#This Row],[CONTEST_CODE]],_SCHEDULE_[CONTEST_CODE],0),MATCH($R$1,_SCHEDULE_[#Headers],0)),"-")</f>
        <v>ЗАВЕРШЕН</v>
      </c>
      <c r="S350" s="1" t="str">
        <f>IFERROR(INDEX(_group_[],MATCH(ВСЕ_КОДЫ[[#This Row],[CONTEST_CODE]],_group_[CONTEST_CODE],0),MATCH($S$1,_group_[#Headers],0)),"-")</f>
        <v>BANK</v>
      </c>
      <c r="T350" s="1" t="str">
        <f>IFERROR(INDEX(_INDICATOR_[],MATCH(ВСЕ_КОДЫ[[#This Row],[CONTEST_CODE]],_INDICATOR_[CONTEST_CODE],0),MATCH($T$1,_INDICATOR_[#Headers],0)),"-")</f>
        <v>WAIT</v>
      </c>
      <c r="U350" s="1" t="str">
        <f>IFERROR(INDEX(_reward_link_[],MATCH(ВСЕ_КОДЫ[[#This Row],[CONTEST_CODE]],_reward_link_[CONTEST_CODE],0),MATCH($U$1,_reward_link_[#Headers],0)),"-")</f>
        <v>GOSB</v>
      </c>
      <c r="V350" s="1" t="str">
        <f>IFERROR(INDEX(_report[],MATCH(ВСЕ_КОДЫ[[#This Row],[CONTEST_CODE]],_report[CONTEST_CODE],0),MATCH($V$1,_report[#Headers],0)),"-")</f>
        <v>-</v>
      </c>
      <c r="W350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50" s="1" t="str">
        <f>IFERROR(INDEX(_group_[],MATCH(CONCATENATE(ВСЕ_КОДЫ[[#This Row],[CONTEST_CODE]],"_",X$2),#REF!,0),MATCH(X$1,_group_[#Headers],0)),"-")</f>
        <v>-</v>
      </c>
      <c r="Y350" s="1" t="str">
        <f>IFERROR(INDEX(_group_[],MATCH(CONCATENATE(ВСЕ_КОДЫ[[#This Row],[CONTEST_CODE]],"_",Y$2),#REF!,0),MATCH(Y$1,_group_[#Headers],0)),"-")</f>
        <v>-</v>
      </c>
      <c r="Z350" s="1" t="str">
        <f>IFERROR(INDEX(_group_[],MATCH(CONCATENATE(ВСЕ_КОДЫ[[#This Row],[CONTEST_CODE]],"_",Z$2),#REF!,0),MATCH(Z$1,_group_[#Headers],0)),"-")</f>
        <v>-</v>
      </c>
      <c r="AA350" s="1" t="str">
        <f>IFERROR(INDEX(_group_[],MATCH(CONCATENATE(ВСЕ_КОДЫ[[#This Row],[CONTEST_CODE]],"_",AA$2),#REF!,0),MATCH(AA$1,_group_[#Headers],0)),"-")</f>
        <v>-</v>
      </c>
      <c r="AB350" s="1" t="str">
        <f>IFERROR(INDEX(_DATA_[],MATCH(ВСЕ_КОДЫ[[#This Row],[CONTEST_CODE]],_DATA_[CONTEST_CODE],0),MATCH($AB$2,_DATA_[#Headers],0)),"-")</f>
        <v>["""KMKKSB"""]</v>
      </c>
      <c r="AC350" s="1" t="str">
        <f>CONCATENATE(ВСЕ_КОДЫ[[#This Row],[CONTEST_CODE]],"_",ВСЕ_КОДЫ[[#This Row],[TOURNAMENT_CODE]])</f>
        <v>CONTEST_34_TOURNAMENT_34_2024_M10</v>
      </c>
      <c r="AD350" s="1" t="str">
        <f>ВСЕ_КОДЫ[[#This Row],[FULL_NAME]]</f>
        <v>ФОТ. Прирост объема перечислений</v>
      </c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idden="1" x14ac:dyDescent="0.25">
      <c r="A351" s="1" t="s">
        <v>105</v>
      </c>
      <c r="B351" s="1" t="s">
        <v>1816</v>
      </c>
      <c r="C351" s="1" t="s">
        <v>490</v>
      </c>
      <c r="D351" s="1" t="s">
        <v>583</v>
      </c>
      <c r="E351" s="1" t="s">
        <v>106</v>
      </c>
      <c r="F351" s="1" t="s">
        <v>26</v>
      </c>
      <c r="G351" s="1" t="s">
        <v>27</v>
      </c>
      <c r="H351" s="1" t="s">
        <v>28</v>
      </c>
      <c r="I351" s="1" t="s">
        <v>50</v>
      </c>
      <c r="J351" s="1" t="s">
        <v>1800</v>
      </c>
      <c r="K351" s="1" t="s">
        <v>1801</v>
      </c>
      <c r="L351" s="1" t="s">
        <v>1802</v>
      </c>
      <c r="M351" s="1" t="s">
        <v>155</v>
      </c>
      <c r="N351" s="1" t="s">
        <v>305</v>
      </c>
      <c r="O351" s="1" t="s">
        <v>491</v>
      </c>
      <c r="P351" s="1"/>
      <c r="Q351" s="1">
        <f>IFERROR(COUNTIFS(_report[TOURNAMENT_CODE],ВСЕ_КОДЫ[[#This Row],[TOURNAMENT_CODE]],_report[CONTEST_CODE],ВСЕ_КОДЫ[[#This Row],[CONTEST_CODE]]),"-")</f>
        <v>0</v>
      </c>
      <c r="R351" s="1" t="str">
        <f>IFERROR(INDEX(_SCHEDULE_[],MATCH(ВСЕ_КОДЫ[[#This Row],[CONTEST_CODE]],_SCHEDULE_[CONTEST_CODE],0),MATCH($R$1,_SCHEDULE_[#Headers],0)),"-")</f>
        <v>ЗАВЕРШЕН</v>
      </c>
      <c r="S351" s="1" t="str">
        <f>IFERROR(INDEX(_group_[],MATCH(ВСЕ_КОДЫ[[#This Row],[CONTEST_CODE]],_group_[CONTEST_CODE],0),MATCH($S$1,_group_[#Headers],0)),"-")</f>
        <v>BANK</v>
      </c>
      <c r="T351" s="1" t="str">
        <f>IFERROR(INDEX(_INDICATOR_[],MATCH(ВСЕ_КОДЫ[[#This Row],[CONTEST_CODE]],_INDICATOR_[CONTEST_CODE],0),MATCH($T$1,_INDICATOR_[#Headers],0)),"-")</f>
        <v>WAIT</v>
      </c>
      <c r="U351" s="1" t="str">
        <f>IFERROR(INDEX(_reward_link_[],MATCH(ВСЕ_КОДЫ[[#This Row],[CONTEST_CODE]],_reward_link_[CONTEST_CODE],0),MATCH($U$1,_reward_link_[#Headers],0)),"-")</f>
        <v>GOSB</v>
      </c>
      <c r="V351" s="1" t="str">
        <f>IFERROR(INDEX(_report[],MATCH(ВСЕ_КОДЫ[[#This Row],[CONTEST_CODE]],_report[CONTEST_CODE],0),MATCH($V$1,_report[#Headers],0)),"-")</f>
        <v>-</v>
      </c>
      <c r="W351" s="1" t="str">
        <f>IFERROR(INDEX(_reward_[],MATCH(ВСЕ_КОДЫ[[#This Row],[REWARD_CODE]],_reward_[REWARD_CODE],0),MATCH($W$1,_reward_[#Headers],0)),"-")</f>
        <v>Чемпион страны по приросту объема перечислений ФОТ</v>
      </c>
      <c r="X351" s="1" t="str">
        <f>IFERROR(INDEX(_group_[],MATCH(CONCATENATE(ВСЕ_КОДЫ[[#This Row],[CONTEST_CODE]],"_",X$2),#REF!,0),MATCH(X$1,_group_[#Headers],0)),"-")</f>
        <v>-</v>
      </c>
      <c r="Y351" s="1" t="str">
        <f>IFERROR(INDEX(_group_[],MATCH(CONCATENATE(ВСЕ_КОДЫ[[#This Row],[CONTEST_CODE]],"_",Y$2),#REF!,0),MATCH(Y$1,_group_[#Headers],0)),"-")</f>
        <v>-</v>
      </c>
      <c r="Z351" s="1" t="str">
        <f>IFERROR(INDEX(_group_[],MATCH(CONCATENATE(ВСЕ_КОДЫ[[#This Row],[CONTEST_CODE]],"_",Z$2),#REF!,0),MATCH(Z$1,_group_[#Headers],0)),"-")</f>
        <v>-</v>
      </c>
      <c r="AA351" s="1" t="str">
        <f>IFERROR(INDEX(_group_[],MATCH(CONCATENATE(ВСЕ_КОДЫ[[#This Row],[CONTEST_CODE]],"_",AA$2),#REF!,0),MATCH(AA$1,_group_[#Headers],0)),"-")</f>
        <v>-</v>
      </c>
      <c r="AB351" s="1" t="str">
        <f>IFERROR(INDEX(_DATA_[],MATCH(ВСЕ_КОДЫ[[#This Row],[CONTEST_CODE]],_DATA_[CONTEST_CODE],0),MATCH($AB$2,_DATA_[#Headers],0)),"-")</f>
        <v>["""KMKKSB"""]</v>
      </c>
      <c r="AC351" s="1" t="str">
        <f>CONCATENATE(ВСЕ_КОДЫ[[#This Row],[CONTEST_CODE]],"_",ВСЕ_КОДЫ[[#This Row],[TOURNAMENT_CODE]])</f>
        <v>CONTEST_34_TOURNAMENT_34_2024_M11</v>
      </c>
      <c r="AD351" s="1" t="str">
        <f>ВСЕ_КОДЫ[[#This Row],[FULL_NAME]]</f>
        <v>ФОТ. Прирост объема перечислений</v>
      </c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idden="1" x14ac:dyDescent="0.25">
      <c r="A352" s="1" t="s">
        <v>109</v>
      </c>
      <c r="B352" s="1" t="s">
        <v>289</v>
      </c>
      <c r="C352" s="1" t="s">
        <v>499</v>
      </c>
      <c r="D352" s="1" t="s">
        <v>583</v>
      </c>
      <c r="E352" s="1" t="s">
        <v>110</v>
      </c>
      <c r="F352" s="1" t="s">
        <v>26</v>
      </c>
      <c r="G352" s="1" t="s">
        <v>27</v>
      </c>
      <c r="H352" s="1" t="s">
        <v>28</v>
      </c>
      <c r="I352" s="1" t="s">
        <v>50</v>
      </c>
      <c r="J352" s="1" t="s">
        <v>187</v>
      </c>
      <c r="K352" s="1" t="s">
        <v>188</v>
      </c>
      <c r="L352" s="1" t="s">
        <v>189</v>
      </c>
      <c r="M352" s="1" t="s">
        <v>176</v>
      </c>
      <c r="N352" s="1" t="s">
        <v>305</v>
      </c>
      <c r="O352" s="1" t="s">
        <v>500</v>
      </c>
      <c r="P352" s="1"/>
      <c r="Q352" s="1">
        <f>IFERROR(COUNTIFS(_report[TOURNAMENT_CODE],ВСЕ_КОДЫ[[#This Row],[TOURNAMENT_CODE]],_report[CONTEST_CODE],ВСЕ_КОДЫ[[#This Row],[CONTEST_CODE]]),"-")</f>
        <v>0</v>
      </c>
      <c r="R352" s="1" t="str">
        <f>IFERROR(INDEX(_SCHEDULE_[],MATCH(ВСЕ_КОДЫ[[#This Row],[CONTEST_CODE]],_SCHEDULE_[CONTEST_CODE],0),MATCH($R$1,_SCHEDULE_[#Headers],0)),"-")</f>
        <v>ЗАВЕРШЕН</v>
      </c>
      <c r="S352" s="1" t="str">
        <f>IFERROR(INDEX(_group_[],MATCH(ВСЕ_КОДЫ[[#This Row],[CONTEST_CODE]],_group_[CONTEST_CODE],0),MATCH($S$1,_group_[#Headers],0)),"-")</f>
        <v>BANK</v>
      </c>
      <c r="T352" s="1" t="str">
        <f>IFERROR(INDEX(_INDICATOR_[],MATCH(ВСЕ_КОДЫ[[#This Row],[CONTEST_CODE]],_INDICATOR_[CONTEST_CODE],0),MATCH($T$1,_INDICATOR_[#Headers],0)),"-")</f>
        <v>WAIT</v>
      </c>
      <c r="U352" s="1" t="str">
        <f>IFERROR(INDEX(_reward_link_[],MATCH(ВСЕ_КОДЫ[[#This Row],[CONTEST_CODE]],_reward_link_[CONTEST_CODE],0),MATCH($U$1,_reward_link_[#Headers],0)),"-")</f>
        <v>BANK</v>
      </c>
      <c r="V352" s="1" t="str">
        <f>IFERROR(INDEX(_report[],MATCH(ВСЕ_КОДЫ[[#This Row],[CONTEST_CODE]],_report[CONTEST_CODE],0),MATCH($V$1,_report[#Headers],0)),"-")</f>
        <v>-</v>
      </c>
      <c r="W352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2" s="1" t="str">
        <f>IFERROR(INDEX(_group_[],MATCH(CONCATENATE(ВСЕ_КОДЫ[[#This Row],[CONTEST_CODE]],"_",X$2),#REF!,0),MATCH(X$1,_group_[#Headers],0)),"-")</f>
        <v>-</v>
      </c>
      <c r="Y352" s="1" t="str">
        <f>IFERROR(INDEX(_group_[],MATCH(CONCATENATE(ВСЕ_КОДЫ[[#This Row],[CONTEST_CODE]],"_",Y$2),#REF!,0),MATCH(Y$1,_group_[#Headers],0)),"-")</f>
        <v>-</v>
      </c>
      <c r="Z352" s="1" t="str">
        <f>IFERROR(INDEX(_group_[],MATCH(CONCATENATE(ВСЕ_КОДЫ[[#This Row],[CONTEST_CODE]],"_",Z$2),#REF!,0),MATCH(Z$1,_group_[#Headers],0)),"-")</f>
        <v>-</v>
      </c>
      <c r="AA352" s="1" t="str">
        <f>IFERROR(INDEX(_group_[],MATCH(CONCATENATE(ВСЕ_КОДЫ[[#This Row],[CONTEST_CODE]],"_",AA$2),#REF!,0),MATCH(AA$1,_group_[#Headers],0)),"-")</f>
        <v>-</v>
      </c>
      <c r="AB352" s="1" t="str">
        <f>IFERROR(INDEX(_DATA_[],MATCH(ВСЕ_КОДЫ[[#This Row],[CONTEST_CODE]],_DATA_[CONTEST_CODE],0),MATCH($AB$2,_DATA_[#Headers],0)),"-")</f>
        <v>["""KMKKSB"""]</v>
      </c>
      <c r="AC352" s="1" t="str">
        <f>CONCATENATE(ВСЕ_КОДЫ[[#This Row],[CONTEST_CODE]],"_",ВСЕ_КОДЫ[[#This Row],[TOURNAMENT_CODE]])</f>
        <v>CONTEST_35_TOURNAMENT_35_03</v>
      </c>
      <c r="AD352" s="1" t="str">
        <f>ВСЕ_КОДЫ[[#This Row],[FULL_NAME]]</f>
        <v>ТФиДО. Максимизируй комиссию</v>
      </c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idden="1" x14ac:dyDescent="0.25">
      <c r="A353" s="1" t="s">
        <v>109</v>
      </c>
      <c r="B353" s="1" t="s">
        <v>290</v>
      </c>
      <c r="C353" s="1" t="s">
        <v>499</v>
      </c>
      <c r="D353" s="1" t="s">
        <v>583</v>
      </c>
      <c r="E353" s="1" t="s">
        <v>110</v>
      </c>
      <c r="F353" s="1" t="s">
        <v>26</v>
      </c>
      <c r="G353" s="1" t="s">
        <v>27</v>
      </c>
      <c r="H353" s="1" t="s">
        <v>28</v>
      </c>
      <c r="I353" s="1" t="s">
        <v>50</v>
      </c>
      <c r="J353" s="1" t="s">
        <v>192</v>
      </c>
      <c r="K353" s="1" t="s">
        <v>193</v>
      </c>
      <c r="L353" s="1" t="s">
        <v>247</v>
      </c>
      <c r="M353" s="1" t="s">
        <v>176</v>
      </c>
      <c r="N353" s="1" t="s">
        <v>305</v>
      </c>
      <c r="O353" s="1" t="s">
        <v>500</v>
      </c>
      <c r="P353" s="1"/>
      <c r="Q353" s="1">
        <f>IFERROR(COUNTIFS(_report[TOURNAMENT_CODE],ВСЕ_КОДЫ[[#This Row],[TOURNAMENT_CODE]],_report[CONTEST_CODE],ВСЕ_КОДЫ[[#This Row],[CONTEST_CODE]]),"-")</f>
        <v>0</v>
      </c>
      <c r="R353" s="1" t="str">
        <f>IFERROR(INDEX(_SCHEDULE_[],MATCH(ВСЕ_КОДЫ[[#This Row],[CONTEST_CODE]],_SCHEDULE_[CONTEST_CODE],0),MATCH($R$1,_SCHEDULE_[#Headers],0)),"-")</f>
        <v>ЗАВЕРШЕН</v>
      </c>
      <c r="S353" s="1" t="str">
        <f>IFERROR(INDEX(_group_[],MATCH(ВСЕ_КОДЫ[[#This Row],[CONTEST_CODE]],_group_[CONTEST_CODE],0),MATCH($S$1,_group_[#Headers],0)),"-")</f>
        <v>BANK</v>
      </c>
      <c r="T353" s="1" t="str">
        <f>IFERROR(INDEX(_INDICATOR_[],MATCH(ВСЕ_КОДЫ[[#This Row],[CONTEST_CODE]],_INDICATOR_[CONTEST_CODE],0),MATCH($T$1,_INDICATOR_[#Headers],0)),"-")</f>
        <v>WAIT</v>
      </c>
      <c r="U353" s="1" t="str">
        <f>IFERROR(INDEX(_reward_link_[],MATCH(ВСЕ_КОДЫ[[#This Row],[CONTEST_CODE]],_reward_link_[CONTEST_CODE],0),MATCH($U$1,_reward_link_[#Headers],0)),"-")</f>
        <v>BANK</v>
      </c>
      <c r="V353" s="1" t="str">
        <f>IFERROR(INDEX(_report[],MATCH(ВСЕ_КОДЫ[[#This Row],[CONTEST_CODE]],_report[CONTEST_CODE],0),MATCH($V$1,_report[#Headers],0)),"-")</f>
        <v>-</v>
      </c>
      <c r="W353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3" s="1" t="str">
        <f>IFERROR(INDEX(_group_[],MATCH(CONCATENATE(ВСЕ_КОДЫ[[#This Row],[CONTEST_CODE]],"_",X$2),#REF!,0),MATCH(X$1,_group_[#Headers],0)),"-")</f>
        <v>-</v>
      </c>
      <c r="Y353" s="1" t="str">
        <f>IFERROR(INDEX(_group_[],MATCH(CONCATENATE(ВСЕ_КОДЫ[[#This Row],[CONTEST_CODE]],"_",Y$2),#REF!,0),MATCH(Y$1,_group_[#Headers],0)),"-")</f>
        <v>-</v>
      </c>
      <c r="Z353" s="1" t="str">
        <f>IFERROR(INDEX(_group_[],MATCH(CONCATENATE(ВСЕ_КОДЫ[[#This Row],[CONTEST_CODE]],"_",Z$2),#REF!,0),MATCH(Z$1,_group_[#Headers],0)),"-")</f>
        <v>-</v>
      </c>
      <c r="AA353" s="1" t="str">
        <f>IFERROR(INDEX(_group_[],MATCH(CONCATENATE(ВСЕ_КОДЫ[[#This Row],[CONTEST_CODE]],"_",AA$2),#REF!,0),MATCH(AA$1,_group_[#Headers],0)),"-")</f>
        <v>-</v>
      </c>
      <c r="AB353" s="1" t="str">
        <f>IFERROR(INDEX(_DATA_[],MATCH(ВСЕ_КОДЫ[[#This Row],[CONTEST_CODE]],_DATA_[CONTEST_CODE],0),MATCH($AB$2,_DATA_[#Headers],0)),"-")</f>
        <v>["""KMKKSB"""]</v>
      </c>
      <c r="AC353" s="1" t="str">
        <f>CONCATENATE(ВСЕ_КОДЫ[[#This Row],[CONTEST_CODE]],"_",ВСЕ_КОДЫ[[#This Row],[TOURNAMENT_CODE]])</f>
        <v>CONTEST_35_TOURNAMENT_35_04</v>
      </c>
      <c r="AD353" s="1" t="str">
        <f>ВСЕ_КОДЫ[[#This Row],[FULL_NAME]]</f>
        <v>ТФиДО. Максимизируй комиссию</v>
      </c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idden="1" x14ac:dyDescent="0.25">
      <c r="A354" s="1" t="s">
        <v>109</v>
      </c>
      <c r="B354" s="1" t="s">
        <v>640</v>
      </c>
      <c r="C354" s="1" t="s">
        <v>499</v>
      </c>
      <c r="D354" s="1" t="s">
        <v>583</v>
      </c>
      <c r="E354" s="1" t="s">
        <v>110</v>
      </c>
      <c r="F354" s="1" t="s">
        <v>26</v>
      </c>
      <c r="G354" s="1" t="s">
        <v>27</v>
      </c>
      <c r="H354" s="1" t="s">
        <v>28</v>
      </c>
      <c r="I354" s="1" t="s">
        <v>50</v>
      </c>
      <c r="J354" s="1" t="s">
        <v>245</v>
      </c>
      <c r="K354" s="1" t="s">
        <v>246</v>
      </c>
      <c r="L354" s="1" t="s">
        <v>1088</v>
      </c>
      <c r="M354" s="1" t="s">
        <v>176</v>
      </c>
      <c r="N354" s="1" t="s">
        <v>305</v>
      </c>
      <c r="O354" s="1" t="s">
        <v>500</v>
      </c>
      <c r="P354" s="1"/>
      <c r="Q354" s="1">
        <f>IFERROR(COUNTIFS(_report[TOURNAMENT_CODE],ВСЕ_КОДЫ[[#This Row],[TOURNAMENT_CODE]],_report[CONTEST_CODE],ВСЕ_КОДЫ[[#This Row],[CONTEST_CODE]]),"-")</f>
        <v>0</v>
      </c>
      <c r="R354" s="1" t="str">
        <f>IFERROR(INDEX(_SCHEDULE_[],MATCH(ВСЕ_КОДЫ[[#This Row],[CONTEST_CODE]],_SCHEDULE_[CONTEST_CODE],0),MATCH($R$1,_SCHEDULE_[#Headers],0)),"-")</f>
        <v>ЗАВЕРШЕН</v>
      </c>
      <c r="S354" s="1" t="str">
        <f>IFERROR(INDEX(_group_[],MATCH(ВСЕ_КОДЫ[[#This Row],[CONTEST_CODE]],_group_[CONTEST_CODE],0),MATCH($S$1,_group_[#Headers],0)),"-")</f>
        <v>BANK</v>
      </c>
      <c r="T354" s="1" t="str">
        <f>IFERROR(INDEX(_INDICATOR_[],MATCH(ВСЕ_КОДЫ[[#This Row],[CONTEST_CODE]],_INDICATOR_[CONTEST_CODE],0),MATCH($T$1,_INDICATOR_[#Headers],0)),"-")</f>
        <v>WAIT</v>
      </c>
      <c r="U354" s="1" t="str">
        <f>IFERROR(INDEX(_reward_link_[],MATCH(ВСЕ_КОДЫ[[#This Row],[CONTEST_CODE]],_reward_link_[CONTEST_CODE],0),MATCH($U$1,_reward_link_[#Headers],0)),"-")</f>
        <v>BANK</v>
      </c>
      <c r="V354" s="1" t="str">
        <f>IFERROR(INDEX(_report[],MATCH(ВСЕ_КОДЫ[[#This Row],[CONTEST_CODE]],_report[CONTEST_CODE],0),MATCH($V$1,_report[#Headers],0)),"-")</f>
        <v>-</v>
      </c>
      <c r="W354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4" s="1" t="str">
        <f>IFERROR(INDEX(_group_[],MATCH(CONCATENATE(ВСЕ_КОДЫ[[#This Row],[CONTEST_CODE]],"_",X$2),#REF!,0),MATCH(X$1,_group_[#Headers],0)),"-")</f>
        <v>-</v>
      </c>
      <c r="Y354" s="1" t="str">
        <f>IFERROR(INDEX(_group_[],MATCH(CONCATENATE(ВСЕ_КОДЫ[[#This Row],[CONTEST_CODE]],"_",Y$2),#REF!,0),MATCH(Y$1,_group_[#Headers],0)),"-")</f>
        <v>-</v>
      </c>
      <c r="Z354" s="1" t="str">
        <f>IFERROR(INDEX(_group_[],MATCH(CONCATENATE(ВСЕ_КОДЫ[[#This Row],[CONTEST_CODE]],"_",Z$2),#REF!,0),MATCH(Z$1,_group_[#Headers],0)),"-")</f>
        <v>-</v>
      </c>
      <c r="AA354" s="1" t="str">
        <f>IFERROR(INDEX(_group_[],MATCH(CONCATENATE(ВСЕ_КОДЫ[[#This Row],[CONTEST_CODE]],"_",AA$2),#REF!,0),MATCH(AA$1,_group_[#Headers],0)),"-")</f>
        <v>-</v>
      </c>
      <c r="AB354" s="1" t="str">
        <f>IFERROR(INDEX(_DATA_[],MATCH(ВСЕ_КОДЫ[[#This Row],[CONTEST_CODE]],_DATA_[CONTEST_CODE],0),MATCH($AB$2,_DATA_[#Headers],0)),"-")</f>
        <v>["""KMKKSB"""]</v>
      </c>
      <c r="AC354" s="1" t="str">
        <f>CONCATENATE(ВСЕ_КОДЫ[[#This Row],[CONTEST_CODE]],"_",ВСЕ_КОДЫ[[#This Row],[TOURNAMENT_CODE]])</f>
        <v>CONTEST_35_TOURNAMENT_35_05</v>
      </c>
      <c r="AD354" s="1" t="str">
        <f>ВСЕ_КОДЫ[[#This Row],[FULL_NAME]]</f>
        <v>ТФиДО. Максимизируй комиссию</v>
      </c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idden="1" x14ac:dyDescent="0.25">
      <c r="A355" s="1" t="s">
        <v>109</v>
      </c>
      <c r="B355" s="1" t="s">
        <v>702</v>
      </c>
      <c r="C355" s="1" t="s">
        <v>499</v>
      </c>
      <c r="D355" s="1" t="s">
        <v>583</v>
      </c>
      <c r="E355" s="1" t="s">
        <v>110</v>
      </c>
      <c r="F355" s="1" t="s">
        <v>26</v>
      </c>
      <c r="G355" s="1" t="s">
        <v>27</v>
      </c>
      <c r="H355" s="1" t="s">
        <v>28</v>
      </c>
      <c r="I355" s="1" t="s">
        <v>50</v>
      </c>
      <c r="J355" s="1" t="s">
        <v>695</v>
      </c>
      <c r="K355" s="1" t="s">
        <v>252</v>
      </c>
      <c r="L355" s="1" t="s">
        <v>253</v>
      </c>
      <c r="M355" s="1" t="s">
        <v>176</v>
      </c>
      <c r="N355" s="1" t="s">
        <v>305</v>
      </c>
      <c r="O355" s="1" t="s">
        <v>500</v>
      </c>
      <c r="P355" s="1"/>
      <c r="Q355" s="1">
        <f>IFERROR(COUNTIFS(_report[TOURNAMENT_CODE],ВСЕ_КОДЫ[[#This Row],[TOURNAMENT_CODE]],_report[CONTEST_CODE],ВСЕ_КОДЫ[[#This Row],[CONTEST_CODE]]),"-")</f>
        <v>0</v>
      </c>
      <c r="R355" s="1" t="str">
        <f>IFERROR(INDEX(_SCHEDULE_[],MATCH(ВСЕ_КОДЫ[[#This Row],[CONTEST_CODE]],_SCHEDULE_[CONTEST_CODE],0),MATCH($R$1,_SCHEDULE_[#Headers],0)),"-")</f>
        <v>ЗАВЕРШЕН</v>
      </c>
      <c r="S355" s="1" t="str">
        <f>IFERROR(INDEX(_group_[],MATCH(ВСЕ_КОДЫ[[#This Row],[CONTEST_CODE]],_group_[CONTEST_CODE],0),MATCH($S$1,_group_[#Headers],0)),"-")</f>
        <v>BANK</v>
      </c>
      <c r="T355" s="1" t="str">
        <f>IFERROR(INDEX(_INDICATOR_[],MATCH(ВСЕ_КОДЫ[[#This Row],[CONTEST_CODE]],_INDICATOR_[CONTEST_CODE],0),MATCH($T$1,_INDICATOR_[#Headers],0)),"-")</f>
        <v>WAIT</v>
      </c>
      <c r="U355" s="1" t="str">
        <f>IFERROR(INDEX(_reward_link_[],MATCH(ВСЕ_КОДЫ[[#This Row],[CONTEST_CODE]],_reward_link_[CONTEST_CODE],0),MATCH($U$1,_reward_link_[#Headers],0)),"-")</f>
        <v>BANK</v>
      </c>
      <c r="V355" s="1" t="str">
        <f>IFERROR(INDEX(_report[],MATCH(ВСЕ_КОДЫ[[#This Row],[CONTEST_CODE]],_report[CONTEST_CODE],0),MATCH($V$1,_report[#Headers],0)),"-")</f>
        <v>-</v>
      </c>
      <c r="W355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5" s="1" t="str">
        <f>IFERROR(INDEX(_group_[],MATCH(CONCATENATE(ВСЕ_КОДЫ[[#This Row],[CONTEST_CODE]],"_",X$2),#REF!,0),MATCH(X$1,_group_[#Headers],0)),"-")</f>
        <v>-</v>
      </c>
      <c r="Y355" s="1" t="str">
        <f>IFERROR(INDEX(_group_[],MATCH(CONCATENATE(ВСЕ_КОДЫ[[#This Row],[CONTEST_CODE]],"_",Y$2),#REF!,0),MATCH(Y$1,_group_[#Headers],0)),"-")</f>
        <v>-</v>
      </c>
      <c r="Z355" s="1" t="str">
        <f>IFERROR(INDEX(_group_[],MATCH(CONCATENATE(ВСЕ_КОДЫ[[#This Row],[CONTEST_CODE]],"_",Z$2),#REF!,0),MATCH(Z$1,_group_[#Headers],0)),"-")</f>
        <v>-</v>
      </c>
      <c r="AA355" s="1" t="str">
        <f>IFERROR(INDEX(_group_[],MATCH(CONCATENATE(ВСЕ_КОДЫ[[#This Row],[CONTEST_CODE]],"_",AA$2),#REF!,0),MATCH(AA$1,_group_[#Headers],0)),"-")</f>
        <v>-</v>
      </c>
      <c r="AB355" s="1" t="str">
        <f>IFERROR(INDEX(_DATA_[],MATCH(ВСЕ_КОДЫ[[#This Row],[CONTEST_CODE]],_DATA_[CONTEST_CODE],0),MATCH($AB$2,_DATA_[#Headers],0)),"-")</f>
        <v>["""KMKKSB"""]</v>
      </c>
      <c r="AC355" s="1" t="str">
        <f>CONCATENATE(ВСЕ_КОДЫ[[#This Row],[CONTEST_CODE]],"_",ВСЕ_КОДЫ[[#This Row],[TOURNAMENT_CODE]])</f>
        <v>CONTEST_35_TOURNAMENT_35_06</v>
      </c>
      <c r="AD355" s="1" t="str">
        <f>ВСЕ_КОДЫ[[#This Row],[FULL_NAME]]</f>
        <v>ТФиДО. Максимизируй комиссию</v>
      </c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idden="1" x14ac:dyDescent="0.25">
      <c r="A356" s="1" t="s">
        <v>109</v>
      </c>
      <c r="B356" s="1" t="s">
        <v>1076</v>
      </c>
      <c r="C356" s="1" t="s">
        <v>499</v>
      </c>
      <c r="D356" s="1" t="s">
        <v>583</v>
      </c>
      <c r="E356" s="1" t="s">
        <v>110</v>
      </c>
      <c r="F356" s="1" t="s">
        <v>26</v>
      </c>
      <c r="G356" s="1" t="s">
        <v>27</v>
      </c>
      <c r="H356" s="1" t="s">
        <v>28</v>
      </c>
      <c r="I356" s="1" t="s">
        <v>50</v>
      </c>
      <c r="J356" s="1" t="s">
        <v>703</v>
      </c>
      <c r="K356" s="1" t="s">
        <v>704</v>
      </c>
      <c r="L356" s="1" t="s">
        <v>1275</v>
      </c>
      <c r="M356" s="1" t="s">
        <v>176</v>
      </c>
      <c r="N356" s="1" t="s">
        <v>305</v>
      </c>
      <c r="O356" s="1" t="s">
        <v>500</v>
      </c>
      <c r="P356" s="1"/>
      <c r="Q356" s="1">
        <f>IFERROR(COUNTIFS(_report[TOURNAMENT_CODE],ВСЕ_КОДЫ[[#This Row],[TOURNAMENT_CODE]],_report[CONTEST_CODE],ВСЕ_КОДЫ[[#This Row],[CONTEST_CODE]]),"-")</f>
        <v>0</v>
      </c>
      <c r="R356" s="1" t="str">
        <f>IFERROR(INDEX(_SCHEDULE_[],MATCH(ВСЕ_КОДЫ[[#This Row],[CONTEST_CODE]],_SCHEDULE_[CONTEST_CODE],0),MATCH($R$1,_SCHEDULE_[#Headers],0)),"-")</f>
        <v>ЗАВЕРШЕН</v>
      </c>
      <c r="S356" s="1" t="str">
        <f>IFERROR(INDEX(_group_[],MATCH(ВСЕ_КОДЫ[[#This Row],[CONTEST_CODE]],_group_[CONTEST_CODE],0),MATCH($S$1,_group_[#Headers],0)),"-")</f>
        <v>BANK</v>
      </c>
      <c r="T356" s="1" t="str">
        <f>IFERROR(INDEX(_INDICATOR_[],MATCH(ВСЕ_КОДЫ[[#This Row],[CONTEST_CODE]],_INDICATOR_[CONTEST_CODE],0),MATCH($T$1,_INDICATOR_[#Headers],0)),"-")</f>
        <v>WAIT</v>
      </c>
      <c r="U356" s="1" t="str">
        <f>IFERROR(INDEX(_reward_link_[],MATCH(ВСЕ_КОДЫ[[#This Row],[CONTEST_CODE]],_reward_link_[CONTEST_CODE],0),MATCH($U$1,_reward_link_[#Headers],0)),"-")</f>
        <v>BANK</v>
      </c>
      <c r="V356" s="1" t="str">
        <f>IFERROR(INDEX(_report[],MATCH(ВСЕ_КОДЫ[[#This Row],[CONTEST_CODE]],_report[CONTEST_CODE],0),MATCH($V$1,_report[#Headers],0)),"-")</f>
        <v>-</v>
      </c>
      <c r="W356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6" s="1" t="str">
        <f>IFERROR(INDEX(_group_[],MATCH(CONCATENATE(ВСЕ_КОДЫ[[#This Row],[CONTEST_CODE]],"_",X$2),#REF!,0),MATCH(X$1,_group_[#Headers],0)),"-")</f>
        <v>-</v>
      </c>
      <c r="Y356" s="1" t="str">
        <f>IFERROR(INDEX(_group_[],MATCH(CONCATENATE(ВСЕ_КОДЫ[[#This Row],[CONTEST_CODE]],"_",Y$2),#REF!,0),MATCH(Y$1,_group_[#Headers],0)),"-")</f>
        <v>-</v>
      </c>
      <c r="Z356" s="1" t="str">
        <f>IFERROR(INDEX(_group_[],MATCH(CONCATENATE(ВСЕ_КОДЫ[[#This Row],[CONTEST_CODE]],"_",Z$2),#REF!,0),MATCH(Z$1,_group_[#Headers],0)),"-")</f>
        <v>-</v>
      </c>
      <c r="AA356" s="1" t="str">
        <f>IFERROR(INDEX(_group_[],MATCH(CONCATENATE(ВСЕ_КОДЫ[[#This Row],[CONTEST_CODE]],"_",AA$2),#REF!,0),MATCH(AA$1,_group_[#Headers],0)),"-")</f>
        <v>-</v>
      </c>
      <c r="AB356" s="1" t="str">
        <f>IFERROR(INDEX(_DATA_[],MATCH(ВСЕ_КОДЫ[[#This Row],[CONTEST_CODE]],_DATA_[CONTEST_CODE],0),MATCH($AB$2,_DATA_[#Headers],0)),"-")</f>
        <v>["""KMKKSB"""]</v>
      </c>
      <c r="AC356" s="1" t="str">
        <f>CONCATENATE(ВСЕ_КОДЫ[[#This Row],[CONTEST_CODE]],"_",ВСЕ_КОДЫ[[#This Row],[TOURNAMENT_CODE]])</f>
        <v>CONTEST_35_TOURNAMENT_35_07</v>
      </c>
      <c r="AD356" s="1" t="str">
        <f>ВСЕ_КОДЫ[[#This Row],[FULL_NAME]]</f>
        <v>ТФиДО. Максимизируй комиссию</v>
      </c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idden="1" x14ac:dyDescent="0.25">
      <c r="A357" s="1" t="s">
        <v>109</v>
      </c>
      <c r="B357" s="1" t="s">
        <v>1212</v>
      </c>
      <c r="C357" s="1" t="s">
        <v>499</v>
      </c>
      <c r="D357" s="1" t="s">
        <v>583</v>
      </c>
      <c r="E357" s="1" t="s">
        <v>110</v>
      </c>
      <c r="F357" s="1" t="s">
        <v>26</v>
      </c>
      <c r="G357" s="1" t="s">
        <v>27</v>
      </c>
      <c r="H357" s="1" t="s">
        <v>28</v>
      </c>
      <c r="I357" s="1" t="s">
        <v>50</v>
      </c>
      <c r="J357" s="1" t="s">
        <v>1078</v>
      </c>
      <c r="K357" s="1" t="s">
        <v>1173</v>
      </c>
      <c r="L357" s="1" t="s">
        <v>1711</v>
      </c>
      <c r="M357" s="1" t="s">
        <v>176</v>
      </c>
      <c r="N357" s="1" t="s">
        <v>305</v>
      </c>
      <c r="O357" s="1" t="s">
        <v>500</v>
      </c>
      <c r="P357" s="1"/>
      <c r="Q357" s="1">
        <f>IFERROR(COUNTIFS(_report[TOURNAMENT_CODE],ВСЕ_КОДЫ[[#This Row],[TOURNAMENT_CODE]],_report[CONTEST_CODE],ВСЕ_КОДЫ[[#This Row],[CONTEST_CODE]]),"-")</f>
        <v>0</v>
      </c>
      <c r="R357" s="1" t="str">
        <f>IFERROR(INDEX(_SCHEDULE_[],MATCH(ВСЕ_КОДЫ[[#This Row],[CONTEST_CODE]],_SCHEDULE_[CONTEST_CODE],0),MATCH($R$1,_SCHEDULE_[#Headers],0)),"-")</f>
        <v>ЗАВЕРШЕН</v>
      </c>
      <c r="S357" s="1" t="str">
        <f>IFERROR(INDEX(_group_[],MATCH(ВСЕ_КОДЫ[[#This Row],[CONTEST_CODE]],_group_[CONTEST_CODE],0),MATCH($S$1,_group_[#Headers],0)),"-")</f>
        <v>BANK</v>
      </c>
      <c r="T357" s="1" t="str">
        <f>IFERROR(INDEX(_INDICATOR_[],MATCH(ВСЕ_КОДЫ[[#This Row],[CONTEST_CODE]],_INDICATOR_[CONTEST_CODE],0),MATCH($T$1,_INDICATOR_[#Headers],0)),"-")</f>
        <v>WAIT</v>
      </c>
      <c r="U357" s="1" t="str">
        <f>IFERROR(INDEX(_reward_link_[],MATCH(ВСЕ_КОДЫ[[#This Row],[CONTEST_CODE]],_reward_link_[CONTEST_CODE],0),MATCH($U$1,_reward_link_[#Headers],0)),"-")</f>
        <v>BANK</v>
      </c>
      <c r="V357" s="1" t="str">
        <f>IFERROR(INDEX(_report[],MATCH(ВСЕ_КОДЫ[[#This Row],[CONTEST_CODE]],_report[CONTEST_CODE],0),MATCH($V$1,_report[#Headers],0)),"-")</f>
        <v>-</v>
      </c>
      <c r="W357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7" s="1" t="str">
        <f>IFERROR(INDEX(_group_[],MATCH(CONCATENATE(ВСЕ_КОДЫ[[#This Row],[CONTEST_CODE]],"_",X$2),#REF!,0),MATCH(X$1,_group_[#Headers],0)),"-")</f>
        <v>-</v>
      </c>
      <c r="Y357" s="1" t="str">
        <f>IFERROR(INDEX(_group_[],MATCH(CONCATENATE(ВСЕ_КОДЫ[[#This Row],[CONTEST_CODE]],"_",Y$2),#REF!,0),MATCH(Y$1,_group_[#Headers],0)),"-")</f>
        <v>-</v>
      </c>
      <c r="Z357" s="1" t="str">
        <f>IFERROR(INDEX(_group_[],MATCH(CONCATENATE(ВСЕ_КОДЫ[[#This Row],[CONTEST_CODE]],"_",Z$2),#REF!,0),MATCH(Z$1,_group_[#Headers],0)),"-")</f>
        <v>-</v>
      </c>
      <c r="AA357" s="1" t="str">
        <f>IFERROR(INDEX(_group_[],MATCH(CONCATENATE(ВСЕ_КОДЫ[[#This Row],[CONTEST_CODE]],"_",AA$2),#REF!,0),MATCH(AA$1,_group_[#Headers],0)),"-")</f>
        <v>-</v>
      </c>
      <c r="AB357" s="1" t="str">
        <f>IFERROR(INDEX(_DATA_[],MATCH(ВСЕ_КОДЫ[[#This Row],[CONTEST_CODE]],_DATA_[CONTEST_CODE],0),MATCH($AB$2,_DATA_[#Headers],0)),"-")</f>
        <v>["""KMKKSB"""]</v>
      </c>
      <c r="AC357" s="1" t="str">
        <f>CONCATENATE(ВСЕ_КОДЫ[[#This Row],[CONTEST_CODE]],"_",ВСЕ_КОДЫ[[#This Row],[TOURNAMENT_CODE]])</f>
        <v>CONTEST_35_TOURNAMENT_35_08</v>
      </c>
      <c r="AD357" s="1" t="str">
        <f>ВСЕ_КОДЫ[[#This Row],[FULL_NAME]]</f>
        <v>ТФиДО. Максимизируй комиссию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idden="1" x14ac:dyDescent="0.25">
      <c r="A358" s="1" t="s">
        <v>109</v>
      </c>
      <c r="B358" s="1" t="s">
        <v>1285</v>
      </c>
      <c r="C358" s="1" t="s">
        <v>499</v>
      </c>
      <c r="D358" s="1" t="s">
        <v>583</v>
      </c>
      <c r="E358" s="1" t="s">
        <v>110</v>
      </c>
      <c r="F358" s="1" t="s">
        <v>26</v>
      </c>
      <c r="G358" s="1" t="s">
        <v>27</v>
      </c>
      <c r="H358" s="1" t="s">
        <v>28</v>
      </c>
      <c r="I358" s="1" t="s">
        <v>50</v>
      </c>
      <c r="J358" s="1" t="s">
        <v>1225</v>
      </c>
      <c r="K358" s="1" t="s">
        <v>1070</v>
      </c>
      <c r="L358" s="1" t="s">
        <v>1712</v>
      </c>
      <c r="M358" s="1" t="s">
        <v>176</v>
      </c>
      <c r="N358" s="1" t="s">
        <v>305</v>
      </c>
      <c r="O358" s="1" t="s">
        <v>500</v>
      </c>
      <c r="P358" s="1"/>
      <c r="Q358" s="1">
        <f>IFERROR(COUNTIFS(_report[TOURNAMENT_CODE],ВСЕ_КОДЫ[[#This Row],[TOURNAMENT_CODE]],_report[CONTEST_CODE],ВСЕ_КОДЫ[[#This Row],[CONTEST_CODE]]),"-")</f>
        <v>0</v>
      </c>
      <c r="R358" s="1" t="str">
        <f>IFERROR(INDEX(_SCHEDULE_[],MATCH(ВСЕ_КОДЫ[[#This Row],[CONTEST_CODE]],_SCHEDULE_[CONTEST_CODE],0),MATCH($R$1,_SCHEDULE_[#Headers],0)),"-")</f>
        <v>ЗАВЕРШЕН</v>
      </c>
      <c r="S358" s="1" t="str">
        <f>IFERROR(INDEX(_group_[],MATCH(ВСЕ_КОДЫ[[#This Row],[CONTEST_CODE]],_group_[CONTEST_CODE],0),MATCH($S$1,_group_[#Headers],0)),"-")</f>
        <v>BANK</v>
      </c>
      <c r="T358" s="1" t="str">
        <f>IFERROR(INDEX(_INDICATOR_[],MATCH(ВСЕ_КОДЫ[[#This Row],[CONTEST_CODE]],_INDICATOR_[CONTEST_CODE],0),MATCH($T$1,_INDICATOR_[#Headers],0)),"-")</f>
        <v>WAIT</v>
      </c>
      <c r="U358" s="1" t="str">
        <f>IFERROR(INDEX(_reward_link_[],MATCH(ВСЕ_КОДЫ[[#This Row],[CONTEST_CODE]],_reward_link_[CONTEST_CODE],0),MATCH($U$1,_reward_link_[#Headers],0)),"-")</f>
        <v>BANK</v>
      </c>
      <c r="V358" s="1" t="str">
        <f>IFERROR(INDEX(_report[],MATCH(ВСЕ_КОДЫ[[#This Row],[CONTEST_CODE]],_report[CONTEST_CODE],0),MATCH($V$1,_report[#Headers],0)),"-")</f>
        <v>-</v>
      </c>
      <c r="W358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8" s="1" t="str">
        <f>IFERROR(INDEX(_group_[],MATCH(CONCATENATE(ВСЕ_КОДЫ[[#This Row],[CONTEST_CODE]],"_",X$2),#REF!,0),MATCH(X$1,_group_[#Headers],0)),"-")</f>
        <v>-</v>
      </c>
      <c r="Y358" s="1" t="str">
        <f>IFERROR(INDEX(_group_[],MATCH(CONCATENATE(ВСЕ_КОДЫ[[#This Row],[CONTEST_CODE]],"_",Y$2),#REF!,0),MATCH(Y$1,_group_[#Headers],0)),"-")</f>
        <v>-</v>
      </c>
      <c r="Z358" s="1" t="str">
        <f>IFERROR(INDEX(_group_[],MATCH(CONCATENATE(ВСЕ_КОДЫ[[#This Row],[CONTEST_CODE]],"_",Z$2),#REF!,0),MATCH(Z$1,_group_[#Headers],0)),"-")</f>
        <v>-</v>
      </c>
      <c r="AA358" s="1" t="str">
        <f>IFERROR(INDEX(_group_[],MATCH(CONCATENATE(ВСЕ_КОДЫ[[#This Row],[CONTEST_CODE]],"_",AA$2),#REF!,0),MATCH(AA$1,_group_[#Headers],0)),"-")</f>
        <v>-</v>
      </c>
      <c r="AB358" s="1" t="str">
        <f>IFERROR(INDEX(_DATA_[],MATCH(ВСЕ_КОДЫ[[#This Row],[CONTEST_CODE]],_DATA_[CONTEST_CODE],0),MATCH($AB$2,_DATA_[#Headers],0)),"-")</f>
        <v>["""KMKKSB"""]</v>
      </c>
      <c r="AC358" s="1" t="str">
        <f>CONCATENATE(ВСЕ_КОДЫ[[#This Row],[CONTEST_CODE]],"_",ВСЕ_КОДЫ[[#This Row],[TOURNAMENT_CODE]])</f>
        <v>CONTEST_35_TOURNAMENT_35_09</v>
      </c>
      <c r="AD358" s="1" t="str">
        <f>ВСЕ_КОДЫ[[#This Row],[FULL_NAME]]</f>
        <v>ТФиДО. Максимизируй комиссию</v>
      </c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idden="1" x14ac:dyDescent="0.25">
      <c r="A359" s="1" t="s">
        <v>109</v>
      </c>
      <c r="B359" s="1" t="s">
        <v>1655</v>
      </c>
      <c r="C359" s="1" t="s">
        <v>499</v>
      </c>
      <c r="D359" s="1" t="s">
        <v>583</v>
      </c>
      <c r="E359" s="1" t="s">
        <v>110</v>
      </c>
      <c r="F359" s="1" t="s">
        <v>26</v>
      </c>
      <c r="G359" s="1" t="s">
        <v>27</v>
      </c>
      <c r="H359" s="1" t="s">
        <v>28</v>
      </c>
      <c r="I359" s="1" t="s">
        <v>50</v>
      </c>
      <c r="J359" s="1" t="s">
        <v>1308</v>
      </c>
      <c r="K359" s="1" t="s">
        <v>1638</v>
      </c>
      <c r="L359" s="1" t="s">
        <v>1847</v>
      </c>
      <c r="M359" s="1" t="s">
        <v>176</v>
      </c>
      <c r="N359" s="1" t="s">
        <v>305</v>
      </c>
      <c r="O359" s="1" t="s">
        <v>500</v>
      </c>
      <c r="P359" s="1"/>
      <c r="Q359" s="1">
        <f>IFERROR(COUNTIFS(_report[TOURNAMENT_CODE],ВСЕ_КОДЫ[[#This Row],[TOURNAMENT_CODE]],_report[CONTEST_CODE],ВСЕ_КОДЫ[[#This Row],[CONTEST_CODE]]),"-")</f>
        <v>0</v>
      </c>
      <c r="R359" s="1" t="str">
        <f>IFERROR(INDEX(_SCHEDULE_[],MATCH(ВСЕ_КОДЫ[[#This Row],[CONTEST_CODE]],_SCHEDULE_[CONTEST_CODE],0),MATCH($R$1,_SCHEDULE_[#Headers],0)),"-")</f>
        <v>ЗАВЕРШЕН</v>
      </c>
      <c r="S359" s="1" t="str">
        <f>IFERROR(INDEX(_group_[],MATCH(ВСЕ_КОДЫ[[#This Row],[CONTEST_CODE]],_group_[CONTEST_CODE],0),MATCH($S$1,_group_[#Headers],0)),"-")</f>
        <v>BANK</v>
      </c>
      <c r="T359" s="1" t="str">
        <f>IFERROR(INDEX(_INDICATOR_[],MATCH(ВСЕ_КОДЫ[[#This Row],[CONTEST_CODE]],_INDICATOR_[CONTEST_CODE],0),MATCH($T$1,_INDICATOR_[#Headers],0)),"-")</f>
        <v>WAIT</v>
      </c>
      <c r="U359" s="1" t="str">
        <f>IFERROR(INDEX(_reward_link_[],MATCH(ВСЕ_КОДЫ[[#This Row],[CONTEST_CODE]],_reward_link_[CONTEST_CODE],0),MATCH($U$1,_reward_link_[#Headers],0)),"-")</f>
        <v>BANK</v>
      </c>
      <c r="V359" s="1" t="str">
        <f>IFERROR(INDEX(_report[],MATCH(ВСЕ_КОДЫ[[#This Row],[CONTEST_CODE]],_report[CONTEST_CODE],0),MATCH($V$1,_report[#Headers],0)),"-")</f>
        <v>-</v>
      </c>
      <c r="W359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59" s="1" t="str">
        <f>IFERROR(INDEX(_group_[],MATCH(CONCATENATE(ВСЕ_КОДЫ[[#This Row],[CONTEST_CODE]],"_",X$2),#REF!,0),MATCH(X$1,_group_[#Headers],0)),"-")</f>
        <v>-</v>
      </c>
      <c r="Y359" s="1" t="str">
        <f>IFERROR(INDEX(_group_[],MATCH(CONCATENATE(ВСЕ_КОДЫ[[#This Row],[CONTEST_CODE]],"_",Y$2),#REF!,0),MATCH(Y$1,_group_[#Headers],0)),"-")</f>
        <v>-</v>
      </c>
      <c r="Z359" s="1" t="str">
        <f>IFERROR(INDEX(_group_[],MATCH(CONCATENATE(ВСЕ_КОДЫ[[#This Row],[CONTEST_CODE]],"_",Z$2),#REF!,0),MATCH(Z$1,_group_[#Headers],0)),"-")</f>
        <v>-</v>
      </c>
      <c r="AA359" s="1" t="str">
        <f>IFERROR(INDEX(_group_[],MATCH(CONCATENATE(ВСЕ_КОДЫ[[#This Row],[CONTEST_CODE]],"_",AA$2),#REF!,0),MATCH(AA$1,_group_[#Headers],0)),"-")</f>
        <v>-</v>
      </c>
      <c r="AB359" s="1" t="str">
        <f>IFERROR(INDEX(_DATA_[],MATCH(ВСЕ_КОДЫ[[#This Row],[CONTEST_CODE]],_DATA_[CONTEST_CODE],0),MATCH($AB$2,_DATA_[#Headers],0)),"-")</f>
        <v>["""KMKKSB"""]</v>
      </c>
      <c r="AC359" s="1" t="str">
        <f>CONCATENATE(ВСЕ_КОДЫ[[#This Row],[CONTEST_CODE]],"_",ВСЕ_КОДЫ[[#This Row],[TOURNAMENT_CODE]])</f>
        <v>CONTEST_35_TOURNAMENT_35_2024_M10</v>
      </c>
      <c r="AD359" s="1" t="str">
        <f>ВСЕ_КОДЫ[[#This Row],[FULL_NAME]]</f>
        <v>ТФиДО. Максимизируй комиссию</v>
      </c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idden="1" x14ac:dyDescent="0.25">
      <c r="A360" s="1" t="s">
        <v>109</v>
      </c>
      <c r="B360" s="1" t="s">
        <v>1818</v>
      </c>
      <c r="C360" s="1" t="s">
        <v>499</v>
      </c>
      <c r="D360" s="1" t="s">
        <v>583</v>
      </c>
      <c r="E360" s="1" t="s">
        <v>110</v>
      </c>
      <c r="F360" s="1" t="s">
        <v>26</v>
      </c>
      <c r="G360" s="1" t="s">
        <v>27</v>
      </c>
      <c r="H360" s="1" t="s">
        <v>28</v>
      </c>
      <c r="I360" s="1" t="s">
        <v>50</v>
      </c>
      <c r="J360" s="1" t="s">
        <v>1800</v>
      </c>
      <c r="K360" s="1" t="s">
        <v>1801</v>
      </c>
      <c r="L360" s="1" t="s">
        <v>1802</v>
      </c>
      <c r="M360" s="1" t="s">
        <v>155</v>
      </c>
      <c r="N360" s="1" t="s">
        <v>305</v>
      </c>
      <c r="O360" s="1" t="s">
        <v>500</v>
      </c>
      <c r="P360" s="1"/>
      <c r="Q360" s="1">
        <f>IFERROR(COUNTIFS(_report[TOURNAMENT_CODE],ВСЕ_КОДЫ[[#This Row],[TOURNAMENT_CODE]],_report[CONTEST_CODE],ВСЕ_КОДЫ[[#This Row],[CONTEST_CODE]]),"-")</f>
        <v>0</v>
      </c>
      <c r="R360" s="1" t="str">
        <f>IFERROR(INDEX(_SCHEDULE_[],MATCH(ВСЕ_КОДЫ[[#This Row],[CONTEST_CODE]],_SCHEDULE_[CONTEST_CODE],0),MATCH($R$1,_SCHEDULE_[#Headers],0)),"-")</f>
        <v>ЗАВЕРШЕН</v>
      </c>
      <c r="S360" s="1" t="str">
        <f>IFERROR(INDEX(_group_[],MATCH(ВСЕ_КОДЫ[[#This Row],[CONTEST_CODE]],_group_[CONTEST_CODE],0),MATCH($S$1,_group_[#Headers],0)),"-")</f>
        <v>BANK</v>
      </c>
      <c r="T360" s="1" t="str">
        <f>IFERROR(INDEX(_INDICATOR_[],MATCH(ВСЕ_КОДЫ[[#This Row],[CONTEST_CODE]],_INDICATOR_[CONTEST_CODE],0),MATCH($T$1,_INDICATOR_[#Headers],0)),"-")</f>
        <v>WAIT</v>
      </c>
      <c r="U360" s="1" t="str">
        <f>IFERROR(INDEX(_reward_link_[],MATCH(ВСЕ_КОДЫ[[#This Row],[CONTEST_CODE]],_reward_link_[CONTEST_CODE],0),MATCH($U$1,_reward_link_[#Headers],0)),"-")</f>
        <v>BANK</v>
      </c>
      <c r="V360" s="1" t="str">
        <f>IFERROR(INDEX(_report[],MATCH(ВСЕ_КОДЫ[[#This Row],[CONTEST_CODE]],_report[CONTEST_CODE],0),MATCH($V$1,_report[#Headers],0)),"-")</f>
        <v>-</v>
      </c>
      <c r="W360" s="1" t="str">
        <f>IFERROR(INDEX(_reward_[],MATCH(ВСЕ_КОДЫ[[#This Row],[REWARD_CODE]],_reward_[REWARD_CODE],0),MATCH($W$1,_reward_[#Headers],0)),"-")</f>
        <v>Чемпион страны по комиссионному вознаграждению от сделок торгового финансирования</v>
      </c>
      <c r="X360" s="1" t="str">
        <f>IFERROR(INDEX(_group_[],MATCH(CONCATENATE(ВСЕ_КОДЫ[[#This Row],[CONTEST_CODE]],"_",X$2),#REF!,0),MATCH(X$1,_group_[#Headers],0)),"-")</f>
        <v>-</v>
      </c>
      <c r="Y360" s="1" t="str">
        <f>IFERROR(INDEX(_group_[],MATCH(CONCATENATE(ВСЕ_КОДЫ[[#This Row],[CONTEST_CODE]],"_",Y$2),#REF!,0),MATCH(Y$1,_group_[#Headers],0)),"-")</f>
        <v>-</v>
      </c>
      <c r="Z360" s="1" t="str">
        <f>IFERROR(INDEX(_group_[],MATCH(CONCATENATE(ВСЕ_КОДЫ[[#This Row],[CONTEST_CODE]],"_",Z$2),#REF!,0),MATCH(Z$1,_group_[#Headers],0)),"-")</f>
        <v>-</v>
      </c>
      <c r="AA360" s="1" t="str">
        <f>IFERROR(INDEX(_group_[],MATCH(CONCATENATE(ВСЕ_КОДЫ[[#This Row],[CONTEST_CODE]],"_",AA$2),#REF!,0),MATCH(AA$1,_group_[#Headers],0)),"-")</f>
        <v>-</v>
      </c>
      <c r="AB360" s="1" t="str">
        <f>IFERROR(INDEX(_DATA_[],MATCH(ВСЕ_КОДЫ[[#This Row],[CONTEST_CODE]],_DATA_[CONTEST_CODE],0),MATCH($AB$2,_DATA_[#Headers],0)),"-")</f>
        <v>["""KMKKSB"""]</v>
      </c>
      <c r="AC360" s="1" t="str">
        <f>CONCATENATE(ВСЕ_КОДЫ[[#This Row],[CONTEST_CODE]],"_",ВСЕ_КОДЫ[[#This Row],[TOURNAMENT_CODE]])</f>
        <v>CONTEST_35_TOURNAMENT_35_2024_M11</v>
      </c>
      <c r="AD360" s="1" t="str">
        <f>ВСЕ_КОДЫ[[#This Row],[FULL_NAME]]</f>
        <v>ТФиДО. Максимизируй комиссию</v>
      </c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idden="1" x14ac:dyDescent="0.25">
      <c r="A361" s="1" t="s">
        <v>116</v>
      </c>
      <c r="B361" s="1" t="s">
        <v>291</v>
      </c>
      <c r="C361" s="1" t="s">
        <v>511</v>
      </c>
      <c r="D361" s="1" t="s">
        <v>583</v>
      </c>
      <c r="E361" s="1" t="s">
        <v>117</v>
      </c>
      <c r="F361" s="1" t="s">
        <v>26</v>
      </c>
      <c r="G361" s="1" t="s">
        <v>27</v>
      </c>
      <c r="H361" s="1" t="s">
        <v>34</v>
      </c>
      <c r="I361" s="1" t="s">
        <v>50</v>
      </c>
      <c r="J361" s="1" t="s">
        <v>192</v>
      </c>
      <c r="K361" s="1" t="s">
        <v>252</v>
      </c>
      <c r="L361" s="1" t="s">
        <v>1170</v>
      </c>
      <c r="M361" s="1" t="s">
        <v>176</v>
      </c>
      <c r="N361" s="1" t="s">
        <v>305</v>
      </c>
      <c r="O361" s="1" t="s">
        <v>512</v>
      </c>
      <c r="P361" s="1"/>
      <c r="Q361" s="1">
        <f>IFERROR(COUNTIFS(_report[TOURNAMENT_CODE],ВСЕ_КОДЫ[[#This Row],[TOURNAMENT_CODE]],_report[CONTEST_CODE],ВСЕ_КОДЫ[[#This Row],[CONTEST_CODE]]),"-")</f>
        <v>0</v>
      </c>
      <c r="R361" s="1" t="str">
        <f>IFERROR(INDEX(_SCHEDULE_[],MATCH(ВСЕ_КОДЫ[[#This Row],[CONTEST_CODE]],_SCHEDULE_[CONTEST_CODE],0),MATCH($R$1,_SCHEDULE_[#Headers],0)),"-")</f>
        <v>ЗАВЕРШЕН</v>
      </c>
      <c r="S361" s="1" t="str">
        <f>IFERROR(INDEX(_group_[],MATCH(ВСЕ_КОДЫ[[#This Row],[CONTEST_CODE]],_group_[CONTEST_CODE],0),MATCH($S$1,_group_[#Headers],0)),"-")</f>
        <v>BANK</v>
      </c>
      <c r="T361" s="1" t="str">
        <f>IFERROR(INDEX(_INDICATOR_[],MATCH(ВСЕ_КОДЫ[[#This Row],[CONTEST_CODE]],_INDICATOR_[CONTEST_CODE],0),MATCH($T$1,_INDICATOR_[#Headers],0)),"-")</f>
        <v>WAIT</v>
      </c>
      <c r="U361" s="1" t="str">
        <f>IFERROR(INDEX(_reward_link_[],MATCH(ВСЕ_КОДЫ[[#This Row],[CONTEST_CODE]],_reward_link_[CONTEST_CODE],0),MATCH($U$1,_reward_link_[#Headers],0)),"-")</f>
        <v>BANK</v>
      </c>
      <c r="V361" s="1" t="str">
        <f>IFERROR(INDEX(_report[],MATCH(ВСЕ_КОДЫ[[#This Row],[CONTEST_CODE]],_report[CONTEST_CODE],0),MATCH($V$1,_report[#Headers],0)),"-")</f>
        <v>-</v>
      </c>
      <c r="W361" s="1" t="str">
        <f>IFERROR(INDEX(_reward_[],MATCH(ВСЕ_КОДЫ[[#This Row],[REWARD_CODE]],_reward_[REWARD_CODE],0),MATCH($W$1,_reward_[#Headers],0)),"-")</f>
        <v>Чемпион страны по сумме договоров лизинга</v>
      </c>
      <c r="X361" s="1" t="str">
        <f>IFERROR(INDEX(_group_[],MATCH(CONCATENATE(ВСЕ_КОДЫ[[#This Row],[CONTEST_CODE]],"_",X$2),#REF!,0),MATCH(X$1,_group_[#Headers],0)),"-")</f>
        <v>-</v>
      </c>
      <c r="Y361" s="1" t="str">
        <f>IFERROR(INDEX(_group_[],MATCH(CONCATENATE(ВСЕ_КОДЫ[[#This Row],[CONTEST_CODE]],"_",Y$2),#REF!,0),MATCH(Y$1,_group_[#Headers],0)),"-")</f>
        <v>-</v>
      </c>
      <c r="Z361" s="1" t="str">
        <f>IFERROR(INDEX(_group_[],MATCH(CONCATENATE(ВСЕ_КОДЫ[[#This Row],[CONTEST_CODE]],"_",Z$2),#REF!,0),MATCH(Z$1,_group_[#Headers],0)),"-")</f>
        <v>-</v>
      </c>
      <c r="AA361" s="1" t="str">
        <f>IFERROR(INDEX(_group_[],MATCH(CONCATENATE(ВСЕ_КОДЫ[[#This Row],[CONTEST_CODE]],"_",AA$2),#REF!,0),MATCH(AA$1,_group_[#Headers],0)),"-")</f>
        <v>-</v>
      </c>
      <c r="AB361" s="1" t="str">
        <f>IFERROR(INDEX(_DATA_[],MATCH(ВСЕ_КОДЫ[[#This Row],[CONTEST_CODE]],_DATA_[CONTEST_CODE],0),MATCH($AB$2,_DATA_[#Headers],0)),"-")</f>
        <v>["""KMKKSB"""]</v>
      </c>
      <c r="AC361" s="1" t="str">
        <f>CONCATENATE(ВСЕ_КОДЫ[[#This Row],[CONTEST_CODE]],"_",ВСЕ_КОДЫ[[#This Row],[TOURNAMENT_CODE]])</f>
        <v>CONTEST_36_TOURNAMENT_36_02</v>
      </c>
      <c r="AD361" s="1" t="str">
        <f>ВСЕ_КОДЫ[[#This Row],[FULL_NAME]]</f>
        <v>Лизинг. Максимизируй сумму договоров</v>
      </c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idden="1" x14ac:dyDescent="0.25">
      <c r="A362" s="1" t="s">
        <v>116</v>
      </c>
      <c r="B362" s="1" t="s">
        <v>1077</v>
      </c>
      <c r="C362" s="1" t="s">
        <v>511</v>
      </c>
      <c r="D362" s="1" t="s">
        <v>583</v>
      </c>
      <c r="E362" s="1" t="s">
        <v>117</v>
      </c>
      <c r="F362" s="1" t="s">
        <v>26</v>
      </c>
      <c r="G362" s="1" t="s">
        <v>27</v>
      </c>
      <c r="H362" s="1" t="s">
        <v>34</v>
      </c>
      <c r="I362" s="1" t="s">
        <v>50</v>
      </c>
      <c r="J362" s="1" t="s">
        <v>703</v>
      </c>
      <c r="K362" s="1" t="s">
        <v>1070</v>
      </c>
      <c r="L362" s="1" t="s">
        <v>1711</v>
      </c>
      <c r="M362" s="1" t="s">
        <v>176</v>
      </c>
      <c r="N362" s="1" t="s">
        <v>305</v>
      </c>
      <c r="O362" s="1" t="s">
        <v>512</v>
      </c>
      <c r="P362" s="1"/>
      <c r="Q362" s="1">
        <f>IFERROR(COUNTIFS(_report[TOURNAMENT_CODE],ВСЕ_КОДЫ[[#This Row],[TOURNAMENT_CODE]],_report[CONTEST_CODE],ВСЕ_КОДЫ[[#This Row],[CONTEST_CODE]]),"-")</f>
        <v>0</v>
      </c>
      <c r="R362" s="1" t="str">
        <f>IFERROR(INDEX(_SCHEDULE_[],MATCH(ВСЕ_КОДЫ[[#This Row],[CONTEST_CODE]],_SCHEDULE_[CONTEST_CODE],0),MATCH($R$1,_SCHEDULE_[#Headers],0)),"-")</f>
        <v>ЗАВЕРШЕН</v>
      </c>
      <c r="S362" s="1" t="str">
        <f>IFERROR(INDEX(_group_[],MATCH(ВСЕ_КОДЫ[[#This Row],[CONTEST_CODE]],_group_[CONTEST_CODE],0),MATCH($S$1,_group_[#Headers],0)),"-")</f>
        <v>BANK</v>
      </c>
      <c r="T362" s="1" t="str">
        <f>IFERROR(INDEX(_INDICATOR_[],MATCH(ВСЕ_КОДЫ[[#This Row],[CONTEST_CODE]],_INDICATOR_[CONTEST_CODE],0),MATCH($T$1,_INDICATOR_[#Headers],0)),"-")</f>
        <v>WAIT</v>
      </c>
      <c r="U362" s="1" t="str">
        <f>IFERROR(INDEX(_reward_link_[],MATCH(ВСЕ_КОДЫ[[#This Row],[CONTEST_CODE]],_reward_link_[CONTEST_CODE],0),MATCH($U$1,_reward_link_[#Headers],0)),"-")</f>
        <v>BANK</v>
      </c>
      <c r="V362" s="1" t="str">
        <f>IFERROR(INDEX(_report[],MATCH(ВСЕ_КОДЫ[[#This Row],[CONTEST_CODE]],_report[CONTEST_CODE],0),MATCH($V$1,_report[#Headers],0)),"-")</f>
        <v>-</v>
      </c>
      <c r="W362" s="1" t="str">
        <f>IFERROR(INDEX(_reward_[],MATCH(ВСЕ_КОДЫ[[#This Row],[REWARD_CODE]],_reward_[REWARD_CODE],0),MATCH($W$1,_reward_[#Headers],0)),"-")</f>
        <v>Чемпион страны по сумме договоров лизинга</v>
      </c>
      <c r="X362" s="1" t="str">
        <f>IFERROR(INDEX(_group_[],MATCH(CONCATENATE(ВСЕ_КОДЫ[[#This Row],[CONTEST_CODE]],"_",X$2),#REF!,0),MATCH(X$1,_group_[#Headers],0)),"-")</f>
        <v>-</v>
      </c>
      <c r="Y362" s="1" t="str">
        <f>IFERROR(INDEX(_group_[],MATCH(CONCATENATE(ВСЕ_КОДЫ[[#This Row],[CONTEST_CODE]],"_",Y$2),#REF!,0),MATCH(Y$1,_group_[#Headers],0)),"-")</f>
        <v>-</v>
      </c>
      <c r="Z362" s="1" t="str">
        <f>IFERROR(INDEX(_group_[],MATCH(CONCATENATE(ВСЕ_КОДЫ[[#This Row],[CONTEST_CODE]],"_",Z$2),#REF!,0),MATCH(Z$1,_group_[#Headers],0)),"-")</f>
        <v>-</v>
      </c>
      <c r="AA362" s="1" t="str">
        <f>IFERROR(INDEX(_group_[],MATCH(CONCATENATE(ВСЕ_КОДЫ[[#This Row],[CONTEST_CODE]],"_",AA$2),#REF!,0),MATCH(AA$1,_group_[#Headers],0)),"-")</f>
        <v>-</v>
      </c>
      <c r="AB362" s="1" t="str">
        <f>IFERROR(INDEX(_DATA_[],MATCH(ВСЕ_КОДЫ[[#This Row],[CONTEST_CODE]],_DATA_[CONTEST_CODE],0),MATCH($AB$2,_DATA_[#Headers],0)),"-")</f>
        <v>["""KMKKSB"""]</v>
      </c>
      <c r="AC362" s="1" t="str">
        <f>CONCATENATE(ВСЕ_КОДЫ[[#This Row],[CONTEST_CODE]],"_",ВСЕ_КОДЫ[[#This Row],[TOURNAMENT_CODE]])</f>
        <v>CONTEST_36_TOURNAMENT_36_03</v>
      </c>
      <c r="AD362" s="1" t="str">
        <f>ВСЕ_КОДЫ[[#This Row],[FULL_NAME]]</f>
        <v>Лизинг. Максимизируй сумму договоров</v>
      </c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idden="1" x14ac:dyDescent="0.25">
      <c r="A363" s="1" t="s">
        <v>116</v>
      </c>
      <c r="B363" s="1" t="s">
        <v>1657</v>
      </c>
      <c r="C363" s="1" t="s">
        <v>511</v>
      </c>
      <c r="D363" s="1" t="s">
        <v>583</v>
      </c>
      <c r="E363" s="1" t="s">
        <v>117</v>
      </c>
      <c r="F363" s="1" t="s">
        <v>26</v>
      </c>
      <c r="G363" s="1" t="s">
        <v>27</v>
      </c>
      <c r="H363" s="1" t="s">
        <v>34</v>
      </c>
      <c r="I363" s="1" t="s">
        <v>50</v>
      </c>
      <c r="J363" s="1" t="s">
        <v>1308</v>
      </c>
      <c r="K363" s="1" t="s">
        <v>642</v>
      </c>
      <c r="L363" s="1" t="s">
        <v>2131</v>
      </c>
      <c r="M363" s="1" t="s">
        <v>176</v>
      </c>
      <c r="N363" s="1" t="s">
        <v>305</v>
      </c>
      <c r="O363" s="1" t="s">
        <v>512</v>
      </c>
      <c r="P363" s="1"/>
      <c r="Q363" s="1">
        <f>IFERROR(COUNTIFS(_report[TOURNAMENT_CODE],ВСЕ_КОДЫ[[#This Row],[TOURNAMENT_CODE]],_report[CONTEST_CODE],ВСЕ_КОДЫ[[#This Row],[CONTEST_CODE]]),"-")</f>
        <v>0</v>
      </c>
      <c r="R363" s="1" t="str">
        <f>IFERROR(INDEX(_SCHEDULE_[],MATCH(ВСЕ_КОДЫ[[#This Row],[CONTEST_CODE]],_SCHEDULE_[CONTEST_CODE],0),MATCH($R$1,_SCHEDULE_[#Headers],0)),"-")</f>
        <v>ЗАВЕРШЕН</v>
      </c>
      <c r="S363" s="1" t="str">
        <f>IFERROR(INDEX(_group_[],MATCH(ВСЕ_КОДЫ[[#This Row],[CONTEST_CODE]],_group_[CONTEST_CODE],0),MATCH($S$1,_group_[#Headers],0)),"-")</f>
        <v>BANK</v>
      </c>
      <c r="T363" s="1" t="str">
        <f>IFERROR(INDEX(_INDICATOR_[],MATCH(ВСЕ_КОДЫ[[#This Row],[CONTEST_CODE]],_INDICATOR_[CONTEST_CODE],0),MATCH($T$1,_INDICATOR_[#Headers],0)),"-")</f>
        <v>WAIT</v>
      </c>
      <c r="U363" s="1" t="str">
        <f>IFERROR(INDEX(_reward_link_[],MATCH(ВСЕ_КОДЫ[[#This Row],[CONTEST_CODE]],_reward_link_[CONTEST_CODE],0),MATCH($U$1,_reward_link_[#Headers],0)),"-")</f>
        <v>BANK</v>
      </c>
      <c r="V363" s="1" t="str">
        <f>IFERROR(INDEX(_report[],MATCH(ВСЕ_КОДЫ[[#This Row],[CONTEST_CODE]],_report[CONTEST_CODE],0),MATCH($V$1,_report[#Headers],0)),"-")</f>
        <v>-</v>
      </c>
      <c r="W363" s="1" t="str">
        <f>IFERROR(INDEX(_reward_[],MATCH(ВСЕ_КОДЫ[[#This Row],[REWARD_CODE]],_reward_[REWARD_CODE],0),MATCH($W$1,_reward_[#Headers],0)),"-")</f>
        <v>Чемпион страны по сумме договоров лизинга</v>
      </c>
      <c r="X363" s="1" t="str">
        <f>IFERROR(INDEX(_group_[],MATCH(CONCATENATE(ВСЕ_КОДЫ[[#This Row],[CONTEST_CODE]],"_",X$2),#REF!,0),MATCH(X$1,_group_[#Headers],0)),"-")</f>
        <v>-</v>
      </c>
      <c r="Y363" s="1" t="str">
        <f>IFERROR(INDEX(_group_[],MATCH(CONCATENATE(ВСЕ_КОДЫ[[#This Row],[CONTEST_CODE]],"_",Y$2),#REF!,0),MATCH(Y$1,_group_[#Headers],0)),"-")</f>
        <v>-</v>
      </c>
      <c r="Z363" s="1" t="str">
        <f>IFERROR(INDEX(_group_[],MATCH(CONCATENATE(ВСЕ_КОДЫ[[#This Row],[CONTEST_CODE]],"_",Z$2),#REF!,0),MATCH(Z$1,_group_[#Headers],0)),"-")</f>
        <v>-</v>
      </c>
      <c r="AA363" s="1" t="str">
        <f>IFERROR(INDEX(_group_[],MATCH(CONCATENATE(ВСЕ_КОДЫ[[#This Row],[CONTEST_CODE]],"_",AA$2),#REF!,0),MATCH(AA$1,_group_[#Headers],0)),"-")</f>
        <v>-</v>
      </c>
      <c r="AB363" s="1" t="str">
        <f>IFERROR(INDEX(_DATA_[],MATCH(ВСЕ_КОДЫ[[#This Row],[CONTEST_CODE]],_DATA_[CONTEST_CODE],0),MATCH($AB$2,_DATA_[#Headers],0)),"-")</f>
        <v>["""KMKKSB"""]</v>
      </c>
      <c r="AC363" s="1" t="str">
        <f>CONCATENATE(ВСЕ_КОДЫ[[#This Row],[CONTEST_CODE]],"_",ВСЕ_КОДЫ[[#This Row],[TOURNAMENT_CODE]])</f>
        <v>CONTEST_36_TOURNAMENT_36_2024_Q04</v>
      </c>
      <c r="AD363" s="1" t="str">
        <f>ВСЕ_КОДЫ[[#This Row],[FULL_NAME]]</f>
        <v>Лизинг. Максимизируй сумму договоров</v>
      </c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idden="1" x14ac:dyDescent="0.25">
      <c r="A364" s="1" t="s">
        <v>119</v>
      </c>
      <c r="B364" s="1" t="s">
        <v>292</v>
      </c>
      <c r="C364" s="1" t="s">
        <v>523</v>
      </c>
      <c r="D364" s="1" t="s">
        <v>583</v>
      </c>
      <c r="E364" s="1" t="s">
        <v>120</v>
      </c>
      <c r="F364" s="1" t="s">
        <v>26</v>
      </c>
      <c r="G364" s="1" t="s">
        <v>27</v>
      </c>
      <c r="H364" s="1" t="s">
        <v>34</v>
      </c>
      <c r="I364" s="1" t="s">
        <v>50</v>
      </c>
      <c r="J364" s="1" t="s">
        <v>192</v>
      </c>
      <c r="K364" s="1" t="s">
        <v>252</v>
      </c>
      <c r="L364" s="1" t="s">
        <v>1170</v>
      </c>
      <c r="M364" s="1" t="s">
        <v>176</v>
      </c>
      <c r="N364" s="1" t="s">
        <v>305</v>
      </c>
      <c r="O364" s="1" t="s">
        <v>524</v>
      </c>
      <c r="P364" s="1"/>
      <c r="Q364" s="1">
        <f>IFERROR(COUNTIFS(_report[TOURNAMENT_CODE],ВСЕ_КОДЫ[[#This Row],[TOURNAMENT_CODE]],_report[CONTEST_CODE],ВСЕ_КОДЫ[[#This Row],[CONTEST_CODE]]),"-")</f>
        <v>0</v>
      </c>
      <c r="R364" s="1" t="str">
        <f>IFERROR(INDEX(_SCHEDULE_[],MATCH(ВСЕ_КОДЫ[[#This Row],[CONTEST_CODE]],_SCHEDULE_[CONTEST_CODE],0),MATCH($R$1,_SCHEDULE_[#Headers],0)),"-")</f>
        <v>ЗАВЕРШЕН</v>
      </c>
      <c r="S364" s="1" t="str">
        <f>IFERROR(INDEX(_group_[],MATCH(ВСЕ_КОДЫ[[#This Row],[CONTEST_CODE]],_group_[CONTEST_CODE],0),MATCH($S$1,_group_[#Headers],0)),"-")</f>
        <v>BANK</v>
      </c>
      <c r="T364" s="1" t="str">
        <f>IFERROR(INDEX(_INDICATOR_[],MATCH(ВСЕ_КОДЫ[[#This Row],[CONTEST_CODE]],_INDICATOR_[CONTEST_CODE],0),MATCH($T$1,_INDICATOR_[#Headers],0)),"-")</f>
        <v>WAIT</v>
      </c>
      <c r="U364" s="1" t="str">
        <f>IFERROR(INDEX(_reward_link_[],MATCH(ВСЕ_КОДЫ[[#This Row],[CONTEST_CODE]],_reward_link_[CONTEST_CODE],0),MATCH($U$1,_reward_link_[#Headers],0)),"-")</f>
        <v>BANK</v>
      </c>
      <c r="V364" s="1" t="str">
        <f>IFERROR(INDEX(_report[],MATCH(ВСЕ_КОДЫ[[#This Row],[CONTEST_CODE]],_report[CONTEST_CODE],0),MATCH($V$1,_report[#Headers],0)),"-")</f>
        <v>-</v>
      </c>
      <c r="W364" s="1" t="str">
        <f>IFERROR(INDEX(_reward_[],MATCH(ВСЕ_КОДЫ[[#This Row],[REWARD_CODE]],_reward_[REWARD_CODE],0),MATCH($W$1,_reward_[#Headers],0)),"-")</f>
        <v>Чемпион страны по числу клиентов с лизингом</v>
      </c>
      <c r="X364" s="1" t="str">
        <f>IFERROR(INDEX(_group_[],MATCH(CONCATENATE(ВСЕ_КОДЫ[[#This Row],[CONTEST_CODE]],"_",X$2),#REF!,0),MATCH(X$1,_group_[#Headers],0)),"-")</f>
        <v>-</v>
      </c>
      <c r="Y364" s="1" t="str">
        <f>IFERROR(INDEX(_group_[],MATCH(CONCATENATE(ВСЕ_КОДЫ[[#This Row],[CONTEST_CODE]],"_",Y$2),#REF!,0),MATCH(Y$1,_group_[#Headers],0)),"-")</f>
        <v>-</v>
      </c>
      <c r="Z364" s="1" t="str">
        <f>IFERROR(INDEX(_group_[],MATCH(CONCATENATE(ВСЕ_КОДЫ[[#This Row],[CONTEST_CODE]],"_",Z$2),#REF!,0),MATCH(Z$1,_group_[#Headers],0)),"-")</f>
        <v>-</v>
      </c>
      <c r="AA364" s="1" t="str">
        <f>IFERROR(INDEX(_group_[],MATCH(CONCATENATE(ВСЕ_КОДЫ[[#This Row],[CONTEST_CODE]],"_",AA$2),#REF!,0),MATCH(AA$1,_group_[#Headers],0)),"-")</f>
        <v>-</v>
      </c>
      <c r="AB364" s="1" t="str">
        <f>IFERROR(INDEX(_DATA_[],MATCH(ВСЕ_КОДЫ[[#This Row],[CONTEST_CODE]],_DATA_[CONTEST_CODE],0),MATCH($AB$2,_DATA_[#Headers],0)),"-")</f>
        <v>["""KMKKSB"""]</v>
      </c>
      <c r="AC364" s="1" t="str">
        <f>CONCATENATE(ВСЕ_КОДЫ[[#This Row],[CONTEST_CODE]],"_",ВСЕ_КОДЫ[[#This Row],[TOURNAMENT_CODE]])</f>
        <v>CONTEST_37_TOURNAMENT_37_02</v>
      </c>
      <c r="AD364" s="1" t="str">
        <f>ВСЕ_КОДЫ[[#This Row],[FULL_NAME]]</f>
        <v>Лизинг. Максимизируй число клиентов</v>
      </c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idden="1" x14ac:dyDescent="0.25">
      <c r="A365" s="1" t="s">
        <v>119</v>
      </c>
      <c r="B365" s="1" t="s">
        <v>1160</v>
      </c>
      <c r="C365" s="1" t="s">
        <v>523</v>
      </c>
      <c r="D365" s="1" t="s">
        <v>583</v>
      </c>
      <c r="E365" s="1" t="s">
        <v>120</v>
      </c>
      <c r="F365" s="1" t="s">
        <v>26</v>
      </c>
      <c r="G365" s="1" t="s">
        <v>27</v>
      </c>
      <c r="H365" s="1" t="s">
        <v>34</v>
      </c>
      <c r="I365" s="1" t="s">
        <v>50</v>
      </c>
      <c r="J365" s="1" t="s">
        <v>703</v>
      </c>
      <c r="K365" s="1" t="s">
        <v>1070</v>
      </c>
      <c r="L365" s="1" t="s">
        <v>1711</v>
      </c>
      <c r="M365" s="1" t="s">
        <v>176</v>
      </c>
      <c r="N365" s="1" t="s">
        <v>305</v>
      </c>
      <c r="O365" s="1" t="s">
        <v>524</v>
      </c>
      <c r="P365" s="1"/>
      <c r="Q365" s="1">
        <f>IFERROR(COUNTIFS(_report[TOURNAMENT_CODE],ВСЕ_КОДЫ[[#This Row],[TOURNAMENT_CODE]],_report[CONTEST_CODE],ВСЕ_КОДЫ[[#This Row],[CONTEST_CODE]]),"-")</f>
        <v>0</v>
      </c>
      <c r="R365" s="1" t="str">
        <f>IFERROR(INDEX(_SCHEDULE_[],MATCH(ВСЕ_КОДЫ[[#This Row],[CONTEST_CODE]],_SCHEDULE_[CONTEST_CODE],0),MATCH($R$1,_SCHEDULE_[#Headers],0)),"-")</f>
        <v>ЗАВЕРШЕН</v>
      </c>
      <c r="S365" s="1" t="str">
        <f>IFERROR(INDEX(_group_[],MATCH(ВСЕ_КОДЫ[[#This Row],[CONTEST_CODE]],_group_[CONTEST_CODE],0),MATCH($S$1,_group_[#Headers],0)),"-")</f>
        <v>BANK</v>
      </c>
      <c r="T365" s="1" t="str">
        <f>IFERROR(INDEX(_INDICATOR_[],MATCH(ВСЕ_КОДЫ[[#This Row],[CONTEST_CODE]],_INDICATOR_[CONTEST_CODE],0),MATCH($T$1,_INDICATOR_[#Headers],0)),"-")</f>
        <v>WAIT</v>
      </c>
      <c r="U365" s="1" t="str">
        <f>IFERROR(INDEX(_reward_link_[],MATCH(ВСЕ_КОДЫ[[#This Row],[CONTEST_CODE]],_reward_link_[CONTEST_CODE],0),MATCH($U$1,_reward_link_[#Headers],0)),"-")</f>
        <v>BANK</v>
      </c>
      <c r="V365" s="1" t="str">
        <f>IFERROR(INDEX(_report[],MATCH(ВСЕ_КОДЫ[[#This Row],[CONTEST_CODE]],_report[CONTEST_CODE],0),MATCH($V$1,_report[#Headers],0)),"-")</f>
        <v>-</v>
      </c>
      <c r="W365" s="1" t="str">
        <f>IFERROR(INDEX(_reward_[],MATCH(ВСЕ_КОДЫ[[#This Row],[REWARD_CODE]],_reward_[REWARD_CODE],0),MATCH($W$1,_reward_[#Headers],0)),"-")</f>
        <v>Чемпион страны по числу клиентов с лизингом</v>
      </c>
      <c r="X365" s="1" t="str">
        <f>IFERROR(INDEX(_group_[],MATCH(CONCATENATE(ВСЕ_КОДЫ[[#This Row],[CONTEST_CODE]],"_",X$2),#REF!,0),MATCH(X$1,_group_[#Headers],0)),"-")</f>
        <v>-</v>
      </c>
      <c r="Y365" s="1" t="str">
        <f>IFERROR(INDEX(_group_[],MATCH(CONCATENATE(ВСЕ_КОДЫ[[#This Row],[CONTEST_CODE]],"_",Y$2),#REF!,0),MATCH(Y$1,_group_[#Headers],0)),"-")</f>
        <v>-</v>
      </c>
      <c r="Z365" s="1" t="str">
        <f>IFERROR(INDEX(_group_[],MATCH(CONCATENATE(ВСЕ_КОДЫ[[#This Row],[CONTEST_CODE]],"_",Z$2),#REF!,0),MATCH(Z$1,_group_[#Headers],0)),"-")</f>
        <v>-</v>
      </c>
      <c r="AA365" s="1" t="str">
        <f>IFERROR(INDEX(_group_[],MATCH(CONCATENATE(ВСЕ_КОДЫ[[#This Row],[CONTEST_CODE]],"_",AA$2),#REF!,0),MATCH(AA$1,_group_[#Headers],0)),"-")</f>
        <v>-</v>
      </c>
      <c r="AB365" s="1" t="str">
        <f>IFERROR(INDEX(_DATA_[],MATCH(ВСЕ_КОДЫ[[#This Row],[CONTEST_CODE]],_DATA_[CONTEST_CODE],0),MATCH($AB$2,_DATA_[#Headers],0)),"-")</f>
        <v>["""KMKKSB"""]</v>
      </c>
      <c r="AC365" s="1" t="str">
        <f>CONCATENATE(ВСЕ_КОДЫ[[#This Row],[CONTEST_CODE]],"_",ВСЕ_КОДЫ[[#This Row],[TOURNAMENT_CODE]])</f>
        <v>CONTEST_37_TOURNAMENT_37_03</v>
      </c>
      <c r="AD365" s="1" t="str">
        <f>ВСЕ_КОДЫ[[#This Row],[FULL_NAME]]</f>
        <v>Лизинг. Максимизируй число клиентов</v>
      </c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idden="1" x14ac:dyDescent="0.25">
      <c r="A366" s="1" t="s">
        <v>119</v>
      </c>
      <c r="B366" s="1" t="s">
        <v>1659</v>
      </c>
      <c r="C366" s="1" t="s">
        <v>523</v>
      </c>
      <c r="D366" s="1" t="s">
        <v>583</v>
      </c>
      <c r="E366" s="1" t="s">
        <v>120</v>
      </c>
      <c r="F366" s="1" t="s">
        <v>26</v>
      </c>
      <c r="G366" s="1" t="s">
        <v>27</v>
      </c>
      <c r="H366" s="1" t="s">
        <v>34</v>
      </c>
      <c r="I366" s="1" t="s">
        <v>50</v>
      </c>
      <c r="J366" s="1" t="s">
        <v>1225</v>
      </c>
      <c r="K366" s="1" t="s">
        <v>642</v>
      </c>
      <c r="L366" s="1" t="s">
        <v>2131</v>
      </c>
      <c r="M366" s="1" t="s">
        <v>176</v>
      </c>
      <c r="N366" s="1" t="s">
        <v>305</v>
      </c>
      <c r="O366" s="1" t="s">
        <v>524</v>
      </c>
      <c r="P366" s="1"/>
      <c r="Q366" s="1">
        <f>IFERROR(COUNTIFS(_report[TOURNAMENT_CODE],ВСЕ_КОДЫ[[#This Row],[TOURNAMENT_CODE]],_report[CONTEST_CODE],ВСЕ_КОДЫ[[#This Row],[CONTEST_CODE]]),"-")</f>
        <v>0</v>
      </c>
      <c r="R366" s="1" t="str">
        <f>IFERROR(INDEX(_SCHEDULE_[],MATCH(ВСЕ_КОДЫ[[#This Row],[CONTEST_CODE]],_SCHEDULE_[CONTEST_CODE],0),MATCH($R$1,_SCHEDULE_[#Headers],0)),"-")</f>
        <v>ЗАВЕРШЕН</v>
      </c>
      <c r="S366" s="1" t="str">
        <f>IFERROR(INDEX(_group_[],MATCH(ВСЕ_КОДЫ[[#This Row],[CONTEST_CODE]],_group_[CONTEST_CODE],0),MATCH($S$1,_group_[#Headers],0)),"-")</f>
        <v>BANK</v>
      </c>
      <c r="T366" s="1" t="str">
        <f>IFERROR(INDEX(_INDICATOR_[],MATCH(ВСЕ_КОДЫ[[#This Row],[CONTEST_CODE]],_INDICATOR_[CONTEST_CODE],0),MATCH($T$1,_INDICATOR_[#Headers],0)),"-")</f>
        <v>WAIT</v>
      </c>
      <c r="U366" s="1" t="str">
        <f>IFERROR(INDEX(_reward_link_[],MATCH(ВСЕ_КОДЫ[[#This Row],[CONTEST_CODE]],_reward_link_[CONTEST_CODE],0),MATCH($U$1,_reward_link_[#Headers],0)),"-")</f>
        <v>BANK</v>
      </c>
      <c r="V366" s="1" t="str">
        <f>IFERROR(INDEX(_report[],MATCH(ВСЕ_КОДЫ[[#This Row],[CONTEST_CODE]],_report[CONTEST_CODE],0),MATCH($V$1,_report[#Headers],0)),"-")</f>
        <v>-</v>
      </c>
      <c r="W366" s="1" t="str">
        <f>IFERROR(INDEX(_reward_[],MATCH(ВСЕ_КОДЫ[[#This Row],[REWARD_CODE]],_reward_[REWARD_CODE],0),MATCH($W$1,_reward_[#Headers],0)),"-")</f>
        <v>Чемпион страны по числу клиентов с лизингом</v>
      </c>
      <c r="X366" s="1" t="str">
        <f>IFERROR(INDEX(_group_[],MATCH(CONCATENATE(ВСЕ_КОДЫ[[#This Row],[CONTEST_CODE]],"_",X$2),#REF!,0),MATCH(X$1,_group_[#Headers],0)),"-")</f>
        <v>-</v>
      </c>
      <c r="Y366" s="1" t="str">
        <f>IFERROR(INDEX(_group_[],MATCH(CONCATENATE(ВСЕ_КОДЫ[[#This Row],[CONTEST_CODE]],"_",Y$2),#REF!,0),MATCH(Y$1,_group_[#Headers],0)),"-")</f>
        <v>-</v>
      </c>
      <c r="Z366" s="1" t="str">
        <f>IFERROR(INDEX(_group_[],MATCH(CONCATENATE(ВСЕ_КОДЫ[[#This Row],[CONTEST_CODE]],"_",Z$2),#REF!,0),MATCH(Z$1,_group_[#Headers],0)),"-")</f>
        <v>-</v>
      </c>
      <c r="AA366" s="1" t="str">
        <f>IFERROR(INDEX(_group_[],MATCH(CONCATENATE(ВСЕ_КОДЫ[[#This Row],[CONTEST_CODE]],"_",AA$2),#REF!,0),MATCH(AA$1,_group_[#Headers],0)),"-")</f>
        <v>-</v>
      </c>
      <c r="AB366" s="1" t="str">
        <f>IFERROR(INDEX(_DATA_[],MATCH(ВСЕ_КОДЫ[[#This Row],[CONTEST_CODE]],_DATA_[CONTEST_CODE],0),MATCH($AB$2,_DATA_[#Headers],0)),"-")</f>
        <v>["""KMKKSB"""]</v>
      </c>
      <c r="AC366" s="1" t="str">
        <f>CONCATENATE(ВСЕ_КОДЫ[[#This Row],[CONTEST_CODE]],"_",ВСЕ_КОДЫ[[#This Row],[TOURNAMENT_CODE]])</f>
        <v>CONTEST_37_TOURNAMENT_37_2024_Q04</v>
      </c>
      <c r="AD366" s="1" t="str">
        <f>ВСЕ_КОДЫ[[#This Row],[FULL_NAME]]</f>
        <v>Лизинг. Максимизируй число клиентов</v>
      </c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idden="1" x14ac:dyDescent="0.25">
      <c r="A367" s="1" t="s">
        <v>122</v>
      </c>
      <c r="B367" s="1" t="s">
        <v>293</v>
      </c>
      <c r="C367" s="1" t="s">
        <v>535</v>
      </c>
      <c r="D367" s="1" t="s">
        <v>584</v>
      </c>
      <c r="E367" s="1" t="s">
        <v>123</v>
      </c>
      <c r="F367" s="1" t="s">
        <v>26</v>
      </c>
      <c r="G367" s="1" t="s">
        <v>27</v>
      </c>
      <c r="H367" s="1" t="s">
        <v>28</v>
      </c>
      <c r="I367" s="1" t="s">
        <v>50</v>
      </c>
      <c r="J367" s="1" t="s">
        <v>695</v>
      </c>
      <c r="K367" s="1" t="s">
        <v>252</v>
      </c>
      <c r="L367" s="1" t="s">
        <v>1205</v>
      </c>
      <c r="M367" s="1" t="s">
        <v>176</v>
      </c>
      <c r="N367" s="1" t="s">
        <v>305</v>
      </c>
      <c r="O367" s="1" t="s">
        <v>536</v>
      </c>
      <c r="P367" s="1"/>
      <c r="Q367" s="1">
        <f>IFERROR(COUNTIFS(_report[TOURNAMENT_CODE],ВСЕ_КОДЫ[[#This Row],[TOURNAMENT_CODE]],_report[CONTEST_CODE],ВСЕ_КОДЫ[[#This Row],[CONTEST_CODE]]),"-")</f>
        <v>0</v>
      </c>
      <c r="R367" s="1" t="str">
        <f>IFERROR(INDEX(_SCHEDULE_[],MATCH(ВСЕ_КОДЫ[[#This Row],[CONTEST_CODE]],_SCHEDULE_[CONTEST_CODE],0),MATCH($R$1,_SCHEDULE_[#Headers],0)),"-")</f>
        <v>ЗАВЕРШЕН</v>
      </c>
      <c r="S367" s="1" t="str">
        <f>IFERROR(INDEX(_group_[],MATCH(ВСЕ_КОДЫ[[#This Row],[CONTEST_CODE]],_group_[CONTEST_CODE],0),MATCH($S$1,_group_[#Headers],0)),"-")</f>
        <v>BANK</v>
      </c>
      <c r="T367" s="1" t="str">
        <f>IFERROR(INDEX(_INDICATOR_[],MATCH(ВСЕ_КОДЫ[[#This Row],[CONTEST_CODE]],_INDICATOR_[CONTEST_CODE],0),MATCH($T$1,_INDICATOR_[#Headers],0)),"-")</f>
        <v>WAIT</v>
      </c>
      <c r="U367" s="1" t="str">
        <f>IFERROR(INDEX(_reward_link_[],MATCH(ВСЕ_КОДЫ[[#This Row],[CONTEST_CODE]],_reward_link_[CONTEST_CODE],0),MATCH($U$1,_reward_link_[#Headers],0)),"-")</f>
        <v>GOSB</v>
      </c>
      <c r="V367" s="1" t="str">
        <f>IFERROR(INDEX(_report[],MATCH(ВСЕ_КОДЫ[[#This Row],[CONTEST_CODE]],_report[CONTEST_CODE],0),MATCH($V$1,_report[#Headers],0)),"-")</f>
        <v>-</v>
      </c>
      <c r="W367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367" s="1" t="str">
        <f>IFERROR(INDEX(_group_[],MATCH(CONCATENATE(ВСЕ_КОДЫ[[#This Row],[CONTEST_CODE]],"_",X$2),#REF!,0),MATCH(X$1,_group_[#Headers],0)),"-")</f>
        <v>-</v>
      </c>
      <c r="Y367" s="1" t="str">
        <f>IFERROR(INDEX(_group_[],MATCH(CONCATENATE(ВСЕ_КОДЫ[[#This Row],[CONTEST_CODE]],"_",Y$2),#REF!,0),MATCH(Y$1,_group_[#Headers],0)),"-")</f>
        <v>-</v>
      </c>
      <c r="Z367" s="1" t="str">
        <f>IFERROR(INDEX(_group_[],MATCH(CONCATENATE(ВСЕ_КОДЫ[[#This Row],[CONTEST_CODE]],"_",Z$2),#REF!,0),MATCH(Z$1,_group_[#Headers],0)),"-")</f>
        <v>-</v>
      </c>
      <c r="AA367" s="1" t="str">
        <f>IFERROR(INDEX(_group_[],MATCH(CONCATENATE(ВСЕ_КОДЫ[[#This Row],[CONTEST_CODE]],"_",AA$2),#REF!,0),MATCH(AA$1,_group_[#Headers],0)),"-")</f>
        <v>-</v>
      </c>
      <c r="AB367" s="1" t="str">
        <f>IFERROR(INDEX(_DATA_[],MATCH(ВСЕ_КОДЫ[[#This Row],[CONTEST_CODE]],_DATA_[CONTEST_CODE],0),MATCH($AB$2,_DATA_[#Headers],0)),"-")</f>
        <v>["""KMKKSB"""]</v>
      </c>
      <c r="AC367" s="1" t="str">
        <f>CONCATENATE(ВСЕ_КОДЫ[[#This Row],[CONTEST_CODE]],"_",ВСЕ_КОДЫ[[#This Row],[TOURNAMENT_CODE]])</f>
        <v>CONTEST_38_TOURNAMENT_38_00</v>
      </c>
      <c r="AD367" s="1" t="str">
        <f>ВСЕ_КОДЫ[[#This Row],[FULL_NAME]]</f>
        <v>Интернализация. Повышаем уровень</v>
      </c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idden="1" x14ac:dyDescent="0.25">
      <c r="A368" s="1" t="s">
        <v>122</v>
      </c>
      <c r="B368" s="1" t="s">
        <v>660</v>
      </c>
      <c r="C368" s="1" t="s">
        <v>535</v>
      </c>
      <c r="D368" s="1" t="s">
        <v>584</v>
      </c>
      <c r="E368" s="1" t="s">
        <v>123</v>
      </c>
      <c r="F368" s="1" t="s">
        <v>26</v>
      </c>
      <c r="G368" s="1" t="s">
        <v>27</v>
      </c>
      <c r="H368" s="1" t="s">
        <v>28</v>
      </c>
      <c r="I368" s="1" t="s">
        <v>50</v>
      </c>
      <c r="J368" s="1" t="s">
        <v>703</v>
      </c>
      <c r="K368" s="1" t="s">
        <v>704</v>
      </c>
      <c r="L368" s="1" t="s">
        <v>1173</v>
      </c>
      <c r="M368" s="1" t="s">
        <v>176</v>
      </c>
      <c r="N368" s="1" t="s">
        <v>305</v>
      </c>
      <c r="O368" s="1" t="s">
        <v>536</v>
      </c>
      <c r="P368" s="1"/>
      <c r="Q368" s="1">
        <f>IFERROR(COUNTIFS(_report[TOURNAMENT_CODE],ВСЕ_КОДЫ[[#This Row],[TOURNAMENT_CODE]],_report[CONTEST_CODE],ВСЕ_КОДЫ[[#This Row],[CONTEST_CODE]]),"-")</f>
        <v>0</v>
      </c>
      <c r="R368" s="1" t="str">
        <f>IFERROR(INDEX(_SCHEDULE_[],MATCH(ВСЕ_КОДЫ[[#This Row],[CONTEST_CODE]],_SCHEDULE_[CONTEST_CODE],0),MATCH($R$1,_SCHEDULE_[#Headers],0)),"-")</f>
        <v>ЗАВЕРШЕН</v>
      </c>
      <c r="S368" s="1" t="str">
        <f>IFERROR(INDEX(_group_[],MATCH(ВСЕ_КОДЫ[[#This Row],[CONTEST_CODE]],_group_[CONTEST_CODE],0),MATCH($S$1,_group_[#Headers],0)),"-")</f>
        <v>BANK</v>
      </c>
      <c r="T368" s="1" t="str">
        <f>IFERROR(INDEX(_INDICATOR_[],MATCH(ВСЕ_КОДЫ[[#This Row],[CONTEST_CODE]],_INDICATOR_[CONTEST_CODE],0),MATCH($T$1,_INDICATOR_[#Headers],0)),"-")</f>
        <v>WAIT</v>
      </c>
      <c r="U368" s="1" t="str">
        <f>IFERROR(INDEX(_reward_link_[],MATCH(ВСЕ_КОДЫ[[#This Row],[CONTEST_CODE]],_reward_link_[CONTEST_CODE],0),MATCH($U$1,_reward_link_[#Headers],0)),"-")</f>
        <v>GOSB</v>
      </c>
      <c r="V368" s="1" t="str">
        <f>IFERROR(INDEX(_report[],MATCH(ВСЕ_КОДЫ[[#This Row],[CONTEST_CODE]],_report[CONTEST_CODE],0),MATCH($V$1,_report[#Headers],0)),"-")</f>
        <v>-</v>
      </c>
      <c r="W368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368" s="1" t="str">
        <f>IFERROR(INDEX(_group_[],MATCH(CONCATENATE(ВСЕ_КОДЫ[[#This Row],[CONTEST_CODE]],"_",X$2),#REF!,0),MATCH(X$1,_group_[#Headers],0)),"-")</f>
        <v>-</v>
      </c>
      <c r="Y368" s="1" t="str">
        <f>IFERROR(INDEX(_group_[],MATCH(CONCATENATE(ВСЕ_КОДЫ[[#This Row],[CONTEST_CODE]],"_",Y$2),#REF!,0),MATCH(Y$1,_group_[#Headers],0)),"-")</f>
        <v>-</v>
      </c>
      <c r="Z368" s="1" t="str">
        <f>IFERROR(INDEX(_group_[],MATCH(CONCATENATE(ВСЕ_КОДЫ[[#This Row],[CONTEST_CODE]],"_",Z$2),#REF!,0),MATCH(Z$1,_group_[#Headers],0)),"-")</f>
        <v>-</v>
      </c>
      <c r="AA368" s="1" t="str">
        <f>IFERROR(INDEX(_group_[],MATCH(CONCATENATE(ВСЕ_КОДЫ[[#This Row],[CONTEST_CODE]],"_",AA$2),#REF!,0),MATCH(AA$1,_group_[#Headers],0)),"-")</f>
        <v>-</v>
      </c>
      <c r="AB368" s="1" t="str">
        <f>IFERROR(INDEX(_DATA_[],MATCH(ВСЕ_КОДЫ[[#This Row],[CONTEST_CODE]],_DATA_[CONTEST_CODE],0),MATCH($AB$2,_DATA_[#Headers],0)),"-")</f>
        <v>["""KMKKSB"""]</v>
      </c>
      <c r="AC368" s="1" t="str">
        <f>CONCATENATE(ВСЕ_КОДЫ[[#This Row],[CONTEST_CODE]],"_",ВСЕ_КОДЫ[[#This Row],[TOURNAMENT_CODE]])</f>
        <v>CONTEST_38_TOURNAMENT_38_01</v>
      </c>
      <c r="AD368" s="1" t="str">
        <f>ВСЕ_КОДЫ[[#This Row],[FULL_NAME]]</f>
        <v>Интернализация. Повышаем уровень</v>
      </c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idden="1" x14ac:dyDescent="0.25">
      <c r="A369" s="1" t="s">
        <v>122</v>
      </c>
      <c r="B369" s="1" t="s">
        <v>661</v>
      </c>
      <c r="C369" s="1" t="s">
        <v>535</v>
      </c>
      <c r="D369" s="1" t="s">
        <v>584</v>
      </c>
      <c r="E369" s="1" t="s">
        <v>123</v>
      </c>
      <c r="F369" s="1" t="s">
        <v>26</v>
      </c>
      <c r="G369" s="1" t="s">
        <v>27</v>
      </c>
      <c r="H369" s="1" t="s">
        <v>28</v>
      </c>
      <c r="I369" s="1" t="s">
        <v>50</v>
      </c>
      <c r="J369" s="1" t="s">
        <v>1078</v>
      </c>
      <c r="K369" s="1" t="s">
        <v>1173</v>
      </c>
      <c r="L369" s="1" t="s">
        <v>706</v>
      </c>
      <c r="M369" s="1" t="s">
        <v>176</v>
      </c>
      <c r="N369" s="1" t="s">
        <v>305</v>
      </c>
      <c r="O369" s="1" t="s">
        <v>536</v>
      </c>
      <c r="P369" s="1"/>
      <c r="Q369" s="1">
        <f>IFERROR(COUNTIFS(_report[TOURNAMENT_CODE],ВСЕ_КОДЫ[[#This Row],[TOURNAMENT_CODE]],_report[CONTEST_CODE],ВСЕ_КОДЫ[[#This Row],[CONTEST_CODE]]),"-")</f>
        <v>0</v>
      </c>
      <c r="R369" s="1" t="str">
        <f>IFERROR(INDEX(_SCHEDULE_[],MATCH(ВСЕ_КОДЫ[[#This Row],[CONTEST_CODE]],_SCHEDULE_[CONTEST_CODE],0),MATCH($R$1,_SCHEDULE_[#Headers],0)),"-")</f>
        <v>ЗАВЕРШЕН</v>
      </c>
      <c r="S369" s="1" t="str">
        <f>IFERROR(INDEX(_group_[],MATCH(ВСЕ_КОДЫ[[#This Row],[CONTEST_CODE]],_group_[CONTEST_CODE],0),MATCH($S$1,_group_[#Headers],0)),"-")</f>
        <v>BANK</v>
      </c>
      <c r="T369" s="1" t="str">
        <f>IFERROR(INDEX(_INDICATOR_[],MATCH(ВСЕ_КОДЫ[[#This Row],[CONTEST_CODE]],_INDICATOR_[CONTEST_CODE],0),MATCH($T$1,_INDICATOR_[#Headers],0)),"-")</f>
        <v>WAIT</v>
      </c>
      <c r="U369" s="1" t="str">
        <f>IFERROR(INDEX(_reward_link_[],MATCH(ВСЕ_КОДЫ[[#This Row],[CONTEST_CODE]],_reward_link_[CONTEST_CODE],0),MATCH($U$1,_reward_link_[#Headers],0)),"-")</f>
        <v>GOSB</v>
      </c>
      <c r="V369" s="1" t="str">
        <f>IFERROR(INDEX(_report[],MATCH(ВСЕ_КОДЫ[[#This Row],[CONTEST_CODE]],_report[CONTEST_CODE],0),MATCH($V$1,_report[#Headers],0)),"-")</f>
        <v>-</v>
      </c>
      <c r="W369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369" s="1" t="str">
        <f>IFERROR(INDEX(_group_[],MATCH(CONCATENATE(ВСЕ_КОДЫ[[#This Row],[CONTEST_CODE]],"_",X$2),#REF!,0),MATCH(X$1,_group_[#Headers],0)),"-")</f>
        <v>-</v>
      </c>
      <c r="Y369" s="1" t="str">
        <f>IFERROR(INDEX(_group_[],MATCH(CONCATENATE(ВСЕ_КОДЫ[[#This Row],[CONTEST_CODE]],"_",Y$2),#REF!,0),MATCH(Y$1,_group_[#Headers],0)),"-")</f>
        <v>-</v>
      </c>
      <c r="Z369" s="1" t="str">
        <f>IFERROR(INDEX(_group_[],MATCH(CONCATENATE(ВСЕ_КОДЫ[[#This Row],[CONTEST_CODE]],"_",Z$2),#REF!,0),MATCH(Z$1,_group_[#Headers],0)),"-")</f>
        <v>-</v>
      </c>
      <c r="AA369" s="1" t="str">
        <f>IFERROR(INDEX(_group_[],MATCH(CONCATENATE(ВСЕ_КОДЫ[[#This Row],[CONTEST_CODE]],"_",AA$2),#REF!,0),MATCH(AA$1,_group_[#Headers],0)),"-")</f>
        <v>-</v>
      </c>
      <c r="AB369" s="1" t="str">
        <f>IFERROR(INDEX(_DATA_[],MATCH(ВСЕ_КОДЫ[[#This Row],[CONTEST_CODE]],_DATA_[CONTEST_CODE],0),MATCH($AB$2,_DATA_[#Headers],0)),"-")</f>
        <v>["""KMKKSB"""]</v>
      </c>
      <c r="AC369" s="1" t="str">
        <f>CONCATENATE(ВСЕ_КОДЫ[[#This Row],[CONTEST_CODE]],"_",ВСЕ_КОДЫ[[#This Row],[TOURNAMENT_CODE]])</f>
        <v>CONTEST_38_TOURNAMENT_38_02</v>
      </c>
      <c r="AD369" s="1" t="str">
        <f>ВСЕ_КОДЫ[[#This Row],[FULL_NAME]]</f>
        <v>Интернализация. Повышаем уровень</v>
      </c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idden="1" x14ac:dyDescent="0.25">
      <c r="A370" s="1" t="s">
        <v>122</v>
      </c>
      <c r="B370" s="1" t="s">
        <v>1286</v>
      </c>
      <c r="C370" s="1" t="s">
        <v>535</v>
      </c>
      <c r="D370" s="1" t="s">
        <v>584</v>
      </c>
      <c r="E370" s="1" t="s">
        <v>123</v>
      </c>
      <c r="F370" s="1" t="s">
        <v>26</v>
      </c>
      <c r="G370" s="1" t="s">
        <v>27</v>
      </c>
      <c r="H370" s="1" t="s">
        <v>28</v>
      </c>
      <c r="I370" s="1" t="s">
        <v>50</v>
      </c>
      <c r="J370" s="1" t="s">
        <v>1225</v>
      </c>
      <c r="K370" s="1" t="s">
        <v>1070</v>
      </c>
      <c r="L370" s="1" t="s">
        <v>1713</v>
      </c>
      <c r="M370" s="1" t="s">
        <v>176</v>
      </c>
      <c r="N370" s="1" t="s">
        <v>305</v>
      </c>
      <c r="O370" s="1" t="s">
        <v>536</v>
      </c>
      <c r="P370" s="1"/>
      <c r="Q370" s="1">
        <f>IFERROR(COUNTIFS(_report[TOURNAMENT_CODE],ВСЕ_КОДЫ[[#This Row],[TOURNAMENT_CODE]],_report[CONTEST_CODE],ВСЕ_КОДЫ[[#This Row],[CONTEST_CODE]]),"-")</f>
        <v>0</v>
      </c>
      <c r="R370" s="1" t="str">
        <f>IFERROR(INDEX(_SCHEDULE_[],MATCH(ВСЕ_КОДЫ[[#This Row],[CONTEST_CODE]],_SCHEDULE_[CONTEST_CODE],0),MATCH($R$1,_SCHEDULE_[#Headers],0)),"-")</f>
        <v>ЗАВЕРШЕН</v>
      </c>
      <c r="S370" s="1" t="str">
        <f>IFERROR(INDEX(_group_[],MATCH(ВСЕ_КОДЫ[[#This Row],[CONTEST_CODE]],_group_[CONTEST_CODE],0),MATCH($S$1,_group_[#Headers],0)),"-")</f>
        <v>BANK</v>
      </c>
      <c r="T370" s="1" t="str">
        <f>IFERROR(INDEX(_INDICATOR_[],MATCH(ВСЕ_КОДЫ[[#This Row],[CONTEST_CODE]],_INDICATOR_[CONTEST_CODE],0),MATCH($T$1,_INDICATOR_[#Headers],0)),"-")</f>
        <v>WAIT</v>
      </c>
      <c r="U370" s="1" t="str">
        <f>IFERROR(INDEX(_reward_link_[],MATCH(ВСЕ_КОДЫ[[#This Row],[CONTEST_CODE]],_reward_link_[CONTEST_CODE],0),MATCH($U$1,_reward_link_[#Headers],0)),"-")</f>
        <v>GOSB</v>
      </c>
      <c r="V370" s="1" t="str">
        <f>IFERROR(INDEX(_report[],MATCH(ВСЕ_КОДЫ[[#This Row],[CONTEST_CODE]],_report[CONTEST_CODE],0),MATCH($V$1,_report[#Headers],0)),"-")</f>
        <v>-</v>
      </c>
      <c r="W370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370" s="1" t="str">
        <f>IFERROR(INDEX(_group_[],MATCH(CONCATENATE(ВСЕ_КОДЫ[[#This Row],[CONTEST_CODE]],"_",X$2),#REF!,0),MATCH(X$1,_group_[#Headers],0)),"-")</f>
        <v>-</v>
      </c>
      <c r="Y370" s="1" t="str">
        <f>IFERROR(INDEX(_group_[],MATCH(CONCATENATE(ВСЕ_КОДЫ[[#This Row],[CONTEST_CODE]],"_",Y$2),#REF!,0),MATCH(Y$1,_group_[#Headers],0)),"-")</f>
        <v>-</v>
      </c>
      <c r="Z370" s="1" t="str">
        <f>IFERROR(INDEX(_group_[],MATCH(CONCATENATE(ВСЕ_КОДЫ[[#This Row],[CONTEST_CODE]],"_",Z$2),#REF!,0),MATCH(Z$1,_group_[#Headers],0)),"-")</f>
        <v>-</v>
      </c>
      <c r="AA370" s="1" t="str">
        <f>IFERROR(INDEX(_group_[],MATCH(CONCATENATE(ВСЕ_КОДЫ[[#This Row],[CONTEST_CODE]],"_",AA$2),#REF!,0),MATCH(AA$1,_group_[#Headers],0)),"-")</f>
        <v>-</v>
      </c>
      <c r="AB370" s="1" t="str">
        <f>IFERROR(INDEX(_DATA_[],MATCH(ВСЕ_КОДЫ[[#This Row],[CONTEST_CODE]],_DATA_[CONTEST_CODE],0),MATCH($AB$2,_DATA_[#Headers],0)),"-")</f>
        <v>["""KMKKSB"""]</v>
      </c>
      <c r="AC370" s="1" t="str">
        <f>CONCATENATE(ВСЕ_КОДЫ[[#This Row],[CONTEST_CODE]],"_",ВСЕ_КОДЫ[[#This Row],[TOURNAMENT_CODE]])</f>
        <v>CONTEST_38_TOURNAMENT_38_03</v>
      </c>
      <c r="AD370" s="1" t="str">
        <f>ВСЕ_КОДЫ[[#This Row],[FULL_NAME]]</f>
        <v>Интернализация. Повышаем уровень</v>
      </c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idden="1" x14ac:dyDescent="0.25">
      <c r="A371" s="1" t="s">
        <v>122</v>
      </c>
      <c r="B371" s="1" t="s">
        <v>1661</v>
      </c>
      <c r="C371" s="1" t="s">
        <v>535</v>
      </c>
      <c r="D371" s="1" t="s">
        <v>584</v>
      </c>
      <c r="E371" s="1" t="s">
        <v>123</v>
      </c>
      <c r="F371" s="1" t="s">
        <v>26</v>
      </c>
      <c r="G371" s="1" t="s">
        <v>27</v>
      </c>
      <c r="H371" s="1" t="s">
        <v>28</v>
      </c>
      <c r="I371" s="1" t="s">
        <v>50</v>
      </c>
      <c r="J371" s="1" t="s">
        <v>1308</v>
      </c>
      <c r="K371" s="1" t="s">
        <v>1638</v>
      </c>
      <c r="L371" s="1" t="s">
        <v>1835</v>
      </c>
      <c r="M371" s="1" t="s">
        <v>176</v>
      </c>
      <c r="N371" s="1" t="s">
        <v>305</v>
      </c>
      <c r="O371" s="1" t="s">
        <v>536</v>
      </c>
      <c r="P371" s="1"/>
      <c r="Q371" s="1">
        <f>IFERROR(COUNTIFS(_report[TOURNAMENT_CODE],ВСЕ_КОДЫ[[#This Row],[TOURNAMENT_CODE]],_report[CONTEST_CODE],ВСЕ_КОДЫ[[#This Row],[CONTEST_CODE]]),"-")</f>
        <v>0</v>
      </c>
      <c r="R371" s="1" t="str">
        <f>IFERROR(INDEX(_SCHEDULE_[],MATCH(ВСЕ_КОДЫ[[#This Row],[CONTEST_CODE]],_SCHEDULE_[CONTEST_CODE],0),MATCH($R$1,_SCHEDULE_[#Headers],0)),"-")</f>
        <v>ЗАВЕРШЕН</v>
      </c>
      <c r="S371" s="1" t="str">
        <f>IFERROR(INDEX(_group_[],MATCH(ВСЕ_КОДЫ[[#This Row],[CONTEST_CODE]],_group_[CONTEST_CODE],0),MATCH($S$1,_group_[#Headers],0)),"-")</f>
        <v>BANK</v>
      </c>
      <c r="T371" s="1" t="str">
        <f>IFERROR(INDEX(_INDICATOR_[],MATCH(ВСЕ_КОДЫ[[#This Row],[CONTEST_CODE]],_INDICATOR_[CONTEST_CODE],0),MATCH($T$1,_INDICATOR_[#Headers],0)),"-")</f>
        <v>WAIT</v>
      </c>
      <c r="U371" s="1" t="str">
        <f>IFERROR(INDEX(_reward_link_[],MATCH(ВСЕ_КОДЫ[[#This Row],[CONTEST_CODE]],_reward_link_[CONTEST_CODE],0),MATCH($U$1,_reward_link_[#Headers],0)),"-")</f>
        <v>GOSB</v>
      </c>
      <c r="V371" s="1" t="str">
        <f>IFERROR(INDEX(_report[],MATCH(ВСЕ_КОДЫ[[#This Row],[CONTEST_CODE]],_report[CONTEST_CODE],0),MATCH($V$1,_report[#Headers],0)),"-")</f>
        <v>-</v>
      </c>
      <c r="W371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371" s="1" t="str">
        <f>IFERROR(INDEX(_group_[],MATCH(CONCATENATE(ВСЕ_КОДЫ[[#This Row],[CONTEST_CODE]],"_",X$2),#REF!,0),MATCH(X$1,_group_[#Headers],0)),"-")</f>
        <v>-</v>
      </c>
      <c r="Y371" s="1" t="str">
        <f>IFERROR(INDEX(_group_[],MATCH(CONCATENATE(ВСЕ_КОДЫ[[#This Row],[CONTEST_CODE]],"_",Y$2),#REF!,0),MATCH(Y$1,_group_[#Headers],0)),"-")</f>
        <v>-</v>
      </c>
      <c r="Z371" s="1" t="str">
        <f>IFERROR(INDEX(_group_[],MATCH(CONCATENATE(ВСЕ_КОДЫ[[#This Row],[CONTEST_CODE]],"_",Z$2),#REF!,0),MATCH(Z$1,_group_[#Headers],0)),"-")</f>
        <v>-</v>
      </c>
      <c r="AA371" s="1" t="str">
        <f>IFERROR(INDEX(_group_[],MATCH(CONCATENATE(ВСЕ_КОДЫ[[#This Row],[CONTEST_CODE]],"_",AA$2),#REF!,0),MATCH(AA$1,_group_[#Headers],0)),"-")</f>
        <v>-</v>
      </c>
      <c r="AB371" s="1" t="str">
        <f>IFERROR(INDEX(_DATA_[],MATCH(ВСЕ_КОДЫ[[#This Row],[CONTEST_CODE]],_DATA_[CONTEST_CODE],0),MATCH($AB$2,_DATA_[#Headers],0)),"-")</f>
        <v>["""KMKKSB"""]</v>
      </c>
      <c r="AC371" s="1" t="str">
        <f>CONCATENATE(ВСЕ_КОДЫ[[#This Row],[CONTEST_CODE]],"_",ВСЕ_КОДЫ[[#This Row],[TOURNAMENT_CODE]])</f>
        <v>CONTEST_38_TOURNAMENT_38_2024_M10</v>
      </c>
      <c r="AD371" s="1" t="str">
        <f>ВСЕ_КОДЫ[[#This Row],[FULL_NAME]]</f>
        <v>Интернализация. Повышаем уровень</v>
      </c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idden="1" x14ac:dyDescent="0.25">
      <c r="A372" s="1" t="s">
        <v>122</v>
      </c>
      <c r="B372" s="1" t="s">
        <v>1820</v>
      </c>
      <c r="C372" s="1" t="s">
        <v>535</v>
      </c>
      <c r="D372" s="1" t="s">
        <v>584</v>
      </c>
      <c r="E372" s="1" t="s">
        <v>123</v>
      </c>
      <c r="F372" s="1" t="s">
        <v>26</v>
      </c>
      <c r="G372" s="1" t="s">
        <v>27</v>
      </c>
      <c r="H372" s="1" t="s">
        <v>28</v>
      </c>
      <c r="I372" s="1" t="s">
        <v>50</v>
      </c>
      <c r="J372" s="1" t="s">
        <v>1800</v>
      </c>
      <c r="K372" s="1" t="s">
        <v>1801</v>
      </c>
      <c r="L372" s="1" t="s">
        <v>1802</v>
      </c>
      <c r="M372" s="1" t="s">
        <v>155</v>
      </c>
      <c r="N372" s="1" t="s">
        <v>305</v>
      </c>
      <c r="O372" s="1" t="s">
        <v>536</v>
      </c>
      <c r="P372" s="1"/>
      <c r="Q372" s="1">
        <f>IFERROR(COUNTIFS(_report[TOURNAMENT_CODE],ВСЕ_КОДЫ[[#This Row],[TOURNAMENT_CODE]],_report[CONTEST_CODE],ВСЕ_КОДЫ[[#This Row],[CONTEST_CODE]]),"-")</f>
        <v>0</v>
      </c>
      <c r="R372" s="1" t="str">
        <f>IFERROR(INDEX(_SCHEDULE_[],MATCH(ВСЕ_КОДЫ[[#This Row],[CONTEST_CODE]],_SCHEDULE_[CONTEST_CODE],0),MATCH($R$1,_SCHEDULE_[#Headers],0)),"-")</f>
        <v>ЗАВЕРШЕН</v>
      </c>
      <c r="S372" s="1" t="str">
        <f>IFERROR(INDEX(_group_[],MATCH(ВСЕ_КОДЫ[[#This Row],[CONTEST_CODE]],_group_[CONTEST_CODE],0),MATCH($S$1,_group_[#Headers],0)),"-")</f>
        <v>BANK</v>
      </c>
      <c r="T372" s="1" t="str">
        <f>IFERROR(INDEX(_INDICATOR_[],MATCH(ВСЕ_КОДЫ[[#This Row],[CONTEST_CODE]],_INDICATOR_[CONTEST_CODE],0),MATCH($T$1,_INDICATOR_[#Headers],0)),"-")</f>
        <v>WAIT</v>
      </c>
      <c r="U372" s="1" t="str">
        <f>IFERROR(INDEX(_reward_link_[],MATCH(ВСЕ_КОДЫ[[#This Row],[CONTEST_CODE]],_reward_link_[CONTEST_CODE],0),MATCH($U$1,_reward_link_[#Headers],0)),"-")</f>
        <v>GOSB</v>
      </c>
      <c r="V372" s="1" t="str">
        <f>IFERROR(INDEX(_report[],MATCH(ВСЕ_КОДЫ[[#This Row],[CONTEST_CODE]],_report[CONTEST_CODE],0),MATCH($V$1,_report[#Headers],0)),"-")</f>
        <v>-</v>
      </c>
      <c r="W372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372" s="1" t="str">
        <f>IFERROR(INDEX(_group_[],MATCH(CONCATENATE(ВСЕ_КОДЫ[[#This Row],[CONTEST_CODE]],"_",X$2),#REF!,0),MATCH(X$1,_group_[#Headers],0)),"-")</f>
        <v>-</v>
      </c>
      <c r="Y372" s="1" t="str">
        <f>IFERROR(INDEX(_group_[],MATCH(CONCATENATE(ВСЕ_КОДЫ[[#This Row],[CONTEST_CODE]],"_",Y$2),#REF!,0),MATCH(Y$1,_group_[#Headers],0)),"-")</f>
        <v>-</v>
      </c>
      <c r="Z372" s="1" t="str">
        <f>IFERROR(INDEX(_group_[],MATCH(CONCATENATE(ВСЕ_КОДЫ[[#This Row],[CONTEST_CODE]],"_",Z$2),#REF!,0),MATCH(Z$1,_group_[#Headers],0)),"-")</f>
        <v>-</v>
      </c>
      <c r="AA372" s="1" t="str">
        <f>IFERROR(INDEX(_group_[],MATCH(CONCATENATE(ВСЕ_КОДЫ[[#This Row],[CONTEST_CODE]],"_",AA$2),#REF!,0),MATCH(AA$1,_group_[#Headers],0)),"-")</f>
        <v>-</v>
      </c>
      <c r="AB372" s="1" t="str">
        <f>IFERROR(INDEX(_DATA_[],MATCH(ВСЕ_КОДЫ[[#This Row],[CONTEST_CODE]],_DATA_[CONTEST_CODE],0),MATCH($AB$2,_DATA_[#Headers],0)),"-")</f>
        <v>["""KMKKSB"""]</v>
      </c>
      <c r="AC372" s="1" t="str">
        <f>CONCATENATE(ВСЕ_КОДЫ[[#This Row],[CONTEST_CODE]],"_",ВСЕ_КОДЫ[[#This Row],[TOURNAMENT_CODE]])</f>
        <v>CONTEST_38_TOURNAMENT_38_2024_M11</v>
      </c>
      <c r="AD372" s="1" t="str">
        <f>ВСЕ_КОДЫ[[#This Row],[FULL_NAME]]</f>
        <v>Интернализация. Повышаем уровень</v>
      </c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idden="1" x14ac:dyDescent="0.25">
      <c r="A373" s="1" t="s">
        <v>122</v>
      </c>
      <c r="B373" s="1" t="s">
        <v>293</v>
      </c>
      <c r="C373" s="1" t="s">
        <v>540</v>
      </c>
      <c r="D373" s="1" t="s">
        <v>586</v>
      </c>
      <c r="E373" s="1" t="s">
        <v>123</v>
      </c>
      <c r="F373" s="1" t="s">
        <v>26</v>
      </c>
      <c r="G373" s="1" t="s">
        <v>27</v>
      </c>
      <c r="H373" s="1" t="s">
        <v>28</v>
      </c>
      <c r="I373" s="1" t="s">
        <v>50</v>
      </c>
      <c r="J373" s="1" t="s">
        <v>695</v>
      </c>
      <c r="K373" s="1" t="s">
        <v>252</v>
      </c>
      <c r="L373" s="1" t="s">
        <v>1205</v>
      </c>
      <c r="M373" s="1" t="s">
        <v>176</v>
      </c>
      <c r="N373" s="1" t="s">
        <v>305</v>
      </c>
      <c r="O373" s="1" t="s">
        <v>541</v>
      </c>
      <c r="P373" s="1"/>
      <c r="Q373" s="1">
        <f>IFERROR(COUNTIFS(_report[TOURNAMENT_CODE],ВСЕ_КОДЫ[[#This Row],[TOURNAMENT_CODE]],_report[CONTEST_CODE],ВСЕ_КОДЫ[[#This Row],[CONTEST_CODE]]),"-")</f>
        <v>0</v>
      </c>
      <c r="R373" s="1" t="str">
        <f>IFERROR(INDEX(_SCHEDULE_[],MATCH(ВСЕ_КОДЫ[[#This Row],[CONTEST_CODE]],_SCHEDULE_[CONTEST_CODE],0),MATCH($R$1,_SCHEDULE_[#Headers],0)),"-")</f>
        <v>ЗАВЕРШЕН</v>
      </c>
      <c r="S373" s="1" t="str">
        <f>IFERROR(INDEX(_group_[],MATCH(ВСЕ_КОДЫ[[#This Row],[CONTEST_CODE]],_group_[CONTEST_CODE],0),MATCH($S$1,_group_[#Headers],0)),"-")</f>
        <v>BANK</v>
      </c>
      <c r="T373" s="1" t="str">
        <f>IFERROR(INDEX(_INDICATOR_[],MATCH(ВСЕ_КОДЫ[[#This Row],[CONTEST_CODE]],_INDICATOR_[CONTEST_CODE],0),MATCH($T$1,_INDICATOR_[#Headers],0)),"-")</f>
        <v>WAIT</v>
      </c>
      <c r="U373" s="1" t="str">
        <f>IFERROR(INDEX(_reward_link_[],MATCH(ВСЕ_КОДЫ[[#This Row],[CONTEST_CODE]],_reward_link_[CONTEST_CODE],0),MATCH($U$1,_reward_link_[#Headers],0)),"-")</f>
        <v>GOSB</v>
      </c>
      <c r="V373" s="1" t="str">
        <f>IFERROR(INDEX(_report[],MATCH(ВСЕ_КОДЫ[[#This Row],[CONTEST_CODE]],_report[CONTEST_CODE],0),MATCH($V$1,_report[#Headers],0)),"-")</f>
        <v>-</v>
      </c>
      <c r="W373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373" s="1" t="str">
        <f>IFERROR(INDEX(_group_[],MATCH(CONCATENATE(ВСЕ_КОДЫ[[#This Row],[CONTEST_CODE]],"_",X$2),#REF!,0),MATCH(X$1,_group_[#Headers],0)),"-")</f>
        <v>-</v>
      </c>
      <c r="Y373" s="1" t="str">
        <f>IFERROR(INDEX(_group_[],MATCH(CONCATENATE(ВСЕ_КОДЫ[[#This Row],[CONTEST_CODE]],"_",Y$2),#REF!,0),MATCH(Y$1,_group_[#Headers],0)),"-")</f>
        <v>-</v>
      </c>
      <c r="Z373" s="1" t="str">
        <f>IFERROR(INDEX(_group_[],MATCH(CONCATENATE(ВСЕ_КОДЫ[[#This Row],[CONTEST_CODE]],"_",Z$2),#REF!,0),MATCH(Z$1,_group_[#Headers],0)),"-")</f>
        <v>-</v>
      </c>
      <c r="AA373" s="1" t="str">
        <f>IFERROR(INDEX(_group_[],MATCH(CONCATENATE(ВСЕ_КОДЫ[[#This Row],[CONTEST_CODE]],"_",AA$2),#REF!,0),MATCH(AA$1,_group_[#Headers],0)),"-")</f>
        <v>-</v>
      </c>
      <c r="AB373" s="1" t="str">
        <f>IFERROR(INDEX(_DATA_[],MATCH(ВСЕ_КОДЫ[[#This Row],[CONTEST_CODE]],_DATA_[CONTEST_CODE],0),MATCH($AB$2,_DATA_[#Headers],0)),"-")</f>
        <v>["""KMKKSB"""]</v>
      </c>
      <c r="AC373" s="1" t="str">
        <f>CONCATENATE(ВСЕ_КОДЫ[[#This Row],[CONTEST_CODE]],"_",ВСЕ_КОДЫ[[#This Row],[TOURNAMENT_CODE]])</f>
        <v>CONTEST_38_TOURNAMENT_38_00</v>
      </c>
      <c r="AD373" s="1" t="str">
        <f>ВСЕ_КОДЫ[[#This Row],[FULL_NAME]]</f>
        <v>Интернализация. Повышаем уровень</v>
      </c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idden="1" x14ac:dyDescent="0.25">
      <c r="A374" s="1" t="s">
        <v>122</v>
      </c>
      <c r="B374" s="1" t="s">
        <v>660</v>
      </c>
      <c r="C374" s="1" t="s">
        <v>540</v>
      </c>
      <c r="D374" s="1" t="s">
        <v>586</v>
      </c>
      <c r="E374" s="1" t="s">
        <v>123</v>
      </c>
      <c r="F374" s="1" t="s">
        <v>26</v>
      </c>
      <c r="G374" s="1" t="s">
        <v>27</v>
      </c>
      <c r="H374" s="1" t="s">
        <v>28</v>
      </c>
      <c r="I374" s="1" t="s">
        <v>50</v>
      </c>
      <c r="J374" s="1" t="s">
        <v>703</v>
      </c>
      <c r="K374" s="1" t="s">
        <v>704</v>
      </c>
      <c r="L374" s="1" t="s">
        <v>1173</v>
      </c>
      <c r="M374" s="1" t="s">
        <v>176</v>
      </c>
      <c r="N374" s="1" t="s">
        <v>305</v>
      </c>
      <c r="O374" s="1" t="s">
        <v>541</v>
      </c>
      <c r="P374" s="1"/>
      <c r="Q374" s="1">
        <f>IFERROR(COUNTIFS(_report[TOURNAMENT_CODE],ВСЕ_КОДЫ[[#This Row],[TOURNAMENT_CODE]],_report[CONTEST_CODE],ВСЕ_КОДЫ[[#This Row],[CONTEST_CODE]]),"-")</f>
        <v>0</v>
      </c>
      <c r="R374" s="1" t="str">
        <f>IFERROR(INDEX(_SCHEDULE_[],MATCH(ВСЕ_КОДЫ[[#This Row],[CONTEST_CODE]],_SCHEDULE_[CONTEST_CODE],0),MATCH($R$1,_SCHEDULE_[#Headers],0)),"-")</f>
        <v>ЗАВЕРШЕН</v>
      </c>
      <c r="S374" s="1" t="str">
        <f>IFERROR(INDEX(_group_[],MATCH(ВСЕ_КОДЫ[[#This Row],[CONTEST_CODE]],_group_[CONTEST_CODE],0),MATCH($S$1,_group_[#Headers],0)),"-")</f>
        <v>BANK</v>
      </c>
      <c r="T374" s="1" t="str">
        <f>IFERROR(INDEX(_INDICATOR_[],MATCH(ВСЕ_КОДЫ[[#This Row],[CONTEST_CODE]],_INDICATOR_[CONTEST_CODE],0),MATCH($T$1,_INDICATOR_[#Headers],0)),"-")</f>
        <v>WAIT</v>
      </c>
      <c r="U374" s="1" t="str">
        <f>IFERROR(INDEX(_reward_link_[],MATCH(ВСЕ_КОДЫ[[#This Row],[CONTEST_CODE]],_reward_link_[CONTEST_CODE],0),MATCH($U$1,_reward_link_[#Headers],0)),"-")</f>
        <v>GOSB</v>
      </c>
      <c r="V374" s="1" t="str">
        <f>IFERROR(INDEX(_report[],MATCH(ВСЕ_КОДЫ[[#This Row],[CONTEST_CODE]],_report[CONTEST_CODE],0),MATCH($V$1,_report[#Headers],0)),"-")</f>
        <v>-</v>
      </c>
      <c r="W374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374" s="1" t="str">
        <f>IFERROR(INDEX(_group_[],MATCH(CONCATENATE(ВСЕ_КОДЫ[[#This Row],[CONTEST_CODE]],"_",X$2),#REF!,0),MATCH(X$1,_group_[#Headers],0)),"-")</f>
        <v>-</v>
      </c>
      <c r="Y374" s="1" t="str">
        <f>IFERROR(INDEX(_group_[],MATCH(CONCATENATE(ВСЕ_КОДЫ[[#This Row],[CONTEST_CODE]],"_",Y$2),#REF!,0),MATCH(Y$1,_group_[#Headers],0)),"-")</f>
        <v>-</v>
      </c>
      <c r="Z374" s="1" t="str">
        <f>IFERROR(INDEX(_group_[],MATCH(CONCATENATE(ВСЕ_КОДЫ[[#This Row],[CONTEST_CODE]],"_",Z$2),#REF!,0),MATCH(Z$1,_group_[#Headers],0)),"-")</f>
        <v>-</v>
      </c>
      <c r="AA374" s="1" t="str">
        <f>IFERROR(INDEX(_group_[],MATCH(CONCATENATE(ВСЕ_КОДЫ[[#This Row],[CONTEST_CODE]],"_",AA$2),#REF!,0),MATCH(AA$1,_group_[#Headers],0)),"-")</f>
        <v>-</v>
      </c>
      <c r="AB374" s="1" t="str">
        <f>IFERROR(INDEX(_DATA_[],MATCH(ВСЕ_КОДЫ[[#This Row],[CONTEST_CODE]],_DATA_[CONTEST_CODE],0),MATCH($AB$2,_DATA_[#Headers],0)),"-")</f>
        <v>["""KMKKSB"""]</v>
      </c>
      <c r="AC374" s="1" t="str">
        <f>CONCATENATE(ВСЕ_КОДЫ[[#This Row],[CONTEST_CODE]],"_",ВСЕ_КОДЫ[[#This Row],[TOURNAMENT_CODE]])</f>
        <v>CONTEST_38_TOURNAMENT_38_01</v>
      </c>
      <c r="AD374" s="1" t="str">
        <f>ВСЕ_КОДЫ[[#This Row],[FULL_NAME]]</f>
        <v>Интернализация. Повышаем уровень</v>
      </c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idden="1" x14ac:dyDescent="0.25">
      <c r="A375" s="1" t="s">
        <v>122</v>
      </c>
      <c r="B375" s="1" t="s">
        <v>661</v>
      </c>
      <c r="C375" s="1" t="s">
        <v>540</v>
      </c>
      <c r="D375" s="1" t="s">
        <v>586</v>
      </c>
      <c r="E375" s="1" t="s">
        <v>123</v>
      </c>
      <c r="F375" s="1" t="s">
        <v>26</v>
      </c>
      <c r="G375" s="1" t="s">
        <v>27</v>
      </c>
      <c r="H375" s="1" t="s">
        <v>28</v>
      </c>
      <c r="I375" s="1" t="s">
        <v>50</v>
      </c>
      <c r="J375" s="1" t="s">
        <v>1078</v>
      </c>
      <c r="K375" s="1" t="s">
        <v>1173</v>
      </c>
      <c r="L375" s="1" t="s">
        <v>706</v>
      </c>
      <c r="M375" s="1" t="s">
        <v>176</v>
      </c>
      <c r="N375" s="1" t="s">
        <v>305</v>
      </c>
      <c r="O375" s="1" t="s">
        <v>541</v>
      </c>
      <c r="P375" s="1"/>
      <c r="Q375" s="1">
        <f>IFERROR(COUNTIFS(_report[TOURNAMENT_CODE],ВСЕ_КОДЫ[[#This Row],[TOURNAMENT_CODE]],_report[CONTEST_CODE],ВСЕ_КОДЫ[[#This Row],[CONTEST_CODE]]),"-")</f>
        <v>0</v>
      </c>
      <c r="R375" s="1" t="str">
        <f>IFERROR(INDEX(_SCHEDULE_[],MATCH(ВСЕ_КОДЫ[[#This Row],[CONTEST_CODE]],_SCHEDULE_[CONTEST_CODE],0),MATCH($R$1,_SCHEDULE_[#Headers],0)),"-")</f>
        <v>ЗАВЕРШЕН</v>
      </c>
      <c r="S375" s="1" t="str">
        <f>IFERROR(INDEX(_group_[],MATCH(ВСЕ_КОДЫ[[#This Row],[CONTEST_CODE]],_group_[CONTEST_CODE],0),MATCH($S$1,_group_[#Headers],0)),"-")</f>
        <v>BANK</v>
      </c>
      <c r="T375" s="1" t="str">
        <f>IFERROR(INDEX(_INDICATOR_[],MATCH(ВСЕ_КОДЫ[[#This Row],[CONTEST_CODE]],_INDICATOR_[CONTEST_CODE],0),MATCH($T$1,_INDICATOR_[#Headers],0)),"-")</f>
        <v>WAIT</v>
      </c>
      <c r="U375" s="1" t="str">
        <f>IFERROR(INDEX(_reward_link_[],MATCH(ВСЕ_КОДЫ[[#This Row],[CONTEST_CODE]],_reward_link_[CONTEST_CODE],0),MATCH($U$1,_reward_link_[#Headers],0)),"-")</f>
        <v>GOSB</v>
      </c>
      <c r="V375" s="1" t="str">
        <f>IFERROR(INDEX(_report[],MATCH(ВСЕ_КОДЫ[[#This Row],[CONTEST_CODE]],_report[CONTEST_CODE],0),MATCH($V$1,_report[#Headers],0)),"-")</f>
        <v>-</v>
      </c>
      <c r="W375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375" s="1" t="str">
        <f>IFERROR(INDEX(_group_[],MATCH(CONCATENATE(ВСЕ_КОДЫ[[#This Row],[CONTEST_CODE]],"_",X$2),#REF!,0),MATCH(X$1,_group_[#Headers],0)),"-")</f>
        <v>-</v>
      </c>
      <c r="Y375" s="1" t="str">
        <f>IFERROR(INDEX(_group_[],MATCH(CONCATENATE(ВСЕ_КОДЫ[[#This Row],[CONTEST_CODE]],"_",Y$2),#REF!,0),MATCH(Y$1,_group_[#Headers],0)),"-")</f>
        <v>-</v>
      </c>
      <c r="Z375" s="1" t="str">
        <f>IFERROR(INDEX(_group_[],MATCH(CONCATENATE(ВСЕ_КОДЫ[[#This Row],[CONTEST_CODE]],"_",Z$2),#REF!,0),MATCH(Z$1,_group_[#Headers],0)),"-")</f>
        <v>-</v>
      </c>
      <c r="AA375" s="1" t="str">
        <f>IFERROR(INDEX(_group_[],MATCH(CONCATENATE(ВСЕ_КОДЫ[[#This Row],[CONTEST_CODE]],"_",AA$2),#REF!,0),MATCH(AA$1,_group_[#Headers],0)),"-")</f>
        <v>-</v>
      </c>
      <c r="AB375" s="1" t="str">
        <f>IFERROR(INDEX(_DATA_[],MATCH(ВСЕ_КОДЫ[[#This Row],[CONTEST_CODE]],_DATA_[CONTEST_CODE],0),MATCH($AB$2,_DATA_[#Headers],0)),"-")</f>
        <v>["""KMKKSB"""]</v>
      </c>
      <c r="AC375" s="1" t="str">
        <f>CONCATENATE(ВСЕ_КОДЫ[[#This Row],[CONTEST_CODE]],"_",ВСЕ_КОДЫ[[#This Row],[TOURNAMENT_CODE]])</f>
        <v>CONTEST_38_TOURNAMENT_38_02</v>
      </c>
      <c r="AD375" s="1" t="str">
        <f>ВСЕ_КОДЫ[[#This Row],[FULL_NAME]]</f>
        <v>Интернализация. Повышаем уровень</v>
      </c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idden="1" x14ac:dyDescent="0.25">
      <c r="A376" s="1" t="s">
        <v>122</v>
      </c>
      <c r="B376" s="1" t="s">
        <v>1286</v>
      </c>
      <c r="C376" s="1" t="s">
        <v>540</v>
      </c>
      <c r="D376" s="1" t="s">
        <v>586</v>
      </c>
      <c r="E376" s="1" t="s">
        <v>123</v>
      </c>
      <c r="F376" s="1" t="s">
        <v>26</v>
      </c>
      <c r="G376" s="1" t="s">
        <v>27</v>
      </c>
      <c r="H376" s="1" t="s">
        <v>28</v>
      </c>
      <c r="I376" s="1" t="s">
        <v>50</v>
      </c>
      <c r="J376" s="1" t="s">
        <v>1225</v>
      </c>
      <c r="K376" s="1" t="s">
        <v>1070</v>
      </c>
      <c r="L376" s="1" t="s">
        <v>1713</v>
      </c>
      <c r="M376" s="1" t="s">
        <v>176</v>
      </c>
      <c r="N376" s="1" t="s">
        <v>305</v>
      </c>
      <c r="O376" s="1" t="s">
        <v>541</v>
      </c>
      <c r="P376" s="1"/>
      <c r="Q376" s="1">
        <f>IFERROR(COUNTIFS(_report[TOURNAMENT_CODE],ВСЕ_КОДЫ[[#This Row],[TOURNAMENT_CODE]],_report[CONTEST_CODE],ВСЕ_КОДЫ[[#This Row],[CONTEST_CODE]]),"-")</f>
        <v>0</v>
      </c>
      <c r="R376" s="1" t="str">
        <f>IFERROR(INDEX(_SCHEDULE_[],MATCH(ВСЕ_КОДЫ[[#This Row],[CONTEST_CODE]],_SCHEDULE_[CONTEST_CODE],0),MATCH($R$1,_SCHEDULE_[#Headers],0)),"-")</f>
        <v>ЗАВЕРШЕН</v>
      </c>
      <c r="S376" s="1" t="str">
        <f>IFERROR(INDEX(_group_[],MATCH(ВСЕ_КОДЫ[[#This Row],[CONTEST_CODE]],_group_[CONTEST_CODE],0),MATCH($S$1,_group_[#Headers],0)),"-")</f>
        <v>BANK</v>
      </c>
      <c r="T376" s="1" t="str">
        <f>IFERROR(INDEX(_INDICATOR_[],MATCH(ВСЕ_КОДЫ[[#This Row],[CONTEST_CODE]],_INDICATOR_[CONTEST_CODE],0),MATCH($T$1,_INDICATOR_[#Headers],0)),"-")</f>
        <v>WAIT</v>
      </c>
      <c r="U376" s="1" t="str">
        <f>IFERROR(INDEX(_reward_link_[],MATCH(ВСЕ_КОДЫ[[#This Row],[CONTEST_CODE]],_reward_link_[CONTEST_CODE],0),MATCH($U$1,_reward_link_[#Headers],0)),"-")</f>
        <v>GOSB</v>
      </c>
      <c r="V376" s="1" t="str">
        <f>IFERROR(INDEX(_report[],MATCH(ВСЕ_КОДЫ[[#This Row],[CONTEST_CODE]],_report[CONTEST_CODE],0),MATCH($V$1,_report[#Headers],0)),"-")</f>
        <v>-</v>
      </c>
      <c r="W376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376" s="1" t="str">
        <f>IFERROR(INDEX(_group_[],MATCH(CONCATENATE(ВСЕ_КОДЫ[[#This Row],[CONTEST_CODE]],"_",X$2),#REF!,0),MATCH(X$1,_group_[#Headers],0)),"-")</f>
        <v>-</v>
      </c>
      <c r="Y376" s="1" t="str">
        <f>IFERROR(INDEX(_group_[],MATCH(CONCATENATE(ВСЕ_КОДЫ[[#This Row],[CONTEST_CODE]],"_",Y$2),#REF!,0),MATCH(Y$1,_group_[#Headers],0)),"-")</f>
        <v>-</v>
      </c>
      <c r="Z376" s="1" t="str">
        <f>IFERROR(INDEX(_group_[],MATCH(CONCATENATE(ВСЕ_КОДЫ[[#This Row],[CONTEST_CODE]],"_",Z$2),#REF!,0),MATCH(Z$1,_group_[#Headers],0)),"-")</f>
        <v>-</v>
      </c>
      <c r="AA376" s="1" t="str">
        <f>IFERROR(INDEX(_group_[],MATCH(CONCATENATE(ВСЕ_КОДЫ[[#This Row],[CONTEST_CODE]],"_",AA$2),#REF!,0),MATCH(AA$1,_group_[#Headers],0)),"-")</f>
        <v>-</v>
      </c>
      <c r="AB376" s="1" t="str">
        <f>IFERROR(INDEX(_DATA_[],MATCH(ВСЕ_КОДЫ[[#This Row],[CONTEST_CODE]],_DATA_[CONTEST_CODE],0),MATCH($AB$2,_DATA_[#Headers],0)),"-")</f>
        <v>["""KMKKSB"""]</v>
      </c>
      <c r="AC376" s="1" t="str">
        <f>CONCATENATE(ВСЕ_КОДЫ[[#This Row],[CONTEST_CODE]],"_",ВСЕ_КОДЫ[[#This Row],[TOURNAMENT_CODE]])</f>
        <v>CONTEST_38_TOURNAMENT_38_03</v>
      </c>
      <c r="AD376" s="1" t="str">
        <f>ВСЕ_КОДЫ[[#This Row],[FULL_NAME]]</f>
        <v>Интернализация. Повышаем уровень</v>
      </c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idden="1" x14ac:dyDescent="0.25">
      <c r="A377" s="1" t="s">
        <v>122</v>
      </c>
      <c r="B377" s="1" t="s">
        <v>1661</v>
      </c>
      <c r="C377" s="1" t="s">
        <v>540</v>
      </c>
      <c r="D377" s="1" t="s">
        <v>586</v>
      </c>
      <c r="E377" s="1" t="s">
        <v>123</v>
      </c>
      <c r="F377" s="1" t="s">
        <v>26</v>
      </c>
      <c r="G377" s="1" t="s">
        <v>27</v>
      </c>
      <c r="H377" s="1" t="s">
        <v>28</v>
      </c>
      <c r="I377" s="1" t="s">
        <v>50</v>
      </c>
      <c r="J377" s="1" t="s">
        <v>1308</v>
      </c>
      <c r="K377" s="1" t="s">
        <v>1638</v>
      </c>
      <c r="L377" s="1" t="s">
        <v>1835</v>
      </c>
      <c r="M377" s="1" t="s">
        <v>176</v>
      </c>
      <c r="N377" s="1" t="s">
        <v>305</v>
      </c>
      <c r="O377" s="1" t="s">
        <v>541</v>
      </c>
      <c r="P377" s="1"/>
      <c r="Q377" s="1">
        <f>IFERROR(COUNTIFS(_report[TOURNAMENT_CODE],ВСЕ_КОДЫ[[#This Row],[TOURNAMENT_CODE]],_report[CONTEST_CODE],ВСЕ_КОДЫ[[#This Row],[CONTEST_CODE]]),"-")</f>
        <v>0</v>
      </c>
      <c r="R377" s="1" t="str">
        <f>IFERROR(INDEX(_SCHEDULE_[],MATCH(ВСЕ_КОДЫ[[#This Row],[CONTEST_CODE]],_SCHEDULE_[CONTEST_CODE],0),MATCH($R$1,_SCHEDULE_[#Headers],0)),"-")</f>
        <v>ЗАВЕРШЕН</v>
      </c>
      <c r="S377" s="1" t="str">
        <f>IFERROR(INDEX(_group_[],MATCH(ВСЕ_КОДЫ[[#This Row],[CONTEST_CODE]],_group_[CONTEST_CODE],0),MATCH($S$1,_group_[#Headers],0)),"-")</f>
        <v>BANK</v>
      </c>
      <c r="T377" s="1" t="str">
        <f>IFERROR(INDEX(_INDICATOR_[],MATCH(ВСЕ_КОДЫ[[#This Row],[CONTEST_CODE]],_INDICATOR_[CONTEST_CODE],0),MATCH($T$1,_INDICATOR_[#Headers],0)),"-")</f>
        <v>WAIT</v>
      </c>
      <c r="U377" s="1" t="str">
        <f>IFERROR(INDEX(_reward_link_[],MATCH(ВСЕ_КОДЫ[[#This Row],[CONTEST_CODE]],_reward_link_[CONTEST_CODE],0),MATCH($U$1,_reward_link_[#Headers],0)),"-")</f>
        <v>GOSB</v>
      </c>
      <c r="V377" s="1" t="str">
        <f>IFERROR(INDEX(_report[],MATCH(ВСЕ_КОДЫ[[#This Row],[CONTEST_CODE]],_report[CONTEST_CODE],0),MATCH($V$1,_report[#Headers],0)),"-")</f>
        <v>-</v>
      </c>
      <c r="W377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377" s="1" t="str">
        <f>IFERROR(INDEX(_group_[],MATCH(CONCATENATE(ВСЕ_КОДЫ[[#This Row],[CONTEST_CODE]],"_",X$2),#REF!,0),MATCH(X$1,_group_[#Headers],0)),"-")</f>
        <v>-</v>
      </c>
      <c r="Y377" s="1" t="str">
        <f>IFERROR(INDEX(_group_[],MATCH(CONCATENATE(ВСЕ_КОДЫ[[#This Row],[CONTEST_CODE]],"_",Y$2),#REF!,0),MATCH(Y$1,_group_[#Headers],0)),"-")</f>
        <v>-</v>
      </c>
      <c r="Z377" s="1" t="str">
        <f>IFERROR(INDEX(_group_[],MATCH(CONCATENATE(ВСЕ_КОДЫ[[#This Row],[CONTEST_CODE]],"_",Z$2),#REF!,0),MATCH(Z$1,_group_[#Headers],0)),"-")</f>
        <v>-</v>
      </c>
      <c r="AA377" s="1" t="str">
        <f>IFERROR(INDEX(_group_[],MATCH(CONCATENATE(ВСЕ_КОДЫ[[#This Row],[CONTEST_CODE]],"_",AA$2),#REF!,0),MATCH(AA$1,_group_[#Headers],0)),"-")</f>
        <v>-</v>
      </c>
      <c r="AB377" s="1" t="str">
        <f>IFERROR(INDEX(_DATA_[],MATCH(ВСЕ_КОДЫ[[#This Row],[CONTEST_CODE]],_DATA_[CONTEST_CODE],0),MATCH($AB$2,_DATA_[#Headers],0)),"-")</f>
        <v>["""KMKKSB"""]</v>
      </c>
      <c r="AC377" s="1" t="str">
        <f>CONCATENATE(ВСЕ_КОДЫ[[#This Row],[CONTEST_CODE]],"_",ВСЕ_КОДЫ[[#This Row],[TOURNAMENT_CODE]])</f>
        <v>CONTEST_38_TOURNAMENT_38_2024_M10</v>
      </c>
      <c r="AD377" s="1" t="str">
        <f>ВСЕ_КОДЫ[[#This Row],[FULL_NAME]]</f>
        <v>Интернализация. Повышаем уровень</v>
      </c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idden="1" x14ac:dyDescent="0.25">
      <c r="A378" s="1" t="s">
        <v>122</v>
      </c>
      <c r="B378" s="1" t="s">
        <v>1820</v>
      </c>
      <c r="C378" s="1" t="s">
        <v>540</v>
      </c>
      <c r="D378" s="1" t="s">
        <v>586</v>
      </c>
      <c r="E378" s="1" t="s">
        <v>123</v>
      </c>
      <c r="F378" s="1" t="s">
        <v>26</v>
      </c>
      <c r="G378" s="1" t="s">
        <v>27</v>
      </c>
      <c r="H378" s="1" t="s">
        <v>28</v>
      </c>
      <c r="I378" s="1" t="s">
        <v>50</v>
      </c>
      <c r="J378" s="1" t="s">
        <v>1800</v>
      </c>
      <c r="K378" s="1" t="s">
        <v>1801</v>
      </c>
      <c r="L378" s="1" t="s">
        <v>1802</v>
      </c>
      <c r="M378" s="1" t="s">
        <v>155</v>
      </c>
      <c r="N378" s="1" t="s">
        <v>305</v>
      </c>
      <c r="O378" s="1" t="s">
        <v>541</v>
      </c>
      <c r="P378" s="1"/>
      <c r="Q378" s="1">
        <f>IFERROR(COUNTIFS(_report[TOURNAMENT_CODE],ВСЕ_КОДЫ[[#This Row],[TOURNAMENT_CODE]],_report[CONTEST_CODE],ВСЕ_КОДЫ[[#This Row],[CONTEST_CODE]]),"-")</f>
        <v>0</v>
      </c>
      <c r="R378" s="1" t="str">
        <f>IFERROR(INDEX(_SCHEDULE_[],MATCH(ВСЕ_КОДЫ[[#This Row],[CONTEST_CODE]],_SCHEDULE_[CONTEST_CODE],0),MATCH($R$1,_SCHEDULE_[#Headers],0)),"-")</f>
        <v>ЗАВЕРШЕН</v>
      </c>
      <c r="S378" s="1" t="str">
        <f>IFERROR(INDEX(_group_[],MATCH(ВСЕ_КОДЫ[[#This Row],[CONTEST_CODE]],_group_[CONTEST_CODE],0),MATCH($S$1,_group_[#Headers],0)),"-")</f>
        <v>BANK</v>
      </c>
      <c r="T378" s="1" t="str">
        <f>IFERROR(INDEX(_INDICATOR_[],MATCH(ВСЕ_КОДЫ[[#This Row],[CONTEST_CODE]],_INDICATOR_[CONTEST_CODE],0),MATCH($T$1,_INDICATOR_[#Headers],0)),"-")</f>
        <v>WAIT</v>
      </c>
      <c r="U378" s="1" t="str">
        <f>IFERROR(INDEX(_reward_link_[],MATCH(ВСЕ_КОДЫ[[#This Row],[CONTEST_CODE]],_reward_link_[CONTEST_CODE],0),MATCH($U$1,_reward_link_[#Headers],0)),"-")</f>
        <v>GOSB</v>
      </c>
      <c r="V378" s="1" t="str">
        <f>IFERROR(INDEX(_report[],MATCH(ВСЕ_КОДЫ[[#This Row],[CONTEST_CODE]],_report[CONTEST_CODE],0),MATCH($V$1,_report[#Headers],0)),"-")</f>
        <v>-</v>
      </c>
      <c r="W378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378" s="1" t="str">
        <f>IFERROR(INDEX(_group_[],MATCH(CONCATENATE(ВСЕ_КОДЫ[[#This Row],[CONTEST_CODE]],"_",X$2),#REF!,0),MATCH(X$1,_group_[#Headers],0)),"-")</f>
        <v>-</v>
      </c>
      <c r="Y378" s="1" t="str">
        <f>IFERROR(INDEX(_group_[],MATCH(CONCATENATE(ВСЕ_КОДЫ[[#This Row],[CONTEST_CODE]],"_",Y$2),#REF!,0),MATCH(Y$1,_group_[#Headers],0)),"-")</f>
        <v>-</v>
      </c>
      <c r="Z378" s="1" t="str">
        <f>IFERROR(INDEX(_group_[],MATCH(CONCATENATE(ВСЕ_КОДЫ[[#This Row],[CONTEST_CODE]],"_",Z$2),#REF!,0),MATCH(Z$1,_group_[#Headers],0)),"-")</f>
        <v>-</v>
      </c>
      <c r="AA378" s="1" t="str">
        <f>IFERROR(INDEX(_group_[],MATCH(CONCATENATE(ВСЕ_КОДЫ[[#This Row],[CONTEST_CODE]],"_",AA$2),#REF!,0),MATCH(AA$1,_group_[#Headers],0)),"-")</f>
        <v>-</v>
      </c>
      <c r="AB378" s="1" t="str">
        <f>IFERROR(INDEX(_DATA_[],MATCH(ВСЕ_КОДЫ[[#This Row],[CONTEST_CODE]],_DATA_[CONTEST_CODE],0),MATCH($AB$2,_DATA_[#Headers],0)),"-")</f>
        <v>["""KMKKSB"""]</v>
      </c>
      <c r="AC378" s="1" t="str">
        <f>CONCATENATE(ВСЕ_КОДЫ[[#This Row],[CONTEST_CODE]],"_",ВСЕ_КОДЫ[[#This Row],[TOURNAMENT_CODE]])</f>
        <v>CONTEST_38_TOURNAMENT_38_2024_M11</v>
      </c>
      <c r="AD378" s="1" t="str">
        <f>ВСЕ_КОДЫ[[#This Row],[FULL_NAME]]</f>
        <v>Интернализация. Повышаем уровень</v>
      </c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idden="1" x14ac:dyDescent="0.25">
      <c r="A379" s="1" t="s">
        <v>122</v>
      </c>
      <c r="B379" s="1" t="s">
        <v>293</v>
      </c>
      <c r="C379" s="1" t="s">
        <v>542</v>
      </c>
      <c r="D379" s="1" t="s">
        <v>583</v>
      </c>
      <c r="E379" s="1" t="s">
        <v>123</v>
      </c>
      <c r="F379" s="1" t="s">
        <v>26</v>
      </c>
      <c r="G379" s="1" t="s">
        <v>27</v>
      </c>
      <c r="H379" s="1" t="s">
        <v>28</v>
      </c>
      <c r="I379" s="1" t="s">
        <v>50</v>
      </c>
      <c r="J379" s="1" t="s">
        <v>695</v>
      </c>
      <c r="K379" s="1" t="s">
        <v>252</v>
      </c>
      <c r="L379" s="1" t="s">
        <v>1205</v>
      </c>
      <c r="M379" s="1" t="s">
        <v>176</v>
      </c>
      <c r="N379" s="1" t="s">
        <v>305</v>
      </c>
      <c r="O379" s="1" t="s">
        <v>543</v>
      </c>
      <c r="P379" s="1"/>
      <c r="Q379" s="1">
        <f>IFERROR(COUNTIFS(_report[TOURNAMENT_CODE],ВСЕ_КОДЫ[[#This Row],[TOURNAMENT_CODE]],_report[CONTEST_CODE],ВСЕ_КОДЫ[[#This Row],[CONTEST_CODE]]),"-")</f>
        <v>0</v>
      </c>
      <c r="R379" s="1" t="str">
        <f>IFERROR(INDEX(_SCHEDULE_[],MATCH(ВСЕ_КОДЫ[[#This Row],[CONTEST_CODE]],_SCHEDULE_[CONTEST_CODE],0),MATCH($R$1,_SCHEDULE_[#Headers],0)),"-")</f>
        <v>ЗАВЕРШЕН</v>
      </c>
      <c r="S379" s="1" t="str">
        <f>IFERROR(INDEX(_group_[],MATCH(ВСЕ_КОДЫ[[#This Row],[CONTEST_CODE]],_group_[CONTEST_CODE],0),MATCH($S$1,_group_[#Headers],0)),"-")</f>
        <v>BANK</v>
      </c>
      <c r="T379" s="1" t="str">
        <f>IFERROR(INDEX(_INDICATOR_[],MATCH(ВСЕ_КОДЫ[[#This Row],[CONTEST_CODE]],_INDICATOR_[CONTEST_CODE],0),MATCH($T$1,_INDICATOR_[#Headers],0)),"-")</f>
        <v>WAIT</v>
      </c>
      <c r="U379" s="1" t="str">
        <f>IFERROR(INDEX(_reward_link_[],MATCH(ВСЕ_КОДЫ[[#This Row],[CONTEST_CODE]],_reward_link_[CONTEST_CODE],0),MATCH($U$1,_reward_link_[#Headers],0)),"-")</f>
        <v>GOSB</v>
      </c>
      <c r="V379" s="1" t="str">
        <f>IFERROR(INDEX(_report[],MATCH(ВСЕ_КОДЫ[[#This Row],[CONTEST_CODE]],_report[CONTEST_CODE],0),MATCH($V$1,_report[#Headers],0)),"-")</f>
        <v>-</v>
      </c>
      <c r="W379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379" s="1" t="str">
        <f>IFERROR(INDEX(_group_[],MATCH(CONCATENATE(ВСЕ_КОДЫ[[#This Row],[CONTEST_CODE]],"_",X$2),#REF!,0),MATCH(X$1,_group_[#Headers],0)),"-")</f>
        <v>-</v>
      </c>
      <c r="Y379" s="1" t="str">
        <f>IFERROR(INDEX(_group_[],MATCH(CONCATENATE(ВСЕ_КОДЫ[[#This Row],[CONTEST_CODE]],"_",Y$2),#REF!,0),MATCH(Y$1,_group_[#Headers],0)),"-")</f>
        <v>-</v>
      </c>
      <c r="Z379" s="1" t="str">
        <f>IFERROR(INDEX(_group_[],MATCH(CONCATENATE(ВСЕ_КОДЫ[[#This Row],[CONTEST_CODE]],"_",Z$2),#REF!,0),MATCH(Z$1,_group_[#Headers],0)),"-")</f>
        <v>-</v>
      </c>
      <c r="AA379" s="1" t="str">
        <f>IFERROR(INDEX(_group_[],MATCH(CONCATENATE(ВСЕ_КОДЫ[[#This Row],[CONTEST_CODE]],"_",AA$2),#REF!,0),MATCH(AA$1,_group_[#Headers],0)),"-")</f>
        <v>-</v>
      </c>
      <c r="AB379" s="1" t="str">
        <f>IFERROR(INDEX(_DATA_[],MATCH(ВСЕ_КОДЫ[[#This Row],[CONTEST_CODE]],_DATA_[CONTEST_CODE],0),MATCH($AB$2,_DATA_[#Headers],0)),"-")</f>
        <v>["""KMKKSB"""]</v>
      </c>
      <c r="AC379" s="1" t="str">
        <f>CONCATENATE(ВСЕ_КОДЫ[[#This Row],[CONTEST_CODE]],"_",ВСЕ_КОДЫ[[#This Row],[TOURNAMENT_CODE]])</f>
        <v>CONTEST_38_TOURNAMENT_38_00</v>
      </c>
      <c r="AD379" s="1" t="str">
        <f>ВСЕ_КОДЫ[[#This Row],[FULL_NAME]]</f>
        <v>Интернализация. Повышаем уровень</v>
      </c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idden="1" x14ac:dyDescent="0.25">
      <c r="A380" s="1" t="s">
        <v>122</v>
      </c>
      <c r="B380" s="1" t="s">
        <v>660</v>
      </c>
      <c r="C380" s="1" t="s">
        <v>542</v>
      </c>
      <c r="D380" s="1" t="s">
        <v>583</v>
      </c>
      <c r="E380" s="1" t="s">
        <v>123</v>
      </c>
      <c r="F380" s="1" t="s">
        <v>26</v>
      </c>
      <c r="G380" s="1" t="s">
        <v>27</v>
      </c>
      <c r="H380" s="1" t="s">
        <v>28</v>
      </c>
      <c r="I380" s="1" t="s">
        <v>50</v>
      </c>
      <c r="J380" s="1" t="s">
        <v>703</v>
      </c>
      <c r="K380" s="1" t="s">
        <v>704</v>
      </c>
      <c r="L380" s="1" t="s">
        <v>1173</v>
      </c>
      <c r="M380" s="1" t="s">
        <v>176</v>
      </c>
      <c r="N380" s="1" t="s">
        <v>305</v>
      </c>
      <c r="O380" s="1" t="s">
        <v>543</v>
      </c>
      <c r="P380" s="1"/>
      <c r="Q380" s="1">
        <f>IFERROR(COUNTIFS(_report[TOURNAMENT_CODE],ВСЕ_КОДЫ[[#This Row],[TOURNAMENT_CODE]],_report[CONTEST_CODE],ВСЕ_КОДЫ[[#This Row],[CONTEST_CODE]]),"-")</f>
        <v>0</v>
      </c>
      <c r="R380" s="1" t="str">
        <f>IFERROR(INDEX(_SCHEDULE_[],MATCH(ВСЕ_КОДЫ[[#This Row],[CONTEST_CODE]],_SCHEDULE_[CONTEST_CODE],0),MATCH($R$1,_SCHEDULE_[#Headers],0)),"-")</f>
        <v>ЗАВЕРШЕН</v>
      </c>
      <c r="S380" s="1" t="str">
        <f>IFERROR(INDEX(_group_[],MATCH(ВСЕ_КОДЫ[[#This Row],[CONTEST_CODE]],_group_[CONTEST_CODE],0),MATCH($S$1,_group_[#Headers],0)),"-")</f>
        <v>BANK</v>
      </c>
      <c r="T380" s="1" t="str">
        <f>IFERROR(INDEX(_INDICATOR_[],MATCH(ВСЕ_КОДЫ[[#This Row],[CONTEST_CODE]],_INDICATOR_[CONTEST_CODE],0),MATCH($T$1,_INDICATOR_[#Headers],0)),"-")</f>
        <v>WAIT</v>
      </c>
      <c r="U380" s="1" t="str">
        <f>IFERROR(INDEX(_reward_link_[],MATCH(ВСЕ_КОДЫ[[#This Row],[CONTEST_CODE]],_reward_link_[CONTEST_CODE],0),MATCH($U$1,_reward_link_[#Headers],0)),"-")</f>
        <v>GOSB</v>
      </c>
      <c r="V380" s="1" t="str">
        <f>IFERROR(INDEX(_report[],MATCH(ВСЕ_КОДЫ[[#This Row],[CONTEST_CODE]],_report[CONTEST_CODE],0),MATCH($V$1,_report[#Headers],0)),"-")</f>
        <v>-</v>
      </c>
      <c r="W380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380" s="1" t="str">
        <f>IFERROR(INDEX(_group_[],MATCH(CONCATENATE(ВСЕ_КОДЫ[[#This Row],[CONTEST_CODE]],"_",X$2),#REF!,0),MATCH(X$1,_group_[#Headers],0)),"-")</f>
        <v>-</v>
      </c>
      <c r="Y380" s="1" t="str">
        <f>IFERROR(INDEX(_group_[],MATCH(CONCATENATE(ВСЕ_КОДЫ[[#This Row],[CONTEST_CODE]],"_",Y$2),#REF!,0),MATCH(Y$1,_group_[#Headers],0)),"-")</f>
        <v>-</v>
      </c>
      <c r="Z380" s="1" t="str">
        <f>IFERROR(INDEX(_group_[],MATCH(CONCATENATE(ВСЕ_КОДЫ[[#This Row],[CONTEST_CODE]],"_",Z$2),#REF!,0),MATCH(Z$1,_group_[#Headers],0)),"-")</f>
        <v>-</v>
      </c>
      <c r="AA380" s="1" t="str">
        <f>IFERROR(INDEX(_group_[],MATCH(CONCATENATE(ВСЕ_КОДЫ[[#This Row],[CONTEST_CODE]],"_",AA$2),#REF!,0),MATCH(AA$1,_group_[#Headers],0)),"-")</f>
        <v>-</v>
      </c>
      <c r="AB380" s="1" t="str">
        <f>IFERROR(INDEX(_DATA_[],MATCH(ВСЕ_КОДЫ[[#This Row],[CONTEST_CODE]],_DATA_[CONTEST_CODE],0),MATCH($AB$2,_DATA_[#Headers],0)),"-")</f>
        <v>["""KMKKSB"""]</v>
      </c>
      <c r="AC380" s="1" t="str">
        <f>CONCATENATE(ВСЕ_КОДЫ[[#This Row],[CONTEST_CODE]],"_",ВСЕ_КОДЫ[[#This Row],[TOURNAMENT_CODE]])</f>
        <v>CONTEST_38_TOURNAMENT_38_01</v>
      </c>
      <c r="AD380" s="1" t="str">
        <f>ВСЕ_КОДЫ[[#This Row],[FULL_NAME]]</f>
        <v>Интернализация. Повышаем уровень</v>
      </c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idden="1" x14ac:dyDescent="0.25">
      <c r="A381" s="1" t="s">
        <v>122</v>
      </c>
      <c r="B381" s="1" t="s">
        <v>661</v>
      </c>
      <c r="C381" s="1" t="s">
        <v>542</v>
      </c>
      <c r="D381" s="1" t="s">
        <v>583</v>
      </c>
      <c r="E381" s="1" t="s">
        <v>123</v>
      </c>
      <c r="F381" s="1" t="s">
        <v>26</v>
      </c>
      <c r="G381" s="1" t="s">
        <v>27</v>
      </c>
      <c r="H381" s="1" t="s">
        <v>28</v>
      </c>
      <c r="I381" s="1" t="s">
        <v>50</v>
      </c>
      <c r="J381" s="1" t="s">
        <v>1078</v>
      </c>
      <c r="K381" s="1" t="s">
        <v>1173</v>
      </c>
      <c r="L381" s="1" t="s">
        <v>706</v>
      </c>
      <c r="M381" s="1" t="s">
        <v>176</v>
      </c>
      <c r="N381" s="1" t="s">
        <v>305</v>
      </c>
      <c r="O381" s="1" t="s">
        <v>543</v>
      </c>
      <c r="P381" s="1"/>
      <c r="Q381" s="1">
        <f>IFERROR(COUNTIFS(_report[TOURNAMENT_CODE],ВСЕ_КОДЫ[[#This Row],[TOURNAMENT_CODE]],_report[CONTEST_CODE],ВСЕ_КОДЫ[[#This Row],[CONTEST_CODE]]),"-")</f>
        <v>0</v>
      </c>
      <c r="R381" s="1" t="str">
        <f>IFERROR(INDEX(_SCHEDULE_[],MATCH(ВСЕ_КОДЫ[[#This Row],[CONTEST_CODE]],_SCHEDULE_[CONTEST_CODE],0),MATCH($R$1,_SCHEDULE_[#Headers],0)),"-")</f>
        <v>ЗАВЕРШЕН</v>
      </c>
      <c r="S381" s="1" t="str">
        <f>IFERROR(INDEX(_group_[],MATCH(ВСЕ_КОДЫ[[#This Row],[CONTEST_CODE]],_group_[CONTEST_CODE],0),MATCH($S$1,_group_[#Headers],0)),"-")</f>
        <v>BANK</v>
      </c>
      <c r="T381" s="1" t="str">
        <f>IFERROR(INDEX(_INDICATOR_[],MATCH(ВСЕ_КОДЫ[[#This Row],[CONTEST_CODE]],_INDICATOR_[CONTEST_CODE],0),MATCH($T$1,_INDICATOR_[#Headers],0)),"-")</f>
        <v>WAIT</v>
      </c>
      <c r="U381" s="1" t="str">
        <f>IFERROR(INDEX(_reward_link_[],MATCH(ВСЕ_КОДЫ[[#This Row],[CONTEST_CODE]],_reward_link_[CONTEST_CODE],0),MATCH($U$1,_reward_link_[#Headers],0)),"-")</f>
        <v>GOSB</v>
      </c>
      <c r="V381" s="1" t="str">
        <f>IFERROR(INDEX(_report[],MATCH(ВСЕ_КОДЫ[[#This Row],[CONTEST_CODE]],_report[CONTEST_CODE],0),MATCH($V$1,_report[#Headers],0)),"-")</f>
        <v>-</v>
      </c>
      <c r="W381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381" s="1" t="str">
        <f>IFERROR(INDEX(_group_[],MATCH(CONCATENATE(ВСЕ_КОДЫ[[#This Row],[CONTEST_CODE]],"_",X$2),#REF!,0),MATCH(X$1,_group_[#Headers],0)),"-")</f>
        <v>-</v>
      </c>
      <c r="Y381" s="1" t="str">
        <f>IFERROR(INDEX(_group_[],MATCH(CONCATENATE(ВСЕ_КОДЫ[[#This Row],[CONTEST_CODE]],"_",Y$2),#REF!,0),MATCH(Y$1,_group_[#Headers],0)),"-")</f>
        <v>-</v>
      </c>
      <c r="Z381" s="1" t="str">
        <f>IFERROR(INDEX(_group_[],MATCH(CONCATENATE(ВСЕ_КОДЫ[[#This Row],[CONTEST_CODE]],"_",Z$2),#REF!,0),MATCH(Z$1,_group_[#Headers],0)),"-")</f>
        <v>-</v>
      </c>
      <c r="AA381" s="1" t="str">
        <f>IFERROR(INDEX(_group_[],MATCH(CONCATENATE(ВСЕ_КОДЫ[[#This Row],[CONTEST_CODE]],"_",AA$2),#REF!,0),MATCH(AA$1,_group_[#Headers],0)),"-")</f>
        <v>-</v>
      </c>
      <c r="AB381" s="1" t="str">
        <f>IFERROR(INDEX(_DATA_[],MATCH(ВСЕ_КОДЫ[[#This Row],[CONTEST_CODE]],_DATA_[CONTEST_CODE],0),MATCH($AB$2,_DATA_[#Headers],0)),"-")</f>
        <v>["""KMKKSB"""]</v>
      </c>
      <c r="AC381" s="1" t="str">
        <f>CONCATENATE(ВСЕ_КОДЫ[[#This Row],[CONTEST_CODE]],"_",ВСЕ_КОДЫ[[#This Row],[TOURNAMENT_CODE]])</f>
        <v>CONTEST_38_TOURNAMENT_38_02</v>
      </c>
      <c r="AD381" s="1" t="str">
        <f>ВСЕ_КОДЫ[[#This Row],[FULL_NAME]]</f>
        <v>Интернализация. Повышаем уровень</v>
      </c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idden="1" x14ac:dyDescent="0.25">
      <c r="A382" s="1" t="s">
        <v>122</v>
      </c>
      <c r="B382" s="1" t="s">
        <v>1286</v>
      </c>
      <c r="C382" s="1" t="s">
        <v>542</v>
      </c>
      <c r="D382" s="1" t="s">
        <v>583</v>
      </c>
      <c r="E382" s="1" t="s">
        <v>123</v>
      </c>
      <c r="F382" s="1" t="s">
        <v>26</v>
      </c>
      <c r="G382" s="1" t="s">
        <v>27</v>
      </c>
      <c r="H382" s="1" t="s">
        <v>28</v>
      </c>
      <c r="I382" s="1" t="s">
        <v>50</v>
      </c>
      <c r="J382" s="1" t="s">
        <v>1225</v>
      </c>
      <c r="K382" s="1" t="s">
        <v>1070</v>
      </c>
      <c r="L382" s="1" t="s">
        <v>1713</v>
      </c>
      <c r="M382" s="1" t="s">
        <v>176</v>
      </c>
      <c r="N382" s="1" t="s">
        <v>305</v>
      </c>
      <c r="O382" s="1" t="s">
        <v>543</v>
      </c>
      <c r="P382" s="1"/>
      <c r="Q382" s="1">
        <f>IFERROR(COUNTIFS(_report[TOURNAMENT_CODE],ВСЕ_КОДЫ[[#This Row],[TOURNAMENT_CODE]],_report[CONTEST_CODE],ВСЕ_КОДЫ[[#This Row],[CONTEST_CODE]]),"-")</f>
        <v>0</v>
      </c>
      <c r="R382" s="1" t="str">
        <f>IFERROR(INDEX(_SCHEDULE_[],MATCH(ВСЕ_КОДЫ[[#This Row],[CONTEST_CODE]],_SCHEDULE_[CONTEST_CODE],0),MATCH($R$1,_SCHEDULE_[#Headers],0)),"-")</f>
        <v>ЗАВЕРШЕН</v>
      </c>
      <c r="S382" s="1" t="str">
        <f>IFERROR(INDEX(_group_[],MATCH(ВСЕ_КОДЫ[[#This Row],[CONTEST_CODE]],_group_[CONTEST_CODE],0),MATCH($S$1,_group_[#Headers],0)),"-")</f>
        <v>BANK</v>
      </c>
      <c r="T382" s="1" t="str">
        <f>IFERROR(INDEX(_INDICATOR_[],MATCH(ВСЕ_КОДЫ[[#This Row],[CONTEST_CODE]],_INDICATOR_[CONTEST_CODE],0),MATCH($T$1,_INDICATOR_[#Headers],0)),"-")</f>
        <v>WAIT</v>
      </c>
      <c r="U382" s="1" t="str">
        <f>IFERROR(INDEX(_reward_link_[],MATCH(ВСЕ_КОДЫ[[#This Row],[CONTEST_CODE]],_reward_link_[CONTEST_CODE],0),MATCH($U$1,_reward_link_[#Headers],0)),"-")</f>
        <v>GOSB</v>
      </c>
      <c r="V382" s="1" t="str">
        <f>IFERROR(INDEX(_report[],MATCH(ВСЕ_КОДЫ[[#This Row],[CONTEST_CODE]],_report[CONTEST_CODE],0),MATCH($V$1,_report[#Headers],0)),"-")</f>
        <v>-</v>
      </c>
      <c r="W382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382" s="1" t="str">
        <f>IFERROR(INDEX(_group_[],MATCH(CONCATENATE(ВСЕ_КОДЫ[[#This Row],[CONTEST_CODE]],"_",X$2),#REF!,0),MATCH(X$1,_group_[#Headers],0)),"-")</f>
        <v>-</v>
      </c>
      <c r="Y382" s="1" t="str">
        <f>IFERROR(INDEX(_group_[],MATCH(CONCATENATE(ВСЕ_КОДЫ[[#This Row],[CONTEST_CODE]],"_",Y$2),#REF!,0),MATCH(Y$1,_group_[#Headers],0)),"-")</f>
        <v>-</v>
      </c>
      <c r="Z382" s="1" t="str">
        <f>IFERROR(INDEX(_group_[],MATCH(CONCATENATE(ВСЕ_КОДЫ[[#This Row],[CONTEST_CODE]],"_",Z$2),#REF!,0),MATCH(Z$1,_group_[#Headers],0)),"-")</f>
        <v>-</v>
      </c>
      <c r="AA382" s="1" t="str">
        <f>IFERROR(INDEX(_group_[],MATCH(CONCATENATE(ВСЕ_КОДЫ[[#This Row],[CONTEST_CODE]],"_",AA$2),#REF!,0),MATCH(AA$1,_group_[#Headers],0)),"-")</f>
        <v>-</v>
      </c>
      <c r="AB382" s="1" t="str">
        <f>IFERROR(INDEX(_DATA_[],MATCH(ВСЕ_КОДЫ[[#This Row],[CONTEST_CODE]],_DATA_[CONTEST_CODE],0),MATCH($AB$2,_DATA_[#Headers],0)),"-")</f>
        <v>["""KMKKSB"""]</v>
      </c>
      <c r="AC382" s="1" t="str">
        <f>CONCATENATE(ВСЕ_КОДЫ[[#This Row],[CONTEST_CODE]],"_",ВСЕ_КОДЫ[[#This Row],[TOURNAMENT_CODE]])</f>
        <v>CONTEST_38_TOURNAMENT_38_03</v>
      </c>
      <c r="AD382" s="1" t="str">
        <f>ВСЕ_КОДЫ[[#This Row],[FULL_NAME]]</f>
        <v>Интернализация. Повышаем уровень</v>
      </c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idden="1" x14ac:dyDescent="0.25">
      <c r="A383" s="1" t="s">
        <v>122</v>
      </c>
      <c r="B383" s="1" t="s">
        <v>1661</v>
      </c>
      <c r="C383" s="1" t="s">
        <v>542</v>
      </c>
      <c r="D383" s="1" t="s">
        <v>583</v>
      </c>
      <c r="E383" s="1" t="s">
        <v>123</v>
      </c>
      <c r="F383" s="1" t="s">
        <v>26</v>
      </c>
      <c r="G383" s="1" t="s">
        <v>27</v>
      </c>
      <c r="H383" s="1" t="s">
        <v>28</v>
      </c>
      <c r="I383" s="1" t="s">
        <v>50</v>
      </c>
      <c r="J383" s="1" t="s">
        <v>1308</v>
      </c>
      <c r="K383" s="1" t="s">
        <v>1638</v>
      </c>
      <c r="L383" s="1" t="s">
        <v>1835</v>
      </c>
      <c r="M383" s="1" t="s">
        <v>176</v>
      </c>
      <c r="N383" s="1" t="s">
        <v>305</v>
      </c>
      <c r="O383" s="1" t="s">
        <v>543</v>
      </c>
      <c r="P383" s="1"/>
      <c r="Q383" s="1">
        <f>IFERROR(COUNTIFS(_report[TOURNAMENT_CODE],ВСЕ_КОДЫ[[#This Row],[TOURNAMENT_CODE]],_report[CONTEST_CODE],ВСЕ_КОДЫ[[#This Row],[CONTEST_CODE]]),"-")</f>
        <v>0</v>
      </c>
      <c r="R383" s="1" t="str">
        <f>IFERROR(INDEX(_SCHEDULE_[],MATCH(ВСЕ_КОДЫ[[#This Row],[CONTEST_CODE]],_SCHEDULE_[CONTEST_CODE],0),MATCH($R$1,_SCHEDULE_[#Headers],0)),"-")</f>
        <v>ЗАВЕРШЕН</v>
      </c>
      <c r="S383" s="1" t="str">
        <f>IFERROR(INDEX(_group_[],MATCH(ВСЕ_КОДЫ[[#This Row],[CONTEST_CODE]],_group_[CONTEST_CODE],0),MATCH($S$1,_group_[#Headers],0)),"-")</f>
        <v>BANK</v>
      </c>
      <c r="T383" s="1" t="str">
        <f>IFERROR(INDEX(_INDICATOR_[],MATCH(ВСЕ_КОДЫ[[#This Row],[CONTEST_CODE]],_INDICATOR_[CONTEST_CODE],0),MATCH($T$1,_INDICATOR_[#Headers],0)),"-")</f>
        <v>WAIT</v>
      </c>
      <c r="U383" s="1" t="str">
        <f>IFERROR(INDEX(_reward_link_[],MATCH(ВСЕ_КОДЫ[[#This Row],[CONTEST_CODE]],_reward_link_[CONTEST_CODE],0),MATCH($U$1,_reward_link_[#Headers],0)),"-")</f>
        <v>GOSB</v>
      </c>
      <c r="V383" s="1" t="str">
        <f>IFERROR(INDEX(_report[],MATCH(ВСЕ_КОДЫ[[#This Row],[CONTEST_CODE]],_report[CONTEST_CODE],0),MATCH($V$1,_report[#Headers],0)),"-")</f>
        <v>-</v>
      </c>
      <c r="W383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383" s="1" t="str">
        <f>IFERROR(INDEX(_group_[],MATCH(CONCATENATE(ВСЕ_КОДЫ[[#This Row],[CONTEST_CODE]],"_",X$2),#REF!,0),MATCH(X$1,_group_[#Headers],0)),"-")</f>
        <v>-</v>
      </c>
      <c r="Y383" s="1" t="str">
        <f>IFERROR(INDEX(_group_[],MATCH(CONCATENATE(ВСЕ_КОДЫ[[#This Row],[CONTEST_CODE]],"_",Y$2),#REF!,0),MATCH(Y$1,_group_[#Headers],0)),"-")</f>
        <v>-</v>
      </c>
      <c r="Z383" s="1" t="str">
        <f>IFERROR(INDEX(_group_[],MATCH(CONCATENATE(ВСЕ_КОДЫ[[#This Row],[CONTEST_CODE]],"_",Z$2),#REF!,0),MATCH(Z$1,_group_[#Headers],0)),"-")</f>
        <v>-</v>
      </c>
      <c r="AA383" s="1" t="str">
        <f>IFERROR(INDEX(_group_[],MATCH(CONCATENATE(ВСЕ_КОДЫ[[#This Row],[CONTEST_CODE]],"_",AA$2),#REF!,0),MATCH(AA$1,_group_[#Headers],0)),"-")</f>
        <v>-</v>
      </c>
      <c r="AB383" s="1" t="str">
        <f>IFERROR(INDEX(_DATA_[],MATCH(ВСЕ_КОДЫ[[#This Row],[CONTEST_CODE]],_DATA_[CONTEST_CODE],0),MATCH($AB$2,_DATA_[#Headers],0)),"-")</f>
        <v>["""KMKKSB"""]</v>
      </c>
      <c r="AC383" s="1" t="str">
        <f>CONCATENATE(ВСЕ_КОДЫ[[#This Row],[CONTEST_CODE]],"_",ВСЕ_КОДЫ[[#This Row],[TOURNAMENT_CODE]])</f>
        <v>CONTEST_38_TOURNAMENT_38_2024_M10</v>
      </c>
      <c r="AD383" s="1" t="str">
        <f>ВСЕ_КОДЫ[[#This Row],[FULL_NAME]]</f>
        <v>Интернализация. Повышаем уровень</v>
      </c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idden="1" x14ac:dyDescent="0.25">
      <c r="A384" s="1" t="s">
        <v>122</v>
      </c>
      <c r="B384" s="1" t="s">
        <v>1820</v>
      </c>
      <c r="C384" s="1" t="s">
        <v>542</v>
      </c>
      <c r="D384" s="1" t="s">
        <v>583</v>
      </c>
      <c r="E384" s="1" t="s">
        <v>123</v>
      </c>
      <c r="F384" s="1" t="s">
        <v>26</v>
      </c>
      <c r="G384" s="1" t="s">
        <v>27</v>
      </c>
      <c r="H384" s="1" t="s">
        <v>28</v>
      </c>
      <c r="I384" s="1" t="s">
        <v>50</v>
      </c>
      <c r="J384" s="1" t="s">
        <v>1800</v>
      </c>
      <c r="K384" s="1" t="s">
        <v>1801</v>
      </c>
      <c r="L384" s="1" t="s">
        <v>1802</v>
      </c>
      <c r="M384" s="1" t="s">
        <v>155</v>
      </c>
      <c r="N384" s="1" t="s">
        <v>305</v>
      </c>
      <c r="O384" s="1" t="s">
        <v>543</v>
      </c>
      <c r="P384" s="1"/>
      <c r="Q384" s="1">
        <f>IFERROR(COUNTIFS(_report[TOURNAMENT_CODE],ВСЕ_КОДЫ[[#This Row],[TOURNAMENT_CODE]],_report[CONTEST_CODE],ВСЕ_КОДЫ[[#This Row],[CONTEST_CODE]]),"-")</f>
        <v>0</v>
      </c>
      <c r="R384" s="1" t="str">
        <f>IFERROR(INDEX(_SCHEDULE_[],MATCH(ВСЕ_КОДЫ[[#This Row],[CONTEST_CODE]],_SCHEDULE_[CONTEST_CODE],0),MATCH($R$1,_SCHEDULE_[#Headers],0)),"-")</f>
        <v>ЗАВЕРШЕН</v>
      </c>
      <c r="S384" s="1" t="str">
        <f>IFERROR(INDEX(_group_[],MATCH(ВСЕ_КОДЫ[[#This Row],[CONTEST_CODE]],_group_[CONTEST_CODE],0),MATCH($S$1,_group_[#Headers],0)),"-")</f>
        <v>BANK</v>
      </c>
      <c r="T384" s="1" t="str">
        <f>IFERROR(INDEX(_INDICATOR_[],MATCH(ВСЕ_КОДЫ[[#This Row],[CONTEST_CODE]],_INDICATOR_[CONTEST_CODE],0),MATCH($T$1,_INDICATOR_[#Headers],0)),"-")</f>
        <v>WAIT</v>
      </c>
      <c r="U384" s="1" t="str">
        <f>IFERROR(INDEX(_reward_link_[],MATCH(ВСЕ_КОДЫ[[#This Row],[CONTEST_CODE]],_reward_link_[CONTEST_CODE],0),MATCH($U$1,_reward_link_[#Headers],0)),"-")</f>
        <v>GOSB</v>
      </c>
      <c r="V384" s="1" t="str">
        <f>IFERROR(INDEX(_report[],MATCH(ВСЕ_КОДЫ[[#This Row],[CONTEST_CODE]],_report[CONTEST_CODE],0),MATCH($V$1,_report[#Headers],0)),"-")</f>
        <v>-</v>
      </c>
      <c r="W384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384" s="1" t="str">
        <f>IFERROR(INDEX(_group_[],MATCH(CONCATENATE(ВСЕ_КОДЫ[[#This Row],[CONTEST_CODE]],"_",X$2),#REF!,0),MATCH(X$1,_group_[#Headers],0)),"-")</f>
        <v>-</v>
      </c>
      <c r="Y384" s="1" t="str">
        <f>IFERROR(INDEX(_group_[],MATCH(CONCATENATE(ВСЕ_КОДЫ[[#This Row],[CONTEST_CODE]],"_",Y$2),#REF!,0),MATCH(Y$1,_group_[#Headers],0)),"-")</f>
        <v>-</v>
      </c>
      <c r="Z384" s="1" t="str">
        <f>IFERROR(INDEX(_group_[],MATCH(CONCATENATE(ВСЕ_КОДЫ[[#This Row],[CONTEST_CODE]],"_",Z$2),#REF!,0),MATCH(Z$1,_group_[#Headers],0)),"-")</f>
        <v>-</v>
      </c>
      <c r="AA384" s="1" t="str">
        <f>IFERROR(INDEX(_group_[],MATCH(CONCATENATE(ВСЕ_КОДЫ[[#This Row],[CONTEST_CODE]],"_",AA$2),#REF!,0),MATCH(AA$1,_group_[#Headers],0)),"-")</f>
        <v>-</v>
      </c>
      <c r="AB384" s="1" t="str">
        <f>IFERROR(INDEX(_DATA_[],MATCH(ВСЕ_КОДЫ[[#This Row],[CONTEST_CODE]],_DATA_[CONTEST_CODE],0),MATCH($AB$2,_DATA_[#Headers],0)),"-")</f>
        <v>["""KMKKSB"""]</v>
      </c>
      <c r="AC384" s="1" t="str">
        <f>CONCATENATE(ВСЕ_КОДЫ[[#This Row],[CONTEST_CODE]],"_",ВСЕ_КОДЫ[[#This Row],[TOURNAMENT_CODE]])</f>
        <v>CONTEST_38_TOURNAMENT_38_2024_M11</v>
      </c>
      <c r="AD384" s="1" t="str">
        <f>ВСЕ_КОДЫ[[#This Row],[FULL_NAME]]</f>
        <v>Интернализация. Повышаем уровень</v>
      </c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idden="1" x14ac:dyDescent="0.25">
      <c r="A385" s="1" t="s">
        <v>124</v>
      </c>
      <c r="B385" s="1" t="s">
        <v>1842</v>
      </c>
      <c r="C385" s="1" t="s">
        <v>544</v>
      </c>
      <c r="D385" s="1" t="s">
        <v>583</v>
      </c>
      <c r="E385" s="1" t="s">
        <v>125</v>
      </c>
      <c r="F385" s="1" t="s">
        <v>26</v>
      </c>
      <c r="G385" s="1" t="s">
        <v>27</v>
      </c>
      <c r="H385" s="1" t="s">
        <v>28</v>
      </c>
      <c r="I385" s="1" t="s">
        <v>35</v>
      </c>
      <c r="J385" s="1" t="s">
        <v>641</v>
      </c>
      <c r="K385" s="1" t="s">
        <v>642</v>
      </c>
      <c r="L385" s="1" t="s">
        <v>1987</v>
      </c>
      <c r="M385" s="1" t="s">
        <v>155</v>
      </c>
      <c r="N385" s="1" t="s">
        <v>305</v>
      </c>
      <c r="O385" s="1" t="s">
        <v>684</v>
      </c>
      <c r="P385" s="1"/>
      <c r="Q385" s="1">
        <f>IFERROR(COUNTIFS(_report[TOURNAMENT_CODE],ВСЕ_КОДЫ[[#This Row],[TOURNAMENT_CODE]],_report[CONTEST_CODE],ВСЕ_КОДЫ[[#This Row],[CONTEST_CODE]]),"-")</f>
        <v>0</v>
      </c>
      <c r="R385" s="1" t="str">
        <f>IFERROR(INDEX(_SCHEDULE_[],MATCH(ВСЕ_КОДЫ[[#This Row],[CONTEST_CODE]],_SCHEDULE_[CONTEST_CODE],0),MATCH($R$1,_SCHEDULE_[#Headers],0)),"-")</f>
        <v>УДАЛЕН</v>
      </c>
      <c r="S385" s="1" t="str">
        <f>IFERROR(INDEX(_group_[],MATCH(ВСЕ_КОДЫ[[#This Row],[CONTEST_CODE]],_group_[CONTEST_CODE],0),MATCH($S$1,_group_[#Headers],0)),"-")</f>
        <v>BANK</v>
      </c>
      <c r="T385" s="1" t="str">
        <f>IFERROR(INDEX(_INDICATOR_[],MATCH(ВСЕ_КОДЫ[[#This Row],[CONTEST_CODE]],_INDICATOR_[CONTEST_CODE],0),MATCH($T$1,_INDICATOR_[#Headers],0)),"-")</f>
        <v>WAIT</v>
      </c>
      <c r="U385" s="1" t="str">
        <f>IFERROR(INDEX(_reward_link_[],MATCH(ВСЕ_КОДЫ[[#This Row],[CONTEST_CODE]],_reward_link_[CONTEST_CODE],0),MATCH($U$1,_reward_link_[#Headers],0)),"-")</f>
        <v>BANK</v>
      </c>
      <c r="V385" s="1" t="str">
        <f>IFERROR(INDEX(_report[],MATCH(ВСЕ_КОДЫ[[#This Row],[CONTEST_CODE]],_report[CONTEST_CODE],0),MATCH($V$1,_report[#Headers],0)),"-")</f>
        <v>-</v>
      </c>
      <c r="W385" s="1" t="str">
        <f>IFERROR(INDEX(_reward_[],MATCH(ВСЕ_КОДЫ[[#This Row],[REWARD_CODE]],_reward_[REWARD_CODE],0),MATCH($W$1,_reward_[#Headers],0)),"-")</f>
        <v>1 клиент с процентными ПФИ</v>
      </c>
      <c r="X385" s="1" t="str">
        <f>IFERROR(INDEX(_group_[],MATCH(CONCATENATE(ВСЕ_КОДЫ[[#This Row],[CONTEST_CODE]],"_",X$2),#REF!,0),MATCH(X$1,_group_[#Headers],0)),"-")</f>
        <v>-</v>
      </c>
      <c r="Y385" s="1" t="str">
        <f>IFERROR(INDEX(_group_[],MATCH(CONCATENATE(ВСЕ_КОДЫ[[#This Row],[CONTEST_CODE]],"_",Y$2),#REF!,0),MATCH(Y$1,_group_[#Headers],0)),"-")</f>
        <v>-</v>
      </c>
      <c r="Z385" s="1" t="str">
        <f>IFERROR(INDEX(_group_[],MATCH(CONCATENATE(ВСЕ_КОДЫ[[#This Row],[CONTEST_CODE]],"_",Z$2),#REF!,0),MATCH(Z$1,_group_[#Headers],0)),"-")</f>
        <v>-</v>
      </c>
      <c r="AA385" s="1" t="str">
        <f>IFERROR(INDEX(_group_[],MATCH(CONCATENATE(ВСЕ_КОДЫ[[#This Row],[CONTEST_CODE]],"_",AA$2),#REF!,0),MATCH(AA$1,_group_[#Headers],0)),"-")</f>
        <v>-</v>
      </c>
      <c r="AB385" s="1" t="str">
        <f>IFERROR(INDEX(_DATA_[],MATCH(ВСЕ_КОДЫ[[#This Row],[CONTEST_CODE]],_DATA_[CONTEST_CODE],0),MATCH($AB$2,_DATA_[#Headers],0)),"-")</f>
        <v>["""KMKKSB"""]</v>
      </c>
      <c r="AC385" s="1" t="str">
        <f>CONCATENATE(ВСЕ_КОДЫ[[#This Row],[CONTEST_CODE]],"_",ВСЕ_КОДЫ[[#This Row],[TOURNAMENT_CODE]])</f>
        <v>CONTEST_39_01_TOURNAMENT_39_01_00</v>
      </c>
      <c r="AD385" s="1" t="str">
        <f>ВСЕ_КОДЫ[[#This Row],[FULL_NAME]]</f>
        <v>CAPMAN 1 клиент</v>
      </c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idden="1" x14ac:dyDescent="0.25">
      <c r="A386" s="1" t="s">
        <v>124</v>
      </c>
      <c r="B386" s="1" t="s">
        <v>294</v>
      </c>
      <c r="C386" s="1" t="s">
        <v>544</v>
      </c>
      <c r="D386" s="1" t="s">
        <v>583</v>
      </c>
      <c r="E386" s="1" t="s">
        <v>125</v>
      </c>
      <c r="F386" s="1" t="s">
        <v>26</v>
      </c>
      <c r="G386" s="1" t="s">
        <v>27</v>
      </c>
      <c r="H386" s="1" t="s">
        <v>28</v>
      </c>
      <c r="I386" s="1" t="s">
        <v>35</v>
      </c>
      <c r="J386" s="1" t="s">
        <v>641</v>
      </c>
      <c r="K386" s="1" t="s">
        <v>642</v>
      </c>
      <c r="L386" s="1" t="s">
        <v>1987</v>
      </c>
      <c r="M386" s="1" t="s">
        <v>176</v>
      </c>
      <c r="N386" s="1" t="s">
        <v>305</v>
      </c>
      <c r="O386" s="1" t="s">
        <v>684</v>
      </c>
      <c r="P386" s="1"/>
      <c r="Q386" s="1">
        <f>IFERROR(COUNTIFS(_report[TOURNAMENT_CODE],ВСЕ_КОДЫ[[#This Row],[TOURNAMENT_CODE]],_report[CONTEST_CODE],ВСЕ_КОДЫ[[#This Row],[CONTEST_CODE]]),"-")</f>
        <v>0</v>
      </c>
      <c r="R386" s="1" t="str">
        <f>IFERROR(INDEX(_SCHEDULE_[],MATCH(ВСЕ_КОДЫ[[#This Row],[CONTEST_CODE]],_SCHEDULE_[CONTEST_CODE],0),MATCH($R$1,_SCHEDULE_[#Headers],0)),"-")</f>
        <v>УДАЛЕН</v>
      </c>
      <c r="S386" s="1" t="str">
        <f>IFERROR(INDEX(_group_[],MATCH(ВСЕ_КОДЫ[[#This Row],[CONTEST_CODE]],_group_[CONTEST_CODE],0),MATCH($S$1,_group_[#Headers],0)),"-")</f>
        <v>BANK</v>
      </c>
      <c r="T386" s="1" t="str">
        <f>IFERROR(INDEX(_INDICATOR_[],MATCH(ВСЕ_КОДЫ[[#This Row],[CONTEST_CODE]],_INDICATOR_[CONTEST_CODE],0),MATCH($T$1,_INDICATOR_[#Headers],0)),"-")</f>
        <v>WAIT</v>
      </c>
      <c r="U386" s="1" t="str">
        <f>IFERROR(INDEX(_reward_link_[],MATCH(ВСЕ_КОДЫ[[#This Row],[CONTEST_CODE]],_reward_link_[CONTEST_CODE],0),MATCH($U$1,_reward_link_[#Headers],0)),"-")</f>
        <v>BANK</v>
      </c>
      <c r="V386" s="1" t="str">
        <f>IFERROR(INDEX(_report[],MATCH(ВСЕ_КОДЫ[[#This Row],[CONTEST_CODE]],_report[CONTEST_CODE],0),MATCH($V$1,_report[#Headers],0)),"-")</f>
        <v>-</v>
      </c>
      <c r="W386" s="1" t="str">
        <f>IFERROR(INDEX(_reward_[],MATCH(ВСЕ_КОДЫ[[#This Row],[REWARD_CODE]],_reward_[REWARD_CODE],0),MATCH($W$1,_reward_[#Headers],0)),"-")</f>
        <v>1 клиент с процентными ПФИ</v>
      </c>
      <c r="X386" s="1" t="str">
        <f>IFERROR(INDEX(_group_[],MATCH(CONCATENATE(ВСЕ_КОДЫ[[#This Row],[CONTEST_CODE]],"_",X$2),#REF!,0),MATCH(X$1,_group_[#Headers],0)),"-")</f>
        <v>-</v>
      </c>
      <c r="Y386" s="1" t="str">
        <f>IFERROR(INDEX(_group_[],MATCH(CONCATENATE(ВСЕ_КОДЫ[[#This Row],[CONTEST_CODE]],"_",Y$2),#REF!,0),MATCH(Y$1,_group_[#Headers],0)),"-")</f>
        <v>-</v>
      </c>
      <c r="Z386" s="1" t="str">
        <f>IFERROR(INDEX(_group_[],MATCH(CONCATENATE(ВСЕ_КОДЫ[[#This Row],[CONTEST_CODE]],"_",Z$2),#REF!,0),MATCH(Z$1,_group_[#Headers],0)),"-")</f>
        <v>-</v>
      </c>
      <c r="AA386" s="1" t="str">
        <f>IFERROR(INDEX(_group_[],MATCH(CONCATENATE(ВСЕ_КОДЫ[[#This Row],[CONTEST_CODE]],"_",AA$2),#REF!,0),MATCH(AA$1,_group_[#Headers],0)),"-")</f>
        <v>-</v>
      </c>
      <c r="AB386" s="1" t="str">
        <f>IFERROR(INDEX(_DATA_[],MATCH(ВСЕ_КОДЫ[[#This Row],[CONTEST_CODE]],_DATA_[CONTEST_CODE],0),MATCH($AB$2,_DATA_[#Headers],0)),"-")</f>
        <v>["""KMKKSB"""]</v>
      </c>
      <c r="AC386" s="1" t="str">
        <f>CONCATENATE(ВСЕ_КОДЫ[[#This Row],[CONTEST_CODE]],"_",ВСЕ_КОДЫ[[#This Row],[TOURNAMENT_CODE]])</f>
        <v>CONTEST_39_01_TOURNAMENT_39_01</v>
      </c>
      <c r="AD386" s="1" t="str">
        <f>ВСЕ_КОДЫ[[#This Row],[FULL_NAME]]</f>
        <v>CAPMAN 1 клиент</v>
      </c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idden="1" x14ac:dyDescent="0.25">
      <c r="A387" s="1" t="s">
        <v>127</v>
      </c>
      <c r="B387" s="1" t="s">
        <v>295</v>
      </c>
      <c r="C387" s="1" t="s">
        <v>545</v>
      </c>
      <c r="D387" s="1" t="s">
        <v>583</v>
      </c>
      <c r="E387" s="1" t="s">
        <v>128</v>
      </c>
      <c r="F387" s="1" t="s">
        <v>26</v>
      </c>
      <c r="G387" s="1" t="s">
        <v>27</v>
      </c>
      <c r="H387" s="1" t="s">
        <v>28</v>
      </c>
      <c r="I387" s="1" t="s">
        <v>35</v>
      </c>
      <c r="J387" s="1" t="s">
        <v>641</v>
      </c>
      <c r="K387" s="1" t="s">
        <v>642</v>
      </c>
      <c r="L387" s="1" t="s">
        <v>1987</v>
      </c>
      <c r="M387" s="1" t="s">
        <v>176</v>
      </c>
      <c r="N387" s="1" t="s">
        <v>305</v>
      </c>
      <c r="O387" s="1" t="s">
        <v>686</v>
      </c>
      <c r="P387" s="1"/>
      <c r="Q387" s="1">
        <f>IFERROR(COUNTIFS(_report[TOURNAMENT_CODE],ВСЕ_КОДЫ[[#This Row],[TOURNAMENT_CODE]],_report[CONTEST_CODE],ВСЕ_КОДЫ[[#This Row],[CONTEST_CODE]]),"-")</f>
        <v>0</v>
      </c>
      <c r="R387" s="1" t="str">
        <f>IFERROR(INDEX(_SCHEDULE_[],MATCH(ВСЕ_КОДЫ[[#This Row],[CONTEST_CODE]],_SCHEDULE_[CONTEST_CODE],0),MATCH($R$1,_SCHEDULE_[#Headers],0)),"-")</f>
        <v>ЗАВЕРШЕН</v>
      </c>
      <c r="S387" s="1" t="str">
        <f>IFERROR(INDEX(_group_[],MATCH(ВСЕ_КОДЫ[[#This Row],[CONTEST_CODE]],_group_[CONTEST_CODE],0),MATCH($S$1,_group_[#Headers],0)),"-")</f>
        <v>BANK</v>
      </c>
      <c r="T387" s="1" t="str">
        <f>IFERROR(INDEX(_INDICATOR_[],MATCH(ВСЕ_КОДЫ[[#This Row],[CONTEST_CODE]],_INDICATOR_[CONTEST_CODE],0),MATCH($T$1,_INDICATOR_[#Headers],0)),"-")</f>
        <v>WAIT</v>
      </c>
      <c r="U387" s="1" t="str">
        <f>IFERROR(INDEX(_reward_link_[],MATCH(ВСЕ_КОДЫ[[#This Row],[CONTEST_CODE]],_reward_link_[CONTEST_CODE],0),MATCH($U$1,_reward_link_[#Headers],0)),"-")</f>
        <v>BANK</v>
      </c>
      <c r="V387" s="1" t="str">
        <f>IFERROR(INDEX(_report[],MATCH(ВСЕ_КОДЫ[[#This Row],[CONTEST_CODE]],_report[CONTEST_CODE],0),MATCH($V$1,_report[#Headers],0)),"-")</f>
        <v>-</v>
      </c>
      <c r="W387" s="1" t="str">
        <f>IFERROR(INDEX(_reward_[],MATCH(ВСЕ_КОДЫ[[#This Row],[REWARD_CODE]],_reward_[REWARD_CODE],0),MATCH($W$1,_reward_[#Headers],0)),"-")</f>
        <v>3 клиента с процентными ПФИ</v>
      </c>
      <c r="X387" s="1" t="str">
        <f>IFERROR(INDEX(_group_[],MATCH(CONCATENATE(ВСЕ_КОДЫ[[#This Row],[CONTEST_CODE]],"_",X$2),#REF!,0),MATCH(X$1,_group_[#Headers],0)),"-")</f>
        <v>-</v>
      </c>
      <c r="Y387" s="1" t="str">
        <f>IFERROR(INDEX(_group_[],MATCH(CONCATENATE(ВСЕ_КОДЫ[[#This Row],[CONTEST_CODE]],"_",Y$2),#REF!,0),MATCH(Y$1,_group_[#Headers],0)),"-")</f>
        <v>-</v>
      </c>
      <c r="Z387" s="1" t="str">
        <f>IFERROR(INDEX(_group_[],MATCH(CONCATENATE(ВСЕ_КОДЫ[[#This Row],[CONTEST_CODE]],"_",Z$2),#REF!,0),MATCH(Z$1,_group_[#Headers],0)),"-")</f>
        <v>-</v>
      </c>
      <c r="AA387" s="1" t="str">
        <f>IFERROR(INDEX(_group_[],MATCH(CONCATENATE(ВСЕ_КОДЫ[[#This Row],[CONTEST_CODE]],"_",AA$2),#REF!,0),MATCH(AA$1,_group_[#Headers],0)),"-")</f>
        <v>-</v>
      </c>
      <c r="AB387" s="1" t="str">
        <f>IFERROR(INDEX(_DATA_[],MATCH(ВСЕ_КОДЫ[[#This Row],[CONTEST_CODE]],_DATA_[CONTEST_CODE],0),MATCH($AB$2,_DATA_[#Headers],0)),"-")</f>
        <v>["""KMKKSB"""]</v>
      </c>
      <c r="AC387" s="1" t="str">
        <f>CONCATENATE(ВСЕ_КОДЫ[[#This Row],[CONTEST_CODE]],"_",ВСЕ_КОДЫ[[#This Row],[TOURNAMENT_CODE]])</f>
        <v>CONTEST_39_02_TOURNAMENT_39_02</v>
      </c>
      <c r="AD387" s="1" t="str">
        <f>ВСЕ_КОДЫ[[#This Row],[FULL_NAME]]</f>
        <v>CAPMAN 3 клиента</v>
      </c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idden="1" x14ac:dyDescent="0.25">
      <c r="A388" s="1" t="s">
        <v>130</v>
      </c>
      <c r="B388" s="1" t="s">
        <v>296</v>
      </c>
      <c r="C388" s="1" t="s">
        <v>546</v>
      </c>
      <c r="D388" s="1" t="s">
        <v>583</v>
      </c>
      <c r="E388" s="1" t="s">
        <v>131</v>
      </c>
      <c r="F388" s="1" t="s">
        <v>26</v>
      </c>
      <c r="G388" s="1" t="s">
        <v>27</v>
      </c>
      <c r="H388" s="1" t="s">
        <v>28</v>
      </c>
      <c r="I388" s="1" t="s">
        <v>35</v>
      </c>
      <c r="J388" s="1" t="s">
        <v>641</v>
      </c>
      <c r="K388" s="1" t="s">
        <v>642</v>
      </c>
      <c r="L388" s="1" t="s">
        <v>1987</v>
      </c>
      <c r="M388" s="1" t="s">
        <v>176</v>
      </c>
      <c r="N388" s="1" t="s">
        <v>305</v>
      </c>
      <c r="O388" s="1" t="s">
        <v>688</v>
      </c>
      <c r="P388" s="1"/>
      <c r="Q388" s="1">
        <f>IFERROR(COUNTIFS(_report[TOURNAMENT_CODE],ВСЕ_КОДЫ[[#This Row],[TOURNAMENT_CODE]],_report[CONTEST_CODE],ВСЕ_КОДЫ[[#This Row],[CONTEST_CODE]]),"-")</f>
        <v>0</v>
      </c>
      <c r="R388" s="1" t="str">
        <f>IFERROR(INDEX(_SCHEDULE_[],MATCH(ВСЕ_КОДЫ[[#This Row],[CONTEST_CODE]],_SCHEDULE_[CONTEST_CODE],0),MATCH($R$1,_SCHEDULE_[#Headers],0)),"-")</f>
        <v>ЗАВЕРШЕН</v>
      </c>
      <c r="S388" s="1" t="str">
        <f>IFERROR(INDEX(_group_[],MATCH(ВСЕ_КОДЫ[[#This Row],[CONTEST_CODE]],_group_[CONTEST_CODE],0),MATCH($S$1,_group_[#Headers],0)),"-")</f>
        <v>BANK</v>
      </c>
      <c r="T388" s="1" t="str">
        <f>IFERROR(INDEX(_INDICATOR_[],MATCH(ВСЕ_КОДЫ[[#This Row],[CONTEST_CODE]],_INDICATOR_[CONTEST_CODE],0),MATCH($T$1,_INDICATOR_[#Headers],0)),"-")</f>
        <v>WAIT</v>
      </c>
      <c r="U388" s="1" t="str">
        <f>IFERROR(INDEX(_reward_link_[],MATCH(ВСЕ_КОДЫ[[#This Row],[CONTEST_CODE]],_reward_link_[CONTEST_CODE],0),MATCH($U$1,_reward_link_[#Headers],0)),"-")</f>
        <v>BANK</v>
      </c>
      <c r="V388" s="1" t="str">
        <f>IFERROR(INDEX(_report[],MATCH(ВСЕ_КОДЫ[[#This Row],[CONTEST_CODE]],_report[CONTEST_CODE],0),MATCH($V$1,_report[#Headers],0)),"-")</f>
        <v>-</v>
      </c>
      <c r="W388" s="1" t="str">
        <f>IFERROR(INDEX(_reward_[],MATCH(ВСЕ_КОДЫ[[#This Row],[REWARD_CODE]],_reward_[REWARD_CODE],0),MATCH($W$1,_reward_[#Headers],0)),"-")</f>
        <v>10 клиентов с процентными ПФИ</v>
      </c>
      <c r="X388" s="1" t="str">
        <f>IFERROR(INDEX(_group_[],MATCH(CONCATENATE(ВСЕ_КОДЫ[[#This Row],[CONTEST_CODE]],"_",X$2),#REF!,0),MATCH(X$1,_group_[#Headers],0)),"-")</f>
        <v>-</v>
      </c>
      <c r="Y388" s="1" t="str">
        <f>IFERROR(INDEX(_group_[],MATCH(CONCATENATE(ВСЕ_КОДЫ[[#This Row],[CONTEST_CODE]],"_",Y$2),#REF!,0),MATCH(Y$1,_group_[#Headers],0)),"-")</f>
        <v>-</v>
      </c>
      <c r="Z388" s="1" t="str">
        <f>IFERROR(INDEX(_group_[],MATCH(CONCATENATE(ВСЕ_КОДЫ[[#This Row],[CONTEST_CODE]],"_",Z$2),#REF!,0),MATCH(Z$1,_group_[#Headers],0)),"-")</f>
        <v>-</v>
      </c>
      <c r="AA388" s="1" t="str">
        <f>IFERROR(INDEX(_group_[],MATCH(CONCATENATE(ВСЕ_КОДЫ[[#This Row],[CONTEST_CODE]],"_",AA$2),#REF!,0),MATCH(AA$1,_group_[#Headers],0)),"-")</f>
        <v>-</v>
      </c>
      <c r="AB388" s="1" t="str">
        <f>IFERROR(INDEX(_DATA_[],MATCH(ВСЕ_КОДЫ[[#This Row],[CONTEST_CODE]],_DATA_[CONTEST_CODE],0),MATCH($AB$2,_DATA_[#Headers],0)),"-")</f>
        <v>["""KMKKSB"""]</v>
      </c>
      <c r="AC388" s="1" t="str">
        <f>CONCATENATE(ВСЕ_КОДЫ[[#This Row],[CONTEST_CODE]],"_",ВСЕ_КОДЫ[[#This Row],[TOURNAMENT_CODE]])</f>
        <v>CONTEST_39_03_TOURNAMENT_39_03</v>
      </c>
      <c r="AD388" s="1" t="str">
        <f>ВСЕ_КОДЫ[[#This Row],[FULL_NAME]]</f>
        <v>CAPMAN 10 клиентов</v>
      </c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idden="1" x14ac:dyDescent="0.25">
      <c r="A389" s="1" t="s">
        <v>1227</v>
      </c>
      <c r="B389" s="1" t="s">
        <v>1844</v>
      </c>
      <c r="C389" s="1" t="s">
        <v>1240</v>
      </c>
      <c r="D389" s="1" t="s">
        <v>586</v>
      </c>
      <c r="E389" s="1" t="s">
        <v>1841</v>
      </c>
      <c r="F389" s="1" t="s">
        <v>26</v>
      </c>
      <c r="G389" s="1" t="s">
        <v>27</v>
      </c>
      <c r="H389" s="1" t="s">
        <v>34</v>
      </c>
      <c r="I389" s="1" t="s">
        <v>50</v>
      </c>
      <c r="J389" s="1" t="s">
        <v>192</v>
      </c>
      <c r="K389" s="1" t="s">
        <v>252</v>
      </c>
      <c r="L389" s="1" t="s">
        <v>1288</v>
      </c>
      <c r="M389" s="1" t="s">
        <v>155</v>
      </c>
      <c r="N389" s="1" t="s">
        <v>305</v>
      </c>
      <c r="O389" s="1" t="s">
        <v>1269</v>
      </c>
      <c r="P389" s="1"/>
      <c r="Q389" s="1">
        <f>IFERROR(COUNTIFS(_report[TOURNAMENT_CODE],ВСЕ_КОДЫ[[#This Row],[TOURNAMENT_CODE]],_report[CONTEST_CODE],ВСЕ_КОДЫ[[#This Row],[CONTEST_CODE]]),"-")</f>
        <v>0</v>
      </c>
      <c r="R389" s="1" t="str">
        <f>IFERROR(INDEX(_SCHEDULE_[],MATCH(ВСЕ_КОДЫ[[#This Row],[CONTEST_CODE]],_SCHEDULE_[CONTEST_CODE],0),MATCH($R$1,_SCHEDULE_[#Headers],0)),"-")</f>
        <v>УДАЛЕН</v>
      </c>
      <c r="S389" s="1" t="str">
        <f>IFERROR(INDEX(_group_[],MATCH(ВСЕ_КОДЫ[[#This Row],[CONTEST_CODE]],_group_[CONTEST_CODE],0),MATCH($S$1,_group_[#Headers],0)),"-")</f>
        <v>TB</v>
      </c>
      <c r="T389" s="1" t="str">
        <f>IFERROR(INDEX(_INDICATOR_[],MATCH(ВСЕ_КОДЫ[[#This Row],[CONTEST_CODE]],_INDICATOR_[CONTEST_CODE],0),MATCH($T$1,_INDICATOR_[#Headers],0)),"-")</f>
        <v>WAIT</v>
      </c>
      <c r="U389" s="1" t="str">
        <f>IFERROR(INDEX(_reward_link_[],MATCH(ВСЕ_КОДЫ[[#This Row],[CONTEST_CODE]],_reward_link_[CONTEST_CODE],0),MATCH($U$1,_reward_link_[#Headers],0)),"-")</f>
        <v>TB</v>
      </c>
      <c r="V389" s="1" t="str">
        <f>IFERROR(INDEX(_report[],MATCH(ВСЕ_КОДЫ[[#This Row],[CONTEST_CODE]],_report[CONTEST_CODE],0),MATCH($V$1,_report[#Headers],0)),"-")</f>
        <v>-</v>
      </c>
      <c r="W389" s="1" t="str">
        <f>IFERROR(INDEX(_reward_[],MATCH(ВСЕ_КОДЫ[[#This Row],[REWARD_CODE]],_reward_[REWARD_CODE],0),MATCH($W$1,_reward_[#Headers],0)),"-")</f>
        <v>Победитель ТБ по числу сделок ЦКП</v>
      </c>
      <c r="X389" s="1" t="str">
        <f>IFERROR(INDEX(_group_[],MATCH(CONCATENATE(ВСЕ_КОДЫ[[#This Row],[CONTEST_CODE]],"_",X$2),#REF!,0),MATCH(X$1,_group_[#Headers],0)),"-")</f>
        <v>-</v>
      </c>
      <c r="Y389" s="1" t="str">
        <f>IFERROR(INDEX(_group_[],MATCH(CONCATENATE(ВСЕ_КОДЫ[[#This Row],[CONTEST_CODE]],"_",Y$2),#REF!,0),MATCH(Y$1,_group_[#Headers],0)),"-")</f>
        <v>-</v>
      </c>
      <c r="Z389" s="1" t="str">
        <f>IFERROR(INDEX(_group_[],MATCH(CONCATENATE(ВСЕ_КОДЫ[[#This Row],[CONTEST_CODE]],"_",Z$2),#REF!,0),MATCH(Z$1,_group_[#Headers],0)),"-")</f>
        <v>-</v>
      </c>
      <c r="AA389" s="1" t="str">
        <f>IFERROR(INDEX(_group_[],MATCH(CONCATENATE(ВСЕ_КОДЫ[[#This Row],[CONTEST_CODE]],"_",AA$2),#REF!,0),MATCH(AA$1,_group_[#Headers],0)),"-")</f>
        <v>-</v>
      </c>
      <c r="AB389" s="1" t="str">
        <f>IFERROR(INDEX(_DATA_[],MATCH(ВСЕ_КОДЫ[[#This Row],[CONTEST_CODE]],_DATA_[CONTEST_CODE],0),MATCH($AB$2,_DATA_[#Headers],0)),"-")</f>
        <v>["""KMKKSB"""]</v>
      </c>
      <c r="AC389" s="1" t="str">
        <f>CONCATENATE(ВСЕ_КОДЫ[[#This Row],[CONTEST_CODE]],"_",ВСЕ_КОДЫ[[#This Row],[TOURNAMENT_CODE]])</f>
        <v>CONTEST_41_TOURNAMENT_40_02</v>
      </c>
      <c r="AD389" s="1" t="str">
        <f>ВСЕ_КОДЫ[[#This Row],[FULL_NAME]]</f>
        <v>Кредитные продукты. Наращиваем сделки в ЦКП</v>
      </c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idden="1" x14ac:dyDescent="0.25">
      <c r="A390" s="1" t="s">
        <v>1227</v>
      </c>
      <c r="B390" s="1" t="s">
        <v>1224</v>
      </c>
      <c r="C390" s="1" t="s">
        <v>1240</v>
      </c>
      <c r="D390" s="1" t="s">
        <v>586</v>
      </c>
      <c r="E390" s="1" t="s">
        <v>1841</v>
      </c>
      <c r="F390" s="1" t="s">
        <v>26</v>
      </c>
      <c r="G390" s="1" t="s">
        <v>27</v>
      </c>
      <c r="H390" s="1" t="s">
        <v>34</v>
      </c>
      <c r="I390" s="1" t="s">
        <v>50</v>
      </c>
      <c r="J390" s="1" t="s">
        <v>1225</v>
      </c>
      <c r="K390" s="1" t="s">
        <v>642</v>
      </c>
      <c r="L390" s="1" t="s">
        <v>2132</v>
      </c>
      <c r="M390" s="1" t="s">
        <v>176</v>
      </c>
      <c r="N390" s="1" t="s">
        <v>305</v>
      </c>
      <c r="O390" s="1" t="s">
        <v>1269</v>
      </c>
      <c r="P390" s="1"/>
      <c r="Q390" s="1">
        <f>IFERROR(COUNTIFS(_report[TOURNAMENT_CODE],ВСЕ_КОДЫ[[#This Row],[TOURNAMENT_CODE]],_report[CONTEST_CODE],ВСЕ_КОДЫ[[#This Row],[CONTEST_CODE]]),"-")</f>
        <v>0</v>
      </c>
      <c r="R390" s="1" t="str">
        <f>IFERROR(INDEX(_SCHEDULE_[],MATCH(ВСЕ_КОДЫ[[#This Row],[CONTEST_CODE]],_SCHEDULE_[CONTEST_CODE],0),MATCH($R$1,_SCHEDULE_[#Headers],0)),"-")</f>
        <v>УДАЛЕН</v>
      </c>
      <c r="S390" s="1" t="str">
        <f>IFERROR(INDEX(_group_[],MATCH(ВСЕ_КОДЫ[[#This Row],[CONTEST_CODE]],_group_[CONTEST_CODE],0),MATCH($S$1,_group_[#Headers],0)),"-")</f>
        <v>TB</v>
      </c>
      <c r="T390" s="1" t="str">
        <f>IFERROR(INDEX(_INDICATOR_[],MATCH(ВСЕ_КОДЫ[[#This Row],[CONTEST_CODE]],_INDICATOR_[CONTEST_CODE],0),MATCH($T$1,_INDICATOR_[#Headers],0)),"-")</f>
        <v>WAIT</v>
      </c>
      <c r="U390" s="1" t="str">
        <f>IFERROR(INDEX(_reward_link_[],MATCH(ВСЕ_КОДЫ[[#This Row],[CONTEST_CODE]],_reward_link_[CONTEST_CODE],0),MATCH($U$1,_reward_link_[#Headers],0)),"-")</f>
        <v>TB</v>
      </c>
      <c r="V390" s="1" t="str">
        <f>IFERROR(INDEX(_report[],MATCH(ВСЕ_КОДЫ[[#This Row],[CONTEST_CODE]],_report[CONTEST_CODE],0),MATCH($V$1,_report[#Headers],0)),"-")</f>
        <v>-</v>
      </c>
      <c r="W390" s="1" t="str">
        <f>IFERROR(INDEX(_reward_[],MATCH(ВСЕ_КОДЫ[[#This Row],[REWARD_CODE]],_reward_[REWARD_CODE],0),MATCH($W$1,_reward_[#Headers],0)),"-")</f>
        <v>Победитель ТБ по числу сделок ЦКП</v>
      </c>
      <c r="X390" s="1" t="str">
        <f>IFERROR(INDEX(_group_[],MATCH(CONCATENATE(ВСЕ_КОДЫ[[#This Row],[CONTEST_CODE]],"_",X$2),#REF!,0),MATCH(X$1,_group_[#Headers],0)),"-")</f>
        <v>-</v>
      </c>
      <c r="Y390" s="1" t="str">
        <f>IFERROR(INDEX(_group_[],MATCH(CONCATENATE(ВСЕ_КОДЫ[[#This Row],[CONTEST_CODE]],"_",Y$2),#REF!,0),MATCH(Y$1,_group_[#Headers],0)),"-")</f>
        <v>-</v>
      </c>
      <c r="Z390" s="1" t="str">
        <f>IFERROR(INDEX(_group_[],MATCH(CONCATENATE(ВСЕ_КОДЫ[[#This Row],[CONTEST_CODE]],"_",Z$2),#REF!,0),MATCH(Z$1,_group_[#Headers],0)),"-")</f>
        <v>-</v>
      </c>
      <c r="AA390" s="1" t="str">
        <f>IFERROR(INDEX(_group_[],MATCH(CONCATENATE(ВСЕ_КОДЫ[[#This Row],[CONTEST_CODE]],"_",AA$2),#REF!,0),MATCH(AA$1,_group_[#Headers],0)),"-")</f>
        <v>-</v>
      </c>
      <c r="AB390" s="1" t="str">
        <f>IFERROR(INDEX(_DATA_[],MATCH(ВСЕ_КОДЫ[[#This Row],[CONTEST_CODE]],_DATA_[CONTEST_CODE],0),MATCH($AB$2,_DATA_[#Headers],0)),"-")</f>
        <v>["""KMKKSB"""]</v>
      </c>
      <c r="AC390" s="1" t="str">
        <f>CONCATENATE(ВСЕ_КОДЫ[[#This Row],[CONTEST_CODE]],"_",ВСЕ_КОДЫ[[#This Row],[TOURNAMENT_CODE]])</f>
        <v>CONTEST_41_TOURNAMENT_41_01</v>
      </c>
      <c r="AD390" s="1" t="str">
        <f>ВСЕ_КОДЫ[[#This Row],[FULL_NAME]]</f>
        <v>Кредитные продукты. Наращиваем сделки в ЦКП</v>
      </c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idden="1" x14ac:dyDescent="0.25">
      <c r="A391" s="1" t="s">
        <v>1227</v>
      </c>
      <c r="B391" s="1" t="s">
        <v>1289</v>
      </c>
      <c r="C391" s="1" t="s">
        <v>1240</v>
      </c>
      <c r="D391" s="1" t="s">
        <v>586</v>
      </c>
      <c r="E391" s="1" t="s">
        <v>1841</v>
      </c>
      <c r="F391" s="1" t="s">
        <v>26</v>
      </c>
      <c r="G391" s="1" t="s">
        <v>27</v>
      </c>
      <c r="H391" s="1" t="s">
        <v>34</v>
      </c>
      <c r="I391" s="1" t="s">
        <v>50</v>
      </c>
      <c r="J391" s="1" t="s">
        <v>192</v>
      </c>
      <c r="K391" s="1" t="s">
        <v>252</v>
      </c>
      <c r="L391" s="1" t="s">
        <v>1226</v>
      </c>
      <c r="M391" s="1" t="s">
        <v>155</v>
      </c>
      <c r="N391" s="1" t="s">
        <v>305</v>
      </c>
      <c r="O391" s="1" t="s">
        <v>1269</v>
      </c>
      <c r="P391" s="1"/>
      <c r="Q391" s="1">
        <f>IFERROR(COUNTIFS(_report[TOURNAMENT_CODE],ВСЕ_КОДЫ[[#This Row],[TOURNAMENT_CODE]],_report[CONTEST_CODE],ВСЕ_КОДЫ[[#This Row],[CONTEST_CODE]]),"-")</f>
        <v>0</v>
      </c>
      <c r="R391" s="1" t="str">
        <f>IFERROR(INDEX(_SCHEDULE_[],MATCH(ВСЕ_КОДЫ[[#This Row],[CONTEST_CODE]],_SCHEDULE_[CONTEST_CODE],0),MATCH($R$1,_SCHEDULE_[#Headers],0)),"-")</f>
        <v>УДАЛЕН</v>
      </c>
      <c r="S391" s="1" t="str">
        <f>IFERROR(INDEX(_group_[],MATCH(ВСЕ_КОДЫ[[#This Row],[CONTEST_CODE]],_group_[CONTEST_CODE],0),MATCH($S$1,_group_[#Headers],0)),"-")</f>
        <v>TB</v>
      </c>
      <c r="T391" s="1" t="str">
        <f>IFERROR(INDEX(_INDICATOR_[],MATCH(ВСЕ_КОДЫ[[#This Row],[CONTEST_CODE]],_INDICATOR_[CONTEST_CODE],0),MATCH($T$1,_INDICATOR_[#Headers],0)),"-")</f>
        <v>WAIT</v>
      </c>
      <c r="U391" s="1" t="str">
        <f>IFERROR(INDEX(_reward_link_[],MATCH(ВСЕ_КОДЫ[[#This Row],[CONTEST_CODE]],_reward_link_[CONTEST_CODE],0),MATCH($U$1,_reward_link_[#Headers],0)),"-")</f>
        <v>TB</v>
      </c>
      <c r="V391" s="1" t="str">
        <f>IFERROR(INDEX(_report[],MATCH(ВСЕ_КОДЫ[[#This Row],[CONTEST_CODE]],_report[CONTEST_CODE],0),MATCH($V$1,_report[#Headers],0)),"-")</f>
        <v>-</v>
      </c>
      <c r="W391" s="1" t="str">
        <f>IFERROR(INDEX(_reward_[],MATCH(ВСЕ_КОДЫ[[#This Row],[REWARD_CODE]],_reward_[REWARD_CODE],0),MATCH($W$1,_reward_[#Headers],0)),"-")</f>
        <v>Победитель ТБ по числу сделок ЦКП</v>
      </c>
      <c r="X391" s="1" t="str">
        <f>IFERROR(INDEX(_group_[],MATCH(CONCATENATE(ВСЕ_КОДЫ[[#This Row],[CONTEST_CODE]],"_",X$2),#REF!,0),MATCH(X$1,_group_[#Headers],0)),"-")</f>
        <v>-</v>
      </c>
      <c r="Y391" s="1" t="str">
        <f>IFERROR(INDEX(_group_[],MATCH(CONCATENATE(ВСЕ_КОДЫ[[#This Row],[CONTEST_CODE]],"_",Y$2),#REF!,0),MATCH(Y$1,_group_[#Headers],0)),"-")</f>
        <v>-</v>
      </c>
      <c r="Z391" s="1" t="str">
        <f>IFERROR(INDEX(_group_[],MATCH(CONCATENATE(ВСЕ_КОДЫ[[#This Row],[CONTEST_CODE]],"_",Z$2),#REF!,0),MATCH(Z$1,_group_[#Headers],0)),"-")</f>
        <v>-</v>
      </c>
      <c r="AA391" s="1" t="str">
        <f>IFERROR(INDEX(_group_[],MATCH(CONCATENATE(ВСЕ_КОДЫ[[#This Row],[CONTEST_CODE]],"_",AA$2),#REF!,0),MATCH(AA$1,_group_[#Headers],0)),"-")</f>
        <v>-</v>
      </c>
      <c r="AB391" s="1" t="str">
        <f>IFERROR(INDEX(_DATA_[],MATCH(ВСЕ_КОДЫ[[#This Row],[CONTEST_CODE]],_DATA_[CONTEST_CODE],0),MATCH($AB$2,_DATA_[#Headers],0)),"-")</f>
        <v>["""KMKKSB"""]</v>
      </c>
      <c r="AC391" s="1" t="str">
        <f>CONCATENATE(ВСЕ_КОДЫ[[#This Row],[CONTEST_CODE]],"_",ВСЕ_КОДЫ[[#This Row],[TOURNAMENT_CODE]])</f>
        <v>CONTEST_41_TOURNAMENT_41_02</v>
      </c>
      <c r="AD391" s="1" t="str">
        <f>ВСЕ_КОДЫ[[#This Row],[FULL_NAME]]</f>
        <v>Кредитные продукты. Наращиваем сделки в ЦКП</v>
      </c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idden="1" x14ac:dyDescent="0.25">
      <c r="A392" s="1" t="s">
        <v>138</v>
      </c>
      <c r="B392" s="1" t="s">
        <v>297</v>
      </c>
      <c r="C392" s="1" t="s">
        <v>551</v>
      </c>
      <c r="D392" s="1" t="s">
        <v>583</v>
      </c>
      <c r="E392" s="1" t="s">
        <v>552</v>
      </c>
      <c r="F392" s="1" t="s">
        <v>26</v>
      </c>
      <c r="G392" s="1" t="s">
        <v>27</v>
      </c>
      <c r="H392" s="1" t="s">
        <v>28</v>
      </c>
      <c r="I392" s="1" t="s">
        <v>29</v>
      </c>
      <c r="J392" s="1" t="s">
        <v>223</v>
      </c>
      <c r="K392" s="1" t="s">
        <v>1204</v>
      </c>
      <c r="L392" s="1" t="s">
        <v>1204</v>
      </c>
      <c r="M392" s="1" t="s">
        <v>176</v>
      </c>
      <c r="N392" s="1" t="s">
        <v>305</v>
      </c>
      <c r="O392" s="1" t="s">
        <v>552</v>
      </c>
      <c r="P392" s="1"/>
      <c r="Q392" s="1">
        <f>IFERROR(COUNTIFS(_report[TOURNAMENT_CODE],ВСЕ_КОДЫ[[#This Row],[TOURNAMENT_CODE]],_report[CONTEST_CODE],ВСЕ_КОДЫ[[#This Row],[CONTEST_CODE]]),"-")</f>
        <v>0</v>
      </c>
      <c r="R392" s="1" t="str">
        <f>IFERROR(INDEX(_SCHEDULE_[],MATCH(ВСЕ_КОДЫ[[#This Row],[CONTEST_CODE]],_SCHEDULE_[CONTEST_CODE],0),MATCH($R$1,_SCHEDULE_[#Headers],0)),"-")</f>
        <v>ЗАВЕРШЕН</v>
      </c>
      <c r="S392" s="1" t="str">
        <f>IFERROR(INDEX(_group_[],MATCH(ВСЕ_КОДЫ[[#This Row],[CONTEST_CODE]],_group_[CONTEST_CODE],0),MATCH($S$1,_group_[#Headers],0)),"-")</f>
        <v>BANK</v>
      </c>
      <c r="T392" s="1" t="str">
        <f>IFERROR(INDEX(_INDICATOR_[],MATCH(ВСЕ_КОДЫ[[#This Row],[CONTEST_CODE]],_INDICATOR_[CONTEST_CODE],0),MATCH($T$1,_INDICATOR_[#Headers],0)),"-")</f>
        <v>WAIT</v>
      </c>
      <c r="U392" s="1" t="str">
        <f>IFERROR(INDEX(_reward_link_[],MATCH(ВСЕ_КОДЫ[[#This Row],[CONTEST_CODE]],_reward_link_[CONTEST_CODE],0),MATCH($U$1,_reward_link_[#Headers],0)),"-")</f>
        <v>BANK</v>
      </c>
      <c r="V392" s="1" t="str">
        <f>IFERROR(INDEX(_report[],MATCH(ВСЕ_КОДЫ[[#This Row],[CONTEST_CODE]],_report[CONTEST_CODE],0),MATCH($V$1,_report[#Headers],0)),"-")</f>
        <v>-</v>
      </c>
      <c r="W392" s="1" t="str">
        <f>IFERROR(INDEX(_reward_[],MATCH(ВСЕ_КОДЫ[[#This Row],[REWARD_CODE]],_reward_[REWARD_CODE],0),MATCH($W$1,_reward_[#Headers],0)),"-")</f>
        <v>Первая сделка в ЦКП</v>
      </c>
      <c r="X392" s="1" t="str">
        <f>IFERROR(INDEX(_group_[],MATCH(CONCATENATE(ВСЕ_КОДЫ[[#This Row],[CONTEST_CODE]],"_",X$2),#REF!,0),MATCH(X$1,_group_[#Headers],0)),"-")</f>
        <v>-</v>
      </c>
      <c r="Y392" s="1" t="str">
        <f>IFERROR(INDEX(_group_[],MATCH(CONCATENATE(ВСЕ_КОДЫ[[#This Row],[CONTEST_CODE]],"_",Y$2),#REF!,0),MATCH(Y$1,_group_[#Headers],0)),"-")</f>
        <v>-</v>
      </c>
      <c r="Z392" s="1" t="str">
        <f>IFERROR(INDEX(_group_[],MATCH(CONCATENATE(ВСЕ_КОДЫ[[#This Row],[CONTEST_CODE]],"_",Z$2),#REF!,0),MATCH(Z$1,_group_[#Headers],0)),"-")</f>
        <v>-</v>
      </c>
      <c r="AA392" s="1" t="str">
        <f>IFERROR(INDEX(_group_[],MATCH(CONCATENATE(ВСЕ_КОДЫ[[#This Row],[CONTEST_CODE]],"_",AA$2),#REF!,0),MATCH(AA$1,_group_[#Headers],0)),"-")</f>
        <v>-</v>
      </c>
      <c r="AB392" s="1" t="str">
        <f>IFERROR(INDEX(_DATA_[],MATCH(ВСЕ_КОДЫ[[#This Row],[CONTEST_CODE]],_DATA_[CONTEST_CODE],0),MATCH($AB$2,_DATA_[#Headers],0)),"-")</f>
        <v>["""KMKKSB"""]</v>
      </c>
      <c r="AC392" s="1" t="str">
        <f>CONCATENATE(ВСЕ_КОДЫ[[#This Row],[CONTEST_CODE]],"_",ВСЕ_КОДЫ[[#This Row],[TOURNAMENT_CODE]])</f>
        <v>CONTEST_42_TOURNAMENT_42_01</v>
      </c>
      <c r="AD392" s="1" t="str">
        <f>ВСЕ_КОДЫ[[#This Row],[FULL_NAME]]</f>
        <v>Первая сделка в ЦКП</v>
      </c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idden="1" x14ac:dyDescent="0.25">
      <c r="A393" s="1" t="s">
        <v>647</v>
      </c>
      <c r="B393" s="1" t="s">
        <v>1290</v>
      </c>
      <c r="C393" s="1" t="s">
        <v>655</v>
      </c>
      <c r="D393" s="1" t="s">
        <v>583</v>
      </c>
      <c r="E393" s="1" t="s">
        <v>658</v>
      </c>
      <c r="F393" s="1" t="s">
        <v>26</v>
      </c>
      <c r="G393" s="1" t="s">
        <v>27</v>
      </c>
      <c r="H393" s="1" t="s">
        <v>34</v>
      </c>
      <c r="I393" s="1" t="s">
        <v>35</v>
      </c>
      <c r="J393" s="1" t="s">
        <v>182</v>
      </c>
      <c r="K393" s="1" t="s">
        <v>642</v>
      </c>
      <c r="L393" s="1" t="s">
        <v>2543</v>
      </c>
      <c r="M393" s="1" t="s">
        <v>176</v>
      </c>
      <c r="N393" s="1" t="s">
        <v>305</v>
      </c>
      <c r="O393" s="1" t="s">
        <v>656</v>
      </c>
      <c r="P393" s="1"/>
      <c r="Q393" s="1">
        <f>IFERROR(COUNTIFS(_report[TOURNAMENT_CODE],ВСЕ_КОДЫ[[#This Row],[TOURNAMENT_CODE]],_report[CONTEST_CODE],ВСЕ_КОДЫ[[#This Row],[CONTEST_CODE]]),"-")</f>
        <v>0</v>
      </c>
      <c r="R393" s="1" t="str">
        <f>IFERROR(INDEX(_SCHEDULE_[],MATCH(ВСЕ_КОДЫ[[#This Row],[CONTEST_CODE]],_SCHEDULE_[CONTEST_CODE],0),MATCH($R$1,_SCHEDULE_[#Headers],0)),"-")</f>
        <v>ЗАВЕРШЕН</v>
      </c>
      <c r="S393" s="1" t="str">
        <f>IFERROR(INDEX(_group_[],MATCH(ВСЕ_КОДЫ[[#This Row],[CONTEST_CODE]],_group_[CONTEST_CODE],0),MATCH($S$1,_group_[#Headers],0)),"-")</f>
        <v>BANK</v>
      </c>
      <c r="T393" s="1" t="str">
        <f>IFERROR(INDEX(_INDICATOR_[],MATCH(ВСЕ_КОДЫ[[#This Row],[CONTEST_CODE]],_INDICATOR_[CONTEST_CODE],0),MATCH($T$1,_INDICATOR_[#Headers],0)),"-")</f>
        <v>WAIT</v>
      </c>
      <c r="U393" s="1" t="str">
        <f>IFERROR(INDEX(_reward_link_[],MATCH(ВСЕ_КОДЫ[[#This Row],[CONTEST_CODE]],_reward_link_[CONTEST_CODE],0),MATCH($U$1,_reward_link_[#Headers],0)),"-")</f>
        <v>BANK</v>
      </c>
      <c r="V393" s="1" t="str">
        <f>IFERROR(INDEX(_report[],MATCH(ВСЕ_КОДЫ[[#This Row],[CONTEST_CODE]],_report[CONTEST_CODE],0),MATCH($V$1,_report[#Headers],0)),"-")</f>
        <v>-</v>
      </c>
      <c r="W393" s="1" t="str">
        <f>IFERROR(INDEX(_reward_[],MATCH(ВСЕ_КОДЫ[[#This Row],[REWARD_CODE]],_reward_[REWARD_CODE],0),MATCH($W$1,_reward_[#Headers],0)),"-")</f>
        <v>Лизинговый миллиардер</v>
      </c>
      <c r="X393" s="1" t="str">
        <f>IFERROR(INDEX(_group_[],MATCH(CONCATENATE(ВСЕ_КОДЫ[[#This Row],[CONTEST_CODE]],"_",X$2),#REF!,0),MATCH(X$1,_group_[#Headers],0)),"-")</f>
        <v>-</v>
      </c>
      <c r="Y393" s="1" t="str">
        <f>IFERROR(INDEX(_group_[],MATCH(CONCATENATE(ВСЕ_КОДЫ[[#This Row],[CONTEST_CODE]],"_",Y$2),#REF!,0),MATCH(Y$1,_group_[#Headers],0)),"-")</f>
        <v>-</v>
      </c>
      <c r="Z393" s="1" t="str">
        <f>IFERROR(INDEX(_group_[],MATCH(CONCATENATE(ВСЕ_КОДЫ[[#This Row],[CONTEST_CODE]],"_",Z$2),#REF!,0),MATCH(Z$1,_group_[#Headers],0)),"-")</f>
        <v>-</v>
      </c>
      <c r="AA393" s="1" t="str">
        <f>IFERROR(INDEX(_group_[],MATCH(CONCATENATE(ВСЕ_КОДЫ[[#This Row],[CONTEST_CODE]],"_",AA$2),#REF!,0),MATCH(AA$1,_group_[#Headers],0)),"-")</f>
        <v>-</v>
      </c>
      <c r="AB393" s="1" t="str">
        <f>IFERROR(INDEX(_DATA_[],MATCH(ВСЕ_КОДЫ[[#This Row],[CONTEST_CODE]],_DATA_[CONTEST_CODE],0),MATCH($AB$2,_DATA_[#Headers],0)),"-")</f>
        <v>["""KMKKSB"""]</v>
      </c>
      <c r="AC393" s="1" t="str">
        <f>CONCATENATE(ВСЕ_КОДЫ[[#This Row],[CONTEST_CODE]],"_",ВСЕ_КОДЫ[[#This Row],[TOURNAMENT_CODE]])</f>
        <v>CONTEST_43_TOURNAMENT_43_2024_Y01</v>
      </c>
      <c r="AD393" s="1" t="str">
        <f>ВСЕ_КОДЫ[[#This Row],[FULL_NAME]]</f>
        <v>Лизинговый миллардер</v>
      </c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idden="1" x14ac:dyDescent="0.25">
      <c r="A394" s="1" t="s">
        <v>647</v>
      </c>
      <c r="B394" s="1" t="s">
        <v>4791</v>
      </c>
      <c r="C394" s="1" t="s">
        <v>655</v>
      </c>
      <c r="D394" s="1" t="s">
        <v>583</v>
      </c>
      <c r="E394" s="1" t="s">
        <v>658</v>
      </c>
      <c r="F394" s="1" t="s">
        <v>26</v>
      </c>
      <c r="G394" s="1" t="s">
        <v>27</v>
      </c>
      <c r="H394" s="1" t="s">
        <v>34</v>
      </c>
      <c r="I394" s="1" t="s">
        <v>35</v>
      </c>
      <c r="J394" s="1" t="s">
        <v>2508</v>
      </c>
      <c r="K394" s="1" t="s">
        <v>2509</v>
      </c>
      <c r="L394" s="1" t="s">
        <v>4795</v>
      </c>
      <c r="M394" s="1" t="s">
        <v>34</v>
      </c>
      <c r="N394" s="1" t="s">
        <v>305</v>
      </c>
      <c r="O394" s="1" t="s">
        <v>656</v>
      </c>
      <c r="P394" s="1"/>
      <c r="Q394" s="1">
        <f>IFERROR(COUNTIFS(_report[TOURNAMENT_CODE],ВСЕ_КОДЫ[[#This Row],[TOURNAMENT_CODE]],_report[CONTEST_CODE],ВСЕ_КОДЫ[[#This Row],[CONTEST_CODE]]),"-")</f>
        <v>0</v>
      </c>
      <c r="R394" s="1" t="str">
        <f>IFERROR(INDEX(_SCHEDULE_[],MATCH(ВСЕ_КОДЫ[[#This Row],[CONTEST_CODE]],_SCHEDULE_[CONTEST_CODE],0),MATCH($R$1,_SCHEDULE_[#Headers],0)),"-")</f>
        <v>ЗАВЕРШЕН</v>
      </c>
      <c r="S394" s="1" t="str">
        <f>IFERROR(INDEX(_group_[],MATCH(ВСЕ_КОДЫ[[#This Row],[CONTEST_CODE]],_group_[CONTEST_CODE],0),MATCH($S$1,_group_[#Headers],0)),"-")</f>
        <v>BANK</v>
      </c>
      <c r="T394" s="1" t="str">
        <f>IFERROR(INDEX(_INDICATOR_[],MATCH(ВСЕ_КОДЫ[[#This Row],[CONTEST_CODE]],_INDICATOR_[CONTEST_CODE],0),MATCH($T$1,_INDICATOR_[#Headers],0)),"-")</f>
        <v>WAIT</v>
      </c>
      <c r="U394" s="1" t="str">
        <f>IFERROR(INDEX(_reward_link_[],MATCH(ВСЕ_КОДЫ[[#This Row],[CONTEST_CODE]],_reward_link_[CONTEST_CODE],0),MATCH($U$1,_reward_link_[#Headers],0)),"-")</f>
        <v>BANK</v>
      </c>
      <c r="V394" s="1" t="str">
        <f>IFERROR(INDEX(_report[],MATCH(ВСЕ_КОДЫ[[#This Row],[CONTEST_CODE]],_report[CONTEST_CODE],0),MATCH($V$1,_report[#Headers],0)),"-")</f>
        <v>-</v>
      </c>
      <c r="W394" s="1" t="str">
        <f>IFERROR(INDEX(_reward_[],MATCH(ВСЕ_КОДЫ[[#This Row],[REWARD_CODE]],_reward_[REWARD_CODE],0),MATCH($W$1,_reward_[#Headers],0)),"-")</f>
        <v>Лизинговый миллиардер</v>
      </c>
      <c r="X394" s="1" t="str">
        <f>IFERROR(INDEX(_group_[],MATCH(CONCATENATE(ВСЕ_КОДЫ[[#This Row],[CONTEST_CODE]],"_",X$2),#REF!,0),MATCH(X$1,_group_[#Headers],0)),"-")</f>
        <v>-</v>
      </c>
      <c r="Y394" s="1" t="str">
        <f>IFERROR(INDEX(_group_[],MATCH(CONCATENATE(ВСЕ_КОДЫ[[#This Row],[CONTEST_CODE]],"_",Y$2),#REF!,0),MATCH(Y$1,_group_[#Headers],0)),"-")</f>
        <v>-</v>
      </c>
      <c r="Z394" s="1" t="str">
        <f>IFERROR(INDEX(_group_[],MATCH(CONCATENATE(ВСЕ_КОДЫ[[#This Row],[CONTEST_CODE]],"_",Z$2),#REF!,0),MATCH(Z$1,_group_[#Headers],0)),"-")</f>
        <v>-</v>
      </c>
      <c r="AA394" s="1" t="str">
        <f>IFERROR(INDEX(_group_[],MATCH(CONCATENATE(ВСЕ_КОДЫ[[#This Row],[CONTEST_CODE]],"_",AA$2),#REF!,0),MATCH(AA$1,_group_[#Headers],0)),"-")</f>
        <v>-</v>
      </c>
      <c r="AB394" s="1" t="str">
        <f>IFERROR(INDEX(_DATA_[],MATCH(ВСЕ_КОДЫ[[#This Row],[CONTEST_CODE]],_DATA_[CONTEST_CODE],0),MATCH($AB$2,_DATA_[#Headers],0)),"-")</f>
        <v>["""KMKKSB"""]</v>
      </c>
      <c r="AC394" s="1" t="str">
        <f>CONCATENATE(ВСЕ_КОДЫ[[#This Row],[CONTEST_CODE]],"_",ВСЕ_КОДЫ[[#This Row],[TOURNAMENT_CODE]])</f>
        <v>CONTEST_43_TOURNAMENT_43_2025_Y01</v>
      </c>
      <c r="AD394" s="1" t="str">
        <f>ВСЕ_КОДЫ[[#This Row],[FULL_NAME]]</f>
        <v>Лизинговый миллардер</v>
      </c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idden="1" x14ac:dyDescent="0.25">
      <c r="A395" s="1" t="s">
        <v>1171</v>
      </c>
      <c r="B395" s="1" t="s">
        <v>1174</v>
      </c>
      <c r="C395" s="1" t="s">
        <v>1186</v>
      </c>
      <c r="D395" s="1" t="s">
        <v>586</v>
      </c>
      <c r="E395" s="1" t="s">
        <v>1176</v>
      </c>
      <c r="F395" s="1" t="s">
        <v>26</v>
      </c>
      <c r="G395" s="1" t="s">
        <v>27</v>
      </c>
      <c r="H395" s="1" t="s">
        <v>34</v>
      </c>
      <c r="I395" s="1" t="s">
        <v>50</v>
      </c>
      <c r="J395" s="1" t="s">
        <v>1078</v>
      </c>
      <c r="K395" s="1" t="s">
        <v>1070</v>
      </c>
      <c r="L395" s="1" t="s">
        <v>1714</v>
      </c>
      <c r="M395" s="1" t="s">
        <v>176</v>
      </c>
      <c r="N395" s="1" t="s">
        <v>305</v>
      </c>
      <c r="O395" s="1" t="s">
        <v>1198</v>
      </c>
      <c r="P395" s="1"/>
      <c r="Q395" s="1">
        <f>IFERROR(COUNTIFS(_report[TOURNAMENT_CODE],ВСЕ_КОДЫ[[#This Row],[TOURNAMENT_CODE]],_report[CONTEST_CODE],ВСЕ_КОДЫ[[#This Row],[CONTEST_CODE]]),"-")</f>
        <v>0</v>
      </c>
      <c r="R395" s="1" t="str">
        <f>IFERROR(INDEX(_SCHEDULE_[],MATCH(ВСЕ_КОДЫ[[#This Row],[CONTEST_CODE]],_SCHEDULE_[CONTEST_CODE],0),MATCH($R$1,_SCHEDULE_[#Headers],0)),"-")</f>
        <v>ЗАВЕРШЕН</v>
      </c>
      <c r="S395" s="1" t="str">
        <f>IFERROR(INDEX(_group_[],MATCH(ВСЕ_КОДЫ[[#This Row],[CONTEST_CODE]],_group_[CONTEST_CODE],0),MATCH($S$1,_group_[#Headers],0)),"-")</f>
        <v>BANK</v>
      </c>
      <c r="T395" s="1" t="str">
        <f>IFERROR(INDEX(_INDICATOR_[],MATCH(ВСЕ_КОДЫ[[#This Row],[CONTEST_CODE]],_INDICATOR_[CONTEST_CODE],0),MATCH($T$1,_INDICATOR_[#Headers],0)),"-")</f>
        <v>WAIT</v>
      </c>
      <c r="U395" s="1" t="str">
        <f>IFERROR(INDEX(_reward_link_[],MATCH(ВСЕ_КОДЫ[[#This Row],[CONTEST_CODE]],_reward_link_[CONTEST_CODE],0),MATCH($U$1,_reward_link_[#Headers],0)),"-")</f>
        <v>TB</v>
      </c>
      <c r="V395" s="1" t="str">
        <f>IFERROR(INDEX(_report[],MATCH(ВСЕ_КОДЫ[[#This Row],[CONTEST_CODE]],_report[CONTEST_CODE],0),MATCH($V$1,_report[#Headers],0)),"-")</f>
        <v>-</v>
      </c>
      <c r="W395" s="1" t="str">
        <f>IFERROR(INDEX(_reward_[],MATCH(ВСЕ_КОДЫ[[#This Row],[REWARD_CODE]],_reward_[REWARD_CODE],0),MATCH($W$1,_reward_[#Headers],0)),"-")</f>
        <v>Победитель ТБ по комиссии от страховых продуктов ESG</v>
      </c>
      <c r="X395" s="1" t="str">
        <f>IFERROR(INDEX(_group_[],MATCH(CONCATENATE(ВСЕ_КОДЫ[[#This Row],[CONTEST_CODE]],"_",X$2),#REF!,0),MATCH(X$1,_group_[#Headers],0)),"-")</f>
        <v>-</v>
      </c>
      <c r="Y395" s="1" t="str">
        <f>IFERROR(INDEX(_group_[],MATCH(CONCATENATE(ВСЕ_КОДЫ[[#This Row],[CONTEST_CODE]],"_",Y$2),#REF!,0),MATCH(Y$1,_group_[#Headers],0)),"-")</f>
        <v>-</v>
      </c>
      <c r="Z395" s="1" t="str">
        <f>IFERROR(INDEX(_group_[],MATCH(CONCATENATE(ВСЕ_КОДЫ[[#This Row],[CONTEST_CODE]],"_",Z$2),#REF!,0),MATCH(Z$1,_group_[#Headers],0)),"-")</f>
        <v>-</v>
      </c>
      <c r="AA395" s="1" t="str">
        <f>IFERROR(INDEX(_group_[],MATCH(CONCATENATE(ВСЕ_КОДЫ[[#This Row],[CONTEST_CODE]],"_",AA$2),#REF!,0),MATCH(AA$1,_group_[#Headers],0)),"-")</f>
        <v>-</v>
      </c>
      <c r="AB395" s="1" t="str">
        <f>IFERROR(INDEX(_DATA_[],MATCH(ВСЕ_КОДЫ[[#This Row],[CONTEST_CODE]],_DATA_[CONTEST_CODE],0),MATCH($AB$2,_DATA_[#Headers],0)),"-")</f>
        <v>["""KMKKSB"""]</v>
      </c>
      <c r="AC395" s="1" t="str">
        <f>CONCATENATE(ВСЕ_КОДЫ[[#This Row],[CONTEST_CODE]],"_",ВСЕ_КОДЫ[[#This Row],[TOURNAMENT_CODE]])</f>
        <v>CONTEST_44_TOURNAMENT_44_2024_08</v>
      </c>
      <c r="AD395" s="1" t="str">
        <f>ВСЕ_КОДЫ[[#This Row],[FULL_NAME]]</f>
        <v xml:space="preserve">Страхование. Продукты ESG </v>
      </c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idden="1" x14ac:dyDescent="0.25">
      <c r="A396" s="1" t="s">
        <v>1171</v>
      </c>
      <c r="B396" s="1" t="s">
        <v>1663</v>
      </c>
      <c r="C396" s="1" t="s">
        <v>1186</v>
      </c>
      <c r="D396" s="1" t="s">
        <v>586</v>
      </c>
      <c r="E396" s="1" t="s">
        <v>1176</v>
      </c>
      <c r="F396" s="1" t="s">
        <v>26</v>
      </c>
      <c r="G396" s="1" t="s">
        <v>27</v>
      </c>
      <c r="H396" s="1" t="s">
        <v>34</v>
      </c>
      <c r="I396" s="1" t="s">
        <v>50</v>
      </c>
      <c r="J396" s="1" t="s">
        <v>1308</v>
      </c>
      <c r="K396" s="1" t="s">
        <v>642</v>
      </c>
      <c r="L396" s="1" t="s">
        <v>2131</v>
      </c>
      <c r="M396" s="1" t="s">
        <v>176</v>
      </c>
      <c r="N396" s="1" t="s">
        <v>305</v>
      </c>
      <c r="O396" s="1" t="s">
        <v>1198</v>
      </c>
      <c r="P396" s="1"/>
      <c r="Q396" s="1">
        <f>IFERROR(COUNTIFS(_report[TOURNAMENT_CODE],ВСЕ_КОДЫ[[#This Row],[TOURNAMENT_CODE]],_report[CONTEST_CODE],ВСЕ_КОДЫ[[#This Row],[CONTEST_CODE]]),"-")</f>
        <v>0</v>
      </c>
      <c r="R396" s="1" t="str">
        <f>IFERROR(INDEX(_SCHEDULE_[],MATCH(ВСЕ_КОДЫ[[#This Row],[CONTEST_CODE]],_SCHEDULE_[CONTEST_CODE],0),MATCH($R$1,_SCHEDULE_[#Headers],0)),"-")</f>
        <v>ЗАВЕРШЕН</v>
      </c>
      <c r="S396" s="1" t="str">
        <f>IFERROR(INDEX(_group_[],MATCH(ВСЕ_КОДЫ[[#This Row],[CONTEST_CODE]],_group_[CONTEST_CODE],0),MATCH($S$1,_group_[#Headers],0)),"-")</f>
        <v>BANK</v>
      </c>
      <c r="T396" s="1" t="str">
        <f>IFERROR(INDEX(_INDICATOR_[],MATCH(ВСЕ_КОДЫ[[#This Row],[CONTEST_CODE]],_INDICATOR_[CONTEST_CODE],0),MATCH($T$1,_INDICATOR_[#Headers],0)),"-")</f>
        <v>WAIT</v>
      </c>
      <c r="U396" s="1" t="str">
        <f>IFERROR(INDEX(_reward_link_[],MATCH(ВСЕ_КОДЫ[[#This Row],[CONTEST_CODE]],_reward_link_[CONTEST_CODE],0),MATCH($U$1,_reward_link_[#Headers],0)),"-")</f>
        <v>TB</v>
      </c>
      <c r="V396" s="1" t="str">
        <f>IFERROR(INDEX(_report[],MATCH(ВСЕ_КОДЫ[[#This Row],[CONTEST_CODE]],_report[CONTEST_CODE],0),MATCH($V$1,_report[#Headers],0)),"-")</f>
        <v>-</v>
      </c>
      <c r="W396" s="1" t="str">
        <f>IFERROR(INDEX(_reward_[],MATCH(ВСЕ_КОДЫ[[#This Row],[REWARD_CODE]],_reward_[REWARD_CODE],0),MATCH($W$1,_reward_[#Headers],0)),"-")</f>
        <v>Победитель ТБ по комиссии от страховых продуктов ESG</v>
      </c>
      <c r="X396" s="1" t="str">
        <f>IFERROR(INDEX(_group_[],MATCH(CONCATENATE(ВСЕ_КОДЫ[[#This Row],[CONTEST_CODE]],"_",X$2),#REF!,0),MATCH(X$1,_group_[#Headers],0)),"-")</f>
        <v>-</v>
      </c>
      <c r="Y396" s="1" t="str">
        <f>IFERROR(INDEX(_group_[],MATCH(CONCATENATE(ВСЕ_КОДЫ[[#This Row],[CONTEST_CODE]],"_",Y$2),#REF!,0),MATCH(Y$1,_group_[#Headers],0)),"-")</f>
        <v>-</v>
      </c>
      <c r="Z396" s="1" t="str">
        <f>IFERROR(INDEX(_group_[],MATCH(CONCATENATE(ВСЕ_КОДЫ[[#This Row],[CONTEST_CODE]],"_",Z$2),#REF!,0),MATCH(Z$1,_group_[#Headers],0)),"-")</f>
        <v>-</v>
      </c>
      <c r="AA396" s="1" t="str">
        <f>IFERROR(INDEX(_group_[],MATCH(CONCATENATE(ВСЕ_КОДЫ[[#This Row],[CONTEST_CODE]],"_",AA$2),#REF!,0),MATCH(AA$1,_group_[#Headers],0)),"-")</f>
        <v>-</v>
      </c>
      <c r="AB396" s="1" t="str">
        <f>IFERROR(INDEX(_DATA_[],MATCH(ВСЕ_КОДЫ[[#This Row],[CONTEST_CODE]],_DATA_[CONTEST_CODE],0),MATCH($AB$2,_DATA_[#Headers],0)),"-")</f>
        <v>["""KMKKSB"""]</v>
      </c>
      <c r="AC396" s="1" t="str">
        <f>CONCATENATE(ВСЕ_КОДЫ[[#This Row],[CONTEST_CODE]],"_",ВСЕ_КОДЫ[[#This Row],[TOURNAMENT_CODE]])</f>
        <v>CONTEST_44_TOURNAMENT_44_2024_Q04</v>
      </c>
      <c r="AD396" s="1" t="str">
        <f>ВСЕ_КОДЫ[[#This Row],[FULL_NAME]]</f>
        <v xml:space="preserve">Страхование. Продукты ESG </v>
      </c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idden="1" x14ac:dyDescent="0.25">
      <c r="A397" s="1" t="s">
        <v>1171</v>
      </c>
      <c r="B397" s="1" t="s">
        <v>1174</v>
      </c>
      <c r="C397" s="1" t="s">
        <v>1188</v>
      </c>
      <c r="D397" s="1" t="s">
        <v>583</v>
      </c>
      <c r="E397" s="1" t="s">
        <v>1176</v>
      </c>
      <c r="F397" s="1" t="s">
        <v>26</v>
      </c>
      <c r="G397" s="1" t="s">
        <v>27</v>
      </c>
      <c r="H397" s="1" t="s">
        <v>34</v>
      </c>
      <c r="I397" s="1" t="s">
        <v>50</v>
      </c>
      <c r="J397" s="1" t="s">
        <v>1078</v>
      </c>
      <c r="K397" s="1" t="s">
        <v>1070</v>
      </c>
      <c r="L397" s="1" t="s">
        <v>1714</v>
      </c>
      <c r="M397" s="1" t="s">
        <v>176</v>
      </c>
      <c r="N397" s="1" t="s">
        <v>305</v>
      </c>
      <c r="O397" s="1" t="s">
        <v>1199</v>
      </c>
      <c r="P397" s="1"/>
      <c r="Q397" s="1">
        <f>IFERROR(COUNTIFS(_report[TOURNAMENT_CODE],ВСЕ_КОДЫ[[#This Row],[TOURNAMENT_CODE]],_report[CONTEST_CODE],ВСЕ_КОДЫ[[#This Row],[CONTEST_CODE]]),"-")</f>
        <v>0</v>
      </c>
      <c r="R397" s="1" t="str">
        <f>IFERROR(INDEX(_SCHEDULE_[],MATCH(ВСЕ_КОДЫ[[#This Row],[CONTEST_CODE]],_SCHEDULE_[CONTEST_CODE],0),MATCH($R$1,_SCHEDULE_[#Headers],0)),"-")</f>
        <v>ЗАВЕРШЕН</v>
      </c>
      <c r="S397" s="1" t="str">
        <f>IFERROR(INDEX(_group_[],MATCH(ВСЕ_КОДЫ[[#This Row],[CONTEST_CODE]],_group_[CONTEST_CODE],0),MATCH($S$1,_group_[#Headers],0)),"-")</f>
        <v>BANK</v>
      </c>
      <c r="T397" s="1" t="str">
        <f>IFERROR(INDEX(_INDICATOR_[],MATCH(ВСЕ_КОДЫ[[#This Row],[CONTEST_CODE]],_INDICATOR_[CONTEST_CODE],0),MATCH($T$1,_INDICATOR_[#Headers],0)),"-")</f>
        <v>WAIT</v>
      </c>
      <c r="U397" s="1" t="str">
        <f>IFERROR(INDEX(_reward_link_[],MATCH(ВСЕ_КОДЫ[[#This Row],[CONTEST_CODE]],_reward_link_[CONTEST_CODE],0),MATCH($U$1,_reward_link_[#Headers],0)),"-")</f>
        <v>TB</v>
      </c>
      <c r="V397" s="1" t="str">
        <f>IFERROR(INDEX(_report[],MATCH(ВСЕ_КОДЫ[[#This Row],[CONTEST_CODE]],_report[CONTEST_CODE],0),MATCH($V$1,_report[#Headers],0)),"-")</f>
        <v>-</v>
      </c>
      <c r="W397" s="1" t="str">
        <f>IFERROR(INDEX(_reward_[],MATCH(ВСЕ_КОДЫ[[#This Row],[REWARD_CODE]],_reward_[REWARD_CODE],0),MATCH($W$1,_reward_[#Headers],0)),"-")</f>
        <v>Чемпион страны по комиссии от страховых продуктов ESG</v>
      </c>
      <c r="X397" s="1" t="str">
        <f>IFERROR(INDEX(_group_[],MATCH(CONCATENATE(ВСЕ_КОДЫ[[#This Row],[CONTEST_CODE]],"_",X$2),#REF!,0),MATCH(X$1,_group_[#Headers],0)),"-")</f>
        <v>-</v>
      </c>
      <c r="Y397" s="1" t="str">
        <f>IFERROR(INDEX(_group_[],MATCH(CONCATENATE(ВСЕ_КОДЫ[[#This Row],[CONTEST_CODE]],"_",Y$2),#REF!,0),MATCH(Y$1,_group_[#Headers],0)),"-")</f>
        <v>-</v>
      </c>
      <c r="Z397" s="1" t="str">
        <f>IFERROR(INDEX(_group_[],MATCH(CONCATENATE(ВСЕ_КОДЫ[[#This Row],[CONTEST_CODE]],"_",Z$2),#REF!,0),MATCH(Z$1,_group_[#Headers],0)),"-")</f>
        <v>-</v>
      </c>
      <c r="AA397" s="1" t="str">
        <f>IFERROR(INDEX(_group_[],MATCH(CONCATENATE(ВСЕ_КОДЫ[[#This Row],[CONTEST_CODE]],"_",AA$2),#REF!,0),MATCH(AA$1,_group_[#Headers],0)),"-")</f>
        <v>-</v>
      </c>
      <c r="AB397" s="1" t="str">
        <f>IFERROR(INDEX(_DATA_[],MATCH(ВСЕ_КОДЫ[[#This Row],[CONTEST_CODE]],_DATA_[CONTEST_CODE],0),MATCH($AB$2,_DATA_[#Headers],0)),"-")</f>
        <v>["""KMKKSB"""]</v>
      </c>
      <c r="AC397" s="1" t="str">
        <f>CONCATENATE(ВСЕ_КОДЫ[[#This Row],[CONTEST_CODE]],"_",ВСЕ_КОДЫ[[#This Row],[TOURNAMENT_CODE]])</f>
        <v>CONTEST_44_TOURNAMENT_44_2024_08</v>
      </c>
      <c r="AD397" s="1" t="str">
        <f>ВСЕ_КОДЫ[[#This Row],[FULL_NAME]]</f>
        <v xml:space="preserve">Страхование. Продукты ESG </v>
      </c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idden="1" x14ac:dyDescent="0.25">
      <c r="A398" s="1" t="s">
        <v>1171</v>
      </c>
      <c r="B398" s="1" t="s">
        <v>1663</v>
      </c>
      <c r="C398" s="1" t="s">
        <v>1188</v>
      </c>
      <c r="D398" s="1" t="s">
        <v>583</v>
      </c>
      <c r="E398" s="1" t="s">
        <v>1176</v>
      </c>
      <c r="F398" s="1" t="s">
        <v>26</v>
      </c>
      <c r="G398" s="1" t="s">
        <v>27</v>
      </c>
      <c r="H398" s="1" t="s">
        <v>34</v>
      </c>
      <c r="I398" s="1" t="s">
        <v>50</v>
      </c>
      <c r="J398" s="1" t="s">
        <v>1308</v>
      </c>
      <c r="K398" s="1" t="s">
        <v>642</v>
      </c>
      <c r="L398" s="1" t="s">
        <v>2131</v>
      </c>
      <c r="M398" s="1" t="s">
        <v>176</v>
      </c>
      <c r="N398" s="1" t="s">
        <v>305</v>
      </c>
      <c r="O398" s="1" t="s">
        <v>1199</v>
      </c>
      <c r="P398" s="1"/>
      <c r="Q398" s="1">
        <f>IFERROR(COUNTIFS(_report[TOURNAMENT_CODE],ВСЕ_КОДЫ[[#This Row],[TOURNAMENT_CODE]],_report[CONTEST_CODE],ВСЕ_КОДЫ[[#This Row],[CONTEST_CODE]]),"-")</f>
        <v>0</v>
      </c>
      <c r="R398" s="1" t="str">
        <f>IFERROR(INDEX(_SCHEDULE_[],MATCH(ВСЕ_КОДЫ[[#This Row],[CONTEST_CODE]],_SCHEDULE_[CONTEST_CODE],0),MATCH($R$1,_SCHEDULE_[#Headers],0)),"-")</f>
        <v>ЗАВЕРШЕН</v>
      </c>
      <c r="S398" s="1" t="str">
        <f>IFERROR(INDEX(_group_[],MATCH(ВСЕ_КОДЫ[[#This Row],[CONTEST_CODE]],_group_[CONTEST_CODE],0),MATCH($S$1,_group_[#Headers],0)),"-")</f>
        <v>BANK</v>
      </c>
      <c r="T398" s="1" t="str">
        <f>IFERROR(INDEX(_INDICATOR_[],MATCH(ВСЕ_КОДЫ[[#This Row],[CONTEST_CODE]],_INDICATOR_[CONTEST_CODE],0),MATCH($T$1,_INDICATOR_[#Headers],0)),"-")</f>
        <v>WAIT</v>
      </c>
      <c r="U398" s="1" t="str">
        <f>IFERROR(INDEX(_reward_link_[],MATCH(ВСЕ_КОДЫ[[#This Row],[CONTEST_CODE]],_reward_link_[CONTEST_CODE],0),MATCH($U$1,_reward_link_[#Headers],0)),"-")</f>
        <v>TB</v>
      </c>
      <c r="V398" s="1" t="str">
        <f>IFERROR(INDEX(_report[],MATCH(ВСЕ_КОДЫ[[#This Row],[CONTEST_CODE]],_report[CONTEST_CODE],0),MATCH($V$1,_report[#Headers],0)),"-")</f>
        <v>-</v>
      </c>
      <c r="W398" s="1" t="str">
        <f>IFERROR(INDEX(_reward_[],MATCH(ВСЕ_КОДЫ[[#This Row],[REWARD_CODE]],_reward_[REWARD_CODE],0),MATCH($W$1,_reward_[#Headers],0)),"-")</f>
        <v>Чемпион страны по комиссии от страховых продуктов ESG</v>
      </c>
      <c r="X398" s="1" t="str">
        <f>IFERROR(INDEX(_group_[],MATCH(CONCATENATE(ВСЕ_КОДЫ[[#This Row],[CONTEST_CODE]],"_",X$2),#REF!,0),MATCH(X$1,_group_[#Headers],0)),"-")</f>
        <v>-</v>
      </c>
      <c r="Y398" s="1" t="str">
        <f>IFERROR(INDEX(_group_[],MATCH(CONCATENATE(ВСЕ_КОДЫ[[#This Row],[CONTEST_CODE]],"_",Y$2),#REF!,0),MATCH(Y$1,_group_[#Headers],0)),"-")</f>
        <v>-</v>
      </c>
      <c r="Z398" s="1" t="str">
        <f>IFERROR(INDEX(_group_[],MATCH(CONCATENATE(ВСЕ_КОДЫ[[#This Row],[CONTEST_CODE]],"_",Z$2),#REF!,0),MATCH(Z$1,_group_[#Headers],0)),"-")</f>
        <v>-</v>
      </c>
      <c r="AA398" s="1" t="str">
        <f>IFERROR(INDEX(_group_[],MATCH(CONCATENATE(ВСЕ_КОДЫ[[#This Row],[CONTEST_CODE]],"_",AA$2),#REF!,0),MATCH(AA$1,_group_[#Headers],0)),"-")</f>
        <v>-</v>
      </c>
      <c r="AB398" s="1" t="str">
        <f>IFERROR(INDEX(_DATA_[],MATCH(ВСЕ_КОДЫ[[#This Row],[CONTEST_CODE]],_DATA_[CONTEST_CODE],0),MATCH($AB$2,_DATA_[#Headers],0)),"-")</f>
        <v>["""KMKKSB"""]</v>
      </c>
      <c r="AC398" s="1" t="str">
        <f>CONCATENATE(ВСЕ_КОДЫ[[#This Row],[CONTEST_CODE]],"_",ВСЕ_КОДЫ[[#This Row],[TOURNAMENT_CODE]])</f>
        <v>CONTEST_44_TOURNAMENT_44_2024_Q04</v>
      </c>
      <c r="AD398" s="1" t="str">
        <f>ВСЕ_КОДЫ[[#This Row],[FULL_NAME]]</f>
        <v xml:space="preserve">Страхование. Продукты ESG </v>
      </c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idden="1" x14ac:dyDescent="0.25">
      <c r="A399" s="1" t="s">
        <v>1860</v>
      </c>
      <c r="B399" s="1" t="s">
        <v>1952</v>
      </c>
      <c r="C399" s="1" t="s">
        <v>1886</v>
      </c>
      <c r="D399" s="1" t="s">
        <v>583</v>
      </c>
      <c r="E399" s="1" t="s">
        <v>4148</v>
      </c>
      <c r="F399" s="1" t="s">
        <v>62</v>
      </c>
      <c r="G399" s="1" t="s">
        <v>27</v>
      </c>
      <c r="H399" s="1" t="s">
        <v>34</v>
      </c>
      <c r="I399" s="1" t="s">
        <v>50</v>
      </c>
      <c r="J399" s="1" t="s">
        <v>1308</v>
      </c>
      <c r="K399" s="1" t="s">
        <v>27</v>
      </c>
      <c r="L399" s="1" t="s">
        <v>194</v>
      </c>
      <c r="M399" s="1" t="s">
        <v>34</v>
      </c>
      <c r="N399" s="1" t="s">
        <v>305</v>
      </c>
      <c r="O399" s="1" t="s">
        <v>1905</v>
      </c>
      <c r="P399" s="1"/>
      <c r="Q399" s="1">
        <f>IFERROR(COUNTIFS(_report[TOURNAMENT_CODE],ВСЕ_КОДЫ[[#This Row],[TOURNAMENT_CODE]],_report[CONTEST_CODE],ВСЕ_КОДЫ[[#This Row],[CONTEST_CODE]]),"-")</f>
        <v>0</v>
      </c>
      <c r="R399" s="1" t="str">
        <f>IFERROR(INDEX(_SCHEDULE_[],MATCH(ВСЕ_КОДЫ[[#This Row],[CONTEST_CODE]],_SCHEDULE_[CONTEST_CODE],0),MATCH($R$1,_SCHEDULE_[#Headers],0)),"-")</f>
        <v>АКТИВНЫЙ</v>
      </c>
      <c r="S399" s="1" t="str">
        <f>IFERROR(INDEX(_group_[],MATCH(ВСЕ_КОДЫ[[#This Row],[CONTEST_CODE]],_group_[CONTEST_CODE],0),MATCH($S$1,_group_[#Headers],0)),"-")</f>
        <v>BANK</v>
      </c>
      <c r="T399" s="1" t="str">
        <f>IFERROR(INDEX(_INDICATOR_[],MATCH(ВСЕ_КОДЫ[[#This Row],[CONTEST_CODE]],_INDICATOR_[CONTEST_CODE],0),MATCH($T$1,_INDICATOR_[#Headers],0)),"-")</f>
        <v>WAIT</v>
      </c>
      <c r="U399" s="1" t="str">
        <f>IFERROR(INDEX(_reward_link_[],MATCH(ВСЕ_КОДЫ[[#This Row],[CONTEST_CODE]],_reward_link_[CONTEST_CODE],0),MATCH($U$1,_reward_link_[#Headers],0)),"-")</f>
        <v>BANK</v>
      </c>
      <c r="V399" s="1" t="str">
        <f>IFERROR(INDEX(_report[],MATCH(ВСЕ_КОДЫ[[#This Row],[CONTEST_CODE]],_report[CONTEST_CODE],0),MATCH($V$1,_report[#Headers],0)),"-")</f>
        <v>-</v>
      </c>
      <c r="W399" s="1" t="str">
        <f>IFERROR(INDEX(_reward_[],MATCH(ВСЕ_КОДЫ[[#This Row],[REWARD_CODE]],_reward_[REWARD_CODE],0),MATCH($W$1,_reward_[#Headers],0)),"-")</f>
        <v>Опердоход накопительным итогом</v>
      </c>
      <c r="X399" s="1" t="str">
        <f>IFERROR(INDEX(_group_[],MATCH(CONCATENATE(ВСЕ_КОДЫ[[#This Row],[CONTEST_CODE]],"_",X$2),#REF!,0),MATCH(X$1,_group_[#Headers],0)),"-")</f>
        <v>-</v>
      </c>
      <c r="Y399" s="1" t="str">
        <f>IFERROR(INDEX(_group_[],MATCH(CONCATENATE(ВСЕ_КОДЫ[[#This Row],[CONTEST_CODE]],"_",Y$2),#REF!,0),MATCH(Y$1,_group_[#Headers],0)),"-")</f>
        <v>-</v>
      </c>
      <c r="Z399" s="1" t="str">
        <f>IFERROR(INDEX(_group_[],MATCH(CONCATENATE(ВСЕ_КОДЫ[[#This Row],[CONTEST_CODE]],"_",Z$2),#REF!,0),MATCH(Z$1,_group_[#Headers],0)),"-")</f>
        <v>-</v>
      </c>
      <c r="AA399" s="1" t="str">
        <f>IFERROR(INDEX(_group_[],MATCH(CONCATENATE(ВСЕ_КОДЫ[[#This Row],[CONTEST_CODE]],"_",AA$2),#REF!,0),MATCH(AA$1,_group_[#Headers],0)),"-")</f>
        <v>-</v>
      </c>
      <c r="AB399" s="1" t="str">
        <f>IFERROR(INDEX(_DATA_[],MATCH(ВСЕ_КОДЫ[[#This Row],[CONTEST_CODE]],_DATA_[CONTEST_CODE],0),MATCH($AB$2,_DATA_[#Headers],0)),"-")</f>
        <v>["""KMKKSB"""]</v>
      </c>
      <c r="AC399" s="1" t="str">
        <f>CONCATENATE(ВСЕ_КОДЫ[[#This Row],[CONTEST_CODE]],"_",ВСЕ_КОДЫ[[#This Row],[TOURNAMENT_CODE]])</f>
        <v>CONTEST_92_TOURNAMENT_92_01</v>
      </c>
      <c r="AD399" s="1" t="str">
        <f>ВСЕ_КОДЫ[[#This Row],[FULL_NAME]]</f>
        <v>Опердоход за 3 месяца 2025</v>
      </c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idden="1" x14ac:dyDescent="0.25">
      <c r="A400" s="1" t="s">
        <v>1862</v>
      </c>
      <c r="B400" s="1" t="s">
        <v>1954</v>
      </c>
      <c r="C400" s="1" t="s">
        <v>1888</v>
      </c>
      <c r="D400" s="1" t="s">
        <v>583</v>
      </c>
      <c r="E400" s="1" t="s">
        <v>1875</v>
      </c>
      <c r="F400" s="1" t="s">
        <v>62</v>
      </c>
      <c r="G400" s="1" t="s">
        <v>27</v>
      </c>
      <c r="H400" s="1" t="s">
        <v>34</v>
      </c>
      <c r="I400" s="1" t="s">
        <v>50</v>
      </c>
      <c r="J400" s="1" t="s">
        <v>1308</v>
      </c>
      <c r="K400" s="1" t="s">
        <v>27</v>
      </c>
      <c r="L400" s="1" t="s">
        <v>194</v>
      </c>
      <c r="M400" s="1" t="s">
        <v>34</v>
      </c>
      <c r="N400" s="1" t="s">
        <v>305</v>
      </c>
      <c r="O400" s="1" t="s">
        <v>1875</v>
      </c>
      <c r="P400" s="1"/>
      <c r="Q400" s="1">
        <f>IFERROR(COUNTIFS(_report[TOURNAMENT_CODE],ВСЕ_КОДЫ[[#This Row],[TOURNAMENT_CODE]],_report[CONTEST_CODE],ВСЕ_КОДЫ[[#This Row],[CONTEST_CODE]]),"-")</f>
        <v>0</v>
      </c>
      <c r="R400" s="1" t="str">
        <f>IFERROR(INDEX(_SCHEDULE_[],MATCH(ВСЕ_КОДЫ[[#This Row],[CONTEST_CODE]],_SCHEDULE_[CONTEST_CODE],0),MATCH($R$1,_SCHEDULE_[#Headers],0)),"-")</f>
        <v>АКТИВНЫЙ</v>
      </c>
      <c r="S400" s="1" t="str">
        <f>IFERROR(INDEX(_group_[],MATCH(ВСЕ_КОДЫ[[#This Row],[CONTEST_CODE]],_group_[CONTEST_CODE],0),MATCH($S$1,_group_[#Headers],0)),"-")</f>
        <v>BANK</v>
      </c>
      <c r="T400" s="1" t="str">
        <f>IFERROR(INDEX(_INDICATOR_[],MATCH(ВСЕ_КОДЫ[[#This Row],[CONTEST_CODE]],_INDICATOR_[CONTEST_CODE],0),MATCH($T$1,_INDICATOR_[#Headers],0)),"-")</f>
        <v>WAIT</v>
      </c>
      <c r="U400" s="1" t="str">
        <f>IFERROR(INDEX(_reward_link_[],MATCH(ВСЕ_КОДЫ[[#This Row],[CONTEST_CODE]],_reward_link_[CONTEST_CODE],0),MATCH($U$1,_reward_link_[#Headers],0)),"-")</f>
        <v>BANK</v>
      </c>
      <c r="V400" s="1" t="str">
        <f>IFERROR(INDEX(_report[],MATCH(ВСЕ_КОДЫ[[#This Row],[CONTEST_CODE]],_report[CONTEST_CODE],0),MATCH($V$1,_report[#Headers],0)),"-")</f>
        <v>-</v>
      </c>
      <c r="W400" s="1" t="str">
        <f>IFERROR(INDEX(_reward_[],MATCH(ВСЕ_КОДЫ[[#This Row],[REWARD_CODE]],_reward_[REWARD_CODE],0),MATCH($W$1,_reward_[#Headers],0)),"-")</f>
        <v>Рейтинг ОД в ТБ</v>
      </c>
      <c r="X400" s="1" t="str">
        <f>IFERROR(INDEX(_group_[],MATCH(CONCATENATE(ВСЕ_КОДЫ[[#This Row],[CONTEST_CODE]],"_",X$2),#REF!,0),MATCH(X$1,_group_[#Headers],0)),"-")</f>
        <v>-</v>
      </c>
      <c r="Y400" s="1" t="str">
        <f>IFERROR(INDEX(_group_[],MATCH(CONCATENATE(ВСЕ_КОДЫ[[#This Row],[CONTEST_CODE]],"_",Y$2),#REF!,0),MATCH(Y$1,_group_[#Headers],0)),"-")</f>
        <v>-</v>
      </c>
      <c r="Z400" s="1" t="str">
        <f>IFERROR(INDEX(_group_[],MATCH(CONCATENATE(ВСЕ_КОДЫ[[#This Row],[CONTEST_CODE]],"_",Z$2),#REF!,0),MATCH(Z$1,_group_[#Headers],0)),"-")</f>
        <v>-</v>
      </c>
      <c r="AA400" s="1" t="str">
        <f>IFERROR(INDEX(_group_[],MATCH(CONCATENATE(ВСЕ_КОДЫ[[#This Row],[CONTEST_CODE]],"_",AA$2),#REF!,0),MATCH(AA$1,_group_[#Headers],0)),"-")</f>
        <v>-</v>
      </c>
      <c r="AB400" s="1" t="str">
        <f>IFERROR(INDEX(_DATA_[],MATCH(ВСЕ_КОДЫ[[#This Row],[CONTEST_CODE]],_DATA_[CONTEST_CODE],0),MATCH($AB$2,_DATA_[#Headers],0)),"-")</f>
        <v>["""KMKKSB"""]</v>
      </c>
      <c r="AC400" s="1" t="str">
        <f>CONCATENATE(ВСЕ_КОДЫ[[#This Row],[CONTEST_CODE]],"_",ВСЕ_КОДЫ[[#This Row],[TOURNAMENT_CODE]])</f>
        <v>CONTEST_93_TOURNAMENT_93_01</v>
      </c>
      <c r="AD400" s="1" t="str">
        <f>ВСЕ_КОДЫ[[#This Row],[FULL_NAME]]</f>
        <v>Рейтинг ОД в ТБ</v>
      </c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idden="1" x14ac:dyDescent="0.25">
      <c r="A401" s="1" t="s">
        <v>1864</v>
      </c>
      <c r="B401" s="1" t="s">
        <v>1956</v>
      </c>
      <c r="C401" s="1" t="s">
        <v>1890</v>
      </c>
      <c r="D401" s="1" t="s">
        <v>583</v>
      </c>
      <c r="E401" s="1" t="s">
        <v>1876</v>
      </c>
      <c r="F401" s="1" t="s">
        <v>62</v>
      </c>
      <c r="G401" s="1" t="s">
        <v>27</v>
      </c>
      <c r="H401" s="1" t="s">
        <v>34</v>
      </c>
      <c r="I401" s="1" t="s">
        <v>50</v>
      </c>
      <c r="J401" s="1" t="s">
        <v>1308</v>
      </c>
      <c r="K401" s="1" t="s">
        <v>27</v>
      </c>
      <c r="L401" s="1" t="s">
        <v>194</v>
      </c>
      <c r="M401" s="1" t="s">
        <v>34</v>
      </c>
      <c r="N401" s="1" t="s">
        <v>305</v>
      </c>
      <c r="O401" s="1" t="s">
        <v>1876</v>
      </c>
      <c r="P401" s="1"/>
      <c r="Q401" s="1">
        <f>IFERROR(COUNTIFS(_report[TOURNAMENT_CODE],ВСЕ_КОДЫ[[#This Row],[TOURNAMENT_CODE]],_report[CONTEST_CODE],ВСЕ_КОДЫ[[#This Row],[CONTEST_CODE]]),"-")</f>
        <v>0</v>
      </c>
      <c r="R401" s="1" t="str">
        <f>IFERROR(INDEX(_SCHEDULE_[],MATCH(ВСЕ_КОДЫ[[#This Row],[CONTEST_CODE]],_SCHEDULE_[CONTEST_CODE],0),MATCH($R$1,_SCHEDULE_[#Headers],0)),"-")</f>
        <v>АКТИВНЫЙ</v>
      </c>
      <c r="S401" s="1" t="str">
        <f>IFERROR(INDEX(_group_[],MATCH(ВСЕ_КОДЫ[[#This Row],[CONTEST_CODE]],_group_[CONTEST_CODE],0),MATCH($S$1,_group_[#Headers],0)),"-")</f>
        <v>BANK</v>
      </c>
      <c r="T401" s="1" t="str">
        <f>IFERROR(INDEX(_INDICATOR_[],MATCH(ВСЕ_КОДЫ[[#This Row],[CONTEST_CODE]],_INDICATOR_[CONTEST_CODE],0),MATCH($T$1,_INDICATOR_[#Headers],0)),"-")</f>
        <v>WAIT</v>
      </c>
      <c r="U401" s="1" t="str">
        <f>IFERROR(INDEX(_reward_link_[],MATCH(ВСЕ_КОДЫ[[#This Row],[CONTEST_CODE]],_reward_link_[CONTEST_CODE],0),MATCH($U$1,_reward_link_[#Headers],0)),"-")</f>
        <v>BANK</v>
      </c>
      <c r="V401" s="1" t="str">
        <f>IFERROR(INDEX(_report[],MATCH(ВСЕ_КОДЫ[[#This Row],[CONTEST_CODE]],_report[CONTEST_CODE],0),MATCH($V$1,_report[#Headers],0)),"-")</f>
        <v>-</v>
      </c>
      <c r="W401" s="1" t="str">
        <f>IFERROR(INDEX(_reward_[],MATCH(ВСЕ_КОДЫ[[#This Row],[REWARD_CODE]],_reward_[REWARD_CODE],0),MATCH($W$1,_reward_[#Headers],0)),"-")</f>
        <v>Рейтинг ОД в стране</v>
      </c>
      <c r="X401" s="1" t="str">
        <f>IFERROR(INDEX(_group_[],MATCH(CONCATENATE(ВСЕ_КОДЫ[[#This Row],[CONTEST_CODE]],"_",X$2),#REF!,0),MATCH(X$1,_group_[#Headers],0)),"-")</f>
        <v>-</v>
      </c>
      <c r="Y401" s="1" t="str">
        <f>IFERROR(INDEX(_group_[],MATCH(CONCATENATE(ВСЕ_КОДЫ[[#This Row],[CONTEST_CODE]],"_",Y$2),#REF!,0),MATCH(Y$1,_group_[#Headers],0)),"-")</f>
        <v>-</v>
      </c>
      <c r="Z401" s="1" t="str">
        <f>IFERROR(INDEX(_group_[],MATCH(CONCATENATE(ВСЕ_КОДЫ[[#This Row],[CONTEST_CODE]],"_",Z$2),#REF!,0),MATCH(Z$1,_group_[#Headers],0)),"-")</f>
        <v>-</v>
      </c>
      <c r="AA401" s="1" t="str">
        <f>IFERROR(INDEX(_group_[],MATCH(CONCATENATE(ВСЕ_КОДЫ[[#This Row],[CONTEST_CODE]],"_",AA$2),#REF!,0),MATCH(AA$1,_group_[#Headers],0)),"-")</f>
        <v>-</v>
      </c>
      <c r="AB401" s="1" t="str">
        <f>IFERROR(INDEX(_DATA_[],MATCH(ВСЕ_КОДЫ[[#This Row],[CONTEST_CODE]],_DATA_[CONTEST_CODE],0),MATCH($AB$2,_DATA_[#Headers],0)),"-")</f>
        <v>["""KMKKSB"""]</v>
      </c>
      <c r="AC401" s="1" t="str">
        <f>CONCATENATE(ВСЕ_КОДЫ[[#This Row],[CONTEST_CODE]],"_",ВСЕ_КОДЫ[[#This Row],[TOURNAMENT_CODE]])</f>
        <v>CONTEST_94_TOURNAMENT_94_01</v>
      </c>
      <c r="AD401" s="1" t="str">
        <f>ВСЕ_КОДЫ[[#This Row],[FULL_NAME]]</f>
        <v>Рейтинг ОД в стране</v>
      </c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idden="1" x14ac:dyDescent="0.25">
      <c r="A402" s="1" t="s">
        <v>1866</v>
      </c>
      <c r="B402" s="1" t="s">
        <v>1958</v>
      </c>
      <c r="C402" s="1" t="s">
        <v>1892</v>
      </c>
      <c r="D402" s="1" t="s">
        <v>583</v>
      </c>
      <c r="E402" s="1" t="s">
        <v>4149</v>
      </c>
      <c r="F402" s="1" t="s">
        <v>62</v>
      </c>
      <c r="G402" s="1" t="s">
        <v>27</v>
      </c>
      <c r="H402" s="1" t="s">
        <v>34</v>
      </c>
      <c r="I402" s="1" t="s">
        <v>50</v>
      </c>
      <c r="J402" s="1" t="s">
        <v>1308</v>
      </c>
      <c r="K402" s="1" t="s">
        <v>27</v>
      </c>
      <c r="L402" s="1" t="s">
        <v>194</v>
      </c>
      <c r="M402" s="1" t="s">
        <v>34</v>
      </c>
      <c r="N402" s="1" t="s">
        <v>305</v>
      </c>
      <c r="O402" s="1" t="s">
        <v>1906</v>
      </c>
      <c r="P402" s="1"/>
      <c r="Q402" s="1">
        <f>IFERROR(COUNTIFS(_report[TOURNAMENT_CODE],ВСЕ_КОДЫ[[#This Row],[TOURNAMENT_CODE]],_report[CONTEST_CODE],ВСЕ_КОДЫ[[#This Row],[CONTEST_CODE]]),"-")</f>
        <v>0</v>
      </c>
      <c r="R402" s="1" t="str">
        <f>IFERROR(INDEX(_SCHEDULE_[],MATCH(ВСЕ_КОДЫ[[#This Row],[CONTEST_CODE]],_SCHEDULE_[CONTEST_CODE],0),MATCH($R$1,_SCHEDULE_[#Headers],0)),"-")</f>
        <v>АКТИВНЫЙ</v>
      </c>
      <c r="S402" s="1" t="str">
        <f>IFERROR(INDEX(_group_[],MATCH(ВСЕ_КОДЫ[[#This Row],[CONTEST_CODE]],_group_[CONTEST_CODE],0),MATCH($S$1,_group_[#Headers],0)),"-")</f>
        <v>BANK</v>
      </c>
      <c r="T402" s="1" t="str">
        <f>IFERROR(INDEX(_INDICATOR_[],MATCH(ВСЕ_КОДЫ[[#This Row],[CONTEST_CODE]],_INDICATOR_[CONTEST_CODE],0),MATCH($T$1,_INDICATOR_[#Headers],0)),"-")</f>
        <v>WAIT</v>
      </c>
      <c r="U402" s="1" t="str">
        <f>IFERROR(INDEX(_reward_link_[],MATCH(ВСЕ_КОДЫ[[#This Row],[CONTEST_CODE]],_reward_link_[CONTEST_CODE],0),MATCH($U$1,_reward_link_[#Headers],0)),"-")</f>
        <v>BANK</v>
      </c>
      <c r="V402" s="1" t="str">
        <f>IFERROR(INDEX(_report[],MATCH(ВСЕ_КОДЫ[[#This Row],[CONTEST_CODE]],_report[CONTEST_CODE],0),MATCH($V$1,_report[#Headers],0)),"-")</f>
        <v>-</v>
      </c>
      <c r="W402" s="1" t="str">
        <f>IFERROR(INDEX(_reward_[],MATCH(ВСЕ_КОДЫ[[#This Row],[REWARD_CODE]],_reward_[REWARD_CODE],0),MATCH($W$1,_reward_[#Headers],0)),"-")</f>
        <v>Темп роста опердохода период к периоду</v>
      </c>
      <c r="X402" s="1" t="str">
        <f>IFERROR(INDEX(_group_[],MATCH(CONCATENATE(ВСЕ_КОДЫ[[#This Row],[CONTEST_CODE]],"_",X$2),#REF!,0),MATCH(X$1,_group_[#Headers],0)),"-")</f>
        <v>-</v>
      </c>
      <c r="Y402" s="1" t="str">
        <f>IFERROR(INDEX(_group_[],MATCH(CONCATENATE(ВСЕ_КОДЫ[[#This Row],[CONTEST_CODE]],"_",Y$2),#REF!,0),MATCH(Y$1,_group_[#Headers],0)),"-")</f>
        <v>-</v>
      </c>
      <c r="Z402" s="1" t="str">
        <f>IFERROR(INDEX(_group_[],MATCH(CONCATENATE(ВСЕ_КОДЫ[[#This Row],[CONTEST_CODE]],"_",Z$2),#REF!,0),MATCH(Z$1,_group_[#Headers],0)),"-")</f>
        <v>-</v>
      </c>
      <c r="AA402" s="1" t="str">
        <f>IFERROR(INDEX(_group_[],MATCH(CONCATENATE(ВСЕ_КОДЫ[[#This Row],[CONTEST_CODE]],"_",AA$2),#REF!,0),MATCH(AA$1,_group_[#Headers],0)),"-")</f>
        <v>-</v>
      </c>
      <c r="AB402" s="1" t="str">
        <f>IFERROR(INDEX(_DATA_[],MATCH(ВСЕ_КОДЫ[[#This Row],[CONTEST_CODE]],_DATA_[CONTEST_CODE],0),MATCH($AB$2,_DATA_[#Headers],0)),"-")</f>
        <v>["""KMKKSB"""]</v>
      </c>
      <c r="AC402" s="1" t="str">
        <f>CONCATENATE(ВСЕ_КОДЫ[[#This Row],[CONTEST_CODE]],"_",ВСЕ_КОДЫ[[#This Row],[TOURNAMENT_CODE]])</f>
        <v>CONTEST_95_TOURNAMENT_95_01</v>
      </c>
      <c r="AD402" s="1" t="str">
        <f>ВСЕ_КОДЫ[[#This Row],[FULL_NAME]]</f>
        <v>Темп роста опердохода (3 месяца 2025 года к 3 месяцам 2024 года)</v>
      </c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idden="1" x14ac:dyDescent="0.25">
      <c r="A403" s="1" t="s">
        <v>1868</v>
      </c>
      <c r="B403" s="1" t="s">
        <v>1960</v>
      </c>
      <c r="C403" s="1" t="s">
        <v>1894</v>
      </c>
      <c r="D403" s="1" t="s">
        <v>583</v>
      </c>
      <c r="E403" s="1" t="s">
        <v>1877</v>
      </c>
      <c r="F403" s="1" t="s">
        <v>62</v>
      </c>
      <c r="G403" s="1" t="s">
        <v>27</v>
      </c>
      <c r="H403" s="1" t="s">
        <v>34</v>
      </c>
      <c r="I403" s="1" t="s">
        <v>50</v>
      </c>
      <c r="J403" s="1" t="s">
        <v>1308</v>
      </c>
      <c r="K403" s="1" t="s">
        <v>27</v>
      </c>
      <c r="L403" s="1" t="s">
        <v>194</v>
      </c>
      <c r="M403" s="1" t="s">
        <v>34</v>
      </c>
      <c r="N403" s="1" t="s">
        <v>305</v>
      </c>
      <c r="O403" s="1" t="s">
        <v>1877</v>
      </c>
      <c r="P403" s="1"/>
      <c r="Q403" s="1">
        <f>IFERROR(COUNTIFS(_report[TOURNAMENT_CODE],ВСЕ_КОДЫ[[#This Row],[TOURNAMENT_CODE]],_report[CONTEST_CODE],ВСЕ_КОДЫ[[#This Row],[CONTEST_CODE]]),"-")</f>
        <v>0</v>
      </c>
      <c r="R403" s="1" t="str">
        <f>IFERROR(INDEX(_SCHEDULE_[],MATCH(ВСЕ_КОДЫ[[#This Row],[CONTEST_CODE]],_SCHEDULE_[CONTEST_CODE],0),MATCH($R$1,_SCHEDULE_[#Headers],0)),"-")</f>
        <v>АКТИВНЫЙ</v>
      </c>
      <c r="S403" s="1" t="str">
        <f>IFERROR(INDEX(_group_[],MATCH(ВСЕ_КОДЫ[[#This Row],[CONTEST_CODE]],_group_[CONTEST_CODE],0),MATCH($S$1,_group_[#Headers],0)),"-")</f>
        <v>BANK</v>
      </c>
      <c r="T403" s="1" t="str">
        <f>IFERROR(INDEX(_INDICATOR_[],MATCH(ВСЕ_КОДЫ[[#This Row],[CONTEST_CODE]],_INDICATOR_[CONTEST_CODE],0),MATCH($T$1,_INDICATOR_[#Headers],0)),"-")</f>
        <v>WAIT</v>
      </c>
      <c r="U403" s="1" t="str">
        <f>IFERROR(INDEX(_reward_link_[],MATCH(ВСЕ_КОДЫ[[#This Row],[CONTEST_CODE]],_reward_link_[CONTEST_CODE],0),MATCH($U$1,_reward_link_[#Headers],0)),"-")</f>
        <v>BANK</v>
      </c>
      <c r="V403" s="1" t="str">
        <f>IFERROR(INDEX(_report[],MATCH(ВСЕ_КОДЫ[[#This Row],[CONTEST_CODE]],_report[CONTEST_CODE],0),MATCH($V$1,_report[#Headers],0)),"-")</f>
        <v>-</v>
      </c>
      <c r="W403" s="1" t="str">
        <f>IFERROR(INDEX(_reward_[],MATCH(ВСЕ_КОДЫ[[#This Row],[REWARD_CODE]],_reward_[REWARD_CODE],0),MATCH($W$1,_reward_[#Headers],0)),"-")</f>
        <v>Категория темпа роста ОД</v>
      </c>
      <c r="X403" s="1" t="str">
        <f>IFERROR(INDEX(_group_[],MATCH(CONCATENATE(ВСЕ_КОДЫ[[#This Row],[CONTEST_CODE]],"_",X$2),#REF!,0),MATCH(X$1,_group_[#Headers],0)),"-")</f>
        <v>-</v>
      </c>
      <c r="Y403" s="1" t="str">
        <f>IFERROR(INDEX(_group_[],MATCH(CONCATENATE(ВСЕ_КОДЫ[[#This Row],[CONTEST_CODE]],"_",Y$2),#REF!,0),MATCH(Y$1,_group_[#Headers],0)),"-")</f>
        <v>-</v>
      </c>
      <c r="Z403" s="1" t="str">
        <f>IFERROR(INDEX(_group_[],MATCH(CONCATENATE(ВСЕ_КОДЫ[[#This Row],[CONTEST_CODE]],"_",Z$2),#REF!,0),MATCH(Z$1,_group_[#Headers],0)),"-")</f>
        <v>-</v>
      </c>
      <c r="AA403" s="1" t="str">
        <f>IFERROR(INDEX(_group_[],MATCH(CONCATENATE(ВСЕ_КОДЫ[[#This Row],[CONTEST_CODE]],"_",AA$2),#REF!,0),MATCH(AA$1,_group_[#Headers],0)),"-")</f>
        <v>-</v>
      </c>
      <c r="AB403" s="1" t="str">
        <f>IFERROR(INDEX(_DATA_[],MATCH(ВСЕ_КОДЫ[[#This Row],[CONTEST_CODE]],_DATA_[CONTEST_CODE],0),MATCH($AB$2,_DATA_[#Headers],0)),"-")</f>
        <v>["""KMKKSB"""]</v>
      </c>
      <c r="AC403" s="1" t="str">
        <f>CONCATENATE(ВСЕ_КОДЫ[[#This Row],[CONTEST_CODE]],"_",ВСЕ_КОДЫ[[#This Row],[TOURNAMENT_CODE]])</f>
        <v>CONTEST_96_TOURNAMENT_96_01</v>
      </c>
      <c r="AD403" s="1" t="str">
        <f>ВСЕ_КОДЫ[[#This Row],[FULL_NAME]]</f>
        <v>Категория темпа роста ОД</v>
      </c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idden="1" x14ac:dyDescent="0.25">
      <c r="A404" s="1" t="s">
        <v>1172</v>
      </c>
      <c r="B404" s="1" t="s">
        <v>1175</v>
      </c>
      <c r="C404" s="1" t="s">
        <v>1194</v>
      </c>
      <c r="D404" s="1" t="s">
        <v>583</v>
      </c>
      <c r="E404" s="1" t="s">
        <v>1178</v>
      </c>
      <c r="F404" s="1" t="s">
        <v>26</v>
      </c>
      <c r="G404" s="1" t="s">
        <v>27</v>
      </c>
      <c r="H404" s="1" t="s">
        <v>34</v>
      </c>
      <c r="I404" s="1" t="s">
        <v>50</v>
      </c>
      <c r="J404" s="1" t="s">
        <v>1078</v>
      </c>
      <c r="K404" s="1" t="s">
        <v>1070</v>
      </c>
      <c r="L404" s="1" t="s">
        <v>1711</v>
      </c>
      <c r="M404" s="1" t="s">
        <v>176</v>
      </c>
      <c r="N404" s="1" t="s">
        <v>305</v>
      </c>
      <c r="O404" s="1" t="s">
        <v>1203</v>
      </c>
      <c r="P404" s="1"/>
      <c r="Q404" s="1">
        <f>IFERROR(COUNTIFS(_report[TOURNAMENT_CODE],ВСЕ_КОДЫ[[#This Row],[TOURNAMENT_CODE]],_report[CONTEST_CODE],ВСЕ_КОДЫ[[#This Row],[CONTEST_CODE]]),"-")</f>
        <v>0</v>
      </c>
      <c r="R404" s="1" t="str">
        <f>IFERROR(INDEX(_SCHEDULE_[],MATCH(ВСЕ_КОДЫ[[#This Row],[CONTEST_CODE]],_SCHEDULE_[CONTEST_CODE],0),MATCH($R$1,_SCHEDULE_[#Headers],0)),"-")</f>
        <v>ЗАВЕРШЕН</v>
      </c>
      <c r="S404" s="1" t="str">
        <f>IFERROR(INDEX(_group_[],MATCH(ВСЕ_КОДЫ[[#This Row],[CONTEST_CODE]],_group_[CONTEST_CODE],0),MATCH($S$1,_group_[#Headers],0)),"-")</f>
        <v>BANK</v>
      </c>
      <c r="T404" s="1" t="str">
        <f>IFERROR(INDEX(_INDICATOR_[],MATCH(ВСЕ_КОДЫ[[#This Row],[CONTEST_CODE]],_INDICATOR_[CONTEST_CODE],0),MATCH($T$1,_INDICATOR_[#Headers],0)),"-")</f>
        <v>WAIT</v>
      </c>
      <c r="U404" s="1" t="str">
        <f>IFERROR(INDEX(_reward_link_[],MATCH(ВСЕ_КОДЫ[[#This Row],[CONTEST_CODE]],_reward_link_[CONTEST_CODE],0),MATCH($U$1,_reward_link_[#Headers],0)),"-")</f>
        <v>GOSB</v>
      </c>
      <c r="V404" s="1" t="str">
        <f>IFERROR(INDEX(_report[],MATCH(ВСЕ_КОДЫ[[#This Row],[CONTEST_CODE]],_report[CONTEST_CODE],0),MATCH($V$1,_report[#Headers],0)),"-")</f>
        <v>-</v>
      </c>
      <c r="W404" s="1" t="str">
        <f>IFERROR(INDEX(_reward_[],MATCH(ВСЕ_КОДЫ[[#This Row],[REWARD_CODE]],_reward_[REWARD_CODE],0),MATCH($W$1,_reward_[#Headers],0)),"-")</f>
        <v>Чемпион страны по комиссии от страховых продуктов ДМС</v>
      </c>
      <c r="X404" s="1" t="str">
        <f>IFERROR(INDEX(_group_[],MATCH(CONCATENATE(ВСЕ_КОДЫ[[#This Row],[CONTEST_CODE]],"_",X$2),#REF!,0),MATCH(X$1,_group_[#Headers],0)),"-")</f>
        <v>-</v>
      </c>
      <c r="Y404" s="1" t="str">
        <f>IFERROR(INDEX(_group_[],MATCH(CONCATENATE(ВСЕ_КОДЫ[[#This Row],[CONTEST_CODE]],"_",Y$2),#REF!,0),MATCH(Y$1,_group_[#Headers],0)),"-")</f>
        <v>-</v>
      </c>
      <c r="Z404" s="1" t="str">
        <f>IFERROR(INDEX(_group_[],MATCH(CONCATENATE(ВСЕ_КОДЫ[[#This Row],[CONTEST_CODE]],"_",Z$2),#REF!,0),MATCH(Z$1,_group_[#Headers],0)),"-")</f>
        <v>-</v>
      </c>
      <c r="AA404" s="1" t="str">
        <f>IFERROR(INDEX(_group_[],MATCH(CONCATENATE(ВСЕ_КОДЫ[[#This Row],[CONTEST_CODE]],"_",AA$2),#REF!,0),MATCH(AA$1,_group_[#Headers],0)),"-")</f>
        <v>-</v>
      </c>
      <c r="AB404" s="1" t="str">
        <f>IFERROR(INDEX(_DATA_[],MATCH(ВСЕ_КОДЫ[[#This Row],[CONTEST_CODE]],_DATA_[CONTEST_CODE],0),MATCH($AB$2,_DATA_[#Headers],0)),"-")</f>
        <v>["""KMKKSB"""]</v>
      </c>
      <c r="AC404" s="1" t="str">
        <f>CONCATENATE(ВСЕ_КОДЫ[[#This Row],[CONTEST_CODE]],"_",ВСЕ_КОДЫ[[#This Row],[TOURNAMENT_CODE]])</f>
        <v>CONTEST_45_TOURNAMENT_45_2024_08</v>
      </c>
      <c r="AD404" s="1" t="str">
        <f>ВСЕ_КОДЫ[[#This Row],[FULL_NAME]]</f>
        <v>Страхование. Продукты ДМС</v>
      </c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idden="1" x14ac:dyDescent="0.25">
      <c r="A405" s="1" t="s">
        <v>1172</v>
      </c>
      <c r="B405" s="1" t="s">
        <v>1665</v>
      </c>
      <c r="C405" s="1" t="s">
        <v>1194</v>
      </c>
      <c r="D405" s="1" t="s">
        <v>583</v>
      </c>
      <c r="E405" s="1" t="s">
        <v>1178</v>
      </c>
      <c r="F405" s="1" t="s">
        <v>26</v>
      </c>
      <c r="G405" s="1" t="s">
        <v>27</v>
      </c>
      <c r="H405" s="1" t="s">
        <v>34</v>
      </c>
      <c r="I405" s="1" t="s">
        <v>50</v>
      </c>
      <c r="J405" s="1" t="s">
        <v>1308</v>
      </c>
      <c r="K405" s="1" t="s">
        <v>642</v>
      </c>
      <c r="L405" s="1" t="s">
        <v>2131</v>
      </c>
      <c r="M405" s="1" t="s">
        <v>176</v>
      </c>
      <c r="N405" s="1" t="s">
        <v>305</v>
      </c>
      <c r="O405" s="1" t="s">
        <v>1203</v>
      </c>
      <c r="P405" s="1"/>
      <c r="Q405" s="1">
        <f>IFERROR(COUNTIFS(_report[TOURNAMENT_CODE],ВСЕ_КОДЫ[[#This Row],[TOURNAMENT_CODE]],_report[CONTEST_CODE],ВСЕ_КОДЫ[[#This Row],[CONTEST_CODE]]),"-")</f>
        <v>0</v>
      </c>
      <c r="R405" s="1" t="str">
        <f>IFERROR(INDEX(_SCHEDULE_[],MATCH(ВСЕ_КОДЫ[[#This Row],[CONTEST_CODE]],_SCHEDULE_[CONTEST_CODE],0),MATCH($R$1,_SCHEDULE_[#Headers],0)),"-")</f>
        <v>ЗАВЕРШЕН</v>
      </c>
      <c r="S405" s="1" t="str">
        <f>IFERROR(INDEX(_group_[],MATCH(ВСЕ_КОДЫ[[#This Row],[CONTEST_CODE]],_group_[CONTEST_CODE],0),MATCH($S$1,_group_[#Headers],0)),"-")</f>
        <v>BANK</v>
      </c>
      <c r="T405" s="1" t="str">
        <f>IFERROR(INDEX(_INDICATOR_[],MATCH(ВСЕ_КОДЫ[[#This Row],[CONTEST_CODE]],_INDICATOR_[CONTEST_CODE],0),MATCH($T$1,_INDICATOR_[#Headers],0)),"-")</f>
        <v>WAIT</v>
      </c>
      <c r="U405" s="1" t="str">
        <f>IFERROR(INDEX(_reward_link_[],MATCH(ВСЕ_КОДЫ[[#This Row],[CONTEST_CODE]],_reward_link_[CONTEST_CODE],0),MATCH($U$1,_reward_link_[#Headers],0)),"-")</f>
        <v>GOSB</v>
      </c>
      <c r="V405" s="1" t="str">
        <f>IFERROR(INDEX(_report[],MATCH(ВСЕ_КОДЫ[[#This Row],[CONTEST_CODE]],_report[CONTEST_CODE],0),MATCH($V$1,_report[#Headers],0)),"-")</f>
        <v>-</v>
      </c>
      <c r="W405" s="1" t="str">
        <f>IFERROR(INDEX(_reward_[],MATCH(ВСЕ_КОДЫ[[#This Row],[REWARD_CODE]],_reward_[REWARD_CODE],0),MATCH($W$1,_reward_[#Headers],0)),"-")</f>
        <v>Чемпион страны по комиссии от страховых продуктов ДМС</v>
      </c>
      <c r="X405" s="1" t="str">
        <f>IFERROR(INDEX(_group_[],MATCH(CONCATENATE(ВСЕ_КОДЫ[[#This Row],[CONTEST_CODE]],"_",X$2),#REF!,0),MATCH(X$1,_group_[#Headers],0)),"-")</f>
        <v>-</v>
      </c>
      <c r="Y405" s="1" t="str">
        <f>IFERROR(INDEX(_group_[],MATCH(CONCATENATE(ВСЕ_КОДЫ[[#This Row],[CONTEST_CODE]],"_",Y$2),#REF!,0),MATCH(Y$1,_group_[#Headers],0)),"-")</f>
        <v>-</v>
      </c>
      <c r="Z405" s="1" t="str">
        <f>IFERROR(INDEX(_group_[],MATCH(CONCATENATE(ВСЕ_КОДЫ[[#This Row],[CONTEST_CODE]],"_",Z$2),#REF!,0),MATCH(Z$1,_group_[#Headers],0)),"-")</f>
        <v>-</v>
      </c>
      <c r="AA405" s="1" t="str">
        <f>IFERROR(INDEX(_group_[],MATCH(CONCATENATE(ВСЕ_КОДЫ[[#This Row],[CONTEST_CODE]],"_",AA$2),#REF!,0),MATCH(AA$1,_group_[#Headers],0)),"-")</f>
        <v>-</v>
      </c>
      <c r="AB405" s="1" t="str">
        <f>IFERROR(INDEX(_DATA_[],MATCH(ВСЕ_КОДЫ[[#This Row],[CONTEST_CODE]],_DATA_[CONTEST_CODE],0),MATCH($AB$2,_DATA_[#Headers],0)),"-")</f>
        <v>["""KMKKSB"""]</v>
      </c>
      <c r="AC405" s="1" t="str">
        <f>CONCATENATE(ВСЕ_КОДЫ[[#This Row],[CONTEST_CODE]],"_",ВСЕ_КОДЫ[[#This Row],[TOURNAMENT_CODE]])</f>
        <v>CONTEST_45_TOURNAMENT_45_2024_Q04</v>
      </c>
      <c r="AD405" s="1" t="str">
        <f>ВСЕ_КОДЫ[[#This Row],[FULL_NAME]]</f>
        <v>Страхование. Продукты ДМС</v>
      </c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idden="1" x14ac:dyDescent="0.25">
      <c r="A406" s="1" t="s">
        <v>1172</v>
      </c>
      <c r="B406" s="1" t="s">
        <v>1175</v>
      </c>
      <c r="C406" s="1" t="s">
        <v>1190</v>
      </c>
      <c r="D406" s="1" t="s">
        <v>584</v>
      </c>
      <c r="E406" s="1" t="s">
        <v>1178</v>
      </c>
      <c r="F406" s="1" t="s">
        <v>26</v>
      </c>
      <c r="G406" s="1" t="s">
        <v>27</v>
      </c>
      <c r="H406" s="1" t="s">
        <v>34</v>
      </c>
      <c r="I406" s="1" t="s">
        <v>50</v>
      </c>
      <c r="J406" s="1" t="s">
        <v>1078</v>
      </c>
      <c r="K406" s="1" t="s">
        <v>1070</v>
      </c>
      <c r="L406" s="1" t="s">
        <v>1711</v>
      </c>
      <c r="M406" s="1" t="s">
        <v>176</v>
      </c>
      <c r="N406" s="1" t="s">
        <v>305</v>
      </c>
      <c r="O406" s="1" t="s">
        <v>1200</v>
      </c>
      <c r="P406" s="1"/>
      <c r="Q406" s="1">
        <f>IFERROR(COUNTIFS(_report[TOURNAMENT_CODE],ВСЕ_КОДЫ[[#This Row],[TOURNAMENT_CODE]],_report[CONTEST_CODE],ВСЕ_КОДЫ[[#This Row],[CONTEST_CODE]]),"-")</f>
        <v>0</v>
      </c>
      <c r="R406" s="1" t="str">
        <f>IFERROR(INDEX(_SCHEDULE_[],MATCH(ВСЕ_КОДЫ[[#This Row],[CONTEST_CODE]],_SCHEDULE_[CONTEST_CODE],0),MATCH($R$1,_SCHEDULE_[#Headers],0)),"-")</f>
        <v>ЗАВЕРШЕН</v>
      </c>
      <c r="S406" s="1" t="str">
        <f>IFERROR(INDEX(_group_[],MATCH(ВСЕ_КОДЫ[[#This Row],[CONTEST_CODE]],_group_[CONTEST_CODE],0),MATCH($S$1,_group_[#Headers],0)),"-")</f>
        <v>BANK</v>
      </c>
      <c r="T406" s="1" t="str">
        <f>IFERROR(INDEX(_INDICATOR_[],MATCH(ВСЕ_КОДЫ[[#This Row],[CONTEST_CODE]],_INDICATOR_[CONTEST_CODE],0),MATCH($T$1,_INDICATOR_[#Headers],0)),"-")</f>
        <v>WAIT</v>
      </c>
      <c r="U406" s="1" t="str">
        <f>IFERROR(INDEX(_reward_link_[],MATCH(ВСЕ_КОДЫ[[#This Row],[CONTEST_CODE]],_reward_link_[CONTEST_CODE],0),MATCH($U$1,_reward_link_[#Headers],0)),"-")</f>
        <v>GOSB</v>
      </c>
      <c r="V406" s="1" t="str">
        <f>IFERROR(INDEX(_report[],MATCH(ВСЕ_КОДЫ[[#This Row],[CONTEST_CODE]],_report[CONTEST_CODE],0),MATCH($V$1,_report[#Headers],0)),"-")</f>
        <v>-</v>
      </c>
      <c r="W406" s="1" t="str">
        <f>IFERROR(INDEX(_reward_[],MATCH(ВСЕ_КОДЫ[[#This Row],[REWARD_CODE]],_reward_[REWARD_CODE],0),MATCH($W$1,_reward_[#Headers],0)),"-")</f>
        <v>Лучший в подразделении по комиссии от страховых продуктов ДМС</v>
      </c>
      <c r="X406" s="1" t="str">
        <f>IFERROR(INDEX(_group_[],MATCH(CONCATENATE(ВСЕ_КОДЫ[[#This Row],[CONTEST_CODE]],"_",X$2),#REF!,0),MATCH(X$1,_group_[#Headers],0)),"-")</f>
        <v>-</v>
      </c>
      <c r="Y406" s="1" t="str">
        <f>IFERROR(INDEX(_group_[],MATCH(CONCATENATE(ВСЕ_КОДЫ[[#This Row],[CONTEST_CODE]],"_",Y$2),#REF!,0),MATCH(Y$1,_group_[#Headers],0)),"-")</f>
        <v>-</v>
      </c>
      <c r="Z406" s="1" t="str">
        <f>IFERROR(INDEX(_group_[],MATCH(CONCATENATE(ВСЕ_КОДЫ[[#This Row],[CONTEST_CODE]],"_",Z$2),#REF!,0),MATCH(Z$1,_group_[#Headers],0)),"-")</f>
        <v>-</v>
      </c>
      <c r="AA406" s="1" t="str">
        <f>IFERROR(INDEX(_group_[],MATCH(CONCATENATE(ВСЕ_КОДЫ[[#This Row],[CONTEST_CODE]],"_",AA$2),#REF!,0),MATCH(AA$1,_group_[#Headers],0)),"-")</f>
        <v>-</v>
      </c>
      <c r="AB406" s="1" t="str">
        <f>IFERROR(INDEX(_DATA_[],MATCH(ВСЕ_КОДЫ[[#This Row],[CONTEST_CODE]],_DATA_[CONTEST_CODE],0),MATCH($AB$2,_DATA_[#Headers],0)),"-")</f>
        <v>["""KMKKSB"""]</v>
      </c>
      <c r="AC406" s="1" t="str">
        <f>CONCATENATE(ВСЕ_КОДЫ[[#This Row],[CONTEST_CODE]],"_",ВСЕ_КОДЫ[[#This Row],[TOURNAMENT_CODE]])</f>
        <v>CONTEST_45_TOURNAMENT_45_2024_08</v>
      </c>
      <c r="AD406" s="1" t="str">
        <f>ВСЕ_КОДЫ[[#This Row],[FULL_NAME]]</f>
        <v>Страхование. Продукты ДМС</v>
      </c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idden="1" x14ac:dyDescent="0.25">
      <c r="A407" s="1" t="s">
        <v>1172</v>
      </c>
      <c r="B407" s="1" t="s">
        <v>1665</v>
      </c>
      <c r="C407" s="1" t="s">
        <v>1190</v>
      </c>
      <c r="D407" s="1" t="s">
        <v>584</v>
      </c>
      <c r="E407" s="1" t="s">
        <v>1178</v>
      </c>
      <c r="F407" s="1" t="s">
        <v>26</v>
      </c>
      <c r="G407" s="1" t="s">
        <v>27</v>
      </c>
      <c r="H407" s="1" t="s">
        <v>34</v>
      </c>
      <c r="I407" s="1" t="s">
        <v>50</v>
      </c>
      <c r="J407" s="1" t="s">
        <v>1308</v>
      </c>
      <c r="K407" s="1" t="s">
        <v>642</v>
      </c>
      <c r="L407" s="1" t="s">
        <v>2131</v>
      </c>
      <c r="M407" s="1" t="s">
        <v>176</v>
      </c>
      <c r="N407" s="1" t="s">
        <v>305</v>
      </c>
      <c r="O407" s="1" t="s">
        <v>1200</v>
      </c>
      <c r="P407" s="1"/>
      <c r="Q407" s="1">
        <f>IFERROR(COUNTIFS(_report[TOURNAMENT_CODE],ВСЕ_КОДЫ[[#This Row],[TOURNAMENT_CODE]],_report[CONTEST_CODE],ВСЕ_КОДЫ[[#This Row],[CONTEST_CODE]]),"-")</f>
        <v>0</v>
      </c>
      <c r="R407" s="1" t="str">
        <f>IFERROR(INDEX(_SCHEDULE_[],MATCH(ВСЕ_КОДЫ[[#This Row],[CONTEST_CODE]],_SCHEDULE_[CONTEST_CODE],0),MATCH($R$1,_SCHEDULE_[#Headers],0)),"-")</f>
        <v>ЗАВЕРШЕН</v>
      </c>
      <c r="S407" s="1" t="str">
        <f>IFERROR(INDEX(_group_[],MATCH(ВСЕ_КОДЫ[[#This Row],[CONTEST_CODE]],_group_[CONTEST_CODE],0),MATCH($S$1,_group_[#Headers],0)),"-")</f>
        <v>BANK</v>
      </c>
      <c r="T407" s="1" t="str">
        <f>IFERROR(INDEX(_INDICATOR_[],MATCH(ВСЕ_КОДЫ[[#This Row],[CONTEST_CODE]],_INDICATOR_[CONTEST_CODE],0),MATCH($T$1,_INDICATOR_[#Headers],0)),"-")</f>
        <v>WAIT</v>
      </c>
      <c r="U407" s="1" t="str">
        <f>IFERROR(INDEX(_reward_link_[],MATCH(ВСЕ_КОДЫ[[#This Row],[CONTEST_CODE]],_reward_link_[CONTEST_CODE],0),MATCH($U$1,_reward_link_[#Headers],0)),"-")</f>
        <v>GOSB</v>
      </c>
      <c r="V407" s="1" t="str">
        <f>IFERROR(INDEX(_report[],MATCH(ВСЕ_КОДЫ[[#This Row],[CONTEST_CODE]],_report[CONTEST_CODE],0),MATCH($V$1,_report[#Headers],0)),"-")</f>
        <v>-</v>
      </c>
      <c r="W407" s="1" t="str">
        <f>IFERROR(INDEX(_reward_[],MATCH(ВСЕ_КОДЫ[[#This Row],[REWARD_CODE]],_reward_[REWARD_CODE],0),MATCH($W$1,_reward_[#Headers],0)),"-")</f>
        <v>Лучший в подразделении по комиссии от страховых продуктов ДМС</v>
      </c>
      <c r="X407" s="1" t="str">
        <f>IFERROR(INDEX(_group_[],MATCH(CONCATENATE(ВСЕ_КОДЫ[[#This Row],[CONTEST_CODE]],"_",X$2),#REF!,0),MATCH(X$1,_group_[#Headers],0)),"-")</f>
        <v>-</v>
      </c>
      <c r="Y407" s="1" t="str">
        <f>IFERROR(INDEX(_group_[],MATCH(CONCATENATE(ВСЕ_КОДЫ[[#This Row],[CONTEST_CODE]],"_",Y$2),#REF!,0),MATCH(Y$1,_group_[#Headers],0)),"-")</f>
        <v>-</v>
      </c>
      <c r="Z407" s="1" t="str">
        <f>IFERROR(INDEX(_group_[],MATCH(CONCATENATE(ВСЕ_КОДЫ[[#This Row],[CONTEST_CODE]],"_",Z$2),#REF!,0),MATCH(Z$1,_group_[#Headers],0)),"-")</f>
        <v>-</v>
      </c>
      <c r="AA407" s="1" t="str">
        <f>IFERROR(INDEX(_group_[],MATCH(CONCATENATE(ВСЕ_КОДЫ[[#This Row],[CONTEST_CODE]],"_",AA$2),#REF!,0),MATCH(AA$1,_group_[#Headers],0)),"-")</f>
        <v>-</v>
      </c>
      <c r="AB407" s="1" t="str">
        <f>IFERROR(INDEX(_DATA_[],MATCH(ВСЕ_КОДЫ[[#This Row],[CONTEST_CODE]],_DATA_[CONTEST_CODE],0),MATCH($AB$2,_DATA_[#Headers],0)),"-")</f>
        <v>["""KMKKSB"""]</v>
      </c>
      <c r="AC407" s="1" t="str">
        <f>CONCATENATE(ВСЕ_КОДЫ[[#This Row],[CONTEST_CODE]],"_",ВСЕ_КОДЫ[[#This Row],[TOURNAMENT_CODE]])</f>
        <v>CONTEST_45_TOURNAMENT_45_2024_Q04</v>
      </c>
      <c r="AD407" s="1" t="str">
        <f>ВСЕ_КОДЫ[[#This Row],[FULL_NAME]]</f>
        <v>Страхование. Продукты ДМС</v>
      </c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idden="1" x14ac:dyDescent="0.25">
      <c r="A408" s="1" t="s">
        <v>1172</v>
      </c>
      <c r="B408" s="1" t="s">
        <v>1175</v>
      </c>
      <c r="C408" s="1" t="s">
        <v>1192</v>
      </c>
      <c r="D408" s="1" t="s">
        <v>586</v>
      </c>
      <c r="E408" s="1" t="s">
        <v>1178</v>
      </c>
      <c r="F408" s="1" t="s">
        <v>26</v>
      </c>
      <c r="G408" s="1" t="s">
        <v>27</v>
      </c>
      <c r="H408" s="1" t="s">
        <v>34</v>
      </c>
      <c r="I408" s="1" t="s">
        <v>50</v>
      </c>
      <c r="J408" s="1" t="s">
        <v>1078</v>
      </c>
      <c r="K408" s="1" t="s">
        <v>1070</v>
      </c>
      <c r="L408" s="1" t="s">
        <v>1711</v>
      </c>
      <c r="M408" s="1" t="s">
        <v>176</v>
      </c>
      <c r="N408" s="1" t="s">
        <v>305</v>
      </c>
      <c r="O408" s="1" t="s">
        <v>1202</v>
      </c>
      <c r="P408" s="1"/>
      <c r="Q408" s="1">
        <f>IFERROR(COUNTIFS(_report[TOURNAMENT_CODE],ВСЕ_КОДЫ[[#This Row],[TOURNAMENT_CODE]],_report[CONTEST_CODE],ВСЕ_КОДЫ[[#This Row],[CONTEST_CODE]]),"-")</f>
        <v>0</v>
      </c>
      <c r="R408" s="1" t="str">
        <f>IFERROR(INDEX(_SCHEDULE_[],MATCH(ВСЕ_КОДЫ[[#This Row],[CONTEST_CODE]],_SCHEDULE_[CONTEST_CODE],0),MATCH($R$1,_SCHEDULE_[#Headers],0)),"-")</f>
        <v>ЗАВЕРШЕН</v>
      </c>
      <c r="S408" s="1" t="str">
        <f>IFERROR(INDEX(_group_[],MATCH(ВСЕ_КОДЫ[[#This Row],[CONTEST_CODE]],_group_[CONTEST_CODE],0),MATCH($S$1,_group_[#Headers],0)),"-")</f>
        <v>BANK</v>
      </c>
      <c r="T408" s="1" t="str">
        <f>IFERROR(INDEX(_INDICATOR_[],MATCH(ВСЕ_КОДЫ[[#This Row],[CONTEST_CODE]],_INDICATOR_[CONTEST_CODE],0),MATCH($T$1,_INDICATOR_[#Headers],0)),"-")</f>
        <v>WAIT</v>
      </c>
      <c r="U408" s="1" t="str">
        <f>IFERROR(INDEX(_reward_link_[],MATCH(ВСЕ_КОДЫ[[#This Row],[CONTEST_CODE]],_reward_link_[CONTEST_CODE],0),MATCH($U$1,_reward_link_[#Headers],0)),"-")</f>
        <v>GOSB</v>
      </c>
      <c r="V408" s="1" t="str">
        <f>IFERROR(INDEX(_report[],MATCH(ВСЕ_КОДЫ[[#This Row],[CONTEST_CODE]],_report[CONTEST_CODE],0),MATCH($V$1,_report[#Headers],0)),"-")</f>
        <v>-</v>
      </c>
      <c r="W408" s="1" t="str">
        <f>IFERROR(INDEX(_reward_[],MATCH(ВСЕ_КОДЫ[[#This Row],[REWARD_CODE]],_reward_[REWARD_CODE],0),MATCH($W$1,_reward_[#Headers],0)),"-")</f>
        <v>Победитель ТБ по комиссии от страховых продуктов ДМС</v>
      </c>
      <c r="X408" s="1" t="str">
        <f>IFERROR(INDEX(_group_[],MATCH(CONCATENATE(ВСЕ_КОДЫ[[#This Row],[CONTEST_CODE]],"_",X$2),#REF!,0),MATCH(X$1,_group_[#Headers],0)),"-")</f>
        <v>-</v>
      </c>
      <c r="Y408" s="1" t="str">
        <f>IFERROR(INDEX(_group_[],MATCH(CONCATENATE(ВСЕ_КОДЫ[[#This Row],[CONTEST_CODE]],"_",Y$2),#REF!,0),MATCH(Y$1,_group_[#Headers],0)),"-")</f>
        <v>-</v>
      </c>
      <c r="Z408" s="1" t="str">
        <f>IFERROR(INDEX(_group_[],MATCH(CONCATENATE(ВСЕ_КОДЫ[[#This Row],[CONTEST_CODE]],"_",Z$2),#REF!,0),MATCH(Z$1,_group_[#Headers],0)),"-")</f>
        <v>-</v>
      </c>
      <c r="AA408" s="1" t="str">
        <f>IFERROR(INDEX(_group_[],MATCH(CONCATENATE(ВСЕ_КОДЫ[[#This Row],[CONTEST_CODE]],"_",AA$2),#REF!,0),MATCH(AA$1,_group_[#Headers],0)),"-")</f>
        <v>-</v>
      </c>
      <c r="AB408" s="1" t="str">
        <f>IFERROR(INDEX(_DATA_[],MATCH(ВСЕ_КОДЫ[[#This Row],[CONTEST_CODE]],_DATA_[CONTEST_CODE],0),MATCH($AB$2,_DATA_[#Headers],0)),"-")</f>
        <v>["""KMKKSB"""]</v>
      </c>
      <c r="AC408" s="1" t="str">
        <f>CONCATENATE(ВСЕ_КОДЫ[[#This Row],[CONTEST_CODE]],"_",ВСЕ_КОДЫ[[#This Row],[TOURNAMENT_CODE]])</f>
        <v>CONTEST_45_TOURNAMENT_45_2024_08</v>
      </c>
      <c r="AD408" s="1" t="str">
        <f>ВСЕ_КОДЫ[[#This Row],[FULL_NAME]]</f>
        <v>Страхование. Продукты ДМС</v>
      </c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idden="1" x14ac:dyDescent="0.25">
      <c r="A409" s="1" t="s">
        <v>1172</v>
      </c>
      <c r="B409" s="1" t="s">
        <v>1665</v>
      </c>
      <c r="C409" s="1" t="s">
        <v>1192</v>
      </c>
      <c r="D409" s="1" t="s">
        <v>586</v>
      </c>
      <c r="E409" s="1" t="s">
        <v>1178</v>
      </c>
      <c r="F409" s="1" t="s">
        <v>26</v>
      </c>
      <c r="G409" s="1" t="s">
        <v>27</v>
      </c>
      <c r="H409" s="1" t="s">
        <v>34</v>
      </c>
      <c r="I409" s="1" t="s">
        <v>50</v>
      </c>
      <c r="J409" s="1" t="s">
        <v>1308</v>
      </c>
      <c r="K409" s="1" t="s">
        <v>642</v>
      </c>
      <c r="L409" s="1" t="s">
        <v>2131</v>
      </c>
      <c r="M409" s="1" t="s">
        <v>176</v>
      </c>
      <c r="N409" s="1" t="s">
        <v>305</v>
      </c>
      <c r="O409" s="1" t="s">
        <v>1202</v>
      </c>
      <c r="P409" s="1"/>
      <c r="Q409" s="1">
        <f>IFERROR(COUNTIFS(_report[TOURNAMENT_CODE],ВСЕ_КОДЫ[[#This Row],[TOURNAMENT_CODE]],_report[CONTEST_CODE],ВСЕ_КОДЫ[[#This Row],[CONTEST_CODE]]),"-")</f>
        <v>0</v>
      </c>
      <c r="R409" s="1" t="str">
        <f>IFERROR(INDEX(_SCHEDULE_[],MATCH(ВСЕ_КОДЫ[[#This Row],[CONTEST_CODE]],_SCHEDULE_[CONTEST_CODE],0),MATCH($R$1,_SCHEDULE_[#Headers],0)),"-")</f>
        <v>ЗАВЕРШЕН</v>
      </c>
      <c r="S409" s="1" t="str">
        <f>IFERROR(INDEX(_group_[],MATCH(ВСЕ_КОДЫ[[#This Row],[CONTEST_CODE]],_group_[CONTEST_CODE],0),MATCH($S$1,_group_[#Headers],0)),"-")</f>
        <v>BANK</v>
      </c>
      <c r="T409" s="1" t="str">
        <f>IFERROR(INDEX(_INDICATOR_[],MATCH(ВСЕ_КОДЫ[[#This Row],[CONTEST_CODE]],_INDICATOR_[CONTEST_CODE],0),MATCH($T$1,_INDICATOR_[#Headers],0)),"-")</f>
        <v>WAIT</v>
      </c>
      <c r="U409" s="1" t="str">
        <f>IFERROR(INDEX(_reward_link_[],MATCH(ВСЕ_КОДЫ[[#This Row],[CONTEST_CODE]],_reward_link_[CONTEST_CODE],0),MATCH($U$1,_reward_link_[#Headers],0)),"-")</f>
        <v>GOSB</v>
      </c>
      <c r="V409" s="1" t="str">
        <f>IFERROR(INDEX(_report[],MATCH(ВСЕ_КОДЫ[[#This Row],[CONTEST_CODE]],_report[CONTEST_CODE],0),MATCH($V$1,_report[#Headers],0)),"-")</f>
        <v>-</v>
      </c>
      <c r="W409" s="1" t="str">
        <f>IFERROR(INDEX(_reward_[],MATCH(ВСЕ_КОДЫ[[#This Row],[REWARD_CODE]],_reward_[REWARD_CODE],0),MATCH($W$1,_reward_[#Headers],0)),"-")</f>
        <v>Победитель ТБ по комиссии от страховых продуктов ДМС</v>
      </c>
      <c r="X409" s="1" t="str">
        <f>IFERROR(INDEX(_group_[],MATCH(CONCATENATE(ВСЕ_КОДЫ[[#This Row],[CONTEST_CODE]],"_",X$2),#REF!,0),MATCH(X$1,_group_[#Headers],0)),"-")</f>
        <v>-</v>
      </c>
      <c r="Y409" s="1" t="str">
        <f>IFERROR(INDEX(_group_[],MATCH(CONCATENATE(ВСЕ_КОДЫ[[#This Row],[CONTEST_CODE]],"_",Y$2),#REF!,0),MATCH(Y$1,_group_[#Headers],0)),"-")</f>
        <v>-</v>
      </c>
      <c r="Z409" s="1" t="str">
        <f>IFERROR(INDEX(_group_[],MATCH(CONCATENATE(ВСЕ_КОДЫ[[#This Row],[CONTEST_CODE]],"_",Z$2),#REF!,0),MATCH(Z$1,_group_[#Headers],0)),"-")</f>
        <v>-</v>
      </c>
      <c r="AA409" s="1" t="str">
        <f>IFERROR(INDEX(_group_[],MATCH(CONCATENATE(ВСЕ_КОДЫ[[#This Row],[CONTEST_CODE]],"_",AA$2),#REF!,0),MATCH(AA$1,_group_[#Headers],0)),"-")</f>
        <v>-</v>
      </c>
      <c r="AB409" s="1" t="str">
        <f>IFERROR(INDEX(_DATA_[],MATCH(ВСЕ_КОДЫ[[#This Row],[CONTEST_CODE]],_DATA_[CONTEST_CODE],0),MATCH($AB$2,_DATA_[#Headers],0)),"-")</f>
        <v>["""KMKKSB"""]</v>
      </c>
      <c r="AC409" s="1" t="str">
        <f>CONCATENATE(ВСЕ_КОДЫ[[#This Row],[CONTEST_CODE]],"_",ВСЕ_КОДЫ[[#This Row],[TOURNAMENT_CODE]])</f>
        <v>CONTEST_45_TOURNAMENT_45_2024_Q04</v>
      </c>
      <c r="AD409" s="1" t="str">
        <f>ВСЕ_КОДЫ[[#This Row],[FULL_NAME]]</f>
        <v>Страхование. Продукты ДМС</v>
      </c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idden="1" x14ac:dyDescent="0.25">
      <c r="A410" s="1" t="s">
        <v>1231</v>
      </c>
      <c r="B410" s="1" t="s">
        <v>1262</v>
      </c>
      <c r="C410" s="1" t="s">
        <v>1246</v>
      </c>
      <c r="D410" s="1" t="s">
        <v>583</v>
      </c>
      <c r="E410" s="1" t="s">
        <v>1232</v>
      </c>
      <c r="F410" s="1" t="s">
        <v>26</v>
      </c>
      <c r="G410" s="1" t="s">
        <v>27</v>
      </c>
      <c r="H410" s="1" t="s">
        <v>34</v>
      </c>
      <c r="I410" s="1" t="s">
        <v>50</v>
      </c>
      <c r="J410" s="1" t="s">
        <v>1308</v>
      </c>
      <c r="K410" s="1" t="s">
        <v>642</v>
      </c>
      <c r="L410" s="1" t="s">
        <v>2131</v>
      </c>
      <c r="M410" s="1" t="s">
        <v>176</v>
      </c>
      <c r="N410" s="1" t="s">
        <v>305</v>
      </c>
      <c r="O410" s="1" t="s">
        <v>1256</v>
      </c>
      <c r="P410" s="1"/>
      <c r="Q410" s="1">
        <f>IFERROR(COUNTIFS(_report[TOURNAMENT_CODE],ВСЕ_КОДЫ[[#This Row],[TOURNAMENT_CODE]],_report[CONTEST_CODE],ВСЕ_КОДЫ[[#This Row],[CONTEST_CODE]]),"-")</f>
        <v>0</v>
      </c>
      <c r="R410" s="1" t="str">
        <f>IFERROR(INDEX(_SCHEDULE_[],MATCH(ВСЕ_КОДЫ[[#This Row],[CONTEST_CODE]],_SCHEDULE_[CONTEST_CODE],0),MATCH($R$1,_SCHEDULE_[#Headers],0)),"-")</f>
        <v>ЗАВЕРШЕН</v>
      </c>
      <c r="S410" s="1" t="str">
        <f>IFERROR(INDEX(_group_[],MATCH(ВСЕ_КОДЫ[[#This Row],[CONTEST_CODE]],_group_[CONTEST_CODE],0),MATCH($S$1,_group_[#Headers],0)),"-")</f>
        <v>BANK</v>
      </c>
      <c r="T410" s="1" t="str">
        <f>IFERROR(INDEX(_INDICATOR_[],MATCH(ВСЕ_КОДЫ[[#This Row],[CONTEST_CODE]],_INDICATOR_[CONTEST_CODE],0),MATCH($T$1,_INDICATOR_[#Headers],0)),"-")</f>
        <v>WAIT</v>
      </c>
      <c r="U410" s="1" t="str">
        <f>IFERROR(INDEX(_reward_link_[],MATCH(ВСЕ_КОДЫ[[#This Row],[CONTEST_CODE]],_reward_link_[CONTEST_CODE],0),MATCH($U$1,_reward_link_[#Headers],0)),"-")</f>
        <v>TB</v>
      </c>
      <c r="V410" s="1" t="str">
        <f>IFERROR(INDEX(_report[],MATCH(ВСЕ_КОДЫ[[#This Row],[CONTEST_CODE]],_report[CONTEST_CODE],0),MATCH($V$1,_report[#Headers],0)),"-")</f>
        <v>-</v>
      </c>
      <c r="W410" s="1" t="str">
        <f>IFERROR(INDEX(_reward_[],MATCH(ВСЕ_КОДЫ[[#This Row],[REWARD_CODE]],_reward_[REWARD_CODE],0),MATCH($W$1,_reward_[#Headers],0)),"-")</f>
        <v>Чемпион страны по комиссии от страховых продуктов СМР</v>
      </c>
      <c r="X410" s="1" t="str">
        <f>IFERROR(INDEX(_group_[],MATCH(CONCATENATE(ВСЕ_КОДЫ[[#This Row],[CONTEST_CODE]],"_",X$2),#REF!,0),MATCH(X$1,_group_[#Headers],0)),"-")</f>
        <v>-</v>
      </c>
      <c r="Y410" s="1" t="str">
        <f>IFERROR(INDEX(_group_[],MATCH(CONCATENATE(ВСЕ_КОДЫ[[#This Row],[CONTEST_CODE]],"_",Y$2),#REF!,0),MATCH(Y$1,_group_[#Headers],0)),"-")</f>
        <v>-</v>
      </c>
      <c r="Z410" s="1" t="str">
        <f>IFERROR(INDEX(_group_[],MATCH(CONCATENATE(ВСЕ_КОДЫ[[#This Row],[CONTEST_CODE]],"_",Z$2),#REF!,0),MATCH(Z$1,_group_[#Headers],0)),"-")</f>
        <v>-</v>
      </c>
      <c r="AA410" s="1" t="str">
        <f>IFERROR(INDEX(_group_[],MATCH(CONCATENATE(ВСЕ_КОДЫ[[#This Row],[CONTEST_CODE]],"_",AA$2),#REF!,0),MATCH(AA$1,_group_[#Headers],0)),"-")</f>
        <v>-</v>
      </c>
      <c r="AB410" s="1" t="str">
        <f>IFERROR(INDEX(_DATA_[],MATCH(ВСЕ_КОДЫ[[#This Row],[CONTEST_CODE]],_DATA_[CONTEST_CODE],0),MATCH($AB$2,_DATA_[#Headers],0)),"-")</f>
        <v>["""KMKKSB"""]</v>
      </c>
      <c r="AC410" s="1" t="str">
        <f>CONCATENATE(ВСЕ_КОДЫ[[#This Row],[CONTEST_CODE]],"_",ВСЕ_КОДЫ[[#This Row],[TOURNAMENT_CODE]])</f>
        <v>CONTEST_46_TOURNAMENT_46_2024_09</v>
      </c>
      <c r="AD410" s="1" t="str">
        <f>ВСЕ_КОДЫ[[#This Row],[FULL_NAME]]</f>
        <v>Страхование. Продукты СМР</v>
      </c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1" hidden="1" x14ac:dyDescent="0.25">
      <c r="A411" s="1" t="s">
        <v>1231</v>
      </c>
      <c r="B411" s="1" t="s">
        <v>1262</v>
      </c>
      <c r="C411" s="1" t="s">
        <v>1244</v>
      </c>
      <c r="D411" s="1" t="s">
        <v>586</v>
      </c>
      <c r="E411" s="1" t="s">
        <v>1232</v>
      </c>
      <c r="F411" s="1" t="s">
        <v>26</v>
      </c>
      <c r="G411" s="1" t="s">
        <v>27</v>
      </c>
      <c r="H411" s="1" t="s">
        <v>34</v>
      </c>
      <c r="I411" s="1" t="s">
        <v>50</v>
      </c>
      <c r="J411" s="1" t="s">
        <v>1308</v>
      </c>
      <c r="K411" s="1" t="s">
        <v>642</v>
      </c>
      <c r="L411" s="1" t="s">
        <v>2131</v>
      </c>
      <c r="M411" s="1" t="s">
        <v>176</v>
      </c>
      <c r="N411" s="1" t="s">
        <v>305</v>
      </c>
      <c r="O411" s="1" t="s">
        <v>1254</v>
      </c>
      <c r="P411" s="1"/>
      <c r="Q411" s="1">
        <f>IFERROR(COUNTIFS(_report[TOURNAMENT_CODE],ВСЕ_КОДЫ[[#This Row],[TOURNAMENT_CODE]],_report[CONTEST_CODE],ВСЕ_КОДЫ[[#This Row],[CONTEST_CODE]]),"-")</f>
        <v>0</v>
      </c>
      <c r="R411" s="1" t="str">
        <f>IFERROR(INDEX(_SCHEDULE_[],MATCH(ВСЕ_КОДЫ[[#This Row],[CONTEST_CODE]],_SCHEDULE_[CONTEST_CODE],0),MATCH($R$1,_SCHEDULE_[#Headers],0)),"-")</f>
        <v>ЗАВЕРШЕН</v>
      </c>
      <c r="S411" s="1" t="str">
        <f>IFERROR(INDEX(_group_[],MATCH(ВСЕ_КОДЫ[[#This Row],[CONTEST_CODE]],_group_[CONTEST_CODE],0),MATCH($S$1,_group_[#Headers],0)),"-")</f>
        <v>BANK</v>
      </c>
      <c r="T411" s="1" t="str">
        <f>IFERROR(INDEX(_INDICATOR_[],MATCH(ВСЕ_КОДЫ[[#This Row],[CONTEST_CODE]],_INDICATOR_[CONTEST_CODE],0),MATCH($T$1,_INDICATOR_[#Headers],0)),"-")</f>
        <v>WAIT</v>
      </c>
      <c r="U411" s="1" t="str">
        <f>IFERROR(INDEX(_reward_link_[],MATCH(ВСЕ_КОДЫ[[#This Row],[CONTEST_CODE]],_reward_link_[CONTEST_CODE],0),MATCH($U$1,_reward_link_[#Headers],0)),"-")</f>
        <v>TB</v>
      </c>
      <c r="V411" s="1" t="str">
        <f>IFERROR(INDEX(_report[],MATCH(ВСЕ_КОДЫ[[#This Row],[CONTEST_CODE]],_report[CONTEST_CODE],0),MATCH($V$1,_report[#Headers],0)),"-")</f>
        <v>-</v>
      </c>
      <c r="W411" s="1" t="str">
        <f>IFERROR(INDEX(_reward_[],MATCH(ВСЕ_КОДЫ[[#This Row],[REWARD_CODE]],_reward_[REWARD_CODE],0),MATCH($W$1,_reward_[#Headers],0)),"-")</f>
        <v>Победитель ТБ по комиссии от страховых продуктов СМР</v>
      </c>
      <c r="X411" s="1" t="str">
        <f>IFERROR(INDEX(_group_[],MATCH(CONCATENATE(ВСЕ_КОДЫ[[#This Row],[CONTEST_CODE]],"_",X$2),#REF!,0),MATCH(X$1,_group_[#Headers],0)),"-")</f>
        <v>-</v>
      </c>
      <c r="Y411" s="1" t="str">
        <f>IFERROR(INDEX(_group_[],MATCH(CONCATENATE(ВСЕ_КОДЫ[[#This Row],[CONTEST_CODE]],"_",Y$2),#REF!,0),MATCH(Y$1,_group_[#Headers],0)),"-")</f>
        <v>-</v>
      </c>
      <c r="Z411" s="1" t="str">
        <f>IFERROR(INDEX(_group_[],MATCH(CONCATENATE(ВСЕ_КОДЫ[[#This Row],[CONTEST_CODE]],"_",Z$2),#REF!,0),MATCH(Z$1,_group_[#Headers],0)),"-")</f>
        <v>-</v>
      </c>
      <c r="AA411" s="1" t="str">
        <f>IFERROR(INDEX(_group_[],MATCH(CONCATENATE(ВСЕ_КОДЫ[[#This Row],[CONTEST_CODE]],"_",AA$2),#REF!,0),MATCH(AA$1,_group_[#Headers],0)),"-")</f>
        <v>-</v>
      </c>
      <c r="AB411" s="1" t="str">
        <f>IFERROR(INDEX(_DATA_[],MATCH(ВСЕ_КОДЫ[[#This Row],[CONTEST_CODE]],_DATA_[CONTEST_CODE],0),MATCH($AB$2,_DATA_[#Headers],0)),"-")</f>
        <v>["""KMKKSB"""]</v>
      </c>
      <c r="AC411" s="1" t="str">
        <f>CONCATENATE(ВСЕ_КОДЫ[[#This Row],[CONTEST_CODE]],"_",ВСЕ_КОДЫ[[#This Row],[TOURNAMENT_CODE]])</f>
        <v>CONTEST_46_TOURNAMENT_46_2024_09</v>
      </c>
      <c r="AD411" s="1" t="str">
        <f>ВСЕ_КОДЫ[[#This Row],[FULL_NAME]]</f>
        <v>Страхование. Продукты СМР</v>
      </c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1" hidden="1" x14ac:dyDescent="0.25">
      <c r="A412" s="1" t="s">
        <v>1348</v>
      </c>
      <c r="B412" s="1" t="s">
        <v>1695</v>
      </c>
      <c r="C412" s="1" t="s">
        <v>1349</v>
      </c>
      <c r="D412" s="1" t="s">
        <v>583</v>
      </c>
      <c r="E412" s="1" t="s">
        <v>1418</v>
      </c>
      <c r="F412" s="1" t="s">
        <v>26</v>
      </c>
      <c r="G412" s="1" t="s">
        <v>27</v>
      </c>
      <c r="H412" s="1" t="s">
        <v>28</v>
      </c>
      <c r="I412" s="1" t="s">
        <v>35</v>
      </c>
      <c r="J412" s="1" t="s">
        <v>1308</v>
      </c>
      <c r="K412" s="1" t="s">
        <v>642</v>
      </c>
      <c r="L412" s="1" t="s">
        <v>2842</v>
      </c>
      <c r="M412" s="1" t="s">
        <v>176</v>
      </c>
      <c r="N412" s="1" t="s">
        <v>305</v>
      </c>
      <c r="O412" s="1" t="s">
        <v>1710</v>
      </c>
      <c r="P412" s="1"/>
      <c r="Q412" s="1">
        <f>IFERROR(COUNTIFS(_report[TOURNAMENT_CODE],ВСЕ_КОДЫ[[#This Row],[TOURNAMENT_CODE]],_report[CONTEST_CODE],ВСЕ_КОДЫ[[#This Row],[CONTEST_CODE]]),"-")</f>
        <v>0</v>
      </c>
      <c r="R412" s="1" t="str">
        <f>IFERROR(INDEX(_SCHEDULE_[],MATCH(ВСЕ_КОДЫ[[#This Row],[CONTEST_CODE]],_SCHEDULE_[CONTEST_CODE],0),MATCH($R$1,_SCHEDULE_[#Headers],0)),"-")</f>
        <v>ЗАВЕРШЕН</v>
      </c>
      <c r="S412" s="1" t="str">
        <f>IFERROR(INDEX(_group_[],MATCH(ВСЕ_КОДЫ[[#This Row],[CONTEST_CODE]],_group_[CONTEST_CODE],0),MATCH($S$1,_group_[#Headers],0)),"-")</f>
        <v>BANK</v>
      </c>
      <c r="T412" s="1" t="str">
        <f>IFERROR(INDEX(_INDICATOR_[],MATCH(ВСЕ_КОДЫ[[#This Row],[CONTEST_CODE]],_INDICATOR_[CONTEST_CODE],0),MATCH($T$1,_INDICATOR_[#Headers],0)),"-")</f>
        <v>WAIT</v>
      </c>
      <c r="U412" s="1" t="str">
        <f>IFERROR(INDEX(_reward_link_[],MATCH(ВСЕ_КОДЫ[[#This Row],[CONTEST_CODE]],_reward_link_[CONTEST_CODE],0),MATCH($U$1,_reward_link_[#Headers],0)),"-")</f>
        <v>BANK</v>
      </c>
      <c r="V412" s="1" t="str">
        <f>IFERROR(INDEX(_report[],MATCH(ВСЕ_КОДЫ[[#This Row],[CONTEST_CODE]],_report[CONTEST_CODE],0),MATCH($V$1,_report[#Headers],0)),"-")</f>
        <v>-</v>
      </c>
      <c r="W412" s="1" t="str">
        <f>IFERROR(INDEX(_reward_[],MATCH(ВСЕ_КОДЫ[[#This Row],[REWARD_CODE]],_reward_[REWARD_CODE],0),MATCH($W$1,_reward_[#Headers],0)),"-")</f>
        <v>Две сделки по защите бизнеса 360</v>
      </c>
      <c r="X412" s="1" t="str">
        <f>IFERROR(INDEX(_group_[],MATCH(CONCATENATE(ВСЕ_КОДЫ[[#This Row],[CONTEST_CODE]],"_",X$2),#REF!,0),MATCH(X$1,_group_[#Headers],0)),"-")</f>
        <v>-</v>
      </c>
      <c r="Y412" s="1" t="str">
        <f>IFERROR(INDEX(_group_[],MATCH(CONCATENATE(ВСЕ_КОДЫ[[#This Row],[CONTEST_CODE]],"_",Y$2),#REF!,0),MATCH(Y$1,_group_[#Headers],0)),"-")</f>
        <v>-</v>
      </c>
      <c r="Z412" s="1" t="str">
        <f>IFERROR(INDEX(_group_[],MATCH(CONCATENATE(ВСЕ_КОДЫ[[#This Row],[CONTEST_CODE]],"_",Z$2),#REF!,0),MATCH(Z$1,_group_[#Headers],0)),"-")</f>
        <v>-</v>
      </c>
      <c r="AA412" s="1" t="str">
        <f>IFERROR(INDEX(_group_[],MATCH(CONCATENATE(ВСЕ_КОДЫ[[#This Row],[CONTEST_CODE]],"_",AA$2),#REF!,0),MATCH(AA$1,_group_[#Headers],0)),"-")</f>
        <v>-</v>
      </c>
      <c r="AB412" s="1" t="str">
        <f>IFERROR(INDEX(_DATA_[],MATCH(ВСЕ_КОДЫ[[#This Row],[CONTEST_CODE]],_DATA_[CONTEST_CODE],0),MATCH($AB$2,_DATA_[#Headers],0)),"-")</f>
        <v>["""KMKKSB"""]</v>
      </c>
      <c r="AC412" s="1" t="str">
        <f>CONCATENATE(ВСЕ_КОДЫ[[#This Row],[CONTEST_CODE]],"_",ВСЕ_КОДЫ[[#This Row],[TOURNAMENT_CODE]])</f>
        <v>CONTEST_47_TOURNAMENT_47_2024_Q04</v>
      </c>
      <c r="AD412" s="1" t="str">
        <f>ВСЕ_КОДЫ[[#This Row],[FULL_NAME]]</f>
        <v>Защита 360. 2 сделки</v>
      </c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1" hidden="1" x14ac:dyDescent="0.25">
      <c r="A413" s="1" t="s">
        <v>112</v>
      </c>
      <c r="B413" s="1" t="s">
        <v>651</v>
      </c>
      <c r="C413" s="1" t="s">
        <v>526</v>
      </c>
      <c r="D413" s="1" t="s">
        <v>583</v>
      </c>
      <c r="E413" s="1" t="s">
        <v>653</v>
      </c>
      <c r="F413" s="1" t="s">
        <v>26</v>
      </c>
      <c r="G413" s="1" t="s">
        <v>27</v>
      </c>
      <c r="H413" s="1" t="s">
        <v>34</v>
      </c>
      <c r="I413" s="1" t="s">
        <v>29</v>
      </c>
      <c r="J413" s="1" t="s">
        <v>192</v>
      </c>
      <c r="K413" s="1" t="s">
        <v>642</v>
      </c>
      <c r="L413" s="1" t="s">
        <v>194</v>
      </c>
      <c r="M413" s="1" t="s">
        <v>184</v>
      </c>
      <c r="N413" s="1" t="s">
        <v>527</v>
      </c>
      <c r="O413" s="1" t="s">
        <v>653</v>
      </c>
      <c r="P413" s="1"/>
      <c r="Q413" s="1">
        <f>IFERROR(COUNTIFS(_report[TOURNAMENT_CODE],ВСЕ_КОДЫ[[#This Row],[TOURNAMENT_CODE]],_report[CONTEST_CODE],ВСЕ_КОДЫ[[#This Row],[CONTEST_CODE]]),"-")</f>
        <v>0</v>
      </c>
      <c r="R413" s="1" t="str">
        <f>IFERROR(INDEX(_SCHEDULE_[],MATCH(ВСЕ_КОДЫ[[#This Row],[CONTEST_CODE]],_SCHEDULE_[CONTEST_CODE],0),MATCH($R$1,_SCHEDULE_[#Headers],0)),"-")</f>
        <v>ОТМЕНЕН</v>
      </c>
      <c r="S413" s="1" t="str">
        <f>IFERROR(INDEX(_group_[],MATCH(ВСЕ_КОДЫ[[#This Row],[CONTEST_CODE]],_group_[CONTEST_CODE],0),MATCH($S$1,_group_[#Headers],0)),"-")</f>
        <v>BANK</v>
      </c>
      <c r="T413" s="1" t="str">
        <f>IFERROR(INDEX(_INDICATOR_[],MATCH(ВСЕ_КОДЫ[[#This Row],[CONTEST_CODE]],_INDICATOR_[CONTEST_CODE],0),MATCH($T$1,_INDICATOR_[#Headers],0)),"-")</f>
        <v>WAIT</v>
      </c>
      <c r="U413" s="1" t="str">
        <f>IFERROR(INDEX(_reward_link_[],MATCH(ВСЕ_КОДЫ[[#This Row],[CONTEST_CODE]],_reward_link_[CONTEST_CODE],0),MATCH($U$1,_reward_link_[#Headers],0)),"-")</f>
        <v>BANK</v>
      </c>
      <c r="V413" s="1" t="str">
        <f>IFERROR(INDEX(_report[],MATCH(ВСЕ_КОДЫ[[#This Row],[CONTEST_CODE]],_report[CONTEST_CODE],0),MATCH($V$1,_report[#Headers],0)),"-")</f>
        <v>-</v>
      </c>
      <c r="W413" s="1" t="str">
        <f>IFERROR(INDEX(_reward_[],MATCH(ВСЕ_КОДЫ[[#This Row],[REWARD_CODE]],_reward_[REWARD_CODE],0),MATCH($W$1,_reward_[#Headers],0)),"-")</f>
        <v>Отраслевой эксперт</v>
      </c>
      <c r="X413" s="1" t="str">
        <f>IFERROR(INDEX(_group_[],MATCH(CONCATENATE(ВСЕ_КОДЫ[[#This Row],[CONTEST_CODE]],"_",X$2),#REF!,0),MATCH(X$1,_group_[#Headers],0)),"-")</f>
        <v>-</v>
      </c>
      <c r="Y413" s="1" t="str">
        <f>IFERROR(INDEX(_group_[],MATCH(CONCATENATE(ВСЕ_КОДЫ[[#This Row],[CONTEST_CODE]],"_",Y$2),#REF!,0),MATCH(Y$1,_group_[#Headers],0)),"-")</f>
        <v>-</v>
      </c>
      <c r="Z413" s="1" t="str">
        <f>IFERROR(INDEX(_group_[],MATCH(CONCATENATE(ВСЕ_КОДЫ[[#This Row],[CONTEST_CODE]],"_",Z$2),#REF!,0),MATCH(Z$1,_group_[#Headers],0)),"-")</f>
        <v>-</v>
      </c>
      <c r="AA413" s="1" t="str">
        <f>IFERROR(INDEX(_group_[],MATCH(CONCATENATE(ВСЕ_КОДЫ[[#This Row],[CONTEST_CODE]],"_",AA$2),#REF!,0),MATCH(AA$1,_group_[#Headers],0)),"-")</f>
        <v>-</v>
      </c>
      <c r="AB413" s="1" t="str">
        <f>IFERROR(INDEX(_DATA_[],MATCH(ВСЕ_КОДЫ[[#This Row],[CONTEST_CODE]],_DATA_[CONTEST_CODE],0),MATCH($AB$2,_DATA_[#Headers],0)),"-")</f>
        <v>["""KMKKSB"""]</v>
      </c>
      <c r="AC413" s="1" t="str">
        <f>CONCATENATE(ВСЕ_КОДЫ[[#This Row],[CONTEST_CODE]],"_",ВСЕ_КОДЫ[[#This Row],[TOURNAMENT_CODE]])</f>
        <v>CONTEST_50_TOURNAMENT_50_01</v>
      </c>
      <c r="AD413" s="1" t="str">
        <f>ВСЕ_КОДЫ[[#This Row],[FULL_NAME]]</f>
        <v>Отраслевой эксперт</v>
      </c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1" hidden="1" x14ac:dyDescent="0.25">
      <c r="A414" s="1" t="s">
        <v>648</v>
      </c>
      <c r="B414" s="1" t="s">
        <v>652</v>
      </c>
      <c r="C414" s="1" t="s">
        <v>654</v>
      </c>
      <c r="D414" s="1" t="s">
        <v>583</v>
      </c>
      <c r="E414" s="1" t="s">
        <v>113</v>
      </c>
      <c r="F414" s="1" t="s">
        <v>26</v>
      </c>
      <c r="G414" s="1" t="s">
        <v>27</v>
      </c>
      <c r="H414" s="1" t="s">
        <v>34</v>
      </c>
      <c r="I414" s="1" t="s">
        <v>29</v>
      </c>
      <c r="J414" s="1" t="s">
        <v>192</v>
      </c>
      <c r="K414" s="1" t="s">
        <v>642</v>
      </c>
      <c r="L414" s="1" t="s">
        <v>194</v>
      </c>
      <c r="M414" s="1" t="s">
        <v>184</v>
      </c>
      <c r="N414" s="1" t="s">
        <v>527</v>
      </c>
      <c r="O414" s="1" t="s">
        <v>113</v>
      </c>
      <c r="P414" s="1"/>
      <c r="Q414" s="1">
        <f>IFERROR(COUNTIFS(_report[TOURNAMENT_CODE],ВСЕ_КОДЫ[[#This Row],[TOURNAMENT_CODE]],_report[CONTEST_CODE],ВСЕ_КОДЫ[[#This Row],[CONTEST_CODE]]),"-")</f>
        <v>0</v>
      </c>
      <c r="R414" s="1" t="str">
        <f>IFERROR(INDEX(_SCHEDULE_[],MATCH(ВСЕ_КОДЫ[[#This Row],[CONTEST_CODE]],_SCHEDULE_[CONTEST_CODE],0),MATCH($R$1,_SCHEDULE_[#Headers],0)),"-")</f>
        <v>ОТМЕНЕН</v>
      </c>
      <c r="S414" s="1" t="str">
        <f>IFERROR(INDEX(_group_[],MATCH(ВСЕ_КОДЫ[[#This Row],[CONTEST_CODE]],_group_[CONTEST_CODE],0),MATCH($S$1,_group_[#Headers],0)),"-")</f>
        <v>BANK</v>
      </c>
      <c r="T414" s="1" t="str">
        <f>IFERROR(INDEX(_INDICATOR_[],MATCH(ВСЕ_КОДЫ[[#This Row],[CONTEST_CODE]],_INDICATOR_[CONTEST_CODE],0),MATCH($T$1,_INDICATOR_[#Headers],0)),"-")</f>
        <v>WAIT</v>
      </c>
      <c r="U414" s="1" t="str">
        <f>IFERROR(INDEX(_reward_link_[],MATCH(ВСЕ_КОДЫ[[#This Row],[CONTEST_CODE]],_reward_link_[CONTEST_CODE],0),MATCH($U$1,_reward_link_[#Headers],0)),"-")</f>
        <v>BANK</v>
      </c>
      <c r="V414" s="1" t="str">
        <f>IFERROR(INDEX(_report[],MATCH(ВСЕ_КОДЫ[[#This Row],[CONTEST_CODE]],_report[CONTEST_CODE],0),MATCH($V$1,_report[#Headers],0)),"-")</f>
        <v>-</v>
      </c>
      <c r="W414" s="1" t="str">
        <f>IFERROR(INDEX(_reward_[],MATCH(ВСЕ_КОДЫ[[#This Row],[REWARD_CODE]],_reward_[REWARD_CODE],0),MATCH($W$1,_reward_[#Headers],0)),"-")</f>
        <v>Эксперт по развитию бизнеса</v>
      </c>
      <c r="X414" s="1" t="str">
        <f>IFERROR(INDEX(_group_[],MATCH(CONCATENATE(ВСЕ_КОДЫ[[#This Row],[CONTEST_CODE]],"_",X$2),#REF!,0),MATCH(X$1,_group_[#Headers],0)),"-")</f>
        <v>-</v>
      </c>
      <c r="Y414" s="1" t="str">
        <f>IFERROR(INDEX(_group_[],MATCH(CONCATENATE(ВСЕ_КОДЫ[[#This Row],[CONTEST_CODE]],"_",Y$2),#REF!,0),MATCH(Y$1,_group_[#Headers],0)),"-")</f>
        <v>-</v>
      </c>
      <c r="Z414" s="1" t="str">
        <f>IFERROR(INDEX(_group_[],MATCH(CONCATENATE(ВСЕ_КОДЫ[[#This Row],[CONTEST_CODE]],"_",Z$2),#REF!,0),MATCH(Z$1,_group_[#Headers],0)),"-")</f>
        <v>-</v>
      </c>
      <c r="AA414" s="1" t="str">
        <f>IFERROR(INDEX(_group_[],MATCH(CONCATENATE(ВСЕ_КОДЫ[[#This Row],[CONTEST_CODE]],"_",AA$2),#REF!,0),MATCH(AA$1,_group_[#Headers],0)),"-")</f>
        <v>-</v>
      </c>
      <c r="AB414" s="1" t="str">
        <f>IFERROR(INDEX(_DATA_[],MATCH(ВСЕ_КОДЫ[[#This Row],[CONTEST_CODE]],_DATA_[CONTEST_CODE],0),MATCH($AB$2,_DATA_[#Headers],0)),"-")</f>
        <v>["""KMKKSB"""]</v>
      </c>
      <c r="AC414" s="1" t="str">
        <f>CONCATENATE(ВСЕ_КОДЫ[[#This Row],[CONTEST_CODE]],"_",ВСЕ_КОДЫ[[#This Row],[TOURNAMENT_CODE]])</f>
        <v>CONTEST_51_TOURNAMENT_51_01</v>
      </c>
      <c r="AD414" s="1" t="str">
        <f>ВСЕ_КОДЫ[[#This Row],[FULL_NAME]]</f>
        <v>Эксперт по развитию бизнеса</v>
      </c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1" hidden="1" x14ac:dyDescent="0.25">
      <c r="A415" s="1" t="s">
        <v>692</v>
      </c>
      <c r="B415" s="1" t="s">
        <v>708</v>
      </c>
      <c r="C415" s="1" t="s">
        <v>678</v>
      </c>
      <c r="D415" s="1" t="s">
        <v>583</v>
      </c>
      <c r="E415" s="1" t="s">
        <v>679</v>
      </c>
      <c r="F415" s="1" t="s">
        <v>26</v>
      </c>
      <c r="G415" s="1" t="s">
        <v>27</v>
      </c>
      <c r="H415" s="1" t="s">
        <v>34</v>
      </c>
      <c r="I415" s="1" t="s">
        <v>29</v>
      </c>
      <c r="J415" s="1" t="s">
        <v>192</v>
      </c>
      <c r="K415" s="1" t="s">
        <v>642</v>
      </c>
      <c r="L415" s="1" t="s">
        <v>194</v>
      </c>
      <c r="M415" s="1" t="s">
        <v>184</v>
      </c>
      <c r="N415" s="1" t="s">
        <v>527</v>
      </c>
      <c r="O415" s="1" t="s">
        <v>679</v>
      </c>
      <c r="P415" s="1"/>
      <c r="Q415" s="1">
        <f>IFERROR(COUNTIFS(_report[TOURNAMENT_CODE],ВСЕ_КОДЫ[[#This Row],[TOURNAMENT_CODE]],_report[CONTEST_CODE],ВСЕ_КОДЫ[[#This Row],[CONTEST_CODE]]),"-")</f>
        <v>0</v>
      </c>
      <c r="R415" s="1" t="str">
        <f>IFERROR(INDEX(_SCHEDULE_[],MATCH(ВСЕ_КОДЫ[[#This Row],[CONTEST_CODE]],_SCHEDULE_[CONTEST_CODE],0),MATCH($R$1,_SCHEDULE_[#Headers],0)),"-")</f>
        <v>ОТМЕНЕН</v>
      </c>
      <c r="S415" s="1" t="str">
        <f>IFERROR(INDEX(_group_[],MATCH(ВСЕ_КОДЫ[[#This Row],[CONTEST_CODE]],_group_[CONTEST_CODE],0),MATCH($S$1,_group_[#Headers],0)),"-")</f>
        <v>BANK</v>
      </c>
      <c r="T415" s="1" t="str">
        <f>IFERROR(INDEX(_INDICATOR_[],MATCH(ВСЕ_КОДЫ[[#This Row],[CONTEST_CODE]],_INDICATOR_[CONTEST_CODE],0),MATCH($T$1,_INDICATOR_[#Headers],0)),"-")</f>
        <v>WAIT</v>
      </c>
      <c r="U415" s="1" t="str">
        <f>IFERROR(INDEX(_reward_link_[],MATCH(ВСЕ_КОДЫ[[#This Row],[CONTEST_CODE]],_reward_link_[CONTEST_CODE],0),MATCH($U$1,_reward_link_[#Headers],0)),"-")</f>
        <v>BANK</v>
      </c>
      <c r="V415" s="1" t="str">
        <f>IFERROR(INDEX(_report[],MATCH(ВСЕ_КОДЫ[[#This Row],[CONTEST_CODE]],_report[CONTEST_CODE],0),MATCH($V$1,_report[#Headers],0)),"-")</f>
        <v>-</v>
      </c>
      <c r="W415" s="1" t="str">
        <f>IFERROR(INDEX(_reward_[],MATCH(ВСЕ_КОДЫ[[#This Row],[REWARD_CODE]],_reward_[REWARD_CODE],0),MATCH($W$1,_reward_[#Headers],0)),"-")</f>
        <v>Я-Наставник</v>
      </c>
      <c r="X415" s="1" t="str">
        <f>IFERROR(INDEX(_group_[],MATCH(CONCATENATE(ВСЕ_КОДЫ[[#This Row],[CONTEST_CODE]],"_",X$2),#REF!,0),MATCH(X$1,_group_[#Headers],0)),"-")</f>
        <v>-</v>
      </c>
      <c r="Y415" s="1" t="str">
        <f>IFERROR(INDEX(_group_[],MATCH(CONCATENATE(ВСЕ_КОДЫ[[#This Row],[CONTEST_CODE]],"_",Y$2),#REF!,0),MATCH(Y$1,_group_[#Headers],0)),"-")</f>
        <v>-</v>
      </c>
      <c r="Z415" s="1" t="str">
        <f>IFERROR(INDEX(_group_[],MATCH(CONCATENATE(ВСЕ_КОДЫ[[#This Row],[CONTEST_CODE]],"_",Z$2),#REF!,0),MATCH(Z$1,_group_[#Headers],0)),"-")</f>
        <v>-</v>
      </c>
      <c r="AA415" s="1" t="str">
        <f>IFERROR(INDEX(_group_[],MATCH(CONCATENATE(ВСЕ_КОДЫ[[#This Row],[CONTEST_CODE]],"_",AA$2),#REF!,0),MATCH(AA$1,_group_[#Headers],0)),"-")</f>
        <v>-</v>
      </c>
      <c r="AB415" s="1" t="str">
        <f>IFERROR(INDEX(_DATA_[],MATCH(ВСЕ_КОДЫ[[#This Row],[CONTEST_CODE]],_DATA_[CONTEST_CODE],0),MATCH($AB$2,_DATA_[#Headers],0)),"-")</f>
        <v>["""KMKKSB"""]</v>
      </c>
      <c r="AC415" s="1" t="str">
        <f>CONCATENATE(ВСЕ_КОДЫ[[#This Row],[CONTEST_CODE]],"_",ВСЕ_КОДЫ[[#This Row],[TOURNAMENT_CODE]])</f>
        <v>CONTEST_52_TOURNAMENT_52_01</v>
      </c>
      <c r="AD415" s="1" t="str">
        <f>ВСЕ_КОДЫ[[#This Row],[FULL_NAME]]</f>
        <v>Я-Наставник</v>
      </c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1" hidden="1" x14ac:dyDescent="0.25">
      <c r="A416" s="1" t="s">
        <v>1216</v>
      </c>
      <c r="B416" s="1" t="s">
        <v>1215</v>
      </c>
      <c r="C416" s="1" t="s">
        <v>1220</v>
      </c>
      <c r="D416" s="1" t="s">
        <v>583</v>
      </c>
      <c r="E416" s="1" t="s">
        <v>1217</v>
      </c>
      <c r="F416" s="1" t="s">
        <v>26</v>
      </c>
      <c r="G416" s="1" t="s">
        <v>27</v>
      </c>
      <c r="H416" s="1" t="s">
        <v>34</v>
      </c>
      <c r="I416" s="1" t="s">
        <v>29</v>
      </c>
      <c r="J416" s="1" t="s">
        <v>1078</v>
      </c>
      <c r="K416" s="1" t="s">
        <v>27</v>
      </c>
      <c r="L416" s="1" t="s">
        <v>194</v>
      </c>
      <c r="M416" s="1" t="s">
        <v>184</v>
      </c>
      <c r="N416" s="1" t="s">
        <v>527</v>
      </c>
      <c r="O416" s="1" t="s">
        <v>1217</v>
      </c>
      <c r="P416" s="1"/>
      <c r="Q416" s="1">
        <f>IFERROR(COUNTIFS(_report[TOURNAMENT_CODE],ВСЕ_КОДЫ[[#This Row],[TOURNAMENT_CODE]],_report[CONTEST_CODE],ВСЕ_КОДЫ[[#This Row],[CONTEST_CODE]]),"-")</f>
        <v>0</v>
      </c>
      <c r="R416" s="1" t="str">
        <f>IFERROR(INDEX(_SCHEDULE_[],MATCH(ВСЕ_КОДЫ[[#This Row],[CONTEST_CODE]],_SCHEDULE_[CONTEST_CODE],0),MATCH($R$1,_SCHEDULE_[#Headers],0)),"-")</f>
        <v>ОТМЕНЕН</v>
      </c>
      <c r="S416" s="1" t="str">
        <f>IFERROR(INDEX(_group_[],MATCH(ВСЕ_КОДЫ[[#This Row],[CONTEST_CODE]],_group_[CONTEST_CODE],0),MATCH($S$1,_group_[#Headers],0)),"-")</f>
        <v>BANK</v>
      </c>
      <c r="T416" s="1" t="str">
        <f>IFERROR(INDEX(_INDICATOR_[],MATCH(ВСЕ_КОДЫ[[#This Row],[CONTEST_CODE]],_INDICATOR_[CONTEST_CODE],0),MATCH($T$1,_INDICATOR_[#Headers],0)),"-")</f>
        <v>WAIT</v>
      </c>
      <c r="U416" s="1" t="str">
        <f>IFERROR(INDEX(_reward_link_[],MATCH(ВСЕ_КОДЫ[[#This Row],[CONTEST_CODE]],_reward_link_[CONTEST_CODE],0),MATCH($U$1,_reward_link_[#Headers],0)),"-")</f>
        <v>BANK</v>
      </c>
      <c r="V416" s="1" t="str">
        <f>IFERROR(INDEX(_report[],MATCH(ВСЕ_КОДЫ[[#This Row],[CONTEST_CODE]],_report[CONTEST_CODE],0),MATCH($V$1,_report[#Headers],0)),"-")</f>
        <v>-</v>
      </c>
      <c r="W416" s="1" t="str">
        <f>IFERROR(INDEX(_reward_[],MATCH(ВСЕ_КОДЫ[[#This Row],[REWARD_CODE]],_reward_[REWARD_CODE],0),MATCH($W$1,_reward_[#Headers],0)),"-")</f>
        <v>AI-community</v>
      </c>
      <c r="X416" s="1" t="str">
        <f>IFERROR(INDEX(_group_[],MATCH(CONCATENATE(ВСЕ_КОДЫ[[#This Row],[CONTEST_CODE]],"_",X$2),#REF!,0),MATCH(X$1,_group_[#Headers],0)),"-")</f>
        <v>-</v>
      </c>
      <c r="Y416" s="1" t="str">
        <f>IFERROR(INDEX(_group_[],MATCH(CONCATENATE(ВСЕ_КОДЫ[[#This Row],[CONTEST_CODE]],"_",Y$2),#REF!,0),MATCH(Y$1,_group_[#Headers],0)),"-")</f>
        <v>-</v>
      </c>
      <c r="Z416" s="1" t="str">
        <f>IFERROR(INDEX(_group_[],MATCH(CONCATENATE(ВСЕ_КОДЫ[[#This Row],[CONTEST_CODE]],"_",Z$2),#REF!,0),MATCH(Z$1,_group_[#Headers],0)),"-")</f>
        <v>-</v>
      </c>
      <c r="AA416" s="1" t="str">
        <f>IFERROR(INDEX(_group_[],MATCH(CONCATENATE(ВСЕ_КОДЫ[[#This Row],[CONTEST_CODE]],"_",AA$2),#REF!,0),MATCH(AA$1,_group_[#Headers],0)),"-")</f>
        <v>-</v>
      </c>
      <c r="AB416" s="1" t="str">
        <f>IFERROR(INDEX(_DATA_[],MATCH(ВСЕ_КОДЫ[[#This Row],[CONTEST_CODE]],_DATA_[CONTEST_CODE],0),MATCH($AB$2,_DATA_[#Headers],0)),"-")</f>
        <v>["""KMKKSB"""]</v>
      </c>
      <c r="AC416" s="1" t="str">
        <f>CONCATENATE(ВСЕ_КОДЫ[[#This Row],[CONTEST_CODE]],"_",ВСЕ_КОДЫ[[#This Row],[TOURNAMENT_CODE]])</f>
        <v>CONTEST_55_TOURNAMENT_55_01</v>
      </c>
      <c r="AD416" s="1" t="str">
        <f>ВСЕ_КОДЫ[[#This Row],[FULL_NAME]]</f>
        <v>AI-community</v>
      </c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idden="1" x14ac:dyDescent="0.25">
      <c r="A417" s="1" t="s">
        <v>1669</v>
      </c>
      <c r="B417" s="1" t="s">
        <v>1716</v>
      </c>
      <c r="C417" s="1" t="s">
        <v>1681</v>
      </c>
      <c r="D417" s="1" t="s">
        <v>583</v>
      </c>
      <c r="E417" s="1" t="s">
        <v>1435</v>
      </c>
      <c r="F417" s="1" t="s">
        <v>26</v>
      </c>
      <c r="G417" s="1" t="s">
        <v>27</v>
      </c>
      <c r="H417" s="1" t="s">
        <v>28</v>
      </c>
      <c r="I417" s="1" t="s">
        <v>29</v>
      </c>
      <c r="J417" s="1" t="s">
        <v>1308</v>
      </c>
      <c r="K417" s="1" t="s">
        <v>642</v>
      </c>
      <c r="L417" s="1" t="s">
        <v>194</v>
      </c>
      <c r="M417" s="1" t="s">
        <v>184</v>
      </c>
      <c r="N417" s="1" t="s">
        <v>305</v>
      </c>
      <c r="O417" s="1" t="s">
        <v>1435</v>
      </c>
      <c r="P417" s="1"/>
      <c r="Q417" s="1">
        <f>IFERROR(COUNTIFS(_report[TOURNAMENT_CODE],ВСЕ_КОДЫ[[#This Row],[TOURNAMENT_CODE]],_report[CONTEST_CODE],ВСЕ_КОДЫ[[#This Row],[CONTEST_CODE]]),"-")</f>
        <v>0</v>
      </c>
      <c r="R417" s="1" t="str">
        <f>IFERROR(INDEX(_SCHEDULE_[],MATCH(ВСЕ_КОДЫ[[#This Row],[CONTEST_CODE]],_SCHEDULE_[CONTEST_CODE],0),MATCH($R$1,_SCHEDULE_[#Headers],0)),"-")</f>
        <v>ОТМЕНЕН</v>
      </c>
      <c r="S417" s="1" t="str">
        <f>IFERROR(INDEX(_group_[],MATCH(ВСЕ_КОДЫ[[#This Row],[CONTEST_CODE]],_group_[CONTEST_CODE],0),MATCH($S$1,_group_[#Headers],0)),"-")</f>
        <v>BANK</v>
      </c>
      <c r="T417" s="1" t="str">
        <f>IFERROR(INDEX(_INDICATOR_[],MATCH(ВСЕ_КОДЫ[[#This Row],[CONTEST_CODE]],_INDICATOR_[CONTEST_CODE],0),MATCH($T$1,_INDICATOR_[#Headers],0)),"-")</f>
        <v>WAIT</v>
      </c>
      <c r="U417" s="1" t="str">
        <f>IFERROR(INDEX(_reward_link_[],MATCH(ВСЕ_КОДЫ[[#This Row],[CONTEST_CODE]],_reward_link_[CONTEST_CODE],0),MATCH($U$1,_reward_link_[#Headers],0)),"-")</f>
        <v>BANK</v>
      </c>
      <c r="V417" s="1" t="str">
        <f>IFERROR(INDEX(_report[],MATCH(ВСЕ_КОДЫ[[#This Row],[CONTEST_CODE]],_report[CONTEST_CODE],0),MATCH($V$1,_report[#Headers],0)),"-")</f>
        <v>-</v>
      </c>
      <c r="W417" s="1" t="str">
        <f>IFERROR(INDEX(_reward_[],MATCH(ВСЕ_КОДЫ[[#This Row],[REWARD_CODE]],_reward_[REWARD_CODE],0),MATCH($W$1,_reward_[#Headers],0)),"-")</f>
        <v>Финалист конкурса лучший по профессии</v>
      </c>
      <c r="X417" s="1" t="str">
        <f>IFERROR(INDEX(_group_[],MATCH(CONCATENATE(ВСЕ_КОДЫ[[#This Row],[CONTEST_CODE]],"_",X$2),#REF!,0),MATCH(X$1,_group_[#Headers],0)),"-")</f>
        <v>-</v>
      </c>
      <c r="Y417" s="1" t="str">
        <f>IFERROR(INDEX(_group_[],MATCH(CONCATENATE(ВСЕ_КОДЫ[[#This Row],[CONTEST_CODE]],"_",Y$2),#REF!,0),MATCH(Y$1,_group_[#Headers],0)),"-")</f>
        <v>-</v>
      </c>
      <c r="Z417" s="1" t="str">
        <f>IFERROR(INDEX(_group_[],MATCH(CONCATENATE(ВСЕ_КОДЫ[[#This Row],[CONTEST_CODE]],"_",Z$2),#REF!,0),MATCH(Z$1,_group_[#Headers],0)),"-")</f>
        <v>-</v>
      </c>
      <c r="AA417" s="1" t="str">
        <f>IFERROR(INDEX(_group_[],MATCH(CONCATENATE(ВСЕ_КОДЫ[[#This Row],[CONTEST_CODE]],"_",AA$2),#REF!,0),MATCH(AA$1,_group_[#Headers],0)),"-")</f>
        <v>-</v>
      </c>
      <c r="AB417" s="1" t="str">
        <f>IFERROR(INDEX(_DATA_[],MATCH(ВСЕ_КОДЫ[[#This Row],[CONTEST_CODE]],_DATA_[CONTEST_CODE],0),MATCH($AB$2,_DATA_[#Headers],0)),"-")</f>
        <v>["""KMKKSB"""]</v>
      </c>
      <c r="AC417" s="1" t="str">
        <f>CONCATENATE(ВСЕ_КОДЫ[[#This Row],[CONTEST_CODE]],"_",ВСЕ_КОДЫ[[#This Row],[TOURNAMENT_CODE]])</f>
        <v>CONTEST_62_TOURNAMENT_62_2024_Y01</v>
      </c>
      <c r="AD417" s="1" t="str">
        <f>ВСЕ_КОДЫ[[#This Row],[FULL_NAME]]</f>
        <v>Финалист конкурса лучший по профессии</v>
      </c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idden="1" x14ac:dyDescent="0.25">
      <c r="A418" s="1" t="s">
        <v>1671</v>
      </c>
      <c r="B418" s="1" t="s">
        <v>1718</v>
      </c>
      <c r="C418" s="1" t="s">
        <v>1683</v>
      </c>
      <c r="D418" s="1" t="s">
        <v>583</v>
      </c>
      <c r="E418" s="1" t="s">
        <v>1436</v>
      </c>
      <c r="F418" s="1" t="s">
        <v>26</v>
      </c>
      <c r="G418" s="1" t="s">
        <v>27</v>
      </c>
      <c r="H418" s="1" t="s">
        <v>28</v>
      </c>
      <c r="I418" s="1" t="s">
        <v>29</v>
      </c>
      <c r="J418" s="1" t="s">
        <v>1308</v>
      </c>
      <c r="K418" s="1" t="s">
        <v>642</v>
      </c>
      <c r="L418" s="1" t="s">
        <v>194</v>
      </c>
      <c r="M418" s="1" t="s">
        <v>184</v>
      </c>
      <c r="N418" s="1" t="s">
        <v>305</v>
      </c>
      <c r="O418" s="1" t="s">
        <v>1436</v>
      </c>
      <c r="P418" s="1"/>
      <c r="Q418" s="1">
        <f>IFERROR(COUNTIFS(_report[TOURNAMENT_CODE],ВСЕ_КОДЫ[[#This Row],[TOURNAMENT_CODE]],_report[CONTEST_CODE],ВСЕ_КОДЫ[[#This Row],[CONTEST_CODE]]),"-")</f>
        <v>0</v>
      </c>
      <c r="R418" s="1" t="str">
        <f>IFERROR(INDEX(_SCHEDULE_[],MATCH(ВСЕ_КОДЫ[[#This Row],[CONTEST_CODE]],_SCHEDULE_[CONTEST_CODE],0),MATCH($R$1,_SCHEDULE_[#Headers],0)),"-")</f>
        <v>ОТМЕНЕН</v>
      </c>
      <c r="S418" s="1" t="str">
        <f>IFERROR(INDEX(_group_[],MATCH(ВСЕ_КОДЫ[[#This Row],[CONTEST_CODE]],_group_[CONTEST_CODE],0),MATCH($S$1,_group_[#Headers],0)),"-")</f>
        <v>BANK</v>
      </c>
      <c r="T418" s="1" t="str">
        <f>IFERROR(INDEX(_INDICATOR_[],MATCH(ВСЕ_КОДЫ[[#This Row],[CONTEST_CODE]],_INDICATOR_[CONTEST_CODE],0),MATCH($T$1,_INDICATOR_[#Headers],0)),"-")</f>
        <v>WAIT</v>
      </c>
      <c r="U418" s="1" t="str">
        <f>IFERROR(INDEX(_reward_link_[],MATCH(ВСЕ_КОДЫ[[#This Row],[CONTEST_CODE]],_reward_link_[CONTEST_CODE],0),MATCH($U$1,_reward_link_[#Headers],0)),"-")</f>
        <v>BANK</v>
      </c>
      <c r="V418" s="1" t="str">
        <f>IFERROR(INDEX(_report[],MATCH(ВСЕ_КОДЫ[[#This Row],[CONTEST_CODE]],_report[CONTEST_CODE],0),MATCH($V$1,_report[#Headers],0)),"-")</f>
        <v>-</v>
      </c>
      <c r="W418" s="1" t="str">
        <f>IFERROR(INDEX(_reward_[],MATCH(ВСЕ_КОДЫ[[#This Row],[REWARD_CODE]],_reward_[REWARD_CODE],0),MATCH($W$1,_reward_[#Headers],0)),"-")</f>
        <v>Призер конкурса лучший по профессии</v>
      </c>
      <c r="X418" s="1" t="str">
        <f>IFERROR(INDEX(_group_[],MATCH(CONCATENATE(ВСЕ_КОДЫ[[#This Row],[CONTEST_CODE]],"_",X$2),#REF!,0),MATCH(X$1,_group_[#Headers],0)),"-")</f>
        <v>-</v>
      </c>
      <c r="Y418" s="1" t="str">
        <f>IFERROR(INDEX(_group_[],MATCH(CONCATENATE(ВСЕ_КОДЫ[[#This Row],[CONTEST_CODE]],"_",Y$2),#REF!,0),MATCH(Y$1,_group_[#Headers],0)),"-")</f>
        <v>-</v>
      </c>
      <c r="Z418" s="1" t="str">
        <f>IFERROR(INDEX(_group_[],MATCH(CONCATENATE(ВСЕ_КОДЫ[[#This Row],[CONTEST_CODE]],"_",Z$2),#REF!,0),MATCH(Z$1,_group_[#Headers],0)),"-")</f>
        <v>-</v>
      </c>
      <c r="AA418" s="1" t="str">
        <f>IFERROR(INDEX(_group_[],MATCH(CONCATENATE(ВСЕ_КОДЫ[[#This Row],[CONTEST_CODE]],"_",AA$2),#REF!,0),MATCH(AA$1,_group_[#Headers],0)),"-")</f>
        <v>-</v>
      </c>
      <c r="AB418" s="1" t="str">
        <f>IFERROR(INDEX(_DATA_[],MATCH(ВСЕ_КОДЫ[[#This Row],[CONTEST_CODE]],_DATA_[CONTEST_CODE],0),MATCH($AB$2,_DATA_[#Headers],0)),"-")</f>
        <v>["""KMKKSB"""]</v>
      </c>
      <c r="AC418" s="1" t="str">
        <f>CONCATENATE(ВСЕ_КОДЫ[[#This Row],[CONTEST_CODE]],"_",ВСЕ_КОДЫ[[#This Row],[TOURNAMENT_CODE]])</f>
        <v>CONTEST_63_TOURNAMENT_63_2024_Y01</v>
      </c>
      <c r="AD418" s="1" t="str">
        <f>ВСЕ_КОДЫ[[#This Row],[FULL_NAME]]</f>
        <v>Призер конкурса лучший по профессии</v>
      </c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idden="1" x14ac:dyDescent="0.25">
      <c r="A419" s="1" t="s">
        <v>1673</v>
      </c>
      <c r="B419" s="1" t="s">
        <v>1720</v>
      </c>
      <c r="C419" s="1" t="s">
        <v>1685</v>
      </c>
      <c r="D419" s="1" t="s">
        <v>583</v>
      </c>
      <c r="E419" s="1" t="s">
        <v>1437</v>
      </c>
      <c r="F419" s="1" t="s">
        <v>26</v>
      </c>
      <c r="G419" s="1" t="s">
        <v>27</v>
      </c>
      <c r="H419" s="1" t="s">
        <v>28</v>
      </c>
      <c r="I419" s="1" t="s">
        <v>29</v>
      </c>
      <c r="J419" s="1" t="s">
        <v>1308</v>
      </c>
      <c r="K419" s="1" t="s">
        <v>642</v>
      </c>
      <c r="L419" s="1" t="s">
        <v>194</v>
      </c>
      <c r="M419" s="1" t="s">
        <v>184</v>
      </c>
      <c r="N419" s="1" t="s">
        <v>305</v>
      </c>
      <c r="O419" s="1" t="s">
        <v>1437</v>
      </c>
      <c r="P419" s="1"/>
      <c r="Q419" s="1">
        <f>IFERROR(COUNTIFS(_report[TOURNAMENT_CODE],ВСЕ_КОДЫ[[#This Row],[TOURNAMENT_CODE]],_report[CONTEST_CODE],ВСЕ_КОДЫ[[#This Row],[CONTEST_CODE]]),"-")</f>
        <v>0</v>
      </c>
      <c r="R419" s="1" t="str">
        <f>IFERROR(INDEX(_SCHEDULE_[],MATCH(ВСЕ_КОДЫ[[#This Row],[CONTEST_CODE]],_SCHEDULE_[CONTEST_CODE],0),MATCH($R$1,_SCHEDULE_[#Headers],0)),"-")</f>
        <v>ОТМЕНЕН</v>
      </c>
      <c r="S419" s="1" t="str">
        <f>IFERROR(INDEX(_group_[],MATCH(ВСЕ_КОДЫ[[#This Row],[CONTEST_CODE]],_group_[CONTEST_CODE],0),MATCH($S$1,_group_[#Headers],0)),"-")</f>
        <v>BANK</v>
      </c>
      <c r="T419" s="1" t="str">
        <f>IFERROR(INDEX(_INDICATOR_[],MATCH(ВСЕ_КОДЫ[[#This Row],[CONTEST_CODE]],_INDICATOR_[CONTEST_CODE],0),MATCH($T$1,_INDICATOR_[#Headers],0)),"-")</f>
        <v>WAIT</v>
      </c>
      <c r="U419" s="1" t="str">
        <f>IFERROR(INDEX(_reward_link_[],MATCH(ВСЕ_КОДЫ[[#This Row],[CONTEST_CODE]],_reward_link_[CONTEST_CODE],0),MATCH($U$1,_reward_link_[#Headers],0)),"-")</f>
        <v>BANK</v>
      </c>
      <c r="V419" s="1" t="str">
        <f>IFERROR(INDEX(_report[],MATCH(ВСЕ_КОДЫ[[#This Row],[CONTEST_CODE]],_report[CONTEST_CODE],0),MATCH($V$1,_report[#Headers],0)),"-")</f>
        <v>-</v>
      </c>
      <c r="W419" s="1" t="str">
        <f>IFERROR(INDEX(_reward_[],MATCH(ВСЕ_КОДЫ[[#This Row],[REWARD_CODE]],_reward_[REWARD_CODE],0),MATCH($W$1,_reward_[#Headers],0)),"-")</f>
        <v>Победитель конкурса лучший по профессии</v>
      </c>
      <c r="X419" s="1" t="str">
        <f>IFERROR(INDEX(_group_[],MATCH(CONCATENATE(ВСЕ_КОДЫ[[#This Row],[CONTEST_CODE]],"_",X$2),#REF!,0),MATCH(X$1,_group_[#Headers],0)),"-")</f>
        <v>-</v>
      </c>
      <c r="Y419" s="1" t="str">
        <f>IFERROR(INDEX(_group_[],MATCH(CONCATENATE(ВСЕ_КОДЫ[[#This Row],[CONTEST_CODE]],"_",Y$2),#REF!,0),MATCH(Y$1,_group_[#Headers],0)),"-")</f>
        <v>-</v>
      </c>
      <c r="Z419" s="1" t="str">
        <f>IFERROR(INDEX(_group_[],MATCH(CONCATENATE(ВСЕ_КОДЫ[[#This Row],[CONTEST_CODE]],"_",Z$2),#REF!,0),MATCH(Z$1,_group_[#Headers],0)),"-")</f>
        <v>-</v>
      </c>
      <c r="AA419" s="1" t="str">
        <f>IFERROR(INDEX(_group_[],MATCH(CONCATENATE(ВСЕ_КОДЫ[[#This Row],[CONTEST_CODE]],"_",AA$2),#REF!,0),MATCH(AA$1,_group_[#Headers],0)),"-")</f>
        <v>-</v>
      </c>
      <c r="AB419" s="1" t="str">
        <f>IFERROR(INDEX(_DATA_[],MATCH(ВСЕ_КОДЫ[[#This Row],[CONTEST_CODE]],_DATA_[CONTEST_CODE],0),MATCH($AB$2,_DATA_[#Headers],0)),"-")</f>
        <v>["""KMKKSB"""]</v>
      </c>
      <c r="AC419" s="1" t="str">
        <f>CONCATENATE(ВСЕ_КОДЫ[[#This Row],[CONTEST_CODE]],"_",ВСЕ_КОДЫ[[#This Row],[TOURNAMENT_CODE]])</f>
        <v>CONTEST_64_TOURNAMENT_64_2024_Y01</v>
      </c>
      <c r="AD419" s="1" t="str">
        <f>ВСЕ_КОДЫ[[#This Row],[FULL_NAME]]</f>
        <v>Победитель конкурса лучший по профессии</v>
      </c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idden="1" x14ac:dyDescent="0.25">
      <c r="A420" s="1" t="s">
        <v>1848</v>
      </c>
      <c r="B420" s="1" t="s">
        <v>1935</v>
      </c>
      <c r="C420" s="1" t="s">
        <v>1878</v>
      </c>
      <c r="D420" s="1" t="s">
        <v>583</v>
      </c>
      <c r="E420" s="1" t="s">
        <v>1871</v>
      </c>
      <c r="F420" s="1" t="s">
        <v>26</v>
      </c>
      <c r="G420" s="1" t="s">
        <v>27</v>
      </c>
      <c r="H420" s="1" t="s">
        <v>28</v>
      </c>
      <c r="I420" s="1" t="s">
        <v>29</v>
      </c>
      <c r="J420" s="1" t="s">
        <v>182</v>
      </c>
      <c r="K420" s="1" t="s">
        <v>252</v>
      </c>
      <c r="L420" s="1" t="s">
        <v>1942</v>
      </c>
      <c r="M420" s="1" t="s">
        <v>176</v>
      </c>
      <c r="N420" s="1" t="s">
        <v>305</v>
      </c>
      <c r="O420" s="1" t="s">
        <v>1896</v>
      </c>
      <c r="P420" s="1"/>
      <c r="Q420" s="1">
        <f>IFERROR(COUNTIFS(_report[TOURNAMENT_CODE],ВСЕ_КОДЫ[[#This Row],[TOURNAMENT_CODE]],_report[CONTEST_CODE],ВСЕ_КОДЫ[[#This Row],[CONTEST_CODE]]),"-")</f>
        <v>0</v>
      </c>
      <c r="R420" s="1" t="str">
        <f>IFERROR(INDEX(_SCHEDULE_[],MATCH(ВСЕ_КОДЫ[[#This Row],[CONTEST_CODE]],_SCHEDULE_[CONTEST_CODE],0),MATCH($R$1,_SCHEDULE_[#Headers],0)),"-")</f>
        <v>ЗАВЕРШЕН</v>
      </c>
      <c r="S420" s="1" t="str">
        <f>IFERROR(INDEX(_group_[],MATCH(ВСЕ_КОДЫ[[#This Row],[CONTEST_CODE]],_group_[CONTEST_CODE],0),MATCH($S$1,_group_[#Headers],0)),"-")</f>
        <v>BANK</v>
      </c>
      <c r="T420" s="1" t="str">
        <f>IFERROR(INDEX(_INDICATOR_[],MATCH(ВСЕ_КОДЫ[[#This Row],[CONTEST_CODE]],_INDICATOR_[CONTEST_CODE],0),MATCH($T$1,_INDICATOR_[#Headers],0)),"-")</f>
        <v>WAIT</v>
      </c>
      <c r="U420" s="1" t="str">
        <f>IFERROR(INDEX(_reward_link_[],MATCH(ВСЕ_КОДЫ[[#This Row],[CONTEST_CODE]],_reward_link_[CONTEST_CODE],0),MATCH($U$1,_reward_link_[#Headers],0)),"-")</f>
        <v>BANK</v>
      </c>
      <c r="V420" s="1" t="str">
        <f>IFERROR(INDEX(_report[],MATCH(ВСЕ_КОДЫ[[#This Row],[CONTEST_CODE]],_report[CONTEST_CODE],0),MATCH($V$1,_report[#Headers],0)),"-")</f>
        <v>-</v>
      </c>
      <c r="W420" s="1" t="str">
        <f>IFERROR(INDEX(_reward_[],MATCH(ВСЕ_КОДЫ[[#This Row],[REWARD_CODE]],_reward_[REWARD_CODE],0),MATCH($W$1,_reward_[#Headers],0)),"-")</f>
        <v>Победитель Лиги Чемпионов 1ПГ 2024</v>
      </c>
      <c r="X420" s="1" t="str">
        <f>IFERROR(INDEX(_group_[],MATCH(CONCATENATE(ВСЕ_КОДЫ[[#This Row],[CONTEST_CODE]],"_",X$2),#REF!,0),MATCH(X$1,_group_[#Headers],0)),"-")</f>
        <v>-</v>
      </c>
      <c r="Y420" s="1" t="str">
        <f>IFERROR(INDEX(_group_[],MATCH(CONCATENATE(ВСЕ_КОДЫ[[#This Row],[CONTEST_CODE]],"_",Y$2),#REF!,0),MATCH(Y$1,_group_[#Headers],0)),"-")</f>
        <v>-</v>
      </c>
      <c r="Z420" s="1" t="str">
        <f>IFERROR(INDEX(_group_[],MATCH(CONCATENATE(ВСЕ_КОДЫ[[#This Row],[CONTEST_CODE]],"_",Z$2),#REF!,0),MATCH(Z$1,_group_[#Headers],0)),"-")</f>
        <v>-</v>
      </c>
      <c r="AA420" s="1" t="str">
        <f>IFERROR(INDEX(_group_[],MATCH(CONCATENATE(ВСЕ_КОДЫ[[#This Row],[CONTEST_CODE]],"_",AA$2),#REF!,0),MATCH(AA$1,_group_[#Headers],0)),"-")</f>
        <v>-</v>
      </c>
      <c r="AB420" s="1" t="str">
        <f>IFERROR(INDEX(_DATA_[],MATCH(ВСЕ_КОДЫ[[#This Row],[CONTEST_CODE]],_DATA_[CONTEST_CODE],0),MATCH($AB$2,_DATA_[#Headers],0)),"-")</f>
        <v>["""KMKKSB"""]</v>
      </c>
      <c r="AC420" s="1" t="str">
        <f>CONCATENATE(ВСЕ_КОДЫ[[#This Row],[CONTEST_CODE]],"_",ВСЕ_КОДЫ[[#This Row],[TOURNAMENT_CODE]])</f>
        <v>CONTEST_65_TOURNAMENT_65_2024_P01</v>
      </c>
      <c r="AD420" s="1" t="str">
        <f>ВСЕ_КОДЫ[[#This Row],[FULL_NAME]]</f>
        <v>Лига Чемпионов 1ПГ 2024</v>
      </c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idden="1" x14ac:dyDescent="0.25">
      <c r="A421" s="1" t="s">
        <v>1850</v>
      </c>
      <c r="B421" s="1" t="s">
        <v>1937</v>
      </c>
      <c r="C421" s="1" t="s">
        <v>1880</v>
      </c>
      <c r="D421" s="1" t="s">
        <v>583</v>
      </c>
      <c r="E421" s="1" t="s">
        <v>1872</v>
      </c>
      <c r="F421" s="1" t="s">
        <v>26</v>
      </c>
      <c r="G421" s="1" t="s">
        <v>27</v>
      </c>
      <c r="H421" s="1" t="s">
        <v>34</v>
      </c>
      <c r="I421" s="1" t="s">
        <v>29</v>
      </c>
      <c r="J421" s="1" t="s">
        <v>703</v>
      </c>
      <c r="K421" s="1" t="s">
        <v>642</v>
      </c>
      <c r="L421" s="1" t="s">
        <v>2874</v>
      </c>
      <c r="M421" s="1" t="s">
        <v>176</v>
      </c>
      <c r="N421" s="1" t="s">
        <v>305</v>
      </c>
      <c r="O421" s="1" t="s">
        <v>1898</v>
      </c>
      <c r="P421" s="1"/>
      <c r="Q421" s="1">
        <f>IFERROR(COUNTIFS(_report[TOURNAMENT_CODE],ВСЕ_КОДЫ[[#This Row],[TOURNAMENT_CODE]],_report[CONTEST_CODE],ВСЕ_КОДЫ[[#This Row],[CONTEST_CODE]]),"-")</f>
        <v>0</v>
      </c>
      <c r="R421" s="1" t="str">
        <f>IFERROR(INDEX(_SCHEDULE_[],MATCH(ВСЕ_КОДЫ[[#This Row],[CONTEST_CODE]],_SCHEDULE_[CONTEST_CODE],0),MATCH($R$1,_SCHEDULE_[#Headers],0)),"-")</f>
        <v>ЗАВЕРШЕН</v>
      </c>
      <c r="S421" s="1" t="str">
        <f>IFERROR(INDEX(_group_[],MATCH(ВСЕ_КОДЫ[[#This Row],[CONTEST_CODE]],_group_[CONTEST_CODE],0),MATCH($S$1,_group_[#Headers],0)),"-")</f>
        <v>BANK</v>
      </c>
      <c r="T421" s="1" t="str">
        <f>IFERROR(INDEX(_INDICATOR_[],MATCH(ВСЕ_КОДЫ[[#This Row],[CONTEST_CODE]],_INDICATOR_[CONTEST_CODE],0),MATCH($T$1,_INDICATOR_[#Headers],0)),"-")</f>
        <v>LEAGUE</v>
      </c>
      <c r="U421" s="1" t="str">
        <f>IFERROR(INDEX(_reward_link_[],MATCH(ВСЕ_КОДЫ[[#This Row],[CONTEST_CODE]],_reward_link_[CONTEST_CODE],0),MATCH($U$1,_reward_link_[#Headers],0)),"-")</f>
        <v>BANK</v>
      </c>
      <c r="V421" s="1" t="str">
        <f>IFERROR(INDEX(_report[],MATCH(ВСЕ_КОДЫ[[#This Row],[CONTEST_CODE]],_report[CONTEST_CODE],0),MATCH($V$1,_report[#Headers],0)),"-")</f>
        <v>-</v>
      </c>
      <c r="W421" s="1" t="str">
        <f>IFERROR(INDEX(_reward_[],MATCH(ВСЕ_КОДЫ[[#This Row],[REWARD_CODE]],_reward_[REWARD_CODE],0),MATCH($W$1,_reward_[#Headers],0)),"-")</f>
        <v>Победитель Лиги Чемпионов 2ПГ 2024</v>
      </c>
      <c r="X421" s="1" t="str">
        <f>IFERROR(INDEX(_group_[],MATCH(CONCATENATE(ВСЕ_КОДЫ[[#This Row],[CONTEST_CODE]],"_",X$2),#REF!,0),MATCH(X$1,_group_[#Headers],0)),"-")</f>
        <v>-</v>
      </c>
      <c r="Y421" s="1" t="str">
        <f>IFERROR(INDEX(_group_[],MATCH(CONCATENATE(ВСЕ_КОДЫ[[#This Row],[CONTEST_CODE]],"_",Y$2),#REF!,0),MATCH(Y$1,_group_[#Headers],0)),"-")</f>
        <v>-</v>
      </c>
      <c r="Z421" s="1" t="str">
        <f>IFERROR(INDEX(_group_[],MATCH(CONCATENATE(ВСЕ_КОДЫ[[#This Row],[CONTEST_CODE]],"_",Z$2),#REF!,0),MATCH(Z$1,_group_[#Headers],0)),"-")</f>
        <v>-</v>
      </c>
      <c r="AA421" s="1" t="str">
        <f>IFERROR(INDEX(_group_[],MATCH(CONCATENATE(ВСЕ_КОДЫ[[#This Row],[CONTEST_CODE]],"_",AA$2),#REF!,0),MATCH(AA$1,_group_[#Headers],0)),"-")</f>
        <v>-</v>
      </c>
      <c r="AB421" s="1" t="str">
        <f>IFERROR(INDEX(_DATA_[],MATCH(ВСЕ_КОДЫ[[#This Row],[CONTEST_CODE]],_DATA_[CONTEST_CODE],0),MATCH($AB$2,_DATA_[#Headers],0)),"-")</f>
        <v>["""KMKKSB"""]</v>
      </c>
      <c r="AC421" s="1" t="str">
        <f>CONCATENATE(ВСЕ_КОДЫ[[#This Row],[CONTEST_CODE]],"_",ВСЕ_КОДЫ[[#This Row],[TOURNAMENT_CODE]])</f>
        <v>CONTEST_66_TOURNAMENT_66_2024_P02</v>
      </c>
      <c r="AD421" s="1" t="str">
        <f>ВСЕ_КОДЫ[[#This Row],[FULL_NAME]]</f>
        <v>Лига Чемпионов 2ПГ 2024</v>
      </c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idden="1" x14ac:dyDescent="0.25">
      <c r="A422" s="1" t="s">
        <v>1852</v>
      </c>
      <c r="B422" s="1" t="s">
        <v>1939</v>
      </c>
      <c r="C422" s="1" t="s">
        <v>1882</v>
      </c>
      <c r="D422" s="1" t="s">
        <v>583</v>
      </c>
      <c r="E422" s="1" t="s">
        <v>1873</v>
      </c>
      <c r="F422" s="1" t="s">
        <v>62</v>
      </c>
      <c r="G422" s="1" t="s">
        <v>27</v>
      </c>
      <c r="H422" s="1" t="s">
        <v>34</v>
      </c>
      <c r="I422" s="1" t="s">
        <v>29</v>
      </c>
      <c r="J422" s="1" t="s">
        <v>182</v>
      </c>
      <c r="K422" s="1" t="s">
        <v>642</v>
      </c>
      <c r="L422" s="1" t="s">
        <v>4775</v>
      </c>
      <c r="M422" s="1" t="s">
        <v>2876</v>
      </c>
      <c r="N422" s="1" t="s">
        <v>305</v>
      </c>
      <c r="O422" s="1" t="s">
        <v>1900</v>
      </c>
      <c r="P422" s="1"/>
      <c r="Q422" s="1">
        <f>IFERROR(COUNTIFS(_report[TOURNAMENT_CODE],ВСЕ_КОДЫ[[#This Row],[TOURNAMENT_CODE]],_report[CONTEST_CODE],ВСЕ_КОДЫ[[#This Row],[CONTEST_CODE]]),"-")</f>
        <v>0</v>
      </c>
      <c r="R422" s="1" t="str">
        <f>IFERROR(INDEX(_SCHEDULE_[],MATCH(ВСЕ_КОДЫ[[#This Row],[CONTEST_CODE]],_SCHEDULE_[CONTEST_CODE],0),MATCH($R$1,_SCHEDULE_[#Headers],0)),"-")</f>
        <v>ПОДВЕДЕНИЕ ИТОГОВ</v>
      </c>
      <c r="S422" s="1" t="str">
        <f>IFERROR(INDEX(_group_[],MATCH(ВСЕ_КОДЫ[[#This Row],[CONTEST_CODE]],_group_[CONTEST_CODE],0),MATCH($S$1,_group_[#Headers],0)),"-")</f>
        <v>BANK</v>
      </c>
      <c r="T422" s="1" t="str">
        <f>IFERROR(INDEX(_INDICATOR_[],MATCH(ВСЕ_КОДЫ[[#This Row],[CONTEST_CODE]],_INDICATOR_[CONTEST_CODE],0),MATCH($T$1,_INDICATOR_[#Headers],0)),"-")</f>
        <v>WAIT</v>
      </c>
      <c r="U422" s="1" t="str">
        <f>IFERROR(INDEX(_reward_link_[],MATCH(ВСЕ_КОДЫ[[#This Row],[CONTEST_CODE]],_reward_link_[CONTEST_CODE],0),MATCH($U$1,_reward_link_[#Headers],0)),"-")</f>
        <v>BANK</v>
      </c>
      <c r="V422" s="1" t="str">
        <f>IFERROR(INDEX(_report[],MATCH(ВСЕ_КОДЫ[[#This Row],[CONTEST_CODE]],_report[CONTEST_CODE],0),MATCH($V$1,_report[#Headers],0)),"-")</f>
        <v>-</v>
      </c>
      <c r="W422" s="1" t="str">
        <f>IFERROR(INDEX(_reward_[],MATCH(ВСЕ_КОДЫ[[#This Row],[REWARD_CODE]],_reward_[REWARD_CODE],0),MATCH($W$1,_reward_[#Headers],0)),"-")</f>
        <v>Победитель Суперкубка 2024</v>
      </c>
      <c r="X422" s="1" t="str">
        <f>IFERROR(INDEX(_group_[],MATCH(CONCATENATE(ВСЕ_КОДЫ[[#This Row],[CONTEST_CODE]],"_",X$2),#REF!,0),MATCH(X$1,_group_[#Headers],0)),"-")</f>
        <v>-</v>
      </c>
      <c r="Y422" s="1" t="str">
        <f>IFERROR(INDEX(_group_[],MATCH(CONCATENATE(ВСЕ_КОДЫ[[#This Row],[CONTEST_CODE]],"_",Y$2),#REF!,0),MATCH(Y$1,_group_[#Headers],0)),"-")</f>
        <v>-</v>
      </c>
      <c r="Z422" s="1" t="str">
        <f>IFERROR(INDEX(_group_[],MATCH(CONCATENATE(ВСЕ_КОДЫ[[#This Row],[CONTEST_CODE]],"_",Z$2),#REF!,0),MATCH(Z$1,_group_[#Headers],0)),"-")</f>
        <v>-</v>
      </c>
      <c r="AA422" s="1" t="str">
        <f>IFERROR(INDEX(_group_[],MATCH(CONCATENATE(ВСЕ_КОДЫ[[#This Row],[CONTEST_CODE]],"_",AA$2),#REF!,0),MATCH(AA$1,_group_[#Headers],0)),"-")</f>
        <v>-</v>
      </c>
      <c r="AB422" s="1" t="str">
        <f>IFERROR(INDEX(_DATA_[],MATCH(ВСЕ_КОДЫ[[#This Row],[CONTEST_CODE]],_DATA_[CONTEST_CODE],0),MATCH($AB$2,_DATA_[#Headers],0)),"-")</f>
        <v>["""KMKKSB"""]</v>
      </c>
      <c r="AC422" s="1" t="str">
        <f>CONCATENATE(ВСЕ_КОДЫ[[#This Row],[CONTEST_CODE]],"_",ВСЕ_КОДЫ[[#This Row],[TOURNAMENT_CODE]])</f>
        <v>CONTEST_67_TOURNAMENT_67_2024_Y01</v>
      </c>
      <c r="AD422" s="1" t="str">
        <f>ВСЕ_КОДЫ[[#This Row],[FULL_NAME]]</f>
        <v>Суперкубок 2024</v>
      </c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idden="1" x14ac:dyDescent="0.25">
      <c r="A423" s="1" t="s">
        <v>1854</v>
      </c>
      <c r="B423" s="1" t="s">
        <v>1945</v>
      </c>
      <c r="C423" s="1" t="s">
        <v>1902</v>
      </c>
      <c r="D423" s="1" t="s">
        <v>583</v>
      </c>
      <c r="E423" s="1" t="s">
        <v>1962</v>
      </c>
      <c r="F423" s="1" t="s">
        <v>26</v>
      </c>
      <c r="G423" s="1" t="s">
        <v>27</v>
      </c>
      <c r="H423" s="1" t="s">
        <v>28</v>
      </c>
      <c r="I423" s="1" t="s">
        <v>29</v>
      </c>
      <c r="J423" s="1" t="s">
        <v>1946</v>
      </c>
      <c r="K423" s="1" t="s">
        <v>1983</v>
      </c>
      <c r="L423" s="1" t="s">
        <v>1983</v>
      </c>
      <c r="M423" s="1" t="s">
        <v>176</v>
      </c>
      <c r="N423" s="1" t="s">
        <v>305</v>
      </c>
      <c r="O423" s="1" t="s">
        <v>1962</v>
      </c>
      <c r="P423" s="1"/>
      <c r="Q423" s="1">
        <f>IFERROR(COUNTIFS(_report[TOURNAMENT_CODE],ВСЕ_КОДЫ[[#This Row],[TOURNAMENT_CODE]],_report[CONTEST_CODE],ВСЕ_КОДЫ[[#This Row],[CONTEST_CODE]]),"-")</f>
        <v>0</v>
      </c>
      <c r="R423" s="1" t="str">
        <f>IFERROR(INDEX(_SCHEDULE_[],MATCH(ВСЕ_КОДЫ[[#This Row],[CONTEST_CODE]],_SCHEDULE_[CONTEST_CODE],0),MATCH($R$1,_SCHEDULE_[#Headers],0)),"-")</f>
        <v>ЗАВЕРШЕН</v>
      </c>
      <c r="S423" s="1" t="str">
        <f>IFERROR(INDEX(_group_[],MATCH(ВСЕ_КОДЫ[[#This Row],[CONTEST_CODE]],_group_[CONTEST_CODE],0),MATCH($S$1,_group_[#Headers],0)),"-")</f>
        <v>BANK</v>
      </c>
      <c r="T423" s="1" t="str">
        <f>IFERROR(INDEX(_INDICATOR_[],MATCH(ВСЕ_КОДЫ[[#This Row],[CONTEST_CODE]],_INDICATOR_[CONTEST_CODE],0),MATCH($T$1,_INDICATOR_[#Headers],0)),"-")</f>
        <v>WAIT</v>
      </c>
      <c r="U423" s="1" t="str">
        <f>IFERROR(INDEX(_reward_link_[],MATCH(ВСЕ_КОДЫ[[#This Row],[CONTEST_CODE]],_reward_link_[CONTEST_CODE],0),MATCH($U$1,_reward_link_[#Headers],0)),"-")</f>
        <v>BANK</v>
      </c>
      <c r="V423" s="1" t="str">
        <f>IFERROR(INDEX(_report[],MATCH(ВСЕ_КОДЫ[[#This Row],[CONTEST_CODE]],_report[CONTEST_CODE],0),MATCH($V$1,_report[#Headers],0)),"-")</f>
        <v>-</v>
      </c>
      <c r="W423" s="1" t="str">
        <f>IFERROR(INDEX(_reward_[],MATCH(ВСЕ_КОДЫ[[#This Row],[REWARD_CODE]],_reward_[REWARD_CODE],0),MATCH($W$1,_reward_[#Headers],0)),"-")</f>
        <v>Новый год с ККСБ 2025</v>
      </c>
      <c r="X423" s="1" t="str">
        <f>IFERROR(INDEX(_group_[],MATCH(CONCATENATE(ВСЕ_КОДЫ[[#This Row],[CONTEST_CODE]],"_",X$2),#REF!,0),MATCH(X$1,_group_[#Headers],0)),"-")</f>
        <v>-</v>
      </c>
      <c r="Y423" s="1" t="str">
        <f>IFERROR(INDEX(_group_[],MATCH(CONCATENATE(ВСЕ_КОДЫ[[#This Row],[CONTEST_CODE]],"_",Y$2),#REF!,0),MATCH(Y$1,_group_[#Headers],0)),"-")</f>
        <v>-</v>
      </c>
      <c r="Z423" s="1" t="str">
        <f>IFERROR(INDEX(_group_[],MATCH(CONCATENATE(ВСЕ_КОДЫ[[#This Row],[CONTEST_CODE]],"_",Z$2),#REF!,0),MATCH(Z$1,_group_[#Headers],0)),"-")</f>
        <v>-</v>
      </c>
      <c r="AA423" s="1" t="str">
        <f>IFERROR(INDEX(_group_[],MATCH(CONCATENATE(ВСЕ_КОДЫ[[#This Row],[CONTEST_CODE]],"_",AA$2),#REF!,0),MATCH(AA$1,_group_[#Headers],0)),"-")</f>
        <v>-</v>
      </c>
      <c r="AB423" s="1" t="str">
        <f>IFERROR(INDEX(_DATA_[],MATCH(ВСЕ_КОДЫ[[#This Row],[CONTEST_CODE]],_DATA_[CONTEST_CODE],0),MATCH($AB$2,_DATA_[#Headers],0)),"-")</f>
        <v>["""KMKKSB"""]</v>
      </c>
      <c r="AC423" s="1" t="str">
        <f>CONCATENATE(ВСЕ_КОДЫ[[#This Row],[CONTEST_CODE]],"_",ВСЕ_КОДЫ[[#This Row],[TOURNAMENT_CODE]])</f>
        <v>CONTEST_68_TOURNAMENT_68_2024_M12</v>
      </c>
      <c r="AD423" s="1" t="str">
        <f>ВСЕ_КОДЫ[[#This Row],[FULL_NAME]]</f>
        <v>Новый год с ККСБ 2025</v>
      </c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idden="1" x14ac:dyDescent="0.25">
      <c r="A424" s="1" t="s">
        <v>1856</v>
      </c>
      <c r="B424" s="1" t="s">
        <v>1948</v>
      </c>
      <c r="C424" s="1" t="s">
        <v>1903</v>
      </c>
      <c r="D424" s="1" t="s">
        <v>583</v>
      </c>
      <c r="E424" s="1" t="s">
        <v>1874</v>
      </c>
      <c r="F424" s="1" t="s">
        <v>62</v>
      </c>
      <c r="G424" s="1" t="s">
        <v>27</v>
      </c>
      <c r="H424" s="1" t="s">
        <v>28</v>
      </c>
      <c r="I424" s="1" t="s">
        <v>29</v>
      </c>
      <c r="J424" s="1" t="s">
        <v>1946</v>
      </c>
      <c r="K424" s="1" t="s">
        <v>1983</v>
      </c>
      <c r="L424" s="1" t="s">
        <v>1983</v>
      </c>
      <c r="M424" s="1" t="s">
        <v>176</v>
      </c>
      <c r="N424" s="1" t="s">
        <v>305</v>
      </c>
      <c r="O424" s="1" t="s">
        <v>1874</v>
      </c>
      <c r="P424" s="1"/>
      <c r="Q424" s="1">
        <f>IFERROR(COUNTIFS(_report[TOURNAMENT_CODE],ВСЕ_КОДЫ[[#This Row],[TOURNAMENT_CODE]],_report[CONTEST_CODE],ВСЕ_КОДЫ[[#This Row],[CONTEST_CODE]]),"-")</f>
        <v>0</v>
      </c>
      <c r="R424" s="1" t="str">
        <f>IFERROR(INDEX(_SCHEDULE_[],MATCH(ВСЕ_КОДЫ[[#This Row],[CONTEST_CODE]],_SCHEDULE_[CONTEST_CODE],0),MATCH($R$1,_SCHEDULE_[#Headers],0)),"-")</f>
        <v>ЗАВЕРШЕН</v>
      </c>
      <c r="S424" s="1" t="str">
        <f>IFERROR(INDEX(_group_[],MATCH(ВСЕ_КОДЫ[[#This Row],[CONTEST_CODE]],_group_[CONTEST_CODE],0),MATCH($S$1,_group_[#Headers],0)),"-")</f>
        <v>BANK</v>
      </c>
      <c r="T424" s="1" t="str">
        <f>IFERROR(INDEX(_INDICATOR_[],MATCH(ВСЕ_КОДЫ[[#This Row],[CONTEST_CODE]],_INDICATOR_[CONTEST_CODE],0),MATCH($T$1,_INDICATOR_[#Headers],0)),"-")</f>
        <v>WAIT</v>
      </c>
      <c r="U424" s="1" t="str">
        <f>IFERROR(INDEX(_reward_link_[],MATCH(ВСЕ_КОДЫ[[#This Row],[CONTEST_CODE]],_reward_link_[CONTEST_CODE],0),MATCH($U$1,_reward_link_[#Headers],0)),"-")</f>
        <v>BANK</v>
      </c>
      <c r="V424" s="1" t="str">
        <f>IFERROR(INDEX(_report[],MATCH(ВСЕ_КОДЫ[[#This Row],[CONTEST_CODE]],_report[CONTEST_CODE],0),MATCH($V$1,_report[#Headers],0)),"-")</f>
        <v>-</v>
      </c>
      <c r="W424" s="1" t="str">
        <f>IFERROR(INDEX(_reward_[],MATCH(ВСЕ_КОДЫ[[#This Row],[REWARD_CODE]],_reward_[REWARD_CODE],0),MATCH($W$1,_reward_[#Headers],0)),"-")</f>
        <v>Герой продаж 2024</v>
      </c>
      <c r="X424" s="1" t="str">
        <f>IFERROR(INDEX(_group_[],MATCH(CONCATENATE(ВСЕ_КОДЫ[[#This Row],[CONTEST_CODE]],"_",X$2),#REF!,0),MATCH(X$1,_group_[#Headers],0)),"-")</f>
        <v>-</v>
      </c>
      <c r="Y424" s="1" t="str">
        <f>IFERROR(INDEX(_group_[],MATCH(CONCATENATE(ВСЕ_КОДЫ[[#This Row],[CONTEST_CODE]],"_",Y$2),#REF!,0),MATCH(Y$1,_group_[#Headers],0)),"-")</f>
        <v>-</v>
      </c>
      <c r="Z424" s="1" t="str">
        <f>IFERROR(INDEX(_group_[],MATCH(CONCATENATE(ВСЕ_КОДЫ[[#This Row],[CONTEST_CODE]],"_",Z$2),#REF!,0),MATCH(Z$1,_group_[#Headers],0)),"-")</f>
        <v>-</v>
      </c>
      <c r="AA424" s="1" t="str">
        <f>IFERROR(INDEX(_group_[],MATCH(CONCATENATE(ВСЕ_КОДЫ[[#This Row],[CONTEST_CODE]],"_",AA$2),#REF!,0),MATCH(AA$1,_group_[#Headers],0)),"-")</f>
        <v>-</v>
      </c>
      <c r="AB424" s="1" t="str">
        <f>IFERROR(INDEX(_DATA_[],MATCH(ВСЕ_КОДЫ[[#This Row],[CONTEST_CODE]],_DATA_[CONTEST_CODE],0),MATCH($AB$2,_DATA_[#Headers],0)),"-")</f>
        <v>["""KMKKSB"""]</v>
      </c>
      <c r="AC424" s="1" t="str">
        <f>CONCATENATE(ВСЕ_КОДЫ[[#This Row],[CONTEST_CODE]],"_",ВСЕ_КОДЫ[[#This Row],[TOURNAMENT_CODE]])</f>
        <v>CONTEST_69_TOURNAMENT_69_2024_M12</v>
      </c>
      <c r="AD424" s="1" t="str">
        <f>ВСЕ_КОДЫ[[#This Row],[FULL_NAME]]</f>
        <v>Герой продаж 2024</v>
      </c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idden="1" x14ac:dyDescent="0.25">
      <c r="A425" s="1" t="s">
        <v>645</v>
      </c>
      <c r="B425" s="1" t="s">
        <v>649</v>
      </c>
      <c r="C425" s="1" t="s">
        <v>691</v>
      </c>
      <c r="D425" s="1" t="s">
        <v>583</v>
      </c>
      <c r="E425" s="1" t="s">
        <v>133</v>
      </c>
      <c r="F425" s="1" t="s">
        <v>26</v>
      </c>
      <c r="G425" s="1" t="s">
        <v>27</v>
      </c>
      <c r="H425" s="1" t="s">
        <v>34</v>
      </c>
      <c r="I425" s="1" t="s">
        <v>50</v>
      </c>
      <c r="J425" s="1" t="s">
        <v>192</v>
      </c>
      <c r="K425" s="1" t="s">
        <v>252</v>
      </c>
      <c r="L425" s="1" t="s">
        <v>3217</v>
      </c>
      <c r="M425" s="1" t="s">
        <v>176</v>
      </c>
      <c r="N425" s="1" t="s">
        <v>305</v>
      </c>
      <c r="O425" s="1" t="s">
        <v>1839</v>
      </c>
      <c r="P425" s="1"/>
      <c r="Q425" s="1">
        <f>IFERROR(COUNTIFS(_report[TOURNAMENT_CODE],ВСЕ_КОДЫ[[#This Row],[TOURNAMENT_CODE]],_report[CONTEST_CODE],ВСЕ_КОДЫ[[#This Row],[CONTEST_CODE]]),"-")</f>
        <v>0</v>
      </c>
      <c r="R425" s="1" t="str">
        <f>IFERROR(INDEX(_SCHEDULE_[],MATCH(ВСЕ_КОДЫ[[#This Row],[CONTEST_CODE]],_SCHEDULE_[CONTEST_CODE],0),MATCH($R$1,_SCHEDULE_[#Headers],0)),"-")</f>
        <v>ЗАВЕРШЕН</v>
      </c>
      <c r="S425" s="1" t="str">
        <f>IFERROR(INDEX(_group_[],MATCH(ВСЕ_КОДЫ[[#This Row],[CONTEST_CODE]],_group_[CONTEST_CODE],0),MATCH($S$1,_group_[#Headers],0)),"-")</f>
        <v>BANK</v>
      </c>
      <c r="T425" s="1" t="str">
        <f>IFERROR(INDEX(_INDICATOR_[],MATCH(ВСЕ_КОДЫ[[#This Row],[CONTEST_CODE]],_INDICATOR_[CONTEST_CODE],0),MATCH($T$1,_INDICATOR_[#Headers],0)),"-")</f>
        <v>WAIT</v>
      </c>
      <c r="U425" s="1" t="str">
        <f>IFERROR(INDEX(_reward_link_[],MATCH(ВСЕ_КОДЫ[[#This Row],[CONTEST_CODE]],_reward_link_[CONTEST_CODE],0),MATCH($U$1,_reward_link_[#Headers],0)),"-")</f>
        <v>TB</v>
      </c>
      <c r="V425" s="1" t="str">
        <f>IFERROR(INDEX(_report[],MATCH(ВСЕ_КОДЫ[[#This Row],[CONTEST_CODE]],_report[CONTEST_CODE],0),MATCH($V$1,_report[#Headers],0)),"-")</f>
        <v>-</v>
      </c>
      <c r="W425" s="1" t="str">
        <f>IFERROR(INDEX(_reward_[],MATCH(ВСЕ_КОДЫ[[#This Row],[REWARD_CODE]],_reward_[REWARD_CODE],0),MATCH($W$1,_reward_[#Headers],0)),"-")</f>
        <v>Чемпион страны по продаже продуктов экосистемы</v>
      </c>
      <c r="X425" s="1" t="str">
        <f>IFERROR(INDEX(_group_[],MATCH(CONCATENATE(ВСЕ_КОДЫ[[#This Row],[CONTEST_CODE]],"_",X$2),#REF!,0),MATCH(X$1,_group_[#Headers],0)),"-")</f>
        <v>-</v>
      </c>
      <c r="Y425" s="1" t="str">
        <f>IFERROR(INDEX(_group_[],MATCH(CONCATENATE(ВСЕ_КОДЫ[[#This Row],[CONTEST_CODE]],"_",Y$2),#REF!,0),MATCH(Y$1,_group_[#Headers],0)),"-")</f>
        <v>-</v>
      </c>
      <c r="Z425" s="1" t="str">
        <f>IFERROR(INDEX(_group_[],MATCH(CONCATENATE(ВСЕ_КОДЫ[[#This Row],[CONTEST_CODE]],"_",Z$2),#REF!,0),MATCH(Z$1,_group_[#Headers],0)),"-")</f>
        <v>-</v>
      </c>
      <c r="AA425" s="1" t="str">
        <f>IFERROR(INDEX(_group_[],MATCH(CONCATENATE(ВСЕ_КОДЫ[[#This Row],[CONTEST_CODE]],"_",AA$2),#REF!,0),MATCH(AA$1,_group_[#Headers],0)),"-")</f>
        <v>-</v>
      </c>
      <c r="AB425" s="1" t="str">
        <f>IFERROR(INDEX(_DATA_[],MATCH(ВСЕ_КОДЫ[[#This Row],[CONTEST_CODE]],_DATA_[CONTEST_CODE],0),MATCH($AB$2,_DATA_[#Headers],0)),"-")</f>
        <v>["""MNS"""]</v>
      </c>
      <c r="AC425" s="1" t="str">
        <f>CONCATENATE(ВСЕ_КОДЫ[[#This Row],[CONTEST_CODE]],"_",ВСЕ_КОДЫ[[#This Row],[TOURNAMENT_CODE]])</f>
        <v>CONTEST_m_01_TOURNAMENT_m_01_02</v>
      </c>
      <c r="AD425" s="1" t="str">
        <f>ВСЕ_КОДЫ[[#This Row],[FULL_NAME]]</f>
        <v>Экосистема. Лучший СМНС по продажам продуктов экосистемы</v>
      </c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idden="1" x14ac:dyDescent="0.25">
      <c r="A426" s="1" t="s">
        <v>645</v>
      </c>
      <c r="B426" s="1" t="s">
        <v>1162</v>
      </c>
      <c r="C426" s="1" t="s">
        <v>691</v>
      </c>
      <c r="D426" s="1" t="s">
        <v>583</v>
      </c>
      <c r="E426" s="1" t="s">
        <v>133</v>
      </c>
      <c r="F426" s="1" t="s">
        <v>26</v>
      </c>
      <c r="G426" s="1" t="s">
        <v>27</v>
      </c>
      <c r="H426" s="1" t="s">
        <v>34</v>
      </c>
      <c r="I426" s="1" t="s">
        <v>50</v>
      </c>
      <c r="J426" s="1" t="s">
        <v>703</v>
      </c>
      <c r="K426" s="1" t="s">
        <v>1070</v>
      </c>
      <c r="L426" s="1" t="s">
        <v>1071</v>
      </c>
      <c r="M426" s="1" t="s">
        <v>155</v>
      </c>
      <c r="N426" s="1" t="s">
        <v>305</v>
      </c>
      <c r="O426" s="1" t="s">
        <v>1839</v>
      </c>
      <c r="P426" s="1"/>
      <c r="Q426" s="1">
        <f>IFERROR(COUNTIFS(_report[TOURNAMENT_CODE],ВСЕ_КОДЫ[[#This Row],[TOURNAMENT_CODE]],_report[CONTEST_CODE],ВСЕ_КОДЫ[[#This Row],[CONTEST_CODE]]),"-")</f>
        <v>0</v>
      </c>
      <c r="R426" s="1" t="str">
        <f>IFERROR(INDEX(_SCHEDULE_[],MATCH(ВСЕ_КОДЫ[[#This Row],[CONTEST_CODE]],_SCHEDULE_[CONTEST_CODE],0),MATCH($R$1,_SCHEDULE_[#Headers],0)),"-")</f>
        <v>ЗАВЕРШЕН</v>
      </c>
      <c r="S426" s="1" t="str">
        <f>IFERROR(INDEX(_group_[],MATCH(ВСЕ_КОДЫ[[#This Row],[CONTEST_CODE]],_group_[CONTEST_CODE],0),MATCH($S$1,_group_[#Headers],0)),"-")</f>
        <v>BANK</v>
      </c>
      <c r="T426" s="1" t="str">
        <f>IFERROR(INDEX(_INDICATOR_[],MATCH(ВСЕ_КОДЫ[[#This Row],[CONTEST_CODE]],_INDICATOR_[CONTEST_CODE],0),MATCH($T$1,_INDICATOR_[#Headers],0)),"-")</f>
        <v>WAIT</v>
      </c>
      <c r="U426" s="1" t="str">
        <f>IFERROR(INDEX(_reward_link_[],MATCH(ВСЕ_КОДЫ[[#This Row],[CONTEST_CODE]],_reward_link_[CONTEST_CODE],0),MATCH($U$1,_reward_link_[#Headers],0)),"-")</f>
        <v>TB</v>
      </c>
      <c r="V426" s="1" t="str">
        <f>IFERROR(INDEX(_report[],MATCH(ВСЕ_КОДЫ[[#This Row],[CONTEST_CODE]],_report[CONTEST_CODE],0),MATCH($V$1,_report[#Headers],0)),"-")</f>
        <v>-</v>
      </c>
      <c r="W426" s="1" t="str">
        <f>IFERROR(INDEX(_reward_[],MATCH(ВСЕ_КОДЫ[[#This Row],[REWARD_CODE]],_reward_[REWARD_CODE],0),MATCH($W$1,_reward_[#Headers],0)),"-")</f>
        <v>Чемпион страны по продаже продуктов экосистемы</v>
      </c>
      <c r="X426" s="1" t="str">
        <f>IFERROR(INDEX(_group_[],MATCH(CONCATENATE(ВСЕ_КОДЫ[[#This Row],[CONTEST_CODE]],"_",X$2),#REF!,0),MATCH(X$1,_group_[#Headers],0)),"-")</f>
        <v>-</v>
      </c>
      <c r="Y426" s="1" t="str">
        <f>IFERROR(INDEX(_group_[],MATCH(CONCATENATE(ВСЕ_КОДЫ[[#This Row],[CONTEST_CODE]],"_",Y$2),#REF!,0),MATCH(Y$1,_group_[#Headers],0)),"-")</f>
        <v>-</v>
      </c>
      <c r="Z426" s="1" t="str">
        <f>IFERROR(INDEX(_group_[],MATCH(CONCATENATE(ВСЕ_КОДЫ[[#This Row],[CONTEST_CODE]],"_",Z$2),#REF!,0),MATCH(Z$1,_group_[#Headers],0)),"-")</f>
        <v>-</v>
      </c>
      <c r="AA426" s="1" t="str">
        <f>IFERROR(INDEX(_group_[],MATCH(CONCATENATE(ВСЕ_КОДЫ[[#This Row],[CONTEST_CODE]],"_",AA$2),#REF!,0),MATCH(AA$1,_group_[#Headers],0)),"-")</f>
        <v>-</v>
      </c>
      <c r="AB426" s="1" t="str">
        <f>IFERROR(INDEX(_DATA_[],MATCH(ВСЕ_КОДЫ[[#This Row],[CONTEST_CODE]],_DATA_[CONTEST_CODE],0),MATCH($AB$2,_DATA_[#Headers],0)),"-")</f>
        <v>["""MNS"""]</v>
      </c>
      <c r="AC426" s="1" t="str">
        <f>CONCATENATE(ВСЕ_КОДЫ[[#This Row],[CONTEST_CODE]],"_",ВСЕ_КОДЫ[[#This Row],[TOURNAMENT_CODE]])</f>
        <v>CONTEST_m_01_TOURNAMENT_m_01_03</v>
      </c>
      <c r="AD426" s="1" t="str">
        <f>ВСЕ_КОДЫ[[#This Row],[FULL_NAME]]</f>
        <v>Экосистема. Лучший СМНС по продажам продуктов экосистемы</v>
      </c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idden="1" x14ac:dyDescent="0.25">
      <c r="A427" s="1" t="s">
        <v>645</v>
      </c>
      <c r="B427" s="1" t="s">
        <v>649</v>
      </c>
      <c r="C427" s="1" t="s">
        <v>690</v>
      </c>
      <c r="D427" s="1" t="s">
        <v>586</v>
      </c>
      <c r="E427" s="1" t="s">
        <v>133</v>
      </c>
      <c r="F427" s="1" t="s">
        <v>26</v>
      </c>
      <c r="G427" s="1" t="s">
        <v>27</v>
      </c>
      <c r="H427" s="1" t="s">
        <v>34</v>
      </c>
      <c r="I427" s="1" t="s">
        <v>50</v>
      </c>
      <c r="J427" s="1" t="s">
        <v>192</v>
      </c>
      <c r="K427" s="1" t="s">
        <v>252</v>
      </c>
      <c r="L427" s="1" t="s">
        <v>3217</v>
      </c>
      <c r="M427" s="1" t="s">
        <v>176</v>
      </c>
      <c r="N427" s="1" t="s">
        <v>305</v>
      </c>
      <c r="O427" s="1" t="s">
        <v>1838</v>
      </c>
      <c r="P427" s="1"/>
      <c r="Q427" s="1">
        <f>IFERROR(COUNTIFS(_report[TOURNAMENT_CODE],ВСЕ_КОДЫ[[#This Row],[TOURNAMENT_CODE]],_report[CONTEST_CODE],ВСЕ_КОДЫ[[#This Row],[CONTEST_CODE]]),"-")</f>
        <v>0</v>
      </c>
      <c r="R427" s="1" t="str">
        <f>IFERROR(INDEX(_SCHEDULE_[],MATCH(ВСЕ_КОДЫ[[#This Row],[CONTEST_CODE]],_SCHEDULE_[CONTEST_CODE],0),MATCH($R$1,_SCHEDULE_[#Headers],0)),"-")</f>
        <v>ЗАВЕРШЕН</v>
      </c>
      <c r="S427" s="1" t="str">
        <f>IFERROR(INDEX(_group_[],MATCH(ВСЕ_КОДЫ[[#This Row],[CONTEST_CODE]],_group_[CONTEST_CODE],0),MATCH($S$1,_group_[#Headers],0)),"-")</f>
        <v>BANK</v>
      </c>
      <c r="T427" s="1" t="str">
        <f>IFERROR(INDEX(_INDICATOR_[],MATCH(ВСЕ_КОДЫ[[#This Row],[CONTEST_CODE]],_INDICATOR_[CONTEST_CODE],0),MATCH($T$1,_INDICATOR_[#Headers],0)),"-")</f>
        <v>WAIT</v>
      </c>
      <c r="U427" s="1" t="str">
        <f>IFERROR(INDEX(_reward_link_[],MATCH(ВСЕ_КОДЫ[[#This Row],[CONTEST_CODE]],_reward_link_[CONTEST_CODE],0),MATCH($U$1,_reward_link_[#Headers],0)),"-")</f>
        <v>TB</v>
      </c>
      <c r="V427" s="1" t="str">
        <f>IFERROR(INDEX(_report[],MATCH(ВСЕ_КОДЫ[[#This Row],[CONTEST_CODE]],_report[CONTEST_CODE],0),MATCH($V$1,_report[#Headers],0)),"-")</f>
        <v>-</v>
      </c>
      <c r="W427" s="1" t="str">
        <f>IFERROR(INDEX(_reward_[],MATCH(ВСЕ_КОДЫ[[#This Row],[REWARD_CODE]],_reward_[REWARD_CODE],0),MATCH($W$1,_reward_[#Headers],0)),"-")</f>
        <v>Победитель ТБ по продаже продуктов экосистемы</v>
      </c>
      <c r="X427" s="1" t="str">
        <f>IFERROR(INDEX(_group_[],MATCH(CONCATENATE(ВСЕ_КОДЫ[[#This Row],[CONTEST_CODE]],"_",X$2),#REF!,0),MATCH(X$1,_group_[#Headers],0)),"-")</f>
        <v>-</v>
      </c>
      <c r="Y427" s="1" t="str">
        <f>IFERROR(INDEX(_group_[],MATCH(CONCATENATE(ВСЕ_КОДЫ[[#This Row],[CONTEST_CODE]],"_",Y$2),#REF!,0),MATCH(Y$1,_group_[#Headers],0)),"-")</f>
        <v>-</v>
      </c>
      <c r="Z427" s="1" t="str">
        <f>IFERROR(INDEX(_group_[],MATCH(CONCATENATE(ВСЕ_КОДЫ[[#This Row],[CONTEST_CODE]],"_",Z$2),#REF!,0),MATCH(Z$1,_group_[#Headers],0)),"-")</f>
        <v>-</v>
      </c>
      <c r="AA427" s="1" t="str">
        <f>IFERROR(INDEX(_group_[],MATCH(CONCATENATE(ВСЕ_КОДЫ[[#This Row],[CONTEST_CODE]],"_",AA$2),#REF!,0),MATCH(AA$1,_group_[#Headers],0)),"-")</f>
        <v>-</v>
      </c>
      <c r="AB427" s="1" t="str">
        <f>IFERROR(INDEX(_DATA_[],MATCH(ВСЕ_КОДЫ[[#This Row],[CONTEST_CODE]],_DATA_[CONTEST_CODE],0),MATCH($AB$2,_DATA_[#Headers],0)),"-")</f>
        <v>["""MNS"""]</v>
      </c>
      <c r="AC427" s="1" t="str">
        <f>CONCATENATE(ВСЕ_КОДЫ[[#This Row],[CONTEST_CODE]],"_",ВСЕ_КОДЫ[[#This Row],[TOURNAMENT_CODE]])</f>
        <v>CONTEST_m_01_TOURNAMENT_m_01_02</v>
      </c>
      <c r="AD427" s="1" t="str">
        <f>ВСЕ_КОДЫ[[#This Row],[FULL_NAME]]</f>
        <v>Экосистема. Лучший СМНС по продажам продуктов экосистемы</v>
      </c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idden="1" x14ac:dyDescent="0.25">
      <c r="A428" s="1" t="s">
        <v>645</v>
      </c>
      <c r="B428" s="1" t="s">
        <v>1162</v>
      </c>
      <c r="C428" s="1" t="s">
        <v>690</v>
      </c>
      <c r="D428" s="1" t="s">
        <v>586</v>
      </c>
      <c r="E428" s="1" t="s">
        <v>133</v>
      </c>
      <c r="F428" s="1" t="s">
        <v>26</v>
      </c>
      <c r="G428" s="1" t="s">
        <v>27</v>
      </c>
      <c r="H428" s="1" t="s">
        <v>34</v>
      </c>
      <c r="I428" s="1" t="s">
        <v>50</v>
      </c>
      <c r="J428" s="1" t="s">
        <v>703</v>
      </c>
      <c r="K428" s="1" t="s">
        <v>1070</v>
      </c>
      <c r="L428" s="1" t="s">
        <v>1071</v>
      </c>
      <c r="M428" s="1" t="s">
        <v>155</v>
      </c>
      <c r="N428" s="1" t="s">
        <v>305</v>
      </c>
      <c r="O428" s="1" t="s">
        <v>1838</v>
      </c>
      <c r="P428" s="1"/>
      <c r="Q428" s="1">
        <f>IFERROR(COUNTIFS(_report[TOURNAMENT_CODE],ВСЕ_КОДЫ[[#This Row],[TOURNAMENT_CODE]],_report[CONTEST_CODE],ВСЕ_КОДЫ[[#This Row],[CONTEST_CODE]]),"-")</f>
        <v>0</v>
      </c>
      <c r="R428" s="1" t="str">
        <f>IFERROR(INDEX(_SCHEDULE_[],MATCH(ВСЕ_КОДЫ[[#This Row],[CONTEST_CODE]],_SCHEDULE_[CONTEST_CODE],0),MATCH($R$1,_SCHEDULE_[#Headers],0)),"-")</f>
        <v>ЗАВЕРШЕН</v>
      </c>
      <c r="S428" s="1" t="str">
        <f>IFERROR(INDEX(_group_[],MATCH(ВСЕ_КОДЫ[[#This Row],[CONTEST_CODE]],_group_[CONTEST_CODE],0),MATCH($S$1,_group_[#Headers],0)),"-")</f>
        <v>BANK</v>
      </c>
      <c r="T428" s="1" t="str">
        <f>IFERROR(INDEX(_INDICATOR_[],MATCH(ВСЕ_КОДЫ[[#This Row],[CONTEST_CODE]],_INDICATOR_[CONTEST_CODE],0),MATCH($T$1,_INDICATOR_[#Headers],0)),"-")</f>
        <v>WAIT</v>
      </c>
      <c r="U428" s="1" t="str">
        <f>IFERROR(INDEX(_reward_link_[],MATCH(ВСЕ_КОДЫ[[#This Row],[CONTEST_CODE]],_reward_link_[CONTEST_CODE],0),MATCH($U$1,_reward_link_[#Headers],0)),"-")</f>
        <v>TB</v>
      </c>
      <c r="V428" s="1" t="str">
        <f>IFERROR(INDEX(_report[],MATCH(ВСЕ_КОДЫ[[#This Row],[CONTEST_CODE]],_report[CONTEST_CODE],0),MATCH($V$1,_report[#Headers],0)),"-")</f>
        <v>-</v>
      </c>
      <c r="W428" s="1" t="str">
        <f>IFERROR(INDEX(_reward_[],MATCH(ВСЕ_КОДЫ[[#This Row],[REWARD_CODE]],_reward_[REWARD_CODE],0),MATCH($W$1,_reward_[#Headers],0)),"-")</f>
        <v>Победитель ТБ по продаже продуктов экосистемы</v>
      </c>
      <c r="X428" s="1" t="str">
        <f>IFERROR(INDEX(_group_[],MATCH(CONCATENATE(ВСЕ_КОДЫ[[#This Row],[CONTEST_CODE]],"_",X$2),#REF!,0),MATCH(X$1,_group_[#Headers],0)),"-")</f>
        <v>-</v>
      </c>
      <c r="Y428" s="1" t="str">
        <f>IFERROR(INDEX(_group_[],MATCH(CONCATENATE(ВСЕ_КОДЫ[[#This Row],[CONTEST_CODE]],"_",Y$2),#REF!,0),MATCH(Y$1,_group_[#Headers],0)),"-")</f>
        <v>-</v>
      </c>
      <c r="Z428" s="1" t="str">
        <f>IFERROR(INDEX(_group_[],MATCH(CONCATENATE(ВСЕ_КОДЫ[[#This Row],[CONTEST_CODE]],"_",Z$2),#REF!,0),MATCH(Z$1,_group_[#Headers],0)),"-")</f>
        <v>-</v>
      </c>
      <c r="AA428" s="1" t="str">
        <f>IFERROR(INDEX(_group_[],MATCH(CONCATENATE(ВСЕ_КОДЫ[[#This Row],[CONTEST_CODE]],"_",AA$2),#REF!,0),MATCH(AA$1,_group_[#Headers],0)),"-")</f>
        <v>-</v>
      </c>
      <c r="AB428" s="1" t="str">
        <f>IFERROR(INDEX(_DATA_[],MATCH(ВСЕ_КОДЫ[[#This Row],[CONTEST_CODE]],_DATA_[CONTEST_CODE],0),MATCH($AB$2,_DATA_[#Headers],0)),"-")</f>
        <v>["""MNS"""]</v>
      </c>
      <c r="AC428" s="1" t="str">
        <f>CONCATENATE(ВСЕ_КОДЫ[[#This Row],[CONTEST_CODE]],"_",ВСЕ_КОДЫ[[#This Row],[TOURNAMENT_CODE]])</f>
        <v>CONTEST_m_01_TOURNAMENT_m_01_03</v>
      </c>
      <c r="AD428" s="1" t="str">
        <f>ВСЕ_КОДЫ[[#This Row],[FULL_NAME]]</f>
        <v>Экосистема. Лучший СМНС по продажам продуктов экосистемы</v>
      </c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idden="1" x14ac:dyDescent="0.25">
      <c r="A429" s="1" t="s">
        <v>646</v>
      </c>
      <c r="B429" s="1" t="s">
        <v>650</v>
      </c>
      <c r="C429" s="1" t="s">
        <v>657</v>
      </c>
      <c r="D429" s="1" t="s">
        <v>583</v>
      </c>
      <c r="E429" s="1" t="s">
        <v>136</v>
      </c>
      <c r="F429" s="1" t="s">
        <v>26</v>
      </c>
      <c r="G429" s="1" t="s">
        <v>27</v>
      </c>
      <c r="H429" s="1" t="s">
        <v>28</v>
      </c>
      <c r="I429" s="1" t="s">
        <v>50</v>
      </c>
      <c r="J429" s="1" t="s">
        <v>192</v>
      </c>
      <c r="K429" s="1" t="s">
        <v>252</v>
      </c>
      <c r="L429" s="1" t="s">
        <v>253</v>
      </c>
      <c r="M429" s="1" t="s">
        <v>155</v>
      </c>
      <c r="N429" s="1" t="s">
        <v>305</v>
      </c>
      <c r="O429" s="1" t="s">
        <v>1840</v>
      </c>
      <c r="P429" s="1"/>
      <c r="Q429" s="1">
        <f>IFERROR(COUNTIFS(_report[TOURNAMENT_CODE],ВСЕ_КОДЫ[[#This Row],[TOURNAMENT_CODE]],_report[CONTEST_CODE],ВСЕ_КОДЫ[[#This Row],[CONTEST_CODE]]),"-")</f>
        <v>0</v>
      </c>
      <c r="R429" s="1" t="str">
        <f>IFERROR(INDEX(_SCHEDULE_[],MATCH(ВСЕ_КОДЫ[[#This Row],[CONTEST_CODE]],_SCHEDULE_[CONTEST_CODE],0),MATCH($R$1,_SCHEDULE_[#Headers],0)),"-")</f>
        <v>УДАЛЕН</v>
      </c>
      <c r="S429" s="1" t="str">
        <f>IFERROR(INDEX(_group_[],MATCH(ВСЕ_КОДЫ[[#This Row],[CONTEST_CODE]],_group_[CONTEST_CODE],0),MATCH($S$1,_group_[#Headers],0)),"-")</f>
        <v>BANK</v>
      </c>
      <c r="T429" s="1" t="str">
        <f>IFERROR(INDEX(_INDICATOR_[],MATCH(ВСЕ_КОДЫ[[#This Row],[CONTEST_CODE]],_INDICATOR_[CONTEST_CODE],0),MATCH($T$1,_INDICATOR_[#Headers],0)),"-")</f>
        <v>WAIT</v>
      </c>
      <c r="U429" s="1" t="str">
        <f>IFERROR(INDEX(_reward_link_[],MATCH(ВСЕ_КОДЫ[[#This Row],[CONTEST_CODE]],_reward_link_[CONTEST_CODE],0),MATCH($U$1,_reward_link_[#Headers],0)),"-")</f>
        <v>BANK</v>
      </c>
      <c r="V429" s="1" t="str">
        <f>IFERROR(INDEX(_report[],MATCH(ВСЕ_КОДЫ[[#This Row],[CONTEST_CODE]],_report[CONTEST_CODE],0),MATCH($V$1,_report[#Headers],0)),"-")</f>
        <v>-</v>
      </c>
      <c r="W429" s="1" t="str">
        <f>IFERROR(INDEX(_reward_[],MATCH(ВСЕ_КОДЫ[[#This Row],[REWARD_CODE]],_reward_[REWARD_CODE],0),MATCH($W$1,_reward_[#Headers],0)),"-")</f>
        <v>Лучший директор по продаже продуктов экосистемы</v>
      </c>
      <c r="X429" s="1" t="str">
        <f>IFERROR(INDEX(_group_[],MATCH(CONCATENATE(ВСЕ_КОДЫ[[#This Row],[CONTEST_CODE]],"_",X$2),#REF!,0),MATCH(X$1,_group_[#Headers],0)),"-")</f>
        <v>-</v>
      </c>
      <c r="Y429" s="1" t="str">
        <f>IFERROR(INDEX(_group_[],MATCH(CONCATENATE(ВСЕ_КОДЫ[[#This Row],[CONTEST_CODE]],"_",Y$2),#REF!,0),MATCH(Y$1,_group_[#Headers],0)),"-")</f>
        <v>-</v>
      </c>
      <c r="Z429" s="1" t="str">
        <f>IFERROR(INDEX(_group_[],MATCH(CONCATENATE(ВСЕ_КОДЫ[[#This Row],[CONTEST_CODE]],"_",Z$2),#REF!,0),MATCH(Z$1,_group_[#Headers],0)),"-")</f>
        <v>-</v>
      </c>
      <c r="AA429" s="1" t="str">
        <f>IFERROR(INDEX(_group_[],MATCH(CONCATENATE(ВСЕ_КОДЫ[[#This Row],[CONTEST_CODE]],"_",AA$2),#REF!,0),MATCH(AA$1,_group_[#Headers],0)),"-")</f>
        <v>-</v>
      </c>
      <c r="AB429" s="1" t="str">
        <f>IFERROR(INDEX(_DATA_[],MATCH(ВСЕ_КОДЫ[[#This Row],[CONTEST_CODE]],_DATA_[CONTEST_CODE],0),MATCH($AB$2,_DATA_[#Headers],0)),"-")</f>
        <v>["""MNS"""]</v>
      </c>
      <c r="AC429" s="1" t="str">
        <f>CONCATENATE(ВСЕ_КОДЫ[[#This Row],[CONTEST_CODE]],"_",ВСЕ_КОДЫ[[#This Row],[TOURNAMENT_CODE]])</f>
        <v>CONTEST_m_02_TOURNAMENT_m_02_02</v>
      </c>
      <c r="AD429" s="1" t="str">
        <f>ВСЕ_КОДЫ[[#This Row],[FULL_NAME]]</f>
        <v>Экосистема. Лучший директор по продажам продуктов экосистемы</v>
      </c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idden="1" x14ac:dyDescent="0.25">
      <c r="A430" s="1" t="s">
        <v>1352</v>
      </c>
      <c r="B430" s="1" t="s">
        <v>1824</v>
      </c>
      <c r="C430" s="1" t="s">
        <v>1356</v>
      </c>
      <c r="D430" s="1" t="s">
        <v>583</v>
      </c>
      <c r="E430" s="1" t="s">
        <v>1419</v>
      </c>
      <c r="F430" s="1" t="s">
        <v>26</v>
      </c>
      <c r="G430" s="1" t="s">
        <v>27</v>
      </c>
      <c r="H430" s="1" t="s">
        <v>34</v>
      </c>
      <c r="I430" s="1" t="s">
        <v>50</v>
      </c>
      <c r="J430" s="1" t="s">
        <v>1308</v>
      </c>
      <c r="K430" s="1" t="s">
        <v>642</v>
      </c>
      <c r="L430" s="1" t="s">
        <v>3217</v>
      </c>
      <c r="M430" s="1" t="s">
        <v>176</v>
      </c>
      <c r="N430" s="1" t="s">
        <v>305</v>
      </c>
      <c r="O430" s="1" t="s">
        <v>1452</v>
      </c>
      <c r="P430" s="1"/>
      <c r="Q430" s="1">
        <f>IFERROR(COUNTIFS(_report[TOURNAMENT_CODE],ВСЕ_КОДЫ[[#This Row],[TOURNAMENT_CODE]],_report[CONTEST_CODE],ВСЕ_КОДЫ[[#This Row],[CONTEST_CODE]]),"-")</f>
        <v>0</v>
      </c>
      <c r="R430" s="1" t="str">
        <f>IFERROR(INDEX(_SCHEDULE_[],MATCH(ВСЕ_КОДЫ[[#This Row],[CONTEST_CODE]],_SCHEDULE_[CONTEST_CODE],0),MATCH($R$1,_SCHEDULE_[#Headers],0)),"-")</f>
        <v>ЗАВЕРШЕН</v>
      </c>
      <c r="S430" s="1" t="str">
        <f>IFERROR(INDEX(_group_[],MATCH(ВСЕ_КОДЫ[[#This Row],[CONTEST_CODE]],_group_[CONTEST_CODE],0),MATCH($S$1,_group_[#Headers],0)),"-")</f>
        <v>BANK</v>
      </c>
      <c r="T430" s="1" t="str">
        <f>IFERROR(INDEX(_INDICATOR_[],MATCH(ВСЕ_КОДЫ[[#This Row],[CONTEST_CODE]],_INDICATOR_[CONTEST_CODE],0),MATCH($T$1,_INDICATOR_[#Headers],0)),"-")</f>
        <v>WAIT</v>
      </c>
      <c r="U430" s="1" t="str">
        <f>IFERROR(INDEX(_reward_link_[],MATCH(ВСЕ_КОДЫ[[#This Row],[CONTEST_CODE]],_reward_link_[CONTEST_CODE],0),MATCH($U$1,_reward_link_[#Headers],0)),"-")</f>
        <v>TB</v>
      </c>
      <c r="V430" s="1" t="str">
        <f>IFERROR(INDEX(_report[],MATCH(ВСЕ_КОДЫ[[#This Row],[CONTEST_CODE]],_report[CONTEST_CODE],0),MATCH($V$1,_report[#Headers],0)),"-")</f>
        <v>-</v>
      </c>
      <c r="W430" s="1" t="str">
        <f>IFERROR(INDEX(_reward_[],MATCH(ВСЕ_КОДЫ[[#This Row],[REWARD_CODE]],_reward_[REWARD_CODE],0),MATCH($W$1,_reward_[#Headers],0)),"-")</f>
        <v>Чемпион страны по числу сделок экосистемы</v>
      </c>
      <c r="X430" s="1" t="str">
        <f>IFERROR(INDEX(_group_[],MATCH(CONCATENATE(ВСЕ_КОДЫ[[#This Row],[CONTEST_CODE]],"_",X$2),#REF!,0),MATCH(X$1,_group_[#Headers],0)),"-")</f>
        <v>-</v>
      </c>
      <c r="Y430" s="1" t="str">
        <f>IFERROR(INDEX(_group_[],MATCH(CONCATENATE(ВСЕ_КОДЫ[[#This Row],[CONTEST_CODE]],"_",Y$2),#REF!,0),MATCH(Y$1,_group_[#Headers],0)),"-")</f>
        <v>-</v>
      </c>
      <c r="Z430" s="1" t="str">
        <f>IFERROR(INDEX(_group_[],MATCH(CONCATENATE(ВСЕ_КОДЫ[[#This Row],[CONTEST_CODE]],"_",Z$2),#REF!,0),MATCH(Z$1,_group_[#Headers],0)),"-")</f>
        <v>-</v>
      </c>
      <c r="AA430" s="1" t="str">
        <f>IFERROR(INDEX(_group_[],MATCH(CONCATENATE(ВСЕ_КОДЫ[[#This Row],[CONTEST_CODE]],"_",AA$2),#REF!,0),MATCH(AA$1,_group_[#Headers],0)),"-")</f>
        <v>-</v>
      </c>
      <c r="AB430" s="1" t="str">
        <f>IFERROR(INDEX(_DATA_[],MATCH(ВСЕ_КОДЫ[[#This Row],[CONTEST_CODE]],_DATA_[CONTEST_CODE],0),MATCH($AB$2,_DATA_[#Headers],0)),"-")</f>
        <v>["""MNS"""]</v>
      </c>
      <c r="AC430" s="1" t="str">
        <f>CONCATENATE(ВСЕ_КОДЫ[[#This Row],[CONTEST_CODE]],"_",ВСЕ_КОДЫ[[#This Row],[TOURNAMENT_CODE]])</f>
        <v>CONTEST_m_03_TOURNAMENT_m_03_2024_Q04</v>
      </c>
      <c r="AD430" s="1" t="str">
        <f>ВСЕ_КОДЫ[[#This Row],[FULL_NAME]]</f>
        <v>Экосистема. Лидер по числу сделок</v>
      </c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idden="1" x14ac:dyDescent="0.25">
      <c r="A431" s="1" t="s">
        <v>1352</v>
      </c>
      <c r="B431" s="1" t="s">
        <v>1824</v>
      </c>
      <c r="C431" s="1" t="s">
        <v>1353</v>
      </c>
      <c r="D431" s="1" t="s">
        <v>586</v>
      </c>
      <c r="E431" s="1" t="s">
        <v>1419</v>
      </c>
      <c r="F431" s="1" t="s">
        <v>26</v>
      </c>
      <c r="G431" s="1" t="s">
        <v>27</v>
      </c>
      <c r="H431" s="1" t="s">
        <v>34</v>
      </c>
      <c r="I431" s="1" t="s">
        <v>50</v>
      </c>
      <c r="J431" s="1" t="s">
        <v>1308</v>
      </c>
      <c r="K431" s="1" t="s">
        <v>642</v>
      </c>
      <c r="L431" s="1" t="s">
        <v>3217</v>
      </c>
      <c r="M431" s="1" t="s">
        <v>176</v>
      </c>
      <c r="N431" s="1" t="s">
        <v>305</v>
      </c>
      <c r="O431" s="1" t="s">
        <v>1450</v>
      </c>
      <c r="P431" s="1"/>
      <c r="Q431" s="1">
        <f>IFERROR(COUNTIFS(_report[TOURNAMENT_CODE],ВСЕ_КОДЫ[[#This Row],[TOURNAMENT_CODE]],_report[CONTEST_CODE],ВСЕ_КОДЫ[[#This Row],[CONTEST_CODE]]),"-")</f>
        <v>0</v>
      </c>
      <c r="R431" s="1" t="str">
        <f>IFERROR(INDEX(_SCHEDULE_[],MATCH(ВСЕ_КОДЫ[[#This Row],[CONTEST_CODE]],_SCHEDULE_[CONTEST_CODE],0),MATCH($R$1,_SCHEDULE_[#Headers],0)),"-")</f>
        <v>ЗАВЕРШЕН</v>
      </c>
      <c r="S431" s="1" t="str">
        <f>IFERROR(INDEX(_group_[],MATCH(ВСЕ_КОДЫ[[#This Row],[CONTEST_CODE]],_group_[CONTEST_CODE],0),MATCH($S$1,_group_[#Headers],0)),"-")</f>
        <v>BANK</v>
      </c>
      <c r="T431" s="1" t="str">
        <f>IFERROR(INDEX(_INDICATOR_[],MATCH(ВСЕ_КОДЫ[[#This Row],[CONTEST_CODE]],_INDICATOR_[CONTEST_CODE],0),MATCH($T$1,_INDICATOR_[#Headers],0)),"-")</f>
        <v>WAIT</v>
      </c>
      <c r="U431" s="1" t="str">
        <f>IFERROR(INDEX(_reward_link_[],MATCH(ВСЕ_КОДЫ[[#This Row],[CONTEST_CODE]],_reward_link_[CONTEST_CODE],0),MATCH($U$1,_reward_link_[#Headers],0)),"-")</f>
        <v>TB</v>
      </c>
      <c r="V431" s="1" t="str">
        <f>IFERROR(INDEX(_report[],MATCH(ВСЕ_КОДЫ[[#This Row],[CONTEST_CODE]],_report[CONTEST_CODE],0),MATCH($V$1,_report[#Headers],0)),"-")</f>
        <v>-</v>
      </c>
      <c r="W431" s="1" t="str">
        <f>IFERROR(INDEX(_reward_[],MATCH(ВСЕ_КОДЫ[[#This Row],[REWARD_CODE]],_reward_[REWARD_CODE],0),MATCH($W$1,_reward_[#Headers],0)),"-")</f>
        <v>Победитель ТБ по числу сделок экосистемы</v>
      </c>
      <c r="X431" s="1" t="str">
        <f>IFERROR(INDEX(_group_[],MATCH(CONCATENATE(ВСЕ_КОДЫ[[#This Row],[CONTEST_CODE]],"_",X$2),#REF!,0),MATCH(X$1,_group_[#Headers],0)),"-")</f>
        <v>-</v>
      </c>
      <c r="Y431" s="1" t="str">
        <f>IFERROR(INDEX(_group_[],MATCH(CONCATENATE(ВСЕ_КОДЫ[[#This Row],[CONTEST_CODE]],"_",Y$2),#REF!,0),MATCH(Y$1,_group_[#Headers],0)),"-")</f>
        <v>-</v>
      </c>
      <c r="Z431" s="1" t="str">
        <f>IFERROR(INDEX(_group_[],MATCH(CONCATENATE(ВСЕ_КОДЫ[[#This Row],[CONTEST_CODE]],"_",Z$2),#REF!,0),MATCH(Z$1,_group_[#Headers],0)),"-")</f>
        <v>-</v>
      </c>
      <c r="AA431" s="1" t="str">
        <f>IFERROR(INDEX(_group_[],MATCH(CONCATENATE(ВСЕ_КОДЫ[[#This Row],[CONTEST_CODE]],"_",AA$2),#REF!,0),MATCH(AA$1,_group_[#Headers],0)),"-")</f>
        <v>-</v>
      </c>
      <c r="AB431" s="1" t="str">
        <f>IFERROR(INDEX(_DATA_[],MATCH(ВСЕ_КОДЫ[[#This Row],[CONTEST_CODE]],_DATA_[CONTEST_CODE],0),MATCH($AB$2,_DATA_[#Headers],0)),"-")</f>
        <v>["""MNS"""]</v>
      </c>
      <c r="AC431" s="1" t="str">
        <f>CONCATENATE(ВСЕ_КОДЫ[[#This Row],[CONTEST_CODE]],"_",ВСЕ_КОДЫ[[#This Row],[TOURNAMENT_CODE]])</f>
        <v>CONTEST_m_03_TOURNAMENT_m_03_2024_Q04</v>
      </c>
      <c r="AD431" s="1" t="str">
        <f>ВСЕ_КОДЫ[[#This Row],[FULL_NAME]]</f>
        <v>Экосистема. Лидер по числу сделок</v>
      </c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idden="1" x14ac:dyDescent="0.25">
      <c r="A432" s="1" t="s">
        <v>1359</v>
      </c>
      <c r="B432" s="1" t="s">
        <v>1826</v>
      </c>
      <c r="C432" s="1" t="s">
        <v>1363</v>
      </c>
      <c r="D432" s="1" t="s">
        <v>583</v>
      </c>
      <c r="E432" s="1" t="s">
        <v>1421</v>
      </c>
      <c r="F432" s="1" t="s">
        <v>26</v>
      </c>
      <c r="G432" s="1" t="s">
        <v>27</v>
      </c>
      <c r="H432" s="1" t="s">
        <v>34</v>
      </c>
      <c r="I432" s="1" t="s">
        <v>50</v>
      </c>
      <c r="J432" s="1" t="s">
        <v>1308</v>
      </c>
      <c r="K432" s="1" t="s">
        <v>642</v>
      </c>
      <c r="L432" s="1" t="s">
        <v>3217</v>
      </c>
      <c r="M432" s="1" t="s">
        <v>176</v>
      </c>
      <c r="N432" s="1" t="s">
        <v>305</v>
      </c>
      <c r="O432" s="1" t="s">
        <v>1456</v>
      </c>
      <c r="P432" s="1"/>
      <c r="Q432" s="1">
        <f>IFERROR(COUNTIFS(_report[TOURNAMENT_CODE],ВСЕ_КОДЫ[[#This Row],[TOURNAMENT_CODE]],_report[CONTEST_CODE],ВСЕ_КОДЫ[[#This Row],[CONTEST_CODE]]),"-")</f>
        <v>0</v>
      </c>
      <c r="R432" s="1" t="str">
        <f>IFERROR(INDEX(_SCHEDULE_[],MATCH(ВСЕ_КОДЫ[[#This Row],[CONTEST_CODE]],_SCHEDULE_[CONTEST_CODE],0),MATCH($R$1,_SCHEDULE_[#Headers],0)),"-")</f>
        <v>ЗАВЕРШЕН</v>
      </c>
      <c r="S432" s="1" t="str">
        <f>IFERROR(INDEX(_group_[],MATCH(ВСЕ_КОДЫ[[#This Row],[CONTEST_CODE]],_group_[CONTEST_CODE],0),MATCH($S$1,_group_[#Headers],0)),"-")</f>
        <v>BANK</v>
      </c>
      <c r="T432" s="1" t="str">
        <f>IFERROR(INDEX(_INDICATOR_[],MATCH(ВСЕ_КОДЫ[[#This Row],[CONTEST_CODE]],_INDICATOR_[CONTEST_CODE],0),MATCH($T$1,_INDICATOR_[#Headers],0)),"-")</f>
        <v>WAIT</v>
      </c>
      <c r="U432" s="1" t="str">
        <f>IFERROR(INDEX(_reward_link_[],MATCH(ВСЕ_КОДЫ[[#This Row],[CONTEST_CODE]],_reward_link_[CONTEST_CODE],0),MATCH($U$1,_reward_link_[#Headers],0)),"-")</f>
        <v>TB</v>
      </c>
      <c r="V432" s="1" t="str">
        <f>IFERROR(INDEX(_report[],MATCH(ВСЕ_КОДЫ[[#This Row],[CONTEST_CODE]],_report[CONTEST_CODE],0),MATCH($V$1,_report[#Headers],0)),"-")</f>
        <v>-</v>
      </c>
      <c r="W432" s="1" t="str">
        <f>IFERROR(INDEX(_reward_[],MATCH(ВСЕ_КОДЫ[[#This Row],[REWARD_CODE]],_reward_[REWARD_CODE],0),MATCH($W$1,_reward_[#Headers],0)),"-")</f>
        <v>Чемпион страны по продаже образовательных услуг</v>
      </c>
      <c r="X432" s="1" t="str">
        <f>IFERROR(INDEX(_group_[],MATCH(CONCATENATE(ВСЕ_КОДЫ[[#This Row],[CONTEST_CODE]],"_",X$2),#REF!,0),MATCH(X$1,_group_[#Headers],0)),"-")</f>
        <v>-</v>
      </c>
      <c r="Y432" s="1" t="str">
        <f>IFERROR(INDEX(_group_[],MATCH(CONCATENATE(ВСЕ_КОДЫ[[#This Row],[CONTEST_CODE]],"_",Y$2),#REF!,0),MATCH(Y$1,_group_[#Headers],0)),"-")</f>
        <v>-</v>
      </c>
      <c r="Z432" s="1" t="str">
        <f>IFERROR(INDEX(_group_[],MATCH(CONCATENATE(ВСЕ_КОДЫ[[#This Row],[CONTEST_CODE]],"_",Z$2),#REF!,0),MATCH(Z$1,_group_[#Headers],0)),"-")</f>
        <v>-</v>
      </c>
      <c r="AA432" s="1" t="str">
        <f>IFERROR(INDEX(_group_[],MATCH(CONCATENATE(ВСЕ_КОДЫ[[#This Row],[CONTEST_CODE]],"_",AA$2),#REF!,0),MATCH(AA$1,_group_[#Headers],0)),"-")</f>
        <v>-</v>
      </c>
      <c r="AB432" s="1" t="str">
        <f>IFERROR(INDEX(_DATA_[],MATCH(ВСЕ_КОДЫ[[#This Row],[CONTEST_CODE]],_DATA_[CONTEST_CODE],0),MATCH($AB$2,_DATA_[#Headers],0)),"-")</f>
        <v>["""MNS"""]</v>
      </c>
      <c r="AC432" s="1" t="str">
        <f>CONCATENATE(ВСЕ_КОДЫ[[#This Row],[CONTEST_CODE]],"_",ВСЕ_КОДЫ[[#This Row],[TOURNAMENT_CODE]])</f>
        <v>CONTEST_m_04_TOURNAMENT_m_04_2024_Q04</v>
      </c>
      <c r="AD432" s="1" t="str">
        <f>ВСЕ_КОДЫ[[#This Row],[FULL_NAME]]</f>
        <v>Лидер по продаже образовательных услуг</v>
      </c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idden="1" x14ac:dyDescent="0.25">
      <c r="A433" s="1" t="s">
        <v>1359</v>
      </c>
      <c r="B433" s="1" t="s">
        <v>1826</v>
      </c>
      <c r="C433" s="1" t="s">
        <v>1360</v>
      </c>
      <c r="D433" s="1" t="s">
        <v>586</v>
      </c>
      <c r="E433" s="1" t="s">
        <v>1421</v>
      </c>
      <c r="F433" s="1" t="s">
        <v>26</v>
      </c>
      <c r="G433" s="1" t="s">
        <v>27</v>
      </c>
      <c r="H433" s="1" t="s">
        <v>34</v>
      </c>
      <c r="I433" s="1" t="s">
        <v>50</v>
      </c>
      <c r="J433" s="1" t="s">
        <v>1308</v>
      </c>
      <c r="K433" s="1" t="s">
        <v>642</v>
      </c>
      <c r="L433" s="1" t="s">
        <v>3217</v>
      </c>
      <c r="M433" s="1" t="s">
        <v>176</v>
      </c>
      <c r="N433" s="1" t="s">
        <v>305</v>
      </c>
      <c r="O433" s="1" t="s">
        <v>1454</v>
      </c>
      <c r="P433" s="1"/>
      <c r="Q433" s="1">
        <f>IFERROR(COUNTIFS(_report[TOURNAMENT_CODE],ВСЕ_КОДЫ[[#This Row],[TOURNAMENT_CODE]],_report[CONTEST_CODE],ВСЕ_КОДЫ[[#This Row],[CONTEST_CODE]]),"-")</f>
        <v>0</v>
      </c>
      <c r="R433" s="1" t="str">
        <f>IFERROR(INDEX(_SCHEDULE_[],MATCH(ВСЕ_КОДЫ[[#This Row],[CONTEST_CODE]],_SCHEDULE_[CONTEST_CODE],0),MATCH($R$1,_SCHEDULE_[#Headers],0)),"-")</f>
        <v>ЗАВЕРШЕН</v>
      </c>
      <c r="S433" s="1" t="str">
        <f>IFERROR(INDEX(_group_[],MATCH(ВСЕ_КОДЫ[[#This Row],[CONTEST_CODE]],_group_[CONTEST_CODE],0),MATCH($S$1,_group_[#Headers],0)),"-")</f>
        <v>BANK</v>
      </c>
      <c r="T433" s="1" t="str">
        <f>IFERROR(INDEX(_INDICATOR_[],MATCH(ВСЕ_КОДЫ[[#This Row],[CONTEST_CODE]],_INDICATOR_[CONTEST_CODE],0),MATCH($T$1,_INDICATOR_[#Headers],0)),"-")</f>
        <v>WAIT</v>
      </c>
      <c r="U433" s="1" t="str">
        <f>IFERROR(INDEX(_reward_link_[],MATCH(ВСЕ_КОДЫ[[#This Row],[CONTEST_CODE]],_reward_link_[CONTEST_CODE],0),MATCH($U$1,_reward_link_[#Headers],0)),"-")</f>
        <v>TB</v>
      </c>
      <c r="V433" s="1" t="str">
        <f>IFERROR(INDEX(_report[],MATCH(ВСЕ_КОДЫ[[#This Row],[CONTEST_CODE]],_report[CONTEST_CODE],0),MATCH($V$1,_report[#Headers],0)),"-")</f>
        <v>-</v>
      </c>
      <c r="W433" s="1" t="str">
        <f>IFERROR(INDEX(_reward_[],MATCH(ВСЕ_КОДЫ[[#This Row],[REWARD_CODE]],_reward_[REWARD_CODE],0),MATCH($W$1,_reward_[#Headers],0)),"-")</f>
        <v>Победитель ТБ по продаже образовательных услуг</v>
      </c>
      <c r="X433" s="1" t="str">
        <f>IFERROR(INDEX(_group_[],MATCH(CONCATENATE(ВСЕ_КОДЫ[[#This Row],[CONTEST_CODE]],"_",X$2),#REF!,0),MATCH(X$1,_group_[#Headers],0)),"-")</f>
        <v>-</v>
      </c>
      <c r="Y433" s="1" t="str">
        <f>IFERROR(INDEX(_group_[],MATCH(CONCATENATE(ВСЕ_КОДЫ[[#This Row],[CONTEST_CODE]],"_",Y$2),#REF!,0),MATCH(Y$1,_group_[#Headers],0)),"-")</f>
        <v>-</v>
      </c>
      <c r="Z433" s="1" t="str">
        <f>IFERROR(INDEX(_group_[],MATCH(CONCATENATE(ВСЕ_КОДЫ[[#This Row],[CONTEST_CODE]],"_",Z$2),#REF!,0),MATCH(Z$1,_group_[#Headers],0)),"-")</f>
        <v>-</v>
      </c>
      <c r="AA433" s="1" t="str">
        <f>IFERROR(INDEX(_group_[],MATCH(CONCATENATE(ВСЕ_КОДЫ[[#This Row],[CONTEST_CODE]],"_",AA$2),#REF!,0),MATCH(AA$1,_group_[#Headers],0)),"-")</f>
        <v>-</v>
      </c>
      <c r="AB433" s="1" t="str">
        <f>IFERROR(INDEX(_DATA_[],MATCH(ВСЕ_КОДЫ[[#This Row],[CONTEST_CODE]],_DATA_[CONTEST_CODE],0),MATCH($AB$2,_DATA_[#Headers],0)),"-")</f>
        <v>["""MNS"""]</v>
      </c>
      <c r="AC433" s="1" t="str">
        <f>CONCATENATE(ВСЕ_КОДЫ[[#This Row],[CONTEST_CODE]],"_",ВСЕ_КОДЫ[[#This Row],[TOURNAMENT_CODE]])</f>
        <v>CONTEST_m_04_TOURNAMENT_m_04_2024_Q04</v>
      </c>
      <c r="AD433" s="1" t="str">
        <f>ВСЕ_КОДЫ[[#This Row],[FULL_NAME]]</f>
        <v>Лидер по продаже образовательных услуг</v>
      </c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idden="1" x14ac:dyDescent="0.25">
      <c r="A434" s="1" t="s">
        <v>1366</v>
      </c>
      <c r="B434" s="1" t="s">
        <v>1828</v>
      </c>
      <c r="C434" s="1" t="s">
        <v>1370</v>
      </c>
      <c r="D434" s="1" t="s">
        <v>583</v>
      </c>
      <c r="E434" s="1" t="s">
        <v>1423</v>
      </c>
      <c r="F434" s="1" t="s">
        <v>26</v>
      </c>
      <c r="G434" s="1" t="s">
        <v>27</v>
      </c>
      <c r="H434" s="1" t="s">
        <v>34</v>
      </c>
      <c r="I434" s="1" t="s">
        <v>50</v>
      </c>
      <c r="J434" s="1" t="s">
        <v>1308</v>
      </c>
      <c r="K434" s="1" t="s">
        <v>642</v>
      </c>
      <c r="L434" s="1" t="s">
        <v>3217</v>
      </c>
      <c r="M434" s="1" t="s">
        <v>176</v>
      </c>
      <c r="N434" s="1" t="s">
        <v>305</v>
      </c>
      <c r="O434" s="1" t="s">
        <v>1460</v>
      </c>
      <c r="P434" s="1"/>
      <c r="Q434" s="1">
        <f>IFERROR(COUNTIFS(_report[TOURNAMENT_CODE],ВСЕ_КОДЫ[[#This Row],[TOURNAMENT_CODE]],_report[CONTEST_CODE],ВСЕ_КОДЫ[[#This Row],[CONTEST_CODE]]),"-")</f>
        <v>0</v>
      </c>
      <c r="R434" s="1" t="str">
        <f>IFERROR(INDEX(_SCHEDULE_[],MATCH(ВСЕ_КОДЫ[[#This Row],[CONTEST_CODE]],_SCHEDULE_[CONTEST_CODE],0),MATCH($R$1,_SCHEDULE_[#Headers],0)),"-")</f>
        <v>ЗАВЕРШЕН</v>
      </c>
      <c r="S434" s="1" t="str">
        <f>IFERROR(INDEX(_group_[],MATCH(ВСЕ_КОДЫ[[#This Row],[CONTEST_CODE]],_group_[CONTEST_CODE],0),MATCH($S$1,_group_[#Headers],0)),"-")</f>
        <v>BANK</v>
      </c>
      <c r="T434" s="1" t="str">
        <f>IFERROR(INDEX(_INDICATOR_[],MATCH(ВСЕ_КОДЫ[[#This Row],[CONTEST_CODE]],_INDICATOR_[CONTEST_CODE],0),MATCH($T$1,_INDICATOR_[#Headers],0)),"-")</f>
        <v>WAIT</v>
      </c>
      <c r="U434" s="1" t="str">
        <f>IFERROR(INDEX(_reward_link_[],MATCH(ВСЕ_КОДЫ[[#This Row],[CONTEST_CODE]],_reward_link_[CONTEST_CODE],0),MATCH($U$1,_reward_link_[#Headers],0)),"-")</f>
        <v>TB</v>
      </c>
      <c r="V434" s="1" t="str">
        <f>IFERROR(INDEX(_report[],MATCH(ВСЕ_КОДЫ[[#This Row],[CONTEST_CODE]],_report[CONTEST_CODE],0),MATCH($V$1,_report[#Headers],0)),"-")</f>
        <v>-</v>
      </c>
      <c r="W434" s="1" t="str">
        <f>IFERROR(INDEX(_reward_[],MATCH(ВСЕ_КОДЫ[[#This Row],[REWARD_CODE]],_reward_[REWARD_CODE],0),MATCH($W$1,_reward_[#Headers],0)),"-")</f>
        <v>Чемпион страны по продажам RAIT-продуктов</v>
      </c>
      <c r="X434" s="1" t="str">
        <f>IFERROR(INDEX(_group_[],MATCH(CONCATENATE(ВСЕ_КОДЫ[[#This Row],[CONTEST_CODE]],"_",X$2),#REF!,0),MATCH(X$1,_group_[#Headers],0)),"-")</f>
        <v>-</v>
      </c>
      <c r="Y434" s="1" t="str">
        <f>IFERROR(INDEX(_group_[],MATCH(CONCATENATE(ВСЕ_КОДЫ[[#This Row],[CONTEST_CODE]],"_",Y$2),#REF!,0),MATCH(Y$1,_group_[#Headers],0)),"-")</f>
        <v>-</v>
      </c>
      <c r="Z434" s="1" t="str">
        <f>IFERROR(INDEX(_group_[],MATCH(CONCATENATE(ВСЕ_КОДЫ[[#This Row],[CONTEST_CODE]],"_",Z$2),#REF!,0),MATCH(Z$1,_group_[#Headers],0)),"-")</f>
        <v>-</v>
      </c>
      <c r="AA434" s="1" t="str">
        <f>IFERROR(INDEX(_group_[],MATCH(CONCATENATE(ВСЕ_КОДЫ[[#This Row],[CONTEST_CODE]],"_",AA$2),#REF!,0),MATCH(AA$1,_group_[#Headers],0)),"-")</f>
        <v>-</v>
      </c>
      <c r="AB434" s="1" t="str">
        <f>IFERROR(INDEX(_DATA_[],MATCH(ВСЕ_КОДЫ[[#This Row],[CONTEST_CODE]],_DATA_[CONTEST_CODE],0),MATCH($AB$2,_DATA_[#Headers],0)),"-")</f>
        <v>["""MNS"""]</v>
      </c>
      <c r="AC434" s="1" t="str">
        <f>CONCATENATE(ВСЕ_КОДЫ[[#This Row],[CONTEST_CODE]],"_",ВСЕ_КОДЫ[[#This Row],[TOURNAMENT_CODE]])</f>
        <v>CONTEST_m_05_TOURNAMENT_m_05_2024_Q04</v>
      </c>
      <c r="AD434" s="1" t="str">
        <f>ВСЕ_КОДЫ[[#This Row],[FULL_NAME]]</f>
        <v>Лидер по продажам RAIT-продуктов</v>
      </c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idden="1" x14ac:dyDescent="0.25">
      <c r="A435" s="1" t="s">
        <v>1366</v>
      </c>
      <c r="B435" s="1" t="s">
        <v>1828</v>
      </c>
      <c r="C435" s="1" t="s">
        <v>1367</v>
      </c>
      <c r="D435" s="1" t="s">
        <v>586</v>
      </c>
      <c r="E435" s="1" t="s">
        <v>1423</v>
      </c>
      <c r="F435" s="1" t="s">
        <v>26</v>
      </c>
      <c r="G435" s="1" t="s">
        <v>27</v>
      </c>
      <c r="H435" s="1" t="s">
        <v>34</v>
      </c>
      <c r="I435" s="1" t="s">
        <v>50</v>
      </c>
      <c r="J435" s="1" t="s">
        <v>1308</v>
      </c>
      <c r="K435" s="1" t="s">
        <v>642</v>
      </c>
      <c r="L435" s="1" t="s">
        <v>3217</v>
      </c>
      <c r="M435" s="1" t="s">
        <v>176</v>
      </c>
      <c r="N435" s="1" t="s">
        <v>305</v>
      </c>
      <c r="O435" s="1" t="s">
        <v>1458</v>
      </c>
      <c r="P435" s="1"/>
      <c r="Q435" s="1">
        <f>IFERROR(COUNTIFS(_report[TOURNAMENT_CODE],ВСЕ_КОДЫ[[#This Row],[TOURNAMENT_CODE]],_report[CONTEST_CODE],ВСЕ_КОДЫ[[#This Row],[CONTEST_CODE]]),"-")</f>
        <v>0</v>
      </c>
      <c r="R435" s="1" t="str">
        <f>IFERROR(INDEX(_SCHEDULE_[],MATCH(ВСЕ_КОДЫ[[#This Row],[CONTEST_CODE]],_SCHEDULE_[CONTEST_CODE],0),MATCH($R$1,_SCHEDULE_[#Headers],0)),"-")</f>
        <v>ЗАВЕРШЕН</v>
      </c>
      <c r="S435" s="1" t="str">
        <f>IFERROR(INDEX(_group_[],MATCH(ВСЕ_КОДЫ[[#This Row],[CONTEST_CODE]],_group_[CONTEST_CODE],0),MATCH($S$1,_group_[#Headers],0)),"-")</f>
        <v>BANK</v>
      </c>
      <c r="T435" s="1" t="str">
        <f>IFERROR(INDEX(_INDICATOR_[],MATCH(ВСЕ_КОДЫ[[#This Row],[CONTEST_CODE]],_INDICATOR_[CONTEST_CODE],0),MATCH($T$1,_INDICATOR_[#Headers],0)),"-")</f>
        <v>WAIT</v>
      </c>
      <c r="U435" s="1" t="str">
        <f>IFERROR(INDEX(_reward_link_[],MATCH(ВСЕ_КОДЫ[[#This Row],[CONTEST_CODE]],_reward_link_[CONTEST_CODE],0),MATCH($U$1,_reward_link_[#Headers],0)),"-")</f>
        <v>TB</v>
      </c>
      <c r="V435" s="1" t="str">
        <f>IFERROR(INDEX(_report[],MATCH(ВСЕ_КОДЫ[[#This Row],[CONTEST_CODE]],_report[CONTEST_CODE],0),MATCH($V$1,_report[#Headers],0)),"-")</f>
        <v>-</v>
      </c>
      <c r="W435" s="1" t="str">
        <f>IFERROR(INDEX(_reward_[],MATCH(ВСЕ_КОДЫ[[#This Row],[REWARD_CODE]],_reward_[REWARD_CODE],0),MATCH($W$1,_reward_[#Headers],0)),"-")</f>
        <v>Победитель ТБ по продажам RAIT-продуктов</v>
      </c>
      <c r="X435" s="1" t="str">
        <f>IFERROR(INDEX(_group_[],MATCH(CONCATENATE(ВСЕ_КОДЫ[[#This Row],[CONTEST_CODE]],"_",X$2),#REF!,0),MATCH(X$1,_group_[#Headers],0)),"-")</f>
        <v>-</v>
      </c>
      <c r="Y435" s="1" t="str">
        <f>IFERROR(INDEX(_group_[],MATCH(CONCATENATE(ВСЕ_КОДЫ[[#This Row],[CONTEST_CODE]],"_",Y$2),#REF!,0),MATCH(Y$1,_group_[#Headers],0)),"-")</f>
        <v>-</v>
      </c>
      <c r="Z435" s="1" t="str">
        <f>IFERROR(INDEX(_group_[],MATCH(CONCATENATE(ВСЕ_КОДЫ[[#This Row],[CONTEST_CODE]],"_",Z$2),#REF!,0),MATCH(Z$1,_group_[#Headers],0)),"-")</f>
        <v>-</v>
      </c>
      <c r="AA435" s="1" t="str">
        <f>IFERROR(INDEX(_group_[],MATCH(CONCATENATE(ВСЕ_КОДЫ[[#This Row],[CONTEST_CODE]],"_",AA$2),#REF!,0),MATCH(AA$1,_group_[#Headers],0)),"-")</f>
        <v>-</v>
      </c>
      <c r="AB435" s="1" t="str">
        <f>IFERROR(INDEX(_DATA_[],MATCH(ВСЕ_КОДЫ[[#This Row],[CONTEST_CODE]],_DATA_[CONTEST_CODE],0),MATCH($AB$2,_DATA_[#Headers],0)),"-")</f>
        <v>["""MNS"""]</v>
      </c>
      <c r="AC435" s="1" t="str">
        <f>CONCATENATE(ВСЕ_КОДЫ[[#This Row],[CONTEST_CODE]],"_",ВСЕ_КОДЫ[[#This Row],[TOURNAMENT_CODE]])</f>
        <v>CONTEST_m_05_TOURNAMENT_m_05_2024_Q04</v>
      </c>
      <c r="AD435" s="1" t="str">
        <f>ВСЕ_КОДЫ[[#This Row],[FULL_NAME]]</f>
        <v>Лидер по продажам RAIT-продуктов</v>
      </c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idden="1" x14ac:dyDescent="0.25">
      <c r="A436" s="1" t="s">
        <v>1373</v>
      </c>
      <c r="B436" s="1" t="s">
        <v>1830</v>
      </c>
      <c r="C436" s="1" t="s">
        <v>1377</v>
      </c>
      <c r="D436" s="1" t="s">
        <v>583</v>
      </c>
      <c r="E436" s="1" t="s">
        <v>1425</v>
      </c>
      <c r="F436" s="1" t="s">
        <v>26</v>
      </c>
      <c r="G436" s="1" t="s">
        <v>27</v>
      </c>
      <c r="H436" s="1" t="s">
        <v>34</v>
      </c>
      <c r="I436" s="1" t="s">
        <v>50</v>
      </c>
      <c r="J436" s="1" t="s">
        <v>1308</v>
      </c>
      <c r="K436" s="1" t="s">
        <v>642</v>
      </c>
      <c r="L436" s="1" t="s">
        <v>3217</v>
      </c>
      <c r="M436" s="1" t="s">
        <v>176</v>
      </c>
      <c r="N436" s="1" t="s">
        <v>305</v>
      </c>
      <c r="O436" s="1" t="s">
        <v>1464</v>
      </c>
      <c r="P436" s="1"/>
      <c r="Q436" s="1">
        <f>IFERROR(COUNTIFS(_report[TOURNAMENT_CODE],ВСЕ_КОДЫ[[#This Row],[TOURNAMENT_CODE]],_report[CONTEST_CODE],ВСЕ_КОДЫ[[#This Row],[CONTEST_CODE]]),"-")</f>
        <v>0</v>
      </c>
      <c r="R436" s="1" t="str">
        <f>IFERROR(INDEX(_SCHEDULE_[],MATCH(ВСЕ_КОДЫ[[#This Row],[CONTEST_CODE]],_SCHEDULE_[CONTEST_CODE],0),MATCH($R$1,_SCHEDULE_[#Headers],0)),"-")</f>
        <v>ЗАВЕРШЕН</v>
      </c>
      <c r="S436" s="1" t="str">
        <f>IFERROR(INDEX(_group_[],MATCH(ВСЕ_КОДЫ[[#This Row],[CONTEST_CODE]],_group_[CONTEST_CODE],0),MATCH($S$1,_group_[#Headers],0)),"-")</f>
        <v>BANK</v>
      </c>
      <c r="T436" s="1" t="str">
        <f>IFERROR(INDEX(_INDICATOR_[],MATCH(ВСЕ_КОДЫ[[#This Row],[CONTEST_CODE]],_INDICATOR_[CONTEST_CODE],0),MATCH($T$1,_INDICATOR_[#Headers],0)),"-")</f>
        <v>WAIT</v>
      </c>
      <c r="U436" s="1" t="str">
        <f>IFERROR(INDEX(_reward_link_[],MATCH(ВСЕ_КОДЫ[[#This Row],[CONTEST_CODE]],_reward_link_[CONTEST_CODE],0),MATCH($U$1,_reward_link_[#Headers],0)),"-")</f>
        <v>TB</v>
      </c>
      <c r="V436" s="1" t="str">
        <f>IFERROR(INDEX(_report[],MATCH(ВСЕ_КОДЫ[[#This Row],[CONTEST_CODE]],_report[CONTEST_CODE],0),MATCH($V$1,_report[#Headers],0)),"-")</f>
        <v>-</v>
      </c>
      <c r="W436" s="1" t="str">
        <f>IFERROR(INDEX(_reward_[],MATCH(ВСЕ_КОДЫ[[#This Row],[REWARD_CODE]],_reward_[REWARD_CODE],0),MATCH($W$1,_reward_[#Headers],0)),"-")</f>
        <v>Чемпион страны по продажам продуктов AI-native</v>
      </c>
      <c r="X436" s="1" t="str">
        <f>IFERROR(INDEX(_group_[],MATCH(CONCATENATE(ВСЕ_КОДЫ[[#This Row],[CONTEST_CODE]],"_",X$2),#REF!,0),MATCH(X$1,_group_[#Headers],0)),"-")</f>
        <v>-</v>
      </c>
      <c r="Y436" s="1" t="str">
        <f>IFERROR(INDEX(_group_[],MATCH(CONCATENATE(ВСЕ_КОДЫ[[#This Row],[CONTEST_CODE]],"_",Y$2),#REF!,0),MATCH(Y$1,_group_[#Headers],0)),"-")</f>
        <v>-</v>
      </c>
      <c r="Z436" s="1" t="str">
        <f>IFERROR(INDEX(_group_[],MATCH(CONCATENATE(ВСЕ_КОДЫ[[#This Row],[CONTEST_CODE]],"_",Z$2),#REF!,0),MATCH(Z$1,_group_[#Headers],0)),"-")</f>
        <v>-</v>
      </c>
      <c r="AA436" s="1" t="str">
        <f>IFERROR(INDEX(_group_[],MATCH(CONCATENATE(ВСЕ_КОДЫ[[#This Row],[CONTEST_CODE]],"_",AA$2),#REF!,0),MATCH(AA$1,_group_[#Headers],0)),"-")</f>
        <v>-</v>
      </c>
      <c r="AB436" s="1" t="str">
        <f>IFERROR(INDEX(_DATA_[],MATCH(ВСЕ_КОДЫ[[#This Row],[CONTEST_CODE]],_DATA_[CONTEST_CODE],0),MATCH($AB$2,_DATA_[#Headers],0)),"-")</f>
        <v>["""MNS"""]</v>
      </c>
      <c r="AC436" s="1" t="str">
        <f>CONCATENATE(ВСЕ_КОДЫ[[#This Row],[CONTEST_CODE]],"_",ВСЕ_КОДЫ[[#This Row],[TOURNAMENT_CODE]])</f>
        <v>CONTEST_m_06_TOURNAMENT_m_06_2024_Q04</v>
      </c>
      <c r="AD436" s="1" t="str">
        <f>ВСЕ_КОДЫ[[#This Row],[FULL_NAME]]</f>
        <v>Лидер по продажам продуктов AI-native</v>
      </c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idden="1" x14ac:dyDescent="0.25">
      <c r="A437" s="1" t="s">
        <v>1373</v>
      </c>
      <c r="B437" s="1" t="s">
        <v>1830</v>
      </c>
      <c r="C437" s="1" t="s">
        <v>1374</v>
      </c>
      <c r="D437" s="1" t="s">
        <v>586</v>
      </c>
      <c r="E437" s="1" t="s">
        <v>1425</v>
      </c>
      <c r="F437" s="1" t="s">
        <v>26</v>
      </c>
      <c r="G437" s="1" t="s">
        <v>27</v>
      </c>
      <c r="H437" s="1" t="s">
        <v>34</v>
      </c>
      <c r="I437" s="1" t="s">
        <v>50</v>
      </c>
      <c r="J437" s="1" t="s">
        <v>1308</v>
      </c>
      <c r="K437" s="1" t="s">
        <v>642</v>
      </c>
      <c r="L437" s="1" t="s">
        <v>3217</v>
      </c>
      <c r="M437" s="1" t="s">
        <v>176</v>
      </c>
      <c r="N437" s="1" t="s">
        <v>305</v>
      </c>
      <c r="O437" s="1" t="s">
        <v>1462</v>
      </c>
      <c r="P437" s="1"/>
      <c r="Q437" s="1">
        <f>IFERROR(COUNTIFS(_report[TOURNAMENT_CODE],ВСЕ_КОДЫ[[#This Row],[TOURNAMENT_CODE]],_report[CONTEST_CODE],ВСЕ_КОДЫ[[#This Row],[CONTEST_CODE]]),"-")</f>
        <v>0</v>
      </c>
      <c r="R437" s="1" t="str">
        <f>IFERROR(INDEX(_SCHEDULE_[],MATCH(ВСЕ_КОДЫ[[#This Row],[CONTEST_CODE]],_SCHEDULE_[CONTEST_CODE],0),MATCH($R$1,_SCHEDULE_[#Headers],0)),"-")</f>
        <v>ЗАВЕРШЕН</v>
      </c>
      <c r="S437" s="1" t="str">
        <f>IFERROR(INDEX(_group_[],MATCH(ВСЕ_КОДЫ[[#This Row],[CONTEST_CODE]],_group_[CONTEST_CODE],0),MATCH($S$1,_group_[#Headers],0)),"-")</f>
        <v>BANK</v>
      </c>
      <c r="T437" s="1" t="str">
        <f>IFERROR(INDEX(_INDICATOR_[],MATCH(ВСЕ_КОДЫ[[#This Row],[CONTEST_CODE]],_INDICATOR_[CONTEST_CODE],0),MATCH($T$1,_INDICATOR_[#Headers],0)),"-")</f>
        <v>WAIT</v>
      </c>
      <c r="U437" s="1" t="str">
        <f>IFERROR(INDEX(_reward_link_[],MATCH(ВСЕ_КОДЫ[[#This Row],[CONTEST_CODE]],_reward_link_[CONTEST_CODE],0),MATCH($U$1,_reward_link_[#Headers],0)),"-")</f>
        <v>TB</v>
      </c>
      <c r="V437" s="1" t="str">
        <f>IFERROR(INDEX(_report[],MATCH(ВСЕ_КОДЫ[[#This Row],[CONTEST_CODE]],_report[CONTEST_CODE],0),MATCH($V$1,_report[#Headers],0)),"-")</f>
        <v>-</v>
      </c>
      <c r="W437" s="1" t="str">
        <f>IFERROR(INDEX(_reward_[],MATCH(ВСЕ_КОДЫ[[#This Row],[REWARD_CODE]],_reward_[REWARD_CODE],0),MATCH($W$1,_reward_[#Headers],0)),"-")</f>
        <v>Победитель ТБ по продажам продуктов AI-native</v>
      </c>
      <c r="X437" s="1" t="str">
        <f>IFERROR(INDEX(_group_[],MATCH(CONCATENATE(ВСЕ_КОДЫ[[#This Row],[CONTEST_CODE]],"_",X$2),#REF!,0),MATCH(X$1,_group_[#Headers],0)),"-")</f>
        <v>-</v>
      </c>
      <c r="Y437" s="1" t="str">
        <f>IFERROR(INDEX(_group_[],MATCH(CONCATENATE(ВСЕ_КОДЫ[[#This Row],[CONTEST_CODE]],"_",Y$2),#REF!,0),MATCH(Y$1,_group_[#Headers],0)),"-")</f>
        <v>-</v>
      </c>
      <c r="Z437" s="1" t="str">
        <f>IFERROR(INDEX(_group_[],MATCH(CONCATENATE(ВСЕ_КОДЫ[[#This Row],[CONTEST_CODE]],"_",Z$2),#REF!,0),MATCH(Z$1,_group_[#Headers],0)),"-")</f>
        <v>-</v>
      </c>
      <c r="AA437" s="1" t="str">
        <f>IFERROR(INDEX(_group_[],MATCH(CONCATENATE(ВСЕ_КОДЫ[[#This Row],[CONTEST_CODE]],"_",AA$2),#REF!,0),MATCH(AA$1,_group_[#Headers],0)),"-")</f>
        <v>-</v>
      </c>
      <c r="AB437" s="1" t="str">
        <f>IFERROR(INDEX(_DATA_[],MATCH(ВСЕ_КОДЫ[[#This Row],[CONTEST_CODE]],_DATA_[CONTEST_CODE],0),MATCH($AB$2,_DATA_[#Headers],0)),"-")</f>
        <v>["""MNS"""]</v>
      </c>
      <c r="AC437" s="1" t="str">
        <f>CONCATENATE(ВСЕ_КОДЫ[[#This Row],[CONTEST_CODE]],"_",ВСЕ_КОДЫ[[#This Row],[TOURNAMENT_CODE]])</f>
        <v>CONTEST_m_06_TOURNAMENT_m_06_2024_Q04</v>
      </c>
      <c r="AD437" s="1" t="str">
        <f>ВСЕ_КОДЫ[[#This Row],[FULL_NAME]]</f>
        <v>Лидер по продажам продуктов AI-native</v>
      </c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idden="1" x14ac:dyDescent="0.25">
      <c r="A438" s="1" t="s">
        <v>1380</v>
      </c>
      <c r="B438" s="1" t="s">
        <v>1832</v>
      </c>
      <c r="C438" s="1" t="s">
        <v>1384</v>
      </c>
      <c r="D438" s="1" t="s">
        <v>583</v>
      </c>
      <c r="E438" s="1" t="s">
        <v>1427</v>
      </c>
      <c r="F438" s="1" t="s">
        <v>26</v>
      </c>
      <c r="G438" s="1" t="s">
        <v>27</v>
      </c>
      <c r="H438" s="1" t="s">
        <v>34</v>
      </c>
      <c r="I438" s="1" t="s">
        <v>50</v>
      </c>
      <c r="J438" s="1" t="s">
        <v>1308</v>
      </c>
      <c r="K438" s="1" t="s">
        <v>642</v>
      </c>
      <c r="L438" s="1" t="s">
        <v>3217</v>
      </c>
      <c r="M438" s="1" t="s">
        <v>176</v>
      </c>
      <c r="N438" s="1" t="s">
        <v>305</v>
      </c>
      <c r="O438" s="1" t="s">
        <v>1468</v>
      </c>
      <c r="P438" s="1"/>
      <c r="Q438" s="1">
        <f>IFERROR(COUNTIFS(_report[TOURNAMENT_CODE],ВСЕ_КОДЫ[[#This Row],[TOURNAMENT_CODE]],_report[CONTEST_CODE],ВСЕ_КОДЫ[[#This Row],[CONTEST_CODE]]),"-")</f>
        <v>0</v>
      </c>
      <c r="R438" s="1" t="str">
        <f>IFERROR(INDEX(_SCHEDULE_[],MATCH(ВСЕ_КОДЫ[[#This Row],[CONTEST_CODE]],_SCHEDULE_[CONTEST_CODE],0),MATCH($R$1,_SCHEDULE_[#Headers],0)),"-")</f>
        <v>ЗАВЕРШЕН</v>
      </c>
      <c r="S438" s="1" t="str">
        <f>IFERROR(INDEX(_group_[],MATCH(ВСЕ_КОДЫ[[#This Row],[CONTEST_CODE]],_group_[CONTEST_CODE],0),MATCH($S$1,_group_[#Headers],0)),"-")</f>
        <v>BANK</v>
      </c>
      <c r="T438" s="1" t="str">
        <f>IFERROR(INDEX(_INDICATOR_[],MATCH(ВСЕ_КОДЫ[[#This Row],[CONTEST_CODE]],_INDICATOR_[CONTEST_CODE],0),MATCH($T$1,_INDICATOR_[#Headers],0)),"-")</f>
        <v>WAIT</v>
      </c>
      <c r="U438" s="1" t="str">
        <f>IFERROR(INDEX(_reward_link_[],MATCH(ВСЕ_КОДЫ[[#This Row],[CONTEST_CODE]],_reward_link_[CONTEST_CODE],0),MATCH($U$1,_reward_link_[#Headers],0)),"-")</f>
        <v>TB</v>
      </c>
      <c r="V438" s="1" t="str">
        <f>IFERROR(INDEX(_report[],MATCH(ВСЕ_КОДЫ[[#This Row],[CONTEST_CODE]],_report[CONTEST_CODE],0),MATCH($V$1,_report[#Headers],0)),"-")</f>
        <v>-</v>
      </c>
      <c r="W438" s="1" t="str">
        <f>IFERROR(INDEX(_reward_[],MATCH(ВСЕ_КОДЫ[[#This Row],[REWARD_CODE]],_reward_[REWARD_CODE],0),MATCH($W$1,_reward_[#Headers],0)),"-")</f>
        <v>Чемпион страны по продажам продуктов AI-featured</v>
      </c>
      <c r="X438" s="1" t="str">
        <f>IFERROR(INDEX(_group_[],MATCH(CONCATENATE(ВСЕ_КОДЫ[[#This Row],[CONTEST_CODE]],"_",X$2),#REF!,0),MATCH(X$1,_group_[#Headers],0)),"-")</f>
        <v>-</v>
      </c>
      <c r="Y438" s="1" t="str">
        <f>IFERROR(INDEX(_group_[],MATCH(CONCATENATE(ВСЕ_КОДЫ[[#This Row],[CONTEST_CODE]],"_",Y$2),#REF!,0),MATCH(Y$1,_group_[#Headers],0)),"-")</f>
        <v>-</v>
      </c>
      <c r="Z438" s="1" t="str">
        <f>IFERROR(INDEX(_group_[],MATCH(CONCATENATE(ВСЕ_КОДЫ[[#This Row],[CONTEST_CODE]],"_",Z$2),#REF!,0),MATCH(Z$1,_group_[#Headers],0)),"-")</f>
        <v>-</v>
      </c>
      <c r="AA438" s="1" t="str">
        <f>IFERROR(INDEX(_group_[],MATCH(CONCATENATE(ВСЕ_КОДЫ[[#This Row],[CONTEST_CODE]],"_",AA$2),#REF!,0),MATCH(AA$1,_group_[#Headers],0)),"-")</f>
        <v>-</v>
      </c>
      <c r="AB438" s="1" t="str">
        <f>IFERROR(INDEX(_DATA_[],MATCH(ВСЕ_КОДЫ[[#This Row],[CONTEST_CODE]],_DATA_[CONTEST_CODE],0),MATCH($AB$2,_DATA_[#Headers],0)),"-")</f>
        <v>["""MNS"""]</v>
      </c>
      <c r="AC438" s="1" t="str">
        <f>CONCATENATE(ВСЕ_КОДЫ[[#This Row],[CONTEST_CODE]],"_",ВСЕ_КОДЫ[[#This Row],[TOURNAMENT_CODE]])</f>
        <v>CONTEST_m_07_TOURNAMENT_m_07_2024_Q04</v>
      </c>
      <c r="AD438" s="1" t="str">
        <f>ВСЕ_КОДЫ[[#This Row],[FULL_NAME]]</f>
        <v>Лидер по продажам продуктов AI-featured</v>
      </c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idden="1" x14ac:dyDescent="0.25">
      <c r="A439" s="1" t="s">
        <v>1380</v>
      </c>
      <c r="B439" s="1" t="s">
        <v>1832</v>
      </c>
      <c r="C439" s="1" t="s">
        <v>1381</v>
      </c>
      <c r="D439" s="1" t="s">
        <v>586</v>
      </c>
      <c r="E439" s="1" t="s">
        <v>1427</v>
      </c>
      <c r="F439" s="1" t="s">
        <v>26</v>
      </c>
      <c r="G439" s="1" t="s">
        <v>27</v>
      </c>
      <c r="H439" s="1" t="s">
        <v>34</v>
      </c>
      <c r="I439" s="1" t="s">
        <v>50</v>
      </c>
      <c r="J439" s="1" t="s">
        <v>1308</v>
      </c>
      <c r="K439" s="1" t="s">
        <v>642</v>
      </c>
      <c r="L439" s="1" t="s">
        <v>3217</v>
      </c>
      <c r="M439" s="1" t="s">
        <v>176</v>
      </c>
      <c r="N439" s="1" t="s">
        <v>305</v>
      </c>
      <c r="O439" s="1" t="s">
        <v>1466</v>
      </c>
      <c r="P439" s="1"/>
      <c r="Q439" s="1">
        <f>IFERROR(COUNTIFS(_report[TOURNAMENT_CODE],ВСЕ_КОДЫ[[#This Row],[TOURNAMENT_CODE]],_report[CONTEST_CODE],ВСЕ_КОДЫ[[#This Row],[CONTEST_CODE]]),"-")</f>
        <v>0</v>
      </c>
      <c r="R439" s="1" t="str">
        <f>IFERROR(INDEX(_SCHEDULE_[],MATCH(ВСЕ_КОДЫ[[#This Row],[CONTEST_CODE]],_SCHEDULE_[CONTEST_CODE],0),MATCH($R$1,_SCHEDULE_[#Headers],0)),"-")</f>
        <v>ЗАВЕРШЕН</v>
      </c>
      <c r="S439" s="1" t="str">
        <f>IFERROR(INDEX(_group_[],MATCH(ВСЕ_КОДЫ[[#This Row],[CONTEST_CODE]],_group_[CONTEST_CODE],0),MATCH($S$1,_group_[#Headers],0)),"-")</f>
        <v>BANK</v>
      </c>
      <c r="T439" s="1" t="str">
        <f>IFERROR(INDEX(_INDICATOR_[],MATCH(ВСЕ_КОДЫ[[#This Row],[CONTEST_CODE]],_INDICATOR_[CONTEST_CODE],0),MATCH($T$1,_INDICATOR_[#Headers],0)),"-")</f>
        <v>WAIT</v>
      </c>
      <c r="U439" s="1" t="str">
        <f>IFERROR(INDEX(_reward_link_[],MATCH(ВСЕ_КОДЫ[[#This Row],[CONTEST_CODE]],_reward_link_[CONTEST_CODE],0),MATCH($U$1,_reward_link_[#Headers],0)),"-")</f>
        <v>TB</v>
      </c>
      <c r="V439" s="1" t="str">
        <f>IFERROR(INDEX(_report[],MATCH(ВСЕ_КОДЫ[[#This Row],[CONTEST_CODE]],_report[CONTEST_CODE],0),MATCH($V$1,_report[#Headers],0)),"-")</f>
        <v>-</v>
      </c>
      <c r="W439" s="1" t="str">
        <f>IFERROR(INDEX(_reward_[],MATCH(ВСЕ_КОДЫ[[#This Row],[REWARD_CODE]],_reward_[REWARD_CODE],0),MATCH($W$1,_reward_[#Headers],0)),"-")</f>
        <v>Победитель ТБ по продажам продуктов AI-featured</v>
      </c>
      <c r="X439" s="1" t="str">
        <f>IFERROR(INDEX(_group_[],MATCH(CONCATENATE(ВСЕ_КОДЫ[[#This Row],[CONTEST_CODE]],"_",X$2),#REF!,0),MATCH(X$1,_group_[#Headers],0)),"-")</f>
        <v>-</v>
      </c>
      <c r="Y439" s="1" t="str">
        <f>IFERROR(INDEX(_group_[],MATCH(CONCATENATE(ВСЕ_КОДЫ[[#This Row],[CONTEST_CODE]],"_",Y$2),#REF!,0),MATCH(Y$1,_group_[#Headers],0)),"-")</f>
        <v>-</v>
      </c>
      <c r="Z439" s="1" t="str">
        <f>IFERROR(INDEX(_group_[],MATCH(CONCATENATE(ВСЕ_КОДЫ[[#This Row],[CONTEST_CODE]],"_",Z$2),#REF!,0),MATCH(Z$1,_group_[#Headers],0)),"-")</f>
        <v>-</v>
      </c>
      <c r="AA439" s="1" t="str">
        <f>IFERROR(INDEX(_group_[],MATCH(CONCATENATE(ВСЕ_КОДЫ[[#This Row],[CONTEST_CODE]],"_",AA$2),#REF!,0),MATCH(AA$1,_group_[#Headers],0)),"-")</f>
        <v>-</v>
      </c>
      <c r="AB439" s="1" t="str">
        <f>IFERROR(INDEX(_DATA_[],MATCH(ВСЕ_КОДЫ[[#This Row],[CONTEST_CODE]],_DATA_[CONTEST_CODE],0),MATCH($AB$2,_DATA_[#Headers],0)),"-")</f>
        <v>["""MNS"""]</v>
      </c>
      <c r="AC439" s="1" t="str">
        <f>CONCATENATE(ВСЕ_КОДЫ[[#This Row],[CONTEST_CODE]],"_",ВСЕ_КОДЫ[[#This Row],[TOURNAMENT_CODE]])</f>
        <v>CONTEST_m_07_TOURNAMENT_m_07_2024_Q04</v>
      </c>
      <c r="AD439" s="1" t="str">
        <f>ВСЕ_КОДЫ[[#This Row],[FULL_NAME]]</f>
        <v>Лидер по продажам продуктов AI-featured</v>
      </c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idden="1" x14ac:dyDescent="0.25">
      <c r="A440" s="1" t="s">
        <v>1675</v>
      </c>
      <c r="B440" s="1" t="s">
        <v>1822</v>
      </c>
      <c r="C440" s="1" t="s">
        <v>1687</v>
      </c>
      <c r="D440" s="1" t="s">
        <v>583</v>
      </c>
      <c r="E440" s="1" t="s">
        <v>1435</v>
      </c>
      <c r="F440" s="1" t="s">
        <v>26</v>
      </c>
      <c r="G440" s="1" t="s">
        <v>27</v>
      </c>
      <c r="H440" s="1" t="s">
        <v>28</v>
      </c>
      <c r="I440" s="1" t="s">
        <v>29</v>
      </c>
      <c r="J440" s="1" t="s">
        <v>1308</v>
      </c>
      <c r="K440" s="1" t="s">
        <v>1800</v>
      </c>
      <c r="L440" s="1" t="s">
        <v>194</v>
      </c>
      <c r="M440" s="1" t="s">
        <v>184</v>
      </c>
      <c r="N440" s="1" t="s">
        <v>305</v>
      </c>
      <c r="O440" s="1" t="s">
        <v>1435</v>
      </c>
      <c r="P440" s="1"/>
      <c r="Q440" s="1">
        <f>IFERROR(COUNTIFS(_report[TOURNAMENT_CODE],ВСЕ_КОДЫ[[#This Row],[TOURNAMENT_CODE]],_report[CONTEST_CODE],ВСЕ_КОДЫ[[#This Row],[CONTEST_CODE]]),"-")</f>
        <v>0</v>
      </c>
      <c r="R440" s="1" t="str">
        <f>IFERROR(INDEX(_SCHEDULE_[],MATCH(ВСЕ_КОДЫ[[#This Row],[CONTEST_CODE]],_SCHEDULE_[CONTEST_CODE],0),MATCH($R$1,_SCHEDULE_[#Headers],0)),"-")</f>
        <v>ОТМЕНЕН</v>
      </c>
      <c r="S440" s="1" t="str">
        <f>IFERROR(INDEX(_group_[],MATCH(ВСЕ_КОДЫ[[#This Row],[CONTEST_CODE]],_group_[CONTEST_CODE],0),MATCH($S$1,_group_[#Headers],0)),"-")</f>
        <v>BANK</v>
      </c>
      <c r="T440" s="1" t="str">
        <f>IFERROR(INDEX(_INDICATOR_[],MATCH(ВСЕ_КОДЫ[[#This Row],[CONTEST_CODE]],_INDICATOR_[CONTEST_CODE],0),MATCH($T$1,_INDICATOR_[#Headers],0)),"-")</f>
        <v>WAIT</v>
      </c>
      <c r="U440" s="1" t="str">
        <f>IFERROR(INDEX(_reward_link_[],MATCH(ВСЕ_КОДЫ[[#This Row],[CONTEST_CODE]],_reward_link_[CONTEST_CODE],0),MATCH($U$1,_reward_link_[#Headers],0)),"-")</f>
        <v>BANK</v>
      </c>
      <c r="V440" s="1" t="str">
        <f>IFERROR(INDEX(_report[],MATCH(ВСЕ_КОДЫ[[#This Row],[CONTEST_CODE]],_report[CONTEST_CODE],0),MATCH($V$1,_report[#Headers],0)),"-")</f>
        <v>-</v>
      </c>
      <c r="W440" s="1" t="str">
        <f>IFERROR(INDEX(_reward_[],MATCH(ВСЕ_КОДЫ[[#This Row],[REWARD_CODE]],_reward_[REWARD_CODE],0),MATCH($W$1,_reward_[#Headers],0)),"-")</f>
        <v>Финалист конкурса лучший по профессии</v>
      </c>
      <c r="X440" s="1" t="str">
        <f>IFERROR(INDEX(_group_[],MATCH(CONCATENATE(ВСЕ_КОДЫ[[#This Row],[CONTEST_CODE]],"_",X$2),#REF!,0),MATCH(X$1,_group_[#Headers],0)),"-")</f>
        <v>-</v>
      </c>
      <c r="Y440" s="1" t="str">
        <f>IFERROR(INDEX(_group_[],MATCH(CONCATENATE(ВСЕ_КОДЫ[[#This Row],[CONTEST_CODE]],"_",Y$2),#REF!,0),MATCH(Y$1,_group_[#Headers],0)),"-")</f>
        <v>-</v>
      </c>
      <c r="Z440" s="1" t="str">
        <f>IFERROR(INDEX(_group_[],MATCH(CONCATENATE(ВСЕ_КОДЫ[[#This Row],[CONTEST_CODE]],"_",Z$2),#REF!,0),MATCH(Z$1,_group_[#Headers],0)),"-")</f>
        <v>-</v>
      </c>
      <c r="AA440" s="1" t="str">
        <f>IFERROR(INDEX(_group_[],MATCH(CONCATENATE(ВСЕ_КОДЫ[[#This Row],[CONTEST_CODE]],"_",AA$2),#REF!,0),MATCH(AA$1,_group_[#Headers],0)),"-")</f>
        <v>-</v>
      </c>
      <c r="AB440" s="1" t="str">
        <f>IFERROR(INDEX(_DATA_[],MATCH(ВСЕ_КОДЫ[[#This Row],[CONTEST_CODE]],_DATA_[CONTEST_CODE],0),MATCH($AB$2,_DATA_[#Headers],0)),"-")</f>
        <v>["""MNS"""]</v>
      </c>
      <c r="AC440" s="1" t="str">
        <f>CONCATENATE(ВСЕ_КОДЫ[[#This Row],[CONTEST_CODE]],"_",ВСЕ_КОДЫ[[#This Row],[TOURNAMENT_CODE]])</f>
        <v>CONTEST_m_08_TOURNAMENT_m_08_2024_Y01</v>
      </c>
      <c r="AD440" s="1" t="str">
        <f>ВСЕ_КОДЫ[[#This Row],[FULL_NAME]]</f>
        <v>Финалист конкурса лучший по профессии</v>
      </c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idden="1" x14ac:dyDescent="0.25">
      <c r="A441" s="1" t="s">
        <v>1054</v>
      </c>
      <c r="B441" s="1" t="s">
        <v>1079</v>
      </c>
      <c r="C441" s="1" t="s">
        <v>1047</v>
      </c>
      <c r="D441" s="1" t="s">
        <v>583</v>
      </c>
      <c r="E441" s="1" t="s">
        <v>1048</v>
      </c>
      <c r="F441" s="1" t="s">
        <v>26</v>
      </c>
      <c r="G441" s="1" t="s">
        <v>27</v>
      </c>
      <c r="H441" s="1" t="s">
        <v>34</v>
      </c>
      <c r="I441" s="1" t="s">
        <v>35</v>
      </c>
      <c r="J441" s="1" t="s">
        <v>192</v>
      </c>
      <c r="K441" s="1" t="s">
        <v>27</v>
      </c>
      <c r="L441" s="1" t="s">
        <v>194</v>
      </c>
      <c r="M441" s="1" t="s">
        <v>34</v>
      </c>
      <c r="N441" s="1" t="s">
        <v>305</v>
      </c>
      <c r="O441" s="1" t="s">
        <v>1048</v>
      </c>
      <c r="P441" s="1"/>
      <c r="Q441" s="1">
        <f>IFERROR(COUNTIFS(_report[TOURNAMENT_CODE],ВСЕ_КОДЫ[[#This Row],[TOURNAMENT_CODE]],_report[CONTEST_CODE],ВСЕ_КОДЫ[[#This Row],[CONTEST_CODE]]),"-")</f>
        <v>0</v>
      </c>
      <c r="R441" s="1" t="str">
        <f>IFERROR(INDEX(_SCHEDULE_[],MATCH(ВСЕ_КОДЫ[[#This Row],[CONTEST_CODE]],_SCHEDULE_[CONTEST_CODE],0),MATCH($R$1,_SCHEDULE_[#Headers],0)),"-")</f>
        <v>АКТИВНЫЙ</v>
      </c>
      <c r="S441" s="1" t="str">
        <f>IFERROR(INDEX(_group_[],MATCH(ВСЕ_КОДЫ[[#This Row],[CONTEST_CODE]],_group_[CONTEST_CODE],0),MATCH($S$1,_group_[#Headers],0)),"-")</f>
        <v>BANK</v>
      </c>
      <c r="T441" s="1" t="str">
        <f>IFERROR(INDEX(_INDICATOR_[],MATCH(ВСЕ_КОДЫ[[#This Row],[CONTEST_CODE]],_INDICATOR_[CONTEST_CODE],0),MATCH($T$1,_INDICATOR_[#Headers],0)),"-")</f>
        <v>WAIT</v>
      </c>
      <c r="U441" s="1" t="str">
        <f>IFERROR(INDEX(_reward_link_[],MATCH(ВСЕ_КОДЫ[[#This Row],[CONTEST_CODE]],_reward_link_[CONTEST_CODE],0),MATCH($U$1,_reward_link_[#Headers],0)),"-")</f>
        <v>BANK</v>
      </c>
      <c r="V441" s="1" t="str">
        <f>IFERROR(INDEX(_report[],MATCH(ВСЕ_КОДЫ[[#This Row],[CONTEST_CODE]],_report[CONTEST_CODE],0),MATCH($V$1,_report[#Headers],0)),"-")</f>
        <v>-</v>
      </c>
      <c r="W441" s="1" t="str">
        <f>IFERROR(INDEX(_reward_[],MATCH(ВСЕ_КОДЫ[[#This Row],[REWARD_CODE]],_reward_[REWARD_CODE],0),MATCH($W$1,_reward_[#Headers],0)),"-")</f>
        <v>1 инициатива</v>
      </c>
      <c r="X441" s="1" t="str">
        <f>IFERROR(INDEX(_group_[],MATCH(CONCATENATE(ВСЕ_КОДЫ[[#This Row],[CONTEST_CODE]],"_",X$2),#REF!,0),MATCH(X$1,_group_[#Headers],0)),"-")</f>
        <v>-</v>
      </c>
      <c r="Y441" s="1" t="str">
        <f>IFERROR(INDEX(_group_[],MATCH(CONCATENATE(ВСЕ_КОДЫ[[#This Row],[CONTEST_CODE]],"_",Y$2),#REF!,0),MATCH(Y$1,_group_[#Headers],0)),"-")</f>
        <v>-</v>
      </c>
      <c r="Z441" s="1" t="str">
        <f>IFERROR(INDEX(_group_[],MATCH(CONCATENATE(ВСЕ_КОДЫ[[#This Row],[CONTEST_CODE]],"_",Z$2),#REF!,0),MATCH(Z$1,_group_[#Headers],0)),"-")</f>
        <v>-</v>
      </c>
      <c r="AA441" s="1" t="str">
        <f>IFERROR(INDEX(_group_[],MATCH(CONCATENATE(ВСЕ_КОДЫ[[#This Row],[CONTEST_CODE]],"_",AA$2),#REF!,0),MATCH(AA$1,_group_[#Headers],0)),"-")</f>
        <v>-</v>
      </c>
      <c r="AB441" s="1" t="str">
        <f>IFERROR(INDEX(_DATA_[],MATCH(ВСЕ_КОДЫ[[#This Row],[CONTEST_CODE]],_DATA_[CONTEST_CODE],0),MATCH($AB$2,_DATA_[#Headers],0)),"-")</f>
        <v>["""SERVICEMEN"""]</v>
      </c>
      <c r="AC441" s="1" t="str">
        <f>CONCATENATE(ВСЕ_КОДЫ[[#This Row],[CONTEST_CODE]],"_",ВСЕ_КОДЫ[[#This Row],[TOURNAMENT_CODE]])</f>
        <v>CONTEST_s_01_01_TOURNAMENT_s_01_01</v>
      </c>
      <c r="AD441" s="1" t="str">
        <f>ВСЕ_КОДЫ[[#This Row],[FULL_NAME]]</f>
        <v>1 инициатива</v>
      </c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idden="1" x14ac:dyDescent="0.25">
      <c r="A442" s="1" t="s">
        <v>1056</v>
      </c>
      <c r="B442" s="1" t="s">
        <v>1080</v>
      </c>
      <c r="C442" s="1" t="s">
        <v>1049</v>
      </c>
      <c r="D442" s="1" t="s">
        <v>583</v>
      </c>
      <c r="E442" s="1" t="s">
        <v>1050</v>
      </c>
      <c r="F442" s="1" t="s">
        <v>26</v>
      </c>
      <c r="G442" s="1" t="s">
        <v>27</v>
      </c>
      <c r="H442" s="1" t="s">
        <v>34</v>
      </c>
      <c r="I442" s="1" t="s">
        <v>35</v>
      </c>
      <c r="J442" s="1" t="s">
        <v>192</v>
      </c>
      <c r="K442" s="1" t="s">
        <v>27</v>
      </c>
      <c r="L442" s="1" t="s">
        <v>194</v>
      </c>
      <c r="M442" s="1" t="s">
        <v>34</v>
      </c>
      <c r="N442" s="1" t="s">
        <v>305</v>
      </c>
      <c r="O442" s="1" t="s">
        <v>1050</v>
      </c>
      <c r="P442" s="1"/>
      <c r="Q442" s="1">
        <f>IFERROR(COUNTIFS(_report[TOURNAMENT_CODE],ВСЕ_КОДЫ[[#This Row],[TOURNAMENT_CODE]],_report[CONTEST_CODE],ВСЕ_КОДЫ[[#This Row],[CONTEST_CODE]]),"-")</f>
        <v>0</v>
      </c>
      <c r="R442" s="1" t="str">
        <f>IFERROR(INDEX(_SCHEDULE_[],MATCH(ВСЕ_КОДЫ[[#This Row],[CONTEST_CODE]],_SCHEDULE_[CONTEST_CODE],0),MATCH($R$1,_SCHEDULE_[#Headers],0)),"-")</f>
        <v>АКТИВНЫЙ</v>
      </c>
      <c r="S442" s="1" t="str">
        <f>IFERROR(INDEX(_group_[],MATCH(ВСЕ_КОДЫ[[#This Row],[CONTEST_CODE]],_group_[CONTEST_CODE],0),MATCH($S$1,_group_[#Headers],0)),"-")</f>
        <v>BANK</v>
      </c>
      <c r="T442" s="1" t="str">
        <f>IFERROR(INDEX(_INDICATOR_[],MATCH(ВСЕ_КОДЫ[[#This Row],[CONTEST_CODE]],_INDICATOR_[CONTEST_CODE],0),MATCH($T$1,_INDICATOR_[#Headers],0)),"-")</f>
        <v>WAIT</v>
      </c>
      <c r="U442" s="1" t="str">
        <f>IFERROR(INDEX(_reward_link_[],MATCH(ВСЕ_КОДЫ[[#This Row],[CONTEST_CODE]],_reward_link_[CONTEST_CODE],0),MATCH($U$1,_reward_link_[#Headers],0)),"-")</f>
        <v>BANK</v>
      </c>
      <c r="V442" s="1" t="str">
        <f>IFERROR(INDEX(_report[],MATCH(ВСЕ_КОДЫ[[#This Row],[CONTEST_CODE]],_report[CONTEST_CODE],0),MATCH($V$1,_report[#Headers],0)),"-")</f>
        <v>-</v>
      </c>
      <c r="W442" s="1" t="str">
        <f>IFERROR(INDEX(_reward_[],MATCH(ВСЕ_КОДЫ[[#This Row],[REWARD_CODE]],_reward_[REWARD_CODE],0),MATCH($W$1,_reward_[#Headers],0)),"-")</f>
        <v>3 инициативы</v>
      </c>
      <c r="X442" s="1" t="str">
        <f>IFERROR(INDEX(_group_[],MATCH(CONCATENATE(ВСЕ_КОДЫ[[#This Row],[CONTEST_CODE]],"_",X$2),#REF!,0),MATCH(X$1,_group_[#Headers],0)),"-")</f>
        <v>-</v>
      </c>
      <c r="Y442" s="1" t="str">
        <f>IFERROR(INDEX(_group_[],MATCH(CONCATENATE(ВСЕ_КОДЫ[[#This Row],[CONTEST_CODE]],"_",Y$2),#REF!,0),MATCH(Y$1,_group_[#Headers],0)),"-")</f>
        <v>-</v>
      </c>
      <c r="Z442" s="1" t="str">
        <f>IFERROR(INDEX(_group_[],MATCH(CONCATENATE(ВСЕ_КОДЫ[[#This Row],[CONTEST_CODE]],"_",Z$2),#REF!,0),MATCH(Z$1,_group_[#Headers],0)),"-")</f>
        <v>-</v>
      </c>
      <c r="AA442" s="1" t="str">
        <f>IFERROR(INDEX(_group_[],MATCH(CONCATENATE(ВСЕ_КОДЫ[[#This Row],[CONTEST_CODE]],"_",AA$2),#REF!,0),MATCH(AA$1,_group_[#Headers],0)),"-")</f>
        <v>-</v>
      </c>
      <c r="AB442" s="1" t="str">
        <f>IFERROR(INDEX(_DATA_[],MATCH(ВСЕ_КОДЫ[[#This Row],[CONTEST_CODE]],_DATA_[CONTEST_CODE],0),MATCH($AB$2,_DATA_[#Headers],0)),"-")</f>
        <v>["""SERVICEMEN"""]</v>
      </c>
      <c r="AC442" s="1" t="str">
        <f>CONCATENATE(ВСЕ_КОДЫ[[#This Row],[CONTEST_CODE]],"_",ВСЕ_КОДЫ[[#This Row],[TOURNAMENT_CODE]])</f>
        <v>CONTEST_s_01_02_TOURNAMENT_s_01_02</v>
      </c>
      <c r="AD442" s="1" t="str">
        <f>ВСЕ_КОДЫ[[#This Row],[FULL_NAME]]</f>
        <v>3 инициативы</v>
      </c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idden="1" x14ac:dyDescent="0.25">
      <c r="A443" s="1" t="s">
        <v>1057</v>
      </c>
      <c r="B443" s="1" t="s">
        <v>1081</v>
      </c>
      <c r="C443" s="1" t="s">
        <v>1051</v>
      </c>
      <c r="D443" s="1" t="s">
        <v>583</v>
      </c>
      <c r="E443" s="1" t="s">
        <v>1052</v>
      </c>
      <c r="F443" s="1" t="s">
        <v>26</v>
      </c>
      <c r="G443" s="1" t="s">
        <v>27</v>
      </c>
      <c r="H443" s="1" t="s">
        <v>34</v>
      </c>
      <c r="I443" s="1" t="s">
        <v>35</v>
      </c>
      <c r="J443" s="1" t="s">
        <v>192</v>
      </c>
      <c r="K443" s="1" t="s">
        <v>27</v>
      </c>
      <c r="L443" s="1" t="s">
        <v>194</v>
      </c>
      <c r="M443" s="1" t="s">
        <v>34</v>
      </c>
      <c r="N443" s="1" t="s">
        <v>305</v>
      </c>
      <c r="O443" s="1" t="s">
        <v>1052</v>
      </c>
      <c r="P443" s="1"/>
      <c r="Q443" s="1">
        <f>IFERROR(COUNTIFS(_report[TOURNAMENT_CODE],ВСЕ_КОДЫ[[#This Row],[TOURNAMENT_CODE]],_report[CONTEST_CODE],ВСЕ_КОДЫ[[#This Row],[CONTEST_CODE]]),"-")</f>
        <v>0</v>
      </c>
      <c r="R443" s="1" t="str">
        <f>IFERROR(INDEX(_SCHEDULE_[],MATCH(ВСЕ_КОДЫ[[#This Row],[CONTEST_CODE]],_SCHEDULE_[CONTEST_CODE],0),MATCH($R$1,_SCHEDULE_[#Headers],0)),"-")</f>
        <v>АКТИВНЫЙ</v>
      </c>
      <c r="S443" s="1" t="str">
        <f>IFERROR(INDEX(_group_[],MATCH(ВСЕ_КОДЫ[[#This Row],[CONTEST_CODE]],_group_[CONTEST_CODE],0),MATCH($S$1,_group_[#Headers],0)),"-")</f>
        <v>BANK</v>
      </c>
      <c r="T443" s="1" t="str">
        <f>IFERROR(INDEX(_INDICATOR_[],MATCH(ВСЕ_КОДЫ[[#This Row],[CONTEST_CODE]],_INDICATOR_[CONTEST_CODE],0),MATCH($T$1,_INDICATOR_[#Headers],0)),"-")</f>
        <v>WAIT</v>
      </c>
      <c r="U443" s="1" t="str">
        <f>IFERROR(INDEX(_reward_link_[],MATCH(ВСЕ_КОДЫ[[#This Row],[CONTEST_CODE]],_reward_link_[CONTEST_CODE],0),MATCH($U$1,_reward_link_[#Headers],0)),"-")</f>
        <v>BANK</v>
      </c>
      <c r="V443" s="1" t="str">
        <f>IFERROR(INDEX(_report[],MATCH(ВСЕ_КОДЫ[[#This Row],[CONTEST_CODE]],_report[CONTEST_CODE],0),MATCH($V$1,_report[#Headers],0)),"-")</f>
        <v>-</v>
      </c>
      <c r="W443" s="1" t="str">
        <f>IFERROR(INDEX(_reward_[],MATCH(ВСЕ_КОДЫ[[#This Row],[REWARD_CODE]],_reward_[REWARD_CODE],0),MATCH($W$1,_reward_[#Headers],0)),"-")</f>
        <v>5 инициатив</v>
      </c>
      <c r="X443" s="1" t="str">
        <f>IFERROR(INDEX(_group_[],MATCH(CONCATENATE(ВСЕ_КОДЫ[[#This Row],[CONTEST_CODE]],"_",X$2),#REF!,0),MATCH(X$1,_group_[#Headers],0)),"-")</f>
        <v>-</v>
      </c>
      <c r="Y443" s="1" t="str">
        <f>IFERROR(INDEX(_group_[],MATCH(CONCATENATE(ВСЕ_КОДЫ[[#This Row],[CONTEST_CODE]],"_",Y$2),#REF!,0),MATCH(Y$1,_group_[#Headers],0)),"-")</f>
        <v>-</v>
      </c>
      <c r="Z443" s="1" t="str">
        <f>IFERROR(INDEX(_group_[],MATCH(CONCATENATE(ВСЕ_КОДЫ[[#This Row],[CONTEST_CODE]],"_",Z$2),#REF!,0),MATCH(Z$1,_group_[#Headers],0)),"-")</f>
        <v>-</v>
      </c>
      <c r="AA443" s="1" t="str">
        <f>IFERROR(INDEX(_group_[],MATCH(CONCATENATE(ВСЕ_КОДЫ[[#This Row],[CONTEST_CODE]],"_",AA$2),#REF!,0),MATCH(AA$1,_group_[#Headers],0)),"-")</f>
        <v>-</v>
      </c>
      <c r="AB443" s="1" t="str">
        <f>IFERROR(INDEX(_DATA_[],MATCH(ВСЕ_КОДЫ[[#This Row],[CONTEST_CODE]],_DATA_[CONTEST_CODE],0),MATCH($AB$2,_DATA_[#Headers],0)),"-")</f>
        <v>["""SERVICEMEN"""]</v>
      </c>
      <c r="AC443" s="1" t="str">
        <f>CONCATENATE(ВСЕ_КОДЫ[[#This Row],[CONTEST_CODE]],"_",ВСЕ_КОДЫ[[#This Row],[TOURNAMENT_CODE]])</f>
        <v>CONTEST_s_01_03_TOURNAMENT_s_01_03</v>
      </c>
      <c r="AD443" s="1" t="str">
        <f>ВСЕ_КОДЫ[[#This Row],[FULL_NAME]]</f>
        <v>5 инициатив</v>
      </c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idden="1" x14ac:dyDescent="0.25">
      <c r="A444" s="1" t="s">
        <v>1387</v>
      </c>
      <c r="B444" s="1" t="s">
        <v>1722</v>
      </c>
      <c r="C444" s="1" t="s">
        <v>1388</v>
      </c>
      <c r="D444" s="1" t="s">
        <v>583</v>
      </c>
      <c r="E444" s="1" t="s">
        <v>1429</v>
      </c>
      <c r="F444" s="1" t="s">
        <v>26</v>
      </c>
      <c r="G444" s="1" t="s">
        <v>27</v>
      </c>
      <c r="H444" s="1" t="s">
        <v>34</v>
      </c>
      <c r="I444" s="1" t="s">
        <v>35</v>
      </c>
      <c r="J444" s="1" t="s">
        <v>1308</v>
      </c>
      <c r="K444" s="1" t="s">
        <v>642</v>
      </c>
      <c r="L444" s="1" t="s">
        <v>1987</v>
      </c>
      <c r="M444" s="1" t="s">
        <v>184</v>
      </c>
      <c r="N444" s="1" t="s">
        <v>305</v>
      </c>
      <c r="O444" s="1" t="s">
        <v>1429</v>
      </c>
      <c r="P444" s="1"/>
      <c r="Q444" s="1">
        <f>IFERROR(COUNTIFS(_report[TOURNAMENT_CODE],ВСЕ_КОДЫ[[#This Row],[TOURNAMENT_CODE]],_report[CONTEST_CODE],ВСЕ_КОДЫ[[#This Row],[CONTEST_CODE]]),"-")</f>
        <v>0</v>
      </c>
      <c r="R444" s="1" t="str">
        <f>IFERROR(INDEX(_SCHEDULE_[],MATCH(ВСЕ_КОДЫ[[#This Row],[CONTEST_CODE]],_SCHEDULE_[CONTEST_CODE],0),MATCH($R$1,_SCHEDULE_[#Headers],0)),"-")</f>
        <v>ОТМЕНЕН</v>
      </c>
      <c r="S444" s="1" t="str">
        <f>IFERROR(INDEX(_group_[],MATCH(ВСЕ_КОДЫ[[#This Row],[CONTEST_CODE]],_group_[CONTEST_CODE],0),MATCH($S$1,_group_[#Headers],0)),"-")</f>
        <v>BANK</v>
      </c>
      <c r="T444" s="1" t="str">
        <f>IFERROR(INDEX(_INDICATOR_[],MATCH(ВСЕ_КОДЫ[[#This Row],[CONTEST_CODE]],_INDICATOR_[CONTEST_CODE],0),MATCH($T$1,_INDICATOR_[#Headers],0)),"-")</f>
        <v>WAIT</v>
      </c>
      <c r="U444" s="1" t="str">
        <f>IFERROR(INDEX(_reward_link_[],MATCH(ВСЕ_КОДЫ[[#This Row],[CONTEST_CODE]],_reward_link_[CONTEST_CODE],0),MATCH($U$1,_reward_link_[#Headers],0)),"-")</f>
        <v>BANK</v>
      </c>
      <c r="V444" s="1" t="str">
        <f>IFERROR(INDEX(_report[],MATCH(ВСЕ_КОДЫ[[#This Row],[CONTEST_CODE]],_report[CONTEST_CODE],0),MATCH($V$1,_report[#Headers],0)),"-")</f>
        <v>-</v>
      </c>
      <c r="W444" s="1" t="str">
        <f>IFERROR(INDEX(_reward_[],MATCH(ВСЕ_КОДЫ[[#This Row],[REWARD_CODE]],_reward_[REWARD_CODE],0),MATCH($W$1,_reward_[#Headers],0)),"-")</f>
        <v xml:space="preserve">CSI на 100% </v>
      </c>
      <c r="X444" s="1" t="str">
        <f>IFERROR(INDEX(_group_[],MATCH(CONCATENATE(ВСЕ_КОДЫ[[#This Row],[CONTEST_CODE]],"_",X$2),#REF!,0),MATCH(X$1,_group_[#Headers],0)),"-")</f>
        <v>-</v>
      </c>
      <c r="Y444" s="1" t="str">
        <f>IFERROR(INDEX(_group_[],MATCH(CONCATENATE(ВСЕ_КОДЫ[[#This Row],[CONTEST_CODE]],"_",Y$2),#REF!,0),MATCH(Y$1,_group_[#Headers],0)),"-")</f>
        <v>-</v>
      </c>
      <c r="Z444" s="1" t="str">
        <f>IFERROR(INDEX(_group_[],MATCH(CONCATENATE(ВСЕ_КОДЫ[[#This Row],[CONTEST_CODE]],"_",Z$2),#REF!,0),MATCH(Z$1,_group_[#Headers],0)),"-")</f>
        <v>-</v>
      </c>
      <c r="AA444" s="1" t="str">
        <f>IFERROR(INDEX(_group_[],MATCH(CONCATENATE(ВСЕ_КОДЫ[[#This Row],[CONTEST_CODE]],"_",AA$2),#REF!,0),MATCH(AA$1,_group_[#Headers],0)),"-")</f>
        <v>-</v>
      </c>
      <c r="AB444" s="1" t="str">
        <f>IFERROR(INDEX(_DATA_[],MATCH(ВСЕ_КОДЫ[[#This Row],[CONTEST_CODE]],_DATA_[CONTEST_CODE],0),MATCH($AB$2,_DATA_[#Headers],0)),"-")</f>
        <v>["""SERVICEMEN"""]</v>
      </c>
      <c r="AC444" s="1" t="str">
        <f>CONCATENATE(ВСЕ_КОДЫ[[#This Row],[CONTEST_CODE]],"_",ВСЕ_КОДЫ[[#This Row],[TOURNAMENT_CODE]])</f>
        <v>CONTEST_s_03_TOURNAMENT_s_03_2024_Q04</v>
      </c>
      <c r="AD444" s="1" t="str">
        <f>ВСЕ_КОДЫ[[#This Row],[FULL_NAME]]</f>
        <v xml:space="preserve">CSI на 100% </v>
      </c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idden="1" x14ac:dyDescent="0.25">
      <c r="A445" s="1" t="s">
        <v>1391</v>
      </c>
      <c r="B445" s="1" t="s">
        <v>1724</v>
      </c>
      <c r="C445" s="1" t="s">
        <v>1392</v>
      </c>
      <c r="D445" s="1" t="s">
        <v>583</v>
      </c>
      <c r="E445" s="1" t="s">
        <v>1432</v>
      </c>
      <c r="F445" s="1" t="s">
        <v>26</v>
      </c>
      <c r="G445" s="1" t="s">
        <v>27</v>
      </c>
      <c r="H445" s="1" t="s">
        <v>34</v>
      </c>
      <c r="I445" s="1" t="s">
        <v>35</v>
      </c>
      <c r="J445" s="1" t="s">
        <v>1308</v>
      </c>
      <c r="K445" s="1" t="s">
        <v>642</v>
      </c>
      <c r="L445" s="1" t="s">
        <v>1987</v>
      </c>
      <c r="M445" s="1" t="s">
        <v>184</v>
      </c>
      <c r="N445" s="1" t="s">
        <v>305</v>
      </c>
      <c r="O445" s="1" t="s">
        <v>1432</v>
      </c>
      <c r="P445" s="1"/>
      <c r="Q445" s="1">
        <f>IFERROR(COUNTIFS(_report[TOURNAMENT_CODE],ВСЕ_КОДЫ[[#This Row],[TOURNAMENT_CODE]],_report[CONTEST_CODE],ВСЕ_КОДЫ[[#This Row],[CONTEST_CODE]]),"-")</f>
        <v>0</v>
      </c>
      <c r="R445" s="1" t="str">
        <f>IFERROR(INDEX(_SCHEDULE_[],MATCH(ВСЕ_КОДЫ[[#This Row],[CONTEST_CODE]],_SCHEDULE_[CONTEST_CODE],0),MATCH($R$1,_SCHEDULE_[#Headers],0)),"-")</f>
        <v>ОТМЕНЕН</v>
      </c>
      <c r="S445" s="1" t="str">
        <f>IFERROR(INDEX(_group_[],MATCH(ВСЕ_КОДЫ[[#This Row],[CONTEST_CODE]],_group_[CONTEST_CODE],0),MATCH($S$1,_group_[#Headers],0)),"-")</f>
        <v>BANK</v>
      </c>
      <c r="T445" s="1" t="str">
        <f>IFERROR(INDEX(_INDICATOR_[],MATCH(ВСЕ_КОДЫ[[#This Row],[CONTEST_CODE]],_INDICATOR_[CONTEST_CODE],0),MATCH($T$1,_INDICATOR_[#Headers],0)),"-")</f>
        <v>WAIT</v>
      </c>
      <c r="U445" s="1" t="str">
        <f>IFERROR(INDEX(_reward_link_[],MATCH(ВСЕ_КОДЫ[[#This Row],[CONTEST_CODE]],_reward_link_[CONTEST_CODE],0),MATCH($U$1,_reward_link_[#Headers],0)),"-")</f>
        <v>BANK</v>
      </c>
      <c r="V445" s="1" t="str">
        <f>IFERROR(INDEX(_report[],MATCH(ВСЕ_КОДЫ[[#This Row],[CONTEST_CODE]],_report[CONTEST_CODE],0),MATCH($V$1,_report[#Headers],0)),"-")</f>
        <v>-</v>
      </c>
      <c r="W445" s="1" t="str">
        <f>IFERROR(INDEX(_reward_[],MATCH(ВСЕ_КОДЫ[[#This Row],[REWARD_CODE]],_reward_[REWARD_CODE],0),MATCH($W$1,_reward_[#Headers],0)),"-")</f>
        <v xml:space="preserve">SLA на 100% </v>
      </c>
      <c r="X445" s="1" t="str">
        <f>IFERROR(INDEX(_group_[],MATCH(CONCATENATE(ВСЕ_КОДЫ[[#This Row],[CONTEST_CODE]],"_",X$2),#REF!,0),MATCH(X$1,_group_[#Headers],0)),"-")</f>
        <v>-</v>
      </c>
      <c r="Y445" s="1" t="str">
        <f>IFERROR(INDEX(_group_[],MATCH(CONCATENATE(ВСЕ_КОДЫ[[#This Row],[CONTEST_CODE]],"_",Y$2),#REF!,0),MATCH(Y$1,_group_[#Headers],0)),"-")</f>
        <v>-</v>
      </c>
      <c r="Z445" s="1" t="str">
        <f>IFERROR(INDEX(_group_[],MATCH(CONCATENATE(ВСЕ_КОДЫ[[#This Row],[CONTEST_CODE]],"_",Z$2),#REF!,0),MATCH(Z$1,_group_[#Headers],0)),"-")</f>
        <v>-</v>
      </c>
      <c r="AA445" s="1" t="str">
        <f>IFERROR(INDEX(_group_[],MATCH(CONCATENATE(ВСЕ_КОДЫ[[#This Row],[CONTEST_CODE]],"_",AA$2),#REF!,0),MATCH(AA$1,_group_[#Headers],0)),"-")</f>
        <v>-</v>
      </c>
      <c r="AB445" s="1" t="str">
        <f>IFERROR(INDEX(_DATA_[],MATCH(ВСЕ_КОДЫ[[#This Row],[CONTEST_CODE]],_DATA_[CONTEST_CODE],0),MATCH($AB$2,_DATA_[#Headers],0)),"-")</f>
        <v>["""SERVICEMEN"""]</v>
      </c>
      <c r="AC445" s="1" t="str">
        <f>CONCATENATE(ВСЕ_КОДЫ[[#This Row],[CONTEST_CODE]],"_",ВСЕ_КОДЫ[[#This Row],[TOURNAMENT_CODE]])</f>
        <v>CONTEST_s_04_TOURNAMENT_s_04_2024_Q04</v>
      </c>
      <c r="AD445" s="1" t="str">
        <f>ВСЕ_КОДЫ[[#This Row],[FULL_NAME]]</f>
        <v xml:space="preserve">SLA на 100% </v>
      </c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idden="1" x14ac:dyDescent="0.25">
      <c r="A446" s="1" t="s">
        <v>1395</v>
      </c>
      <c r="B446" s="1" t="s">
        <v>1726</v>
      </c>
      <c r="C446" s="1" t="s">
        <v>1396</v>
      </c>
      <c r="D446" s="1" t="s">
        <v>583</v>
      </c>
      <c r="E446" s="1" t="s">
        <v>1435</v>
      </c>
      <c r="F446" s="1" t="s">
        <v>26</v>
      </c>
      <c r="G446" s="1" t="s">
        <v>27</v>
      </c>
      <c r="H446" s="1" t="s">
        <v>34</v>
      </c>
      <c r="I446" s="1" t="s">
        <v>29</v>
      </c>
      <c r="J446" s="1" t="s">
        <v>1308</v>
      </c>
      <c r="K446" s="1" t="s">
        <v>1800</v>
      </c>
      <c r="L446" s="1" t="s">
        <v>194</v>
      </c>
      <c r="M446" s="1" t="s">
        <v>184</v>
      </c>
      <c r="N446" s="1" t="s">
        <v>305</v>
      </c>
      <c r="O446" s="1" t="s">
        <v>1435</v>
      </c>
      <c r="P446" s="1"/>
      <c r="Q446" s="1">
        <f>IFERROR(COUNTIFS(_report[TOURNAMENT_CODE],ВСЕ_КОДЫ[[#This Row],[TOURNAMENT_CODE]],_report[CONTEST_CODE],ВСЕ_КОДЫ[[#This Row],[CONTEST_CODE]]),"-")</f>
        <v>0</v>
      </c>
      <c r="R446" s="1" t="str">
        <f>IFERROR(INDEX(_SCHEDULE_[],MATCH(ВСЕ_КОДЫ[[#This Row],[CONTEST_CODE]],_SCHEDULE_[CONTEST_CODE],0),MATCH($R$1,_SCHEDULE_[#Headers],0)),"-")</f>
        <v>ОТМЕНЕН</v>
      </c>
      <c r="S446" s="1" t="str">
        <f>IFERROR(INDEX(_group_[],MATCH(ВСЕ_КОДЫ[[#This Row],[CONTEST_CODE]],_group_[CONTEST_CODE],0),MATCH($S$1,_group_[#Headers],0)),"-")</f>
        <v>BANK</v>
      </c>
      <c r="T446" s="1" t="str">
        <f>IFERROR(INDEX(_INDICATOR_[],MATCH(ВСЕ_КОДЫ[[#This Row],[CONTEST_CODE]],_INDICATOR_[CONTEST_CODE],0),MATCH($T$1,_INDICATOR_[#Headers],0)),"-")</f>
        <v>WAIT</v>
      </c>
      <c r="U446" s="1" t="str">
        <f>IFERROR(INDEX(_reward_link_[],MATCH(ВСЕ_КОДЫ[[#This Row],[CONTEST_CODE]],_reward_link_[CONTEST_CODE],0),MATCH($U$1,_reward_link_[#Headers],0)),"-")</f>
        <v>BANK</v>
      </c>
      <c r="V446" s="1" t="str">
        <f>IFERROR(INDEX(_report[],MATCH(ВСЕ_КОДЫ[[#This Row],[CONTEST_CODE]],_report[CONTEST_CODE],0),MATCH($V$1,_report[#Headers],0)),"-")</f>
        <v>-</v>
      </c>
      <c r="W446" s="1" t="str">
        <f>IFERROR(INDEX(_reward_[],MATCH(ВСЕ_КОДЫ[[#This Row],[REWARD_CODE]],_reward_[REWARD_CODE],0),MATCH($W$1,_reward_[#Headers],0)),"-")</f>
        <v>Финалист конкурса лучший по профессии</v>
      </c>
      <c r="X446" s="1" t="str">
        <f>IFERROR(INDEX(_group_[],MATCH(CONCATENATE(ВСЕ_КОДЫ[[#This Row],[CONTEST_CODE]],"_",X$2),#REF!,0),MATCH(X$1,_group_[#Headers],0)),"-")</f>
        <v>-</v>
      </c>
      <c r="Y446" s="1" t="str">
        <f>IFERROR(INDEX(_group_[],MATCH(CONCATENATE(ВСЕ_КОДЫ[[#This Row],[CONTEST_CODE]],"_",Y$2),#REF!,0),MATCH(Y$1,_group_[#Headers],0)),"-")</f>
        <v>-</v>
      </c>
      <c r="Z446" s="1" t="str">
        <f>IFERROR(INDEX(_group_[],MATCH(CONCATENATE(ВСЕ_КОДЫ[[#This Row],[CONTEST_CODE]],"_",Z$2),#REF!,0),MATCH(Z$1,_group_[#Headers],0)),"-")</f>
        <v>-</v>
      </c>
      <c r="AA446" s="1" t="str">
        <f>IFERROR(INDEX(_group_[],MATCH(CONCATENATE(ВСЕ_КОДЫ[[#This Row],[CONTEST_CODE]],"_",AA$2),#REF!,0),MATCH(AA$1,_group_[#Headers],0)),"-")</f>
        <v>-</v>
      </c>
      <c r="AB446" s="1" t="str">
        <f>IFERROR(INDEX(_DATA_[],MATCH(ВСЕ_КОДЫ[[#This Row],[CONTEST_CODE]],_DATA_[CONTEST_CODE],0),MATCH($AB$2,_DATA_[#Headers],0)),"-")</f>
        <v>["""SERVICEMEN"""]</v>
      </c>
      <c r="AC446" s="1" t="str">
        <f>CONCATENATE(ВСЕ_КОДЫ[[#This Row],[CONTEST_CODE]],"_",ВСЕ_КОДЫ[[#This Row],[TOURNAMENT_CODE]])</f>
        <v>CONTEST_s_05_TOURNAMENT_s_05_2024_Y01</v>
      </c>
      <c r="AD446" s="1" t="str">
        <f>ВСЕ_КОДЫ[[#This Row],[FULL_NAME]]</f>
        <v>Финалист конкурса лучший по профессии</v>
      </c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idden="1" x14ac:dyDescent="0.25">
      <c r="A447" s="1" t="s">
        <v>1399</v>
      </c>
      <c r="B447" s="1" t="s">
        <v>1728</v>
      </c>
      <c r="C447" s="1" t="s">
        <v>1400</v>
      </c>
      <c r="D447" s="1" t="s">
        <v>583</v>
      </c>
      <c r="E447" s="1" t="s">
        <v>1436</v>
      </c>
      <c r="F447" s="1" t="s">
        <v>26</v>
      </c>
      <c r="G447" s="1" t="s">
        <v>27</v>
      </c>
      <c r="H447" s="1" t="s">
        <v>34</v>
      </c>
      <c r="I447" s="1" t="s">
        <v>29</v>
      </c>
      <c r="J447" s="1" t="s">
        <v>1308</v>
      </c>
      <c r="K447" s="1" t="s">
        <v>1800</v>
      </c>
      <c r="L447" s="1" t="s">
        <v>194</v>
      </c>
      <c r="M447" s="1" t="s">
        <v>184</v>
      </c>
      <c r="N447" s="1" t="s">
        <v>305</v>
      </c>
      <c r="O447" s="1" t="s">
        <v>1436</v>
      </c>
      <c r="P447" s="1"/>
      <c r="Q447" s="1">
        <f>IFERROR(COUNTIFS(_report[TOURNAMENT_CODE],ВСЕ_КОДЫ[[#This Row],[TOURNAMENT_CODE]],_report[CONTEST_CODE],ВСЕ_КОДЫ[[#This Row],[CONTEST_CODE]]),"-")</f>
        <v>0</v>
      </c>
      <c r="R447" s="1" t="str">
        <f>IFERROR(INDEX(_SCHEDULE_[],MATCH(ВСЕ_КОДЫ[[#This Row],[CONTEST_CODE]],_SCHEDULE_[CONTEST_CODE],0),MATCH($R$1,_SCHEDULE_[#Headers],0)),"-")</f>
        <v>ОТМЕНЕН</v>
      </c>
      <c r="S447" s="1" t="str">
        <f>IFERROR(INDEX(_group_[],MATCH(ВСЕ_КОДЫ[[#This Row],[CONTEST_CODE]],_group_[CONTEST_CODE],0),MATCH($S$1,_group_[#Headers],0)),"-")</f>
        <v>BANK</v>
      </c>
      <c r="T447" s="1" t="str">
        <f>IFERROR(INDEX(_INDICATOR_[],MATCH(ВСЕ_КОДЫ[[#This Row],[CONTEST_CODE]],_INDICATOR_[CONTEST_CODE],0),MATCH($T$1,_INDICATOR_[#Headers],0)),"-")</f>
        <v>WAIT</v>
      </c>
      <c r="U447" s="1" t="str">
        <f>IFERROR(INDEX(_reward_link_[],MATCH(ВСЕ_КОДЫ[[#This Row],[CONTEST_CODE]],_reward_link_[CONTEST_CODE],0),MATCH($U$1,_reward_link_[#Headers],0)),"-")</f>
        <v>BANK</v>
      </c>
      <c r="V447" s="1" t="str">
        <f>IFERROR(INDEX(_report[],MATCH(ВСЕ_КОДЫ[[#This Row],[CONTEST_CODE]],_report[CONTEST_CODE],0),MATCH($V$1,_report[#Headers],0)),"-")</f>
        <v>-</v>
      </c>
      <c r="W447" s="1" t="str">
        <f>IFERROR(INDEX(_reward_[],MATCH(ВСЕ_КОДЫ[[#This Row],[REWARD_CODE]],_reward_[REWARD_CODE],0),MATCH($W$1,_reward_[#Headers],0)),"-")</f>
        <v>Призер конкурса лучший по профессии</v>
      </c>
      <c r="X447" s="1" t="str">
        <f>IFERROR(INDEX(_group_[],MATCH(CONCATENATE(ВСЕ_КОДЫ[[#This Row],[CONTEST_CODE]],"_",X$2),#REF!,0),MATCH(X$1,_group_[#Headers],0)),"-")</f>
        <v>-</v>
      </c>
      <c r="Y447" s="1" t="str">
        <f>IFERROR(INDEX(_group_[],MATCH(CONCATENATE(ВСЕ_КОДЫ[[#This Row],[CONTEST_CODE]],"_",Y$2),#REF!,0),MATCH(Y$1,_group_[#Headers],0)),"-")</f>
        <v>-</v>
      </c>
      <c r="Z447" s="1" t="str">
        <f>IFERROR(INDEX(_group_[],MATCH(CONCATENATE(ВСЕ_КОДЫ[[#This Row],[CONTEST_CODE]],"_",Z$2),#REF!,0),MATCH(Z$1,_group_[#Headers],0)),"-")</f>
        <v>-</v>
      </c>
      <c r="AA447" s="1" t="str">
        <f>IFERROR(INDEX(_group_[],MATCH(CONCATENATE(ВСЕ_КОДЫ[[#This Row],[CONTEST_CODE]],"_",AA$2),#REF!,0),MATCH(AA$1,_group_[#Headers],0)),"-")</f>
        <v>-</v>
      </c>
      <c r="AB447" s="1" t="str">
        <f>IFERROR(INDEX(_DATA_[],MATCH(ВСЕ_КОДЫ[[#This Row],[CONTEST_CODE]],_DATA_[CONTEST_CODE],0),MATCH($AB$2,_DATA_[#Headers],0)),"-")</f>
        <v>["""SERVICEMEN"""]</v>
      </c>
      <c r="AC447" s="1" t="str">
        <f>CONCATENATE(ВСЕ_КОДЫ[[#This Row],[CONTEST_CODE]],"_",ВСЕ_КОДЫ[[#This Row],[TOURNAMENT_CODE]])</f>
        <v>CONTEST_s_06_TOURNAMENT_s_06_2024_Y01</v>
      </c>
      <c r="AD447" s="1" t="str">
        <f>ВСЕ_КОДЫ[[#This Row],[FULL_NAME]]</f>
        <v>Призер конкурса лучший по профессии</v>
      </c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idden="1" x14ac:dyDescent="0.25">
      <c r="A448" s="1" t="s">
        <v>1403</v>
      </c>
      <c r="B448" s="1" t="s">
        <v>1730</v>
      </c>
      <c r="C448" s="1" t="s">
        <v>1404</v>
      </c>
      <c r="D448" s="1" t="s">
        <v>583</v>
      </c>
      <c r="E448" s="1" t="s">
        <v>1437</v>
      </c>
      <c r="F448" s="1" t="s">
        <v>182</v>
      </c>
      <c r="G448" s="1" t="s">
        <v>27</v>
      </c>
      <c r="H448" s="1" t="s">
        <v>28</v>
      </c>
      <c r="I448" s="1" t="s">
        <v>29</v>
      </c>
      <c r="J448" s="1" t="s">
        <v>1308</v>
      </c>
      <c r="K448" s="1" t="s">
        <v>642</v>
      </c>
      <c r="L448" s="1" t="s">
        <v>194</v>
      </c>
      <c r="M448" s="1" t="s">
        <v>155</v>
      </c>
      <c r="N448" s="1" t="s">
        <v>305</v>
      </c>
      <c r="O448" s="1" t="s">
        <v>1437</v>
      </c>
      <c r="P448" s="1"/>
      <c r="Q448" s="1">
        <f>IFERROR(COUNTIFS(_report[TOURNAMENT_CODE],ВСЕ_КОДЫ[[#This Row],[TOURNAMENT_CODE]],_report[CONTEST_CODE],ВСЕ_КОДЫ[[#This Row],[CONTEST_CODE]]),"-")</f>
        <v>0</v>
      </c>
      <c r="R448" s="1" t="str">
        <f>IFERROR(INDEX(_SCHEDULE_[],MATCH(ВСЕ_КОДЫ[[#This Row],[CONTEST_CODE]],_SCHEDULE_[CONTEST_CODE],0),MATCH($R$1,_SCHEDULE_[#Headers],0)),"-")</f>
        <v>УДАЛЕН</v>
      </c>
      <c r="S448" s="1" t="str">
        <f>IFERROR(INDEX(_group_[],MATCH(ВСЕ_КОДЫ[[#This Row],[CONTEST_CODE]],_group_[CONTEST_CODE],0),MATCH($S$1,_group_[#Headers],0)),"-")</f>
        <v>BANK</v>
      </c>
      <c r="T448" s="1" t="str">
        <f>IFERROR(INDEX(_INDICATOR_[],MATCH(ВСЕ_КОДЫ[[#This Row],[CONTEST_CODE]],_INDICATOR_[CONTEST_CODE],0),MATCH($T$1,_INDICATOR_[#Headers],0)),"-")</f>
        <v>WAIT</v>
      </c>
      <c r="U448" s="1" t="str">
        <f>IFERROR(INDEX(_reward_link_[],MATCH(ВСЕ_КОДЫ[[#This Row],[CONTEST_CODE]],_reward_link_[CONTEST_CODE],0),MATCH($U$1,_reward_link_[#Headers],0)),"-")</f>
        <v>BANK</v>
      </c>
      <c r="V448" s="1" t="str">
        <f>IFERROR(INDEX(_report[],MATCH(ВСЕ_КОДЫ[[#This Row],[CONTEST_CODE]],_report[CONTEST_CODE],0),MATCH($V$1,_report[#Headers],0)),"-")</f>
        <v>-</v>
      </c>
      <c r="W448" s="1" t="str">
        <f>IFERROR(INDEX(_reward_[],MATCH(ВСЕ_КОДЫ[[#This Row],[REWARD_CODE]],_reward_[REWARD_CODE],0),MATCH($W$1,_reward_[#Headers],0)),"-")</f>
        <v>Победитель конкурса лучший по профессии</v>
      </c>
      <c r="X448" s="1" t="str">
        <f>IFERROR(INDEX(_group_[],MATCH(CONCATENATE(ВСЕ_КОДЫ[[#This Row],[CONTEST_CODE]],"_",X$2),#REF!,0),MATCH(X$1,_group_[#Headers],0)),"-")</f>
        <v>-</v>
      </c>
      <c r="Y448" s="1" t="str">
        <f>IFERROR(INDEX(_group_[],MATCH(CONCATENATE(ВСЕ_КОДЫ[[#This Row],[CONTEST_CODE]],"_",Y$2),#REF!,0),MATCH(Y$1,_group_[#Headers],0)),"-")</f>
        <v>-</v>
      </c>
      <c r="Z448" s="1" t="str">
        <f>IFERROR(INDEX(_group_[],MATCH(CONCATENATE(ВСЕ_КОДЫ[[#This Row],[CONTEST_CODE]],"_",Z$2),#REF!,0),MATCH(Z$1,_group_[#Headers],0)),"-")</f>
        <v>-</v>
      </c>
      <c r="AA448" s="1" t="str">
        <f>IFERROR(INDEX(_group_[],MATCH(CONCATENATE(ВСЕ_КОДЫ[[#This Row],[CONTEST_CODE]],"_",AA$2),#REF!,0),MATCH(AA$1,_group_[#Headers],0)),"-")</f>
        <v>-</v>
      </c>
      <c r="AB448" s="1" t="str">
        <f>IFERROR(INDEX(_DATA_[],MATCH(ВСЕ_КОДЫ[[#This Row],[CONTEST_CODE]],_DATA_[CONTEST_CODE],0),MATCH($AB$2,_DATA_[#Headers],0)),"-")</f>
        <v>["""SERVICEMEN"""]</v>
      </c>
      <c r="AC448" s="1" t="str">
        <f>CONCATENATE(ВСЕ_КОДЫ[[#This Row],[CONTEST_CODE]],"_",ВСЕ_КОДЫ[[#This Row],[TOURNAMENT_CODE]])</f>
        <v>CONTEST_s_07_TOURNAMENT_s_07_2024_Y01</v>
      </c>
      <c r="AD448" s="1" t="str">
        <f>ВСЕ_КОДЫ[[#This Row],[FULL_NAME]]</f>
        <v>Победитель конкурса лучший по профессии</v>
      </c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idden="1" x14ac:dyDescent="0.25">
      <c r="A449" s="1" t="s">
        <v>2214</v>
      </c>
      <c r="B449" s="1" t="s">
        <v>3656</v>
      </c>
      <c r="C449" s="1" t="s">
        <v>2323</v>
      </c>
      <c r="D449" s="1" t="s">
        <v>583</v>
      </c>
      <c r="E449" s="1" t="s">
        <v>80</v>
      </c>
      <c r="F449" s="1" t="s">
        <v>2508</v>
      </c>
      <c r="G449" s="1" t="s">
        <v>27</v>
      </c>
      <c r="H449" s="1" t="s">
        <v>34</v>
      </c>
      <c r="I449" s="1" t="s">
        <v>50</v>
      </c>
      <c r="J449" s="1" t="s">
        <v>4019</v>
      </c>
      <c r="K449" s="1" t="s">
        <v>2542</v>
      </c>
      <c r="L449" s="1" t="s">
        <v>3545</v>
      </c>
      <c r="M449" s="1" t="s">
        <v>34</v>
      </c>
      <c r="N449" s="1" t="s">
        <v>305</v>
      </c>
      <c r="O449" s="1" t="s">
        <v>2709</v>
      </c>
      <c r="P449" s="1"/>
      <c r="Q449" s="1">
        <f>IFERROR(COUNTIFS(_report[TOURNAMENT_CODE],ВСЕ_КОДЫ[[#This Row],[TOURNAMENT_CODE]],_report[CONTEST_CODE],ВСЕ_КОДЫ[[#This Row],[CONTEST_CODE]]),"-")</f>
        <v>0</v>
      </c>
      <c r="R449" s="1" t="str">
        <f>IFERROR(INDEX(_SCHEDULE_[],MATCH(ВСЕ_КОДЫ[[#This Row],[CONTEST_CODE]],_SCHEDULE_[CONTEST_CODE],0),MATCH($R$1,_SCHEDULE_[#Headers],0)),"-")</f>
        <v>ЗАВЕРШЕН</v>
      </c>
      <c r="S449" s="1" t="str">
        <f>IFERROR(INDEX(_group_[],MATCH(ВСЕ_КОДЫ[[#This Row],[CONTEST_CODE]],_group_[CONTEST_CODE],0),MATCH($S$1,_group_[#Headers],0)),"-")</f>
        <v>BANK</v>
      </c>
      <c r="T449" s="1" t="str">
        <f>IFERROR(INDEX(_INDICATOR_[],MATCH(ВСЕ_КОДЫ[[#This Row],[CONTEST_CODE]],_INDICATOR_[CONTEST_CODE],0),MATCH($T$1,_INDICATOR_[#Headers],0)),"-")</f>
        <v>WAIT</v>
      </c>
      <c r="U449" s="1" t="str">
        <f>IFERROR(INDEX(_reward_link_[],MATCH(ВСЕ_КОДЫ[[#This Row],[CONTEST_CODE]],_reward_link_[CONTEST_CODE],0),MATCH($U$1,_reward_link_[#Headers],0)),"-")</f>
        <v>BANK</v>
      </c>
      <c r="V449" s="1" t="str">
        <f>IFERROR(INDEX(_report[],MATCH(ВСЕ_КОДЫ[[#This Row],[CONTEST_CODE]],_report[CONTEST_CODE],0),MATCH($V$1,_report[#Headers],0)),"-")</f>
        <v>-</v>
      </c>
      <c r="W449" s="1" t="str">
        <f>IFERROR(INDEX(_reward_[],MATCH(ВСЕ_КОДЫ[[#This Row],[REWARD_CODE]],_reward_[REWARD_CODE],0),MATCH($W$1,_reward_[#Headers],0)),"-")</f>
        <v>Золото#по продажам факторинга</v>
      </c>
      <c r="X449" s="1" t="str">
        <f>IFERROR(INDEX(_group_[],MATCH(CONCATENATE(ВСЕ_КОДЫ[[#This Row],[CONTEST_CODE]],"_",X$2),#REF!,0),MATCH(X$1,_group_[#Headers],0)),"-")</f>
        <v>-</v>
      </c>
      <c r="Y449" s="1" t="str">
        <f>IFERROR(INDEX(_group_[],MATCH(CONCATENATE(ВСЕ_КОДЫ[[#This Row],[CONTEST_CODE]],"_",Y$2),#REF!,0),MATCH(Y$1,_group_[#Headers],0)),"-")</f>
        <v>-</v>
      </c>
      <c r="Z449" s="1" t="str">
        <f>IFERROR(INDEX(_group_[],MATCH(CONCATENATE(ВСЕ_КОДЫ[[#This Row],[CONTEST_CODE]],"_",Z$2),#REF!,0),MATCH(Z$1,_group_[#Headers],0)),"-")</f>
        <v>-</v>
      </c>
      <c r="AA449" s="1" t="str">
        <f>IFERROR(INDEX(_group_[],MATCH(CONCATENATE(ВСЕ_КОДЫ[[#This Row],[CONTEST_CODE]],"_",AA$2),#REF!,0),MATCH(AA$1,_group_[#Headers],0)),"-")</f>
        <v>-</v>
      </c>
      <c r="AB449" s="1" t="str">
        <f>IFERROR(INDEX(_DATA_[],MATCH(ВСЕ_КОДЫ[[#This Row],[CONTEST_CODE]],_DATA_[CONTEST_CODE],0),MATCH($AB$2,_DATA_[#Headers],0)),"-")</f>
        <v>["""KMKKSB"""]</v>
      </c>
      <c r="AC449" s="1" t="str">
        <f>CONCATENATE(ВСЕ_КОДЫ[[#This Row],[CONTEST_CODE]],"_",ВСЕ_КОДЫ[[#This Row],[TOURNAMENT_CODE]])</f>
        <v>01_2025-1_15-1_2_t_01_2025-1_15-1_2_2021</v>
      </c>
      <c r="AD449" s="1" t="str">
        <f>ВСЕ_КОДЫ[[#This Row],[FULL_NAME]]</f>
        <v>Факторинг. Лучший по продажам</v>
      </c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idden="1" x14ac:dyDescent="0.25">
      <c r="A450" s="1" t="s">
        <v>2214</v>
      </c>
      <c r="B450" s="1" t="s">
        <v>3656</v>
      </c>
      <c r="C450" s="1" t="s">
        <v>2711</v>
      </c>
      <c r="D450" s="1" t="s">
        <v>583</v>
      </c>
      <c r="E450" s="1" t="s">
        <v>80</v>
      </c>
      <c r="F450" s="1" t="s">
        <v>2508</v>
      </c>
      <c r="G450" s="1" t="s">
        <v>27</v>
      </c>
      <c r="H450" s="1" t="s">
        <v>34</v>
      </c>
      <c r="I450" s="1" t="s">
        <v>50</v>
      </c>
      <c r="J450" s="1" t="s">
        <v>4019</v>
      </c>
      <c r="K450" s="1" t="s">
        <v>2542</v>
      </c>
      <c r="L450" s="1" t="s">
        <v>3545</v>
      </c>
      <c r="M450" s="1" t="s">
        <v>34</v>
      </c>
      <c r="N450" s="1" t="s">
        <v>305</v>
      </c>
      <c r="O450" s="1" t="s">
        <v>2712</v>
      </c>
      <c r="P450" s="1"/>
      <c r="Q450" s="1">
        <f>IFERROR(COUNTIFS(_report[TOURNAMENT_CODE],ВСЕ_КОДЫ[[#This Row],[TOURNAMENT_CODE]],_report[CONTEST_CODE],ВСЕ_КОДЫ[[#This Row],[CONTEST_CODE]]),"-")</f>
        <v>0</v>
      </c>
      <c r="R450" s="1" t="str">
        <f>IFERROR(INDEX(_SCHEDULE_[],MATCH(ВСЕ_КОДЫ[[#This Row],[CONTEST_CODE]],_SCHEDULE_[CONTEST_CODE],0),MATCH($R$1,_SCHEDULE_[#Headers],0)),"-")</f>
        <v>ЗАВЕРШЕН</v>
      </c>
      <c r="S450" s="1" t="str">
        <f>IFERROR(INDEX(_group_[],MATCH(ВСЕ_КОДЫ[[#This Row],[CONTEST_CODE]],_group_[CONTEST_CODE],0),MATCH($S$1,_group_[#Headers],0)),"-")</f>
        <v>BANK</v>
      </c>
      <c r="T450" s="1" t="str">
        <f>IFERROR(INDEX(_INDICATOR_[],MATCH(ВСЕ_КОДЫ[[#This Row],[CONTEST_CODE]],_INDICATOR_[CONTEST_CODE],0),MATCH($T$1,_INDICATOR_[#Headers],0)),"-")</f>
        <v>WAIT</v>
      </c>
      <c r="U450" s="1" t="str">
        <f>IFERROR(INDEX(_reward_link_[],MATCH(ВСЕ_КОДЫ[[#This Row],[CONTEST_CODE]],_reward_link_[CONTEST_CODE],0),MATCH($U$1,_reward_link_[#Headers],0)),"-")</f>
        <v>BANK</v>
      </c>
      <c r="V450" s="1" t="str">
        <f>IFERROR(INDEX(_report[],MATCH(ВСЕ_КОДЫ[[#This Row],[CONTEST_CODE]],_report[CONTEST_CODE],0),MATCH($V$1,_report[#Headers],0)),"-")</f>
        <v>-</v>
      </c>
      <c r="W450" s="1" t="str">
        <f>IFERROR(INDEX(_reward_[],MATCH(ВСЕ_КОДЫ[[#This Row],[REWARD_CODE]],_reward_[REWARD_CODE],0),MATCH($W$1,_reward_[#Headers],0)),"-")</f>
        <v>Серебро#по продажам факторинга</v>
      </c>
      <c r="X450" s="1" t="str">
        <f>IFERROR(INDEX(_group_[],MATCH(CONCATENATE(ВСЕ_КОДЫ[[#This Row],[CONTEST_CODE]],"_",X$2),#REF!,0),MATCH(X$1,_group_[#Headers],0)),"-")</f>
        <v>-</v>
      </c>
      <c r="Y450" s="1" t="str">
        <f>IFERROR(INDEX(_group_[],MATCH(CONCATENATE(ВСЕ_КОДЫ[[#This Row],[CONTEST_CODE]],"_",Y$2),#REF!,0),MATCH(Y$1,_group_[#Headers],0)),"-")</f>
        <v>-</v>
      </c>
      <c r="Z450" s="1" t="str">
        <f>IFERROR(INDEX(_group_[],MATCH(CONCATENATE(ВСЕ_КОДЫ[[#This Row],[CONTEST_CODE]],"_",Z$2),#REF!,0),MATCH(Z$1,_group_[#Headers],0)),"-")</f>
        <v>-</v>
      </c>
      <c r="AA450" s="1" t="str">
        <f>IFERROR(INDEX(_group_[],MATCH(CONCATENATE(ВСЕ_КОДЫ[[#This Row],[CONTEST_CODE]],"_",AA$2),#REF!,0),MATCH(AA$1,_group_[#Headers],0)),"-")</f>
        <v>-</v>
      </c>
      <c r="AB450" s="1" t="str">
        <f>IFERROR(INDEX(_DATA_[],MATCH(ВСЕ_КОДЫ[[#This Row],[CONTEST_CODE]],_DATA_[CONTEST_CODE],0),MATCH($AB$2,_DATA_[#Headers],0)),"-")</f>
        <v>["""KMKKSB"""]</v>
      </c>
      <c r="AC450" s="1" t="str">
        <f>CONCATENATE(ВСЕ_КОДЫ[[#This Row],[CONTEST_CODE]],"_",ВСЕ_КОДЫ[[#This Row],[TOURNAMENT_CODE]])</f>
        <v>01_2025-1_15-1_2_t_01_2025-1_15-1_2_2021</v>
      </c>
      <c r="AD450" s="1" t="str">
        <f>ВСЕ_КОДЫ[[#This Row],[FULL_NAME]]</f>
        <v>Факторинг. Лучший по продажам</v>
      </c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idden="1" x14ac:dyDescent="0.25">
      <c r="A451" s="1" t="s">
        <v>2214</v>
      </c>
      <c r="B451" s="1" t="s">
        <v>3656</v>
      </c>
      <c r="C451" s="1" t="s">
        <v>2714</v>
      </c>
      <c r="D451" s="60" t="s">
        <v>583</v>
      </c>
      <c r="E451" s="1" t="s">
        <v>80</v>
      </c>
      <c r="F451" s="1" t="s">
        <v>2508</v>
      </c>
      <c r="G451" s="1" t="s">
        <v>27</v>
      </c>
      <c r="H451" s="1" t="s">
        <v>34</v>
      </c>
      <c r="I451" s="1" t="s">
        <v>50</v>
      </c>
      <c r="J451" s="1" t="s">
        <v>4019</v>
      </c>
      <c r="K451" s="1" t="s">
        <v>2542</v>
      </c>
      <c r="L451" s="1" t="s">
        <v>3545</v>
      </c>
      <c r="M451" s="1" t="s">
        <v>34</v>
      </c>
      <c r="N451" s="59" t="s">
        <v>305</v>
      </c>
      <c r="O451" s="1" t="s">
        <v>2715</v>
      </c>
      <c r="P451" s="1"/>
      <c r="Q451" s="1">
        <f>IFERROR(COUNTIFS(_report[TOURNAMENT_CODE],ВСЕ_КОДЫ[[#This Row],[TOURNAMENT_CODE]],_report[CONTEST_CODE],ВСЕ_КОДЫ[[#This Row],[CONTEST_CODE]]),"-")</f>
        <v>0</v>
      </c>
      <c r="R451" s="1" t="str">
        <f>IFERROR(INDEX(_SCHEDULE_[],MATCH(ВСЕ_КОДЫ[[#This Row],[CONTEST_CODE]],_SCHEDULE_[CONTEST_CODE],0),MATCH($R$1,_SCHEDULE_[#Headers],0)),"-")</f>
        <v>ЗАВЕРШЕН</v>
      </c>
      <c r="S451" s="1" t="str">
        <f>IFERROR(INDEX(_group_[],MATCH(ВСЕ_КОДЫ[[#This Row],[CONTEST_CODE]],_group_[CONTEST_CODE],0),MATCH($S$1,_group_[#Headers],0)),"-")</f>
        <v>BANK</v>
      </c>
      <c r="T451" s="1" t="str">
        <f>IFERROR(INDEX(_INDICATOR_[],MATCH(ВСЕ_КОДЫ[[#This Row],[CONTEST_CODE]],_INDICATOR_[CONTEST_CODE],0),MATCH($T$1,_INDICATOR_[#Headers],0)),"-")</f>
        <v>WAIT</v>
      </c>
      <c r="U451" s="1" t="str">
        <f>IFERROR(INDEX(_reward_link_[],MATCH(ВСЕ_КОДЫ[[#This Row],[CONTEST_CODE]],_reward_link_[CONTEST_CODE],0),MATCH($U$1,_reward_link_[#Headers],0)),"-")</f>
        <v>BANK</v>
      </c>
      <c r="V451" s="1" t="str">
        <f>IFERROR(INDEX(_report[],MATCH(ВСЕ_КОДЫ[[#This Row],[CONTEST_CODE]],_report[CONTEST_CODE],0),MATCH($V$1,_report[#Headers],0)),"-")</f>
        <v>-</v>
      </c>
      <c r="W451" s="1" t="str">
        <f>IFERROR(INDEX(_reward_[],MATCH(ВСЕ_КОДЫ[[#This Row],[REWARD_CODE]],_reward_[REWARD_CODE],0),MATCH($W$1,_reward_[#Headers],0)),"-")</f>
        <v>Бронза#по продажам факторинга</v>
      </c>
      <c r="X451" s="1" t="str">
        <f>IFERROR(INDEX(_group_[],MATCH(CONCATENATE(ВСЕ_КОДЫ[[#This Row],[CONTEST_CODE]],"_",X$2),#REF!,0),MATCH(X$1,_group_[#Headers],0)),"-")</f>
        <v>-</v>
      </c>
      <c r="Y451" s="1" t="str">
        <f>IFERROR(INDEX(_group_[],MATCH(CONCATENATE(ВСЕ_КОДЫ[[#This Row],[CONTEST_CODE]],"_",Y$2),#REF!,0),MATCH(Y$1,_group_[#Headers],0)),"-")</f>
        <v>-</v>
      </c>
      <c r="Z451" s="1" t="str">
        <f>IFERROR(INDEX(_group_[],MATCH(CONCATENATE(ВСЕ_КОДЫ[[#This Row],[CONTEST_CODE]],"_",Z$2),#REF!,0),MATCH(Z$1,_group_[#Headers],0)),"-")</f>
        <v>-</v>
      </c>
      <c r="AA451" s="1" t="str">
        <f>IFERROR(INDEX(_group_[],MATCH(CONCATENATE(ВСЕ_КОДЫ[[#This Row],[CONTEST_CODE]],"_",AA$2),#REF!,0),MATCH(AA$1,_group_[#Headers],0)),"-")</f>
        <v>-</v>
      </c>
      <c r="AB451" s="1" t="str">
        <f>IFERROR(INDEX(_DATA_[],MATCH(ВСЕ_КОДЫ[[#This Row],[CONTEST_CODE]],_DATA_[CONTEST_CODE],0),MATCH($AB$2,_DATA_[#Headers],0)),"-")</f>
        <v>["""KMKKSB"""]</v>
      </c>
      <c r="AC451" s="1" t="str">
        <f>CONCATENATE(ВСЕ_КОДЫ[[#This Row],[CONTEST_CODE]],"_",ВСЕ_КОДЫ[[#This Row],[TOURNAMENT_CODE]])</f>
        <v>01_2025-1_15-1_2_t_01_2025-1_15-1_2_2021</v>
      </c>
      <c r="AD451" s="1" t="str">
        <f>ВСЕ_КОДЫ[[#This Row],[FULL_NAME]]</f>
        <v>Факторинг. Лучший по продажам</v>
      </c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idden="1" x14ac:dyDescent="0.25">
      <c r="A452" s="1" t="s">
        <v>2216</v>
      </c>
      <c r="B452" s="1" t="s">
        <v>2553</v>
      </c>
      <c r="C452" s="1" t="s">
        <v>2325</v>
      </c>
      <c r="D452" s="60" t="s">
        <v>583</v>
      </c>
      <c r="E452" s="1" t="s">
        <v>2614</v>
      </c>
      <c r="F452" s="1" t="s">
        <v>2508</v>
      </c>
      <c r="G452" s="1" t="s">
        <v>2509</v>
      </c>
      <c r="H452" s="1" t="s">
        <v>34</v>
      </c>
      <c r="I452" s="1" t="s">
        <v>50</v>
      </c>
      <c r="J452" s="1" t="s">
        <v>2508</v>
      </c>
      <c r="K452" s="1" t="s">
        <v>2534</v>
      </c>
      <c r="L452" s="1" t="s">
        <v>4751</v>
      </c>
      <c r="M452" s="1" t="s">
        <v>176</v>
      </c>
      <c r="N452" s="59" t="s">
        <v>305</v>
      </c>
      <c r="O452" s="1" t="s">
        <v>2735</v>
      </c>
      <c r="P452" s="1"/>
      <c r="Q452" s="1">
        <f>IFERROR(COUNTIFS(_report[TOURNAMENT_CODE],ВСЕ_КОДЫ[[#This Row],[TOURNAMENT_CODE]],_report[CONTEST_CODE],ВСЕ_КОДЫ[[#This Row],[CONTEST_CODE]]),"-")</f>
        <v>0</v>
      </c>
      <c r="R452" s="1" t="str">
        <f>IFERROR(INDEX(_SCHEDULE_[],MATCH(ВСЕ_КОДЫ[[#This Row],[CONTEST_CODE]],_SCHEDULE_[CONTEST_CODE],0),MATCH($R$1,_SCHEDULE_[#Headers],0)),"-")</f>
        <v>ЗАВЕРШЕН</v>
      </c>
      <c r="S452" s="1" t="str">
        <f>IFERROR(INDEX(_group_[],MATCH(ВСЕ_КОДЫ[[#This Row],[CONTEST_CODE]],_group_[CONTEST_CODE],0),MATCH($S$1,_group_[#Headers],0)),"-")</f>
        <v>BANK</v>
      </c>
      <c r="T452" s="1" t="str">
        <f>IFERROR(INDEX(_INDICATOR_[],MATCH(ВСЕ_КОДЫ[[#This Row],[CONTEST_CODE]],_INDICATOR_[CONTEST_CODE],0),MATCH($T$1,_INDICATOR_[#Headers],0)),"-")</f>
        <v>WAIT</v>
      </c>
      <c r="U452" s="1" t="str">
        <f>IFERROR(INDEX(_reward_link_[],MATCH(ВСЕ_КОДЫ[[#This Row],[CONTEST_CODE]],_reward_link_[CONTEST_CODE],0),MATCH($U$1,_reward_link_[#Headers],0)),"-")</f>
        <v>BANK</v>
      </c>
      <c r="V452" s="1" t="str">
        <f>IFERROR(INDEX(_report[],MATCH(ВСЕ_КОДЫ[[#This Row],[CONTEST_CODE]],_report[CONTEST_CODE],0),MATCH($V$1,_report[#Headers],0)),"-")</f>
        <v>-</v>
      </c>
      <c r="W452" s="1" t="str">
        <f>IFERROR(INDEX(_reward_[],MATCH(ВСЕ_КОДЫ[[#This Row],[REWARD_CODE]],_reward_[REWARD_CODE],0),MATCH($W$1,_reward_[#Headers],0)),"-")</f>
        <v>Золото#в первенстве КМ Хантер по сумме лимитов реализованных сделок</v>
      </c>
      <c r="X452" s="1" t="str">
        <f>IFERROR(INDEX(_group_[],MATCH(CONCATENATE(ВСЕ_КОДЫ[[#This Row],[CONTEST_CODE]],"_",X$2),#REF!,0),MATCH(X$1,_group_[#Headers],0)),"-")</f>
        <v>-</v>
      </c>
      <c r="Y452" s="1" t="str">
        <f>IFERROR(INDEX(_group_[],MATCH(CONCATENATE(ВСЕ_КОДЫ[[#This Row],[CONTEST_CODE]],"_",Y$2),#REF!,0),MATCH(Y$1,_group_[#Headers],0)),"-")</f>
        <v>-</v>
      </c>
      <c r="Z452" s="1" t="str">
        <f>IFERROR(INDEX(_group_[],MATCH(CONCATENATE(ВСЕ_КОДЫ[[#This Row],[CONTEST_CODE]],"_",Z$2),#REF!,0),MATCH(Z$1,_group_[#Headers],0)),"-")</f>
        <v>-</v>
      </c>
      <c r="AA452" s="1" t="str">
        <f>IFERROR(INDEX(_group_[],MATCH(CONCATENATE(ВСЕ_КОДЫ[[#This Row],[CONTEST_CODE]],"_",AA$2),#REF!,0),MATCH(AA$1,_group_[#Headers],0)),"-")</f>
        <v>-</v>
      </c>
      <c r="AB452" s="1" t="str">
        <f>IFERROR(INDEX(_DATA_[],MATCH(ВСЕ_КОДЫ[[#This Row],[CONTEST_CODE]],_DATA_[CONTEST_CODE],0),MATCH($AB$2,_DATA_[#Headers],0)),"-")</f>
        <v>["""KMFACTORING"""]</v>
      </c>
      <c r="AC452" s="1" t="str">
        <f>CONCATENATE(ВСЕ_КОДЫ[[#This Row],[CONTEST_CODE]],"_",ВСЕ_КОДЫ[[#This Row],[TOURNAMENT_CODE]])</f>
        <v>04_2025-0_15-1_1_t_04_2025-0_15-1_1_2011</v>
      </c>
      <c r="AD452" s="1" t="str">
        <f>ВСЕ_КОДЫ[[#This Row],[FULL_NAME]]</f>
        <v>Первенство КМ хантер по сумме лимитов реализованных сделок</v>
      </c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idden="1" x14ac:dyDescent="0.25">
      <c r="A453" s="1" t="s">
        <v>2216</v>
      </c>
      <c r="B453" s="1" t="s">
        <v>2553</v>
      </c>
      <c r="C453" s="1" t="s">
        <v>2327</v>
      </c>
      <c r="D453" s="60" t="s">
        <v>583</v>
      </c>
      <c r="E453" s="1" t="s">
        <v>2614</v>
      </c>
      <c r="F453" s="1" t="s">
        <v>2508</v>
      </c>
      <c r="G453" s="1" t="s">
        <v>2509</v>
      </c>
      <c r="H453" s="1" t="s">
        <v>34</v>
      </c>
      <c r="I453" s="1" t="s">
        <v>50</v>
      </c>
      <c r="J453" s="1" t="s">
        <v>2508</v>
      </c>
      <c r="K453" s="1" t="s">
        <v>2534</v>
      </c>
      <c r="L453" s="1" t="s">
        <v>4751</v>
      </c>
      <c r="M453" s="1" t="s">
        <v>176</v>
      </c>
      <c r="N453" s="59" t="s">
        <v>305</v>
      </c>
      <c r="O453" s="1" t="s">
        <v>2737</v>
      </c>
      <c r="P453" s="1"/>
      <c r="Q453" s="1">
        <f>IFERROR(COUNTIFS(_report[TOURNAMENT_CODE],ВСЕ_КОДЫ[[#This Row],[TOURNAMENT_CODE]],_report[CONTEST_CODE],ВСЕ_КОДЫ[[#This Row],[CONTEST_CODE]]),"-")</f>
        <v>0</v>
      </c>
      <c r="R453" s="1" t="str">
        <f>IFERROR(INDEX(_SCHEDULE_[],MATCH(ВСЕ_КОДЫ[[#This Row],[CONTEST_CODE]],_SCHEDULE_[CONTEST_CODE],0),MATCH($R$1,_SCHEDULE_[#Headers],0)),"-")</f>
        <v>ЗАВЕРШЕН</v>
      </c>
      <c r="S453" s="1" t="str">
        <f>IFERROR(INDEX(_group_[],MATCH(ВСЕ_КОДЫ[[#This Row],[CONTEST_CODE]],_group_[CONTEST_CODE],0),MATCH($S$1,_group_[#Headers],0)),"-")</f>
        <v>BANK</v>
      </c>
      <c r="T453" s="1" t="str">
        <f>IFERROR(INDEX(_INDICATOR_[],MATCH(ВСЕ_КОДЫ[[#This Row],[CONTEST_CODE]],_INDICATOR_[CONTEST_CODE],0),MATCH($T$1,_INDICATOR_[#Headers],0)),"-")</f>
        <v>WAIT</v>
      </c>
      <c r="U453" s="1" t="str">
        <f>IFERROR(INDEX(_reward_link_[],MATCH(ВСЕ_КОДЫ[[#This Row],[CONTEST_CODE]],_reward_link_[CONTEST_CODE],0),MATCH($U$1,_reward_link_[#Headers],0)),"-")</f>
        <v>BANK</v>
      </c>
      <c r="V453" s="1" t="str">
        <f>IFERROR(INDEX(_report[],MATCH(ВСЕ_КОДЫ[[#This Row],[CONTEST_CODE]],_report[CONTEST_CODE],0),MATCH($V$1,_report[#Headers],0)),"-")</f>
        <v>-</v>
      </c>
      <c r="W453" s="1" t="str">
        <f>IFERROR(INDEX(_reward_[],MATCH(ВСЕ_КОДЫ[[#This Row],[REWARD_CODE]],_reward_[REWARD_CODE],0),MATCH($W$1,_reward_[#Headers],0)),"-")</f>
        <v>Серебро#в первенстве КМ Хантер по сумме лимитов реализованных сделок</v>
      </c>
      <c r="X453" s="1" t="str">
        <f>IFERROR(INDEX(_group_[],MATCH(CONCATENATE(ВСЕ_КОДЫ[[#This Row],[CONTEST_CODE]],"_",X$2),#REF!,0),MATCH(X$1,_group_[#Headers],0)),"-")</f>
        <v>-</v>
      </c>
      <c r="Y453" s="1" t="str">
        <f>IFERROR(INDEX(_group_[],MATCH(CONCATENATE(ВСЕ_КОДЫ[[#This Row],[CONTEST_CODE]],"_",Y$2),#REF!,0),MATCH(Y$1,_group_[#Headers],0)),"-")</f>
        <v>-</v>
      </c>
      <c r="Z453" s="1" t="str">
        <f>IFERROR(INDEX(_group_[],MATCH(CONCATENATE(ВСЕ_КОДЫ[[#This Row],[CONTEST_CODE]],"_",Z$2),#REF!,0),MATCH(Z$1,_group_[#Headers],0)),"-")</f>
        <v>-</v>
      </c>
      <c r="AA453" s="1" t="str">
        <f>IFERROR(INDEX(_group_[],MATCH(CONCATENATE(ВСЕ_КОДЫ[[#This Row],[CONTEST_CODE]],"_",AA$2),#REF!,0),MATCH(AA$1,_group_[#Headers],0)),"-")</f>
        <v>-</v>
      </c>
      <c r="AB453" s="1" t="str">
        <f>IFERROR(INDEX(_DATA_[],MATCH(ВСЕ_КОДЫ[[#This Row],[CONTEST_CODE]],_DATA_[CONTEST_CODE],0),MATCH($AB$2,_DATA_[#Headers],0)),"-")</f>
        <v>["""KMFACTORING"""]</v>
      </c>
      <c r="AC453" s="1" t="str">
        <f>CONCATENATE(ВСЕ_КОДЫ[[#This Row],[CONTEST_CODE]],"_",ВСЕ_КОДЫ[[#This Row],[TOURNAMENT_CODE]])</f>
        <v>04_2025-0_15-1_1_t_04_2025-0_15-1_1_2011</v>
      </c>
      <c r="AD453" s="1" t="str">
        <f>ВСЕ_КОДЫ[[#This Row],[FULL_NAME]]</f>
        <v>Первенство КМ хантер по сумме лимитов реализованных сделок</v>
      </c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idden="1" x14ac:dyDescent="0.25">
      <c r="A454" s="1" t="s">
        <v>2216</v>
      </c>
      <c r="B454" s="1" t="s">
        <v>2553</v>
      </c>
      <c r="C454" s="1" t="s">
        <v>2329</v>
      </c>
      <c r="D454" s="60" t="s">
        <v>583</v>
      </c>
      <c r="E454" s="1" t="s">
        <v>2614</v>
      </c>
      <c r="F454" s="1" t="s">
        <v>2508</v>
      </c>
      <c r="G454" s="1" t="s">
        <v>2509</v>
      </c>
      <c r="H454" s="1" t="s">
        <v>34</v>
      </c>
      <c r="I454" s="1" t="s">
        <v>50</v>
      </c>
      <c r="J454" s="1" t="s">
        <v>2508</v>
      </c>
      <c r="K454" s="1" t="s">
        <v>2534</v>
      </c>
      <c r="L454" s="1" t="s">
        <v>4751</v>
      </c>
      <c r="M454" s="1" t="s">
        <v>176</v>
      </c>
      <c r="N454" s="59" t="s">
        <v>305</v>
      </c>
      <c r="O454" s="1" t="s">
        <v>2739</v>
      </c>
      <c r="P454" s="1"/>
      <c r="Q454" s="1">
        <f>IFERROR(COUNTIFS(_report[TOURNAMENT_CODE],ВСЕ_КОДЫ[[#This Row],[TOURNAMENT_CODE]],_report[CONTEST_CODE],ВСЕ_КОДЫ[[#This Row],[CONTEST_CODE]]),"-")</f>
        <v>0</v>
      </c>
      <c r="R454" s="1" t="str">
        <f>IFERROR(INDEX(_SCHEDULE_[],MATCH(ВСЕ_КОДЫ[[#This Row],[CONTEST_CODE]],_SCHEDULE_[CONTEST_CODE],0),MATCH($R$1,_SCHEDULE_[#Headers],0)),"-")</f>
        <v>ЗАВЕРШЕН</v>
      </c>
      <c r="S454" s="1" t="str">
        <f>IFERROR(INDEX(_group_[],MATCH(ВСЕ_КОДЫ[[#This Row],[CONTEST_CODE]],_group_[CONTEST_CODE],0),MATCH($S$1,_group_[#Headers],0)),"-")</f>
        <v>BANK</v>
      </c>
      <c r="T454" s="1" t="str">
        <f>IFERROR(INDEX(_INDICATOR_[],MATCH(ВСЕ_КОДЫ[[#This Row],[CONTEST_CODE]],_INDICATOR_[CONTEST_CODE],0),MATCH($T$1,_INDICATOR_[#Headers],0)),"-")</f>
        <v>WAIT</v>
      </c>
      <c r="U454" s="1" t="str">
        <f>IFERROR(INDEX(_reward_link_[],MATCH(ВСЕ_КОДЫ[[#This Row],[CONTEST_CODE]],_reward_link_[CONTEST_CODE],0),MATCH($U$1,_reward_link_[#Headers],0)),"-")</f>
        <v>BANK</v>
      </c>
      <c r="V454" s="1" t="str">
        <f>IFERROR(INDEX(_report[],MATCH(ВСЕ_КОДЫ[[#This Row],[CONTEST_CODE]],_report[CONTEST_CODE],0),MATCH($V$1,_report[#Headers],0)),"-")</f>
        <v>-</v>
      </c>
      <c r="W454" s="1" t="str">
        <f>IFERROR(INDEX(_reward_[],MATCH(ВСЕ_КОДЫ[[#This Row],[REWARD_CODE]],_reward_[REWARD_CODE],0),MATCH($W$1,_reward_[#Headers],0)),"-")</f>
        <v>Бронза#в первенстве КМ Хантер по сумме лимитов реализованных сделок</v>
      </c>
      <c r="X454" s="1" t="str">
        <f>IFERROR(INDEX(_group_[],MATCH(CONCATENATE(ВСЕ_КОДЫ[[#This Row],[CONTEST_CODE]],"_",X$2),#REF!,0),MATCH(X$1,_group_[#Headers],0)),"-")</f>
        <v>-</v>
      </c>
      <c r="Y454" s="1" t="str">
        <f>IFERROR(INDEX(_group_[],MATCH(CONCATENATE(ВСЕ_КОДЫ[[#This Row],[CONTEST_CODE]],"_",Y$2),#REF!,0),MATCH(Y$1,_group_[#Headers],0)),"-")</f>
        <v>-</v>
      </c>
      <c r="Z454" s="1" t="str">
        <f>IFERROR(INDEX(_group_[],MATCH(CONCATENATE(ВСЕ_КОДЫ[[#This Row],[CONTEST_CODE]],"_",Z$2),#REF!,0),MATCH(Z$1,_group_[#Headers],0)),"-")</f>
        <v>-</v>
      </c>
      <c r="AA454" s="1" t="str">
        <f>IFERROR(INDEX(_group_[],MATCH(CONCATENATE(ВСЕ_КОДЫ[[#This Row],[CONTEST_CODE]],"_",AA$2),#REF!,0),MATCH(AA$1,_group_[#Headers],0)),"-")</f>
        <v>-</v>
      </c>
      <c r="AB454" s="1" t="str">
        <f>IFERROR(INDEX(_DATA_[],MATCH(ВСЕ_КОДЫ[[#This Row],[CONTEST_CODE]],_DATA_[CONTEST_CODE],0),MATCH($AB$2,_DATA_[#Headers],0)),"-")</f>
        <v>["""KMFACTORING"""]</v>
      </c>
      <c r="AC454" s="1" t="str">
        <f>CONCATENATE(ВСЕ_КОДЫ[[#This Row],[CONTEST_CODE]],"_",ВСЕ_КОДЫ[[#This Row],[TOURNAMENT_CODE]])</f>
        <v>04_2025-0_15-1_1_t_04_2025-0_15-1_1_2011</v>
      </c>
      <c r="AD454" s="1" t="str">
        <f>ВСЕ_КОДЫ[[#This Row],[FULL_NAME]]</f>
        <v>Первенство КМ хантер по сумме лимитов реализованных сделок</v>
      </c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1" t="s">
        <v>2216</v>
      </c>
      <c r="B455" s="1" t="s">
        <v>3658</v>
      </c>
      <c r="C455" s="1" t="s">
        <v>2325</v>
      </c>
      <c r="D455" s="60" t="s">
        <v>583</v>
      </c>
      <c r="E455" s="1" t="s">
        <v>2614</v>
      </c>
      <c r="F455" s="1" t="s">
        <v>2508</v>
      </c>
      <c r="G455" s="1" t="s">
        <v>2509</v>
      </c>
      <c r="H455" s="1" t="s">
        <v>34</v>
      </c>
      <c r="I455" s="1" t="s">
        <v>50</v>
      </c>
      <c r="J455" s="1" t="s">
        <v>4019</v>
      </c>
      <c r="K455" s="1" t="s">
        <v>2542</v>
      </c>
      <c r="L455" s="1" t="s">
        <v>3659</v>
      </c>
      <c r="M455" s="1" t="s">
        <v>34</v>
      </c>
      <c r="N455" s="59" t="s">
        <v>305</v>
      </c>
      <c r="O455" s="1" t="s">
        <v>2735</v>
      </c>
      <c r="P455" s="1"/>
      <c r="Q455" s="1">
        <f>IFERROR(COUNTIFS(_report[TOURNAMENT_CODE],ВСЕ_КОДЫ[[#This Row],[TOURNAMENT_CODE]],_report[CONTEST_CODE],ВСЕ_КОДЫ[[#This Row],[CONTEST_CODE]]),"-")</f>
        <v>0</v>
      </c>
      <c r="R455" s="1" t="str">
        <f>IFERROR(INDEX(_SCHEDULE_[],MATCH(ВСЕ_КОДЫ[[#This Row],[CONTEST_CODE]],_SCHEDULE_[CONTEST_CODE],0),MATCH($R$1,_SCHEDULE_[#Headers],0)),"-")</f>
        <v>ЗАВЕРШЕН</v>
      </c>
      <c r="S455" s="1" t="str">
        <f>IFERROR(INDEX(_group_[],MATCH(ВСЕ_КОДЫ[[#This Row],[CONTEST_CODE]],_group_[CONTEST_CODE],0),MATCH($S$1,_group_[#Headers],0)),"-")</f>
        <v>BANK</v>
      </c>
      <c r="T455" s="1" t="str">
        <f>IFERROR(INDEX(_INDICATOR_[],MATCH(ВСЕ_КОДЫ[[#This Row],[CONTEST_CODE]],_INDICATOR_[CONTEST_CODE],0),MATCH($T$1,_INDICATOR_[#Headers],0)),"-")</f>
        <v>WAIT</v>
      </c>
      <c r="U455" s="1" t="str">
        <f>IFERROR(INDEX(_reward_link_[],MATCH(ВСЕ_КОДЫ[[#This Row],[CONTEST_CODE]],_reward_link_[CONTEST_CODE],0),MATCH($U$1,_reward_link_[#Headers],0)),"-")</f>
        <v>BANK</v>
      </c>
      <c r="V455" s="1" t="str">
        <f>IFERROR(INDEX(_report[],MATCH(ВСЕ_КОДЫ[[#This Row],[CONTEST_CODE]],_report[CONTEST_CODE],0),MATCH($V$1,_report[#Headers],0)),"-")</f>
        <v>-</v>
      </c>
      <c r="W455" s="1" t="str">
        <f>IFERROR(INDEX(_reward_[],MATCH(ВСЕ_КОДЫ[[#This Row],[REWARD_CODE]],_reward_[REWARD_CODE],0),MATCH($W$1,_reward_[#Headers],0)),"-")</f>
        <v>Золото#в первенстве КМ Хантер по сумме лимитов реализованных сделок</v>
      </c>
      <c r="X455" s="1" t="str">
        <f>IFERROR(INDEX(_group_[],MATCH(CONCATENATE(ВСЕ_КОДЫ[[#This Row],[CONTEST_CODE]],"_",X$2),#REF!,0),MATCH(X$1,_group_[#Headers],0)),"-")</f>
        <v>-</v>
      </c>
      <c r="Y455" s="1" t="str">
        <f>IFERROR(INDEX(_group_[],MATCH(CONCATENATE(ВСЕ_КОДЫ[[#This Row],[CONTEST_CODE]],"_",Y$2),#REF!,0),MATCH(Y$1,_group_[#Headers],0)),"-")</f>
        <v>-</v>
      </c>
      <c r="Z455" s="1" t="str">
        <f>IFERROR(INDEX(_group_[],MATCH(CONCATENATE(ВСЕ_КОДЫ[[#This Row],[CONTEST_CODE]],"_",Z$2),#REF!,0),MATCH(Z$1,_group_[#Headers],0)),"-")</f>
        <v>-</v>
      </c>
      <c r="AA455" s="1" t="str">
        <f>IFERROR(INDEX(_group_[],MATCH(CONCATENATE(ВСЕ_КОДЫ[[#This Row],[CONTEST_CODE]],"_",AA$2),#REF!,0),MATCH(AA$1,_group_[#Headers],0)),"-")</f>
        <v>-</v>
      </c>
      <c r="AB455" s="1" t="str">
        <f>IFERROR(INDEX(_DATA_[],MATCH(ВСЕ_КОДЫ[[#This Row],[CONTEST_CODE]],_DATA_[CONTEST_CODE],0),MATCH($AB$2,_DATA_[#Headers],0)),"-")</f>
        <v>["""KMFACTORING"""]</v>
      </c>
      <c r="AC455" s="1" t="str">
        <f>CONCATENATE(ВСЕ_КОДЫ[[#This Row],[CONTEST_CODE]],"_",ВСЕ_КОДЫ[[#This Row],[TOURNAMENT_CODE]])</f>
        <v>04_2025-0_15-1_1_t_04_2025-0_15-1_1_2021</v>
      </c>
      <c r="AD455" s="1" t="str">
        <f>ВСЕ_КОДЫ[[#This Row],[FULL_NAME]]</f>
        <v>Первенство КМ хантер по сумме лимитов реализованных сделок</v>
      </c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1" t="s">
        <v>2216</v>
      </c>
      <c r="B456" s="1" t="s">
        <v>3658</v>
      </c>
      <c r="C456" s="1" t="s">
        <v>2327</v>
      </c>
      <c r="D456" s="60" t="s">
        <v>583</v>
      </c>
      <c r="E456" s="1" t="s">
        <v>2614</v>
      </c>
      <c r="F456" s="1" t="s">
        <v>2508</v>
      </c>
      <c r="G456" s="1" t="s">
        <v>2509</v>
      </c>
      <c r="H456" s="1" t="s">
        <v>34</v>
      </c>
      <c r="I456" s="1" t="s">
        <v>50</v>
      </c>
      <c r="J456" s="1" t="s">
        <v>4019</v>
      </c>
      <c r="K456" s="1" t="s">
        <v>2542</v>
      </c>
      <c r="L456" s="1" t="s">
        <v>3659</v>
      </c>
      <c r="M456" s="1" t="s">
        <v>34</v>
      </c>
      <c r="N456" s="59" t="s">
        <v>305</v>
      </c>
      <c r="O456" s="1" t="s">
        <v>2737</v>
      </c>
      <c r="P456" s="1"/>
      <c r="Q456" s="1">
        <f>IFERROR(COUNTIFS(_report[TOURNAMENT_CODE],ВСЕ_КОДЫ[[#This Row],[TOURNAMENT_CODE]],_report[CONTEST_CODE],ВСЕ_КОДЫ[[#This Row],[CONTEST_CODE]]),"-")</f>
        <v>0</v>
      </c>
      <c r="R456" s="1" t="str">
        <f>IFERROR(INDEX(_SCHEDULE_[],MATCH(ВСЕ_КОДЫ[[#This Row],[CONTEST_CODE]],_SCHEDULE_[CONTEST_CODE],0),MATCH($R$1,_SCHEDULE_[#Headers],0)),"-")</f>
        <v>ЗАВЕРШЕН</v>
      </c>
      <c r="S456" s="1" t="str">
        <f>IFERROR(INDEX(_group_[],MATCH(ВСЕ_КОДЫ[[#This Row],[CONTEST_CODE]],_group_[CONTEST_CODE],0),MATCH($S$1,_group_[#Headers],0)),"-")</f>
        <v>BANK</v>
      </c>
      <c r="T456" s="1" t="str">
        <f>IFERROR(INDEX(_INDICATOR_[],MATCH(ВСЕ_КОДЫ[[#This Row],[CONTEST_CODE]],_INDICATOR_[CONTEST_CODE],0),MATCH($T$1,_INDICATOR_[#Headers],0)),"-")</f>
        <v>WAIT</v>
      </c>
      <c r="U456" s="1" t="str">
        <f>IFERROR(INDEX(_reward_link_[],MATCH(ВСЕ_КОДЫ[[#This Row],[CONTEST_CODE]],_reward_link_[CONTEST_CODE],0),MATCH($U$1,_reward_link_[#Headers],0)),"-")</f>
        <v>BANK</v>
      </c>
      <c r="V456" s="1" t="str">
        <f>IFERROR(INDEX(_report[],MATCH(ВСЕ_КОДЫ[[#This Row],[CONTEST_CODE]],_report[CONTEST_CODE],0),MATCH($V$1,_report[#Headers],0)),"-")</f>
        <v>-</v>
      </c>
      <c r="W456" s="1" t="str">
        <f>IFERROR(INDEX(_reward_[],MATCH(ВСЕ_КОДЫ[[#This Row],[REWARD_CODE]],_reward_[REWARD_CODE],0),MATCH($W$1,_reward_[#Headers],0)),"-")</f>
        <v>Серебро#в первенстве КМ Хантер по сумме лимитов реализованных сделок</v>
      </c>
      <c r="X456" s="1" t="str">
        <f>IFERROR(INDEX(_group_[],MATCH(CONCATENATE(ВСЕ_КОДЫ[[#This Row],[CONTEST_CODE]],"_",X$2),#REF!,0),MATCH(X$1,_group_[#Headers],0)),"-")</f>
        <v>-</v>
      </c>
      <c r="Y456" s="1" t="str">
        <f>IFERROR(INDEX(_group_[],MATCH(CONCATENATE(ВСЕ_КОДЫ[[#This Row],[CONTEST_CODE]],"_",Y$2),#REF!,0),MATCH(Y$1,_group_[#Headers],0)),"-")</f>
        <v>-</v>
      </c>
      <c r="Z456" s="1" t="str">
        <f>IFERROR(INDEX(_group_[],MATCH(CONCATENATE(ВСЕ_КОДЫ[[#This Row],[CONTEST_CODE]],"_",Z$2),#REF!,0),MATCH(Z$1,_group_[#Headers],0)),"-")</f>
        <v>-</v>
      </c>
      <c r="AA456" s="1" t="str">
        <f>IFERROR(INDEX(_group_[],MATCH(CONCATENATE(ВСЕ_КОДЫ[[#This Row],[CONTEST_CODE]],"_",AA$2),#REF!,0),MATCH(AA$1,_group_[#Headers],0)),"-")</f>
        <v>-</v>
      </c>
      <c r="AB456" s="1" t="str">
        <f>IFERROR(INDEX(_DATA_[],MATCH(ВСЕ_КОДЫ[[#This Row],[CONTEST_CODE]],_DATA_[CONTEST_CODE],0),MATCH($AB$2,_DATA_[#Headers],0)),"-")</f>
        <v>["""KMFACTORING"""]</v>
      </c>
      <c r="AC456" s="1" t="str">
        <f>CONCATENATE(ВСЕ_КОДЫ[[#This Row],[CONTEST_CODE]],"_",ВСЕ_КОДЫ[[#This Row],[TOURNAMENT_CODE]])</f>
        <v>04_2025-0_15-1_1_t_04_2025-0_15-1_1_2021</v>
      </c>
      <c r="AD456" s="1" t="str">
        <f>ВСЕ_КОДЫ[[#This Row],[FULL_NAME]]</f>
        <v>Первенство КМ хантер по сумме лимитов реализованных сделок</v>
      </c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1" t="s">
        <v>2216</v>
      </c>
      <c r="B457" s="1" t="s">
        <v>3658</v>
      </c>
      <c r="C457" s="1" t="s">
        <v>2329</v>
      </c>
      <c r="D457" s="60" t="s">
        <v>583</v>
      </c>
      <c r="E457" s="1" t="s">
        <v>2614</v>
      </c>
      <c r="F457" s="1" t="s">
        <v>2508</v>
      </c>
      <c r="G457" s="1" t="s">
        <v>2509</v>
      </c>
      <c r="H457" s="1" t="s">
        <v>34</v>
      </c>
      <c r="I457" s="1" t="s">
        <v>50</v>
      </c>
      <c r="J457" s="1" t="s">
        <v>4019</v>
      </c>
      <c r="K457" s="1" t="s">
        <v>2542</v>
      </c>
      <c r="L457" s="1" t="s">
        <v>3659</v>
      </c>
      <c r="M457" s="1" t="s">
        <v>34</v>
      </c>
      <c r="N457" s="59" t="s">
        <v>305</v>
      </c>
      <c r="O457" s="1" t="s">
        <v>2739</v>
      </c>
      <c r="P457" s="1"/>
      <c r="Q457" s="1">
        <f>IFERROR(COUNTIFS(_report[TOURNAMENT_CODE],ВСЕ_КОДЫ[[#This Row],[TOURNAMENT_CODE]],_report[CONTEST_CODE],ВСЕ_КОДЫ[[#This Row],[CONTEST_CODE]]),"-")</f>
        <v>0</v>
      </c>
      <c r="R457" s="1" t="str">
        <f>IFERROR(INDEX(_SCHEDULE_[],MATCH(ВСЕ_КОДЫ[[#This Row],[CONTEST_CODE]],_SCHEDULE_[CONTEST_CODE],0),MATCH($R$1,_SCHEDULE_[#Headers],0)),"-")</f>
        <v>ЗАВЕРШЕН</v>
      </c>
      <c r="S457" s="1" t="str">
        <f>IFERROR(INDEX(_group_[],MATCH(ВСЕ_КОДЫ[[#This Row],[CONTEST_CODE]],_group_[CONTEST_CODE],0),MATCH($S$1,_group_[#Headers],0)),"-")</f>
        <v>BANK</v>
      </c>
      <c r="T457" s="1" t="str">
        <f>IFERROR(INDEX(_INDICATOR_[],MATCH(ВСЕ_КОДЫ[[#This Row],[CONTEST_CODE]],_INDICATOR_[CONTEST_CODE],0),MATCH($T$1,_INDICATOR_[#Headers],0)),"-")</f>
        <v>WAIT</v>
      </c>
      <c r="U457" s="1" t="str">
        <f>IFERROR(INDEX(_reward_link_[],MATCH(ВСЕ_КОДЫ[[#This Row],[CONTEST_CODE]],_reward_link_[CONTEST_CODE],0),MATCH($U$1,_reward_link_[#Headers],0)),"-")</f>
        <v>BANK</v>
      </c>
      <c r="V457" s="1" t="str">
        <f>IFERROR(INDEX(_report[],MATCH(ВСЕ_КОДЫ[[#This Row],[CONTEST_CODE]],_report[CONTEST_CODE],0),MATCH($V$1,_report[#Headers],0)),"-")</f>
        <v>-</v>
      </c>
      <c r="W457" s="1" t="str">
        <f>IFERROR(INDEX(_reward_[],MATCH(ВСЕ_КОДЫ[[#This Row],[REWARD_CODE]],_reward_[REWARD_CODE],0),MATCH($W$1,_reward_[#Headers],0)),"-")</f>
        <v>Бронза#в первенстве КМ Хантер по сумме лимитов реализованных сделок</v>
      </c>
      <c r="X457" s="1" t="str">
        <f>IFERROR(INDEX(_group_[],MATCH(CONCATENATE(ВСЕ_КОДЫ[[#This Row],[CONTEST_CODE]],"_",X$2),#REF!,0),MATCH(X$1,_group_[#Headers],0)),"-")</f>
        <v>-</v>
      </c>
      <c r="Y457" s="1" t="str">
        <f>IFERROR(INDEX(_group_[],MATCH(CONCATENATE(ВСЕ_КОДЫ[[#This Row],[CONTEST_CODE]],"_",Y$2),#REF!,0),MATCH(Y$1,_group_[#Headers],0)),"-")</f>
        <v>-</v>
      </c>
      <c r="Z457" s="1" t="str">
        <f>IFERROR(INDEX(_group_[],MATCH(CONCATENATE(ВСЕ_КОДЫ[[#This Row],[CONTEST_CODE]],"_",Z$2),#REF!,0),MATCH(Z$1,_group_[#Headers],0)),"-")</f>
        <v>-</v>
      </c>
      <c r="AA457" s="1" t="str">
        <f>IFERROR(INDEX(_group_[],MATCH(CONCATENATE(ВСЕ_КОДЫ[[#This Row],[CONTEST_CODE]],"_",AA$2),#REF!,0),MATCH(AA$1,_group_[#Headers],0)),"-")</f>
        <v>-</v>
      </c>
      <c r="AB457" s="1" t="str">
        <f>IFERROR(INDEX(_DATA_[],MATCH(ВСЕ_КОДЫ[[#This Row],[CONTEST_CODE]],_DATA_[CONTEST_CODE],0),MATCH($AB$2,_DATA_[#Headers],0)),"-")</f>
        <v>["""KMFACTORING"""]</v>
      </c>
      <c r="AC457" s="1" t="str">
        <f>CONCATENATE(ВСЕ_КОДЫ[[#This Row],[CONTEST_CODE]],"_",ВСЕ_КОДЫ[[#This Row],[TOURNAMENT_CODE]])</f>
        <v>04_2025-0_15-1_1_t_04_2025-0_15-1_1_2021</v>
      </c>
      <c r="AD457" s="1" t="str">
        <f>ВСЕ_КОДЫ[[#This Row],[FULL_NAME]]</f>
        <v>Первенство КМ хантер по сумме лимитов реализованных сделок</v>
      </c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idden="1" x14ac:dyDescent="0.25">
      <c r="A458" s="1" t="s">
        <v>2218</v>
      </c>
      <c r="B458" s="1" t="s">
        <v>2556</v>
      </c>
      <c r="C458" s="1" t="s">
        <v>2331</v>
      </c>
      <c r="D458" s="60" t="s">
        <v>583</v>
      </c>
      <c r="E458" s="1" t="s">
        <v>2616</v>
      </c>
      <c r="F458" s="1" t="s">
        <v>2508</v>
      </c>
      <c r="G458" s="1" t="s">
        <v>2509</v>
      </c>
      <c r="H458" s="1" t="s">
        <v>34</v>
      </c>
      <c r="I458" s="1" t="s">
        <v>50</v>
      </c>
      <c r="J458" s="1" t="s">
        <v>2508</v>
      </c>
      <c r="K458" s="1" t="s">
        <v>2534</v>
      </c>
      <c r="L458" s="1" t="s">
        <v>4751</v>
      </c>
      <c r="M458" s="1" t="s">
        <v>176</v>
      </c>
      <c r="N458" s="59" t="s">
        <v>305</v>
      </c>
      <c r="O458" s="1" t="s">
        <v>2741</v>
      </c>
      <c r="P458" s="1"/>
      <c r="Q458" s="1">
        <f>IFERROR(COUNTIFS(_report[TOURNAMENT_CODE],ВСЕ_КОДЫ[[#This Row],[TOURNAMENT_CODE]],_report[CONTEST_CODE],ВСЕ_КОДЫ[[#This Row],[CONTEST_CODE]]),"-")</f>
        <v>0</v>
      </c>
      <c r="R458" s="1" t="str">
        <f>IFERROR(INDEX(_SCHEDULE_[],MATCH(ВСЕ_КОДЫ[[#This Row],[CONTEST_CODE]],_SCHEDULE_[CONTEST_CODE],0),MATCH($R$1,_SCHEDULE_[#Headers],0)),"-")</f>
        <v>ЗАВЕРШЕН</v>
      </c>
      <c r="S458" s="1" t="str">
        <f>IFERROR(INDEX(_group_[],MATCH(ВСЕ_КОДЫ[[#This Row],[CONTEST_CODE]],_group_[CONTEST_CODE],0),MATCH($S$1,_group_[#Headers],0)),"-")</f>
        <v>BANK</v>
      </c>
      <c r="T458" s="1" t="str">
        <f>IFERROR(INDEX(_INDICATOR_[],MATCH(ВСЕ_КОДЫ[[#This Row],[CONTEST_CODE]],_INDICATOR_[CONTEST_CODE],0),MATCH($T$1,_INDICATOR_[#Headers],0)),"-")</f>
        <v>WAIT</v>
      </c>
      <c r="U458" s="1" t="str">
        <f>IFERROR(INDEX(_reward_link_[],MATCH(ВСЕ_КОДЫ[[#This Row],[CONTEST_CODE]],_reward_link_[CONTEST_CODE],0),MATCH($U$1,_reward_link_[#Headers],0)),"-")</f>
        <v>BANK</v>
      </c>
      <c r="V458" s="1" t="str">
        <f>IFERROR(INDEX(_report[],MATCH(ВСЕ_КОДЫ[[#This Row],[CONTEST_CODE]],_report[CONTEST_CODE],0),MATCH($V$1,_report[#Headers],0)),"-")</f>
        <v>-</v>
      </c>
      <c r="W458" s="1" t="str">
        <f>IFERROR(INDEX(_reward_[],MATCH(ВСЕ_КОДЫ[[#This Row],[REWARD_CODE]],_reward_[REWARD_CODE],0),MATCH($W$1,_reward_[#Headers],0)),"-")</f>
        <v>Золото#по приросту СДО новых денег среди МРБ</v>
      </c>
      <c r="X458" s="1" t="str">
        <f>IFERROR(INDEX(_group_[],MATCH(CONCATENATE(ВСЕ_КОДЫ[[#This Row],[CONTEST_CODE]],"_",X$2),#REF!,0),MATCH(X$1,_group_[#Headers],0)),"-")</f>
        <v>-</v>
      </c>
      <c r="Y458" s="1" t="str">
        <f>IFERROR(INDEX(_group_[],MATCH(CONCATENATE(ВСЕ_КОДЫ[[#This Row],[CONTEST_CODE]],"_",Y$2),#REF!,0),MATCH(Y$1,_group_[#Headers],0)),"-")</f>
        <v>-</v>
      </c>
      <c r="Z458" s="1" t="str">
        <f>IFERROR(INDEX(_group_[],MATCH(CONCATENATE(ВСЕ_КОДЫ[[#This Row],[CONTEST_CODE]],"_",Z$2),#REF!,0),MATCH(Z$1,_group_[#Headers],0)),"-")</f>
        <v>-</v>
      </c>
      <c r="AA458" s="1" t="str">
        <f>IFERROR(INDEX(_group_[],MATCH(CONCATENATE(ВСЕ_КОДЫ[[#This Row],[CONTEST_CODE]],"_",AA$2),#REF!,0),MATCH(AA$1,_group_[#Headers],0)),"-")</f>
        <v>-</v>
      </c>
      <c r="AB458" s="1" t="str">
        <f>IFERROR(INDEX(_DATA_[],MATCH(ВСЕ_КОДЫ[[#This Row],[CONTEST_CODE]],_DATA_[CONTEST_CODE],0),MATCH($AB$2,_DATA_[#Headers],0)),"-")</f>
        <v>["""KMFACTORING"""]</v>
      </c>
      <c r="AC458" s="1" t="str">
        <f>CONCATENATE(ВСЕ_КОДЫ[[#This Row],[CONTEST_CODE]],"_",ВСЕ_КОДЫ[[#This Row],[TOURNAMENT_CODE]])</f>
        <v>04_2025-0_15-1_2_t_04_2025-0_15-1_2_2011</v>
      </c>
      <c r="AD458" s="1" t="str">
        <f>ВСЕ_КОДЫ[[#This Row],[FULL_NAME]]</f>
        <v>Новые деньги. Наращиваем СДО (МРБ)</v>
      </c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idden="1" x14ac:dyDescent="0.25">
      <c r="A459" s="1" t="s">
        <v>2218</v>
      </c>
      <c r="B459" s="1" t="s">
        <v>2556</v>
      </c>
      <c r="C459" s="1" t="s">
        <v>2333</v>
      </c>
      <c r="D459" s="60" t="s">
        <v>583</v>
      </c>
      <c r="E459" s="1" t="s">
        <v>2616</v>
      </c>
      <c r="F459" s="1" t="s">
        <v>2508</v>
      </c>
      <c r="G459" s="1" t="s">
        <v>2509</v>
      </c>
      <c r="H459" s="1" t="s">
        <v>34</v>
      </c>
      <c r="I459" s="1" t="s">
        <v>50</v>
      </c>
      <c r="J459" s="1" t="s">
        <v>2508</v>
      </c>
      <c r="K459" s="1" t="s">
        <v>2534</v>
      </c>
      <c r="L459" s="1" t="s">
        <v>4751</v>
      </c>
      <c r="M459" s="1" t="s">
        <v>176</v>
      </c>
      <c r="N459" s="59" t="s">
        <v>305</v>
      </c>
      <c r="O459" s="1" t="s">
        <v>2742</v>
      </c>
      <c r="P459" s="1"/>
      <c r="Q459" s="1">
        <f>IFERROR(COUNTIFS(_report[TOURNAMENT_CODE],ВСЕ_КОДЫ[[#This Row],[TOURNAMENT_CODE]],_report[CONTEST_CODE],ВСЕ_КОДЫ[[#This Row],[CONTEST_CODE]]),"-")</f>
        <v>0</v>
      </c>
      <c r="R459" s="1" t="str">
        <f>IFERROR(INDEX(_SCHEDULE_[],MATCH(ВСЕ_КОДЫ[[#This Row],[CONTEST_CODE]],_SCHEDULE_[CONTEST_CODE],0),MATCH($R$1,_SCHEDULE_[#Headers],0)),"-")</f>
        <v>ЗАВЕРШЕН</v>
      </c>
      <c r="S459" s="1" t="str">
        <f>IFERROR(INDEX(_group_[],MATCH(ВСЕ_КОДЫ[[#This Row],[CONTEST_CODE]],_group_[CONTEST_CODE],0),MATCH($S$1,_group_[#Headers],0)),"-")</f>
        <v>BANK</v>
      </c>
      <c r="T459" s="1" t="str">
        <f>IFERROR(INDEX(_INDICATOR_[],MATCH(ВСЕ_КОДЫ[[#This Row],[CONTEST_CODE]],_INDICATOR_[CONTEST_CODE],0),MATCH($T$1,_INDICATOR_[#Headers],0)),"-")</f>
        <v>WAIT</v>
      </c>
      <c r="U459" s="1" t="str">
        <f>IFERROR(INDEX(_reward_link_[],MATCH(ВСЕ_КОДЫ[[#This Row],[CONTEST_CODE]],_reward_link_[CONTEST_CODE],0),MATCH($U$1,_reward_link_[#Headers],0)),"-")</f>
        <v>BANK</v>
      </c>
      <c r="V459" s="1" t="str">
        <f>IFERROR(INDEX(_report[],MATCH(ВСЕ_КОДЫ[[#This Row],[CONTEST_CODE]],_report[CONTEST_CODE],0),MATCH($V$1,_report[#Headers],0)),"-")</f>
        <v>-</v>
      </c>
      <c r="W459" s="1" t="str">
        <f>IFERROR(INDEX(_reward_[],MATCH(ВСЕ_КОДЫ[[#This Row],[REWARD_CODE]],_reward_[REWARD_CODE],0),MATCH($W$1,_reward_[#Headers],0)),"-")</f>
        <v>Серебро#по приросту СДО новых денег среди МРБ</v>
      </c>
      <c r="X459" s="1" t="str">
        <f>IFERROR(INDEX(_group_[],MATCH(CONCATENATE(ВСЕ_КОДЫ[[#This Row],[CONTEST_CODE]],"_",X$2),#REF!,0),MATCH(X$1,_group_[#Headers],0)),"-")</f>
        <v>-</v>
      </c>
      <c r="Y459" s="1" t="str">
        <f>IFERROR(INDEX(_group_[],MATCH(CONCATENATE(ВСЕ_КОДЫ[[#This Row],[CONTEST_CODE]],"_",Y$2),#REF!,0),MATCH(Y$1,_group_[#Headers],0)),"-")</f>
        <v>-</v>
      </c>
      <c r="Z459" s="1" t="str">
        <f>IFERROR(INDEX(_group_[],MATCH(CONCATENATE(ВСЕ_КОДЫ[[#This Row],[CONTEST_CODE]],"_",Z$2),#REF!,0),MATCH(Z$1,_group_[#Headers],0)),"-")</f>
        <v>-</v>
      </c>
      <c r="AA459" s="1" t="str">
        <f>IFERROR(INDEX(_group_[],MATCH(CONCATENATE(ВСЕ_КОДЫ[[#This Row],[CONTEST_CODE]],"_",AA$2),#REF!,0),MATCH(AA$1,_group_[#Headers],0)),"-")</f>
        <v>-</v>
      </c>
      <c r="AB459" s="1" t="str">
        <f>IFERROR(INDEX(_DATA_[],MATCH(ВСЕ_КОДЫ[[#This Row],[CONTEST_CODE]],_DATA_[CONTEST_CODE],0),MATCH($AB$2,_DATA_[#Headers],0)),"-")</f>
        <v>["""KMFACTORING"""]</v>
      </c>
      <c r="AC459" s="1" t="str">
        <f>CONCATENATE(ВСЕ_КОДЫ[[#This Row],[CONTEST_CODE]],"_",ВСЕ_КОДЫ[[#This Row],[TOURNAMENT_CODE]])</f>
        <v>04_2025-0_15-1_2_t_04_2025-0_15-1_2_2011</v>
      </c>
      <c r="AD459" s="1" t="str">
        <f>ВСЕ_КОДЫ[[#This Row],[FULL_NAME]]</f>
        <v>Новые деньги. Наращиваем СДО (МРБ)</v>
      </c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idden="1" x14ac:dyDescent="0.25">
      <c r="A460" s="1" t="s">
        <v>2218</v>
      </c>
      <c r="B460" s="1" t="s">
        <v>2556</v>
      </c>
      <c r="C460" s="1" t="s">
        <v>2335</v>
      </c>
      <c r="D460" s="60" t="s">
        <v>583</v>
      </c>
      <c r="E460" s="1" t="s">
        <v>2616</v>
      </c>
      <c r="F460" s="1" t="s">
        <v>2508</v>
      </c>
      <c r="G460" s="1" t="s">
        <v>2509</v>
      </c>
      <c r="H460" s="1" t="s">
        <v>34</v>
      </c>
      <c r="I460" s="1" t="s">
        <v>50</v>
      </c>
      <c r="J460" s="1" t="s">
        <v>2508</v>
      </c>
      <c r="K460" s="1" t="s">
        <v>2534</v>
      </c>
      <c r="L460" s="1" t="s">
        <v>4751</v>
      </c>
      <c r="M460" s="1" t="s">
        <v>176</v>
      </c>
      <c r="N460" s="59" t="s">
        <v>305</v>
      </c>
      <c r="O460" s="1" t="s">
        <v>2743</v>
      </c>
      <c r="P460" s="1"/>
      <c r="Q460" s="1">
        <f>IFERROR(COUNTIFS(_report[TOURNAMENT_CODE],ВСЕ_КОДЫ[[#This Row],[TOURNAMENT_CODE]],_report[CONTEST_CODE],ВСЕ_КОДЫ[[#This Row],[CONTEST_CODE]]),"-")</f>
        <v>0</v>
      </c>
      <c r="R460" s="1" t="str">
        <f>IFERROR(INDEX(_SCHEDULE_[],MATCH(ВСЕ_КОДЫ[[#This Row],[CONTEST_CODE]],_SCHEDULE_[CONTEST_CODE],0),MATCH($R$1,_SCHEDULE_[#Headers],0)),"-")</f>
        <v>ЗАВЕРШЕН</v>
      </c>
      <c r="S460" s="1" t="str">
        <f>IFERROR(INDEX(_group_[],MATCH(ВСЕ_КОДЫ[[#This Row],[CONTEST_CODE]],_group_[CONTEST_CODE],0),MATCH($S$1,_group_[#Headers],0)),"-")</f>
        <v>BANK</v>
      </c>
      <c r="T460" s="1" t="str">
        <f>IFERROR(INDEX(_INDICATOR_[],MATCH(ВСЕ_КОДЫ[[#This Row],[CONTEST_CODE]],_INDICATOR_[CONTEST_CODE],0),MATCH($T$1,_INDICATOR_[#Headers],0)),"-")</f>
        <v>WAIT</v>
      </c>
      <c r="U460" s="1" t="str">
        <f>IFERROR(INDEX(_reward_link_[],MATCH(ВСЕ_КОДЫ[[#This Row],[CONTEST_CODE]],_reward_link_[CONTEST_CODE],0),MATCH($U$1,_reward_link_[#Headers],0)),"-")</f>
        <v>BANK</v>
      </c>
      <c r="V460" s="1" t="str">
        <f>IFERROR(INDEX(_report[],MATCH(ВСЕ_КОДЫ[[#This Row],[CONTEST_CODE]],_report[CONTEST_CODE],0),MATCH($V$1,_report[#Headers],0)),"-")</f>
        <v>-</v>
      </c>
      <c r="W460" s="1" t="str">
        <f>IFERROR(INDEX(_reward_[],MATCH(ВСЕ_КОДЫ[[#This Row],[REWARD_CODE]],_reward_[REWARD_CODE],0),MATCH($W$1,_reward_[#Headers],0)),"-")</f>
        <v>Бронза#по приросту СДО новых денег среди МРБ</v>
      </c>
      <c r="X460" s="1" t="str">
        <f>IFERROR(INDEX(_group_[],MATCH(CONCATENATE(ВСЕ_КОДЫ[[#This Row],[CONTEST_CODE]],"_",X$2),#REF!,0),MATCH(X$1,_group_[#Headers],0)),"-")</f>
        <v>-</v>
      </c>
      <c r="Y460" s="1" t="str">
        <f>IFERROR(INDEX(_group_[],MATCH(CONCATENATE(ВСЕ_КОДЫ[[#This Row],[CONTEST_CODE]],"_",Y$2),#REF!,0),MATCH(Y$1,_group_[#Headers],0)),"-")</f>
        <v>-</v>
      </c>
      <c r="Z460" s="1" t="str">
        <f>IFERROR(INDEX(_group_[],MATCH(CONCATENATE(ВСЕ_КОДЫ[[#This Row],[CONTEST_CODE]],"_",Z$2),#REF!,0),MATCH(Z$1,_group_[#Headers],0)),"-")</f>
        <v>-</v>
      </c>
      <c r="AA460" s="1" t="str">
        <f>IFERROR(INDEX(_group_[],MATCH(CONCATENATE(ВСЕ_КОДЫ[[#This Row],[CONTEST_CODE]],"_",AA$2),#REF!,0),MATCH(AA$1,_group_[#Headers],0)),"-")</f>
        <v>-</v>
      </c>
      <c r="AB460" s="1" t="str">
        <f>IFERROR(INDEX(_DATA_[],MATCH(ВСЕ_КОДЫ[[#This Row],[CONTEST_CODE]],_DATA_[CONTEST_CODE],0),MATCH($AB$2,_DATA_[#Headers],0)),"-")</f>
        <v>["""KMFACTORING"""]</v>
      </c>
      <c r="AC460" t="str">
        <f>CONCATENATE(ВСЕ_КОДЫ[[#This Row],[CONTEST_CODE]],"_",ВСЕ_КОДЫ[[#This Row],[TOURNAMENT_CODE]])</f>
        <v>04_2025-0_15-1_2_t_04_2025-0_15-1_2_2011</v>
      </c>
      <c r="AD460" t="str">
        <f>ВСЕ_КОДЫ[[#This Row],[FULL_NAME]]</f>
        <v>Новые деньги. Наращиваем СДО (МРБ)</v>
      </c>
    </row>
    <row r="461" spans="1:40" x14ac:dyDescent="0.25">
      <c r="A461" s="1" t="s">
        <v>2218</v>
      </c>
      <c r="B461" s="1" t="s">
        <v>3661</v>
      </c>
      <c r="C461" s="1" t="s">
        <v>2331</v>
      </c>
      <c r="D461" s="60" t="s">
        <v>583</v>
      </c>
      <c r="E461" s="1" t="s">
        <v>2616</v>
      </c>
      <c r="F461" s="1" t="s">
        <v>2508</v>
      </c>
      <c r="G461" s="1" t="s">
        <v>2509</v>
      </c>
      <c r="H461" s="1" t="s">
        <v>34</v>
      </c>
      <c r="I461" s="1" t="s">
        <v>50</v>
      </c>
      <c r="J461" s="1" t="s">
        <v>4019</v>
      </c>
      <c r="K461" s="1" t="s">
        <v>2542</v>
      </c>
      <c r="L461" s="1" t="s">
        <v>3659</v>
      </c>
      <c r="M461" s="1" t="s">
        <v>34</v>
      </c>
      <c r="N461" s="59" t="s">
        <v>305</v>
      </c>
      <c r="O461" s="1" t="s">
        <v>2741</v>
      </c>
      <c r="P461" s="1"/>
      <c r="Q461" s="1">
        <f>IFERROR(COUNTIFS(_report[TOURNAMENT_CODE],ВСЕ_КОДЫ[[#This Row],[TOURNAMENT_CODE]],_report[CONTEST_CODE],ВСЕ_КОДЫ[[#This Row],[CONTEST_CODE]]),"-")</f>
        <v>0</v>
      </c>
      <c r="R461" s="1" t="str">
        <f>IFERROR(INDEX(_SCHEDULE_[],MATCH(ВСЕ_КОДЫ[[#This Row],[CONTEST_CODE]],_SCHEDULE_[CONTEST_CODE],0),MATCH($R$1,_SCHEDULE_[#Headers],0)),"-")</f>
        <v>ЗАВЕРШЕН</v>
      </c>
      <c r="S461" s="1" t="str">
        <f>IFERROR(INDEX(_group_[],MATCH(ВСЕ_КОДЫ[[#This Row],[CONTEST_CODE]],_group_[CONTEST_CODE],0),MATCH($S$1,_group_[#Headers],0)),"-")</f>
        <v>BANK</v>
      </c>
      <c r="T461" s="1" t="str">
        <f>IFERROR(INDEX(_INDICATOR_[],MATCH(ВСЕ_КОДЫ[[#This Row],[CONTEST_CODE]],_INDICATOR_[CONTEST_CODE],0),MATCH($T$1,_INDICATOR_[#Headers],0)),"-")</f>
        <v>WAIT</v>
      </c>
      <c r="U461" s="1" t="str">
        <f>IFERROR(INDEX(_reward_link_[],MATCH(ВСЕ_КОДЫ[[#This Row],[CONTEST_CODE]],_reward_link_[CONTEST_CODE],0),MATCH($U$1,_reward_link_[#Headers],0)),"-")</f>
        <v>BANK</v>
      </c>
      <c r="V461" s="1" t="str">
        <f>IFERROR(INDEX(_report[],MATCH(ВСЕ_КОДЫ[[#This Row],[CONTEST_CODE]],_report[CONTEST_CODE],0),MATCH($V$1,_report[#Headers],0)),"-")</f>
        <v>-</v>
      </c>
      <c r="W461" s="1" t="str">
        <f>IFERROR(INDEX(_reward_[],MATCH(ВСЕ_КОДЫ[[#This Row],[REWARD_CODE]],_reward_[REWARD_CODE],0),MATCH($W$1,_reward_[#Headers],0)),"-")</f>
        <v>Золото#по приросту СДО новых денег среди МРБ</v>
      </c>
      <c r="X461" s="1" t="str">
        <f>IFERROR(INDEX(_group_[],MATCH(CONCATENATE(ВСЕ_КОДЫ[[#This Row],[CONTEST_CODE]],"_",X$2),#REF!,0),MATCH(X$1,_group_[#Headers],0)),"-")</f>
        <v>-</v>
      </c>
      <c r="Y461" s="1" t="str">
        <f>IFERROR(INDEX(_group_[],MATCH(CONCATENATE(ВСЕ_КОДЫ[[#This Row],[CONTEST_CODE]],"_",Y$2),#REF!,0),MATCH(Y$1,_group_[#Headers],0)),"-")</f>
        <v>-</v>
      </c>
      <c r="Z461" s="1" t="str">
        <f>IFERROR(INDEX(_group_[],MATCH(CONCATENATE(ВСЕ_КОДЫ[[#This Row],[CONTEST_CODE]],"_",Z$2),#REF!,0),MATCH(Z$1,_group_[#Headers],0)),"-")</f>
        <v>-</v>
      </c>
      <c r="AA461" s="1" t="str">
        <f>IFERROR(INDEX(_group_[],MATCH(CONCATENATE(ВСЕ_КОДЫ[[#This Row],[CONTEST_CODE]],"_",AA$2),#REF!,0),MATCH(AA$1,_group_[#Headers],0)),"-")</f>
        <v>-</v>
      </c>
      <c r="AB461" s="1" t="str">
        <f>IFERROR(INDEX(_DATA_[],MATCH(ВСЕ_КОДЫ[[#This Row],[CONTEST_CODE]],_DATA_[CONTEST_CODE],0),MATCH($AB$2,_DATA_[#Headers],0)),"-")</f>
        <v>["""KMFACTORING"""]</v>
      </c>
      <c r="AC461" t="str">
        <f>CONCATENATE(ВСЕ_КОДЫ[[#This Row],[CONTEST_CODE]],"_",ВСЕ_КОДЫ[[#This Row],[TOURNAMENT_CODE]])</f>
        <v>04_2025-0_15-1_2_t_04_2025-0_15-1_2_2021</v>
      </c>
      <c r="AD461" t="str">
        <f>ВСЕ_КОДЫ[[#This Row],[FULL_NAME]]</f>
        <v>Новые деньги. Наращиваем СДО (МРБ)</v>
      </c>
    </row>
    <row r="462" spans="1:40" x14ac:dyDescent="0.25">
      <c r="A462" s="1" t="s">
        <v>2218</v>
      </c>
      <c r="B462" s="1" t="s">
        <v>3661</v>
      </c>
      <c r="C462" s="1" t="s">
        <v>2333</v>
      </c>
      <c r="D462" s="60" t="s">
        <v>583</v>
      </c>
      <c r="E462" s="1" t="s">
        <v>2616</v>
      </c>
      <c r="F462" s="1" t="s">
        <v>2508</v>
      </c>
      <c r="G462" s="1" t="s">
        <v>2509</v>
      </c>
      <c r="H462" s="1" t="s">
        <v>34</v>
      </c>
      <c r="I462" s="1" t="s">
        <v>50</v>
      </c>
      <c r="J462" s="1" t="s">
        <v>4019</v>
      </c>
      <c r="K462" s="1" t="s">
        <v>2542</v>
      </c>
      <c r="L462" s="1" t="s">
        <v>3659</v>
      </c>
      <c r="M462" s="1" t="s">
        <v>34</v>
      </c>
      <c r="N462" s="59" t="s">
        <v>305</v>
      </c>
      <c r="O462" s="1" t="s">
        <v>2742</v>
      </c>
      <c r="P462" s="1"/>
      <c r="Q462" s="1">
        <f>IFERROR(COUNTIFS(_report[TOURNAMENT_CODE],ВСЕ_КОДЫ[[#This Row],[TOURNAMENT_CODE]],_report[CONTEST_CODE],ВСЕ_КОДЫ[[#This Row],[CONTEST_CODE]]),"-")</f>
        <v>0</v>
      </c>
      <c r="R462" s="1" t="str">
        <f>IFERROR(INDEX(_SCHEDULE_[],MATCH(ВСЕ_КОДЫ[[#This Row],[CONTEST_CODE]],_SCHEDULE_[CONTEST_CODE],0),MATCH($R$1,_SCHEDULE_[#Headers],0)),"-")</f>
        <v>ЗАВЕРШЕН</v>
      </c>
      <c r="S462" s="1" t="str">
        <f>IFERROR(INDEX(_group_[],MATCH(ВСЕ_КОДЫ[[#This Row],[CONTEST_CODE]],_group_[CONTEST_CODE],0),MATCH($S$1,_group_[#Headers],0)),"-")</f>
        <v>BANK</v>
      </c>
      <c r="T462" s="1" t="str">
        <f>IFERROR(INDEX(_INDICATOR_[],MATCH(ВСЕ_КОДЫ[[#This Row],[CONTEST_CODE]],_INDICATOR_[CONTEST_CODE],0),MATCH($T$1,_INDICATOR_[#Headers],0)),"-")</f>
        <v>WAIT</v>
      </c>
      <c r="U462" s="1" t="str">
        <f>IFERROR(INDEX(_reward_link_[],MATCH(ВСЕ_КОДЫ[[#This Row],[CONTEST_CODE]],_reward_link_[CONTEST_CODE],0),MATCH($U$1,_reward_link_[#Headers],0)),"-")</f>
        <v>BANK</v>
      </c>
      <c r="V462" s="1" t="str">
        <f>IFERROR(INDEX(_report[],MATCH(ВСЕ_КОДЫ[[#This Row],[CONTEST_CODE]],_report[CONTEST_CODE],0),MATCH($V$1,_report[#Headers],0)),"-")</f>
        <v>-</v>
      </c>
      <c r="W462" s="1" t="str">
        <f>IFERROR(INDEX(_reward_[],MATCH(ВСЕ_КОДЫ[[#This Row],[REWARD_CODE]],_reward_[REWARD_CODE],0),MATCH($W$1,_reward_[#Headers],0)),"-")</f>
        <v>Серебро#по приросту СДО новых денег среди МРБ</v>
      </c>
      <c r="X462" s="1" t="str">
        <f>IFERROR(INDEX(_group_[],MATCH(CONCATENATE(ВСЕ_КОДЫ[[#This Row],[CONTEST_CODE]],"_",X$2),#REF!,0),MATCH(X$1,_group_[#Headers],0)),"-")</f>
        <v>-</v>
      </c>
      <c r="Y462" s="1" t="str">
        <f>IFERROR(INDEX(_group_[],MATCH(CONCATENATE(ВСЕ_КОДЫ[[#This Row],[CONTEST_CODE]],"_",Y$2),#REF!,0),MATCH(Y$1,_group_[#Headers],0)),"-")</f>
        <v>-</v>
      </c>
      <c r="Z462" s="1" t="str">
        <f>IFERROR(INDEX(_group_[],MATCH(CONCATENATE(ВСЕ_КОДЫ[[#This Row],[CONTEST_CODE]],"_",Z$2),#REF!,0),MATCH(Z$1,_group_[#Headers],0)),"-")</f>
        <v>-</v>
      </c>
      <c r="AA462" s="1" t="str">
        <f>IFERROR(INDEX(_group_[],MATCH(CONCATENATE(ВСЕ_КОДЫ[[#This Row],[CONTEST_CODE]],"_",AA$2),#REF!,0),MATCH(AA$1,_group_[#Headers],0)),"-")</f>
        <v>-</v>
      </c>
      <c r="AB462" s="1" t="str">
        <f>IFERROR(INDEX(_DATA_[],MATCH(ВСЕ_КОДЫ[[#This Row],[CONTEST_CODE]],_DATA_[CONTEST_CODE],0),MATCH($AB$2,_DATA_[#Headers],0)),"-")</f>
        <v>["""KMFACTORING"""]</v>
      </c>
      <c r="AC462" t="str">
        <f>CONCATENATE(ВСЕ_КОДЫ[[#This Row],[CONTEST_CODE]],"_",ВСЕ_КОДЫ[[#This Row],[TOURNAMENT_CODE]])</f>
        <v>04_2025-0_15-1_2_t_04_2025-0_15-1_2_2021</v>
      </c>
      <c r="AD462" t="str">
        <f>ВСЕ_КОДЫ[[#This Row],[FULL_NAME]]</f>
        <v>Новые деньги. Наращиваем СДО (МРБ)</v>
      </c>
    </row>
    <row r="463" spans="1:40" x14ac:dyDescent="0.25">
      <c r="A463" s="1" t="s">
        <v>2218</v>
      </c>
      <c r="B463" s="1" t="s">
        <v>3661</v>
      </c>
      <c r="C463" s="1" t="s">
        <v>2335</v>
      </c>
      <c r="D463" s="60" t="s">
        <v>583</v>
      </c>
      <c r="E463" s="1" t="s">
        <v>2616</v>
      </c>
      <c r="F463" s="1" t="s">
        <v>2508</v>
      </c>
      <c r="G463" s="1" t="s">
        <v>2509</v>
      </c>
      <c r="H463" s="1" t="s">
        <v>34</v>
      </c>
      <c r="I463" s="1" t="s">
        <v>50</v>
      </c>
      <c r="J463" s="1" t="s">
        <v>4019</v>
      </c>
      <c r="K463" s="1" t="s">
        <v>2542</v>
      </c>
      <c r="L463" s="1" t="s">
        <v>3659</v>
      </c>
      <c r="M463" s="1" t="s">
        <v>34</v>
      </c>
      <c r="N463" s="59" t="s">
        <v>305</v>
      </c>
      <c r="O463" s="1" t="s">
        <v>2743</v>
      </c>
      <c r="P463" s="1"/>
      <c r="Q463" s="1">
        <f>IFERROR(COUNTIFS(_report[TOURNAMENT_CODE],ВСЕ_КОДЫ[[#This Row],[TOURNAMENT_CODE]],_report[CONTEST_CODE],ВСЕ_КОДЫ[[#This Row],[CONTEST_CODE]]),"-")</f>
        <v>0</v>
      </c>
      <c r="R463" s="1" t="str">
        <f>IFERROR(INDEX(_SCHEDULE_[],MATCH(ВСЕ_КОДЫ[[#This Row],[CONTEST_CODE]],_SCHEDULE_[CONTEST_CODE],0),MATCH($R$1,_SCHEDULE_[#Headers],0)),"-")</f>
        <v>ЗАВЕРШЕН</v>
      </c>
      <c r="S463" s="1" t="str">
        <f>IFERROR(INDEX(_group_[],MATCH(ВСЕ_КОДЫ[[#This Row],[CONTEST_CODE]],_group_[CONTEST_CODE],0),MATCH($S$1,_group_[#Headers],0)),"-")</f>
        <v>BANK</v>
      </c>
      <c r="T463" s="1" t="str">
        <f>IFERROR(INDEX(_INDICATOR_[],MATCH(ВСЕ_КОДЫ[[#This Row],[CONTEST_CODE]],_INDICATOR_[CONTEST_CODE],0),MATCH($T$1,_INDICATOR_[#Headers],0)),"-")</f>
        <v>WAIT</v>
      </c>
      <c r="U463" s="1" t="str">
        <f>IFERROR(INDEX(_reward_link_[],MATCH(ВСЕ_КОДЫ[[#This Row],[CONTEST_CODE]],_reward_link_[CONTEST_CODE],0),MATCH($U$1,_reward_link_[#Headers],0)),"-")</f>
        <v>BANK</v>
      </c>
      <c r="V463" s="1" t="str">
        <f>IFERROR(INDEX(_report[],MATCH(ВСЕ_КОДЫ[[#This Row],[CONTEST_CODE]],_report[CONTEST_CODE],0),MATCH($V$1,_report[#Headers],0)),"-")</f>
        <v>-</v>
      </c>
      <c r="W463" s="1" t="str">
        <f>IFERROR(INDEX(_reward_[],MATCH(ВСЕ_КОДЫ[[#This Row],[REWARD_CODE]],_reward_[REWARD_CODE],0),MATCH($W$1,_reward_[#Headers],0)),"-")</f>
        <v>Бронза#по приросту СДО новых денег среди МРБ</v>
      </c>
      <c r="X463" s="1" t="str">
        <f>IFERROR(INDEX(_group_[],MATCH(CONCATENATE(ВСЕ_КОДЫ[[#This Row],[CONTEST_CODE]],"_",X$2),#REF!,0),MATCH(X$1,_group_[#Headers],0)),"-")</f>
        <v>-</v>
      </c>
      <c r="Y463" s="1" t="str">
        <f>IFERROR(INDEX(_group_[],MATCH(CONCATENATE(ВСЕ_КОДЫ[[#This Row],[CONTEST_CODE]],"_",Y$2),#REF!,0),MATCH(Y$1,_group_[#Headers],0)),"-")</f>
        <v>-</v>
      </c>
      <c r="Z463" s="1" t="str">
        <f>IFERROR(INDEX(_group_[],MATCH(CONCATENATE(ВСЕ_КОДЫ[[#This Row],[CONTEST_CODE]],"_",Z$2),#REF!,0),MATCH(Z$1,_group_[#Headers],0)),"-")</f>
        <v>-</v>
      </c>
      <c r="AA463" s="1" t="str">
        <f>IFERROR(INDEX(_group_[],MATCH(CONCATENATE(ВСЕ_КОДЫ[[#This Row],[CONTEST_CODE]],"_",AA$2),#REF!,0),MATCH(AA$1,_group_[#Headers],0)),"-")</f>
        <v>-</v>
      </c>
      <c r="AB463" s="1" t="str">
        <f>IFERROR(INDEX(_DATA_[],MATCH(ВСЕ_КОДЫ[[#This Row],[CONTEST_CODE]],_DATA_[CONTEST_CODE],0),MATCH($AB$2,_DATA_[#Headers],0)),"-")</f>
        <v>["""KMFACTORING"""]</v>
      </c>
      <c r="AC463" t="str">
        <f>CONCATENATE(ВСЕ_КОДЫ[[#This Row],[CONTEST_CODE]],"_",ВСЕ_КОДЫ[[#This Row],[TOURNAMENT_CODE]])</f>
        <v>04_2025-0_15-1_2_t_04_2025-0_15-1_2_2021</v>
      </c>
      <c r="AD463" t="str">
        <f>ВСЕ_КОДЫ[[#This Row],[FULL_NAME]]</f>
        <v>Новые деньги. Наращиваем СДО (МРБ)</v>
      </c>
    </row>
    <row r="464" spans="1:40" hidden="1" x14ac:dyDescent="0.25">
      <c r="A464" s="1" t="s">
        <v>2220</v>
      </c>
      <c r="B464" s="1" t="s">
        <v>2558</v>
      </c>
      <c r="C464" s="1" t="s">
        <v>2337</v>
      </c>
      <c r="D464" s="60" t="s">
        <v>583</v>
      </c>
      <c r="E464" s="1" t="s">
        <v>2618</v>
      </c>
      <c r="F464" s="1" t="s">
        <v>2508</v>
      </c>
      <c r="G464" s="1" t="s">
        <v>2509</v>
      </c>
      <c r="H464" s="1" t="s">
        <v>34</v>
      </c>
      <c r="I464" s="1" t="s">
        <v>50</v>
      </c>
      <c r="J464" s="1" t="s">
        <v>2508</v>
      </c>
      <c r="K464" s="1" t="s">
        <v>2534</v>
      </c>
      <c r="L464" s="1" t="s">
        <v>4132</v>
      </c>
      <c r="M464" s="1" t="s">
        <v>176</v>
      </c>
      <c r="N464" s="59" t="s">
        <v>305</v>
      </c>
      <c r="O464" s="1" t="s">
        <v>2744</v>
      </c>
      <c r="P464" s="1"/>
      <c r="Q464" s="1">
        <f>IFERROR(COUNTIFS(_report[TOURNAMENT_CODE],ВСЕ_КОДЫ[[#This Row],[TOURNAMENT_CODE]],_report[CONTEST_CODE],ВСЕ_КОДЫ[[#This Row],[CONTEST_CODE]]),"-")</f>
        <v>0</v>
      </c>
      <c r="R464" s="1" t="str">
        <f>IFERROR(INDEX(_SCHEDULE_[],MATCH(ВСЕ_КОДЫ[[#This Row],[CONTEST_CODE]],_SCHEDULE_[CONTEST_CODE],0),MATCH($R$1,_SCHEDULE_[#Headers],0)),"-")</f>
        <v>ЗАВЕРШЕН</v>
      </c>
      <c r="S464" s="1" t="str">
        <f>IFERROR(INDEX(_group_[],MATCH(ВСЕ_КОДЫ[[#This Row],[CONTEST_CODE]],_group_[CONTEST_CODE],0),MATCH($S$1,_group_[#Headers],0)),"-")</f>
        <v>BANK</v>
      </c>
      <c r="T464" s="1" t="str">
        <f>IFERROR(INDEX(_INDICATOR_[],MATCH(ВСЕ_КОДЫ[[#This Row],[CONTEST_CODE]],_INDICATOR_[CONTEST_CODE],0),MATCH($T$1,_INDICATOR_[#Headers],0)),"-")</f>
        <v>WAIT</v>
      </c>
      <c r="U464" s="1" t="str">
        <f>IFERROR(INDEX(_reward_link_[],MATCH(ВСЕ_КОДЫ[[#This Row],[CONTEST_CODE]],_reward_link_[CONTEST_CODE],0),MATCH($U$1,_reward_link_[#Headers],0)),"-")</f>
        <v>BANK</v>
      </c>
      <c r="V464" s="1" t="str">
        <f>IFERROR(INDEX(_report[],MATCH(ВСЕ_КОДЫ[[#This Row],[CONTEST_CODE]],_report[CONTEST_CODE],0),MATCH($V$1,_report[#Headers],0)),"-")</f>
        <v>-</v>
      </c>
      <c r="W464" s="1" t="str">
        <f>IFERROR(INDEX(_reward_[],MATCH(ВСЕ_КОДЫ[[#This Row],[REWARD_CODE]],_reward_[REWARD_CODE],0),MATCH($W$1,_reward_[#Headers],0)),"-")</f>
        <v>Золото#по приросту СДО новых денег среди КМ с портфелем</v>
      </c>
      <c r="X464" s="1" t="str">
        <f>IFERROR(INDEX(_group_[],MATCH(CONCATENATE(ВСЕ_КОДЫ[[#This Row],[CONTEST_CODE]],"_",X$2),#REF!,0),MATCH(X$1,_group_[#Headers],0)),"-")</f>
        <v>-</v>
      </c>
      <c r="Y464" s="1" t="str">
        <f>IFERROR(INDEX(_group_[],MATCH(CONCATENATE(ВСЕ_КОДЫ[[#This Row],[CONTEST_CODE]],"_",Y$2),#REF!,0),MATCH(Y$1,_group_[#Headers],0)),"-")</f>
        <v>-</v>
      </c>
      <c r="Z464" s="1" t="str">
        <f>IFERROR(INDEX(_group_[],MATCH(CONCATENATE(ВСЕ_КОДЫ[[#This Row],[CONTEST_CODE]],"_",Z$2),#REF!,0),MATCH(Z$1,_group_[#Headers],0)),"-")</f>
        <v>-</v>
      </c>
      <c r="AA464" s="1" t="str">
        <f>IFERROR(INDEX(_group_[],MATCH(CONCATENATE(ВСЕ_КОДЫ[[#This Row],[CONTEST_CODE]],"_",AA$2),#REF!,0),MATCH(AA$1,_group_[#Headers],0)),"-")</f>
        <v>-</v>
      </c>
      <c r="AB464" s="1" t="str">
        <f>IFERROR(INDEX(_DATA_[],MATCH(ВСЕ_КОДЫ[[#This Row],[CONTEST_CODE]],_DATA_[CONTEST_CODE],0),MATCH($AB$2,_DATA_[#Headers],0)),"-")</f>
        <v>["""KMFACTORING"""]</v>
      </c>
      <c r="AC464" t="str">
        <f>CONCATENATE(ВСЕ_КОДЫ[[#This Row],[CONTEST_CODE]],"_",ВСЕ_КОДЫ[[#This Row],[TOURNAMENT_CODE]])</f>
        <v>04_2025-0_15-1_3_t_04_2025-0_15-1_3_2011</v>
      </c>
      <c r="AD464" t="str">
        <f>ВСЕ_КОДЫ[[#This Row],[FULL_NAME]]</f>
        <v>Новые деньги. Наращиваем СДО (КМ с портфелем)</v>
      </c>
    </row>
    <row r="465" spans="1:30" hidden="1" x14ac:dyDescent="0.25">
      <c r="A465" s="1" t="s">
        <v>2220</v>
      </c>
      <c r="B465" s="1" t="s">
        <v>2558</v>
      </c>
      <c r="C465" s="1" t="s">
        <v>2339</v>
      </c>
      <c r="D465" s="60" t="s">
        <v>583</v>
      </c>
      <c r="E465" s="1" t="s">
        <v>2618</v>
      </c>
      <c r="F465" s="1" t="s">
        <v>2508</v>
      </c>
      <c r="G465" s="1" t="s">
        <v>2509</v>
      </c>
      <c r="H465" s="1" t="s">
        <v>34</v>
      </c>
      <c r="I465" s="1" t="s">
        <v>50</v>
      </c>
      <c r="J465" s="1" t="s">
        <v>2508</v>
      </c>
      <c r="K465" s="1" t="s">
        <v>2534</v>
      </c>
      <c r="L465" s="1" t="s">
        <v>4132</v>
      </c>
      <c r="M465" s="1" t="s">
        <v>176</v>
      </c>
      <c r="N465" s="59" t="s">
        <v>305</v>
      </c>
      <c r="O465" s="1" t="s">
        <v>2745</v>
      </c>
      <c r="P465" s="1"/>
      <c r="Q465" s="1">
        <f>IFERROR(COUNTIFS(_report[TOURNAMENT_CODE],ВСЕ_КОДЫ[[#This Row],[TOURNAMENT_CODE]],_report[CONTEST_CODE],ВСЕ_КОДЫ[[#This Row],[CONTEST_CODE]]),"-")</f>
        <v>0</v>
      </c>
      <c r="R465" s="1" t="str">
        <f>IFERROR(INDEX(_SCHEDULE_[],MATCH(ВСЕ_КОДЫ[[#This Row],[CONTEST_CODE]],_SCHEDULE_[CONTEST_CODE],0),MATCH($R$1,_SCHEDULE_[#Headers],0)),"-")</f>
        <v>ЗАВЕРШЕН</v>
      </c>
      <c r="S465" s="1" t="str">
        <f>IFERROR(INDEX(_group_[],MATCH(ВСЕ_КОДЫ[[#This Row],[CONTEST_CODE]],_group_[CONTEST_CODE],0),MATCH($S$1,_group_[#Headers],0)),"-")</f>
        <v>BANK</v>
      </c>
      <c r="T465" s="1" t="str">
        <f>IFERROR(INDEX(_INDICATOR_[],MATCH(ВСЕ_КОДЫ[[#This Row],[CONTEST_CODE]],_INDICATOR_[CONTEST_CODE],0),MATCH($T$1,_INDICATOR_[#Headers],0)),"-")</f>
        <v>WAIT</v>
      </c>
      <c r="U465" s="1" t="str">
        <f>IFERROR(INDEX(_reward_link_[],MATCH(ВСЕ_КОДЫ[[#This Row],[CONTEST_CODE]],_reward_link_[CONTEST_CODE],0),MATCH($U$1,_reward_link_[#Headers],0)),"-")</f>
        <v>BANK</v>
      </c>
      <c r="V465" s="1" t="str">
        <f>IFERROR(INDEX(_report[],MATCH(ВСЕ_КОДЫ[[#This Row],[CONTEST_CODE]],_report[CONTEST_CODE],0),MATCH($V$1,_report[#Headers],0)),"-")</f>
        <v>-</v>
      </c>
      <c r="W465" s="1" t="str">
        <f>IFERROR(INDEX(_reward_[],MATCH(ВСЕ_КОДЫ[[#This Row],[REWARD_CODE]],_reward_[REWARD_CODE],0),MATCH($W$1,_reward_[#Headers],0)),"-")</f>
        <v>Серебро#по приросту СДО новых денег среди КМ с портфелем</v>
      </c>
      <c r="X465" s="1" t="str">
        <f>IFERROR(INDEX(_group_[],MATCH(CONCATENATE(ВСЕ_КОДЫ[[#This Row],[CONTEST_CODE]],"_",X$2),#REF!,0),MATCH(X$1,_group_[#Headers],0)),"-")</f>
        <v>-</v>
      </c>
      <c r="Y465" s="1" t="str">
        <f>IFERROR(INDEX(_group_[],MATCH(CONCATENATE(ВСЕ_КОДЫ[[#This Row],[CONTEST_CODE]],"_",Y$2),#REF!,0),MATCH(Y$1,_group_[#Headers],0)),"-")</f>
        <v>-</v>
      </c>
      <c r="Z465" s="1" t="str">
        <f>IFERROR(INDEX(_group_[],MATCH(CONCATENATE(ВСЕ_КОДЫ[[#This Row],[CONTEST_CODE]],"_",Z$2),#REF!,0),MATCH(Z$1,_group_[#Headers],0)),"-")</f>
        <v>-</v>
      </c>
      <c r="AA465" s="1" t="str">
        <f>IFERROR(INDEX(_group_[],MATCH(CONCATENATE(ВСЕ_КОДЫ[[#This Row],[CONTEST_CODE]],"_",AA$2),#REF!,0),MATCH(AA$1,_group_[#Headers],0)),"-")</f>
        <v>-</v>
      </c>
      <c r="AB465" s="1" t="str">
        <f>IFERROR(INDEX(_DATA_[],MATCH(ВСЕ_КОДЫ[[#This Row],[CONTEST_CODE]],_DATA_[CONTEST_CODE],0),MATCH($AB$2,_DATA_[#Headers],0)),"-")</f>
        <v>["""KMFACTORING"""]</v>
      </c>
      <c r="AC465" t="str">
        <f>CONCATENATE(ВСЕ_КОДЫ[[#This Row],[CONTEST_CODE]],"_",ВСЕ_КОДЫ[[#This Row],[TOURNAMENT_CODE]])</f>
        <v>04_2025-0_15-1_3_t_04_2025-0_15-1_3_2011</v>
      </c>
      <c r="AD465" t="str">
        <f>ВСЕ_КОДЫ[[#This Row],[FULL_NAME]]</f>
        <v>Новые деньги. Наращиваем СДО (КМ с портфелем)</v>
      </c>
    </row>
    <row r="466" spans="1:30" hidden="1" x14ac:dyDescent="0.25">
      <c r="A466" s="1" t="s">
        <v>2220</v>
      </c>
      <c r="B466" s="1" t="s">
        <v>2558</v>
      </c>
      <c r="C466" s="1" t="s">
        <v>2341</v>
      </c>
      <c r="D466" s="1" t="s">
        <v>583</v>
      </c>
      <c r="E466" s="1" t="s">
        <v>2618</v>
      </c>
      <c r="F466" s="1" t="s">
        <v>2508</v>
      </c>
      <c r="G466" s="1" t="s">
        <v>2509</v>
      </c>
      <c r="H466" s="1" t="s">
        <v>34</v>
      </c>
      <c r="I466" s="1" t="s">
        <v>50</v>
      </c>
      <c r="J466" s="1" t="s">
        <v>2508</v>
      </c>
      <c r="K466" s="1" t="s">
        <v>2534</v>
      </c>
      <c r="L466" s="1" t="s">
        <v>4132</v>
      </c>
      <c r="M466" s="1" t="s">
        <v>176</v>
      </c>
      <c r="N466" s="59" t="s">
        <v>305</v>
      </c>
      <c r="O466" s="1" t="s">
        <v>2746</v>
      </c>
      <c r="P466" s="1"/>
      <c r="Q466" s="1">
        <f>IFERROR(COUNTIFS(_report[TOURNAMENT_CODE],ВСЕ_КОДЫ[[#This Row],[TOURNAMENT_CODE]],_report[CONTEST_CODE],ВСЕ_КОДЫ[[#This Row],[CONTEST_CODE]]),"-")</f>
        <v>0</v>
      </c>
      <c r="R466" s="1" t="str">
        <f>IFERROR(INDEX(_SCHEDULE_[],MATCH(ВСЕ_КОДЫ[[#This Row],[CONTEST_CODE]],_SCHEDULE_[CONTEST_CODE],0),MATCH($R$1,_SCHEDULE_[#Headers],0)),"-")</f>
        <v>ЗАВЕРШЕН</v>
      </c>
      <c r="S466" s="1" t="str">
        <f>IFERROR(INDEX(_group_[],MATCH(ВСЕ_КОДЫ[[#This Row],[CONTEST_CODE]],_group_[CONTEST_CODE],0),MATCH($S$1,_group_[#Headers],0)),"-")</f>
        <v>BANK</v>
      </c>
      <c r="T466" s="1" t="str">
        <f>IFERROR(INDEX(_INDICATOR_[],MATCH(ВСЕ_КОДЫ[[#This Row],[CONTEST_CODE]],_INDICATOR_[CONTEST_CODE],0),MATCH($T$1,_INDICATOR_[#Headers],0)),"-")</f>
        <v>WAIT</v>
      </c>
      <c r="U466" s="1" t="str">
        <f>IFERROR(INDEX(_reward_link_[],MATCH(ВСЕ_КОДЫ[[#This Row],[CONTEST_CODE]],_reward_link_[CONTEST_CODE],0),MATCH($U$1,_reward_link_[#Headers],0)),"-")</f>
        <v>BANK</v>
      </c>
      <c r="V466" s="1" t="str">
        <f>IFERROR(INDEX(_report[],MATCH(ВСЕ_КОДЫ[[#This Row],[CONTEST_CODE]],_report[CONTEST_CODE],0),MATCH($V$1,_report[#Headers],0)),"-")</f>
        <v>-</v>
      </c>
      <c r="W466" s="1" t="str">
        <f>IFERROR(INDEX(_reward_[],MATCH(ВСЕ_КОДЫ[[#This Row],[REWARD_CODE]],_reward_[REWARD_CODE],0),MATCH($W$1,_reward_[#Headers],0)),"-")</f>
        <v>Бронза#по приросту СДО новых денег среди КМ с портфелем</v>
      </c>
      <c r="X466" s="1" t="str">
        <f>IFERROR(INDEX(_group_[],MATCH(CONCATENATE(ВСЕ_КОДЫ[[#This Row],[CONTEST_CODE]],"_",X$2),#REF!,0),MATCH(X$1,_group_[#Headers],0)),"-")</f>
        <v>-</v>
      </c>
      <c r="Y466" s="1" t="str">
        <f>IFERROR(INDEX(_group_[],MATCH(CONCATENATE(ВСЕ_КОДЫ[[#This Row],[CONTEST_CODE]],"_",Y$2),#REF!,0),MATCH(Y$1,_group_[#Headers],0)),"-")</f>
        <v>-</v>
      </c>
      <c r="Z466" s="1" t="str">
        <f>IFERROR(INDEX(_group_[],MATCH(CONCATENATE(ВСЕ_КОДЫ[[#This Row],[CONTEST_CODE]],"_",Z$2),#REF!,0),MATCH(Z$1,_group_[#Headers],0)),"-")</f>
        <v>-</v>
      </c>
      <c r="AA466" s="1" t="str">
        <f>IFERROR(INDEX(_group_[],MATCH(CONCATENATE(ВСЕ_КОДЫ[[#This Row],[CONTEST_CODE]],"_",AA$2),#REF!,0),MATCH(AA$1,_group_[#Headers],0)),"-")</f>
        <v>-</v>
      </c>
      <c r="AB466" s="1" t="str">
        <f>IFERROR(INDEX(_DATA_[],MATCH(ВСЕ_КОДЫ[[#This Row],[CONTEST_CODE]],_DATA_[CONTEST_CODE],0),MATCH($AB$2,_DATA_[#Headers],0)),"-")</f>
        <v>["""KMFACTORING"""]</v>
      </c>
      <c r="AC466" t="str">
        <f>CONCATENATE(ВСЕ_КОДЫ[[#This Row],[CONTEST_CODE]],"_",ВСЕ_КОДЫ[[#This Row],[TOURNAMENT_CODE]])</f>
        <v>04_2025-0_15-1_3_t_04_2025-0_15-1_3_2011</v>
      </c>
      <c r="AD466" t="str">
        <f>ВСЕ_КОДЫ[[#This Row],[FULL_NAME]]</f>
        <v>Новые деньги. Наращиваем СДО (КМ с портфелем)</v>
      </c>
    </row>
    <row r="467" spans="1:30" x14ac:dyDescent="0.25">
      <c r="A467" s="1" t="s">
        <v>2220</v>
      </c>
      <c r="B467" s="1" t="s">
        <v>3663</v>
      </c>
      <c r="C467" s="1" t="s">
        <v>2337</v>
      </c>
      <c r="D467" s="1" t="s">
        <v>583</v>
      </c>
      <c r="E467" s="1" t="s">
        <v>2618</v>
      </c>
      <c r="F467" s="1" t="s">
        <v>2508</v>
      </c>
      <c r="G467" s="1" t="s">
        <v>2509</v>
      </c>
      <c r="H467" s="1" t="s">
        <v>34</v>
      </c>
      <c r="I467" s="1" t="s">
        <v>50</v>
      </c>
      <c r="J467" s="1" t="s">
        <v>4019</v>
      </c>
      <c r="K467" s="1" t="s">
        <v>2542</v>
      </c>
      <c r="L467" s="1" t="s">
        <v>3659</v>
      </c>
      <c r="M467" s="1" t="s">
        <v>34</v>
      </c>
      <c r="N467" s="59" t="s">
        <v>305</v>
      </c>
      <c r="O467" s="1" t="s">
        <v>2744</v>
      </c>
      <c r="P467" s="1"/>
      <c r="Q467" s="1">
        <f>IFERROR(COUNTIFS(_report[TOURNAMENT_CODE],ВСЕ_КОДЫ[[#This Row],[TOURNAMENT_CODE]],_report[CONTEST_CODE],ВСЕ_КОДЫ[[#This Row],[CONTEST_CODE]]),"-")</f>
        <v>0</v>
      </c>
      <c r="R467" s="1" t="str">
        <f>IFERROR(INDEX(_SCHEDULE_[],MATCH(ВСЕ_КОДЫ[[#This Row],[CONTEST_CODE]],_SCHEDULE_[CONTEST_CODE],0),MATCH($R$1,_SCHEDULE_[#Headers],0)),"-")</f>
        <v>ЗАВЕРШЕН</v>
      </c>
      <c r="S467" s="1" t="str">
        <f>IFERROR(INDEX(_group_[],MATCH(ВСЕ_КОДЫ[[#This Row],[CONTEST_CODE]],_group_[CONTEST_CODE],0),MATCH($S$1,_group_[#Headers],0)),"-")</f>
        <v>BANK</v>
      </c>
      <c r="T467" s="1" t="str">
        <f>IFERROR(INDEX(_INDICATOR_[],MATCH(ВСЕ_КОДЫ[[#This Row],[CONTEST_CODE]],_INDICATOR_[CONTEST_CODE],0),MATCH($T$1,_INDICATOR_[#Headers],0)),"-")</f>
        <v>WAIT</v>
      </c>
      <c r="U467" s="1" t="str">
        <f>IFERROR(INDEX(_reward_link_[],MATCH(ВСЕ_КОДЫ[[#This Row],[CONTEST_CODE]],_reward_link_[CONTEST_CODE],0),MATCH($U$1,_reward_link_[#Headers],0)),"-")</f>
        <v>BANK</v>
      </c>
      <c r="V467" s="1" t="str">
        <f>IFERROR(INDEX(_report[],MATCH(ВСЕ_КОДЫ[[#This Row],[CONTEST_CODE]],_report[CONTEST_CODE],0),MATCH($V$1,_report[#Headers],0)),"-")</f>
        <v>-</v>
      </c>
      <c r="W467" s="1" t="str">
        <f>IFERROR(INDEX(_reward_[],MATCH(ВСЕ_КОДЫ[[#This Row],[REWARD_CODE]],_reward_[REWARD_CODE],0),MATCH($W$1,_reward_[#Headers],0)),"-")</f>
        <v>Золото#по приросту СДО новых денег среди КМ с портфелем</v>
      </c>
      <c r="X467" s="1" t="str">
        <f>IFERROR(INDEX(_group_[],MATCH(CONCATENATE(ВСЕ_КОДЫ[[#This Row],[CONTEST_CODE]],"_",X$2),#REF!,0),MATCH(X$1,_group_[#Headers],0)),"-")</f>
        <v>-</v>
      </c>
      <c r="Y467" s="1" t="str">
        <f>IFERROR(INDEX(_group_[],MATCH(CONCATENATE(ВСЕ_КОДЫ[[#This Row],[CONTEST_CODE]],"_",Y$2),#REF!,0),MATCH(Y$1,_group_[#Headers],0)),"-")</f>
        <v>-</v>
      </c>
      <c r="Z467" s="1" t="str">
        <f>IFERROR(INDEX(_group_[],MATCH(CONCATENATE(ВСЕ_КОДЫ[[#This Row],[CONTEST_CODE]],"_",Z$2),#REF!,0),MATCH(Z$1,_group_[#Headers],0)),"-")</f>
        <v>-</v>
      </c>
      <c r="AA467" s="1" t="str">
        <f>IFERROR(INDEX(_group_[],MATCH(CONCATENATE(ВСЕ_КОДЫ[[#This Row],[CONTEST_CODE]],"_",AA$2),#REF!,0),MATCH(AA$1,_group_[#Headers],0)),"-")</f>
        <v>-</v>
      </c>
      <c r="AB467" s="1" t="str">
        <f>IFERROR(INDEX(_DATA_[],MATCH(ВСЕ_КОДЫ[[#This Row],[CONTEST_CODE]],_DATA_[CONTEST_CODE],0),MATCH($AB$2,_DATA_[#Headers],0)),"-")</f>
        <v>["""KMFACTORING"""]</v>
      </c>
      <c r="AC467" t="str">
        <f>CONCATENATE(ВСЕ_КОДЫ[[#This Row],[CONTEST_CODE]],"_",ВСЕ_КОДЫ[[#This Row],[TOURNAMENT_CODE]])</f>
        <v>04_2025-0_15-1_3_t_04_2025-0_15-1_3_2021</v>
      </c>
      <c r="AD467" t="str">
        <f>ВСЕ_КОДЫ[[#This Row],[FULL_NAME]]</f>
        <v>Новые деньги. Наращиваем СДО (КМ с портфелем)</v>
      </c>
    </row>
    <row r="468" spans="1:30" x14ac:dyDescent="0.25">
      <c r="A468" s="1" t="s">
        <v>2220</v>
      </c>
      <c r="B468" s="1" t="s">
        <v>3663</v>
      </c>
      <c r="C468" s="1" t="s">
        <v>2339</v>
      </c>
      <c r="D468" s="1" t="s">
        <v>583</v>
      </c>
      <c r="E468" s="1" t="s">
        <v>2618</v>
      </c>
      <c r="F468" s="1" t="s">
        <v>2508</v>
      </c>
      <c r="G468" s="1" t="s">
        <v>2509</v>
      </c>
      <c r="H468" s="1" t="s">
        <v>34</v>
      </c>
      <c r="I468" s="1" t="s">
        <v>50</v>
      </c>
      <c r="J468" s="1" t="s">
        <v>4019</v>
      </c>
      <c r="K468" s="1" t="s">
        <v>2542</v>
      </c>
      <c r="L468" s="1" t="s">
        <v>3659</v>
      </c>
      <c r="M468" s="1" t="s">
        <v>34</v>
      </c>
      <c r="N468" s="59" t="s">
        <v>305</v>
      </c>
      <c r="O468" s="1" t="s">
        <v>2745</v>
      </c>
      <c r="P468" s="1"/>
      <c r="Q468" s="1">
        <f>IFERROR(COUNTIFS(_report[TOURNAMENT_CODE],ВСЕ_КОДЫ[[#This Row],[TOURNAMENT_CODE]],_report[CONTEST_CODE],ВСЕ_КОДЫ[[#This Row],[CONTEST_CODE]]),"-")</f>
        <v>0</v>
      </c>
      <c r="R468" s="1" t="str">
        <f>IFERROR(INDEX(_SCHEDULE_[],MATCH(ВСЕ_КОДЫ[[#This Row],[CONTEST_CODE]],_SCHEDULE_[CONTEST_CODE],0),MATCH($R$1,_SCHEDULE_[#Headers],0)),"-")</f>
        <v>ЗАВЕРШЕН</v>
      </c>
      <c r="S468" s="1" t="str">
        <f>IFERROR(INDEX(_group_[],MATCH(ВСЕ_КОДЫ[[#This Row],[CONTEST_CODE]],_group_[CONTEST_CODE],0),MATCH($S$1,_group_[#Headers],0)),"-")</f>
        <v>BANK</v>
      </c>
      <c r="T468" s="1" t="str">
        <f>IFERROR(INDEX(_INDICATOR_[],MATCH(ВСЕ_КОДЫ[[#This Row],[CONTEST_CODE]],_INDICATOR_[CONTEST_CODE],0),MATCH($T$1,_INDICATOR_[#Headers],0)),"-")</f>
        <v>WAIT</v>
      </c>
      <c r="U468" s="1" t="str">
        <f>IFERROR(INDEX(_reward_link_[],MATCH(ВСЕ_КОДЫ[[#This Row],[CONTEST_CODE]],_reward_link_[CONTEST_CODE],0),MATCH($U$1,_reward_link_[#Headers],0)),"-")</f>
        <v>BANK</v>
      </c>
      <c r="V468" s="1" t="str">
        <f>IFERROR(INDEX(_report[],MATCH(ВСЕ_КОДЫ[[#This Row],[CONTEST_CODE]],_report[CONTEST_CODE],0),MATCH($V$1,_report[#Headers],0)),"-")</f>
        <v>-</v>
      </c>
      <c r="W468" s="1" t="str">
        <f>IFERROR(INDEX(_reward_[],MATCH(ВСЕ_КОДЫ[[#This Row],[REWARD_CODE]],_reward_[REWARD_CODE],0),MATCH($W$1,_reward_[#Headers],0)),"-")</f>
        <v>Серебро#по приросту СДО новых денег среди КМ с портфелем</v>
      </c>
      <c r="X468" s="1" t="str">
        <f>IFERROR(INDEX(_group_[],MATCH(CONCATENATE(ВСЕ_КОДЫ[[#This Row],[CONTEST_CODE]],"_",X$2),#REF!,0),MATCH(X$1,_group_[#Headers],0)),"-")</f>
        <v>-</v>
      </c>
      <c r="Y468" s="1" t="str">
        <f>IFERROR(INDEX(_group_[],MATCH(CONCATENATE(ВСЕ_КОДЫ[[#This Row],[CONTEST_CODE]],"_",Y$2),#REF!,0),MATCH(Y$1,_group_[#Headers],0)),"-")</f>
        <v>-</v>
      </c>
      <c r="Z468" s="1" t="str">
        <f>IFERROR(INDEX(_group_[],MATCH(CONCATENATE(ВСЕ_КОДЫ[[#This Row],[CONTEST_CODE]],"_",Z$2),#REF!,0),MATCH(Z$1,_group_[#Headers],0)),"-")</f>
        <v>-</v>
      </c>
      <c r="AA468" s="1" t="str">
        <f>IFERROR(INDEX(_group_[],MATCH(CONCATENATE(ВСЕ_КОДЫ[[#This Row],[CONTEST_CODE]],"_",AA$2),#REF!,0),MATCH(AA$1,_group_[#Headers],0)),"-")</f>
        <v>-</v>
      </c>
      <c r="AB468" s="1" t="str">
        <f>IFERROR(INDEX(_DATA_[],MATCH(ВСЕ_КОДЫ[[#This Row],[CONTEST_CODE]],_DATA_[CONTEST_CODE],0),MATCH($AB$2,_DATA_[#Headers],0)),"-")</f>
        <v>["""KMFACTORING"""]</v>
      </c>
      <c r="AC468" t="str">
        <f>CONCATENATE(ВСЕ_КОДЫ[[#This Row],[CONTEST_CODE]],"_",ВСЕ_КОДЫ[[#This Row],[TOURNAMENT_CODE]])</f>
        <v>04_2025-0_15-1_3_t_04_2025-0_15-1_3_2021</v>
      </c>
      <c r="AD468" t="str">
        <f>ВСЕ_КОДЫ[[#This Row],[FULL_NAME]]</f>
        <v>Новые деньги. Наращиваем СДО (КМ с портфелем)</v>
      </c>
    </row>
    <row r="469" spans="1:30" x14ac:dyDescent="0.25">
      <c r="A469" s="1" t="s">
        <v>2220</v>
      </c>
      <c r="B469" s="1" t="s">
        <v>3663</v>
      </c>
      <c r="C469" s="1" t="s">
        <v>2341</v>
      </c>
      <c r="D469" s="1" t="s">
        <v>583</v>
      </c>
      <c r="E469" s="1" t="s">
        <v>2618</v>
      </c>
      <c r="F469" s="1" t="s">
        <v>2508</v>
      </c>
      <c r="G469" s="1" t="s">
        <v>2509</v>
      </c>
      <c r="H469" s="1" t="s">
        <v>34</v>
      </c>
      <c r="I469" s="1" t="s">
        <v>50</v>
      </c>
      <c r="J469" s="1" t="s">
        <v>4019</v>
      </c>
      <c r="K469" s="1" t="s">
        <v>2542</v>
      </c>
      <c r="L469" s="1" t="s">
        <v>3659</v>
      </c>
      <c r="M469" s="1" t="s">
        <v>34</v>
      </c>
      <c r="N469" s="1" t="s">
        <v>305</v>
      </c>
      <c r="O469" s="1" t="s">
        <v>2746</v>
      </c>
      <c r="P469" s="1"/>
      <c r="Q469" s="1">
        <f>IFERROR(COUNTIFS(_report[TOURNAMENT_CODE],ВСЕ_КОДЫ[[#This Row],[TOURNAMENT_CODE]],_report[CONTEST_CODE],ВСЕ_КОДЫ[[#This Row],[CONTEST_CODE]]),"-")</f>
        <v>0</v>
      </c>
      <c r="R469" s="1" t="str">
        <f>IFERROR(INDEX(_SCHEDULE_[],MATCH(ВСЕ_КОДЫ[[#This Row],[CONTEST_CODE]],_SCHEDULE_[CONTEST_CODE],0),MATCH($R$1,_SCHEDULE_[#Headers],0)),"-")</f>
        <v>ЗАВЕРШЕН</v>
      </c>
      <c r="S469" s="1" t="str">
        <f>IFERROR(INDEX(_group_[],MATCH(ВСЕ_КОДЫ[[#This Row],[CONTEST_CODE]],_group_[CONTEST_CODE],0),MATCH($S$1,_group_[#Headers],0)),"-")</f>
        <v>BANK</v>
      </c>
      <c r="T469" s="1" t="str">
        <f>IFERROR(INDEX(_INDICATOR_[],MATCH(ВСЕ_КОДЫ[[#This Row],[CONTEST_CODE]],_INDICATOR_[CONTEST_CODE],0),MATCH($T$1,_INDICATOR_[#Headers],0)),"-")</f>
        <v>WAIT</v>
      </c>
      <c r="U469" s="1" t="str">
        <f>IFERROR(INDEX(_reward_link_[],MATCH(ВСЕ_КОДЫ[[#This Row],[CONTEST_CODE]],_reward_link_[CONTEST_CODE],0),MATCH($U$1,_reward_link_[#Headers],0)),"-")</f>
        <v>BANK</v>
      </c>
      <c r="V469" s="1" t="str">
        <f>IFERROR(INDEX(_report[],MATCH(ВСЕ_КОДЫ[[#This Row],[CONTEST_CODE]],_report[CONTEST_CODE],0),MATCH($V$1,_report[#Headers],0)),"-")</f>
        <v>-</v>
      </c>
      <c r="W469" s="1" t="str">
        <f>IFERROR(INDEX(_reward_[],MATCH(ВСЕ_КОДЫ[[#This Row],[REWARD_CODE]],_reward_[REWARD_CODE],0),MATCH($W$1,_reward_[#Headers],0)),"-")</f>
        <v>Бронза#по приросту СДО новых денег среди КМ с портфелем</v>
      </c>
      <c r="X469" s="1" t="str">
        <f>IFERROR(INDEX(_group_[],MATCH(CONCATENATE(ВСЕ_КОДЫ[[#This Row],[CONTEST_CODE]],"_",X$2),#REF!,0),MATCH(X$1,_group_[#Headers],0)),"-")</f>
        <v>-</v>
      </c>
      <c r="Y469" s="1" t="str">
        <f>IFERROR(INDEX(_group_[],MATCH(CONCATENATE(ВСЕ_КОДЫ[[#This Row],[CONTEST_CODE]],"_",Y$2),#REF!,0),MATCH(Y$1,_group_[#Headers],0)),"-")</f>
        <v>-</v>
      </c>
      <c r="Z469" s="1" t="str">
        <f>IFERROR(INDEX(_group_[],MATCH(CONCATENATE(ВСЕ_КОДЫ[[#This Row],[CONTEST_CODE]],"_",Z$2),#REF!,0),MATCH(Z$1,_group_[#Headers],0)),"-")</f>
        <v>-</v>
      </c>
      <c r="AA469" s="1" t="str">
        <f>IFERROR(INDEX(_group_[],MATCH(CONCATENATE(ВСЕ_КОДЫ[[#This Row],[CONTEST_CODE]],"_",AA$2),#REF!,0),MATCH(AA$1,_group_[#Headers],0)),"-")</f>
        <v>-</v>
      </c>
      <c r="AB469" s="1" t="str">
        <f>IFERROR(INDEX(_DATA_[],MATCH(ВСЕ_КОДЫ[[#This Row],[CONTEST_CODE]],_DATA_[CONTEST_CODE],0),MATCH($AB$2,_DATA_[#Headers],0)),"-")</f>
        <v>["""KMFACTORING"""]</v>
      </c>
      <c r="AC469" t="str">
        <f>CONCATENATE(ВСЕ_КОДЫ[[#This Row],[CONTEST_CODE]],"_",ВСЕ_КОДЫ[[#This Row],[TOURNAMENT_CODE]])</f>
        <v>04_2025-0_15-1_3_t_04_2025-0_15-1_3_2021</v>
      </c>
      <c r="AD469" t="str">
        <f>ВСЕ_КОДЫ[[#This Row],[FULL_NAME]]</f>
        <v>Новые деньги. Наращиваем СДО (КМ с портфелем)</v>
      </c>
    </row>
    <row r="470" spans="1:30" hidden="1" x14ac:dyDescent="0.25">
      <c r="A470" s="1" t="s">
        <v>2222</v>
      </c>
      <c r="B470" s="1" t="s">
        <v>2560</v>
      </c>
      <c r="C470" s="1" t="s">
        <v>2343</v>
      </c>
      <c r="D470" s="1" t="s">
        <v>583</v>
      </c>
      <c r="E470" s="1" t="s">
        <v>2609</v>
      </c>
      <c r="F470" s="1" t="s">
        <v>2508</v>
      </c>
      <c r="G470" s="1" t="s">
        <v>2509</v>
      </c>
      <c r="H470" s="1" t="s">
        <v>34</v>
      </c>
      <c r="I470" s="1" t="s">
        <v>50</v>
      </c>
      <c r="J470" s="1" t="s">
        <v>2508</v>
      </c>
      <c r="K470" s="1" t="s">
        <v>2534</v>
      </c>
      <c r="L470" s="1" t="s">
        <v>4132</v>
      </c>
      <c r="M470" s="1" t="s">
        <v>176</v>
      </c>
      <c r="N470" s="1" t="s">
        <v>305</v>
      </c>
      <c r="O470" s="1" t="s">
        <v>2747</v>
      </c>
      <c r="P470" s="1"/>
      <c r="Q470" s="1">
        <f>IFERROR(COUNTIFS(_report[TOURNAMENT_CODE],ВСЕ_КОДЫ[[#This Row],[TOURNAMENT_CODE]],_report[CONTEST_CODE],ВСЕ_КОДЫ[[#This Row],[CONTEST_CODE]]),"-")</f>
        <v>0</v>
      </c>
      <c r="R470" s="1" t="str">
        <f>IFERROR(INDEX(_SCHEDULE_[],MATCH(ВСЕ_КОДЫ[[#This Row],[CONTEST_CODE]],_SCHEDULE_[CONTEST_CODE],0),MATCH($R$1,_SCHEDULE_[#Headers],0)),"-")</f>
        <v>ЗАВЕРШЕН</v>
      </c>
      <c r="S470" s="1" t="str">
        <f>IFERROR(INDEX(_group_[],MATCH(ВСЕ_КОДЫ[[#This Row],[CONTEST_CODE]],_group_[CONTEST_CODE],0),MATCH($S$1,_group_[#Headers],0)),"-")</f>
        <v>BANK</v>
      </c>
      <c r="T470" s="1" t="str">
        <f>IFERROR(INDEX(_INDICATOR_[],MATCH(ВСЕ_КОДЫ[[#This Row],[CONTEST_CODE]],_INDICATOR_[CONTEST_CODE],0),MATCH($T$1,_INDICATOR_[#Headers],0)),"-")</f>
        <v>WAIT</v>
      </c>
      <c r="U470" s="1" t="str">
        <f>IFERROR(INDEX(_reward_link_[],MATCH(ВСЕ_КОДЫ[[#This Row],[CONTEST_CODE]],_reward_link_[CONTEST_CODE],0),MATCH($U$1,_reward_link_[#Headers],0)),"-")</f>
        <v>BANK</v>
      </c>
      <c r="V470" s="1" t="str">
        <f>IFERROR(INDEX(_report[],MATCH(ВСЕ_КОДЫ[[#This Row],[CONTEST_CODE]],_report[CONTEST_CODE],0),MATCH($V$1,_report[#Headers],0)),"-")</f>
        <v>-</v>
      </c>
      <c r="W470" s="1" t="str">
        <f>IFERROR(INDEX(_reward_[],MATCH(ВСЕ_КОДЫ[[#This Row],[REWARD_CODE]],_reward_[REWARD_CODE],0),MATCH($W$1,_reward_[#Headers],0)),"-")</f>
        <v>Золото#по производительности среди МС потоковых сделок</v>
      </c>
      <c r="X470" s="1" t="str">
        <f>IFERROR(INDEX(_group_[],MATCH(CONCATENATE(ВСЕ_КОДЫ[[#This Row],[CONTEST_CODE]],"_",X$2),#REF!,0),MATCH(X$1,_group_[#Headers],0)),"-")</f>
        <v>-</v>
      </c>
      <c r="Y470" s="1" t="str">
        <f>IFERROR(INDEX(_group_[],MATCH(CONCATENATE(ВСЕ_КОДЫ[[#This Row],[CONTEST_CODE]],"_",Y$2),#REF!,0),MATCH(Y$1,_group_[#Headers],0)),"-")</f>
        <v>-</v>
      </c>
      <c r="Z470" s="1" t="str">
        <f>IFERROR(INDEX(_group_[],MATCH(CONCATENATE(ВСЕ_КОДЫ[[#This Row],[CONTEST_CODE]],"_",Z$2),#REF!,0),MATCH(Z$1,_group_[#Headers],0)),"-")</f>
        <v>-</v>
      </c>
      <c r="AA470" s="1" t="str">
        <f>IFERROR(INDEX(_group_[],MATCH(CONCATENATE(ВСЕ_КОДЫ[[#This Row],[CONTEST_CODE]],"_",AA$2),#REF!,0),MATCH(AA$1,_group_[#Headers],0)),"-")</f>
        <v>-</v>
      </c>
      <c r="AB470" s="1" t="str">
        <f>IFERROR(INDEX(_DATA_[],MATCH(ВСЕ_КОДЫ[[#This Row],[CONTEST_CODE]],_DATA_[CONTEST_CODE],0),MATCH($AB$2,_DATA_[#Headers],0)),"-")</f>
        <v>["""KMFACTORING"""]</v>
      </c>
      <c r="AC470" t="str">
        <f>CONCATENATE(ВСЕ_КОДЫ[[#This Row],[CONTEST_CODE]],"_",ВСЕ_КОДЫ[[#This Row],[TOURNAMENT_CODE]])</f>
        <v>04_2025-0_15-2_1_t_04_2025-0_15-2_1_2011</v>
      </c>
      <c r="AD470" t="str">
        <f>ВСЕ_КОДЫ[[#This Row],[FULL_NAME]]</f>
        <v>Производительность. Потоковые сделки (МС)</v>
      </c>
    </row>
    <row r="471" spans="1:30" hidden="1" x14ac:dyDescent="0.25">
      <c r="A471" s="1" t="s">
        <v>2222</v>
      </c>
      <c r="B471" s="1" t="s">
        <v>2560</v>
      </c>
      <c r="C471" s="1" t="s">
        <v>2345</v>
      </c>
      <c r="D471" s="1" t="s">
        <v>583</v>
      </c>
      <c r="E471" s="1" t="s">
        <v>2609</v>
      </c>
      <c r="F471" s="1" t="s">
        <v>2508</v>
      </c>
      <c r="G471" s="1" t="s">
        <v>2509</v>
      </c>
      <c r="H471" s="1" t="s">
        <v>34</v>
      </c>
      <c r="I471" s="1" t="s">
        <v>50</v>
      </c>
      <c r="J471" s="1" t="s">
        <v>2508</v>
      </c>
      <c r="K471" s="1" t="s">
        <v>2534</v>
      </c>
      <c r="L471" s="1" t="s">
        <v>4132</v>
      </c>
      <c r="M471" s="1" t="s">
        <v>176</v>
      </c>
      <c r="N471" s="1" t="s">
        <v>305</v>
      </c>
      <c r="O471" s="1" t="s">
        <v>2748</v>
      </c>
      <c r="P471" s="1"/>
      <c r="Q471" s="1">
        <f>IFERROR(COUNTIFS(_report[TOURNAMENT_CODE],ВСЕ_КОДЫ[[#This Row],[TOURNAMENT_CODE]],_report[CONTEST_CODE],ВСЕ_КОДЫ[[#This Row],[CONTEST_CODE]]),"-")</f>
        <v>0</v>
      </c>
      <c r="R471" s="1" t="str">
        <f>IFERROR(INDEX(_SCHEDULE_[],MATCH(ВСЕ_КОДЫ[[#This Row],[CONTEST_CODE]],_SCHEDULE_[CONTEST_CODE],0),MATCH($R$1,_SCHEDULE_[#Headers],0)),"-")</f>
        <v>ЗАВЕРШЕН</v>
      </c>
      <c r="S471" s="1" t="str">
        <f>IFERROR(INDEX(_group_[],MATCH(ВСЕ_КОДЫ[[#This Row],[CONTEST_CODE]],_group_[CONTEST_CODE],0),MATCH($S$1,_group_[#Headers],0)),"-")</f>
        <v>BANK</v>
      </c>
      <c r="T471" s="1" t="str">
        <f>IFERROR(INDEX(_INDICATOR_[],MATCH(ВСЕ_КОДЫ[[#This Row],[CONTEST_CODE]],_INDICATOR_[CONTEST_CODE],0),MATCH($T$1,_INDICATOR_[#Headers],0)),"-")</f>
        <v>WAIT</v>
      </c>
      <c r="U471" s="1" t="str">
        <f>IFERROR(INDEX(_reward_link_[],MATCH(ВСЕ_КОДЫ[[#This Row],[CONTEST_CODE]],_reward_link_[CONTEST_CODE],0),MATCH($U$1,_reward_link_[#Headers],0)),"-")</f>
        <v>BANK</v>
      </c>
      <c r="V471" s="1" t="str">
        <f>IFERROR(INDEX(_report[],MATCH(ВСЕ_КОДЫ[[#This Row],[CONTEST_CODE]],_report[CONTEST_CODE],0),MATCH($V$1,_report[#Headers],0)),"-")</f>
        <v>-</v>
      </c>
      <c r="W471" s="1" t="str">
        <f>IFERROR(INDEX(_reward_[],MATCH(ВСЕ_КОДЫ[[#This Row],[REWARD_CODE]],_reward_[REWARD_CODE],0),MATCH($W$1,_reward_[#Headers],0)),"-")</f>
        <v>Серебро#по производительности среди МС потоковых сделок</v>
      </c>
      <c r="X471" s="1" t="str">
        <f>IFERROR(INDEX(_group_[],MATCH(CONCATENATE(ВСЕ_КОДЫ[[#This Row],[CONTEST_CODE]],"_",X$2),#REF!,0),MATCH(X$1,_group_[#Headers],0)),"-")</f>
        <v>-</v>
      </c>
      <c r="Y471" s="1" t="str">
        <f>IFERROR(INDEX(_group_[],MATCH(CONCATENATE(ВСЕ_КОДЫ[[#This Row],[CONTEST_CODE]],"_",Y$2),#REF!,0),MATCH(Y$1,_group_[#Headers],0)),"-")</f>
        <v>-</v>
      </c>
      <c r="Z471" s="1" t="str">
        <f>IFERROR(INDEX(_group_[],MATCH(CONCATENATE(ВСЕ_КОДЫ[[#This Row],[CONTEST_CODE]],"_",Z$2),#REF!,0),MATCH(Z$1,_group_[#Headers],0)),"-")</f>
        <v>-</v>
      </c>
      <c r="AA471" s="1" t="str">
        <f>IFERROR(INDEX(_group_[],MATCH(CONCATENATE(ВСЕ_КОДЫ[[#This Row],[CONTEST_CODE]],"_",AA$2),#REF!,0),MATCH(AA$1,_group_[#Headers],0)),"-")</f>
        <v>-</v>
      </c>
      <c r="AB471" s="1" t="str">
        <f>IFERROR(INDEX(_DATA_[],MATCH(ВСЕ_КОДЫ[[#This Row],[CONTEST_CODE]],_DATA_[CONTEST_CODE],0),MATCH($AB$2,_DATA_[#Headers],0)),"-")</f>
        <v>["""KMFACTORING"""]</v>
      </c>
      <c r="AC471" t="str">
        <f>CONCATENATE(ВСЕ_КОДЫ[[#This Row],[CONTEST_CODE]],"_",ВСЕ_КОДЫ[[#This Row],[TOURNAMENT_CODE]])</f>
        <v>04_2025-0_15-2_1_t_04_2025-0_15-2_1_2011</v>
      </c>
      <c r="AD471" t="str">
        <f>ВСЕ_КОДЫ[[#This Row],[FULL_NAME]]</f>
        <v>Производительность. Потоковые сделки (МС)</v>
      </c>
    </row>
    <row r="472" spans="1:30" hidden="1" x14ac:dyDescent="0.25">
      <c r="A472" s="1" t="s">
        <v>2222</v>
      </c>
      <c r="B472" s="1" t="s">
        <v>2560</v>
      </c>
      <c r="C472" s="1" t="s">
        <v>2347</v>
      </c>
      <c r="D472" s="1" t="s">
        <v>583</v>
      </c>
      <c r="E472" s="1" t="s">
        <v>2609</v>
      </c>
      <c r="F472" s="1" t="s">
        <v>2508</v>
      </c>
      <c r="G472" s="1" t="s">
        <v>2509</v>
      </c>
      <c r="H472" s="1" t="s">
        <v>34</v>
      </c>
      <c r="I472" s="1" t="s">
        <v>50</v>
      </c>
      <c r="J472" s="1" t="s">
        <v>2508</v>
      </c>
      <c r="K472" s="1" t="s">
        <v>2534</v>
      </c>
      <c r="L472" s="1" t="s">
        <v>4132</v>
      </c>
      <c r="M472" s="1" t="s">
        <v>176</v>
      </c>
      <c r="N472" s="1" t="s">
        <v>305</v>
      </c>
      <c r="O472" s="1" t="s">
        <v>2749</v>
      </c>
      <c r="P472" s="1"/>
      <c r="Q472" s="1">
        <f>IFERROR(COUNTIFS(_report[TOURNAMENT_CODE],ВСЕ_КОДЫ[[#This Row],[TOURNAMENT_CODE]],_report[CONTEST_CODE],ВСЕ_КОДЫ[[#This Row],[CONTEST_CODE]]),"-")</f>
        <v>0</v>
      </c>
      <c r="R472" s="1" t="str">
        <f>IFERROR(INDEX(_SCHEDULE_[],MATCH(ВСЕ_КОДЫ[[#This Row],[CONTEST_CODE]],_SCHEDULE_[CONTEST_CODE],0),MATCH($R$1,_SCHEDULE_[#Headers],0)),"-")</f>
        <v>ЗАВЕРШЕН</v>
      </c>
      <c r="S472" s="1" t="str">
        <f>IFERROR(INDEX(_group_[],MATCH(ВСЕ_КОДЫ[[#This Row],[CONTEST_CODE]],_group_[CONTEST_CODE],0),MATCH($S$1,_group_[#Headers],0)),"-")</f>
        <v>BANK</v>
      </c>
      <c r="T472" s="1" t="str">
        <f>IFERROR(INDEX(_INDICATOR_[],MATCH(ВСЕ_КОДЫ[[#This Row],[CONTEST_CODE]],_INDICATOR_[CONTEST_CODE],0),MATCH($T$1,_INDICATOR_[#Headers],0)),"-")</f>
        <v>WAIT</v>
      </c>
      <c r="U472" s="1" t="str">
        <f>IFERROR(INDEX(_reward_link_[],MATCH(ВСЕ_КОДЫ[[#This Row],[CONTEST_CODE]],_reward_link_[CONTEST_CODE],0),MATCH($U$1,_reward_link_[#Headers],0)),"-")</f>
        <v>BANK</v>
      </c>
      <c r="V472" s="1" t="str">
        <f>IFERROR(INDEX(_report[],MATCH(ВСЕ_КОДЫ[[#This Row],[CONTEST_CODE]],_report[CONTEST_CODE],0),MATCH($V$1,_report[#Headers],0)),"-")</f>
        <v>-</v>
      </c>
      <c r="W472" s="1" t="str">
        <f>IFERROR(INDEX(_reward_[],MATCH(ВСЕ_КОДЫ[[#This Row],[REWARD_CODE]],_reward_[REWARD_CODE],0),MATCH($W$1,_reward_[#Headers],0)),"-")</f>
        <v>Бронза#по производительности среди МС потоковых сделок</v>
      </c>
      <c r="X472" s="1" t="str">
        <f>IFERROR(INDEX(_group_[],MATCH(CONCATENATE(ВСЕ_КОДЫ[[#This Row],[CONTEST_CODE]],"_",X$2),#REF!,0),MATCH(X$1,_group_[#Headers],0)),"-")</f>
        <v>-</v>
      </c>
      <c r="Y472" s="1" t="str">
        <f>IFERROR(INDEX(_group_[],MATCH(CONCATENATE(ВСЕ_КОДЫ[[#This Row],[CONTEST_CODE]],"_",Y$2),#REF!,0),MATCH(Y$1,_group_[#Headers],0)),"-")</f>
        <v>-</v>
      </c>
      <c r="Z472" s="1" t="str">
        <f>IFERROR(INDEX(_group_[],MATCH(CONCATENATE(ВСЕ_КОДЫ[[#This Row],[CONTEST_CODE]],"_",Z$2),#REF!,0),MATCH(Z$1,_group_[#Headers],0)),"-")</f>
        <v>-</v>
      </c>
      <c r="AA472" s="1" t="str">
        <f>IFERROR(INDEX(_group_[],MATCH(CONCATENATE(ВСЕ_КОДЫ[[#This Row],[CONTEST_CODE]],"_",AA$2),#REF!,0),MATCH(AA$1,_group_[#Headers],0)),"-")</f>
        <v>-</v>
      </c>
      <c r="AB472" s="1" t="str">
        <f>IFERROR(INDEX(_DATA_[],MATCH(ВСЕ_КОДЫ[[#This Row],[CONTEST_CODE]],_DATA_[CONTEST_CODE],0),MATCH($AB$2,_DATA_[#Headers],0)),"-")</f>
        <v>["""KMFACTORING"""]</v>
      </c>
      <c r="AC472" t="str">
        <f>CONCATENATE(ВСЕ_КОДЫ[[#This Row],[CONTEST_CODE]],"_",ВСЕ_КОДЫ[[#This Row],[TOURNAMENT_CODE]])</f>
        <v>04_2025-0_15-2_1_t_04_2025-0_15-2_1_2011</v>
      </c>
      <c r="AD472" t="str">
        <f>ВСЕ_КОДЫ[[#This Row],[FULL_NAME]]</f>
        <v>Производительность. Потоковые сделки (МС)</v>
      </c>
    </row>
    <row r="473" spans="1:30" x14ac:dyDescent="0.25">
      <c r="A473" s="1" t="s">
        <v>2222</v>
      </c>
      <c r="B473" s="1" t="s">
        <v>3665</v>
      </c>
      <c r="C473" s="1" t="s">
        <v>2343</v>
      </c>
      <c r="D473" s="1" t="s">
        <v>583</v>
      </c>
      <c r="E473" s="1" t="s">
        <v>2609</v>
      </c>
      <c r="F473" s="1" t="s">
        <v>2508</v>
      </c>
      <c r="G473" s="1" t="s">
        <v>2509</v>
      </c>
      <c r="H473" s="1" t="s">
        <v>34</v>
      </c>
      <c r="I473" s="1" t="s">
        <v>50</v>
      </c>
      <c r="J473" s="1" t="s">
        <v>4019</v>
      </c>
      <c r="K473" s="1" t="s">
        <v>2542</v>
      </c>
      <c r="L473" s="1" t="s">
        <v>3659</v>
      </c>
      <c r="M473" s="1" t="s">
        <v>34</v>
      </c>
      <c r="N473" s="1" t="s">
        <v>305</v>
      </c>
      <c r="O473" s="1" t="s">
        <v>2747</v>
      </c>
      <c r="P473" s="1"/>
      <c r="Q473" s="1">
        <f>IFERROR(COUNTIFS(_report[TOURNAMENT_CODE],ВСЕ_КОДЫ[[#This Row],[TOURNAMENT_CODE]],_report[CONTEST_CODE],ВСЕ_КОДЫ[[#This Row],[CONTEST_CODE]]),"-")</f>
        <v>0</v>
      </c>
      <c r="R473" s="1" t="str">
        <f>IFERROR(INDEX(_SCHEDULE_[],MATCH(ВСЕ_КОДЫ[[#This Row],[CONTEST_CODE]],_SCHEDULE_[CONTEST_CODE],0),MATCH($R$1,_SCHEDULE_[#Headers],0)),"-")</f>
        <v>ЗАВЕРШЕН</v>
      </c>
      <c r="S473" s="1" t="str">
        <f>IFERROR(INDEX(_group_[],MATCH(ВСЕ_КОДЫ[[#This Row],[CONTEST_CODE]],_group_[CONTEST_CODE],0),MATCH($S$1,_group_[#Headers],0)),"-")</f>
        <v>BANK</v>
      </c>
      <c r="T473" s="1" t="str">
        <f>IFERROR(INDEX(_INDICATOR_[],MATCH(ВСЕ_КОДЫ[[#This Row],[CONTEST_CODE]],_INDICATOR_[CONTEST_CODE],0),MATCH($T$1,_INDICATOR_[#Headers],0)),"-")</f>
        <v>WAIT</v>
      </c>
      <c r="U473" s="1" t="str">
        <f>IFERROR(INDEX(_reward_link_[],MATCH(ВСЕ_КОДЫ[[#This Row],[CONTEST_CODE]],_reward_link_[CONTEST_CODE],0),MATCH($U$1,_reward_link_[#Headers],0)),"-")</f>
        <v>BANK</v>
      </c>
      <c r="V473" s="1" t="str">
        <f>IFERROR(INDEX(_report[],MATCH(ВСЕ_КОДЫ[[#This Row],[CONTEST_CODE]],_report[CONTEST_CODE],0),MATCH($V$1,_report[#Headers],0)),"-")</f>
        <v>-</v>
      </c>
      <c r="W473" s="1" t="str">
        <f>IFERROR(INDEX(_reward_[],MATCH(ВСЕ_КОДЫ[[#This Row],[REWARD_CODE]],_reward_[REWARD_CODE],0),MATCH($W$1,_reward_[#Headers],0)),"-")</f>
        <v>Золото#по производительности среди МС потоковых сделок</v>
      </c>
      <c r="X473" s="1" t="str">
        <f>IFERROR(INDEX(_group_[],MATCH(CONCATENATE(ВСЕ_КОДЫ[[#This Row],[CONTEST_CODE]],"_",X$2),#REF!,0),MATCH(X$1,_group_[#Headers],0)),"-")</f>
        <v>-</v>
      </c>
      <c r="Y473" s="1" t="str">
        <f>IFERROR(INDEX(_group_[],MATCH(CONCATENATE(ВСЕ_КОДЫ[[#This Row],[CONTEST_CODE]],"_",Y$2),#REF!,0),MATCH(Y$1,_group_[#Headers],0)),"-")</f>
        <v>-</v>
      </c>
      <c r="Z473" s="1" t="str">
        <f>IFERROR(INDEX(_group_[],MATCH(CONCATENATE(ВСЕ_КОДЫ[[#This Row],[CONTEST_CODE]],"_",Z$2),#REF!,0),MATCH(Z$1,_group_[#Headers],0)),"-")</f>
        <v>-</v>
      </c>
      <c r="AA473" s="1" t="str">
        <f>IFERROR(INDEX(_group_[],MATCH(CONCATENATE(ВСЕ_КОДЫ[[#This Row],[CONTEST_CODE]],"_",AA$2),#REF!,0),MATCH(AA$1,_group_[#Headers],0)),"-")</f>
        <v>-</v>
      </c>
      <c r="AB473" s="1" t="str">
        <f>IFERROR(INDEX(_DATA_[],MATCH(ВСЕ_КОДЫ[[#This Row],[CONTEST_CODE]],_DATA_[CONTEST_CODE],0),MATCH($AB$2,_DATA_[#Headers],0)),"-")</f>
        <v>["""KMFACTORING"""]</v>
      </c>
      <c r="AC473" t="str">
        <f>CONCATENATE(ВСЕ_КОДЫ[[#This Row],[CONTEST_CODE]],"_",ВСЕ_КОДЫ[[#This Row],[TOURNAMENT_CODE]])</f>
        <v>04_2025-0_15-2_1_t_04_2025-0_15-2_1_2021</v>
      </c>
      <c r="AD473" t="str">
        <f>ВСЕ_КОДЫ[[#This Row],[FULL_NAME]]</f>
        <v>Производительность. Потоковые сделки (МС)</v>
      </c>
    </row>
    <row r="474" spans="1:30" x14ac:dyDescent="0.25">
      <c r="A474" s="1" t="s">
        <v>2222</v>
      </c>
      <c r="B474" s="1" t="s">
        <v>3665</v>
      </c>
      <c r="C474" s="1" t="s">
        <v>2345</v>
      </c>
      <c r="D474" s="1" t="s">
        <v>583</v>
      </c>
      <c r="E474" s="1" t="s">
        <v>2609</v>
      </c>
      <c r="F474" s="1" t="s">
        <v>2508</v>
      </c>
      <c r="G474" s="1" t="s">
        <v>2509</v>
      </c>
      <c r="H474" s="1" t="s">
        <v>34</v>
      </c>
      <c r="I474" s="1" t="s">
        <v>50</v>
      </c>
      <c r="J474" s="1" t="s">
        <v>4019</v>
      </c>
      <c r="K474" s="1" t="s">
        <v>2542</v>
      </c>
      <c r="L474" s="1" t="s">
        <v>3659</v>
      </c>
      <c r="M474" s="1" t="s">
        <v>34</v>
      </c>
      <c r="N474" s="1" t="s">
        <v>305</v>
      </c>
      <c r="O474" s="1" t="s">
        <v>2748</v>
      </c>
      <c r="P474" s="1"/>
      <c r="Q474" s="1">
        <f>IFERROR(COUNTIFS(_report[TOURNAMENT_CODE],ВСЕ_КОДЫ[[#This Row],[TOURNAMENT_CODE]],_report[CONTEST_CODE],ВСЕ_КОДЫ[[#This Row],[CONTEST_CODE]]),"-")</f>
        <v>0</v>
      </c>
      <c r="R474" s="1" t="str">
        <f>IFERROR(INDEX(_SCHEDULE_[],MATCH(ВСЕ_КОДЫ[[#This Row],[CONTEST_CODE]],_SCHEDULE_[CONTEST_CODE],0),MATCH($R$1,_SCHEDULE_[#Headers],0)),"-")</f>
        <v>ЗАВЕРШЕН</v>
      </c>
      <c r="S474" s="1" t="str">
        <f>IFERROR(INDEX(_group_[],MATCH(ВСЕ_КОДЫ[[#This Row],[CONTEST_CODE]],_group_[CONTEST_CODE],0),MATCH($S$1,_group_[#Headers],0)),"-")</f>
        <v>BANK</v>
      </c>
      <c r="T474" s="1" t="str">
        <f>IFERROR(INDEX(_INDICATOR_[],MATCH(ВСЕ_КОДЫ[[#This Row],[CONTEST_CODE]],_INDICATOR_[CONTEST_CODE],0),MATCH($T$1,_INDICATOR_[#Headers],0)),"-")</f>
        <v>WAIT</v>
      </c>
      <c r="U474" s="1" t="str">
        <f>IFERROR(INDEX(_reward_link_[],MATCH(ВСЕ_КОДЫ[[#This Row],[CONTEST_CODE]],_reward_link_[CONTEST_CODE],0),MATCH($U$1,_reward_link_[#Headers],0)),"-")</f>
        <v>BANK</v>
      </c>
      <c r="V474" s="1" t="str">
        <f>IFERROR(INDEX(_report[],MATCH(ВСЕ_КОДЫ[[#This Row],[CONTEST_CODE]],_report[CONTEST_CODE],0),MATCH($V$1,_report[#Headers],0)),"-")</f>
        <v>-</v>
      </c>
      <c r="W474" s="1" t="str">
        <f>IFERROR(INDEX(_reward_[],MATCH(ВСЕ_КОДЫ[[#This Row],[REWARD_CODE]],_reward_[REWARD_CODE],0),MATCH($W$1,_reward_[#Headers],0)),"-")</f>
        <v>Серебро#по производительности среди МС потоковых сделок</v>
      </c>
      <c r="X474" s="1" t="str">
        <f>IFERROR(INDEX(_group_[],MATCH(CONCATENATE(ВСЕ_КОДЫ[[#This Row],[CONTEST_CODE]],"_",X$2),#REF!,0),MATCH(X$1,_group_[#Headers],0)),"-")</f>
        <v>-</v>
      </c>
      <c r="Y474" s="1" t="str">
        <f>IFERROR(INDEX(_group_[],MATCH(CONCATENATE(ВСЕ_КОДЫ[[#This Row],[CONTEST_CODE]],"_",Y$2),#REF!,0),MATCH(Y$1,_group_[#Headers],0)),"-")</f>
        <v>-</v>
      </c>
      <c r="Z474" s="1" t="str">
        <f>IFERROR(INDEX(_group_[],MATCH(CONCATENATE(ВСЕ_КОДЫ[[#This Row],[CONTEST_CODE]],"_",Z$2),#REF!,0),MATCH(Z$1,_group_[#Headers],0)),"-")</f>
        <v>-</v>
      </c>
      <c r="AA474" s="1" t="str">
        <f>IFERROR(INDEX(_group_[],MATCH(CONCATENATE(ВСЕ_КОДЫ[[#This Row],[CONTEST_CODE]],"_",AA$2),#REF!,0),MATCH(AA$1,_group_[#Headers],0)),"-")</f>
        <v>-</v>
      </c>
      <c r="AB474" s="1" t="str">
        <f>IFERROR(INDEX(_DATA_[],MATCH(ВСЕ_КОДЫ[[#This Row],[CONTEST_CODE]],_DATA_[CONTEST_CODE],0),MATCH($AB$2,_DATA_[#Headers],0)),"-")</f>
        <v>["""KMFACTORING"""]</v>
      </c>
      <c r="AC474" t="str">
        <f>CONCATENATE(ВСЕ_КОДЫ[[#This Row],[CONTEST_CODE]],"_",ВСЕ_КОДЫ[[#This Row],[TOURNAMENT_CODE]])</f>
        <v>04_2025-0_15-2_1_t_04_2025-0_15-2_1_2021</v>
      </c>
      <c r="AD474" t="str">
        <f>ВСЕ_КОДЫ[[#This Row],[FULL_NAME]]</f>
        <v>Производительность. Потоковые сделки (МС)</v>
      </c>
    </row>
    <row r="475" spans="1:30" x14ac:dyDescent="0.25">
      <c r="A475" s="1" t="s">
        <v>2222</v>
      </c>
      <c r="B475" s="1" t="s">
        <v>3665</v>
      </c>
      <c r="C475" s="1" t="s">
        <v>2347</v>
      </c>
      <c r="D475" s="1" t="s">
        <v>583</v>
      </c>
      <c r="E475" s="1" t="s">
        <v>2609</v>
      </c>
      <c r="F475" s="1" t="s">
        <v>2508</v>
      </c>
      <c r="G475" s="1" t="s">
        <v>2509</v>
      </c>
      <c r="H475" s="1" t="s">
        <v>34</v>
      </c>
      <c r="I475" s="1" t="s">
        <v>50</v>
      </c>
      <c r="J475" s="1" t="s">
        <v>4019</v>
      </c>
      <c r="K475" s="1" t="s">
        <v>2542</v>
      </c>
      <c r="L475" s="1" t="s">
        <v>3659</v>
      </c>
      <c r="M475" s="1" t="s">
        <v>34</v>
      </c>
      <c r="N475" s="1" t="s">
        <v>305</v>
      </c>
      <c r="O475" s="1" t="s">
        <v>2749</v>
      </c>
      <c r="P475" s="1"/>
      <c r="Q475" s="1">
        <f>IFERROR(COUNTIFS(_report[TOURNAMENT_CODE],ВСЕ_КОДЫ[[#This Row],[TOURNAMENT_CODE]],_report[CONTEST_CODE],ВСЕ_КОДЫ[[#This Row],[CONTEST_CODE]]),"-")</f>
        <v>0</v>
      </c>
      <c r="R475" s="1" t="str">
        <f>IFERROR(INDEX(_SCHEDULE_[],MATCH(ВСЕ_КОДЫ[[#This Row],[CONTEST_CODE]],_SCHEDULE_[CONTEST_CODE],0),MATCH($R$1,_SCHEDULE_[#Headers],0)),"-")</f>
        <v>ЗАВЕРШЕН</v>
      </c>
      <c r="S475" s="1" t="str">
        <f>IFERROR(INDEX(_group_[],MATCH(ВСЕ_КОДЫ[[#This Row],[CONTEST_CODE]],_group_[CONTEST_CODE],0),MATCH($S$1,_group_[#Headers],0)),"-")</f>
        <v>BANK</v>
      </c>
      <c r="T475" s="1" t="str">
        <f>IFERROR(INDEX(_INDICATOR_[],MATCH(ВСЕ_КОДЫ[[#This Row],[CONTEST_CODE]],_INDICATOR_[CONTEST_CODE],0),MATCH($T$1,_INDICATOR_[#Headers],0)),"-")</f>
        <v>WAIT</v>
      </c>
      <c r="U475" s="1" t="str">
        <f>IFERROR(INDEX(_reward_link_[],MATCH(ВСЕ_КОДЫ[[#This Row],[CONTEST_CODE]],_reward_link_[CONTEST_CODE],0),MATCH($U$1,_reward_link_[#Headers],0)),"-")</f>
        <v>BANK</v>
      </c>
      <c r="V475" s="1" t="str">
        <f>IFERROR(INDEX(_report[],MATCH(ВСЕ_КОДЫ[[#This Row],[CONTEST_CODE]],_report[CONTEST_CODE],0),MATCH($V$1,_report[#Headers],0)),"-")</f>
        <v>-</v>
      </c>
      <c r="W475" s="1" t="str">
        <f>IFERROR(INDEX(_reward_[],MATCH(ВСЕ_КОДЫ[[#This Row],[REWARD_CODE]],_reward_[REWARD_CODE],0),MATCH($W$1,_reward_[#Headers],0)),"-")</f>
        <v>Бронза#по производительности среди МС потоковых сделок</v>
      </c>
      <c r="X475" s="1" t="str">
        <f>IFERROR(INDEX(_group_[],MATCH(CONCATENATE(ВСЕ_КОДЫ[[#This Row],[CONTEST_CODE]],"_",X$2),#REF!,0),MATCH(X$1,_group_[#Headers],0)),"-")</f>
        <v>-</v>
      </c>
      <c r="Y475" s="1" t="str">
        <f>IFERROR(INDEX(_group_[],MATCH(CONCATENATE(ВСЕ_КОДЫ[[#This Row],[CONTEST_CODE]],"_",Y$2),#REF!,0),MATCH(Y$1,_group_[#Headers],0)),"-")</f>
        <v>-</v>
      </c>
      <c r="Z475" s="1" t="str">
        <f>IFERROR(INDEX(_group_[],MATCH(CONCATENATE(ВСЕ_КОДЫ[[#This Row],[CONTEST_CODE]],"_",Z$2),#REF!,0),MATCH(Z$1,_group_[#Headers],0)),"-")</f>
        <v>-</v>
      </c>
      <c r="AA475" s="1" t="str">
        <f>IFERROR(INDEX(_group_[],MATCH(CONCATENATE(ВСЕ_КОДЫ[[#This Row],[CONTEST_CODE]],"_",AA$2),#REF!,0),MATCH(AA$1,_group_[#Headers],0)),"-")</f>
        <v>-</v>
      </c>
      <c r="AB475" s="1" t="str">
        <f>IFERROR(INDEX(_DATA_[],MATCH(ВСЕ_КОДЫ[[#This Row],[CONTEST_CODE]],_DATA_[CONTEST_CODE],0),MATCH($AB$2,_DATA_[#Headers],0)),"-")</f>
        <v>["""KMFACTORING"""]</v>
      </c>
      <c r="AC475" t="str">
        <f>CONCATENATE(ВСЕ_КОДЫ[[#This Row],[CONTEST_CODE]],"_",ВСЕ_КОДЫ[[#This Row],[TOURNAMENT_CODE]])</f>
        <v>04_2025-0_15-2_1_t_04_2025-0_15-2_1_2021</v>
      </c>
      <c r="AD475" t="str">
        <f>ВСЕ_КОДЫ[[#This Row],[FULL_NAME]]</f>
        <v>Производительность. Потоковые сделки (МС)</v>
      </c>
    </row>
    <row r="476" spans="1:30" hidden="1" x14ac:dyDescent="0.25">
      <c r="A476" s="1" t="s">
        <v>2224</v>
      </c>
      <c r="B476" s="1" t="s">
        <v>2562</v>
      </c>
      <c r="C476" s="1" t="s">
        <v>2349</v>
      </c>
      <c r="D476" s="1" t="s">
        <v>583</v>
      </c>
      <c r="E476" s="1" t="s">
        <v>2610</v>
      </c>
      <c r="F476" s="1" t="s">
        <v>2508</v>
      </c>
      <c r="G476" s="1" t="s">
        <v>2509</v>
      </c>
      <c r="H476" s="1" t="s">
        <v>34</v>
      </c>
      <c r="I476" s="1" t="s">
        <v>50</v>
      </c>
      <c r="J476" s="1" t="s">
        <v>2508</v>
      </c>
      <c r="K476" s="1" t="s">
        <v>2534</v>
      </c>
      <c r="L476" s="1" t="s">
        <v>4132</v>
      </c>
      <c r="M476" s="1" t="s">
        <v>176</v>
      </c>
      <c r="N476" s="1" t="s">
        <v>305</v>
      </c>
      <c r="O476" s="1" t="s">
        <v>2750</v>
      </c>
      <c r="P476" s="1"/>
      <c r="Q476" s="1">
        <f>IFERROR(COUNTIFS(_report[TOURNAMENT_CODE],ВСЕ_КОДЫ[[#This Row],[TOURNAMENT_CODE]],_report[CONTEST_CODE],ВСЕ_КОДЫ[[#This Row],[CONTEST_CODE]]),"-")</f>
        <v>0</v>
      </c>
      <c r="R476" s="1" t="str">
        <f>IFERROR(INDEX(_SCHEDULE_[],MATCH(ВСЕ_КОДЫ[[#This Row],[CONTEST_CODE]],_SCHEDULE_[CONTEST_CODE],0),MATCH($R$1,_SCHEDULE_[#Headers],0)),"-")</f>
        <v>ЗАВЕРШЕН</v>
      </c>
      <c r="S476" s="1" t="str">
        <f>IFERROR(INDEX(_group_[],MATCH(ВСЕ_КОДЫ[[#This Row],[CONTEST_CODE]],_group_[CONTEST_CODE],0),MATCH($S$1,_group_[#Headers],0)),"-")</f>
        <v>BANK</v>
      </c>
      <c r="T476" s="1" t="str">
        <f>IFERROR(INDEX(_INDICATOR_[],MATCH(ВСЕ_КОДЫ[[#This Row],[CONTEST_CODE]],_INDICATOR_[CONTEST_CODE],0),MATCH($T$1,_INDICATOR_[#Headers],0)),"-")</f>
        <v>WAIT</v>
      </c>
      <c r="U476" s="1" t="str">
        <f>IFERROR(INDEX(_reward_link_[],MATCH(ВСЕ_КОДЫ[[#This Row],[CONTEST_CODE]],_reward_link_[CONTEST_CODE],0),MATCH($U$1,_reward_link_[#Headers],0)),"-")</f>
        <v>BANK</v>
      </c>
      <c r="V476" s="1" t="str">
        <f>IFERROR(INDEX(_report[],MATCH(ВСЕ_КОДЫ[[#This Row],[CONTEST_CODE]],_report[CONTEST_CODE],0),MATCH($V$1,_report[#Headers],0)),"-")</f>
        <v>-</v>
      </c>
      <c r="W476" s="1" t="str">
        <f>IFERROR(INDEX(_reward_[],MATCH(ВСЕ_КОДЫ[[#This Row],[REWARD_CODE]],_reward_[REWARD_CODE],0),MATCH($W$1,_reward_[#Headers],0)),"-")</f>
        <v>Золото#по производительности среди МС индивидуальных сделок</v>
      </c>
      <c r="X476" s="1" t="str">
        <f>IFERROR(INDEX(_group_[],MATCH(CONCATENATE(ВСЕ_КОДЫ[[#This Row],[CONTEST_CODE]],"_",X$2),#REF!,0),MATCH(X$1,_group_[#Headers],0)),"-")</f>
        <v>-</v>
      </c>
      <c r="Y476" s="1" t="str">
        <f>IFERROR(INDEX(_group_[],MATCH(CONCATENATE(ВСЕ_КОДЫ[[#This Row],[CONTEST_CODE]],"_",Y$2),#REF!,0),MATCH(Y$1,_group_[#Headers],0)),"-")</f>
        <v>-</v>
      </c>
      <c r="Z476" s="1" t="str">
        <f>IFERROR(INDEX(_group_[],MATCH(CONCATENATE(ВСЕ_КОДЫ[[#This Row],[CONTEST_CODE]],"_",Z$2),#REF!,0),MATCH(Z$1,_group_[#Headers],0)),"-")</f>
        <v>-</v>
      </c>
      <c r="AA476" s="1" t="str">
        <f>IFERROR(INDEX(_group_[],MATCH(CONCATENATE(ВСЕ_КОДЫ[[#This Row],[CONTEST_CODE]],"_",AA$2),#REF!,0),MATCH(AA$1,_group_[#Headers],0)),"-")</f>
        <v>-</v>
      </c>
      <c r="AB476" s="1" t="str">
        <f>IFERROR(INDEX(_DATA_[],MATCH(ВСЕ_КОДЫ[[#This Row],[CONTEST_CODE]],_DATA_[CONTEST_CODE],0),MATCH($AB$2,_DATA_[#Headers],0)),"-")</f>
        <v>["""KMFACTORING"""]</v>
      </c>
      <c r="AC476" t="str">
        <f>CONCATENATE(ВСЕ_КОДЫ[[#This Row],[CONTEST_CODE]],"_",ВСЕ_КОДЫ[[#This Row],[TOURNAMENT_CODE]])</f>
        <v>04_2025-0_15-2_2_t_04_2025-0_15-2_2_2011</v>
      </c>
      <c r="AD476" t="str">
        <f>ВСЕ_КОДЫ[[#This Row],[FULL_NAME]]</f>
        <v>Производительность. Индивидуальные сделки (МС)</v>
      </c>
    </row>
    <row r="477" spans="1:30" hidden="1" x14ac:dyDescent="0.25">
      <c r="A477" s="1" t="s">
        <v>2224</v>
      </c>
      <c r="B477" s="1" t="s">
        <v>2562</v>
      </c>
      <c r="C477" s="1" t="s">
        <v>2351</v>
      </c>
      <c r="D477" s="1" t="s">
        <v>583</v>
      </c>
      <c r="E477" s="1" t="s">
        <v>2610</v>
      </c>
      <c r="F477" s="1" t="s">
        <v>2508</v>
      </c>
      <c r="G477" s="1" t="s">
        <v>2509</v>
      </c>
      <c r="H477" s="1" t="s">
        <v>34</v>
      </c>
      <c r="I477" s="1" t="s">
        <v>50</v>
      </c>
      <c r="J477" s="1" t="s">
        <v>2508</v>
      </c>
      <c r="K477" s="1" t="s">
        <v>2534</v>
      </c>
      <c r="L477" s="1" t="s">
        <v>4132</v>
      </c>
      <c r="M477" s="1" t="s">
        <v>176</v>
      </c>
      <c r="N477" s="1" t="s">
        <v>305</v>
      </c>
      <c r="O477" s="1" t="s">
        <v>2751</v>
      </c>
      <c r="P477" s="1"/>
      <c r="Q477" s="1">
        <f>IFERROR(COUNTIFS(_report[TOURNAMENT_CODE],ВСЕ_КОДЫ[[#This Row],[TOURNAMENT_CODE]],_report[CONTEST_CODE],ВСЕ_КОДЫ[[#This Row],[CONTEST_CODE]]),"-")</f>
        <v>0</v>
      </c>
      <c r="R477" s="1" t="str">
        <f>IFERROR(INDEX(_SCHEDULE_[],MATCH(ВСЕ_КОДЫ[[#This Row],[CONTEST_CODE]],_SCHEDULE_[CONTEST_CODE],0),MATCH($R$1,_SCHEDULE_[#Headers],0)),"-")</f>
        <v>ЗАВЕРШЕН</v>
      </c>
      <c r="S477" s="1" t="str">
        <f>IFERROR(INDEX(_group_[],MATCH(ВСЕ_КОДЫ[[#This Row],[CONTEST_CODE]],_group_[CONTEST_CODE],0),MATCH($S$1,_group_[#Headers],0)),"-")</f>
        <v>BANK</v>
      </c>
      <c r="T477" s="1" t="str">
        <f>IFERROR(INDEX(_INDICATOR_[],MATCH(ВСЕ_КОДЫ[[#This Row],[CONTEST_CODE]],_INDICATOR_[CONTEST_CODE],0),MATCH($T$1,_INDICATOR_[#Headers],0)),"-")</f>
        <v>WAIT</v>
      </c>
      <c r="U477" s="1" t="str">
        <f>IFERROR(INDEX(_reward_link_[],MATCH(ВСЕ_КОДЫ[[#This Row],[CONTEST_CODE]],_reward_link_[CONTEST_CODE],0),MATCH($U$1,_reward_link_[#Headers],0)),"-")</f>
        <v>BANK</v>
      </c>
      <c r="V477" s="1" t="str">
        <f>IFERROR(INDEX(_report[],MATCH(ВСЕ_КОДЫ[[#This Row],[CONTEST_CODE]],_report[CONTEST_CODE],0),MATCH($V$1,_report[#Headers],0)),"-")</f>
        <v>-</v>
      </c>
      <c r="W477" s="1" t="str">
        <f>IFERROR(INDEX(_reward_[],MATCH(ВСЕ_КОДЫ[[#This Row],[REWARD_CODE]],_reward_[REWARD_CODE],0),MATCH($W$1,_reward_[#Headers],0)),"-")</f>
        <v>Серебро#по производительности среди МС индивидуальных сделок</v>
      </c>
      <c r="X477" s="1" t="str">
        <f>IFERROR(INDEX(_group_[],MATCH(CONCATENATE(ВСЕ_КОДЫ[[#This Row],[CONTEST_CODE]],"_",X$2),#REF!,0),MATCH(X$1,_group_[#Headers],0)),"-")</f>
        <v>-</v>
      </c>
      <c r="Y477" s="1" t="str">
        <f>IFERROR(INDEX(_group_[],MATCH(CONCATENATE(ВСЕ_КОДЫ[[#This Row],[CONTEST_CODE]],"_",Y$2),#REF!,0),MATCH(Y$1,_group_[#Headers],0)),"-")</f>
        <v>-</v>
      </c>
      <c r="Z477" s="1" t="str">
        <f>IFERROR(INDEX(_group_[],MATCH(CONCATENATE(ВСЕ_КОДЫ[[#This Row],[CONTEST_CODE]],"_",Z$2),#REF!,0),MATCH(Z$1,_group_[#Headers],0)),"-")</f>
        <v>-</v>
      </c>
      <c r="AA477" s="1" t="str">
        <f>IFERROR(INDEX(_group_[],MATCH(CONCATENATE(ВСЕ_КОДЫ[[#This Row],[CONTEST_CODE]],"_",AA$2),#REF!,0),MATCH(AA$1,_group_[#Headers],0)),"-")</f>
        <v>-</v>
      </c>
      <c r="AB477" s="1" t="str">
        <f>IFERROR(INDEX(_DATA_[],MATCH(ВСЕ_КОДЫ[[#This Row],[CONTEST_CODE]],_DATA_[CONTEST_CODE],0),MATCH($AB$2,_DATA_[#Headers],0)),"-")</f>
        <v>["""KMFACTORING"""]</v>
      </c>
      <c r="AC477" t="str">
        <f>CONCATENATE(ВСЕ_КОДЫ[[#This Row],[CONTEST_CODE]],"_",ВСЕ_КОДЫ[[#This Row],[TOURNAMENT_CODE]])</f>
        <v>04_2025-0_15-2_2_t_04_2025-0_15-2_2_2011</v>
      </c>
      <c r="AD477" t="str">
        <f>ВСЕ_КОДЫ[[#This Row],[FULL_NAME]]</f>
        <v>Производительность. Индивидуальные сделки (МС)</v>
      </c>
    </row>
    <row r="478" spans="1:30" hidden="1" x14ac:dyDescent="0.25">
      <c r="A478" s="1" t="s">
        <v>2224</v>
      </c>
      <c r="B478" s="1" t="s">
        <v>2562</v>
      </c>
      <c r="C478" s="1" t="s">
        <v>2353</v>
      </c>
      <c r="D478" s="1" t="s">
        <v>583</v>
      </c>
      <c r="E478" s="1" t="s">
        <v>2610</v>
      </c>
      <c r="F478" s="1" t="s">
        <v>2508</v>
      </c>
      <c r="G478" s="1" t="s">
        <v>2509</v>
      </c>
      <c r="H478" s="1" t="s">
        <v>34</v>
      </c>
      <c r="I478" s="1" t="s">
        <v>50</v>
      </c>
      <c r="J478" s="1" t="s">
        <v>2508</v>
      </c>
      <c r="K478" s="1" t="s">
        <v>2534</v>
      </c>
      <c r="L478" s="1" t="s">
        <v>4132</v>
      </c>
      <c r="M478" s="1" t="s">
        <v>176</v>
      </c>
      <c r="N478" s="1" t="s">
        <v>305</v>
      </c>
      <c r="O478" s="1" t="s">
        <v>2752</v>
      </c>
      <c r="P478" s="1"/>
      <c r="Q478" s="1">
        <f>IFERROR(COUNTIFS(_report[TOURNAMENT_CODE],ВСЕ_КОДЫ[[#This Row],[TOURNAMENT_CODE]],_report[CONTEST_CODE],ВСЕ_КОДЫ[[#This Row],[CONTEST_CODE]]),"-")</f>
        <v>0</v>
      </c>
      <c r="R478" s="1" t="str">
        <f>IFERROR(INDEX(_SCHEDULE_[],MATCH(ВСЕ_КОДЫ[[#This Row],[CONTEST_CODE]],_SCHEDULE_[CONTEST_CODE],0),MATCH($R$1,_SCHEDULE_[#Headers],0)),"-")</f>
        <v>ЗАВЕРШЕН</v>
      </c>
      <c r="S478" s="1" t="str">
        <f>IFERROR(INDEX(_group_[],MATCH(ВСЕ_КОДЫ[[#This Row],[CONTEST_CODE]],_group_[CONTEST_CODE],0),MATCH($S$1,_group_[#Headers],0)),"-")</f>
        <v>BANK</v>
      </c>
      <c r="T478" s="1" t="str">
        <f>IFERROR(INDEX(_INDICATOR_[],MATCH(ВСЕ_КОДЫ[[#This Row],[CONTEST_CODE]],_INDICATOR_[CONTEST_CODE],0),MATCH($T$1,_INDICATOR_[#Headers],0)),"-")</f>
        <v>WAIT</v>
      </c>
      <c r="U478" s="1" t="str">
        <f>IFERROR(INDEX(_reward_link_[],MATCH(ВСЕ_КОДЫ[[#This Row],[CONTEST_CODE]],_reward_link_[CONTEST_CODE],0),MATCH($U$1,_reward_link_[#Headers],0)),"-")</f>
        <v>BANK</v>
      </c>
      <c r="V478" s="1" t="str">
        <f>IFERROR(INDEX(_report[],MATCH(ВСЕ_КОДЫ[[#This Row],[CONTEST_CODE]],_report[CONTEST_CODE],0),MATCH($V$1,_report[#Headers],0)),"-")</f>
        <v>-</v>
      </c>
      <c r="W478" s="1" t="str">
        <f>IFERROR(INDEX(_reward_[],MATCH(ВСЕ_КОДЫ[[#This Row],[REWARD_CODE]],_reward_[REWARD_CODE],0),MATCH($W$1,_reward_[#Headers],0)),"-")</f>
        <v>Бронза#по производительности среди МС индивидуальных сделок</v>
      </c>
      <c r="X478" s="1" t="str">
        <f>IFERROR(INDEX(_group_[],MATCH(CONCATENATE(ВСЕ_КОДЫ[[#This Row],[CONTEST_CODE]],"_",X$2),#REF!,0),MATCH(X$1,_group_[#Headers],0)),"-")</f>
        <v>-</v>
      </c>
      <c r="Y478" s="1" t="str">
        <f>IFERROR(INDEX(_group_[],MATCH(CONCATENATE(ВСЕ_КОДЫ[[#This Row],[CONTEST_CODE]],"_",Y$2),#REF!,0),MATCH(Y$1,_group_[#Headers],0)),"-")</f>
        <v>-</v>
      </c>
      <c r="Z478" s="1" t="str">
        <f>IFERROR(INDEX(_group_[],MATCH(CONCATENATE(ВСЕ_КОДЫ[[#This Row],[CONTEST_CODE]],"_",Z$2),#REF!,0),MATCH(Z$1,_group_[#Headers],0)),"-")</f>
        <v>-</v>
      </c>
      <c r="AA478" s="1" t="str">
        <f>IFERROR(INDEX(_group_[],MATCH(CONCATENATE(ВСЕ_КОДЫ[[#This Row],[CONTEST_CODE]],"_",AA$2),#REF!,0),MATCH(AA$1,_group_[#Headers],0)),"-")</f>
        <v>-</v>
      </c>
      <c r="AB478" s="1" t="str">
        <f>IFERROR(INDEX(_DATA_[],MATCH(ВСЕ_КОДЫ[[#This Row],[CONTEST_CODE]],_DATA_[CONTEST_CODE],0),MATCH($AB$2,_DATA_[#Headers],0)),"-")</f>
        <v>["""KMFACTORING"""]</v>
      </c>
      <c r="AC478" t="str">
        <f>CONCATENATE(ВСЕ_КОДЫ[[#This Row],[CONTEST_CODE]],"_",ВСЕ_КОДЫ[[#This Row],[TOURNAMENT_CODE]])</f>
        <v>04_2025-0_15-2_2_t_04_2025-0_15-2_2_2011</v>
      </c>
      <c r="AD478" t="str">
        <f>ВСЕ_КОДЫ[[#This Row],[FULL_NAME]]</f>
        <v>Производительность. Индивидуальные сделки (МС)</v>
      </c>
    </row>
    <row r="479" spans="1:30" x14ac:dyDescent="0.25">
      <c r="A479" s="1" t="s">
        <v>2224</v>
      </c>
      <c r="B479" s="1" t="s">
        <v>3667</v>
      </c>
      <c r="C479" s="1" t="s">
        <v>2349</v>
      </c>
      <c r="D479" s="1" t="s">
        <v>583</v>
      </c>
      <c r="E479" s="1" t="s">
        <v>2610</v>
      </c>
      <c r="F479" s="1" t="s">
        <v>2508</v>
      </c>
      <c r="G479" s="1" t="s">
        <v>2509</v>
      </c>
      <c r="H479" s="1" t="s">
        <v>34</v>
      </c>
      <c r="I479" s="1" t="s">
        <v>50</v>
      </c>
      <c r="J479" s="1" t="s">
        <v>4019</v>
      </c>
      <c r="K479" s="1" t="s">
        <v>2542</v>
      </c>
      <c r="L479" s="1" t="s">
        <v>3659</v>
      </c>
      <c r="M479" s="1" t="s">
        <v>34</v>
      </c>
      <c r="N479" s="1" t="s">
        <v>305</v>
      </c>
      <c r="O479" s="1" t="s">
        <v>2750</v>
      </c>
      <c r="P479" s="1"/>
      <c r="Q479" s="1">
        <f>IFERROR(COUNTIFS(_report[TOURNAMENT_CODE],ВСЕ_КОДЫ[[#This Row],[TOURNAMENT_CODE]],_report[CONTEST_CODE],ВСЕ_КОДЫ[[#This Row],[CONTEST_CODE]]),"-")</f>
        <v>0</v>
      </c>
      <c r="R479" s="1" t="str">
        <f>IFERROR(INDEX(_SCHEDULE_[],MATCH(ВСЕ_КОДЫ[[#This Row],[CONTEST_CODE]],_SCHEDULE_[CONTEST_CODE],0),MATCH($R$1,_SCHEDULE_[#Headers],0)),"-")</f>
        <v>ЗАВЕРШЕН</v>
      </c>
      <c r="S479" s="1" t="str">
        <f>IFERROR(INDEX(_group_[],MATCH(ВСЕ_КОДЫ[[#This Row],[CONTEST_CODE]],_group_[CONTEST_CODE],0),MATCH($S$1,_group_[#Headers],0)),"-")</f>
        <v>BANK</v>
      </c>
      <c r="T479" s="1" t="str">
        <f>IFERROR(INDEX(_INDICATOR_[],MATCH(ВСЕ_КОДЫ[[#This Row],[CONTEST_CODE]],_INDICATOR_[CONTEST_CODE],0),MATCH($T$1,_INDICATOR_[#Headers],0)),"-")</f>
        <v>WAIT</v>
      </c>
      <c r="U479" s="1" t="str">
        <f>IFERROR(INDEX(_reward_link_[],MATCH(ВСЕ_КОДЫ[[#This Row],[CONTEST_CODE]],_reward_link_[CONTEST_CODE],0),MATCH($U$1,_reward_link_[#Headers],0)),"-")</f>
        <v>BANK</v>
      </c>
      <c r="V479" s="1" t="str">
        <f>IFERROR(INDEX(_report[],MATCH(ВСЕ_КОДЫ[[#This Row],[CONTEST_CODE]],_report[CONTEST_CODE],0),MATCH($V$1,_report[#Headers],0)),"-")</f>
        <v>-</v>
      </c>
      <c r="W479" s="1" t="str">
        <f>IFERROR(INDEX(_reward_[],MATCH(ВСЕ_КОДЫ[[#This Row],[REWARD_CODE]],_reward_[REWARD_CODE],0),MATCH($W$1,_reward_[#Headers],0)),"-")</f>
        <v>Золото#по производительности среди МС индивидуальных сделок</v>
      </c>
      <c r="X479" s="1" t="str">
        <f>IFERROR(INDEX(_group_[],MATCH(CONCATENATE(ВСЕ_КОДЫ[[#This Row],[CONTEST_CODE]],"_",X$2),#REF!,0),MATCH(X$1,_group_[#Headers],0)),"-")</f>
        <v>-</v>
      </c>
      <c r="Y479" s="1" t="str">
        <f>IFERROR(INDEX(_group_[],MATCH(CONCATENATE(ВСЕ_КОДЫ[[#This Row],[CONTEST_CODE]],"_",Y$2),#REF!,0),MATCH(Y$1,_group_[#Headers],0)),"-")</f>
        <v>-</v>
      </c>
      <c r="Z479" s="1" t="str">
        <f>IFERROR(INDEX(_group_[],MATCH(CONCATENATE(ВСЕ_КОДЫ[[#This Row],[CONTEST_CODE]],"_",Z$2),#REF!,0),MATCH(Z$1,_group_[#Headers],0)),"-")</f>
        <v>-</v>
      </c>
      <c r="AA479" s="1" t="str">
        <f>IFERROR(INDEX(_group_[],MATCH(CONCATENATE(ВСЕ_КОДЫ[[#This Row],[CONTEST_CODE]],"_",AA$2),#REF!,0),MATCH(AA$1,_group_[#Headers],0)),"-")</f>
        <v>-</v>
      </c>
      <c r="AB479" s="1" t="str">
        <f>IFERROR(INDEX(_DATA_[],MATCH(ВСЕ_КОДЫ[[#This Row],[CONTEST_CODE]],_DATA_[CONTEST_CODE],0),MATCH($AB$2,_DATA_[#Headers],0)),"-")</f>
        <v>["""KMFACTORING"""]</v>
      </c>
      <c r="AC479" t="str">
        <f>CONCATENATE(ВСЕ_КОДЫ[[#This Row],[CONTEST_CODE]],"_",ВСЕ_КОДЫ[[#This Row],[TOURNAMENT_CODE]])</f>
        <v>04_2025-0_15-2_2_t_04_2025-0_15-2_2_2021</v>
      </c>
      <c r="AD479" t="str">
        <f>ВСЕ_КОДЫ[[#This Row],[FULL_NAME]]</f>
        <v>Производительность. Индивидуальные сделки (МС)</v>
      </c>
    </row>
    <row r="480" spans="1:30" x14ac:dyDescent="0.25">
      <c r="A480" s="1" t="s">
        <v>2224</v>
      </c>
      <c r="B480" s="1" t="s">
        <v>3667</v>
      </c>
      <c r="C480" s="1" t="s">
        <v>2351</v>
      </c>
      <c r="D480" s="1" t="s">
        <v>583</v>
      </c>
      <c r="E480" s="1" t="s">
        <v>2610</v>
      </c>
      <c r="F480" s="1" t="s">
        <v>2508</v>
      </c>
      <c r="G480" s="1" t="s">
        <v>2509</v>
      </c>
      <c r="H480" s="1" t="s">
        <v>34</v>
      </c>
      <c r="I480" s="1" t="s">
        <v>50</v>
      </c>
      <c r="J480" s="1" t="s">
        <v>4019</v>
      </c>
      <c r="K480" s="1" t="s">
        <v>2542</v>
      </c>
      <c r="L480" s="1" t="s">
        <v>3659</v>
      </c>
      <c r="M480" s="1" t="s">
        <v>34</v>
      </c>
      <c r="N480" s="1" t="s">
        <v>305</v>
      </c>
      <c r="O480" s="1" t="s">
        <v>2751</v>
      </c>
      <c r="P480" s="1"/>
      <c r="Q480" s="1">
        <f>IFERROR(COUNTIFS(_report[TOURNAMENT_CODE],ВСЕ_КОДЫ[[#This Row],[TOURNAMENT_CODE]],_report[CONTEST_CODE],ВСЕ_КОДЫ[[#This Row],[CONTEST_CODE]]),"-")</f>
        <v>0</v>
      </c>
      <c r="R480" s="1" t="str">
        <f>IFERROR(INDEX(_SCHEDULE_[],MATCH(ВСЕ_КОДЫ[[#This Row],[CONTEST_CODE]],_SCHEDULE_[CONTEST_CODE],0),MATCH($R$1,_SCHEDULE_[#Headers],0)),"-")</f>
        <v>ЗАВЕРШЕН</v>
      </c>
      <c r="S480" s="1" t="str">
        <f>IFERROR(INDEX(_group_[],MATCH(ВСЕ_КОДЫ[[#This Row],[CONTEST_CODE]],_group_[CONTEST_CODE],0),MATCH($S$1,_group_[#Headers],0)),"-")</f>
        <v>BANK</v>
      </c>
      <c r="T480" s="1" t="str">
        <f>IFERROR(INDEX(_INDICATOR_[],MATCH(ВСЕ_КОДЫ[[#This Row],[CONTEST_CODE]],_INDICATOR_[CONTEST_CODE],0),MATCH($T$1,_INDICATOR_[#Headers],0)),"-")</f>
        <v>WAIT</v>
      </c>
      <c r="U480" s="1" t="str">
        <f>IFERROR(INDEX(_reward_link_[],MATCH(ВСЕ_КОДЫ[[#This Row],[CONTEST_CODE]],_reward_link_[CONTEST_CODE],0),MATCH($U$1,_reward_link_[#Headers],0)),"-")</f>
        <v>BANK</v>
      </c>
      <c r="V480" s="1" t="str">
        <f>IFERROR(INDEX(_report[],MATCH(ВСЕ_КОДЫ[[#This Row],[CONTEST_CODE]],_report[CONTEST_CODE],0),MATCH($V$1,_report[#Headers],0)),"-")</f>
        <v>-</v>
      </c>
      <c r="W480" s="1" t="str">
        <f>IFERROR(INDEX(_reward_[],MATCH(ВСЕ_КОДЫ[[#This Row],[REWARD_CODE]],_reward_[REWARD_CODE],0),MATCH($W$1,_reward_[#Headers],0)),"-")</f>
        <v>Серебро#по производительности среди МС индивидуальных сделок</v>
      </c>
      <c r="X480" s="1" t="str">
        <f>IFERROR(INDEX(_group_[],MATCH(CONCATENATE(ВСЕ_КОДЫ[[#This Row],[CONTEST_CODE]],"_",X$2),#REF!,0),MATCH(X$1,_group_[#Headers],0)),"-")</f>
        <v>-</v>
      </c>
      <c r="Y480" s="1" t="str">
        <f>IFERROR(INDEX(_group_[],MATCH(CONCATENATE(ВСЕ_КОДЫ[[#This Row],[CONTEST_CODE]],"_",Y$2),#REF!,0),MATCH(Y$1,_group_[#Headers],0)),"-")</f>
        <v>-</v>
      </c>
      <c r="Z480" s="1" t="str">
        <f>IFERROR(INDEX(_group_[],MATCH(CONCATENATE(ВСЕ_КОДЫ[[#This Row],[CONTEST_CODE]],"_",Z$2),#REF!,0),MATCH(Z$1,_group_[#Headers],0)),"-")</f>
        <v>-</v>
      </c>
      <c r="AA480" s="1" t="str">
        <f>IFERROR(INDEX(_group_[],MATCH(CONCATENATE(ВСЕ_КОДЫ[[#This Row],[CONTEST_CODE]],"_",AA$2),#REF!,0),MATCH(AA$1,_group_[#Headers],0)),"-")</f>
        <v>-</v>
      </c>
      <c r="AB480" s="1" t="str">
        <f>IFERROR(INDEX(_DATA_[],MATCH(ВСЕ_КОДЫ[[#This Row],[CONTEST_CODE]],_DATA_[CONTEST_CODE],0),MATCH($AB$2,_DATA_[#Headers],0)),"-")</f>
        <v>["""KMFACTORING"""]</v>
      </c>
      <c r="AC480" t="str">
        <f>CONCATENATE(ВСЕ_КОДЫ[[#This Row],[CONTEST_CODE]],"_",ВСЕ_КОДЫ[[#This Row],[TOURNAMENT_CODE]])</f>
        <v>04_2025-0_15-2_2_t_04_2025-0_15-2_2_2021</v>
      </c>
      <c r="AD480" t="str">
        <f>ВСЕ_КОДЫ[[#This Row],[FULL_NAME]]</f>
        <v>Производительность. Индивидуальные сделки (МС)</v>
      </c>
    </row>
    <row r="481" spans="1:30" x14ac:dyDescent="0.25">
      <c r="A481" s="1" t="s">
        <v>2224</v>
      </c>
      <c r="B481" s="1" t="s">
        <v>3667</v>
      </c>
      <c r="C481" s="1" t="s">
        <v>2353</v>
      </c>
      <c r="D481" s="1" t="s">
        <v>583</v>
      </c>
      <c r="E481" s="1" t="s">
        <v>2610</v>
      </c>
      <c r="F481" s="1" t="s">
        <v>2508</v>
      </c>
      <c r="G481" s="1" t="s">
        <v>2509</v>
      </c>
      <c r="H481" s="1" t="s">
        <v>34</v>
      </c>
      <c r="I481" s="1" t="s">
        <v>50</v>
      </c>
      <c r="J481" s="1" t="s">
        <v>4019</v>
      </c>
      <c r="K481" s="1" t="s">
        <v>2542</v>
      </c>
      <c r="L481" s="1" t="s">
        <v>3659</v>
      </c>
      <c r="M481" s="1" t="s">
        <v>34</v>
      </c>
      <c r="N481" s="1" t="s">
        <v>305</v>
      </c>
      <c r="O481" s="1" t="s">
        <v>2752</v>
      </c>
      <c r="P481" s="1"/>
      <c r="Q481" s="1">
        <f>IFERROR(COUNTIFS(_report[TOURNAMENT_CODE],ВСЕ_КОДЫ[[#This Row],[TOURNAMENT_CODE]],_report[CONTEST_CODE],ВСЕ_КОДЫ[[#This Row],[CONTEST_CODE]]),"-")</f>
        <v>0</v>
      </c>
      <c r="R481" s="1" t="str">
        <f>IFERROR(INDEX(_SCHEDULE_[],MATCH(ВСЕ_КОДЫ[[#This Row],[CONTEST_CODE]],_SCHEDULE_[CONTEST_CODE],0),MATCH($R$1,_SCHEDULE_[#Headers],0)),"-")</f>
        <v>ЗАВЕРШЕН</v>
      </c>
      <c r="S481" s="1" t="str">
        <f>IFERROR(INDEX(_group_[],MATCH(ВСЕ_КОДЫ[[#This Row],[CONTEST_CODE]],_group_[CONTEST_CODE],0),MATCH($S$1,_group_[#Headers],0)),"-")</f>
        <v>BANK</v>
      </c>
      <c r="T481" s="1" t="str">
        <f>IFERROR(INDEX(_INDICATOR_[],MATCH(ВСЕ_КОДЫ[[#This Row],[CONTEST_CODE]],_INDICATOR_[CONTEST_CODE],0),MATCH($T$1,_INDICATOR_[#Headers],0)),"-")</f>
        <v>WAIT</v>
      </c>
      <c r="U481" s="1" t="str">
        <f>IFERROR(INDEX(_reward_link_[],MATCH(ВСЕ_КОДЫ[[#This Row],[CONTEST_CODE]],_reward_link_[CONTEST_CODE],0),MATCH($U$1,_reward_link_[#Headers],0)),"-")</f>
        <v>BANK</v>
      </c>
      <c r="V481" s="1" t="str">
        <f>IFERROR(INDEX(_report[],MATCH(ВСЕ_КОДЫ[[#This Row],[CONTEST_CODE]],_report[CONTEST_CODE],0),MATCH($V$1,_report[#Headers],0)),"-")</f>
        <v>-</v>
      </c>
      <c r="W481" s="1" t="str">
        <f>IFERROR(INDEX(_reward_[],MATCH(ВСЕ_КОДЫ[[#This Row],[REWARD_CODE]],_reward_[REWARD_CODE],0),MATCH($W$1,_reward_[#Headers],0)),"-")</f>
        <v>Бронза#по производительности среди МС индивидуальных сделок</v>
      </c>
      <c r="X481" s="1" t="str">
        <f>IFERROR(INDEX(_group_[],MATCH(CONCATENATE(ВСЕ_КОДЫ[[#This Row],[CONTEST_CODE]],"_",X$2),#REF!,0),MATCH(X$1,_group_[#Headers],0)),"-")</f>
        <v>-</v>
      </c>
      <c r="Y481" s="1" t="str">
        <f>IFERROR(INDEX(_group_[],MATCH(CONCATENATE(ВСЕ_КОДЫ[[#This Row],[CONTEST_CODE]],"_",Y$2),#REF!,0),MATCH(Y$1,_group_[#Headers],0)),"-")</f>
        <v>-</v>
      </c>
      <c r="Z481" s="1" t="str">
        <f>IFERROR(INDEX(_group_[],MATCH(CONCATENATE(ВСЕ_КОДЫ[[#This Row],[CONTEST_CODE]],"_",Z$2),#REF!,0),MATCH(Z$1,_group_[#Headers],0)),"-")</f>
        <v>-</v>
      </c>
      <c r="AA481" s="1" t="str">
        <f>IFERROR(INDEX(_group_[],MATCH(CONCATENATE(ВСЕ_КОДЫ[[#This Row],[CONTEST_CODE]],"_",AA$2),#REF!,0),MATCH(AA$1,_group_[#Headers],0)),"-")</f>
        <v>-</v>
      </c>
      <c r="AB481" s="1" t="str">
        <f>IFERROR(INDEX(_DATA_[],MATCH(ВСЕ_КОДЫ[[#This Row],[CONTEST_CODE]],_DATA_[CONTEST_CODE],0),MATCH($AB$2,_DATA_[#Headers],0)),"-")</f>
        <v>["""KMFACTORING"""]</v>
      </c>
      <c r="AC481" t="str">
        <f>CONCATENATE(ВСЕ_КОДЫ[[#This Row],[CONTEST_CODE]],"_",ВСЕ_КОДЫ[[#This Row],[TOURNAMENT_CODE]])</f>
        <v>04_2025-0_15-2_2_t_04_2025-0_15-2_2_2021</v>
      </c>
      <c r="AD481" t="str">
        <f>ВСЕ_КОДЫ[[#This Row],[FULL_NAME]]</f>
        <v>Производительность. Индивидуальные сделки (МС)</v>
      </c>
    </row>
    <row r="482" spans="1:30" hidden="1" x14ac:dyDescent="0.25">
      <c r="A482" s="1" t="s">
        <v>2226</v>
      </c>
      <c r="B482" s="1" t="s">
        <v>2564</v>
      </c>
      <c r="C482" s="1" t="s">
        <v>2355</v>
      </c>
      <c r="D482" s="1" t="s">
        <v>583</v>
      </c>
      <c r="E482" s="1" t="s">
        <v>2612</v>
      </c>
      <c r="F482" s="1" t="s">
        <v>2508</v>
      </c>
      <c r="G482" s="1" t="s">
        <v>2509</v>
      </c>
      <c r="H482" s="1" t="s">
        <v>34</v>
      </c>
      <c r="I482" s="1" t="s">
        <v>50</v>
      </c>
      <c r="J482" s="1" t="s">
        <v>2508</v>
      </c>
      <c r="K482" s="1" t="s">
        <v>2534</v>
      </c>
      <c r="L482" s="1" t="s">
        <v>4132</v>
      </c>
      <c r="M482" s="1" t="s">
        <v>176</v>
      </c>
      <c r="N482" s="1" t="s">
        <v>305</v>
      </c>
      <c r="O482" s="1" t="s">
        <v>2753</v>
      </c>
      <c r="P482" s="1"/>
      <c r="Q482" s="1">
        <f>IFERROR(COUNTIFS(_report[TOURNAMENT_CODE],ВСЕ_КОДЫ[[#This Row],[TOURNAMENT_CODE]],_report[CONTEST_CODE],ВСЕ_КОДЫ[[#This Row],[CONTEST_CODE]]),"-")</f>
        <v>0</v>
      </c>
      <c r="R482" s="1" t="str">
        <f>IFERROR(INDEX(_SCHEDULE_[],MATCH(ВСЕ_КОДЫ[[#This Row],[CONTEST_CODE]],_SCHEDULE_[CONTEST_CODE],0),MATCH($R$1,_SCHEDULE_[#Headers],0)),"-")</f>
        <v>ЗАВЕРШЕН</v>
      </c>
      <c r="S482" s="1" t="str">
        <f>IFERROR(INDEX(_group_[],MATCH(ВСЕ_КОДЫ[[#This Row],[CONTEST_CODE]],_group_[CONTEST_CODE],0),MATCH($S$1,_group_[#Headers],0)),"-")</f>
        <v>BANK</v>
      </c>
      <c r="T482" s="1" t="str">
        <f>IFERROR(INDEX(_INDICATOR_[],MATCH(ВСЕ_КОДЫ[[#This Row],[CONTEST_CODE]],_INDICATOR_[CONTEST_CODE],0),MATCH($T$1,_INDICATOR_[#Headers],0)),"-")</f>
        <v>WAIT</v>
      </c>
      <c r="U482" s="1" t="str">
        <f>IFERROR(INDEX(_reward_link_[],MATCH(ВСЕ_КОДЫ[[#This Row],[CONTEST_CODE]],_reward_link_[CONTEST_CODE],0),MATCH($U$1,_reward_link_[#Headers],0)),"-")</f>
        <v>BANK</v>
      </c>
      <c r="V482" s="1" t="str">
        <f>IFERROR(INDEX(_report[],MATCH(ВСЕ_КОДЫ[[#This Row],[CONTEST_CODE]],_report[CONTEST_CODE],0),MATCH($V$1,_report[#Headers],0)),"-")</f>
        <v>-</v>
      </c>
      <c r="W482" s="1" t="str">
        <f>IFERROR(INDEX(_reward_[],MATCH(ВСЕ_КОДЫ[[#This Row],[REWARD_CODE]],_reward_[REWARD_CODE],0),MATCH($W$1,_reward_[#Headers],0)),"-")</f>
        <v>Золото#по производительности среди МС сделок изменений</v>
      </c>
      <c r="X482" s="1" t="str">
        <f>IFERROR(INDEX(_group_[],MATCH(CONCATENATE(ВСЕ_КОДЫ[[#This Row],[CONTEST_CODE]],"_",X$2),#REF!,0),MATCH(X$1,_group_[#Headers],0)),"-")</f>
        <v>-</v>
      </c>
      <c r="Y482" s="1" t="str">
        <f>IFERROR(INDEX(_group_[],MATCH(CONCATENATE(ВСЕ_КОДЫ[[#This Row],[CONTEST_CODE]],"_",Y$2),#REF!,0),MATCH(Y$1,_group_[#Headers],0)),"-")</f>
        <v>-</v>
      </c>
      <c r="Z482" s="1" t="str">
        <f>IFERROR(INDEX(_group_[],MATCH(CONCATENATE(ВСЕ_КОДЫ[[#This Row],[CONTEST_CODE]],"_",Z$2),#REF!,0),MATCH(Z$1,_group_[#Headers],0)),"-")</f>
        <v>-</v>
      </c>
      <c r="AA482" s="1" t="str">
        <f>IFERROR(INDEX(_group_[],MATCH(CONCATENATE(ВСЕ_КОДЫ[[#This Row],[CONTEST_CODE]],"_",AA$2),#REF!,0),MATCH(AA$1,_group_[#Headers],0)),"-")</f>
        <v>-</v>
      </c>
      <c r="AB482" s="1" t="str">
        <f>IFERROR(INDEX(_DATA_[],MATCH(ВСЕ_КОДЫ[[#This Row],[CONTEST_CODE]],_DATA_[CONTEST_CODE],0),MATCH($AB$2,_DATA_[#Headers],0)),"-")</f>
        <v>["""KMFACTORING"""]</v>
      </c>
      <c r="AC482" t="str">
        <f>CONCATENATE(ВСЕ_КОДЫ[[#This Row],[CONTEST_CODE]],"_",ВСЕ_КОДЫ[[#This Row],[TOURNAMENT_CODE]])</f>
        <v>04_2025-0_15-2_3_t_04_2025-0_15-2_3_2011</v>
      </c>
      <c r="AD482" t="str">
        <f>ВСЕ_КОДЫ[[#This Row],[FULL_NAME]]</f>
        <v>Производительность. Сделки изменений (МС)</v>
      </c>
    </row>
    <row r="483" spans="1:30" hidden="1" x14ac:dyDescent="0.25">
      <c r="A483" s="1" t="s">
        <v>2226</v>
      </c>
      <c r="B483" s="1" t="s">
        <v>2564</v>
      </c>
      <c r="C483" s="1" t="s">
        <v>2357</v>
      </c>
      <c r="D483" s="1" t="s">
        <v>583</v>
      </c>
      <c r="E483" s="1" t="s">
        <v>2612</v>
      </c>
      <c r="F483" s="1" t="s">
        <v>2508</v>
      </c>
      <c r="G483" s="1" t="s">
        <v>2509</v>
      </c>
      <c r="H483" s="1" t="s">
        <v>34</v>
      </c>
      <c r="I483" s="1" t="s">
        <v>50</v>
      </c>
      <c r="J483" s="1" t="s">
        <v>2508</v>
      </c>
      <c r="K483" s="1" t="s">
        <v>2534</v>
      </c>
      <c r="L483" s="1" t="s">
        <v>4132</v>
      </c>
      <c r="M483" s="1" t="s">
        <v>176</v>
      </c>
      <c r="N483" s="1" t="s">
        <v>305</v>
      </c>
      <c r="O483" s="1" t="s">
        <v>2754</v>
      </c>
      <c r="P483" s="1"/>
      <c r="Q483" s="1">
        <f>IFERROR(COUNTIFS(_report[TOURNAMENT_CODE],ВСЕ_КОДЫ[[#This Row],[TOURNAMENT_CODE]],_report[CONTEST_CODE],ВСЕ_КОДЫ[[#This Row],[CONTEST_CODE]]),"-")</f>
        <v>0</v>
      </c>
      <c r="R483" s="1" t="str">
        <f>IFERROR(INDEX(_SCHEDULE_[],MATCH(ВСЕ_КОДЫ[[#This Row],[CONTEST_CODE]],_SCHEDULE_[CONTEST_CODE],0),MATCH($R$1,_SCHEDULE_[#Headers],0)),"-")</f>
        <v>ЗАВЕРШЕН</v>
      </c>
      <c r="S483" s="1" t="str">
        <f>IFERROR(INDEX(_group_[],MATCH(ВСЕ_КОДЫ[[#This Row],[CONTEST_CODE]],_group_[CONTEST_CODE],0),MATCH($S$1,_group_[#Headers],0)),"-")</f>
        <v>BANK</v>
      </c>
      <c r="T483" s="1" t="str">
        <f>IFERROR(INDEX(_INDICATOR_[],MATCH(ВСЕ_КОДЫ[[#This Row],[CONTEST_CODE]],_INDICATOR_[CONTEST_CODE],0),MATCH($T$1,_INDICATOR_[#Headers],0)),"-")</f>
        <v>WAIT</v>
      </c>
      <c r="U483" s="1" t="str">
        <f>IFERROR(INDEX(_reward_link_[],MATCH(ВСЕ_КОДЫ[[#This Row],[CONTEST_CODE]],_reward_link_[CONTEST_CODE],0),MATCH($U$1,_reward_link_[#Headers],0)),"-")</f>
        <v>BANK</v>
      </c>
      <c r="V483" s="1" t="str">
        <f>IFERROR(INDEX(_report[],MATCH(ВСЕ_КОДЫ[[#This Row],[CONTEST_CODE]],_report[CONTEST_CODE],0),MATCH($V$1,_report[#Headers],0)),"-")</f>
        <v>-</v>
      </c>
      <c r="W483" s="1" t="str">
        <f>IFERROR(INDEX(_reward_[],MATCH(ВСЕ_КОДЫ[[#This Row],[REWARD_CODE]],_reward_[REWARD_CODE],0),MATCH($W$1,_reward_[#Headers],0)),"-")</f>
        <v>Серебро#по производительности среди МС сделок изменений</v>
      </c>
      <c r="X483" s="1" t="str">
        <f>IFERROR(INDEX(_group_[],MATCH(CONCATENATE(ВСЕ_КОДЫ[[#This Row],[CONTEST_CODE]],"_",X$2),#REF!,0),MATCH(X$1,_group_[#Headers],0)),"-")</f>
        <v>-</v>
      </c>
      <c r="Y483" s="1" t="str">
        <f>IFERROR(INDEX(_group_[],MATCH(CONCATENATE(ВСЕ_КОДЫ[[#This Row],[CONTEST_CODE]],"_",Y$2),#REF!,0),MATCH(Y$1,_group_[#Headers],0)),"-")</f>
        <v>-</v>
      </c>
      <c r="Z483" s="1" t="str">
        <f>IFERROR(INDEX(_group_[],MATCH(CONCATENATE(ВСЕ_КОДЫ[[#This Row],[CONTEST_CODE]],"_",Z$2),#REF!,0),MATCH(Z$1,_group_[#Headers],0)),"-")</f>
        <v>-</v>
      </c>
      <c r="AA483" s="1" t="str">
        <f>IFERROR(INDEX(_group_[],MATCH(CONCATENATE(ВСЕ_КОДЫ[[#This Row],[CONTEST_CODE]],"_",AA$2),#REF!,0),MATCH(AA$1,_group_[#Headers],0)),"-")</f>
        <v>-</v>
      </c>
      <c r="AB483" s="1" t="str">
        <f>IFERROR(INDEX(_DATA_[],MATCH(ВСЕ_КОДЫ[[#This Row],[CONTEST_CODE]],_DATA_[CONTEST_CODE],0),MATCH($AB$2,_DATA_[#Headers],0)),"-")</f>
        <v>["""KMFACTORING"""]</v>
      </c>
      <c r="AC483" t="str">
        <f>CONCATENATE(ВСЕ_КОДЫ[[#This Row],[CONTEST_CODE]],"_",ВСЕ_КОДЫ[[#This Row],[TOURNAMENT_CODE]])</f>
        <v>04_2025-0_15-2_3_t_04_2025-0_15-2_3_2011</v>
      </c>
      <c r="AD483" t="str">
        <f>ВСЕ_КОДЫ[[#This Row],[FULL_NAME]]</f>
        <v>Производительность. Сделки изменений (МС)</v>
      </c>
    </row>
    <row r="484" spans="1:30" hidden="1" x14ac:dyDescent="0.25">
      <c r="A484" s="1" t="s">
        <v>2226</v>
      </c>
      <c r="B484" s="1" t="s">
        <v>2564</v>
      </c>
      <c r="C484" s="1" t="s">
        <v>2359</v>
      </c>
      <c r="D484" s="1" t="s">
        <v>583</v>
      </c>
      <c r="E484" s="1" t="s">
        <v>2612</v>
      </c>
      <c r="F484" s="1" t="s">
        <v>2508</v>
      </c>
      <c r="G484" s="1" t="s">
        <v>2509</v>
      </c>
      <c r="H484" s="1" t="s">
        <v>34</v>
      </c>
      <c r="I484" s="1" t="s">
        <v>50</v>
      </c>
      <c r="J484" s="1" t="s">
        <v>2508</v>
      </c>
      <c r="K484" s="1" t="s">
        <v>2534</v>
      </c>
      <c r="L484" s="1" t="s">
        <v>4132</v>
      </c>
      <c r="M484" s="1" t="s">
        <v>176</v>
      </c>
      <c r="N484" s="1" t="s">
        <v>305</v>
      </c>
      <c r="O484" s="1" t="s">
        <v>2755</v>
      </c>
      <c r="P484" s="1"/>
      <c r="Q484" s="1">
        <f>IFERROR(COUNTIFS(_report[TOURNAMENT_CODE],ВСЕ_КОДЫ[[#This Row],[TOURNAMENT_CODE]],_report[CONTEST_CODE],ВСЕ_КОДЫ[[#This Row],[CONTEST_CODE]]),"-")</f>
        <v>0</v>
      </c>
      <c r="R484" s="1" t="str">
        <f>IFERROR(INDEX(_SCHEDULE_[],MATCH(ВСЕ_КОДЫ[[#This Row],[CONTEST_CODE]],_SCHEDULE_[CONTEST_CODE],0),MATCH($R$1,_SCHEDULE_[#Headers],0)),"-")</f>
        <v>ЗАВЕРШЕН</v>
      </c>
      <c r="S484" s="1" t="str">
        <f>IFERROR(INDEX(_group_[],MATCH(ВСЕ_КОДЫ[[#This Row],[CONTEST_CODE]],_group_[CONTEST_CODE],0),MATCH($S$1,_group_[#Headers],0)),"-")</f>
        <v>BANK</v>
      </c>
      <c r="T484" s="1" t="str">
        <f>IFERROR(INDEX(_INDICATOR_[],MATCH(ВСЕ_КОДЫ[[#This Row],[CONTEST_CODE]],_INDICATOR_[CONTEST_CODE],0),MATCH($T$1,_INDICATOR_[#Headers],0)),"-")</f>
        <v>WAIT</v>
      </c>
      <c r="U484" s="1" t="str">
        <f>IFERROR(INDEX(_reward_link_[],MATCH(ВСЕ_КОДЫ[[#This Row],[CONTEST_CODE]],_reward_link_[CONTEST_CODE],0),MATCH($U$1,_reward_link_[#Headers],0)),"-")</f>
        <v>BANK</v>
      </c>
      <c r="V484" s="1" t="str">
        <f>IFERROR(INDEX(_report[],MATCH(ВСЕ_КОДЫ[[#This Row],[CONTEST_CODE]],_report[CONTEST_CODE],0),MATCH($V$1,_report[#Headers],0)),"-")</f>
        <v>-</v>
      </c>
      <c r="W484" s="1" t="str">
        <f>IFERROR(INDEX(_reward_[],MATCH(ВСЕ_КОДЫ[[#This Row],[REWARD_CODE]],_reward_[REWARD_CODE],0),MATCH($W$1,_reward_[#Headers],0)),"-")</f>
        <v>Бронза#по производительности среди МС сделок изменений</v>
      </c>
      <c r="X484" s="1" t="str">
        <f>IFERROR(INDEX(_group_[],MATCH(CONCATENATE(ВСЕ_КОДЫ[[#This Row],[CONTEST_CODE]],"_",X$2),#REF!,0),MATCH(X$1,_group_[#Headers],0)),"-")</f>
        <v>-</v>
      </c>
      <c r="Y484" s="1" t="str">
        <f>IFERROR(INDEX(_group_[],MATCH(CONCATENATE(ВСЕ_КОДЫ[[#This Row],[CONTEST_CODE]],"_",Y$2),#REF!,0),MATCH(Y$1,_group_[#Headers],0)),"-")</f>
        <v>-</v>
      </c>
      <c r="Z484" s="1" t="str">
        <f>IFERROR(INDEX(_group_[],MATCH(CONCATENATE(ВСЕ_КОДЫ[[#This Row],[CONTEST_CODE]],"_",Z$2),#REF!,0),MATCH(Z$1,_group_[#Headers],0)),"-")</f>
        <v>-</v>
      </c>
      <c r="AA484" s="1" t="str">
        <f>IFERROR(INDEX(_group_[],MATCH(CONCATENATE(ВСЕ_КОДЫ[[#This Row],[CONTEST_CODE]],"_",AA$2),#REF!,0),MATCH(AA$1,_group_[#Headers],0)),"-")</f>
        <v>-</v>
      </c>
      <c r="AB484" s="1" t="str">
        <f>IFERROR(INDEX(_DATA_[],MATCH(ВСЕ_КОДЫ[[#This Row],[CONTEST_CODE]],_DATA_[CONTEST_CODE],0),MATCH($AB$2,_DATA_[#Headers],0)),"-")</f>
        <v>["""KMFACTORING"""]</v>
      </c>
      <c r="AC484" t="str">
        <f>CONCATENATE(ВСЕ_КОДЫ[[#This Row],[CONTEST_CODE]],"_",ВСЕ_КОДЫ[[#This Row],[TOURNAMENT_CODE]])</f>
        <v>04_2025-0_15-2_3_t_04_2025-0_15-2_3_2011</v>
      </c>
      <c r="AD484" t="str">
        <f>ВСЕ_КОДЫ[[#This Row],[FULL_NAME]]</f>
        <v>Производительность. Сделки изменений (МС)</v>
      </c>
    </row>
    <row r="485" spans="1:30" x14ac:dyDescent="0.25">
      <c r="A485" s="1" t="s">
        <v>2226</v>
      </c>
      <c r="B485" s="1" t="s">
        <v>3669</v>
      </c>
      <c r="C485" s="1" t="s">
        <v>2355</v>
      </c>
      <c r="D485" s="1" t="s">
        <v>583</v>
      </c>
      <c r="E485" s="1" t="s">
        <v>2612</v>
      </c>
      <c r="F485" s="1" t="s">
        <v>2508</v>
      </c>
      <c r="G485" s="1" t="s">
        <v>2509</v>
      </c>
      <c r="H485" s="1" t="s">
        <v>34</v>
      </c>
      <c r="I485" s="1" t="s">
        <v>50</v>
      </c>
      <c r="J485" s="1" t="s">
        <v>4019</v>
      </c>
      <c r="K485" s="1" t="s">
        <v>2542</v>
      </c>
      <c r="L485" s="1" t="s">
        <v>3659</v>
      </c>
      <c r="M485" s="1" t="s">
        <v>34</v>
      </c>
      <c r="N485" s="1" t="s">
        <v>305</v>
      </c>
      <c r="O485" s="1" t="s">
        <v>2753</v>
      </c>
      <c r="P485" s="1"/>
      <c r="Q485" s="1">
        <f>IFERROR(COUNTIFS(_report[TOURNAMENT_CODE],ВСЕ_КОДЫ[[#This Row],[TOURNAMENT_CODE]],_report[CONTEST_CODE],ВСЕ_КОДЫ[[#This Row],[CONTEST_CODE]]),"-")</f>
        <v>0</v>
      </c>
      <c r="R485" s="1" t="str">
        <f>IFERROR(INDEX(_SCHEDULE_[],MATCH(ВСЕ_КОДЫ[[#This Row],[CONTEST_CODE]],_SCHEDULE_[CONTEST_CODE],0),MATCH($R$1,_SCHEDULE_[#Headers],0)),"-")</f>
        <v>ЗАВЕРШЕН</v>
      </c>
      <c r="S485" s="1" t="str">
        <f>IFERROR(INDEX(_group_[],MATCH(ВСЕ_КОДЫ[[#This Row],[CONTEST_CODE]],_group_[CONTEST_CODE],0),MATCH($S$1,_group_[#Headers],0)),"-")</f>
        <v>BANK</v>
      </c>
      <c r="T485" s="1" t="str">
        <f>IFERROR(INDEX(_INDICATOR_[],MATCH(ВСЕ_КОДЫ[[#This Row],[CONTEST_CODE]],_INDICATOR_[CONTEST_CODE],0),MATCH($T$1,_INDICATOR_[#Headers],0)),"-")</f>
        <v>WAIT</v>
      </c>
      <c r="U485" s="1" t="str">
        <f>IFERROR(INDEX(_reward_link_[],MATCH(ВСЕ_КОДЫ[[#This Row],[CONTEST_CODE]],_reward_link_[CONTEST_CODE],0),MATCH($U$1,_reward_link_[#Headers],0)),"-")</f>
        <v>BANK</v>
      </c>
      <c r="V485" s="1" t="str">
        <f>IFERROR(INDEX(_report[],MATCH(ВСЕ_КОДЫ[[#This Row],[CONTEST_CODE]],_report[CONTEST_CODE],0),MATCH($V$1,_report[#Headers],0)),"-")</f>
        <v>-</v>
      </c>
      <c r="W485" s="1" t="str">
        <f>IFERROR(INDEX(_reward_[],MATCH(ВСЕ_КОДЫ[[#This Row],[REWARD_CODE]],_reward_[REWARD_CODE],0),MATCH($W$1,_reward_[#Headers],0)),"-")</f>
        <v>Золото#по производительности среди МС сделок изменений</v>
      </c>
      <c r="X485" s="1" t="str">
        <f>IFERROR(INDEX(_group_[],MATCH(CONCATENATE(ВСЕ_КОДЫ[[#This Row],[CONTEST_CODE]],"_",X$2),#REF!,0),MATCH(X$1,_group_[#Headers],0)),"-")</f>
        <v>-</v>
      </c>
      <c r="Y485" s="1" t="str">
        <f>IFERROR(INDEX(_group_[],MATCH(CONCATENATE(ВСЕ_КОДЫ[[#This Row],[CONTEST_CODE]],"_",Y$2),#REF!,0),MATCH(Y$1,_group_[#Headers],0)),"-")</f>
        <v>-</v>
      </c>
      <c r="Z485" s="1" t="str">
        <f>IFERROR(INDEX(_group_[],MATCH(CONCATENATE(ВСЕ_КОДЫ[[#This Row],[CONTEST_CODE]],"_",Z$2),#REF!,0),MATCH(Z$1,_group_[#Headers],0)),"-")</f>
        <v>-</v>
      </c>
      <c r="AA485" s="1" t="str">
        <f>IFERROR(INDEX(_group_[],MATCH(CONCATENATE(ВСЕ_КОДЫ[[#This Row],[CONTEST_CODE]],"_",AA$2),#REF!,0),MATCH(AA$1,_group_[#Headers],0)),"-")</f>
        <v>-</v>
      </c>
      <c r="AB485" s="1" t="str">
        <f>IFERROR(INDEX(_DATA_[],MATCH(ВСЕ_КОДЫ[[#This Row],[CONTEST_CODE]],_DATA_[CONTEST_CODE],0),MATCH($AB$2,_DATA_[#Headers],0)),"-")</f>
        <v>["""KMFACTORING"""]</v>
      </c>
      <c r="AC485" t="str">
        <f>CONCATENATE(ВСЕ_КОДЫ[[#This Row],[CONTEST_CODE]],"_",ВСЕ_КОДЫ[[#This Row],[TOURNAMENT_CODE]])</f>
        <v>04_2025-0_15-2_3_t_04_2025-0_15-2_3_2021</v>
      </c>
      <c r="AD485" t="str">
        <f>ВСЕ_КОДЫ[[#This Row],[FULL_NAME]]</f>
        <v>Производительность. Сделки изменений (МС)</v>
      </c>
    </row>
    <row r="486" spans="1:30" x14ac:dyDescent="0.25">
      <c r="A486" s="1" t="s">
        <v>2226</v>
      </c>
      <c r="B486" s="1" t="s">
        <v>3669</v>
      </c>
      <c r="C486" s="1" t="s">
        <v>2357</v>
      </c>
      <c r="D486" s="1" t="s">
        <v>583</v>
      </c>
      <c r="E486" s="1" t="s">
        <v>2612</v>
      </c>
      <c r="F486" s="1" t="s">
        <v>2508</v>
      </c>
      <c r="G486" s="1" t="s">
        <v>2509</v>
      </c>
      <c r="H486" s="1" t="s">
        <v>34</v>
      </c>
      <c r="I486" s="1" t="s">
        <v>50</v>
      </c>
      <c r="J486" s="1" t="s">
        <v>4019</v>
      </c>
      <c r="K486" s="1" t="s">
        <v>2542</v>
      </c>
      <c r="L486" s="1" t="s">
        <v>3659</v>
      </c>
      <c r="M486" s="1" t="s">
        <v>34</v>
      </c>
      <c r="N486" s="1" t="s">
        <v>305</v>
      </c>
      <c r="O486" s="1" t="s">
        <v>2754</v>
      </c>
      <c r="P486" s="1"/>
      <c r="Q486" s="1">
        <f>IFERROR(COUNTIFS(_report[TOURNAMENT_CODE],ВСЕ_КОДЫ[[#This Row],[TOURNAMENT_CODE]],_report[CONTEST_CODE],ВСЕ_КОДЫ[[#This Row],[CONTEST_CODE]]),"-")</f>
        <v>0</v>
      </c>
      <c r="R486" s="1" t="str">
        <f>IFERROR(INDEX(_SCHEDULE_[],MATCH(ВСЕ_КОДЫ[[#This Row],[CONTEST_CODE]],_SCHEDULE_[CONTEST_CODE],0),MATCH($R$1,_SCHEDULE_[#Headers],0)),"-")</f>
        <v>ЗАВЕРШЕН</v>
      </c>
      <c r="S486" s="1" t="str">
        <f>IFERROR(INDEX(_group_[],MATCH(ВСЕ_КОДЫ[[#This Row],[CONTEST_CODE]],_group_[CONTEST_CODE],0),MATCH($S$1,_group_[#Headers],0)),"-")</f>
        <v>BANK</v>
      </c>
      <c r="T486" s="1" t="str">
        <f>IFERROR(INDEX(_INDICATOR_[],MATCH(ВСЕ_КОДЫ[[#This Row],[CONTEST_CODE]],_INDICATOR_[CONTEST_CODE],0),MATCH($T$1,_INDICATOR_[#Headers],0)),"-")</f>
        <v>WAIT</v>
      </c>
      <c r="U486" s="1" t="str">
        <f>IFERROR(INDEX(_reward_link_[],MATCH(ВСЕ_КОДЫ[[#This Row],[CONTEST_CODE]],_reward_link_[CONTEST_CODE],0),MATCH($U$1,_reward_link_[#Headers],0)),"-")</f>
        <v>BANK</v>
      </c>
      <c r="V486" s="1" t="str">
        <f>IFERROR(INDEX(_report[],MATCH(ВСЕ_КОДЫ[[#This Row],[CONTEST_CODE]],_report[CONTEST_CODE],0),MATCH($V$1,_report[#Headers],0)),"-")</f>
        <v>-</v>
      </c>
      <c r="W486" s="1" t="str">
        <f>IFERROR(INDEX(_reward_[],MATCH(ВСЕ_КОДЫ[[#This Row],[REWARD_CODE]],_reward_[REWARD_CODE],0),MATCH($W$1,_reward_[#Headers],0)),"-")</f>
        <v>Серебро#по производительности среди МС сделок изменений</v>
      </c>
      <c r="X486" s="1" t="str">
        <f>IFERROR(INDEX(_group_[],MATCH(CONCATENATE(ВСЕ_КОДЫ[[#This Row],[CONTEST_CODE]],"_",X$2),#REF!,0),MATCH(X$1,_group_[#Headers],0)),"-")</f>
        <v>-</v>
      </c>
      <c r="Y486" s="1" t="str">
        <f>IFERROR(INDEX(_group_[],MATCH(CONCATENATE(ВСЕ_КОДЫ[[#This Row],[CONTEST_CODE]],"_",Y$2),#REF!,0),MATCH(Y$1,_group_[#Headers],0)),"-")</f>
        <v>-</v>
      </c>
      <c r="Z486" s="1" t="str">
        <f>IFERROR(INDEX(_group_[],MATCH(CONCATENATE(ВСЕ_КОДЫ[[#This Row],[CONTEST_CODE]],"_",Z$2),#REF!,0),MATCH(Z$1,_group_[#Headers],0)),"-")</f>
        <v>-</v>
      </c>
      <c r="AA486" s="1" t="str">
        <f>IFERROR(INDEX(_group_[],MATCH(CONCATENATE(ВСЕ_КОДЫ[[#This Row],[CONTEST_CODE]],"_",AA$2),#REF!,0),MATCH(AA$1,_group_[#Headers],0)),"-")</f>
        <v>-</v>
      </c>
      <c r="AB486" s="1" t="str">
        <f>IFERROR(INDEX(_DATA_[],MATCH(ВСЕ_КОДЫ[[#This Row],[CONTEST_CODE]],_DATA_[CONTEST_CODE],0),MATCH($AB$2,_DATA_[#Headers],0)),"-")</f>
        <v>["""KMFACTORING"""]</v>
      </c>
      <c r="AC486" t="str">
        <f>CONCATENATE(ВСЕ_КОДЫ[[#This Row],[CONTEST_CODE]],"_",ВСЕ_КОДЫ[[#This Row],[TOURNAMENT_CODE]])</f>
        <v>04_2025-0_15-2_3_t_04_2025-0_15-2_3_2021</v>
      </c>
      <c r="AD486" t="str">
        <f>ВСЕ_КОДЫ[[#This Row],[FULL_NAME]]</f>
        <v>Производительность. Сделки изменений (МС)</v>
      </c>
    </row>
    <row r="487" spans="1:30" x14ac:dyDescent="0.25">
      <c r="A487" s="1" t="s">
        <v>2226</v>
      </c>
      <c r="B487" s="1" t="s">
        <v>3669</v>
      </c>
      <c r="C487" s="1" t="s">
        <v>2359</v>
      </c>
      <c r="D487" s="1" t="s">
        <v>583</v>
      </c>
      <c r="E487" s="1" t="s">
        <v>2612</v>
      </c>
      <c r="F487" s="1" t="s">
        <v>2508</v>
      </c>
      <c r="G487" s="1" t="s">
        <v>2509</v>
      </c>
      <c r="H487" s="1" t="s">
        <v>34</v>
      </c>
      <c r="I487" s="1" t="s">
        <v>50</v>
      </c>
      <c r="J487" s="1" t="s">
        <v>4019</v>
      </c>
      <c r="K487" s="1" t="s">
        <v>2542</v>
      </c>
      <c r="L487" s="1" t="s">
        <v>3659</v>
      </c>
      <c r="M487" s="1" t="s">
        <v>34</v>
      </c>
      <c r="N487" s="1" t="s">
        <v>305</v>
      </c>
      <c r="O487" s="1" t="s">
        <v>2755</v>
      </c>
      <c r="P487" s="1"/>
      <c r="Q487" s="1">
        <f>IFERROR(COUNTIFS(_report[TOURNAMENT_CODE],ВСЕ_КОДЫ[[#This Row],[TOURNAMENT_CODE]],_report[CONTEST_CODE],ВСЕ_КОДЫ[[#This Row],[CONTEST_CODE]]),"-")</f>
        <v>0</v>
      </c>
      <c r="R487" s="1" t="str">
        <f>IFERROR(INDEX(_SCHEDULE_[],MATCH(ВСЕ_КОДЫ[[#This Row],[CONTEST_CODE]],_SCHEDULE_[CONTEST_CODE],0),MATCH($R$1,_SCHEDULE_[#Headers],0)),"-")</f>
        <v>ЗАВЕРШЕН</v>
      </c>
      <c r="S487" s="1" t="str">
        <f>IFERROR(INDEX(_group_[],MATCH(ВСЕ_КОДЫ[[#This Row],[CONTEST_CODE]],_group_[CONTEST_CODE],0),MATCH($S$1,_group_[#Headers],0)),"-")</f>
        <v>BANK</v>
      </c>
      <c r="T487" s="1" t="str">
        <f>IFERROR(INDEX(_INDICATOR_[],MATCH(ВСЕ_КОДЫ[[#This Row],[CONTEST_CODE]],_INDICATOR_[CONTEST_CODE],0),MATCH($T$1,_INDICATOR_[#Headers],0)),"-")</f>
        <v>WAIT</v>
      </c>
      <c r="U487" s="1" t="str">
        <f>IFERROR(INDEX(_reward_link_[],MATCH(ВСЕ_КОДЫ[[#This Row],[CONTEST_CODE]],_reward_link_[CONTEST_CODE],0),MATCH($U$1,_reward_link_[#Headers],0)),"-")</f>
        <v>BANK</v>
      </c>
      <c r="V487" s="1" t="str">
        <f>IFERROR(INDEX(_report[],MATCH(ВСЕ_КОДЫ[[#This Row],[CONTEST_CODE]],_report[CONTEST_CODE],0),MATCH($V$1,_report[#Headers],0)),"-")</f>
        <v>-</v>
      </c>
      <c r="W487" s="1" t="str">
        <f>IFERROR(INDEX(_reward_[],MATCH(ВСЕ_КОДЫ[[#This Row],[REWARD_CODE]],_reward_[REWARD_CODE],0),MATCH($W$1,_reward_[#Headers],0)),"-")</f>
        <v>Бронза#по производительности среди МС сделок изменений</v>
      </c>
      <c r="X487" s="1" t="str">
        <f>IFERROR(INDEX(_group_[],MATCH(CONCATENATE(ВСЕ_КОДЫ[[#This Row],[CONTEST_CODE]],"_",X$2),#REF!,0),MATCH(X$1,_group_[#Headers],0)),"-")</f>
        <v>-</v>
      </c>
      <c r="Y487" s="1" t="str">
        <f>IFERROR(INDEX(_group_[],MATCH(CONCATENATE(ВСЕ_КОДЫ[[#This Row],[CONTEST_CODE]],"_",Y$2),#REF!,0),MATCH(Y$1,_group_[#Headers],0)),"-")</f>
        <v>-</v>
      </c>
      <c r="Z487" s="1" t="str">
        <f>IFERROR(INDEX(_group_[],MATCH(CONCATENATE(ВСЕ_КОДЫ[[#This Row],[CONTEST_CODE]],"_",Z$2),#REF!,0),MATCH(Z$1,_group_[#Headers],0)),"-")</f>
        <v>-</v>
      </c>
      <c r="AA487" s="1" t="str">
        <f>IFERROR(INDEX(_group_[],MATCH(CONCATENATE(ВСЕ_КОДЫ[[#This Row],[CONTEST_CODE]],"_",AA$2),#REF!,0),MATCH(AA$1,_group_[#Headers],0)),"-")</f>
        <v>-</v>
      </c>
      <c r="AB487" s="1" t="str">
        <f>IFERROR(INDEX(_DATA_[],MATCH(ВСЕ_КОДЫ[[#This Row],[CONTEST_CODE]],_DATA_[CONTEST_CODE],0),MATCH($AB$2,_DATA_[#Headers],0)),"-")</f>
        <v>["""KMFACTORING"""]</v>
      </c>
      <c r="AC487" t="str">
        <f>CONCATENATE(ВСЕ_КОДЫ[[#This Row],[CONTEST_CODE]],"_",ВСЕ_КОДЫ[[#This Row],[TOURNAMENT_CODE]])</f>
        <v>04_2025-0_15-2_3_t_04_2025-0_15-2_3_2021</v>
      </c>
      <c r="AD487" t="str">
        <f>ВСЕ_КОДЫ[[#This Row],[FULL_NAME]]</f>
        <v>Производительность. Сделки изменений (МС)</v>
      </c>
    </row>
    <row r="488" spans="1:30" hidden="1" x14ac:dyDescent="0.25">
      <c r="A488" s="1" t="s">
        <v>2232</v>
      </c>
      <c r="B488" s="1" t="s">
        <v>2566</v>
      </c>
      <c r="C488" s="1" t="s">
        <v>2296</v>
      </c>
      <c r="D488" s="1" t="s">
        <v>583</v>
      </c>
      <c r="E488" s="1" t="s">
        <v>2650</v>
      </c>
      <c r="F488" s="1" t="s">
        <v>2508</v>
      </c>
      <c r="G488" s="1" t="s">
        <v>27</v>
      </c>
      <c r="H488" s="1" t="s">
        <v>34</v>
      </c>
      <c r="I488" s="1" t="s">
        <v>29</v>
      </c>
      <c r="J488" s="1" t="s">
        <v>2508</v>
      </c>
      <c r="K488" s="1" t="s">
        <v>2509</v>
      </c>
      <c r="L488" s="1" t="s">
        <v>194</v>
      </c>
      <c r="M488" s="1" t="s">
        <v>34</v>
      </c>
      <c r="N488" s="1" t="s">
        <v>305</v>
      </c>
      <c r="O488" s="1" t="s">
        <v>2670</v>
      </c>
      <c r="P488" s="1"/>
      <c r="Q488" s="1">
        <f>IFERROR(COUNTIFS(_report[TOURNAMENT_CODE],ВСЕ_КОДЫ[[#This Row],[TOURNAMENT_CODE]],_report[CONTEST_CODE],ВСЕ_КОДЫ[[#This Row],[CONTEST_CODE]]),"-")</f>
        <v>0</v>
      </c>
      <c r="R488" s="1" t="str">
        <f>IFERROR(INDEX(_SCHEDULE_[],MATCH(ВСЕ_КОДЫ[[#This Row],[CONTEST_CODE]],_SCHEDULE_[CONTEST_CODE],0),MATCH($R$1,_SCHEDULE_[#Headers],0)),"-")</f>
        <v>АКТИВНЫЙ</v>
      </c>
      <c r="S488" s="1" t="str">
        <f>IFERROR(INDEX(_group_[],MATCH(ВСЕ_КОДЫ[[#This Row],[CONTEST_CODE]],_group_[CONTEST_CODE],0),MATCH($S$1,_group_[#Headers],0)),"-")</f>
        <v>BANK</v>
      </c>
      <c r="T488" s="1" t="str">
        <f>IFERROR(INDEX(_INDICATOR_[],MATCH(ВСЕ_КОДЫ[[#This Row],[CONTEST_CODE]],_INDICATOR_[CONTEST_CODE],0),MATCH($T$1,_INDICATOR_[#Headers],0)),"-")</f>
        <v>WAIT</v>
      </c>
      <c r="U488" s="1" t="str">
        <f>IFERROR(INDEX(_reward_link_[],MATCH(ВСЕ_КОДЫ[[#This Row],[CONTEST_CODE]],_reward_link_[CONTEST_CODE],0),MATCH($U$1,_reward_link_[#Headers],0)),"-")</f>
        <v>BANK</v>
      </c>
      <c r="V488" s="1" t="str">
        <f>IFERROR(INDEX(_report[],MATCH(ВСЕ_КОДЫ[[#This Row],[CONTEST_CODE]],_report[CONTEST_CODE],0),MATCH($V$1,_report[#Headers],0)),"-")</f>
        <v>-</v>
      </c>
      <c r="W488" s="1" t="str">
        <f>IFERROR(INDEX(_reward_[],MATCH(ВСЕ_КОДЫ[[#This Row],[REWARD_CODE]],_reward_[REWARD_CODE],0),MATCH($W$1,_reward_[#Headers],0)),"-")</f>
        <v>Одним сердцем</v>
      </c>
      <c r="X488" s="1" t="str">
        <f>IFERROR(INDEX(_group_[],MATCH(CONCATENATE(ВСЕ_КОДЫ[[#This Row],[CONTEST_CODE]],"_",X$2),#REF!,0),MATCH(X$1,_group_[#Headers],0)),"-")</f>
        <v>-</v>
      </c>
      <c r="Y488" s="1" t="str">
        <f>IFERROR(INDEX(_group_[],MATCH(CONCATENATE(ВСЕ_КОДЫ[[#This Row],[CONTEST_CODE]],"_",Y$2),#REF!,0),MATCH(Y$1,_group_[#Headers],0)),"-")</f>
        <v>-</v>
      </c>
      <c r="Z488" s="1" t="str">
        <f>IFERROR(INDEX(_group_[],MATCH(CONCATENATE(ВСЕ_КОДЫ[[#This Row],[CONTEST_CODE]],"_",Z$2),#REF!,0),MATCH(Z$1,_group_[#Headers],0)),"-")</f>
        <v>-</v>
      </c>
      <c r="AA488" s="1" t="str">
        <f>IFERROR(INDEX(_group_[],MATCH(CONCATENATE(ВСЕ_КОДЫ[[#This Row],[CONTEST_CODE]],"_",AA$2),#REF!,0),MATCH(AA$1,_group_[#Headers],0)),"-")</f>
        <v>-</v>
      </c>
      <c r="AB488" s="1" t="str">
        <f>IFERROR(INDEX(_DATA_[],MATCH(ВСЕ_КОДЫ[[#This Row],[CONTEST_CODE]],_DATA_[CONTEST_CODE],0),MATCH($AB$2,_DATA_[#Headers],0)),"-")</f>
        <v>["""KMKKSB"""]</v>
      </c>
      <c r="AC488" t="str">
        <f>CONCATENATE(ВСЕ_КОДЫ[[#This Row],[CONTEST_CODE]],"_",ВСЕ_КОДЫ[[#This Row],[TOURNAMENT_CODE]])</f>
        <v>01_2025-1_01-6_t_01_2025-1_01-6_4001</v>
      </c>
      <c r="AD488" t="str">
        <f>ВСЕ_КОДЫ[[#This Row],[FULL_NAME]]</f>
        <v>Благотворительность</v>
      </c>
    </row>
    <row r="489" spans="1:30" hidden="1" x14ac:dyDescent="0.25">
      <c r="A489" s="1" t="s">
        <v>2234</v>
      </c>
      <c r="B489" s="1" t="s">
        <v>3549</v>
      </c>
      <c r="C489" s="1" t="s">
        <v>2372</v>
      </c>
      <c r="D489" s="1" t="s">
        <v>583</v>
      </c>
      <c r="E489" s="1" t="s">
        <v>2942</v>
      </c>
      <c r="F489" s="1" t="s">
        <v>2508</v>
      </c>
      <c r="G489" s="1" t="s">
        <v>27</v>
      </c>
      <c r="H489" s="1" t="s">
        <v>34</v>
      </c>
      <c r="I489" s="1" t="s">
        <v>50</v>
      </c>
      <c r="J489" s="1" t="s">
        <v>3219</v>
      </c>
      <c r="K489" s="1" t="s">
        <v>2542</v>
      </c>
      <c r="L489" s="1" t="s">
        <v>3545</v>
      </c>
      <c r="M489" s="1" t="s">
        <v>34</v>
      </c>
      <c r="N489" s="1" t="s">
        <v>305</v>
      </c>
      <c r="O489" s="1" t="s">
        <v>2772</v>
      </c>
      <c r="P489" s="1"/>
      <c r="Q489" s="1">
        <f>IFERROR(COUNTIFS(_report[TOURNAMENT_CODE],ВСЕ_КОДЫ[[#This Row],[TOURNAMENT_CODE]],_report[CONTEST_CODE],ВСЕ_КОДЫ[[#This Row],[CONTEST_CODE]]),"-")</f>
        <v>0</v>
      </c>
      <c r="R489" s="1" t="str">
        <f>IFERROR(INDEX(_SCHEDULE_[],MATCH(ВСЕ_КОДЫ[[#This Row],[CONTEST_CODE]],_SCHEDULE_[CONTEST_CODE],0),MATCH($R$1,_SCHEDULE_[#Headers],0)),"-")</f>
        <v>АКТИВНЫЙ</v>
      </c>
      <c r="S489" s="1" t="str">
        <f>IFERROR(INDEX(_group_[],MATCH(ВСЕ_КОДЫ[[#This Row],[CONTEST_CODE]],_group_[CONTEST_CODE],0),MATCH($S$1,_group_[#Headers],0)),"-")</f>
        <v>BANK</v>
      </c>
      <c r="T489" s="1" t="str">
        <f>IFERROR(INDEX(_INDICATOR_[],MATCH(ВСЕ_КОДЫ[[#This Row],[CONTEST_CODE]],_INDICATOR_[CONTEST_CODE],0),MATCH($T$1,_INDICATOR_[#Headers],0)),"-")</f>
        <v>WAIT</v>
      </c>
      <c r="U489" s="1" t="str">
        <f>IFERROR(INDEX(_reward_link_[],MATCH(ВСЕ_КОДЫ[[#This Row],[CONTEST_CODE]],_reward_link_[CONTEST_CODE],0),MATCH($U$1,_reward_link_[#Headers],0)),"-")</f>
        <v>BANK</v>
      </c>
      <c r="V489" s="1" t="str">
        <f>IFERROR(INDEX(_report[],MATCH(ВСЕ_КОДЫ[[#This Row],[CONTEST_CODE]],_report[CONTEST_CODE],0),MATCH($V$1,_report[#Headers],0)),"-")</f>
        <v>-</v>
      </c>
      <c r="W489" s="1" t="str">
        <f>IFERROR(INDEX(_reward_[],MATCH(ВСЕ_КОДЫ[[#This Row],[REWARD_CODE]],_reward_[REWARD_CODE],0),MATCH($W$1,_reward_[#Headers],0)),"-")</f>
        <v>Золото#по Турниру МРИЯ</v>
      </c>
      <c r="X489" s="1" t="str">
        <f>IFERROR(INDEX(_group_[],MATCH(CONCATENATE(ВСЕ_КОДЫ[[#This Row],[CONTEST_CODE]],"_",X$2),#REF!,0),MATCH(X$1,_group_[#Headers],0)),"-")</f>
        <v>-</v>
      </c>
      <c r="Y489" s="1" t="str">
        <f>IFERROR(INDEX(_group_[],MATCH(CONCATENATE(ВСЕ_КОДЫ[[#This Row],[CONTEST_CODE]],"_",Y$2),#REF!,0),MATCH(Y$1,_group_[#Headers],0)),"-")</f>
        <v>-</v>
      </c>
      <c r="Z489" s="1" t="str">
        <f>IFERROR(INDEX(_group_[],MATCH(CONCATENATE(ВСЕ_КОДЫ[[#This Row],[CONTEST_CODE]],"_",Z$2),#REF!,0),MATCH(Z$1,_group_[#Headers],0)),"-")</f>
        <v>-</v>
      </c>
      <c r="AA489" s="1" t="str">
        <f>IFERROR(INDEX(_group_[],MATCH(CONCATENATE(ВСЕ_КОДЫ[[#This Row],[CONTEST_CODE]],"_",AA$2),#REF!,0),MATCH(AA$1,_group_[#Headers],0)),"-")</f>
        <v>-</v>
      </c>
      <c r="AB489" s="1" t="str">
        <f>IFERROR(INDEX(_DATA_[],MATCH(ВСЕ_КОДЫ[[#This Row],[CONTEST_CODE]],_DATA_[CONTEST_CODE],0),MATCH($AB$2,_DATA_[#Headers],0)),"-")</f>
        <v>["""KMSB1"""]</v>
      </c>
      <c r="AC489" t="str">
        <f>CONCATENATE(ВСЕ_КОДЫ[[#This Row],[CONTEST_CODE]],"_",ВСЕ_КОДЫ[[#This Row],[TOURNAMENT_CODE]])</f>
        <v>05_2025-0_18-5_1_t_05_2025-0_18-5_1_4001</v>
      </c>
      <c r="AD489" t="str">
        <f>ВСЕ_КОДЫ[[#This Row],[FULL_NAME]]</f>
        <v>Лотос у моря</v>
      </c>
    </row>
    <row r="490" spans="1:30" hidden="1" x14ac:dyDescent="0.25">
      <c r="A490" s="1" t="s">
        <v>2248</v>
      </c>
      <c r="B490" s="1" t="s">
        <v>3551</v>
      </c>
      <c r="C490" s="1" t="s">
        <v>2424</v>
      </c>
      <c r="D490" s="1" t="s">
        <v>586</v>
      </c>
      <c r="E490" s="1" t="s">
        <v>2629</v>
      </c>
      <c r="F490" s="1" t="s">
        <v>2508</v>
      </c>
      <c r="G490" s="1" t="s">
        <v>27</v>
      </c>
      <c r="H490" s="1" t="s">
        <v>34</v>
      </c>
      <c r="I490" s="1" t="s">
        <v>50</v>
      </c>
      <c r="J490" s="1" t="s">
        <v>3219</v>
      </c>
      <c r="K490" s="1" t="s">
        <v>2542</v>
      </c>
      <c r="L490" s="1" t="s">
        <v>3545</v>
      </c>
      <c r="M490" s="1" t="s">
        <v>34</v>
      </c>
      <c r="N490" s="1" t="s">
        <v>305</v>
      </c>
      <c r="O490" s="1" t="s">
        <v>2759</v>
      </c>
      <c r="P490" s="1"/>
      <c r="Q490" s="1">
        <f>IFERROR(COUNTIFS(_report[TOURNAMENT_CODE],ВСЕ_КОДЫ[[#This Row],[TOURNAMENT_CODE]],_report[CONTEST_CODE],ВСЕ_КОДЫ[[#This Row],[CONTEST_CODE]]),"-")</f>
        <v>0</v>
      </c>
      <c r="R490" s="1" t="str">
        <f>IFERROR(INDEX(_SCHEDULE_[],MATCH(ВСЕ_КОДЫ[[#This Row],[CONTEST_CODE]],_SCHEDULE_[CONTEST_CODE],0),MATCH($R$1,_SCHEDULE_[#Headers],0)),"-")</f>
        <v>АКТИВНЫЙ</v>
      </c>
      <c r="S490" s="1" t="str">
        <f>IFERROR(INDEX(_group_[],MATCH(ВСЕ_КОДЫ[[#This Row],[CONTEST_CODE]],_group_[CONTEST_CODE],0),MATCH($S$1,_group_[#Headers],0)),"-")</f>
        <v>TB</v>
      </c>
      <c r="T490" s="1" t="str">
        <f>IFERROR(INDEX(_INDICATOR_[],MATCH(ВСЕ_КОДЫ[[#This Row],[CONTEST_CODE]],_INDICATOR_[CONTEST_CODE],0),MATCH($T$1,_INDICATOR_[#Headers],0)),"-")</f>
        <v>WAIT</v>
      </c>
      <c r="U490" s="1" t="str">
        <f>IFERROR(INDEX(_reward_link_[],MATCH(ВСЕ_КОДЫ[[#This Row],[CONTEST_CODE]],_reward_link_[CONTEST_CODE],0),MATCH($U$1,_reward_link_[#Headers],0)),"-")</f>
        <v>TB</v>
      </c>
      <c r="V490" s="1" t="str">
        <f>IFERROR(INDEX(_report[],MATCH(ВСЕ_КОДЫ[[#This Row],[CONTEST_CODE]],_report[CONTEST_CODE],0),MATCH($V$1,_report[#Headers],0)),"-")</f>
        <v>-</v>
      </c>
      <c r="W490" s="1" t="str">
        <f>IFERROR(INDEX(_reward_[],MATCH(ВСЕ_КОДЫ[[#This Row],[REWARD_CODE]],_reward_[REWARD_CODE],0),MATCH($W$1,_reward_[#Headers],0)),"-")</f>
        <v>Золото#по Турниру УКП</v>
      </c>
      <c r="X490" s="1" t="str">
        <f>IFERROR(INDEX(_group_[],MATCH(CONCATENATE(ВСЕ_КОДЫ[[#This Row],[CONTEST_CODE]],"_",X$2),#REF!,0),MATCH(X$1,_group_[#Headers],0)),"-")</f>
        <v>-</v>
      </c>
      <c r="Y490" s="1" t="str">
        <f>IFERROR(INDEX(_group_[],MATCH(CONCATENATE(ВСЕ_КОДЫ[[#This Row],[CONTEST_CODE]],"_",Y$2),#REF!,0),MATCH(Y$1,_group_[#Headers],0)),"-")</f>
        <v>-</v>
      </c>
      <c r="Z490" s="1" t="str">
        <f>IFERROR(INDEX(_group_[],MATCH(CONCATENATE(ВСЕ_КОДЫ[[#This Row],[CONTEST_CODE]],"_",Z$2),#REF!,0),MATCH(Z$1,_group_[#Headers],0)),"-")</f>
        <v>-</v>
      </c>
      <c r="AA490" s="1" t="str">
        <f>IFERROR(INDEX(_group_[],MATCH(CONCATENATE(ВСЕ_КОДЫ[[#This Row],[CONTEST_CODE]],"_",AA$2),#REF!,0),MATCH(AA$1,_group_[#Headers],0)),"-")</f>
        <v>-</v>
      </c>
      <c r="AB490" s="1" t="str">
        <f>IFERROR(INDEX(_DATA_[],MATCH(ВСЕ_КОДЫ[[#This Row],[CONTEST_CODE]],_DATA_[CONTEST_CODE],0),MATCH($AB$2,_DATA_[#Headers],0)),"-")</f>
        <v>["""KMSB1"""]</v>
      </c>
      <c r="AC490" t="str">
        <f>CONCATENATE(ВСЕ_КОДЫ[[#This Row],[CONTEST_CODE]],"_",ВСЕ_КОДЫ[[#This Row],[TOURNAMENT_CODE]])</f>
        <v>05_2025-0_18-1_1_t_05_2025-0_18-1_1_4001</v>
      </c>
      <c r="AD490" t="str">
        <f>ВСЕ_КОДЫ[[#This Row],[FULL_NAME]]</f>
        <v>Марафон УК Первая</v>
      </c>
    </row>
    <row r="491" spans="1:30" hidden="1" x14ac:dyDescent="0.25">
      <c r="A491" s="1" t="s">
        <v>2248</v>
      </c>
      <c r="B491" s="1" t="s">
        <v>3551</v>
      </c>
      <c r="C491" s="1" t="s">
        <v>2425</v>
      </c>
      <c r="D491" s="1" t="s">
        <v>586</v>
      </c>
      <c r="E491" s="1" t="s">
        <v>2629</v>
      </c>
      <c r="F491" s="1" t="s">
        <v>2508</v>
      </c>
      <c r="G491" s="1" t="s">
        <v>27</v>
      </c>
      <c r="H491" s="1" t="s">
        <v>34</v>
      </c>
      <c r="I491" s="1" t="s">
        <v>50</v>
      </c>
      <c r="J491" s="1" t="s">
        <v>3219</v>
      </c>
      <c r="K491" s="1" t="s">
        <v>2542</v>
      </c>
      <c r="L491" s="1" t="s">
        <v>3545</v>
      </c>
      <c r="M491" s="1" t="s">
        <v>34</v>
      </c>
      <c r="N491" s="1" t="s">
        <v>305</v>
      </c>
      <c r="O491" s="1" t="s">
        <v>2761</v>
      </c>
      <c r="P491" s="1"/>
      <c r="Q491" s="1">
        <f>IFERROR(COUNTIFS(_report[TOURNAMENT_CODE],ВСЕ_КОДЫ[[#This Row],[TOURNAMENT_CODE]],_report[CONTEST_CODE],ВСЕ_КОДЫ[[#This Row],[CONTEST_CODE]]),"-")</f>
        <v>0</v>
      </c>
      <c r="R491" s="1" t="str">
        <f>IFERROR(INDEX(_SCHEDULE_[],MATCH(ВСЕ_КОДЫ[[#This Row],[CONTEST_CODE]],_SCHEDULE_[CONTEST_CODE],0),MATCH($R$1,_SCHEDULE_[#Headers],0)),"-")</f>
        <v>АКТИВНЫЙ</v>
      </c>
      <c r="S491" s="1" t="str">
        <f>IFERROR(INDEX(_group_[],MATCH(ВСЕ_КОДЫ[[#This Row],[CONTEST_CODE]],_group_[CONTEST_CODE],0),MATCH($S$1,_group_[#Headers],0)),"-")</f>
        <v>TB</v>
      </c>
      <c r="T491" s="1" t="str">
        <f>IFERROR(INDEX(_INDICATOR_[],MATCH(ВСЕ_КОДЫ[[#This Row],[CONTEST_CODE]],_INDICATOR_[CONTEST_CODE],0),MATCH($T$1,_INDICATOR_[#Headers],0)),"-")</f>
        <v>WAIT</v>
      </c>
      <c r="U491" s="1" t="str">
        <f>IFERROR(INDEX(_reward_link_[],MATCH(ВСЕ_КОДЫ[[#This Row],[CONTEST_CODE]],_reward_link_[CONTEST_CODE],0),MATCH($U$1,_reward_link_[#Headers],0)),"-")</f>
        <v>TB</v>
      </c>
      <c r="V491" s="1" t="str">
        <f>IFERROR(INDEX(_report[],MATCH(ВСЕ_КОДЫ[[#This Row],[CONTEST_CODE]],_report[CONTEST_CODE],0),MATCH($V$1,_report[#Headers],0)),"-")</f>
        <v>-</v>
      </c>
      <c r="W491" s="1" t="str">
        <f>IFERROR(INDEX(_reward_[],MATCH(ВСЕ_КОДЫ[[#This Row],[REWARD_CODE]],_reward_[REWARD_CODE],0),MATCH($W$1,_reward_[#Headers],0)),"-")</f>
        <v>Серебро#по Турниру УКП</v>
      </c>
      <c r="X491" s="1" t="str">
        <f>IFERROR(INDEX(_group_[],MATCH(CONCATENATE(ВСЕ_КОДЫ[[#This Row],[CONTEST_CODE]],"_",X$2),#REF!,0),MATCH(X$1,_group_[#Headers],0)),"-")</f>
        <v>-</v>
      </c>
      <c r="Y491" s="1" t="str">
        <f>IFERROR(INDEX(_group_[],MATCH(CONCATENATE(ВСЕ_КОДЫ[[#This Row],[CONTEST_CODE]],"_",Y$2),#REF!,0),MATCH(Y$1,_group_[#Headers],0)),"-")</f>
        <v>-</v>
      </c>
      <c r="Z491" s="1" t="str">
        <f>IFERROR(INDEX(_group_[],MATCH(CONCATENATE(ВСЕ_КОДЫ[[#This Row],[CONTEST_CODE]],"_",Z$2),#REF!,0),MATCH(Z$1,_group_[#Headers],0)),"-")</f>
        <v>-</v>
      </c>
      <c r="AA491" s="1" t="str">
        <f>IFERROR(INDEX(_group_[],MATCH(CONCATENATE(ВСЕ_КОДЫ[[#This Row],[CONTEST_CODE]],"_",AA$2),#REF!,0),MATCH(AA$1,_group_[#Headers],0)),"-")</f>
        <v>-</v>
      </c>
      <c r="AB491" s="1" t="str">
        <f>IFERROR(INDEX(_DATA_[],MATCH(ВСЕ_КОДЫ[[#This Row],[CONTEST_CODE]],_DATA_[CONTEST_CODE],0),MATCH($AB$2,_DATA_[#Headers],0)),"-")</f>
        <v>["""KMSB1"""]</v>
      </c>
      <c r="AC491" t="str">
        <f>CONCATENATE(ВСЕ_КОДЫ[[#This Row],[CONTEST_CODE]],"_",ВСЕ_КОДЫ[[#This Row],[TOURNAMENT_CODE]])</f>
        <v>05_2025-0_18-1_1_t_05_2025-0_18-1_1_4001</v>
      </c>
      <c r="AD491" t="str">
        <f>ВСЕ_КОДЫ[[#This Row],[FULL_NAME]]</f>
        <v>Марафон УК Первая</v>
      </c>
    </row>
    <row r="492" spans="1:30" hidden="1" x14ac:dyDescent="0.25">
      <c r="A492" s="1" t="s">
        <v>2249</v>
      </c>
      <c r="B492" s="1" t="s">
        <v>3553</v>
      </c>
      <c r="C492" s="1" t="s">
        <v>2428</v>
      </c>
      <c r="D492" s="1" t="s">
        <v>583</v>
      </c>
      <c r="E492" s="1" t="s">
        <v>2633</v>
      </c>
      <c r="F492" s="1" t="s">
        <v>2508</v>
      </c>
      <c r="G492" s="1" t="s">
        <v>27</v>
      </c>
      <c r="H492" s="1" t="s">
        <v>34</v>
      </c>
      <c r="I492" s="1" t="s">
        <v>50</v>
      </c>
      <c r="J492" s="1" t="s">
        <v>3219</v>
      </c>
      <c r="K492" s="1" t="s">
        <v>2542</v>
      </c>
      <c r="L492" s="1" t="s">
        <v>3545</v>
      </c>
      <c r="M492" s="1" t="s">
        <v>34</v>
      </c>
      <c r="N492" s="1" t="s">
        <v>305</v>
      </c>
      <c r="O492" s="1" t="s">
        <v>2764</v>
      </c>
      <c r="P492" s="1"/>
      <c r="Q492" s="1">
        <f>IFERROR(COUNTIFS(_report[TOURNAMENT_CODE],ВСЕ_КОДЫ[[#This Row],[TOURNAMENT_CODE]],_report[CONTEST_CODE],ВСЕ_КОДЫ[[#This Row],[CONTEST_CODE]]),"-")</f>
        <v>0</v>
      </c>
      <c r="R492" s="1" t="str">
        <f>IFERROR(INDEX(_SCHEDULE_[],MATCH(ВСЕ_КОДЫ[[#This Row],[CONTEST_CODE]],_SCHEDULE_[CONTEST_CODE],0),MATCH($R$1,_SCHEDULE_[#Headers],0)),"-")</f>
        <v>АКТИВНЫЙ</v>
      </c>
      <c r="S492" s="1" t="str">
        <f>IFERROR(INDEX(_group_[],MATCH(ВСЕ_КОДЫ[[#This Row],[CONTEST_CODE]],_group_[CONTEST_CODE],0),MATCH($S$1,_group_[#Headers],0)),"-")</f>
        <v>BANK</v>
      </c>
      <c r="T492" s="1" t="str">
        <f>IFERROR(INDEX(_INDICATOR_[],MATCH(ВСЕ_КОДЫ[[#This Row],[CONTEST_CODE]],_INDICATOR_[CONTEST_CODE],0),MATCH($T$1,_INDICATOR_[#Headers],0)),"-")</f>
        <v>WAIT</v>
      </c>
      <c r="U492" s="1" t="str">
        <f>IFERROR(INDEX(_reward_link_[],MATCH(ВСЕ_КОДЫ[[#This Row],[CONTEST_CODE]],_reward_link_[CONTEST_CODE],0),MATCH($U$1,_reward_link_[#Headers],0)),"-")</f>
        <v>TB</v>
      </c>
      <c r="V492" s="1" t="str">
        <f>IFERROR(INDEX(_report[],MATCH(ВСЕ_КОДЫ[[#This Row],[CONTEST_CODE]],_report[CONTEST_CODE],0),MATCH($V$1,_report[#Headers],0)),"-")</f>
        <v>-</v>
      </c>
      <c r="W492" s="1" t="str">
        <f>IFERROR(INDEX(_reward_[],MATCH(ВСЕ_КОДЫ[[#This Row],[REWARD_CODE]],_reward_[REWARD_CODE],0),MATCH($W$1,_reward_[#Headers],0)),"-")</f>
        <v>Серебро#по Турниру СФН</v>
      </c>
      <c r="X492" s="1" t="str">
        <f>IFERROR(INDEX(_group_[],MATCH(CONCATENATE(ВСЕ_КОДЫ[[#This Row],[CONTEST_CODE]],"_",X$2),#REF!,0),MATCH(X$1,_group_[#Headers],0)),"-")</f>
        <v>-</v>
      </c>
      <c r="Y492" s="1" t="str">
        <f>IFERROR(INDEX(_group_[],MATCH(CONCATENATE(ВСЕ_КОДЫ[[#This Row],[CONTEST_CODE]],"_",Y$2),#REF!,0),MATCH(Y$1,_group_[#Headers],0)),"-")</f>
        <v>-</v>
      </c>
      <c r="Z492" s="1" t="str">
        <f>IFERROR(INDEX(_group_[],MATCH(CONCATENATE(ВСЕ_КОДЫ[[#This Row],[CONTEST_CODE]],"_",Z$2),#REF!,0),MATCH(Z$1,_group_[#Headers],0)),"-")</f>
        <v>-</v>
      </c>
      <c r="AA492" s="1" t="str">
        <f>IFERROR(INDEX(_group_[],MATCH(CONCATENATE(ВСЕ_КОДЫ[[#This Row],[CONTEST_CODE]],"_",AA$2),#REF!,0),MATCH(AA$1,_group_[#Headers],0)),"-")</f>
        <v>-</v>
      </c>
      <c r="AB492" s="1" t="str">
        <f>IFERROR(INDEX(_DATA_[],MATCH(ВСЕ_КОДЫ[[#This Row],[CONTEST_CODE]],_DATA_[CONTEST_CODE],0),MATCH($AB$2,_DATA_[#Headers],0)),"-")</f>
        <v>["""KMSB1"""]</v>
      </c>
      <c r="AC492" t="str">
        <f>CONCATENATE(ВСЕ_КОДЫ[[#This Row],[CONTEST_CODE]],"_",ВСЕ_КОДЫ[[#This Row],[TOURNAMENT_CODE]])</f>
        <v>05_2025-0_18-2_1_t_05_2025-0_18-2_1_4001</v>
      </c>
      <c r="AD492" t="str">
        <f>ВСЕ_КОДЫ[[#This Row],[FULL_NAME]]</f>
        <v>Турнир по квадратным метрам</v>
      </c>
    </row>
    <row r="493" spans="1:30" hidden="1" x14ac:dyDescent="0.25">
      <c r="A493" s="1" t="s">
        <v>2249</v>
      </c>
      <c r="B493" s="1" t="s">
        <v>3553</v>
      </c>
      <c r="C493" s="1" t="s">
        <v>2427</v>
      </c>
      <c r="D493" s="1" t="s">
        <v>586</v>
      </c>
      <c r="E493" s="1" t="s">
        <v>2633</v>
      </c>
      <c r="F493" s="1" t="s">
        <v>2508</v>
      </c>
      <c r="G493" s="1" t="s">
        <v>27</v>
      </c>
      <c r="H493" s="1" t="s">
        <v>34</v>
      </c>
      <c r="I493" s="1" t="s">
        <v>50</v>
      </c>
      <c r="J493" s="1" t="s">
        <v>3219</v>
      </c>
      <c r="K493" s="1" t="s">
        <v>2542</v>
      </c>
      <c r="L493" s="1" t="s">
        <v>3545</v>
      </c>
      <c r="M493" s="1" t="s">
        <v>34</v>
      </c>
      <c r="N493" s="1" t="s">
        <v>305</v>
      </c>
      <c r="O493" s="1" t="s">
        <v>2763</v>
      </c>
      <c r="P493" s="1"/>
      <c r="Q493" s="1">
        <f>IFERROR(COUNTIFS(_report[TOURNAMENT_CODE],ВСЕ_КОДЫ[[#This Row],[TOURNAMENT_CODE]],_report[CONTEST_CODE],ВСЕ_КОДЫ[[#This Row],[CONTEST_CODE]]),"-")</f>
        <v>0</v>
      </c>
      <c r="R493" s="1" t="str">
        <f>IFERROR(INDEX(_SCHEDULE_[],MATCH(ВСЕ_КОДЫ[[#This Row],[CONTEST_CODE]],_SCHEDULE_[CONTEST_CODE],0),MATCH($R$1,_SCHEDULE_[#Headers],0)),"-")</f>
        <v>АКТИВНЫЙ</v>
      </c>
      <c r="S493" s="1" t="str">
        <f>IFERROR(INDEX(_group_[],MATCH(ВСЕ_КОДЫ[[#This Row],[CONTEST_CODE]],_group_[CONTEST_CODE],0),MATCH($S$1,_group_[#Headers],0)),"-")</f>
        <v>BANK</v>
      </c>
      <c r="T493" s="1" t="str">
        <f>IFERROR(INDEX(_INDICATOR_[],MATCH(ВСЕ_КОДЫ[[#This Row],[CONTEST_CODE]],_INDICATOR_[CONTEST_CODE],0),MATCH($T$1,_INDICATOR_[#Headers],0)),"-")</f>
        <v>WAIT</v>
      </c>
      <c r="U493" s="1" t="str">
        <f>IFERROR(INDEX(_reward_link_[],MATCH(ВСЕ_КОДЫ[[#This Row],[CONTEST_CODE]],_reward_link_[CONTEST_CODE],0),MATCH($U$1,_reward_link_[#Headers],0)),"-")</f>
        <v>TB</v>
      </c>
      <c r="V493" s="1" t="str">
        <f>IFERROR(INDEX(_report[],MATCH(ВСЕ_КОДЫ[[#This Row],[CONTEST_CODE]],_report[CONTEST_CODE],0),MATCH($V$1,_report[#Headers],0)),"-")</f>
        <v>-</v>
      </c>
      <c r="W493" s="1" t="str">
        <f>IFERROR(INDEX(_reward_[],MATCH(ВСЕ_КОДЫ[[#This Row],[REWARD_CODE]],_reward_[REWARD_CODE],0),MATCH($W$1,_reward_[#Headers],0)),"-")</f>
        <v>Золото#по Турниру СФН</v>
      </c>
      <c r="X493" s="1" t="str">
        <f>IFERROR(INDEX(_group_[],MATCH(CONCATENATE(ВСЕ_КОДЫ[[#This Row],[CONTEST_CODE]],"_",X$2),#REF!,0),MATCH(X$1,_group_[#Headers],0)),"-")</f>
        <v>-</v>
      </c>
      <c r="Y493" s="1" t="str">
        <f>IFERROR(INDEX(_group_[],MATCH(CONCATENATE(ВСЕ_КОДЫ[[#This Row],[CONTEST_CODE]],"_",Y$2),#REF!,0),MATCH(Y$1,_group_[#Headers],0)),"-")</f>
        <v>-</v>
      </c>
      <c r="Z493" s="1" t="str">
        <f>IFERROR(INDEX(_group_[],MATCH(CONCATENATE(ВСЕ_КОДЫ[[#This Row],[CONTEST_CODE]],"_",Z$2),#REF!,0),MATCH(Z$1,_group_[#Headers],0)),"-")</f>
        <v>-</v>
      </c>
      <c r="AA493" s="1" t="str">
        <f>IFERROR(INDEX(_group_[],MATCH(CONCATENATE(ВСЕ_КОДЫ[[#This Row],[CONTEST_CODE]],"_",AA$2),#REF!,0),MATCH(AA$1,_group_[#Headers],0)),"-")</f>
        <v>-</v>
      </c>
      <c r="AB493" s="1" t="str">
        <f>IFERROR(INDEX(_DATA_[],MATCH(ВСЕ_КОДЫ[[#This Row],[CONTEST_CODE]],_DATA_[CONTEST_CODE],0),MATCH($AB$2,_DATA_[#Headers],0)),"-")</f>
        <v>["""KMSB1"""]</v>
      </c>
      <c r="AC493" t="str">
        <f>CONCATENATE(ВСЕ_КОДЫ[[#This Row],[CONTEST_CODE]],"_",ВСЕ_КОДЫ[[#This Row],[TOURNAMENT_CODE]])</f>
        <v>05_2025-0_18-2_1_t_05_2025-0_18-2_1_4001</v>
      </c>
      <c r="AD493" t="str">
        <f>ВСЕ_КОДЫ[[#This Row],[FULL_NAME]]</f>
        <v>Турнир по квадратным метрам</v>
      </c>
    </row>
    <row r="494" spans="1:30" hidden="1" x14ac:dyDescent="0.25">
      <c r="A494" s="1" t="s">
        <v>2251</v>
      </c>
      <c r="B494" s="1" t="s">
        <v>3555</v>
      </c>
      <c r="C494" s="1" t="s">
        <v>2431</v>
      </c>
      <c r="D494" s="1" t="s">
        <v>586</v>
      </c>
      <c r="E494" s="1" t="s">
        <v>2635</v>
      </c>
      <c r="F494" s="1" t="s">
        <v>2508</v>
      </c>
      <c r="G494" s="1" t="s">
        <v>27</v>
      </c>
      <c r="H494" s="1" t="s">
        <v>34</v>
      </c>
      <c r="I494" s="1" t="s">
        <v>50</v>
      </c>
      <c r="J494" s="1" t="s">
        <v>3219</v>
      </c>
      <c r="K494" s="1" t="s">
        <v>2542</v>
      </c>
      <c r="L494" s="1" t="s">
        <v>3545</v>
      </c>
      <c r="M494" s="1" t="s">
        <v>34</v>
      </c>
      <c r="N494" s="1" t="s">
        <v>305</v>
      </c>
      <c r="O494" s="1" t="s">
        <v>2766</v>
      </c>
      <c r="P494" s="1"/>
      <c r="Q494" s="1">
        <f>IFERROR(COUNTIFS(_report[TOURNAMENT_CODE],ВСЕ_КОДЫ[[#This Row],[TOURNAMENT_CODE]],_report[CONTEST_CODE],ВСЕ_КОДЫ[[#This Row],[CONTEST_CODE]]),"-")</f>
        <v>0</v>
      </c>
      <c r="R494" s="1" t="str">
        <f>IFERROR(INDEX(_SCHEDULE_[],MATCH(ВСЕ_КОДЫ[[#This Row],[CONTEST_CODE]],_SCHEDULE_[CONTEST_CODE],0),MATCH($R$1,_SCHEDULE_[#Headers],0)),"-")</f>
        <v>АКТИВНЫЙ</v>
      </c>
      <c r="S494" s="1" t="str">
        <f>IFERROR(INDEX(_group_[],MATCH(ВСЕ_КОДЫ[[#This Row],[CONTEST_CODE]],_group_[CONTEST_CODE],0),MATCH($S$1,_group_[#Headers],0)),"-")</f>
        <v>TB</v>
      </c>
      <c r="T494" s="1" t="str">
        <f>IFERROR(INDEX(_INDICATOR_[],MATCH(ВСЕ_КОДЫ[[#This Row],[CONTEST_CODE]],_INDICATOR_[CONTEST_CODE],0),MATCH($T$1,_INDICATOR_[#Headers],0)),"-")</f>
        <v>WAIT</v>
      </c>
      <c r="U494" s="1" t="str">
        <f>IFERROR(INDEX(_reward_link_[],MATCH(ВСЕ_КОДЫ[[#This Row],[CONTEST_CODE]],_reward_link_[CONTEST_CODE],0),MATCH($U$1,_reward_link_[#Headers],0)),"-")</f>
        <v>TB</v>
      </c>
      <c r="V494" s="1" t="str">
        <f>IFERROR(INDEX(_report[],MATCH(ВСЕ_КОДЫ[[#This Row],[CONTEST_CODE]],_report[CONTEST_CODE],0),MATCH($V$1,_report[#Headers],0)),"-")</f>
        <v>-</v>
      </c>
      <c r="W494" s="1" t="str">
        <f>IFERROR(INDEX(_reward_[],MATCH(ВСЕ_КОДЫ[[#This Row],[REWARD_CODE]],_reward_[REWARD_CODE],0),MATCH($W$1,_reward_[#Headers],0)),"-")</f>
        <v>Золото#по Турниру Брокера</v>
      </c>
      <c r="X494" s="1" t="str">
        <f>IFERROR(INDEX(_group_[],MATCH(CONCATENATE(ВСЕ_КОДЫ[[#This Row],[CONTEST_CODE]],"_",X$2),#REF!,0),MATCH(X$1,_group_[#Headers],0)),"-")</f>
        <v>-</v>
      </c>
      <c r="Y494" s="1" t="str">
        <f>IFERROR(INDEX(_group_[],MATCH(CONCATENATE(ВСЕ_КОДЫ[[#This Row],[CONTEST_CODE]],"_",Y$2),#REF!,0),MATCH(Y$1,_group_[#Headers],0)),"-")</f>
        <v>-</v>
      </c>
      <c r="Z494" s="1" t="str">
        <f>IFERROR(INDEX(_group_[],MATCH(CONCATENATE(ВСЕ_КОДЫ[[#This Row],[CONTEST_CODE]],"_",Z$2),#REF!,0),MATCH(Z$1,_group_[#Headers],0)),"-")</f>
        <v>-</v>
      </c>
      <c r="AA494" s="1" t="str">
        <f>IFERROR(INDEX(_group_[],MATCH(CONCATENATE(ВСЕ_КОДЫ[[#This Row],[CONTEST_CODE]],"_",AA$2),#REF!,0),MATCH(AA$1,_group_[#Headers],0)),"-")</f>
        <v>-</v>
      </c>
      <c r="AB494" s="1" t="str">
        <f>IFERROR(INDEX(_DATA_[],MATCH(ВСЕ_КОДЫ[[#This Row],[CONTEST_CODE]],_DATA_[CONTEST_CODE],0),MATCH($AB$2,_DATA_[#Headers],0)),"-")</f>
        <v>["""KMSB1"""]</v>
      </c>
      <c r="AC494" t="str">
        <f>CONCATENATE(ВСЕ_КОДЫ[[#This Row],[CONTEST_CODE]],"_",ВСЕ_КОДЫ[[#This Row],[TOURNAMENT_CODE]])</f>
        <v>05_2025-0_18-3_1_t_05_2025-0_18-3_1_4001</v>
      </c>
      <c r="AD494" t="str">
        <f>ВСЕ_КОДЫ[[#This Row],[FULL_NAME]]</f>
        <v>Ралли брокера</v>
      </c>
    </row>
    <row r="495" spans="1:30" hidden="1" x14ac:dyDescent="0.25">
      <c r="A495" s="1" t="s">
        <v>2251</v>
      </c>
      <c r="B495" s="1" t="s">
        <v>3555</v>
      </c>
      <c r="C495" s="1" t="s">
        <v>2433</v>
      </c>
      <c r="D495" s="1" t="s">
        <v>586</v>
      </c>
      <c r="E495" s="1" t="s">
        <v>2635</v>
      </c>
      <c r="F495" s="1" t="s">
        <v>2508</v>
      </c>
      <c r="G495" s="1" t="s">
        <v>27</v>
      </c>
      <c r="H495" s="1" t="s">
        <v>34</v>
      </c>
      <c r="I495" s="1" t="s">
        <v>50</v>
      </c>
      <c r="J495" s="1" t="s">
        <v>3219</v>
      </c>
      <c r="K495" s="1" t="s">
        <v>2542</v>
      </c>
      <c r="L495" s="1" t="s">
        <v>3545</v>
      </c>
      <c r="M495" s="1" t="s">
        <v>34</v>
      </c>
      <c r="N495" s="1" t="s">
        <v>305</v>
      </c>
      <c r="O495" s="1" t="s">
        <v>2767</v>
      </c>
      <c r="P495" s="1"/>
      <c r="Q495" s="1">
        <f>IFERROR(COUNTIFS(_report[TOURNAMENT_CODE],ВСЕ_КОДЫ[[#This Row],[TOURNAMENT_CODE]],_report[CONTEST_CODE],ВСЕ_КОДЫ[[#This Row],[CONTEST_CODE]]),"-")</f>
        <v>0</v>
      </c>
      <c r="R495" s="1" t="str">
        <f>IFERROR(INDEX(_SCHEDULE_[],MATCH(ВСЕ_КОДЫ[[#This Row],[CONTEST_CODE]],_SCHEDULE_[CONTEST_CODE],0),MATCH($R$1,_SCHEDULE_[#Headers],0)),"-")</f>
        <v>АКТИВНЫЙ</v>
      </c>
      <c r="S495" s="1" t="str">
        <f>IFERROR(INDEX(_group_[],MATCH(ВСЕ_КОДЫ[[#This Row],[CONTEST_CODE]],_group_[CONTEST_CODE],0),MATCH($S$1,_group_[#Headers],0)),"-")</f>
        <v>TB</v>
      </c>
      <c r="T495" s="1" t="str">
        <f>IFERROR(INDEX(_INDICATOR_[],MATCH(ВСЕ_КОДЫ[[#This Row],[CONTEST_CODE]],_INDICATOR_[CONTEST_CODE],0),MATCH($T$1,_INDICATOR_[#Headers],0)),"-")</f>
        <v>WAIT</v>
      </c>
      <c r="U495" s="1" t="str">
        <f>IFERROR(INDEX(_reward_link_[],MATCH(ВСЕ_КОДЫ[[#This Row],[CONTEST_CODE]],_reward_link_[CONTEST_CODE],0),MATCH($U$1,_reward_link_[#Headers],0)),"-")</f>
        <v>TB</v>
      </c>
      <c r="V495" s="1" t="str">
        <f>IFERROR(INDEX(_report[],MATCH(ВСЕ_КОДЫ[[#This Row],[CONTEST_CODE]],_report[CONTEST_CODE],0),MATCH($V$1,_report[#Headers],0)),"-")</f>
        <v>-</v>
      </c>
      <c r="W495" s="1" t="str">
        <f>IFERROR(INDEX(_reward_[],MATCH(ВСЕ_КОДЫ[[#This Row],[REWARD_CODE]],_reward_[REWARD_CODE],0),MATCH($W$1,_reward_[#Headers],0)),"-")</f>
        <v>Серебро#по Турниру Брокера</v>
      </c>
      <c r="X495" s="1" t="str">
        <f>IFERROR(INDEX(_group_[],MATCH(CONCATENATE(ВСЕ_КОДЫ[[#This Row],[CONTEST_CODE]],"_",X$2),#REF!,0),MATCH(X$1,_group_[#Headers],0)),"-")</f>
        <v>-</v>
      </c>
      <c r="Y495" s="1" t="str">
        <f>IFERROR(INDEX(_group_[],MATCH(CONCATENATE(ВСЕ_КОДЫ[[#This Row],[CONTEST_CODE]],"_",Y$2),#REF!,0),MATCH(Y$1,_group_[#Headers],0)),"-")</f>
        <v>-</v>
      </c>
      <c r="Z495" s="1" t="str">
        <f>IFERROR(INDEX(_group_[],MATCH(CONCATENATE(ВСЕ_КОДЫ[[#This Row],[CONTEST_CODE]],"_",Z$2),#REF!,0),MATCH(Z$1,_group_[#Headers],0)),"-")</f>
        <v>-</v>
      </c>
      <c r="AA495" s="1" t="str">
        <f>IFERROR(INDEX(_group_[],MATCH(CONCATENATE(ВСЕ_КОДЫ[[#This Row],[CONTEST_CODE]],"_",AA$2),#REF!,0),MATCH(AA$1,_group_[#Headers],0)),"-")</f>
        <v>-</v>
      </c>
      <c r="AB495" s="1" t="str">
        <f>IFERROR(INDEX(_DATA_[],MATCH(ВСЕ_КОДЫ[[#This Row],[CONTEST_CODE]],_DATA_[CONTEST_CODE],0),MATCH($AB$2,_DATA_[#Headers],0)),"-")</f>
        <v>["""KMSB1"""]</v>
      </c>
      <c r="AC495" t="str">
        <f>CONCATENATE(ВСЕ_КОДЫ[[#This Row],[CONTEST_CODE]],"_",ВСЕ_КОДЫ[[#This Row],[TOURNAMENT_CODE]])</f>
        <v>05_2025-0_18-3_1_t_05_2025-0_18-3_1_4001</v>
      </c>
      <c r="AD495" t="str">
        <f>ВСЕ_КОДЫ[[#This Row],[FULL_NAME]]</f>
        <v>Ралли брокера</v>
      </c>
    </row>
    <row r="496" spans="1:30" hidden="1" x14ac:dyDescent="0.25">
      <c r="A496" s="1" t="s">
        <v>2251</v>
      </c>
      <c r="B496" s="1" t="s">
        <v>3555</v>
      </c>
      <c r="C496" s="1" t="s">
        <v>2435</v>
      </c>
      <c r="D496" s="1" t="s">
        <v>586</v>
      </c>
      <c r="E496" s="1" t="s">
        <v>2635</v>
      </c>
      <c r="F496" s="1" t="s">
        <v>2508</v>
      </c>
      <c r="G496" s="1" t="s">
        <v>27</v>
      </c>
      <c r="H496" s="1" t="s">
        <v>34</v>
      </c>
      <c r="I496" s="1" t="s">
        <v>50</v>
      </c>
      <c r="J496" s="1" t="s">
        <v>3219</v>
      </c>
      <c r="K496" s="1" t="s">
        <v>2542</v>
      </c>
      <c r="L496" s="1" t="s">
        <v>3545</v>
      </c>
      <c r="M496" s="1" t="s">
        <v>34</v>
      </c>
      <c r="N496" s="1" t="s">
        <v>305</v>
      </c>
      <c r="O496" s="1" t="s">
        <v>2768</v>
      </c>
      <c r="P496" s="1"/>
      <c r="Q496" s="1">
        <f>IFERROR(COUNTIFS(_report[TOURNAMENT_CODE],ВСЕ_КОДЫ[[#This Row],[TOURNAMENT_CODE]],_report[CONTEST_CODE],ВСЕ_КОДЫ[[#This Row],[CONTEST_CODE]]),"-")</f>
        <v>0</v>
      </c>
      <c r="R496" s="1" t="str">
        <f>IFERROR(INDEX(_SCHEDULE_[],MATCH(ВСЕ_КОДЫ[[#This Row],[CONTEST_CODE]],_SCHEDULE_[CONTEST_CODE],0),MATCH($R$1,_SCHEDULE_[#Headers],0)),"-")</f>
        <v>АКТИВНЫЙ</v>
      </c>
      <c r="S496" s="1" t="str">
        <f>IFERROR(INDEX(_group_[],MATCH(ВСЕ_КОДЫ[[#This Row],[CONTEST_CODE]],_group_[CONTEST_CODE],0),MATCH($S$1,_group_[#Headers],0)),"-")</f>
        <v>TB</v>
      </c>
      <c r="T496" s="1" t="str">
        <f>IFERROR(INDEX(_INDICATOR_[],MATCH(ВСЕ_КОДЫ[[#This Row],[CONTEST_CODE]],_INDICATOR_[CONTEST_CODE],0),MATCH($T$1,_INDICATOR_[#Headers],0)),"-")</f>
        <v>WAIT</v>
      </c>
      <c r="U496" s="1" t="str">
        <f>IFERROR(INDEX(_reward_link_[],MATCH(ВСЕ_КОДЫ[[#This Row],[CONTEST_CODE]],_reward_link_[CONTEST_CODE],0),MATCH($U$1,_reward_link_[#Headers],0)),"-")</f>
        <v>TB</v>
      </c>
      <c r="V496" s="1" t="str">
        <f>IFERROR(INDEX(_report[],MATCH(ВСЕ_КОДЫ[[#This Row],[CONTEST_CODE]],_report[CONTEST_CODE],0),MATCH($V$1,_report[#Headers],0)),"-")</f>
        <v>-</v>
      </c>
      <c r="W496" s="1" t="str">
        <f>IFERROR(INDEX(_reward_[],MATCH(ВСЕ_КОДЫ[[#This Row],[REWARD_CODE]],_reward_[REWARD_CODE],0),MATCH($W$1,_reward_[#Headers],0)),"-")</f>
        <v>Бронза#по Турниру Брокера</v>
      </c>
      <c r="X496" s="1" t="str">
        <f>IFERROR(INDEX(_group_[],MATCH(CONCATENATE(ВСЕ_КОДЫ[[#This Row],[CONTEST_CODE]],"_",X$2),#REF!,0),MATCH(X$1,_group_[#Headers],0)),"-")</f>
        <v>-</v>
      </c>
      <c r="Y496" s="1" t="str">
        <f>IFERROR(INDEX(_group_[],MATCH(CONCATENATE(ВСЕ_КОДЫ[[#This Row],[CONTEST_CODE]],"_",Y$2),#REF!,0),MATCH(Y$1,_group_[#Headers],0)),"-")</f>
        <v>-</v>
      </c>
      <c r="Z496" s="1" t="str">
        <f>IFERROR(INDEX(_group_[],MATCH(CONCATENATE(ВСЕ_КОДЫ[[#This Row],[CONTEST_CODE]],"_",Z$2),#REF!,0),MATCH(Z$1,_group_[#Headers],0)),"-")</f>
        <v>-</v>
      </c>
      <c r="AA496" s="1" t="str">
        <f>IFERROR(INDEX(_group_[],MATCH(CONCATENATE(ВСЕ_КОДЫ[[#This Row],[CONTEST_CODE]],"_",AA$2),#REF!,0),MATCH(AA$1,_group_[#Headers],0)),"-")</f>
        <v>-</v>
      </c>
      <c r="AB496" s="1" t="str">
        <f>IFERROR(INDEX(_DATA_[],MATCH(ВСЕ_КОДЫ[[#This Row],[CONTEST_CODE]],_DATA_[CONTEST_CODE],0),MATCH($AB$2,_DATA_[#Headers],0)),"-")</f>
        <v>["""KMSB1"""]</v>
      </c>
      <c r="AC496" t="str">
        <f>CONCATENATE(ВСЕ_КОДЫ[[#This Row],[CONTEST_CODE]],"_",ВСЕ_КОДЫ[[#This Row],[TOURNAMENT_CODE]])</f>
        <v>05_2025-0_18-3_1_t_05_2025-0_18-3_1_4001</v>
      </c>
      <c r="AD496" t="str">
        <f>ВСЕ_КОДЫ[[#This Row],[FULL_NAME]]</f>
        <v>Ралли брокера</v>
      </c>
    </row>
    <row r="497" spans="1:30" hidden="1" x14ac:dyDescent="0.25">
      <c r="A497" s="1" t="s">
        <v>2253</v>
      </c>
      <c r="B497" s="1" t="s">
        <v>3557</v>
      </c>
      <c r="C497" s="1" t="s">
        <v>2437</v>
      </c>
      <c r="D497" s="1" t="s">
        <v>586</v>
      </c>
      <c r="E497" s="1" t="s">
        <v>2638</v>
      </c>
      <c r="F497" s="1" t="s">
        <v>2508</v>
      </c>
      <c r="G497" s="1" t="s">
        <v>27</v>
      </c>
      <c r="H497" s="1" t="s">
        <v>34</v>
      </c>
      <c r="I497" s="1" t="s">
        <v>50</v>
      </c>
      <c r="J497" s="1" t="s">
        <v>3219</v>
      </c>
      <c r="K497" s="1" t="s">
        <v>2542</v>
      </c>
      <c r="L497" s="1" t="s">
        <v>3545</v>
      </c>
      <c r="M497" s="1" t="s">
        <v>34</v>
      </c>
      <c r="N497" s="1" t="s">
        <v>305</v>
      </c>
      <c r="O497" s="1" t="s">
        <v>2769</v>
      </c>
      <c r="P497" s="1"/>
      <c r="Q497" s="1">
        <f>IFERROR(COUNTIFS(_report[TOURNAMENT_CODE],ВСЕ_КОДЫ[[#This Row],[TOURNAMENT_CODE]],_report[CONTEST_CODE],ВСЕ_КОДЫ[[#This Row],[CONTEST_CODE]]),"-")</f>
        <v>0</v>
      </c>
      <c r="R497" s="1" t="str">
        <f>IFERROR(INDEX(_SCHEDULE_[],MATCH(ВСЕ_КОДЫ[[#This Row],[CONTEST_CODE]],_SCHEDULE_[CONTEST_CODE],0),MATCH($R$1,_SCHEDULE_[#Headers],0)),"-")</f>
        <v>АКТИВНЫЙ</v>
      </c>
      <c r="S497" s="1" t="str">
        <f>IFERROR(INDEX(_group_[],MATCH(ВСЕ_КОДЫ[[#This Row],[CONTEST_CODE]],_group_[CONTEST_CODE],0),MATCH($S$1,_group_[#Headers],0)),"-")</f>
        <v>TB</v>
      </c>
      <c r="T497" s="1" t="str">
        <f>IFERROR(INDEX(_INDICATOR_[],MATCH(ВСЕ_КОДЫ[[#This Row],[CONTEST_CODE]],_INDICATOR_[CONTEST_CODE],0),MATCH($T$1,_INDICATOR_[#Headers],0)),"-")</f>
        <v>WAIT</v>
      </c>
      <c r="U497" s="1" t="str">
        <f>IFERROR(INDEX(_reward_link_[],MATCH(ВСЕ_КОДЫ[[#This Row],[CONTEST_CODE]],_reward_link_[CONTEST_CODE],0),MATCH($U$1,_reward_link_[#Headers],0)),"-")</f>
        <v>TB</v>
      </c>
      <c r="V497" s="1" t="str">
        <f>IFERROR(INDEX(_report[],MATCH(ВСЕ_КОДЫ[[#This Row],[CONTEST_CODE]],_report[CONTEST_CODE],0),MATCH($V$1,_report[#Headers],0)),"-")</f>
        <v>-</v>
      </c>
      <c r="W497" s="1" t="str">
        <f>IFERROR(INDEX(_reward_[],MATCH(ВСЕ_КОДЫ[[#This Row],[REWARD_CODE]],_reward_[REWARD_CODE],0),MATCH($W$1,_reward_[#Headers],0)),"-")</f>
        <v>Золото#по Турниру СБСЖ</v>
      </c>
      <c r="X497" s="1" t="str">
        <f>IFERROR(INDEX(_group_[],MATCH(CONCATENATE(ВСЕ_КОДЫ[[#This Row],[CONTEST_CODE]],"_",X$2),#REF!,0),MATCH(X$1,_group_[#Headers],0)),"-")</f>
        <v>-</v>
      </c>
      <c r="Y497" s="1" t="str">
        <f>IFERROR(INDEX(_group_[],MATCH(CONCATENATE(ВСЕ_КОДЫ[[#This Row],[CONTEST_CODE]],"_",Y$2),#REF!,0),MATCH(Y$1,_group_[#Headers],0)),"-")</f>
        <v>-</v>
      </c>
      <c r="Z497" s="1" t="str">
        <f>IFERROR(INDEX(_group_[],MATCH(CONCATENATE(ВСЕ_КОДЫ[[#This Row],[CONTEST_CODE]],"_",Z$2),#REF!,0),MATCH(Z$1,_group_[#Headers],0)),"-")</f>
        <v>-</v>
      </c>
      <c r="AA497" s="1" t="str">
        <f>IFERROR(INDEX(_group_[],MATCH(CONCATENATE(ВСЕ_КОДЫ[[#This Row],[CONTEST_CODE]],"_",AA$2),#REF!,0),MATCH(AA$1,_group_[#Headers],0)),"-")</f>
        <v>-</v>
      </c>
      <c r="AB497" s="1" t="str">
        <f>IFERROR(INDEX(_DATA_[],MATCH(ВСЕ_КОДЫ[[#This Row],[CONTEST_CODE]],_DATA_[CONTEST_CODE],0),MATCH($AB$2,_DATA_[#Headers],0)),"-")</f>
        <v>["""KMSB1"""]</v>
      </c>
      <c r="AC497" t="str">
        <f>CONCATENATE(ВСЕ_КОДЫ[[#This Row],[CONTEST_CODE]],"_",ВСЕ_КОДЫ[[#This Row],[TOURNAMENT_CODE]])</f>
        <v>05_2025-0_18-4_1_t_05_2025-0_18-4_1_4001</v>
      </c>
      <c r="AD497" t="str">
        <f>ВСЕ_КОДЫ[[#This Row],[FULL_NAME]]</f>
        <v>Страховой олимп</v>
      </c>
    </row>
    <row r="498" spans="1:30" hidden="1" x14ac:dyDescent="0.25">
      <c r="A498" s="1" t="s">
        <v>2253</v>
      </c>
      <c r="B498" s="1" t="s">
        <v>3557</v>
      </c>
      <c r="C498" s="1" t="s">
        <v>2438</v>
      </c>
      <c r="D498" s="1" t="s">
        <v>586</v>
      </c>
      <c r="E498" s="1" t="s">
        <v>2638</v>
      </c>
      <c r="F498" s="1" t="s">
        <v>2508</v>
      </c>
      <c r="G498" s="1" t="s">
        <v>27</v>
      </c>
      <c r="H498" s="1" t="s">
        <v>34</v>
      </c>
      <c r="I498" s="1" t="s">
        <v>50</v>
      </c>
      <c r="J498" s="1" t="s">
        <v>3219</v>
      </c>
      <c r="K498" s="1" t="s">
        <v>2542</v>
      </c>
      <c r="L498" s="1" t="s">
        <v>3545</v>
      </c>
      <c r="M498" s="1" t="s">
        <v>34</v>
      </c>
      <c r="N498" s="1" t="s">
        <v>305</v>
      </c>
      <c r="O498" s="1" t="s">
        <v>2770</v>
      </c>
      <c r="P498" s="1"/>
      <c r="Q498" s="1">
        <f>IFERROR(COUNTIFS(_report[TOURNAMENT_CODE],ВСЕ_КОДЫ[[#This Row],[TOURNAMENT_CODE]],_report[CONTEST_CODE],ВСЕ_КОДЫ[[#This Row],[CONTEST_CODE]]),"-")</f>
        <v>0</v>
      </c>
      <c r="R498" s="1" t="str">
        <f>IFERROR(INDEX(_SCHEDULE_[],MATCH(ВСЕ_КОДЫ[[#This Row],[CONTEST_CODE]],_SCHEDULE_[CONTEST_CODE],0),MATCH($R$1,_SCHEDULE_[#Headers],0)),"-")</f>
        <v>АКТИВНЫЙ</v>
      </c>
      <c r="S498" s="1" t="str">
        <f>IFERROR(INDEX(_group_[],MATCH(ВСЕ_КОДЫ[[#This Row],[CONTEST_CODE]],_group_[CONTEST_CODE],0),MATCH($S$1,_group_[#Headers],0)),"-")</f>
        <v>TB</v>
      </c>
      <c r="T498" s="1" t="str">
        <f>IFERROR(INDEX(_INDICATOR_[],MATCH(ВСЕ_КОДЫ[[#This Row],[CONTEST_CODE]],_INDICATOR_[CONTEST_CODE],0),MATCH($T$1,_INDICATOR_[#Headers],0)),"-")</f>
        <v>WAIT</v>
      </c>
      <c r="U498" s="1" t="str">
        <f>IFERROR(INDEX(_reward_link_[],MATCH(ВСЕ_КОДЫ[[#This Row],[CONTEST_CODE]],_reward_link_[CONTEST_CODE],0),MATCH($U$1,_reward_link_[#Headers],0)),"-")</f>
        <v>TB</v>
      </c>
      <c r="V498" s="1" t="str">
        <f>IFERROR(INDEX(_report[],MATCH(ВСЕ_КОДЫ[[#This Row],[CONTEST_CODE]],_report[CONTEST_CODE],0),MATCH($V$1,_report[#Headers],0)),"-")</f>
        <v>-</v>
      </c>
      <c r="W498" s="1" t="str">
        <f>IFERROR(INDEX(_reward_[],MATCH(ВСЕ_КОДЫ[[#This Row],[REWARD_CODE]],_reward_[REWARD_CODE],0),MATCH($W$1,_reward_[#Headers],0)),"-")</f>
        <v>Серебро#по Турниру СБСЖ</v>
      </c>
      <c r="X498" s="1" t="str">
        <f>IFERROR(INDEX(_group_[],MATCH(CONCATENATE(ВСЕ_КОДЫ[[#This Row],[CONTEST_CODE]],"_",X$2),#REF!,0),MATCH(X$1,_group_[#Headers],0)),"-")</f>
        <v>-</v>
      </c>
      <c r="Y498" s="1" t="str">
        <f>IFERROR(INDEX(_group_[],MATCH(CONCATENATE(ВСЕ_КОДЫ[[#This Row],[CONTEST_CODE]],"_",Y$2),#REF!,0),MATCH(Y$1,_group_[#Headers],0)),"-")</f>
        <v>-</v>
      </c>
      <c r="Z498" s="1" t="str">
        <f>IFERROR(INDEX(_group_[],MATCH(CONCATENATE(ВСЕ_КОДЫ[[#This Row],[CONTEST_CODE]],"_",Z$2),#REF!,0),MATCH(Z$1,_group_[#Headers],0)),"-")</f>
        <v>-</v>
      </c>
      <c r="AA498" s="1" t="str">
        <f>IFERROR(INDEX(_group_[],MATCH(CONCATENATE(ВСЕ_КОДЫ[[#This Row],[CONTEST_CODE]],"_",AA$2),#REF!,0),MATCH(AA$1,_group_[#Headers],0)),"-")</f>
        <v>-</v>
      </c>
      <c r="AB498" s="1" t="str">
        <f>IFERROR(INDEX(_DATA_[],MATCH(ВСЕ_КОДЫ[[#This Row],[CONTEST_CODE]],_DATA_[CONTEST_CODE],0),MATCH($AB$2,_DATA_[#Headers],0)),"-")</f>
        <v>["""KMSB1"""]</v>
      </c>
      <c r="AC498" t="str">
        <f>CONCATENATE(ВСЕ_КОДЫ[[#This Row],[CONTEST_CODE]],"_",ВСЕ_КОДЫ[[#This Row],[TOURNAMENT_CODE]])</f>
        <v>05_2025-0_18-4_1_t_05_2025-0_18-4_1_4001</v>
      </c>
      <c r="AD498" t="str">
        <f>ВСЕ_КОДЫ[[#This Row],[FULL_NAME]]</f>
        <v>Страховой олимп</v>
      </c>
    </row>
    <row r="499" spans="1:30" hidden="1" x14ac:dyDescent="0.25">
      <c r="A499" s="1" t="s">
        <v>2254</v>
      </c>
      <c r="B499" s="1" t="s">
        <v>3559</v>
      </c>
      <c r="C499" s="1" t="s">
        <v>2440</v>
      </c>
      <c r="D499" s="1" t="s">
        <v>583</v>
      </c>
      <c r="E499" s="1" t="s">
        <v>2629</v>
      </c>
      <c r="F499" s="1" t="s">
        <v>2508</v>
      </c>
      <c r="G499" s="1" t="s">
        <v>27</v>
      </c>
      <c r="H499" s="1" t="s">
        <v>34</v>
      </c>
      <c r="I499" s="1" t="s">
        <v>50</v>
      </c>
      <c r="J499" s="1" t="s">
        <v>3219</v>
      </c>
      <c r="K499" s="1" t="s">
        <v>2542</v>
      </c>
      <c r="L499" s="1" t="s">
        <v>3545</v>
      </c>
      <c r="M499" s="1" t="s">
        <v>34</v>
      </c>
      <c r="N499" s="1" t="s">
        <v>305</v>
      </c>
      <c r="O499" s="1" t="s">
        <v>2759</v>
      </c>
      <c r="P499" s="1"/>
      <c r="Q499" s="1">
        <f>IFERROR(COUNTIFS(_report[TOURNAMENT_CODE],ВСЕ_КОДЫ[[#This Row],[TOURNAMENT_CODE]],_report[CONTEST_CODE],ВСЕ_КОДЫ[[#This Row],[CONTEST_CODE]]),"-")</f>
        <v>0</v>
      </c>
      <c r="R499" s="1" t="str">
        <f>IFERROR(INDEX(_SCHEDULE_[],MATCH(ВСЕ_КОДЫ[[#This Row],[CONTEST_CODE]],_SCHEDULE_[CONTEST_CODE],0),MATCH($R$1,_SCHEDULE_[#Headers],0)),"-")</f>
        <v>АКТИВНЫЙ</v>
      </c>
      <c r="S499" s="1" t="str">
        <f>IFERROR(INDEX(_group_[],MATCH(ВСЕ_КОДЫ[[#This Row],[CONTEST_CODE]],_group_[CONTEST_CODE],0),MATCH($S$1,_group_[#Headers],0)),"-")</f>
        <v>BANK</v>
      </c>
      <c r="T499" s="1" t="str">
        <f>IFERROR(INDEX(_INDICATOR_[],MATCH(ВСЕ_КОДЫ[[#This Row],[CONTEST_CODE]],_INDICATOR_[CONTEST_CODE],0),MATCH($T$1,_INDICATOR_[#Headers],0)),"-")</f>
        <v>WAIT</v>
      </c>
      <c r="U499" s="1" t="str">
        <f>IFERROR(INDEX(_reward_link_[],MATCH(ВСЕ_КОДЫ[[#This Row],[CONTEST_CODE]],_reward_link_[CONTEST_CODE],0),MATCH($U$1,_reward_link_[#Headers],0)),"-")</f>
        <v>BANK</v>
      </c>
      <c r="V499" s="1" t="str">
        <f>IFERROR(INDEX(_report[],MATCH(ВСЕ_КОДЫ[[#This Row],[CONTEST_CODE]],_report[CONTEST_CODE],0),MATCH($V$1,_report[#Headers],0)),"-")</f>
        <v>-</v>
      </c>
      <c r="W499" s="1" t="str">
        <f>IFERROR(INDEX(_reward_[],MATCH(ВСЕ_КОДЫ[[#This Row],[REWARD_CODE]],_reward_[REWARD_CODE],0),MATCH($W$1,_reward_[#Headers],0)),"-")</f>
        <v>Золото#по Турниру УКП</v>
      </c>
      <c r="X499" s="1" t="str">
        <f>IFERROR(INDEX(_group_[],MATCH(CONCATENATE(ВСЕ_КОДЫ[[#This Row],[CONTEST_CODE]],"_",X$2),#REF!,0),MATCH(X$1,_group_[#Headers],0)),"-")</f>
        <v>-</v>
      </c>
      <c r="Y499" s="1" t="str">
        <f>IFERROR(INDEX(_group_[],MATCH(CONCATENATE(ВСЕ_КОДЫ[[#This Row],[CONTEST_CODE]],"_",Y$2),#REF!,0),MATCH(Y$1,_group_[#Headers],0)),"-")</f>
        <v>-</v>
      </c>
      <c r="Z499" s="1" t="str">
        <f>IFERROR(INDEX(_group_[],MATCH(CONCATENATE(ВСЕ_КОДЫ[[#This Row],[CONTEST_CODE]],"_",Z$2),#REF!,0),MATCH(Z$1,_group_[#Headers],0)),"-")</f>
        <v>-</v>
      </c>
      <c r="AA499" s="1" t="str">
        <f>IFERROR(INDEX(_group_[],MATCH(CONCATENATE(ВСЕ_КОДЫ[[#This Row],[CONTEST_CODE]],"_",AA$2),#REF!,0),MATCH(AA$1,_group_[#Headers],0)),"-")</f>
        <v>-</v>
      </c>
      <c r="AB499" s="1" t="str">
        <f>IFERROR(INDEX(_DATA_[],MATCH(ВСЕ_КОДЫ[[#This Row],[CONTEST_CODE]],_DATA_[CONTEST_CODE],0),MATCH($AB$2,_DATA_[#Headers],0)),"-")</f>
        <v>["""IMUB"""]</v>
      </c>
      <c r="AC499" t="str">
        <f>CONCATENATE(ВСЕ_КОДЫ[[#This Row],[CONTEST_CODE]],"_",ВСЕ_КОДЫ[[#This Row],[TOURNAMENT_CODE]])</f>
        <v>06_2025-0_18-1_1_t_06_2025-0_18-1_1_4001</v>
      </c>
      <c r="AD499" t="str">
        <f>ВСЕ_КОДЫ[[#This Row],[FULL_NAME]]</f>
        <v>Марафон УК Первая</v>
      </c>
    </row>
    <row r="500" spans="1:30" hidden="1" x14ac:dyDescent="0.25">
      <c r="A500" s="1" t="s">
        <v>2254</v>
      </c>
      <c r="B500" s="1" t="s">
        <v>3559</v>
      </c>
      <c r="C500" s="1" t="s">
        <v>2442</v>
      </c>
      <c r="D500" s="1" t="s">
        <v>583</v>
      </c>
      <c r="E500" s="1" t="s">
        <v>2629</v>
      </c>
      <c r="F500" s="1" t="s">
        <v>2508</v>
      </c>
      <c r="G500" s="1" t="s">
        <v>27</v>
      </c>
      <c r="H500" s="1" t="s">
        <v>34</v>
      </c>
      <c r="I500" s="1" t="s">
        <v>50</v>
      </c>
      <c r="J500" s="1" t="s">
        <v>3219</v>
      </c>
      <c r="K500" s="1" t="s">
        <v>2542</v>
      </c>
      <c r="L500" s="1" t="s">
        <v>3545</v>
      </c>
      <c r="M500" s="1" t="s">
        <v>34</v>
      </c>
      <c r="N500" s="1" t="s">
        <v>305</v>
      </c>
      <c r="O500" s="1" t="s">
        <v>2761</v>
      </c>
      <c r="P500" s="1"/>
      <c r="Q500" s="1">
        <f>IFERROR(COUNTIFS(_report[TOURNAMENT_CODE],ВСЕ_КОДЫ[[#This Row],[TOURNAMENT_CODE]],_report[CONTEST_CODE],ВСЕ_КОДЫ[[#This Row],[CONTEST_CODE]]),"-")</f>
        <v>0</v>
      </c>
      <c r="R500" s="1" t="str">
        <f>IFERROR(INDEX(_SCHEDULE_[],MATCH(ВСЕ_КОДЫ[[#This Row],[CONTEST_CODE]],_SCHEDULE_[CONTEST_CODE],0),MATCH($R$1,_SCHEDULE_[#Headers],0)),"-")</f>
        <v>АКТИВНЫЙ</v>
      </c>
      <c r="S500" s="1" t="str">
        <f>IFERROR(INDEX(_group_[],MATCH(ВСЕ_КОДЫ[[#This Row],[CONTEST_CODE]],_group_[CONTEST_CODE],0),MATCH($S$1,_group_[#Headers],0)),"-")</f>
        <v>BANK</v>
      </c>
      <c r="T500" s="1" t="str">
        <f>IFERROR(INDEX(_INDICATOR_[],MATCH(ВСЕ_КОДЫ[[#This Row],[CONTEST_CODE]],_INDICATOR_[CONTEST_CODE],0),MATCH($T$1,_INDICATOR_[#Headers],0)),"-")</f>
        <v>WAIT</v>
      </c>
      <c r="U500" s="1" t="str">
        <f>IFERROR(INDEX(_reward_link_[],MATCH(ВСЕ_КОДЫ[[#This Row],[CONTEST_CODE]],_reward_link_[CONTEST_CODE],0),MATCH($U$1,_reward_link_[#Headers],0)),"-")</f>
        <v>BANK</v>
      </c>
      <c r="V500" s="1" t="str">
        <f>IFERROR(INDEX(_report[],MATCH(ВСЕ_КОДЫ[[#This Row],[CONTEST_CODE]],_report[CONTEST_CODE],0),MATCH($V$1,_report[#Headers],0)),"-")</f>
        <v>-</v>
      </c>
      <c r="W500" s="1" t="str">
        <f>IFERROR(INDEX(_reward_[],MATCH(ВСЕ_КОДЫ[[#This Row],[REWARD_CODE]],_reward_[REWARD_CODE],0),MATCH($W$1,_reward_[#Headers],0)),"-")</f>
        <v>Серебро#по Турниру УКП</v>
      </c>
      <c r="X500" s="1" t="str">
        <f>IFERROR(INDEX(_group_[],MATCH(CONCATENATE(ВСЕ_КОДЫ[[#This Row],[CONTEST_CODE]],"_",X$2),#REF!,0),MATCH(X$1,_group_[#Headers],0)),"-")</f>
        <v>-</v>
      </c>
      <c r="Y500" s="1" t="str">
        <f>IFERROR(INDEX(_group_[],MATCH(CONCATENATE(ВСЕ_КОДЫ[[#This Row],[CONTEST_CODE]],"_",Y$2),#REF!,0),MATCH(Y$1,_group_[#Headers],0)),"-")</f>
        <v>-</v>
      </c>
      <c r="Z500" s="1" t="str">
        <f>IFERROR(INDEX(_group_[],MATCH(CONCATENATE(ВСЕ_КОДЫ[[#This Row],[CONTEST_CODE]],"_",Z$2),#REF!,0),MATCH(Z$1,_group_[#Headers],0)),"-")</f>
        <v>-</v>
      </c>
      <c r="AA500" s="1" t="str">
        <f>IFERROR(INDEX(_group_[],MATCH(CONCATENATE(ВСЕ_КОДЫ[[#This Row],[CONTEST_CODE]],"_",AA$2),#REF!,0),MATCH(AA$1,_group_[#Headers],0)),"-")</f>
        <v>-</v>
      </c>
      <c r="AB500" s="1" t="str">
        <f>IFERROR(INDEX(_DATA_[],MATCH(ВСЕ_КОДЫ[[#This Row],[CONTEST_CODE]],_DATA_[CONTEST_CODE],0),MATCH($AB$2,_DATA_[#Headers],0)),"-")</f>
        <v>["""IMUB"""]</v>
      </c>
      <c r="AC500" t="str">
        <f>CONCATENATE(ВСЕ_КОДЫ[[#This Row],[CONTEST_CODE]],"_",ВСЕ_КОДЫ[[#This Row],[TOURNAMENT_CODE]])</f>
        <v>06_2025-0_18-1_1_t_06_2025-0_18-1_1_4001</v>
      </c>
      <c r="AD500" t="str">
        <f>ВСЕ_КОДЫ[[#This Row],[FULL_NAME]]</f>
        <v>Марафон УК Первая</v>
      </c>
    </row>
    <row r="501" spans="1:30" hidden="1" x14ac:dyDescent="0.25">
      <c r="A501" s="1" t="s">
        <v>2254</v>
      </c>
      <c r="B501" s="1" t="s">
        <v>3559</v>
      </c>
      <c r="C501" s="1" t="s">
        <v>2444</v>
      </c>
      <c r="D501" s="1" t="s">
        <v>583</v>
      </c>
      <c r="E501" s="1" t="s">
        <v>2629</v>
      </c>
      <c r="F501" s="1" t="s">
        <v>2508</v>
      </c>
      <c r="G501" s="1" t="s">
        <v>27</v>
      </c>
      <c r="H501" s="1" t="s">
        <v>34</v>
      </c>
      <c r="I501" s="1" t="s">
        <v>50</v>
      </c>
      <c r="J501" s="1" t="s">
        <v>3219</v>
      </c>
      <c r="K501" s="1" t="s">
        <v>2542</v>
      </c>
      <c r="L501" s="1" t="s">
        <v>3545</v>
      </c>
      <c r="M501" s="1" t="s">
        <v>34</v>
      </c>
      <c r="N501" s="1" t="s">
        <v>305</v>
      </c>
      <c r="O501" s="1" t="s">
        <v>2762</v>
      </c>
      <c r="P501" s="1"/>
      <c r="Q501" s="1">
        <f>IFERROR(COUNTIFS(_report[TOURNAMENT_CODE],ВСЕ_КОДЫ[[#This Row],[TOURNAMENT_CODE]],_report[CONTEST_CODE],ВСЕ_КОДЫ[[#This Row],[CONTEST_CODE]]),"-")</f>
        <v>0</v>
      </c>
      <c r="R501" s="1" t="str">
        <f>IFERROR(INDEX(_SCHEDULE_[],MATCH(ВСЕ_КОДЫ[[#This Row],[CONTEST_CODE]],_SCHEDULE_[CONTEST_CODE],0),MATCH($R$1,_SCHEDULE_[#Headers],0)),"-")</f>
        <v>АКТИВНЫЙ</v>
      </c>
      <c r="S501" s="1" t="str">
        <f>IFERROR(INDEX(_group_[],MATCH(ВСЕ_КОДЫ[[#This Row],[CONTEST_CODE]],_group_[CONTEST_CODE],0),MATCH($S$1,_group_[#Headers],0)),"-")</f>
        <v>BANK</v>
      </c>
      <c r="T501" s="1" t="str">
        <f>IFERROR(INDEX(_INDICATOR_[],MATCH(ВСЕ_КОДЫ[[#This Row],[CONTEST_CODE]],_INDICATOR_[CONTEST_CODE],0),MATCH($T$1,_INDICATOR_[#Headers],0)),"-")</f>
        <v>WAIT</v>
      </c>
      <c r="U501" s="1" t="str">
        <f>IFERROR(INDEX(_reward_link_[],MATCH(ВСЕ_КОДЫ[[#This Row],[CONTEST_CODE]],_reward_link_[CONTEST_CODE],0),MATCH($U$1,_reward_link_[#Headers],0)),"-")</f>
        <v>BANK</v>
      </c>
      <c r="V501" s="1" t="str">
        <f>IFERROR(INDEX(_report[],MATCH(ВСЕ_КОДЫ[[#This Row],[CONTEST_CODE]],_report[CONTEST_CODE],0),MATCH($V$1,_report[#Headers],0)),"-")</f>
        <v>-</v>
      </c>
      <c r="W501" s="1" t="str">
        <f>IFERROR(INDEX(_reward_[],MATCH(ВСЕ_КОДЫ[[#This Row],[REWARD_CODE]],_reward_[REWARD_CODE],0),MATCH($W$1,_reward_[#Headers],0)),"-")</f>
        <v>Бронза#по Турниру УКП</v>
      </c>
      <c r="X501" s="1" t="str">
        <f>IFERROR(INDEX(_group_[],MATCH(CONCATENATE(ВСЕ_КОДЫ[[#This Row],[CONTEST_CODE]],"_",X$2),#REF!,0),MATCH(X$1,_group_[#Headers],0)),"-")</f>
        <v>-</v>
      </c>
      <c r="Y501" s="1" t="str">
        <f>IFERROR(INDEX(_group_[],MATCH(CONCATENATE(ВСЕ_КОДЫ[[#This Row],[CONTEST_CODE]],"_",Y$2),#REF!,0),MATCH(Y$1,_group_[#Headers],0)),"-")</f>
        <v>-</v>
      </c>
      <c r="Z501" s="1" t="str">
        <f>IFERROR(INDEX(_group_[],MATCH(CONCATENATE(ВСЕ_КОДЫ[[#This Row],[CONTEST_CODE]],"_",Z$2),#REF!,0),MATCH(Z$1,_group_[#Headers],0)),"-")</f>
        <v>-</v>
      </c>
      <c r="AA501" s="1" t="str">
        <f>IFERROR(INDEX(_group_[],MATCH(CONCATENATE(ВСЕ_КОДЫ[[#This Row],[CONTEST_CODE]],"_",AA$2),#REF!,0),MATCH(AA$1,_group_[#Headers],0)),"-")</f>
        <v>-</v>
      </c>
      <c r="AB501" s="1" t="str">
        <f>IFERROR(INDEX(_DATA_[],MATCH(ВСЕ_КОДЫ[[#This Row],[CONTEST_CODE]],_DATA_[CONTEST_CODE],0),MATCH($AB$2,_DATA_[#Headers],0)),"-")</f>
        <v>["""IMUB"""]</v>
      </c>
      <c r="AC501" t="str">
        <f>CONCATENATE(ВСЕ_КОДЫ[[#This Row],[CONTEST_CODE]],"_",ВСЕ_КОДЫ[[#This Row],[TOURNAMENT_CODE]])</f>
        <v>06_2025-0_18-1_1_t_06_2025-0_18-1_1_4001</v>
      </c>
      <c r="AD501" t="str">
        <f>ВСЕ_КОДЫ[[#This Row],[FULL_NAME]]</f>
        <v>Марафон УК Первая</v>
      </c>
    </row>
    <row r="502" spans="1:30" hidden="1" x14ac:dyDescent="0.25">
      <c r="A502" s="1" t="s">
        <v>2256</v>
      </c>
      <c r="B502" s="1" t="s">
        <v>3561</v>
      </c>
      <c r="C502" s="1" t="s">
        <v>2446</v>
      </c>
      <c r="D502" s="1" t="s">
        <v>583</v>
      </c>
      <c r="E502" s="1" t="s">
        <v>2633</v>
      </c>
      <c r="F502" s="1" t="s">
        <v>2508</v>
      </c>
      <c r="G502" s="1" t="s">
        <v>27</v>
      </c>
      <c r="H502" s="1" t="s">
        <v>34</v>
      </c>
      <c r="I502" s="1" t="s">
        <v>50</v>
      </c>
      <c r="J502" s="1" t="s">
        <v>3219</v>
      </c>
      <c r="K502" s="1" t="s">
        <v>2542</v>
      </c>
      <c r="L502" s="1" t="s">
        <v>3545</v>
      </c>
      <c r="M502" s="1" t="s">
        <v>34</v>
      </c>
      <c r="N502" s="1" t="s">
        <v>305</v>
      </c>
      <c r="O502" s="1" t="s">
        <v>2763</v>
      </c>
      <c r="P502" s="1"/>
      <c r="Q502" s="1">
        <f>IFERROR(COUNTIFS(_report[TOURNAMENT_CODE],ВСЕ_КОДЫ[[#This Row],[TOURNAMENT_CODE]],_report[CONTEST_CODE],ВСЕ_КОДЫ[[#This Row],[CONTEST_CODE]]),"-")</f>
        <v>0</v>
      </c>
      <c r="R502" s="1" t="str">
        <f>IFERROR(INDEX(_SCHEDULE_[],MATCH(ВСЕ_КОДЫ[[#This Row],[CONTEST_CODE]],_SCHEDULE_[CONTEST_CODE],0),MATCH($R$1,_SCHEDULE_[#Headers],0)),"-")</f>
        <v>АКТИВНЫЙ</v>
      </c>
      <c r="S502" s="1" t="str">
        <f>IFERROR(INDEX(_group_[],MATCH(ВСЕ_КОДЫ[[#This Row],[CONTEST_CODE]],_group_[CONTEST_CODE],0),MATCH($S$1,_group_[#Headers],0)),"-")</f>
        <v>BANK</v>
      </c>
      <c r="T502" s="1" t="str">
        <f>IFERROR(INDEX(_INDICATOR_[],MATCH(ВСЕ_КОДЫ[[#This Row],[CONTEST_CODE]],_INDICATOR_[CONTEST_CODE],0),MATCH($T$1,_INDICATOR_[#Headers],0)),"-")</f>
        <v>WAIT</v>
      </c>
      <c r="U502" s="1" t="str">
        <f>IFERROR(INDEX(_reward_link_[],MATCH(ВСЕ_КОДЫ[[#This Row],[CONTEST_CODE]],_reward_link_[CONTEST_CODE],0),MATCH($U$1,_reward_link_[#Headers],0)),"-")</f>
        <v>BANK</v>
      </c>
      <c r="V502" s="1" t="str">
        <f>IFERROR(INDEX(_report[],MATCH(ВСЕ_КОДЫ[[#This Row],[CONTEST_CODE]],_report[CONTEST_CODE],0),MATCH($V$1,_report[#Headers],0)),"-")</f>
        <v>-</v>
      </c>
      <c r="W502" s="1" t="str">
        <f>IFERROR(INDEX(_reward_[],MATCH(ВСЕ_КОДЫ[[#This Row],[REWARD_CODE]],_reward_[REWARD_CODE],0),MATCH($W$1,_reward_[#Headers],0)),"-")</f>
        <v>Золото#по Турниру СФН</v>
      </c>
      <c r="X502" s="1" t="str">
        <f>IFERROR(INDEX(_group_[],MATCH(CONCATENATE(ВСЕ_КОДЫ[[#This Row],[CONTEST_CODE]],"_",X$2),#REF!,0),MATCH(X$1,_group_[#Headers],0)),"-")</f>
        <v>-</v>
      </c>
      <c r="Y502" s="1" t="str">
        <f>IFERROR(INDEX(_group_[],MATCH(CONCATENATE(ВСЕ_КОДЫ[[#This Row],[CONTEST_CODE]],"_",Y$2),#REF!,0),MATCH(Y$1,_group_[#Headers],0)),"-")</f>
        <v>-</v>
      </c>
      <c r="Z502" s="1" t="str">
        <f>IFERROR(INDEX(_group_[],MATCH(CONCATENATE(ВСЕ_КОДЫ[[#This Row],[CONTEST_CODE]],"_",Z$2),#REF!,0),MATCH(Z$1,_group_[#Headers],0)),"-")</f>
        <v>-</v>
      </c>
      <c r="AA502" s="1" t="str">
        <f>IFERROR(INDEX(_group_[],MATCH(CONCATENATE(ВСЕ_КОДЫ[[#This Row],[CONTEST_CODE]],"_",AA$2),#REF!,0),MATCH(AA$1,_group_[#Headers],0)),"-")</f>
        <v>-</v>
      </c>
      <c r="AB502" s="1" t="str">
        <f>IFERROR(INDEX(_DATA_[],MATCH(ВСЕ_КОДЫ[[#This Row],[CONTEST_CODE]],_DATA_[CONTEST_CODE],0),MATCH($AB$2,_DATA_[#Headers],0)),"-")</f>
        <v>["""IMUB"""]</v>
      </c>
      <c r="AC502" t="str">
        <f>CONCATENATE(ВСЕ_КОДЫ[[#This Row],[CONTEST_CODE]],"_",ВСЕ_КОДЫ[[#This Row],[TOURNAMENT_CODE]])</f>
        <v>06_2025-0_18-2_1_t_06_2025-0_18-2_1_4001</v>
      </c>
      <c r="AD502" t="str">
        <f>ВСЕ_КОДЫ[[#This Row],[FULL_NAME]]</f>
        <v>Турнир по квадратным метрам</v>
      </c>
    </row>
    <row r="503" spans="1:30" hidden="1" x14ac:dyDescent="0.25">
      <c r="A503" s="1" t="s">
        <v>2256</v>
      </c>
      <c r="B503" s="1" t="s">
        <v>3561</v>
      </c>
      <c r="C503" s="1" t="s">
        <v>2448</v>
      </c>
      <c r="D503" s="1" t="s">
        <v>583</v>
      </c>
      <c r="E503" s="1" t="s">
        <v>2633</v>
      </c>
      <c r="F503" s="1" t="s">
        <v>2508</v>
      </c>
      <c r="G503" s="1" t="s">
        <v>27</v>
      </c>
      <c r="H503" s="1" t="s">
        <v>34</v>
      </c>
      <c r="I503" s="1" t="s">
        <v>50</v>
      </c>
      <c r="J503" s="1" t="s">
        <v>3219</v>
      </c>
      <c r="K503" s="1" t="s">
        <v>2542</v>
      </c>
      <c r="L503" s="1" t="s">
        <v>3545</v>
      </c>
      <c r="M503" s="1" t="s">
        <v>34</v>
      </c>
      <c r="N503" s="1" t="s">
        <v>305</v>
      </c>
      <c r="O503" s="1" t="s">
        <v>2764</v>
      </c>
      <c r="P503" s="1"/>
      <c r="Q503" s="1">
        <f>IFERROR(COUNTIFS(_report[TOURNAMENT_CODE],ВСЕ_КОДЫ[[#This Row],[TOURNAMENT_CODE]],_report[CONTEST_CODE],ВСЕ_КОДЫ[[#This Row],[CONTEST_CODE]]),"-")</f>
        <v>0</v>
      </c>
      <c r="R503" s="1" t="str">
        <f>IFERROR(INDEX(_SCHEDULE_[],MATCH(ВСЕ_КОДЫ[[#This Row],[CONTEST_CODE]],_SCHEDULE_[CONTEST_CODE],0),MATCH($R$1,_SCHEDULE_[#Headers],0)),"-")</f>
        <v>АКТИВНЫЙ</v>
      </c>
      <c r="S503" s="1" t="str">
        <f>IFERROR(INDEX(_group_[],MATCH(ВСЕ_КОДЫ[[#This Row],[CONTEST_CODE]],_group_[CONTEST_CODE],0),MATCH($S$1,_group_[#Headers],0)),"-")</f>
        <v>BANK</v>
      </c>
      <c r="T503" s="1" t="str">
        <f>IFERROR(INDEX(_INDICATOR_[],MATCH(ВСЕ_КОДЫ[[#This Row],[CONTEST_CODE]],_INDICATOR_[CONTEST_CODE],0),MATCH($T$1,_INDICATOR_[#Headers],0)),"-")</f>
        <v>WAIT</v>
      </c>
      <c r="U503" s="1" t="str">
        <f>IFERROR(INDEX(_reward_link_[],MATCH(ВСЕ_КОДЫ[[#This Row],[CONTEST_CODE]],_reward_link_[CONTEST_CODE],0),MATCH($U$1,_reward_link_[#Headers],0)),"-")</f>
        <v>BANK</v>
      </c>
      <c r="V503" s="1" t="str">
        <f>IFERROR(INDEX(_report[],MATCH(ВСЕ_КОДЫ[[#This Row],[CONTEST_CODE]],_report[CONTEST_CODE],0),MATCH($V$1,_report[#Headers],0)),"-")</f>
        <v>-</v>
      </c>
      <c r="W503" s="1" t="str">
        <f>IFERROR(INDEX(_reward_[],MATCH(ВСЕ_КОДЫ[[#This Row],[REWARD_CODE]],_reward_[REWARD_CODE],0),MATCH($W$1,_reward_[#Headers],0)),"-")</f>
        <v>Серебро#по Турниру СФН</v>
      </c>
      <c r="X503" s="1" t="str">
        <f>IFERROR(INDEX(_group_[],MATCH(CONCATENATE(ВСЕ_КОДЫ[[#This Row],[CONTEST_CODE]],"_",X$2),#REF!,0),MATCH(X$1,_group_[#Headers],0)),"-")</f>
        <v>-</v>
      </c>
      <c r="Y503" s="1" t="str">
        <f>IFERROR(INDEX(_group_[],MATCH(CONCATENATE(ВСЕ_КОДЫ[[#This Row],[CONTEST_CODE]],"_",Y$2),#REF!,0),MATCH(Y$1,_group_[#Headers],0)),"-")</f>
        <v>-</v>
      </c>
      <c r="Z503" s="1" t="str">
        <f>IFERROR(INDEX(_group_[],MATCH(CONCATENATE(ВСЕ_КОДЫ[[#This Row],[CONTEST_CODE]],"_",Z$2),#REF!,0),MATCH(Z$1,_group_[#Headers],0)),"-")</f>
        <v>-</v>
      </c>
      <c r="AA503" s="1" t="str">
        <f>IFERROR(INDEX(_group_[],MATCH(CONCATENATE(ВСЕ_КОДЫ[[#This Row],[CONTEST_CODE]],"_",AA$2),#REF!,0),MATCH(AA$1,_group_[#Headers],0)),"-")</f>
        <v>-</v>
      </c>
      <c r="AB503" s="1" t="str">
        <f>IFERROR(INDEX(_DATA_[],MATCH(ВСЕ_КОДЫ[[#This Row],[CONTEST_CODE]],_DATA_[CONTEST_CODE],0),MATCH($AB$2,_DATA_[#Headers],0)),"-")</f>
        <v>["""IMUB"""]</v>
      </c>
      <c r="AC503" t="str">
        <f>CONCATENATE(ВСЕ_КОДЫ[[#This Row],[CONTEST_CODE]],"_",ВСЕ_КОДЫ[[#This Row],[TOURNAMENT_CODE]])</f>
        <v>06_2025-0_18-2_1_t_06_2025-0_18-2_1_4001</v>
      </c>
      <c r="AD503" t="str">
        <f>ВСЕ_КОДЫ[[#This Row],[FULL_NAME]]</f>
        <v>Турнир по квадратным метрам</v>
      </c>
    </row>
    <row r="504" spans="1:30" hidden="1" x14ac:dyDescent="0.25">
      <c r="A504" s="1" t="s">
        <v>2258</v>
      </c>
      <c r="B504" s="1" t="s">
        <v>3563</v>
      </c>
      <c r="C504" s="1" t="s">
        <v>2451</v>
      </c>
      <c r="D504" s="1" t="s">
        <v>583</v>
      </c>
      <c r="E504" s="1" t="s">
        <v>2635</v>
      </c>
      <c r="F504" s="1" t="s">
        <v>2508</v>
      </c>
      <c r="G504" s="1" t="s">
        <v>27</v>
      </c>
      <c r="H504" s="1" t="s">
        <v>34</v>
      </c>
      <c r="I504" s="1" t="s">
        <v>50</v>
      </c>
      <c r="J504" s="1" t="s">
        <v>3219</v>
      </c>
      <c r="K504" s="1" t="s">
        <v>2542</v>
      </c>
      <c r="L504" s="1" t="s">
        <v>3545</v>
      </c>
      <c r="M504" s="1" t="s">
        <v>34</v>
      </c>
      <c r="N504" s="1" t="s">
        <v>305</v>
      </c>
      <c r="O504" s="1" t="s">
        <v>2766</v>
      </c>
      <c r="P504" s="1"/>
      <c r="Q504" s="1">
        <f>IFERROR(COUNTIFS(_report[TOURNAMENT_CODE],ВСЕ_КОДЫ[[#This Row],[TOURNAMENT_CODE]],_report[CONTEST_CODE],ВСЕ_КОДЫ[[#This Row],[CONTEST_CODE]]),"-")</f>
        <v>0</v>
      </c>
      <c r="R504" s="1" t="str">
        <f>IFERROR(INDEX(_SCHEDULE_[],MATCH(ВСЕ_КОДЫ[[#This Row],[CONTEST_CODE]],_SCHEDULE_[CONTEST_CODE],0),MATCH($R$1,_SCHEDULE_[#Headers],0)),"-")</f>
        <v>АКТИВНЫЙ</v>
      </c>
      <c r="S504" s="1" t="str">
        <f>IFERROR(INDEX(_group_[],MATCH(ВСЕ_КОДЫ[[#This Row],[CONTEST_CODE]],_group_[CONTEST_CODE],0),MATCH($S$1,_group_[#Headers],0)),"-")</f>
        <v>BANK</v>
      </c>
      <c r="T504" s="1" t="str">
        <f>IFERROR(INDEX(_INDICATOR_[],MATCH(ВСЕ_КОДЫ[[#This Row],[CONTEST_CODE]],_INDICATOR_[CONTEST_CODE],0),MATCH($T$1,_INDICATOR_[#Headers],0)),"-")</f>
        <v>WAIT</v>
      </c>
      <c r="U504" s="1" t="str">
        <f>IFERROR(INDEX(_reward_link_[],MATCH(ВСЕ_КОДЫ[[#This Row],[CONTEST_CODE]],_reward_link_[CONTEST_CODE],0),MATCH($U$1,_reward_link_[#Headers],0)),"-")</f>
        <v>BANK</v>
      </c>
      <c r="V504" s="1" t="str">
        <f>IFERROR(INDEX(_report[],MATCH(ВСЕ_КОДЫ[[#This Row],[CONTEST_CODE]],_report[CONTEST_CODE],0),MATCH($V$1,_report[#Headers],0)),"-")</f>
        <v>-</v>
      </c>
      <c r="W504" s="1" t="str">
        <f>IFERROR(INDEX(_reward_[],MATCH(ВСЕ_КОДЫ[[#This Row],[REWARD_CODE]],_reward_[REWARD_CODE],0),MATCH($W$1,_reward_[#Headers],0)),"-")</f>
        <v>Золото#по Турниру Брокера</v>
      </c>
      <c r="X504" s="1" t="str">
        <f>IFERROR(INDEX(_group_[],MATCH(CONCATENATE(ВСЕ_КОДЫ[[#This Row],[CONTEST_CODE]],"_",X$2),#REF!,0),MATCH(X$1,_group_[#Headers],0)),"-")</f>
        <v>-</v>
      </c>
      <c r="Y504" s="1" t="str">
        <f>IFERROR(INDEX(_group_[],MATCH(CONCATENATE(ВСЕ_КОДЫ[[#This Row],[CONTEST_CODE]],"_",Y$2),#REF!,0),MATCH(Y$1,_group_[#Headers],0)),"-")</f>
        <v>-</v>
      </c>
      <c r="Z504" s="1" t="str">
        <f>IFERROR(INDEX(_group_[],MATCH(CONCATENATE(ВСЕ_КОДЫ[[#This Row],[CONTEST_CODE]],"_",Z$2),#REF!,0),MATCH(Z$1,_group_[#Headers],0)),"-")</f>
        <v>-</v>
      </c>
      <c r="AA504" s="1" t="str">
        <f>IFERROR(INDEX(_group_[],MATCH(CONCATENATE(ВСЕ_КОДЫ[[#This Row],[CONTEST_CODE]],"_",AA$2),#REF!,0),MATCH(AA$1,_group_[#Headers],0)),"-")</f>
        <v>-</v>
      </c>
      <c r="AB504" s="1" t="str">
        <f>IFERROR(INDEX(_DATA_[],MATCH(ВСЕ_КОДЫ[[#This Row],[CONTEST_CODE]],_DATA_[CONTEST_CODE],0),MATCH($AB$2,_DATA_[#Headers],0)),"-")</f>
        <v>["""IMUB"""]</v>
      </c>
      <c r="AC504" t="str">
        <f>CONCATENATE(ВСЕ_КОДЫ[[#This Row],[CONTEST_CODE]],"_",ВСЕ_КОДЫ[[#This Row],[TOURNAMENT_CODE]])</f>
        <v>06_2025-0_18-3_1_t_06_2025-0_18-3_1_4001</v>
      </c>
      <c r="AD504" t="str">
        <f>ВСЕ_КОДЫ[[#This Row],[FULL_NAME]]</f>
        <v>Ралли брокера</v>
      </c>
    </row>
    <row r="505" spans="1:30" hidden="1" x14ac:dyDescent="0.25">
      <c r="A505" s="1" t="s">
        <v>2258</v>
      </c>
      <c r="B505" s="1" t="s">
        <v>3563</v>
      </c>
      <c r="C505" s="1" t="s">
        <v>2453</v>
      </c>
      <c r="D505" s="1" t="s">
        <v>583</v>
      </c>
      <c r="E505" s="1" t="s">
        <v>2635</v>
      </c>
      <c r="F505" s="1" t="s">
        <v>2508</v>
      </c>
      <c r="G505" s="1" t="s">
        <v>27</v>
      </c>
      <c r="H505" s="1" t="s">
        <v>34</v>
      </c>
      <c r="I505" s="1" t="s">
        <v>50</v>
      </c>
      <c r="J505" s="1" t="s">
        <v>3219</v>
      </c>
      <c r="K505" s="1" t="s">
        <v>2542</v>
      </c>
      <c r="L505" s="1" t="s">
        <v>3545</v>
      </c>
      <c r="M505" s="1" t="s">
        <v>34</v>
      </c>
      <c r="N505" s="1" t="s">
        <v>305</v>
      </c>
      <c r="O505" s="1" t="s">
        <v>2767</v>
      </c>
      <c r="P505" s="1"/>
      <c r="Q505" s="1">
        <f>IFERROR(COUNTIFS(_report[TOURNAMENT_CODE],ВСЕ_КОДЫ[[#This Row],[TOURNAMENT_CODE]],_report[CONTEST_CODE],ВСЕ_КОДЫ[[#This Row],[CONTEST_CODE]]),"-")</f>
        <v>0</v>
      </c>
      <c r="R505" s="1" t="str">
        <f>IFERROR(INDEX(_SCHEDULE_[],MATCH(ВСЕ_КОДЫ[[#This Row],[CONTEST_CODE]],_SCHEDULE_[CONTEST_CODE],0),MATCH($R$1,_SCHEDULE_[#Headers],0)),"-")</f>
        <v>АКТИВНЫЙ</v>
      </c>
      <c r="S505" s="1" t="str">
        <f>IFERROR(INDEX(_group_[],MATCH(ВСЕ_КОДЫ[[#This Row],[CONTEST_CODE]],_group_[CONTEST_CODE],0),MATCH($S$1,_group_[#Headers],0)),"-")</f>
        <v>BANK</v>
      </c>
      <c r="T505" s="1" t="str">
        <f>IFERROR(INDEX(_INDICATOR_[],MATCH(ВСЕ_КОДЫ[[#This Row],[CONTEST_CODE]],_INDICATOR_[CONTEST_CODE],0),MATCH($T$1,_INDICATOR_[#Headers],0)),"-")</f>
        <v>WAIT</v>
      </c>
      <c r="U505" s="1" t="str">
        <f>IFERROR(INDEX(_reward_link_[],MATCH(ВСЕ_КОДЫ[[#This Row],[CONTEST_CODE]],_reward_link_[CONTEST_CODE],0),MATCH($U$1,_reward_link_[#Headers],0)),"-")</f>
        <v>BANK</v>
      </c>
      <c r="V505" s="1" t="str">
        <f>IFERROR(INDEX(_report[],MATCH(ВСЕ_КОДЫ[[#This Row],[CONTEST_CODE]],_report[CONTEST_CODE],0),MATCH($V$1,_report[#Headers],0)),"-")</f>
        <v>-</v>
      </c>
      <c r="W505" s="1" t="str">
        <f>IFERROR(INDEX(_reward_[],MATCH(ВСЕ_КОДЫ[[#This Row],[REWARD_CODE]],_reward_[REWARD_CODE],0),MATCH($W$1,_reward_[#Headers],0)),"-")</f>
        <v>Серебро#по Турниру Брокера</v>
      </c>
      <c r="X505" s="1" t="str">
        <f>IFERROR(INDEX(_group_[],MATCH(CONCATENATE(ВСЕ_КОДЫ[[#This Row],[CONTEST_CODE]],"_",X$2),#REF!,0),MATCH(X$1,_group_[#Headers],0)),"-")</f>
        <v>-</v>
      </c>
      <c r="Y505" s="1" t="str">
        <f>IFERROR(INDEX(_group_[],MATCH(CONCATENATE(ВСЕ_КОДЫ[[#This Row],[CONTEST_CODE]],"_",Y$2),#REF!,0),MATCH(Y$1,_group_[#Headers],0)),"-")</f>
        <v>-</v>
      </c>
      <c r="Z505" s="1" t="str">
        <f>IFERROR(INDEX(_group_[],MATCH(CONCATENATE(ВСЕ_КОДЫ[[#This Row],[CONTEST_CODE]],"_",Z$2),#REF!,0),MATCH(Z$1,_group_[#Headers],0)),"-")</f>
        <v>-</v>
      </c>
      <c r="AA505" s="1" t="str">
        <f>IFERROR(INDEX(_group_[],MATCH(CONCATENATE(ВСЕ_КОДЫ[[#This Row],[CONTEST_CODE]],"_",AA$2),#REF!,0),MATCH(AA$1,_group_[#Headers],0)),"-")</f>
        <v>-</v>
      </c>
      <c r="AB505" s="1" t="str">
        <f>IFERROR(INDEX(_DATA_[],MATCH(ВСЕ_КОДЫ[[#This Row],[CONTEST_CODE]],_DATA_[CONTEST_CODE],0),MATCH($AB$2,_DATA_[#Headers],0)),"-")</f>
        <v>["""IMUB"""]</v>
      </c>
      <c r="AC505" t="str">
        <f>CONCATENATE(ВСЕ_КОДЫ[[#This Row],[CONTEST_CODE]],"_",ВСЕ_КОДЫ[[#This Row],[TOURNAMENT_CODE]])</f>
        <v>06_2025-0_18-3_1_t_06_2025-0_18-3_1_4001</v>
      </c>
      <c r="AD505" t="str">
        <f>ВСЕ_КОДЫ[[#This Row],[FULL_NAME]]</f>
        <v>Ралли брокера</v>
      </c>
    </row>
    <row r="506" spans="1:30" hidden="1" x14ac:dyDescent="0.25">
      <c r="A506" s="1" t="s">
        <v>2258</v>
      </c>
      <c r="B506" s="1" t="s">
        <v>3563</v>
      </c>
      <c r="C506" s="1" t="s">
        <v>2455</v>
      </c>
      <c r="D506" s="1" t="s">
        <v>583</v>
      </c>
      <c r="E506" s="1" t="s">
        <v>2635</v>
      </c>
      <c r="F506" s="1" t="s">
        <v>2508</v>
      </c>
      <c r="G506" s="1" t="s">
        <v>27</v>
      </c>
      <c r="H506" s="1" t="s">
        <v>34</v>
      </c>
      <c r="I506" s="1" t="s">
        <v>50</v>
      </c>
      <c r="J506" s="1" t="s">
        <v>3219</v>
      </c>
      <c r="K506" s="1" t="s">
        <v>2542</v>
      </c>
      <c r="L506" s="1" t="s">
        <v>3545</v>
      </c>
      <c r="M506" s="1" t="s">
        <v>34</v>
      </c>
      <c r="N506" s="1" t="s">
        <v>305</v>
      </c>
      <c r="O506" s="1" t="s">
        <v>2768</v>
      </c>
      <c r="P506" s="1"/>
      <c r="Q506" s="1">
        <f>IFERROR(COUNTIFS(_report[TOURNAMENT_CODE],ВСЕ_КОДЫ[[#This Row],[TOURNAMENT_CODE]],_report[CONTEST_CODE],ВСЕ_КОДЫ[[#This Row],[CONTEST_CODE]]),"-")</f>
        <v>0</v>
      </c>
      <c r="R506" s="1" t="str">
        <f>IFERROR(INDEX(_SCHEDULE_[],MATCH(ВСЕ_КОДЫ[[#This Row],[CONTEST_CODE]],_SCHEDULE_[CONTEST_CODE],0),MATCH($R$1,_SCHEDULE_[#Headers],0)),"-")</f>
        <v>АКТИВНЫЙ</v>
      </c>
      <c r="S506" s="1" t="str">
        <f>IFERROR(INDEX(_group_[],MATCH(ВСЕ_КОДЫ[[#This Row],[CONTEST_CODE]],_group_[CONTEST_CODE],0),MATCH($S$1,_group_[#Headers],0)),"-")</f>
        <v>BANK</v>
      </c>
      <c r="T506" s="1" t="str">
        <f>IFERROR(INDEX(_INDICATOR_[],MATCH(ВСЕ_КОДЫ[[#This Row],[CONTEST_CODE]],_INDICATOR_[CONTEST_CODE],0),MATCH($T$1,_INDICATOR_[#Headers],0)),"-")</f>
        <v>WAIT</v>
      </c>
      <c r="U506" s="1" t="str">
        <f>IFERROR(INDEX(_reward_link_[],MATCH(ВСЕ_КОДЫ[[#This Row],[CONTEST_CODE]],_reward_link_[CONTEST_CODE],0),MATCH($U$1,_reward_link_[#Headers],0)),"-")</f>
        <v>BANK</v>
      </c>
      <c r="V506" s="1" t="str">
        <f>IFERROR(INDEX(_report[],MATCH(ВСЕ_КОДЫ[[#This Row],[CONTEST_CODE]],_report[CONTEST_CODE],0),MATCH($V$1,_report[#Headers],0)),"-")</f>
        <v>-</v>
      </c>
      <c r="W506" s="1" t="str">
        <f>IFERROR(INDEX(_reward_[],MATCH(ВСЕ_КОДЫ[[#This Row],[REWARD_CODE]],_reward_[REWARD_CODE],0),MATCH($W$1,_reward_[#Headers],0)),"-")</f>
        <v>Бронза#по Турниру Брокера</v>
      </c>
      <c r="X506" s="1" t="str">
        <f>IFERROR(INDEX(_group_[],MATCH(CONCATENATE(ВСЕ_КОДЫ[[#This Row],[CONTEST_CODE]],"_",X$2),#REF!,0),MATCH(X$1,_group_[#Headers],0)),"-")</f>
        <v>-</v>
      </c>
      <c r="Y506" s="1" t="str">
        <f>IFERROR(INDEX(_group_[],MATCH(CONCATENATE(ВСЕ_КОДЫ[[#This Row],[CONTEST_CODE]],"_",Y$2),#REF!,0),MATCH(Y$1,_group_[#Headers],0)),"-")</f>
        <v>-</v>
      </c>
      <c r="Z506" s="1" t="str">
        <f>IFERROR(INDEX(_group_[],MATCH(CONCATENATE(ВСЕ_КОДЫ[[#This Row],[CONTEST_CODE]],"_",Z$2),#REF!,0),MATCH(Z$1,_group_[#Headers],0)),"-")</f>
        <v>-</v>
      </c>
      <c r="AA506" s="1" t="str">
        <f>IFERROR(INDEX(_group_[],MATCH(CONCATENATE(ВСЕ_КОДЫ[[#This Row],[CONTEST_CODE]],"_",AA$2),#REF!,0),MATCH(AA$1,_group_[#Headers],0)),"-")</f>
        <v>-</v>
      </c>
      <c r="AB506" s="1" t="str">
        <f>IFERROR(INDEX(_DATA_[],MATCH(ВСЕ_КОДЫ[[#This Row],[CONTEST_CODE]],_DATA_[CONTEST_CODE],0),MATCH($AB$2,_DATA_[#Headers],0)),"-")</f>
        <v>["""IMUB"""]</v>
      </c>
      <c r="AC506" t="str">
        <f>CONCATENATE(ВСЕ_КОДЫ[[#This Row],[CONTEST_CODE]],"_",ВСЕ_КОДЫ[[#This Row],[TOURNAMENT_CODE]])</f>
        <v>06_2025-0_18-3_1_t_06_2025-0_18-3_1_4001</v>
      </c>
      <c r="AD506" t="str">
        <f>ВСЕ_КОДЫ[[#This Row],[FULL_NAME]]</f>
        <v>Ралли брокера</v>
      </c>
    </row>
    <row r="507" spans="1:30" hidden="1" x14ac:dyDescent="0.25">
      <c r="A507" s="1" t="s">
        <v>2260</v>
      </c>
      <c r="B507" s="1" t="s">
        <v>3565</v>
      </c>
      <c r="C507" s="1" t="s">
        <v>2457</v>
      </c>
      <c r="D507" s="1" t="s">
        <v>583</v>
      </c>
      <c r="E507" s="1" t="s">
        <v>2638</v>
      </c>
      <c r="F507" s="1" t="s">
        <v>2508</v>
      </c>
      <c r="G507" s="1" t="s">
        <v>27</v>
      </c>
      <c r="H507" s="1" t="s">
        <v>34</v>
      </c>
      <c r="I507" s="1" t="s">
        <v>50</v>
      </c>
      <c r="J507" s="1" t="s">
        <v>3219</v>
      </c>
      <c r="K507" s="1" t="s">
        <v>2542</v>
      </c>
      <c r="L507" s="1" t="s">
        <v>3545</v>
      </c>
      <c r="M507" s="1" t="s">
        <v>34</v>
      </c>
      <c r="N507" s="1" t="s">
        <v>305</v>
      </c>
      <c r="O507" s="1" t="s">
        <v>2769</v>
      </c>
      <c r="P507" s="1"/>
      <c r="Q507" s="1">
        <f>IFERROR(COUNTIFS(_report[TOURNAMENT_CODE],ВСЕ_КОДЫ[[#This Row],[TOURNAMENT_CODE]],_report[CONTEST_CODE],ВСЕ_КОДЫ[[#This Row],[CONTEST_CODE]]),"-")</f>
        <v>0</v>
      </c>
      <c r="R507" s="1" t="str">
        <f>IFERROR(INDEX(_SCHEDULE_[],MATCH(ВСЕ_КОДЫ[[#This Row],[CONTEST_CODE]],_SCHEDULE_[CONTEST_CODE],0),MATCH($R$1,_SCHEDULE_[#Headers],0)),"-")</f>
        <v>АКТИВНЫЙ</v>
      </c>
      <c r="S507" s="1" t="str">
        <f>IFERROR(INDEX(_group_[],MATCH(ВСЕ_КОДЫ[[#This Row],[CONTEST_CODE]],_group_[CONTEST_CODE],0),MATCH($S$1,_group_[#Headers],0)),"-")</f>
        <v>BANK</v>
      </c>
      <c r="T507" s="1" t="str">
        <f>IFERROR(INDEX(_INDICATOR_[],MATCH(ВСЕ_КОДЫ[[#This Row],[CONTEST_CODE]],_INDICATOR_[CONTEST_CODE],0),MATCH($T$1,_INDICATOR_[#Headers],0)),"-")</f>
        <v>WAIT</v>
      </c>
      <c r="U507" s="1" t="str">
        <f>IFERROR(INDEX(_reward_link_[],MATCH(ВСЕ_КОДЫ[[#This Row],[CONTEST_CODE]],_reward_link_[CONTEST_CODE],0),MATCH($U$1,_reward_link_[#Headers],0)),"-")</f>
        <v>BANK</v>
      </c>
      <c r="V507" s="1" t="str">
        <f>IFERROR(INDEX(_report[],MATCH(ВСЕ_КОДЫ[[#This Row],[CONTEST_CODE]],_report[CONTEST_CODE],0),MATCH($V$1,_report[#Headers],0)),"-")</f>
        <v>-</v>
      </c>
      <c r="W507" s="1" t="str">
        <f>IFERROR(INDEX(_reward_[],MATCH(ВСЕ_КОДЫ[[#This Row],[REWARD_CODE]],_reward_[REWARD_CODE],0),MATCH($W$1,_reward_[#Headers],0)),"-")</f>
        <v>Золото#по Турниру СБСЖ</v>
      </c>
      <c r="X507" s="1" t="str">
        <f>IFERROR(INDEX(_group_[],MATCH(CONCATENATE(ВСЕ_КОДЫ[[#This Row],[CONTEST_CODE]],"_",X$2),#REF!,0),MATCH(X$1,_group_[#Headers],0)),"-")</f>
        <v>-</v>
      </c>
      <c r="Y507" s="1" t="str">
        <f>IFERROR(INDEX(_group_[],MATCH(CONCATENATE(ВСЕ_КОДЫ[[#This Row],[CONTEST_CODE]],"_",Y$2),#REF!,0),MATCH(Y$1,_group_[#Headers],0)),"-")</f>
        <v>-</v>
      </c>
      <c r="Z507" s="1" t="str">
        <f>IFERROR(INDEX(_group_[],MATCH(CONCATENATE(ВСЕ_КОДЫ[[#This Row],[CONTEST_CODE]],"_",Z$2),#REF!,0),MATCH(Z$1,_group_[#Headers],0)),"-")</f>
        <v>-</v>
      </c>
      <c r="AA507" s="1" t="str">
        <f>IFERROR(INDEX(_group_[],MATCH(CONCATENATE(ВСЕ_КОДЫ[[#This Row],[CONTEST_CODE]],"_",AA$2),#REF!,0),MATCH(AA$1,_group_[#Headers],0)),"-")</f>
        <v>-</v>
      </c>
      <c r="AB507" s="1" t="str">
        <f>IFERROR(INDEX(_DATA_[],MATCH(ВСЕ_КОДЫ[[#This Row],[CONTEST_CODE]],_DATA_[CONTEST_CODE],0),MATCH($AB$2,_DATA_[#Headers],0)),"-")</f>
        <v>["""IMUB"""]</v>
      </c>
      <c r="AC507" t="str">
        <f>CONCATENATE(ВСЕ_КОДЫ[[#This Row],[CONTEST_CODE]],"_",ВСЕ_КОДЫ[[#This Row],[TOURNAMENT_CODE]])</f>
        <v>06_2025-0_18-4_1_t_06_2025-0_18-4_1_4001</v>
      </c>
      <c r="AD507" t="str">
        <f>ВСЕ_КОДЫ[[#This Row],[FULL_NAME]]</f>
        <v>Страховой олимп</v>
      </c>
    </row>
    <row r="508" spans="1:30" hidden="1" x14ac:dyDescent="0.25">
      <c r="A508" s="1" t="s">
        <v>2260</v>
      </c>
      <c r="B508" s="1" t="s">
        <v>3565</v>
      </c>
      <c r="C508" s="1" t="s">
        <v>2459</v>
      </c>
      <c r="D508" s="1" t="s">
        <v>583</v>
      </c>
      <c r="E508" s="1" t="s">
        <v>2638</v>
      </c>
      <c r="F508" s="1" t="s">
        <v>2508</v>
      </c>
      <c r="G508" s="1" t="s">
        <v>27</v>
      </c>
      <c r="H508" s="1" t="s">
        <v>34</v>
      </c>
      <c r="I508" s="1" t="s">
        <v>50</v>
      </c>
      <c r="J508" s="1" t="s">
        <v>3219</v>
      </c>
      <c r="K508" s="1" t="s">
        <v>2542</v>
      </c>
      <c r="L508" s="1" t="s">
        <v>3545</v>
      </c>
      <c r="M508" s="1" t="s">
        <v>34</v>
      </c>
      <c r="N508" s="1" t="s">
        <v>305</v>
      </c>
      <c r="O508" s="1" t="s">
        <v>2770</v>
      </c>
      <c r="P508" s="1"/>
      <c r="Q508" s="1">
        <f>IFERROR(COUNTIFS(_report[TOURNAMENT_CODE],ВСЕ_КОДЫ[[#This Row],[TOURNAMENT_CODE]],_report[CONTEST_CODE],ВСЕ_КОДЫ[[#This Row],[CONTEST_CODE]]),"-")</f>
        <v>0</v>
      </c>
      <c r="R508" s="1" t="str">
        <f>IFERROR(INDEX(_SCHEDULE_[],MATCH(ВСЕ_КОДЫ[[#This Row],[CONTEST_CODE]],_SCHEDULE_[CONTEST_CODE],0),MATCH($R$1,_SCHEDULE_[#Headers],0)),"-")</f>
        <v>АКТИВНЫЙ</v>
      </c>
      <c r="S508" s="1" t="str">
        <f>IFERROR(INDEX(_group_[],MATCH(ВСЕ_КОДЫ[[#This Row],[CONTEST_CODE]],_group_[CONTEST_CODE],0),MATCH($S$1,_group_[#Headers],0)),"-")</f>
        <v>BANK</v>
      </c>
      <c r="T508" s="1" t="str">
        <f>IFERROR(INDEX(_INDICATOR_[],MATCH(ВСЕ_КОДЫ[[#This Row],[CONTEST_CODE]],_INDICATOR_[CONTEST_CODE],0),MATCH($T$1,_INDICATOR_[#Headers],0)),"-")</f>
        <v>WAIT</v>
      </c>
      <c r="U508" s="1" t="str">
        <f>IFERROR(INDEX(_reward_link_[],MATCH(ВСЕ_КОДЫ[[#This Row],[CONTEST_CODE]],_reward_link_[CONTEST_CODE],0),MATCH($U$1,_reward_link_[#Headers],0)),"-")</f>
        <v>BANK</v>
      </c>
      <c r="V508" s="1" t="str">
        <f>IFERROR(INDEX(_report[],MATCH(ВСЕ_КОДЫ[[#This Row],[CONTEST_CODE]],_report[CONTEST_CODE],0),MATCH($V$1,_report[#Headers],0)),"-")</f>
        <v>-</v>
      </c>
      <c r="W508" s="1" t="str">
        <f>IFERROR(INDEX(_reward_[],MATCH(ВСЕ_КОДЫ[[#This Row],[REWARD_CODE]],_reward_[REWARD_CODE],0),MATCH($W$1,_reward_[#Headers],0)),"-")</f>
        <v>Серебро#по Турниру СБСЖ</v>
      </c>
      <c r="X508" s="1" t="str">
        <f>IFERROR(INDEX(_group_[],MATCH(CONCATENATE(ВСЕ_КОДЫ[[#This Row],[CONTEST_CODE]],"_",X$2),#REF!,0),MATCH(X$1,_group_[#Headers],0)),"-")</f>
        <v>-</v>
      </c>
      <c r="Y508" s="1" t="str">
        <f>IFERROR(INDEX(_group_[],MATCH(CONCATENATE(ВСЕ_КОДЫ[[#This Row],[CONTEST_CODE]],"_",Y$2),#REF!,0),MATCH(Y$1,_group_[#Headers],0)),"-")</f>
        <v>-</v>
      </c>
      <c r="Z508" s="1" t="str">
        <f>IFERROR(INDEX(_group_[],MATCH(CONCATENATE(ВСЕ_КОДЫ[[#This Row],[CONTEST_CODE]],"_",Z$2),#REF!,0),MATCH(Z$1,_group_[#Headers],0)),"-")</f>
        <v>-</v>
      </c>
      <c r="AA508" s="1" t="str">
        <f>IFERROR(INDEX(_group_[],MATCH(CONCATENATE(ВСЕ_КОДЫ[[#This Row],[CONTEST_CODE]],"_",AA$2),#REF!,0),MATCH(AA$1,_group_[#Headers],0)),"-")</f>
        <v>-</v>
      </c>
      <c r="AB508" s="1" t="str">
        <f>IFERROR(INDEX(_DATA_[],MATCH(ВСЕ_КОДЫ[[#This Row],[CONTEST_CODE]],_DATA_[CONTEST_CODE],0),MATCH($AB$2,_DATA_[#Headers],0)),"-")</f>
        <v>["""IMUB"""]</v>
      </c>
      <c r="AC508" t="str">
        <f>CONCATENATE(ВСЕ_КОДЫ[[#This Row],[CONTEST_CODE]],"_",ВСЕ_КОДЫ[[#This Row],[TOURNAMENT_CODE]])</f>
        <v>06_2025-0_18-4_1_t_06_2025-0_18-4_1_4001</v>
      </c>
      <c r="AD508" t="str">
        <f>ВСЕ_КОДЫ[[#This Row],[FULL_NAME]]</f>
        <v>Страховой олимп</v>
      </c>
    </row>
    <row r="509" spans="1:30" hidden="1" x14ac:dyDescent="0.25">
      <c r="A509" s="1" t="s">
        <v>2260</v>
      </c>
      <c r="B509" s="1" t="s">
        <v>3565</v>
      </c>
      <c r="C509" s="1" t="s">
        <v>2461</v>
      </c>
      <c r="D509" s="1" t="s">
        <v>583</v>
      </c>
      <c r="E509" s="1" t="s">
        <v>2638</v>
      </c>
      <c r="F509" s="1" t="s">
        <v>2508</v>
      </c>
      <c r="G509" s="1" t="s">
        <v>27</v>
      </c>
      <c r="H509" s="1" t="s">
        <v>34</v>
      </c>
      <c r="I509" s="1" t="s">
        <v>50</v>
      </c>
      <c r="J509" s="1" t="s">
        <v>3219</v>
      </c>
      <c r="K509" s="1" t="s">
        <v>2542</v>
      </c>
      <c r="L509" s="1" t="s">
        <v>3545</v>
      </c>
      <c r="M509" s="1" t="s">
        <v>34</v>
      </c>
      <c r="N509" s="1" t="s">
        <v>305</v>
      </c>
      <c r="O509" s="1" t="s">
        <v>2771</v>
      </c>
      <c r="P509" s="1"/>
      <c r="Q509" s="1">
        <f>IFERROR(COUNTIFS(_report[TOURNAMENT_CODE],ВСЕ_КОДЫ[[#This Row],[TOURNAMENT_CODE]],_report[CONTEST_CODE],ВСЕ_КОДЫ[[#This Row],[CONTEST_CODE]]),"-")</f>
        <v>0</v>
      </c>
      <c r="R509" s="1" t="str">
        <f>IFERROR(INDEX(_SCHEDULE_[],MATCH(ВСЕ_КОДЫ[[#This Row],[CONTEST_CODE]],_SCHEDULE_[CONTEST_CODE],0),MATCH($R$1,_SCHEDULE_[#Headers],0)),"-")</f>
        <v>АКТИВНЫЙ</v>
      </c>
      <c r="S509" s="1" t="str">
        <f>IFERROR(INDEX(_group_[],MATCH(ВСЕ_КОДЫ[[#This Row],[CONTEST_CODE]],_group_[CONTEST_CODE],0),MATCH($S$1,_group_[#Headers],0)),"-")</f>
        <v>BANK</v>
      </c>
      <c r="T509" s="1" t="str">
        <f>IFERROR(INDEX(_INDICATOR_[],MATCH(ВСЕ_КОДЫ[[#This Row],[CONTEST_CODE]],_INDICATOR_[CONTEST_CODE],0),MATCH($T$1,_INDICATOR_[#Headers],0)),"-")</f>
        <v>WAIT</v>
      </c>
      <c r="U509" s="1" t="str">
        <f>IFERROR(INDEX(_reward_link_[],MATCH(ВСЕ_КОДЫ[[#This Row],[CONTEST_CODE]],_reward_link_[CONTEST_CODE],0),MATCH($U$1,_reward_link_[#Headers],0)),"-")</f>
        <v>BANK</v>
      </c>
      <c r="V509" s="1" t="str">
        <f>IFERROR(INDEX(_report[],MATCH(ВСЕ_КОДЫ[[#This Row],[CONTEST_CODE]],_report[CONTEST_CODE],0),MATCH($V$1,_report[#Headers],0)),"-")</f>
        <v>-</v>
      </c>
      <c r="W509" s="1" t="str">
        <f>IFERROR(INDEX(_reward_[],MATCH(ВСЕ_КОДЫ[[#This Row],[REWARD_CODE]],_reward_[REWARD_CODE],0),MATCH($W$1,_reward_[#Headers],0)),"-")</f>
        <v>Бронза#по Турниру СБСЖ</v>
      </c>
      <c r="X509" s="1" t="str">
        <f>IFERROR(INDEX(_group_[],MATCH(CONCATENATE(ВСЕ_КОДЫ[[#This Row],[CONTEST_CODE]],"_",X$2),#REF!,0),MATCH(X$1,_group_[#Headers],0)),"-")</f>
        <v>-</v>
      </c>
      <c r="Y509" s="1" t="str">
        <f>IFERROR(INDEX(_group_[],MATCH(CONCATENATE(ВСЕ_КОДЫ[[#This Row],[CONTEST_CODE]],"_",Y$2),#REF!,0),MATCH(Y$1,_group_[#Headers],0)),"-")</f>
        <v>-</v>
      </c>
      <c r="Z509" s="1" t="str">
        <f>IFERROR(INDEX(_group_[],MATCH(CONCATENATE(ВСЕ_КОДЫ[[#This Row],[CONTEST_CODE]],"_",Z$2),#REF!,0),MATCH(Z$1,_group_[#Headers],0)),"-")</f>
        <v>-</v>
      </c>
      <c r="AA509" s="1" t="str">
        <f>IFERROR(INDEX(_group_[],MATCH(CONCATENATE(ВСЕ_КОДЫ[[#This Row],[CONTEST_CODE]],"_",AA$2),#REF!,0),MATCH(AA$1,_group_[#Headers],0)),"-")</f>
        <v>-</v>
      </c>
      <c r="AB509" s="1" t="str">
        <f>IFERROR(INDEX(_DATA_[],MATCH(ВСЕ_КОДЫ[[#This Row],[CONTEST_CODE]],_DATA_[CONTEST_CODE],0),MATCH($AB$2,_DATA_[#Headers],0)),"-")</f>
        <v>["""IMUB"""]</v>
      </c>
      <c r="AC509" t="str">
        <f>CONCATENATE(ВСЕ_КОДЫ[[#This Row],[CONTEST_CODE]],"_",ВСЕ_КОДЫ[[#This Row],[TOURNAMENT_CODE]])</f>
        <v>06_2025-0_18-4_1_t_06_2025-0_18-4_1_4001</v>
      </c>
      <c r="AD509" t="str">
        <f>ВСЕ_КОДЫ[[#This Row],[FULL_NAME]]</f>
        <v>Страховой олимп</v>
      </c>
    </row>
    <row r="510" spans="1:30" hidden="1" x14ac:dyDescent="0.25">
      <c r="A510" s="1" t="s">
        <v>2262</v>
      </c>
      <c r="B510" s="1" t="s">
        <v>3567</v>
      </c>
      <c r="C510" s="1" t="s">
        <v>2463</v>
      </c>
      <c r="D510" s="1" t="s">
        <v>583</v>
      </c>
      <c r="E510" s="1" t="s">
        <v>2629</v>
      </c>
      <c r="F510" s="1" t="s">
        <v>2508</v>
      </c>
      <c r="G510" s="1" t="s">
        <v>27</v>
      </c>
      <c r="H510" s="1" t="s">
        <v>34</v>
      </c>
      <c r="I510" s="1" t="s">
        <v>50</v>
      </c>
      <c r="J510" s="1" t="s">
        <v>3219</v>
      </c>
      <c r="K510" s="1" t="s">
        <v>2542</v>
      </c>
      <c r="L510" s="1" t="s">
        <v>3545</v>
      </c>
      <c r="M510" s="1" t="s">
        <v>34</v>
      </c>
      <c r="N510" s="1" t="s">
        <v>305</v>
      </c>
      <c r="O510" s="1" t="s">
        <v>2759</v>
      </c>
      <c r="P510" s="1"/>
      <c r="Q510" s="1">
        <f>IFERROR(COUNTIFS(_report[TOURNAMENT_CODE],ВСЕ_КОДЫ[[#This Row],[TOURNAMENT_CODE]],_report[CONTEST_CODE],ВСЕ_КОДЫ[[#This Row],[CONTEST_CODE]]),"-")</f>
        <v>0</v>
      </c>
      <c r="R510" s="1" t="str">
        <f>IFERROR(INDEX(_SCHEDULE_[],MATCH(ВСЕ_КОДЫ[[#This Row],[CONTEST_CODE]],_SCHEDULE_[CONTEST_CODE],0),MATCH($R$1,_SCHEDULE_[#Headers],0)),"-")</f>
        <v>АКТИВНЫЙ</v>
      </c>
      <c r="S510" s="1" t="str">
        <f>IFERROR(INDEX(_group_[],MATCH(ВСЕ_КОДЫ[[#This Row],[CONTEST_CODE]],_group_[CONTEST_CODE],0),MATCH($S$1,_group_[#Headers],0)),"-")</f>
        <v>BANK</v>
      </c>
      <c r="T510" s="1" t="str">
        <f>IFERROR(INDEX(_INDICATOR_[],MATCH(ВСЕ_КОДЫ[[#This Row],[CONTEST_CODE]],_INDICATOR_[CONTEST_CODE],0),MATCH($T$1,_INDICATOR_[#Headers],0)),"-")</f>
        <v>WAIT</v>
      </c>
      <c r="U510" s="1" t="str">
        <f>IFERROR(INDEX(_reward_link_[],MATCH(ВСЕ_КОДЫ[[#This Row],[CONTEST_CODE]],_reward_link_[CONTEST_CODE],0),MATCH($U$1,_reward_link_[#Headers],0)),"-")</f>
        <v>BANK</v>
      </c>
      <c r="V510" s="1" t="str">
        <f>IFERROR(INDEX(_report[],MATCH(ВСЕ_КОДЫ[[#This Row],[CONTEST_CODE]],_report[CONTEST_CODE],0),MATCH($V$1,_report[#Headers],0)),"-")</f>
        <v>-</v>
      </c>
      <c r="W510" s="1" t="str">
        <f>IFERROR(INDEX(_reward_[],MATCH(ВСЕ_КОДЫ[[#This Row],[REWARD_CODE]],_reward_[REWARD_CODE],0),MATCH($W$1,_reward_[#Headers],0)),"-")</f>
        <v>Золото#по Турниру УКП</v>
      </c>
      <c r="X510" s="1" t="str">
        <f>IFERROR(INDEX(_group_[],MATCH(CONCATENATE(ВСЕ_КОДЫ[[#This Row],[CONTEST_CODE]],"_",X$2),#REF!,0),MATCH(X$1,_group_[#Headers],0)),"-")</f>
        <v>-</v>
      </c>
      <c r="Y510" s="1" t="str">
        <f>IFERROR(INDEX(_group_[],MATCH(CONCATENATE(ВСЕ_КОДЫ[[#This Row],[CONTEST_CODE]],"_",Y$2),#REF!,0),MATCH(Y$1,_group_[#Headers],0)),"-")</f>
        <v>-</v>
      </c>
      <c r="Z510" s="1" t="str">
        <f>IFERROR(INDEX(_group_[],MATCH(CONCATENATE(ВСЕ_КОДЫ[[#This Row],[CONTEST_CODE]],"_",Z$2),#REF!,0),MATCH(Z$1,_group_[#Headers],0)),"-")</f>
        <v>-</v>
      </c>
      <c r="AA510" s="1" t="str">
        <f>IFERROR(INDEX(_group_[],MATCH(CONCATENATE(ВСЕ_КОДЫ[[#This Row],[CONTEST_CODE]],"_",AA$2),#REF!,0),MATCH(AA$1,_group_[#Headers],0)),"-")</f>
        <v>-</v>
      </c>
      <c r="AB510" s="1" t="str">
        <f>IFERROR(INDEX(_DATA_[],MATCH(ВСЕ_КОДЫ[[#This Row],[CONTEST_CODE]],_DATA_[CONTEST_CODE],0),MATCH($AB$2,_DATA_[#Headers],0)),"-")</f>
        <v>["""RNUB"""]</v>
      </c>
      <c r="AC510" t="str">
        <f>CONCATENATE(ВСЕ_КОДЫ[[#This Row],[CONTEST_CODE]],"_",ВСЕ_КОДЫ[[#This Row],[TOURNAMENT_CODE]])</f>
        <v>07_2025-0_18-1_1_t_07_2025-0_18-1_1_4001</v>
      </c>
      <c r="AD510" t="str">
        <f>ВСЕ_КОДЫ[[#This Row],[FULL_NAME]]</f>
        <v>Марафон УК Первая</v>
      </c>
    </row>
    <row r="511" spans="1:30" hidden="1" x14ac:dyDescent="0.25">
      <c r="A511" s="1" t="s">
        <v>2262</v>
      </c>
      <c r="B511" s="1" t="s">
        <v>3567</v>
      </c>
      <c r="C511" s="1" t="s">
        <v>2465</v>
      </c>
      <c r="D511" s="1" t="s">
        <v>583</v>
      </c>
      <c r="E511" s="1" t="s">
        <v>2629</v>
      </c>
      <c r="F511" s="1" t="s">
        <v>2508</v>
      </c>
      <c r="G511" s="1" t="s">
        <v>27</v>
      </c>
      <c r="H511" s="1" t="s">
        <v>34</v>
      </c>
      <c r="I511" s="1" t="s">
        <v>50</v>
      </c>
      <c r="J511" s="1" t="s">
        <v>3219</v>
      </c>
      <c r="K511" s="1" t="s">
        <v>2542</v>
      </c>
      <c r="L511" s="1" t="s">
        <v>3545</v>
      </c>
      <c r="M511" s="1" t="s">
        <v>34</v>
      </c>
      <c r="N511" s="1" t="s">
        <v>305</v>
      </c>
      <c r="O511" s="1" t="s">
        <v>2761</v>
      </c>
      <c r="P511" s="1"/>
      <c r="Q511" s="1">
        <f>IFERROR(COUNTIFS(_report[TOURNAMENT_CODE],ВСЕ_КОДЫ[[#This Row],[TOURNAMENT_CODE]],_report[CONTEST_CODE],ВСЕ_КОДЫ[[#This Row],[CONTEST_CODE]]),"-")</f>
        <v>0</v>
      </c>
      <c r="R511" s="1" t="str">
        <f>IFERROR(INDEX(_SCHEDULE_[],MATCH(ВСЕ_КОДЫ[[#This Row],[CONTEST_CODE]],_SCHEDULE_[CONTEST_CODE],0),MATCH($R$1,_SCHEDULE_[#Headers],0)),"-")</f>
        <v>АКТИВНЫЙ</v>
      </c>
      <c r="S511" s="1" t="str">
        <f>IFERROR(INDEX(_group_[],MATCH(ВСЕ_КОДЫ[[#This Row],[CONTEST_CODE]],_group_[CONTEST_CODE],0),MATCH($S$1,_group_[#Headers],0)),"-")</f>
        <v>BANK</v>
      </c>
      <c r="T511" s="1" t="str">
        <f>IFERROR(INDEX(_INDICATOR_[],MATCH(ВСЕ_КОДЫ[[#This Row],[CONTEST_CODE]],_INDICATOR_[CONTEST_CODE],0),MATCH($T$1,_INDICATOR_[#Headers],0)),"-")</f>
        <v>WAIT</v>
      </c>
      <c r="U511" s="1" t="str">
        <f>IFERROR(INDEX(_reward_link_[],MATCH(ВСЕ_КОДЫ[[#This Row],[CONTEST_CODE]],_reward_link_[CONTEST_CODE],0),MATCH($U$1,_reward_link_[#Headers],0)),"-")</f>
        <v>BANK</v>
      </c>
      <c r="V511" s="1" t="str">
        <f>IFERROR(INDEX(_report[],MATCH(ВСЕ_КОДЫ[[#This Row],[CONTEST_CODE]],_report[CONTEST_CODE],0),MATCH($V$1,_report[#Headers],0)),"-")</f>
        <v>-</v>
      </c>
      <c r="W511" s="1" t="str">
        <f>IFERROR(INDEX(_reward_[],MATCH(ВСЕ_КОДЫ[[#This Row],[REWARD_CODE]],_reward_[REWARD_CODE],0),MATCH($W$1,_reward_[#Headers],0)),"-")</f>
        <v>Серебро#по Турниру УКП</v>
      </c>
      <c r="X511" s="1" t="str">
        <f>IFERROR(INDEX(_group_[],MATCH(CONCATENATE(ВСЕ_КОДЫ[[#This Row],[CONTEST_CODE]],"_",X$2),#REF!,0),MATCH(X$1,_group_[#Headers],0)),"-")</f>
        <v>-</v>
      </c>
      <c r="Y511" s="1" t="str">
        <f>IFERROR(INDEX(_group_[],MATCH(CONCATENATE(ВСЕ_КОДЫ[[#This Row],[CONTEST_CODE]],"_",Y$2),#REF!,0),MATCH(Y$1,_group_[#Headers],0)),"-")</f>
        <v>-</v>
      </c>
      <c r="Z511" s="1" t="str">
        <f>IFERROR(INDEX(_group_[],MATCH(CONCATENATE(ВСЕ_КОДЫ[[#This Row],[CONTEST_CODE]],"_",Z$2),#REF!,0),MATCH(Z$1,_group_[#Headers],0)),"-")</f>
        <v>-</v>
      </c>
      <c r="AA511" s="1" t="str">
        <f>IFERROR(INDEX(_group_[],MATCH(CONCATENATE(ВСЕ_КОДЫ[[#This Row],[CONTEST_CODE]],"_",AA$2),#REF!,0),MATCH(AA$1,_group_[#Headers],0)),"-")</f>
        <v>-</v>
      </c>
      <c r="AB511" s="1" t="str">
        <f>IFERROR(INDEX(_DATA_[],MATCH(ВСЕ_КОДЫ[[#This Row],[CONTEST_CODE]],_DATA_[CONTEST_CODE],0),MATCH($AB$2,_DATA_[#Headers],0)),"-")</f>
        <v>["""RNUB"""]</v>
      </c>
      <c r="AC511" t="str">
        <f>CONCATENATE(ВСЕ_КОДЫ[[#This Row],[CONTEST_CODE]],"_",ВСЕ_КОДЫ[[#This Row],[TOURNAMENT_CODE]])</f>
        <v>07_2025-0_18-1_1_t_07_2025-0_18-1_1_4001</v>
      </c>
      <c r="AD511" t="str">
        <f>ВСЕ_КОДЫ[[#This Row],[FULL_NAME]]</f>
        <v>Марафон УК Первая</v>
      </c>
    </row>
    <row r="512" spans="1:30" hidden="1" x14ac:dyDescent="0.25">
      <c r="A512" s="1" t="s">
        <v>2262</v>
      </c>
      <c r="B512" s="1" t="s">
        <v>3567</v>
      </c>
      <c r="C512" s="1" t="s">
        <v>2467</v>
      </c>
      <c r="D512" s="1" t="s">
        <v>583</v>
      </c>
      <c r="E512" s="1" t="s">
        <v>2629</v>
      </c>
      <c r="F512" s="1" t="s">
        <v>2508</v>
      </c>
      <c r="G512" s="1" t="s">
        <v>27</v>
      </c>
      <c r="H512" s="1" t="s">
        <v>34</v>
      </c>
      <c r="I512" s="1" t="s">
        <v>50</v>
      </c>
      <c r="J512" s="1" t="s">
        <v>3219</v>
      </c>
      <c r="K512" s="1" t="s">
        <v>2542</v>
      </c>
      <c r="L512" s="1" t="s">
        <v>3545</v>
      </c>
      <c r="M512" s="1" t="s">
        <v>34</v>
      </c>
      <c r="N512" s="1" t="s">
        <v>305</v>
      </c>
      <c r="O512" s="1" t="s">
        <v>2762</v>
      </c>
      <c r="P512" s="1"/>
      <c r="Q512" s="1">
        <f>IFERROR(COUNTIFS(_report[TOURNAMENT_CODE],ВСЕ_КОДЫ[[#This Row],[TOURNAMENT_CODE]],_report[CONTEST_CODE],ВСЕ_КОДЫ[[#This Row],[CONTEST_CODE]]),"-")</f>
        <v>0</v>
      </c>
      <c r="R512" s="1" t="str">
        <f>IFERROR(INDEX(_SCHEDULE_[],MATCH(ВСЕ_КОДЫ[[#This Row],[CONTEST_CODE]],_SCHEDULE_[CONTEST_CODE],0),MATCH($R$1,_SCHEDULE_[#Headers],0)),"-")</f>
        <v>АКТИВНЫЙ</v>
      </c>
      <c r="S512" s="1" t="str">
        <f>IFERROR(INDEX(_group_[],MATCH(ВСЕ_КОДЫ[[#This Row],[CONTEST_CODE]],_group_[CONTEST_CODE],0),MATCH($S$1,_group_[#Headers],0)),"-")</f>
        <v>BANK</v>
      </c>
      <c r="T512" s="1" t="str">
        <f>IFERROR(INDEX(_INDICATOR_[],MATCH(ВСЕ_КОДЫ[[#This Row],[CONTEST_CODE]],_INDICATOR_[CONTEST_CODE],0),MATCH($T$1,_INDICATOR_[#Headers],0)),"-")</f>
        <v>WAIT</v>
      </c>
      <c r="U512" s="1" t="str">
        <f>IFERROR(INDEX(_reward_link_[],MATCH(ВСЕ_КОДЫ[[#This Row],[CONTEST_CODE]],_reward_link_[CONTEST_CODE],0),MATCH($U$1,_reward_link_[#Headers],0)),"-")</f>
        <v>BANK</v>
      </c>
      <c r="V512" s="1" t="str">
        <f>IFERROR(INDEX(_report[],MATCH(ВСЕ_КОДЫ[[#This Row],[CONTEST_CODE]],_report[CONTEST_CODE],0),MATCH($V$1,_report[#Headers],0)),"-")</f>
        <v>-</v>
      </c>
      <c r="W512" s="1" t="str">
        <f>IFERROR(INDEX(_reward_[],MATCH(ВСЕ_КОДЫ[[#This Row],[REWARD_CODE]],_reward_[REWARD_CODE],0),MATCH($W$1,_reward_[#Headers],0)),"-")</f>
        <v>Бронза#по Турниру УКП</v>
      </c>
      <c r="X512" s="1" t="str">
        <f>IFERROR(INDEX(_group_[],MATCH(CONCATENATE(ВСЕ_КОДЫ[[#This Row],[CONTEST_CODE]],"_",X$2),#REF!,0),MATCH(X$1,_group_[#Headers],0)),"-")</f>
        <v>-</v>
      </c>
      <c r="Y512" s="1" t="str">
        <f>IFERROR(INDEX(_group_[],MATCH(CONCATENATE(ВСЕ_КОДЫ[[#This Row],[CONTEST_CODE]],"_",Y$2),#REF!,0),MATCH(Y$1,_group_[#Headers],0)),"-")</f>
        <v>-</v>
      </c>
      <c r="Z512" s="1" t="str">
        <f>IFERROR(INDEX(_group_[],MATCH(CONCATENATE(ВСЕ_КОДЫ[[#This Row],[CONTEST_CODE]],"_",Z$2),#REF!,0),MATCH(Z$1,_group_[#Headers],0)),"-")</f>
        <v>-</v>
      </c>
      <c r="AA512" s="1" t="str">
        <f>IFERROR(INDEX(_group_[],MATCH(CONCATENATE(ВСЕ_КОДЫ[[#This Row],[CONTEST_CODE]],"_",AA$2),#REF!,0),MATCH(AA$1,_group_[#Headers],0)),"-")</f>
        <v>-</v>
      </c>
      <c r="AB512" s="1" t="str">
        <f>IFERROR(INDEX(_DATA_[],MATCH(ВСЕ_КОДЫ[[#This Row],[CONTEST_CODE]],_DATA_[CONTEST_CODE],0),MATCH($AB$2,_DATA_[#Headers],0)),"-")</f>
        <v>["""RNUB"""]</v>
      </c>
      <c r="AC512" t="str">
        <f>CONCATENATE(ВСЕ_КОДЫ[[#This Row],[CONTEST_CODE]],"_",ВСЕ_КОДЫ[[#This Row],[TOURNAMENT_CODE]])</f>
        <v>07_2025-0_18-1_1_t_07_2025-0_18-1_1_4001</v>
      </c>
      <c r="AD512" t="str">
        <f>ВСЕ_КОДЫ[[#This Row],[FULL_NAME]]</f>
        <v>Марафон УК Первая</v>
      </c>
    </row>
    <row r="513" spans="1:30" hidden="1" x14ac:dyDescent="0.25">
      <c r="A513" s="1" t="s">
        <v>2264</v>
      </c>
      <c r="B513" s="1" t="s">
        <v>3569</v>
      </c>
      <c r="C513" s="1" t="s">
        <v>2469</v>
      </c>
      <c r="D513" s="1" t="s">
        <v>583</v>
      </c>
      <c r="E513" s="1" t="s">
        <v>2633</v>
      </c>
      <c r="F513" s="1" t="s">
        <v>2508</v>
      </c>
      <c r="G513" s="1" t="s">
        <v>27</v>
      </c>
      <c r="H513" s="1" t="s">
        <v>34</v>
      </c>
      <c r="I513" s="1" t="s">
        <v>50</v>
      </c>
      <c r="J513" s="1" t="s">
        <v>3219</v>
      </c>
      <c r="K513" s="1" t="s">
        <v>2542</v>
      </c>
      <c r="L513" s="1" t="s">
        <v>3545</v>
      </c>
      <c r="M513" s="1" t="s">
        <v>34</v>
      </c>
      <c r="N513" s="1" t="s">
        <v>305</v>
      </c>
      <c r="O513" s="1" t="s">
        <v>2763</v>
      </c>
      <c r="P513" s="1"/>
      <c r="Q513" s="1">
        <f>IFERROR(COUNTIFS(_report[TOURNAMENT_CODE],ВСЕ_КОДЫ[[#This Row],[TOURNAMENT_CODE]],_report[CONTEST_CODE],ВСЕ_КОДЫ[[#This Row],[CONTEST_CODE]]),"-")</f>
        <v>0</v>
      </c>
      <c r="R513" s="1" t="str">
        <f>IFERROR(INDEX(_SCHEDULE_[],MATCH(ВСЕ_КОДЫ[[#This Row],[CONTEST_CODE]],_SCHEDULE_[CONTEST_CODE],0),MATCH($R$1,_SCHEDULE_[#Headers],0)),"-")</f>
        <v>АКТИВНЫЙ</v>
      </c>
      <c r="S513" s="1" t="str">
        <f>IFERROR(INDEX(_group_[],MATCH(ВСЕ_КОДЫ[[#This Row],[CONTEST_CODE]],_group_[CONTEST_CODE],0),MATCH($S$1,_group_[#Headers],0)),"-")</f>
        <v>BANK</v>
      </c>
      <c r="T513" s="1" t="str">
        <f>IFERROR(INDEX(_INDICATOR_[],MATCH(ВСЕ_КОДЫ[[#This Row],[CONTEST_CODE]],_INDICATOR_[CONTEST_CODE],0),MATCH($T$1,_INDICATOR_[#Headers],0)),"-")</f>
        <v>WAIT</v>
      </c>
      <c r="U513" s="1" t="str">
        <f>IFERROR(INDEX(_reward_link_[],MATCH(ВСЕ_КОДЫ[[#This Row],[CONTEST_CODE]],_reward_link_[CONTEST_CODE],0),MATCH($U$1,_reward_link_[#Headers],0)),"-")</f>
        <v>BANK</v>
      </c>
      <c r="V513" s="1" t="str">
        <f>IFERROR(INDEX(_report[],MATCH(ВСЕ_КОДЫ[[#This Row],[CONTEST_CODE]],_report[CONTEST_CODE],0),MATCH($V$1,_report[#Headers],0)),"-")</f>
        <v>-</v>
      </c>
      <c r="W513" s="1" t="str">
        <f>IFERROR(INDEX(_reward_[],MATCH(ВСЕ_КОДЫ[[#This Row],[REWARD_CODE]],_reward_[REWARD_CODE],0),MATCH($W$1,_reward_[#Headers],0)),"-")</f>
        <v>Золото#по Турниру СФН</v>
      </c>
      <c r="X513" s="1" t="str">
        <f>IFERROR(INDEX(_group_[],MATCH(CONCATENATE(ВСЕ_КОДЫ[[#This Row],[CONTEST_CODE]],"_",X$2),#REF!,0),MATCH(X$1,_group_[#Headers],0)),"-")</f>
        <v>-</v>
      </c>
      <c r="Y513" s="1" t="str">
        <f>IFERROR(INDEX(_group_[],MATCH(CONCATENATE(ВСЕ_КОДЫ[[#This Row],[CONTEST_CODE]],"_",Y$2),#REF!,0),MATCH(Y$1,_group_[#Headers],0)),"-")</f>
        <v>-</v>
      </c>
      <c r="Z513" s="1" t="str">
        <f>IFERROR(INDEX(_group_[],MATCH(CONCATENATE(ВСЕ_КОДЫ[[#This Row],[CONTEST_CODE]],"_",Z$2),#REF!,0),MATCH(Z$1,_group_[#Headers],0)),"-")</f>
        <v>-</v>
      </c>
      <c r="AA513" s="1" t="str">
        <f>IFERROR(INDEX(_group_[],MATCH(CONCATENATE(ВСЕ_КОДЫ[[#This Row],[CONTEST_CODE]],"_",AA$2),#REF!,0),MATCH(AA$1,_group_[#Headers],0)),"-")</f>
        <v>-</v>
      </c>
      <c r="AB513" s="1" t="str">
        <f>IFERROR(INDEX(_DATA_[],MATCH(ВСЕ_КОДЫ[[#This Row],[CONTEST_CODE]],_DATA_[CONTEST_CODE],0),MATCH($AB$2,_DATA_[#Headers],0)),"-")</f>
        <v>["""RNUB"""]</v>
      </c>
      <c r="AC513" t="str">
        <f>CONCATENATE(ВСЕ_КОДЫ[[#This Row],[CONTEST_CODE]],"_",ВСЕ_КОДЫ[[#This Row],[TOURNAMENT_CODE]])</f>
        <v>07_2025-0_18-2_1_t_07_2025-0_18-2_1_4001</v>
      </c>
      <c r="AD513" t="str">
        <f>ВСЕ_КОДЫ[[#This Row],[FULL_NAME]]</f>
        <v>Турнир по квадратным метрам</v>
      </c>
    </row>
    <row r="514" spans="1:30" hidden="1" x14ac:dyDescent="0.25">
      <c r="A514" s="1" t="s">
        <v>2268</v>
      </c>
      <c r="B514" s="1" t="s">
        <v>3571</v>
      </c>
      <c r="C514" s="1" t="s">
        <v>2479</v>
      </c>
      <c r="D514" s="1" t="s">
        <v>583</v>
      </c>
      <c r="E514" s="1" t="s">
        <v>2638</v>
      </c>
      <c r="F514" s="1" t="s">
        <v>2508</v>
      </c>
      <c r="G514" s="1" t="s">
        <v>27</v>
      </c>
      <c r="H514" s="1" t="s">
        <v>34</v>
      </c>
      <c r="I514" s="1" t="s">
        <v>50</v>
      </c>
      <c r="J514" s="1" t="s">
        <v>3219</v>
      </c>
      <c r="K514" s="1" t="s">
        <v>2542</v>
      </c>
      <c r="L514" s="1" t="s">
        <v>3545</v>
      </c>
      <c r="M514" s="1" t="s">
        <v>34</v>
      </c>
      <c r="N514" s="1" t="s">
        <v>305</v>
      </c>
      <c r="O514" s="1" t="s">
        <v>2769</v>
      </c>
      <c r="P514" s="1"/>
      <c r="Q514" s="1">
        <f>IFERROR(COUNTIFS(_report[TOURNAMENT_CODE],ВСЕ_КОДЫ[[#This Row],[TOURNAMENT_CODE]],_report[CONTEST_CODE],ВСЕ_КОДЫ[[#This Row],[CONTEST_CODE]]),"-")</f>
        <v>0</v>
      </c>
      <c r="R514" s="1" t="str">
        <f>IFERROR(INDEX(_SCHEDULE_[],MATCH(ВСЕ_КОДЫ[[#This Row],[CONTEST_CODE]],_SCHEDULE_[CONTEST_CODE],0),MATCH($R$1,_SCHEDULE_[#Headers],0)),"-")</f>
        <v>АКТИВНЫЙ</v>
      </c>
      <c r="S514" s="1" t="str">
        <f>IFERROR(INDEX(_group_[],MATCH(ВСЕ_КОДЫ[[#This Row],[CONTEST_CODE]],_group_[CONTEST_CODE],0),MATCH($S$1,_group_[#Headers],0)),"-")</f>
        <v>BANK</v>
      </c>
      <c r="T514" s="1" t="str">
        <f>IFERROR(INDEX(_INDICATOR_[],MATCH(ВСЕ_КОДЫ[[#This Row],[CONTEST_CODE]],_INDICATOR_[CONTEST_CODE],0),MATCH($T$1,_INDICATOR_[#Headers],0)),"-")</f>
        <v>WAIT</v>
      </c>
      <c r="U514" s="1" t="str">
        <f>IFERROR(INDEX(_reward_link_[],MATCH(ВСЕ_КОДЫ[[#This Row],[CONTEST_CODE]],_reward_link_[CONTEST_CODE],0),MATCH($U$1,_reward_link_[#Headers],0)),"-")</f>
        <v>BANK</v>
      </c>
      <c r="V514" s="1" t="str">
        <f>IFERROR(INDEX(_report[],MATCH(ВСЕ_КОДЫ[[#This Row],[CONTEST_CODE]],_report[CONTEST_CODE],0),MATCH($V$1,_report[#Headers],0)),"-")</f>
        <v>-</v>
      </c>
      <c r="W514" s="1" t="str">
        <f>IFERROR(INDEX(_reward_[],MATCH(ВСЕ_КОДЫ[[#This Row],[REWARD_CODE]],_reward_[REWARD_CODE],0),MATCH($W$1,_reward_[#Headers],0)),"-")</f>
        <v>Золото#по Турниру СБСЖ</v>
      </c>
      <c r="X514" s="1" t="str">
        <f>IFERROR(INDEX(_group_[],MATCH(CONCATENATE(ВСЕ_КОДЫ[[#This Row],[CONTEST_CODE]],"_",X$2),#REF!,0),MATCH(X$1,_group_[#Headers],0)),"-")</f>
        <v>-</v>
      </c>
      <c r="Y514" s="1" t="str">
        <f>IFERROR(INDEX(_group_[],MATCH(CONCATENATE(ВСЕ_КОДЫ[[#This Row],[CONTEST_CODE]],"_",Y$2),#REF!,0),MATCH(Y$1,_group_[#Headers],0)),"-")</f>
        <v>-</v>
      </c>
      <c r="Z514" s="1" t="str">
        <f>IFERROR(INDEX(_group_[],MATCH(CONCATENATE(ВСЕ_КОДЫ[[#This Row],[CONTEST_CODE]],"_",Z$2),#REF!,0),MATCH(Z$1,_group_[#Headers],0)),"-")</f>
        <v>-</v>
      </c>
      <c r="AA514" s="1" t="str">
        <f>IFERROR(INDEX(_group_[],MATCH(CONCATENATE(ВСЕ_КОДЫ[[#This Row],[CONTEST_CODE]],"_",AA$2),#REF!,0),MATCH(AA$1,_group_[#Headers],0)),"-")</f>
        <v>-</v>
      </c>
      <c r="AB514" s="1" t="str">
        <f>IFERROR(INDEX(_DATA_[],MATCH(ВСЕ_КОДЫ[[#This Row],[CONTEST_CODE]],_DATA_[CONTEST_CODE],0),MATCH($AB$2,_DATA_[#Headers],0)),"-")</f>
        <v>["""RNUB"""]</v>
      </c>
      <c r="AC514" t="str">
        <f>CONCATENATE(ВСЕ_КОДЫ[[#This Row],[CONTEST_CODE]],"_",ВСЕ_КОДЫ[[#This Row],[TOURNAMENT_CODE]])</f>
        <v>07_2025-0_18-4_1_t_07_2025-0_18-4_1_4001</v>
      </c>
      <c r="AD514" t="str">
        <f>ВСЕ_КОДЫ[[#This Row],[FULL_NAME]]</f>
        <v>Страховой олимп</v>
      </c>
    </row>
    <row r="515" spans="1:30" hidden="1" x14ac:dyDescent="0.25">
      <c r="A515" s="1" t="s">
        <v>2268</v>
      </c>
      <c r="B515" s="1" t="s">
        <v>3571</v>
      </c>
      <c r="C515" s="1" t="s">
        <v>2481</v>
      </c>
      <c r="D515" s="1" t="s">
        <v>583</v>
      </c>
      <c r="E515" s="1" t="s">
        <v>2638</v>
      </c>
      <c r="F515" s="1" t="s">
        <v>2508</v>
      </c>
      <c r="G515" s="1" t="s">
        <v>27</v>
      </c>
      <c r="H515" s="1" t="s">
        <v>34</v>
      </c>
      <c r="I515" s="1" t="s">
        <v>50</v>
      </c>
      <c r="J515" s="1" t="s">
        <v>3219</v>
      </c>
      <c r="K515" s="1" t="s">
        <v>2542</v>
      </c>
      <c r="L515" s="1" t="s">
        <v>3545</v>
      </c>
      <c r="M515" s="1" t="s">
        <v>34</v>
      </c>
      <c r="N515" s="1" t="s">
        <v>305</v>
      </c>
      <c r="O515" s="1" t="s">
        <v>2770</v>
      </c>
      <c r="P515" s="1"/>
      <c r="Q515" s="1">
        <f>IFERROR(COUNTIFS(_report[TOURNAMENT_CODE],ВСЕ_КОДЫ[[#This Row],[TOURNAMENT_CODE]],_report[CONTEST_CODE],ВСЕ_КОДЫ[[#This Row],[CONTEST_CODE]]),"-")</f>
        <v>0</v>
      </c>
      <c r="R515" s="1" t="str">
        <f>IFERROR(INDEX(_SCHEDULE_[],MATCH(ВСЕ_КОДЫ[[#This Row],[CONTEST_CODE]],_SCHEDULE_[CONTEST_CODE],0),MATCH($R$1,_SCHEDULE_[#Headers],0)),"-")</f>
        <v>АКТИВНЫЙ</v>
      </c>
      <c r="S515" s="1" t="str">
        <f>IFERROR(INDEX(_group_[],MATCH(ВСЕ_КОДЫ[[#This Row],[CONTEST_CODE]],_group_[CONTEST_CODE],0),MATCH($S$1,_group_[#Headers],0)),"-")</f>
        <v>BANK</v>
      </c>
      <c r="T515" s="1" t="str">
        <f>IFERROR(INDEX(_INDICATOR_[],MATCH(ВСЕ_КОДЫ[[#This Row],[CONTEST_CODE]],_INDICATOR_[CONTEST_CODE],0),MATCH($T$1,_INDICATOR_[#Headers],0)),"-")</f>
        <v>WAIT</v>
      </c>
      <c r="U515" s="1" t="str">
        <f>IFERROR(INDEX(_reward_link_[],MATCH(ВСЕ_КОДЫ[[#This Row],[CONTEST_CODE]],_reward_link_[CONTEST_CODE],0),MATCH($U$1,_reward_link_[#Headers],0)),"-")</f>
        <v>BANK</v>
      </c>
      <c r="V515" s="1" t="str">
        <f>IFERROR(INDEX(_report[],MATCH(ВСЕ_КОДЫ[[#This Row],[CONTEST_CODE]],_report[CONTEST_CODE],0),MATCH($V$1,_report[#Headers],0)),"-")</f>
        <v>-</v>
      </c>
      <c r="W515" s="1" t="str">
        <f>IFERROR(INDEX(_reward_[],MATCH(ВСЕ_КОДЫ[[#This Row],[REWARD_CODE]],_reward_[REWARD_CODE],0),MATCH($W$1,_reward_[#Headers],0)),"-")</f>
        <v>Серебро#по Турниру СБСЖ</v>
      </c>
      <c r="X515" s="1" t="str">
        <f>IFERROR(INDEX(_group_[],MATCH(CONCATENATE(ВСЕ_КОДЫ[[#This Row],[CONTEST_CODE]],"_",X$2),#REF!,0),MATCH(X$1,_group_[#Headers],0)),"-")</f>
        <v>-</v>
      </c>
      <c r="Y515" s="1" t="str">
        <f>IFERROR(INDEX(_group_[],MATCH(CONCATENATE(ВСЕ_КОДЫ[[#This Row],[CONTEST_CODE]],"_",Y$2),#REF!,0),MATCH(Y$1,_group_[#Headers],0)),"-")</f>
        <v>-</v>
      </c>
      <c r="Z515" s="1" t="str">
        <f>IFERROR(INDEX(_group_[],MATCH(CONCATENATE(ВСЕ_КОДЫ[[#This Row],[CONTEST_CODE]],"_",Z$2),#REF!,0),MATCH(Z$1,_group_[#Headers],0)),"-")</f>
        <v>-</v>
      </c>
      <c r="AA515" s="1" t="str">
        <f>IFERROR(INDEX(_group_[],MATCH(CONCATENATE(ВСЕ_КОДЫ[[#This Row],[CONTEST_CODE]],"_",AA$2),#REF!,0),MATCH(AA$1,_group_[#Headers],0)),"-")</f>
        <v>-</v>
      </c>
      <c r="AB515" s="1" t="str">
        <f>IFERROR(INDEX(_DATA_[],MATCH(ВСЕ_КОДЫ[[#This Row],[CONTEST_CODE]],_DATA_[CONTEST_CODE],0),MATCH($AB$2,_DATA_[#Headers],0)),"-")</f>
        <v>["""RNUB"""]</v>
      </c>
      <c r="AC515" t="str">
        <f>CONCATENATE(ВСЕ_КОДЫ[[#This Row],[CONTEST_CODE]],"_",ВСЕ_КОДЫ[[#This Row],[TOURNAMENT_CODE]])</f>
        <v>07_2025-0_18-4_1_t_07_2025-0_18-4_1_4001</v>
      </c>
      <c r="AD515" t="str">
        <f>ВСЕ_КОДЫ[[#This Row],[FULL_NAME]]</f>
        <v>Страховой олимп</v>
      </c>
    </row>
    <row r="516" spans="1:30" hidden="1" x14ac:dyDescent="0.25">
      <c r="A516" s="1" t="s">
        <v>2268</v>
      </c>
      <c r="B516" s="1" t="s">
        <v>3571</v>
      </c>
      <c r="C516" s="1" t="s">
        <v>2483</v>
      </c>
      <c r="D516" s="1" t="s">
        <v>583</v>
      </c>
      <c r="E516" s="1" t="s">
        <v>2638</v>
      </c>
      <c r="F516" s="1" t="s">
        <v>2508</v>
      </c>
      <c r="G516" s="1" t="s">
        <v>27</v>
      </c>
      <c r="H516" s="1" t="s">
        <v>34</v>
      </c>
      <c r="I516" s="1" t="s">
        <v>50</v>
      </c>
      <c r="J516" s="1" t="s">
        <v>3219</v>
      </c>
      <c r="K516" s="1" t="s">
        <v>2542</v>
      </c>
      <c r="L516" s="1" t="s">
        <v>3545</v>
      </c>
      <c r="M516" s="1" t="s">
        <v>34</v>
      </c>
      <c r="N516" s="1" t="s">
        <v>305</v>
      </c>
      <c r="O516" s="1" t="s">
        <v>2771</v>
      </c>
      <c r="P516" s="1"/>
      <c r="Q516" s="1">
        <f>IFERROR(COUNTIFS(_report[TOURNAMENT_CODE],ВСЕ_КОДЫ[[#This Row],[TOURNAMENT_CODE]],_report[CONTEST_CODE],ВСЕ_КОДЫ[[#This Row],[CONTEST_CODE]]),"-")</f>
        <v>0</v>
      </c>
      <c r="R516" s="1" t="str">
        <f>IFERROR(INDEX(_SCHEDULE_[],MATCH(ВСЕ_КОДЫ[[#This Row],[CONTEST_CODE]],_SCHEDULE_[CONTEST_CODE],0),MATCH($R$1,_SCHEDULE_[#Headers],0)),"-")</f>
        <v>АКТИВНЫЙ</v>
      </c>
      <c r="S516" s="1" t="str">
        <f>IFERROR(INDEX(_group_[],MATCH(ВСЕ_КОДЫ[[#This Row],[CONTEST_CODE]],_group_[CONTEST_CODE],0),MATCH($S$1,_group_[#Headers],0)),"-")</f>
        <v>BANK</v>
      </c>
      <c r="T516" s="1" t="str">
        <f>IFERROR(INDEX(_INDICATOR_[],MATCH(ВСЕ_КОДЫ[[#This Row],[CONTEST_CODE]],_INDICATOR_[CONTEST_CODE],0),MATCH($T$1,_INDICATOR_[#Headers],0)),"-")</f>
        <v>WAIT</v>
      </c>
      <c r="U516" s="1" t="str">
        <f>IFERROR(INDEX(_reward_link_[],MATCH(ВСЕ_КОДЫ[[#This Row],[CONTEST_CODE]],_reward_link_[CONTEST_CODE],0),MATCH($U$1,_reward_link_[#Headers],0)),"-")</f>
        <v>BANK</v>
      </c>
      <c r="V516" s="1" t="str">
        <f>IFERROR(INDEX(_report[],MATCH(ВСЕ_КОДЫ[[#This Row],[CONTEST_CODE]],_report[CONTEST_CODE],0),MATCH($V$1,_report[#Headers],0)),"-")</f>
        <v>-</v>
      </c>
      <c r="W516" s="1" t="str">
        <f>IFERROR(INDEX(_reward_[],MATCH(ВСЕ_КОДЫ[[#This Row],[REWARD_CODE]],_reward_[REWARD_CODE],0),MATCH($W$1,_reward_[#Headers],0)),"-")</f>
        <v>Бронза#по Турниру СБСЖ</v>
      </c>
      <c r="X516" s="1" t="str">
        <f>IFERROR(INDEX(_group_[],MATCH(CONCATENATE(ВСЕ_КОДЫ[[#This Row],[CONTEST_CODE]],"_",X$2),#REF!,0),MATCH(X$1,_group_[#Headers],0)),"-")</f>
        <v>-</v>
      </c>
      <c r="Y516" s="1" t="str">
        <f>IFERROR(INDEX(_group_[],MATCH(CONCATENATE(ВСЕ_КОДЫ[[#This Row],[CONTEST_CODE]],"_",Y$2),#REF!,0),MATCH(Y$1,_group_[#Headers],0)),"-")</f>
        <v>-</v>
      </c>
      <c r="Z516" s="1" t="str">
        <f>IFERROR(INDEX(_group_[],MATCH(CONCATENATE(ВСЕ_КОДЫ[[#This Row],[CONTEST_CODE]],"_",Z$2),#REF!,0),MATCH(Z$1,_group_[#Headers],0)),"-")</f>
        <v>-</v>
      </c>
      <c r="AA516" s="1" t="str">
        <f>IFERROR(INDEX(_group_[],MATCH(CONCATENATE(ВСЕ_КОДЫ[[#This Row],[CONTEST_CODE]],"_",AA$2),#REF!,0),MATCH(AA$1,_group_[#Headers],0)),"-")</f>
        <v>-</v>
      </c>
      <c r="AB516" s="1" t="str">
        <f>IFERROR(INDEX(_DATA_[],MATCH(ВСЕ_КОДЫ[[#This Row],[CONTEST_CODE]],_DATA_[CONTEST_CODE],0),MATCH($AB$2,_DATA_[#Headers],0)),"-")</f>
        <v>["""RNUB"""]</v>
      </c>
      <c r="AC516" t="str">
        <f>CONCATENATE(ВСЕ_КОДЫ[[#This Row],[CONTEST_CODE]],"_",ВСЕ_КОДЫ[[#This Row],[TOURNAMENT_CODE]])</f>
        <v>07_2025-0_18-4_1_t_07_2025-0_18-4_1_4001</v>
      </c>
      <c r="AD516" t="str">
        <f>ВСЕ_КОДЫ[[#This Row],[FULL_NAME]]</f>
        <v>Страховой олимп</v>
      </c>
    </row>
    <row r="517" spans="1:30" hidden="1" x14ac:dyDescent="0.25">
      <c r="A517" s="1" t="s">
        <v>2270</v>
      </c>
      <c r="B517" s="1" t="s">
        <v>3573</v>
      </c>
      <c r="C517" s="1" t="s">
        <v>2485</v>
      </c>
      <c r="D517" s="1" t="s">
        <v>583</v>
      </c>
      <c r="E517" s="1" t="s">
        <v>2629</v>
      </c>
      <c r="F517" s="1" t="s">
        <v>2508</v>
      </c>
      <c r="G517" s="1" t="s">
        <v>27</v>
      </c>
      <c r="H517" s="1" t="s">
        <v>34</v>
      </c>
      <c r="I517" s="1" t="s">
        <v>50</v>
      </c>
      <c r="J517" s="1" t="s">
        <v>3219</v>
      </c>
      <c r="K517" s="1" t="s">
        <v>2542</v>
      </c>
      <c r="L517" s="1" t="s">
        <v>3545</v>
      </c>
      <c r="M517" s="1" t="s">
        <v>34</v>
      </c>
      <c r="N517" s="1" t="s">
        <v>305</v>
      </c>
      <c r="O517" s="1" t="s">
        <v>2759</v>
      </c>
      <c r="P517" s="1"/>
      <c r="Q517" s="1">
        <f>IFERROR(COUNTIFS(_report[TOURNAMENT_CODE],ВСЕ_КОДЫ[[#This Row],[TOURNAMENT_CODE]],_report[CONTEST_CODE],ВСЕ_КОДЫ[[#This Row],[CONTEST_CODE]]),"-")</f>
        <v>0</v>
      </c>
      <c r="R517" s="1" t="str">
        <f>IFERROR(INDEX(_SCHEDULE_[],MATCH(ВСЕ_КОДЫ[[#This Row],[CONTEST_CODE]],_SCHEDULE_[CONTEST_CODE],0),MATCH($R$1,_SCHEDULE_[#Headers],0)),"-")</f>
        <v>АКТИВНЫЙ</v>
      </c>
      <c r="S517" s="1" t="str">
        <f>IFERROR(INDEX(_group_[],MATCH(ВСЕ_КОДЫ[[#This Row],[CONTEST_CODE]],_group_[CONTEST_CODE],0),MATCH($S$1,_group_[#Headers],0)),"-")</f>
        <v>BANK</v>
      </c>
      <c r="T517" s="1" t="str">
        <f>IFERROR(INDEX(_INDICATOR_[],MATCH(ВСЕ_КОДЫ[[#This Row],[CONTEST_CODE]],_INDICATOR_[CONTEST_CODE],0),MATCH($T$1,_INDICATOR_[#Headers],0)),"-")</f>
        <v>WAIT</v>
      </c>
      <c r="U517" s="1" t="str">
        <f>IFERROR(INDEX(_reward_link_[],MATCH(ВСЕ_КОДЫ[[#This Row],[CONTEST_CODE]],_reward_link_[CONTEST_CODE],0),MATCH($U$1,_reward_link_[#Headers],0)),"-")</f>
        <v>BANK</v>
      </c>
      <c r="V517" s="1" t="str">
        <f>IFERROR(INDEX(_report[],MATCH(ВСЕ_КОДЫ[[#This Row],[CONTEST_CODE]],_report[CONTEST_CODE],0),MATCH($V$1,_report[#Headers],0)),"-")</f>
        <v>-</v>
      </c>
      <c r="W517" s="1" t="str">
        <f>IFERROR(INDEX(_reward_[],MATCH(ВСЕ_КОДЫ[[#This Row],[REWARD_CODE]],_reward_[REWARD_CODE],0),MATCH($W$1,_reward_[#Headers],0)),"-")</f>
        <v>Золото#по Турниру УКП</v>
      </c>
      <c r="X517" s="1" t="str">
        <f>IFERROR(INDEX(_group_[],MATCH(CONCATENATE(ВСЕ_КОДЫ[[#This Row],[CONTEST_CODE]],"_",X$2),#REF!,0),MATCH(X$1,_group_[#Headers],0)),"-")</f>
        <v>-</v>
      </c>
      <c r="Y517" s="1" t="str">
        <f>IFERROR(INDEX(_group_[],MATCH(CONCATENATE(ВСЕ_КОДЫ[[#This Row],[CONTEST_CODE]],"_",Y$2),#REF!,0),MATCH(Y$1,_group_[#Headers],0)),"-")</f>
        <v>-</v>
      </c>
      <c r="Z517" s="1" t="str">
        <f>IFERROR(INDEX(_group_[],MATCH(CONCATENATE(ВСЕ_КОДЫ[[#This Row],[CONTEST_CODE]],"_",Z$2),#REF!,0),MATCH(Z$1,_group_[#Headers],0)),"-")</f>
        <v>-</v>
      </c>
      <c r="AA517" s="1" t="str">
        <f>IFERROR(INDEX(_group_[],MATCH(CONCATENATE(ВСЕ_КОДЫ[[#This Row],[CONTEST_CODE]],"_",AA$2),#REF!,0),MATCH(AA$1,_group_[#Headers],0)),"-")</f>
        <v>-</v>
      </c>
      <c r="AB517" s="1" t="str">
        <f>IFERROR(INDEX(_DATA_[],MATCH(ВСЕ_КОДЫ[[#This Row],[CONTEST_CODE]],_DATA_[CONTEST_CODE],0),MATCH($AB$2,_DATA_[#Headers],0)),"-")</f>
        <v>["""RSB1"""]</v>
      </c>
      <c r="AC517" t="str">
        <f>CONCATENATE(ВСЕ_КОДЫ[[#This Row],[CONTEST_CODE]],"_",ВСЕ_КОДЫ[[#This Row],[TOURNAMENT_CODE]])</f>
        <v>08_2025-0_18-1_1_t_08_2025-0_18-1_1_4001</v>
      </c>
      <c r="AD517" t="str">
        <f>ВСЕ_КОДЫ[[#This Row],[FULL_NAME]]</f>
        <v>Марафон УК Первая</v>
      </c>
    </row>
    <row r="518" spans="1:30" hidden="1" x14ac:dyDescent="0.25">
      <c r="A518" s="1" t="s">
        <v>2270</v>
      </c>
      <c r="B518" s="1" t="s">
        <v>3573</v>
      </c>
      <c r="C518" s="1" t="s">
        <v>2487</v>
      </c>
      <c r="D518" s="1" t="s">
        <v>583</v>
      </c>
      <c r="E518" s="1" t="s">
        <v>2629</v>
      </c>
      <c r="F518" s="1" t="s">
        <v>2508</v>
      </c>
      <c r="G518" s="1" t="s">
        <v>27</v>
      </c>
      <c r="H518" s="1" t="s">
        <v>34</v>
      </c>
      <c r="I518" s="1" t="s">
        <v>50</v>
      </c>
      <c r="J518" s="1" t="s">
        <v>3219</v>
      </c>
      <c r="K518" s="1" t="s">
        <v>2542</v>
      </c>
      <c r="L518" s="1" t="s">
        <v>3545</v>
      </c>
      <c r="M518" s="1" t="s">
        <v>34</v>
      </c>
      <c r="N518" s="1" t="s">
        <v>305</v>
      </c>
      <c r="O518" s="1" t="s">
        <v>2761</v>
      </c>
      <c r="P518" s="1"/>
      <c r="Q518" s="1">
        <f>IFERROR(COUNTIFS(_report[TOURNAMENT_CODE],ВСЕ_КОДЫ[[#This Row],[TOURNAMENT_CODE]],_report[CONTEST_CODE],ВСЕ_КОДЫ[[#This Row],[CONTEST_CODE]]),"-")</f>
        <v>0</v>
      </c>
      <c r="R518" s="1" t="str">
        <f>IFERROR(INDEX(_SCHEDULE_[],MATCH(ВСЕ_КОДЫ[[#This Row],[CONTEST_CODE]],_SCHEDULE_[CONTEST_CODE],0),MATCH($R$1,_SCHEDULE_[#Headers],0)),"-")</f>
        <v>АКТИВНЫЙ</v>
      </c>
      <c r="S518" s="1" t="str">
        <f>IFERROR(INDEX(_group_[],MATCH(ВСЕ_КОДЫ[[#This Row],[CONTEST_CODE]],_group_[CONTEST_CODE],0),MATCH($S$1,_group_[#Headers],0)),"-")</f>
        <v>BANK</v>
      </c>
      <c r="T518" s="1" t="str">
        <f>IFERROR(INDEX(_INDICATOR_[],MATCH(ВСЕ_КОДЫ[[#This Row],[CONTEST_CODE]],_INDICATOR_[CONTEST_CODE],0),MATCH($T$1,_INDICATOR_[#Headers],0)),"-")</f>
        <v>WAIT</v>
      </c>
      <c r="U518" s="1" t="str">
        <f>IFERROR(INDEX(_reward_link_[],MATCH(ВСЕ_КОДЫ[[#This Row],[CONTEST_CODE]],_reward_link_[CONTEST_CODE],0),MATCH($U$1,_reward_link_[#Headers],0)),"-")</f>
        <v>BANK</v>
      </c>
      <c r="V518" s="1" t="str">
        <f>IFERROR(INDEX(_report[],MATCH(ВСЕ_КОДЫ[[#This Row],[CONTEST_CODE]],_report[CONTEST_CODE],0),MATCH($V$1,_report[#Headers],0)),"-")</f>
        <v>-</v>
      </c>
      <c r="W518" s="1" t="str">
        <f>IFERROR(INDEX(_reward_[],MATCH(ВСЕ_КОДЫ[[#This Row],[REWARD_CODE]],_reward_[REWARD_CODE],0),MATCH($W$1,_reward_[#Headers],0)),"-")</f>
        <v>Серебро#по Турниру УКП</v>
      </c>
      <c r="X518" s="1" t="str">
        <f>IFERROR(INDEX(_group_[],MATCH(CONCATENATE(ВСЕ_КОДЫ[[#This Row],[CONTEST_CODE]],"_",X$2),#REF!,0),MATCH(X$1,_group_[#Headers],0)),"-")</f>
        <v>-</v>
      </c>
      <c r="Y518" s="1" t="str">
        <f>IFERROR(INDEX(_group_[],MATCH(CONCATENATE(ВСЕ_КОДЫ[[#This Row],[CONTEST_CODE]],"_",Y$2),#REF!,0),MATCH(Y$1,_group_[#Headers],0)),"-")</f>
        <v>-</v>
      </c>
      <c r="Z518" s="1" t="str">
        <f>IFERROR(INDEX(_group_[],MATCH(CONCATENATE(ВСЕ_КОДЫ[[#This Row],[CONTEST_CODE]],"_",Z$2),#REF!,0),MATCH(Z$1,_group_[#Headers],0)),"-")</f>
        <v>-</v>
      </c>
      <c r="AA518" s="1" t="str">
        <f>IFERROR(INDEX(_group_[],MATCH(CONCATENATE(ВСЕ_КОДЫ[[#This Row],[CONTEST_CODE]],"_",AA$2),#REF!,0),MATCH(AA$1,_group_[#Headers],0)),"-")</f>
        <v>-</v>
      </c>
      <c r="AB518" s="1" t="str">
        <f>IFERROR(INDEX(_DATA_[],MATCH(ВСЕ_КОДЫ[[#This Row],[CONTEST_CODE]],_DATA_[CONTEST_CODE],0),MATCH($AB$2,_DATA_[#Headers],0)),"-")</f>
        <v>["""RSB1"""]</v>
      </c>
      <c r="AC518" t="str">
        <f>CONCATENATE(ВСЕ_КОДЫ[[#This Row],[CONTEST_CODE]],"_",ВСЕ_КОДЫ[[#This Row],[TOURNAMENT_CODE]])</f>
        <v>08_2025-0_18-1_1_t_08_2025-0_18-1_1_4001</v>
      </c>
      <c r="AD518" t="str">
        <f>ВСЕ_КОДЫ[[#This Row],[FULL_NAME]]</f>
        <v>Марафон УК Первая</v>
      </c>
    </row>
    <row r="519" spans="1:30" hidden="1" x14ac:dyDescent="0.25">
      <c r="A519" s="1" t="s">
        <v>2270</v>
      </c>
      <c r="B519" s="1" t="s">
        <v>3573</v>
      </c>
      <c r="C519" s="1" t="s">
        <v>2489</v>
      </c>
      <c r="D519" s="1" t="s">
        <v>583</v>
      </c>
      <c r="E519" s="1" t="s">
        <v>2629</v>
      </c>
      <c r="F519" s="1" t="s">
        <v>2508</v>
      </c>
      <c r="G519" s="1" t="s">
        <v>27</v>
      </c>
      <c r="H519" s="1" t="s">
        <v>34</v>
      </c>
      <c r="I519" s="1" t="s">
        <v>50</v>
      </c>
      <c r="J519" s="1" t="s">
        <v>3219</v>
      </c>
      <c r="K519" s="1" t="s">
        <v>2542</v>
      </c>
      <c r="L519" s="1" t="s">
        <v>3545</v>
      </c>
      <c r="M519" s="1" t="s">
        <v>34</v>
      </c>
      <c r="N519" s="1" t="s">
        <v>305</v>
      </c>
      <c r="O519" s="1" t="s">
        <v>2762</v>
      </c>
      <c r="P519" s="1"/>
      <c r="Q519" s="1">
        <f>IFERROR(COUNTIFS(_report[TOURNAMENT_CODE],ВСЕ_КОДЫ[[#This Row],[TOURNAMENT_CODE]],_report[CONTEST_CODE],ВСЕ_КОДЫ[[#This Row],[CONTEST_CODE]]),"-")</f>
        <v>0</v>
      </c>
      <c r="R519" s="1" t="str">
        <f>IFERROR(INDEX(_SCHEDULE_[],MATCH(ВСЕ_КОДЫ[[#This Row],[CONTEST_CODE]],_SCHEDULE_[CONTEST_CODE],0),MATCH($R$1,_SCHEDULE_[#Headers],0)),"-")</f>
        <v>АКТИВНЫЙ</v>
      </c>
      <c r="S519" s="1" t="str">
        <f>IFERROR(INDEX(_group_[],MATCH(ВСЕ_КОДЫ[[#This Row],[CONTEST_CODE]],_group_[CONTEST_CODE],0),MATCH($S$1,_group_[#Headers],0)),"-")</f>
        <v>BANK</v>
      </c>
      <c r="T519" s="1" t="str">
        <f>IFERROR(INDEX(_INDICATOR_[],MATCH(ВСЕ_КОДЫ[[#This Row],[CONTEST_CODE]],_INDICATOR_[CONTEST_CODE],0),MATCH($T$1,_INDICATOR_[#Headers],0)),"-")</f>
        <v>WAIT</v>
      </c>
      <c r="U519" s="1" t="str">
        <f>IFERROR(INDEX(_reward_link_[],MATCH(ВСЕ_КОДЫ[[#This Row],[CONTEST_CODE]],_reward_link_[CONTEST_CODE],0),MATCH($U$1,_reward_link_[#Headers],0)),"-")</f>
        <v>BANK</v>
      </c>
      <c r="V519" s="1" t="str">
        <f>IFERROR(INDEX(_report[],MATCH(ВСЕ_КОДЫ[[#This Row],[CONTEST_CODE]],_report[CONTEST_CODE],0),MATCH($V$1,_report[#Headers],0)),"-")</f>
        <v>-</v>
      </c>
      <c r="W519" s="1" t="str">
        <f>IFERROR(INDEX(_reward_[],MATCH(ВСЕ_КОДЫ[[#This Row],[REWARD_CODE]],_reward_[REWARD_CODE],0),MATCH($W$1,_reward_[#Headers],0)),"-")</f>
        <v>Бронза#по Турниру УКП</v>
      </c>
      <c r="X519" s="1" t="str">
        <f>IFERROR(INDEX(_group_[],MATCH(CONCATENATE(ВСЕ_КОДЫ[[#This Row],[CONTEST_CODE]],"_",X$2),#REF!,0),MATCH(X$1,_group_[#Headers],0)),"-")</f>
        <v>-</v>
      </c>
      <c r="Y519" s="1" t="str">
        <f>IFERROR(INDEX(_group_[],MATCH(CONCATENATE(ВСЕ_КОДЫ[[#This Row],[CONTEST_CODE]],"_",Y$2),#REF!,0),MATCH(Y$1,_group_[#Headers],0)),"-")</f>
        <v>-</v>
      </c>
      <c r="Z519" s="1" t="str">
        <f>IFERROR(INDEX(_group_[],MATCH(CONCATENATE(ВСЕ_КОДЫ[[#This Row],[CONTEST_CODE]],"_",Z$2),#REF!,0),MATCH(Z$1,_group_[#Headers],0)),"-")</f>
        <v>-</v>
      </c>
      <c r="AA519" s="1" t="str">
        <f>IFERROR(INDEX(_group_[],MATCH(CONCATENATE(ВСЕ_КОДЫ[[#This Row],[CONTEST_CODE]],"_",AA$2),#REF!,0),MATCH(AA$1,_group_[#Headers],0)),"-")</f>
        <v>-</v>
      </c>
      <c r="AB519" s="1" t="str">
        <f>IFERROR(INDEX(_DATA_[],MATCH(ВСЕ_КОДЫ[[#This Row],[CONTEST_CODE]],_DATA_[CONTEST_CODE],0),MATCH($AB$2,_DATA_[#Headers],0)),"-")</f>
        <v>["""RSB1"""]</v>
      </c>
      <c r="AC519" t="str">
        <f>CONCATENATE(ВСЕ_КОДЫ[[#This Row],[CONTEST_CODE]],"_",ВСЕ_КОДЫ[[#This Row],[TOURNAMENT_CODE]])</f>
        <v>08_2025-0_18-1_1_t_08_2025-0_18-1_1_4001</v>
      </c>
      <c r="AD519" t="str">
        <f>ВСЕ_КОДЫ[[#This Row],[FULL_NAME]]</f>
        <v>Марафон УК Первая</v>
      </c>
    </row>
    <row r="520" spans="1:30" hidden="1" x14ac:dyDescent="0.25">
      <c r="A520" s="1" t="s">
        <v>2272</v>
      </c>
      <c r="B520" s="1" t="s">
        <v>3575</v>
      </c>
      <c r="C520" s="1" t="s">
        <v>2491</v>
      </c>
      <c r="D520" s="1" t="s">
        <v>583</v>
      </c>
      <c r="E520" s="1" t="s">
        <v>2633</v>
      </c>
      <c r="F520" s="1" t="s">
        <v>2508</v>
      </c>
      <c r="G520" s="1" t="s">
        <v>27</v>
      </c>
      <c r="H520" s="1" t="s">
        <v>34</v>
      </c>
      <c r="I520" s="1" t="s">
        <v>50</v>
      </c>
      <c r="J520" s="1" t="s">
        <v>3219</v>
      </c>
      <c r="K520" s="1" t="s">
        <v>2542</v>
      </c>
      <c r="L520" s="1" t="s">
        <v>3545</v>
      </c>
      <c r="M520" s="1" t="s">
        <v>34</v>
      </c>
      <c r="N520" s="1" t="s">
        <v>305</v>
      </c>
      <c r="O520" s="1" t="s">
        <v>2763</v>
      </c>
      <c r="P520" s="1"/>
      <c r="Q520" s="1">
        <f>IFERROR(COUNTIFS(_report[TOURNAMENT_CODE],ВСЕ_КОДЫ[[#This Row],[TOURNAMENT_CODE]],_report[CONTEST_CODE],ВСЕ_КОДЫ[[#This Row],[CONTEST_CODE]]),"-")</f>
        <v>0</v>
      </c>
      <c r="R520" s="1" t="str">
        <f>IFERROR(INDEX(_SCHEDULE_[],MATCH(ВСЕ_КОДЫ[[#This Row],[CONTEST_CODE]],_SCHEDULE_[CONTEST_CODE],0),MATCH($R$1,_SCHEDULE_[#Headers],0)),"-")</f>
        <v>АКТИВНЫЙ</v>
      </c>
      <c r="S520" s="1" t="str">
        <f>IFERROR(INDEX(_group_[],MATCH(ВСЕ_КОДЫ[[#This Row],[CONTEST_CODE]],_group_[CONTEST_CODE],0),MATCH($S$1,_group_[#Headers],0)),"-")</f>
        <v>BANK</v>
      </c>
      <c r="T520" s="1" t="str">
        <f>IFERROR(INDEX(_INDICATOR_[],MATCH(ВСЕ_КОДЫ[[#This Row],[CONTEST_CODE]],_INDICATOR_[CONTEST_CODE],0),MATCH($T$1,_INDICATOR_[#Headers],0)),"-")</f>
        <v>WAIT</v>
      </c>
      <c r="U520" s="1" t="str">
        <f>IFERROR(INDEX(_reward_link_[],MATCH(ВСЕ_КОДЫ[[#This Row],[CONTEST_CODE]],_reward_link_[CONTEST_CODE],0),MATCH($U$1,_reward_link_[#Headers],0)),"-")</f>
        <v>BANK</v>
      </c>
      <c r="V520" s="1" t="str">
        <f>IFERROR(INDEX(_report[],MATCH(ВСЕ_КОДЫ[[#This Row],[CONTEST_CODE]],_report[CONTEST_CODE],0),MATCH($V$1,_report[#Headers],0)),"-")</f>
        <v>-</v>
      </c>
      <c r="W520" s="1" t="str">
        <f>IFERROR(INDEX(_reward_[],MATCH(ВСЕ_КОДЫ[[#This Row],[REWARD_CODE]],_reward_[REWARD_CODE],0),MATCH($W$1,_reward_[#Headers],0)),"-")</f>
        <v>Золото#по Турниру СФН</v>
      </c>
      <c r="X520" s="1" t="str">
        <f>IFERROR(INDEX(_group_[],MATCH(CONCATENATE(ВСЕ_КОДЫ[[#This Row],[CONTEST_CODE]],"_",X$2),#REF!,0),MATCH(X$1,_group_[#Headers],0)),"-")</f>
        <v>-</v>
      </c>
      <c r="Y520" s="1" t="str">
        <f>IFERROR(INDEX(_group_[],MATCH(CONCATENATE(ВСЕ_КОДЫ[[#This Row],[CONTEST_CODE]],"_",Y$2),#REF!,0),MATCH(Y$1,_group_[#Headers],0)),"-")</f>
        <v>-</v>
      </c>
      <c r="Z520" s="1" t="str">
        <f>IFERROR(INDEX(_group_[],MATCH(CONCATENATE(ВСЕ_КОДЫ[[#This Row],[CONTEST_CODE]],"_",Z$2),#REF!,0),MATCH(Z$1,_group_[#Headers],0)),"-")</f>
        <v>-</v>
      </c>
      <c r="AA520" s="1" t="str">
        <f>IFERROR(INDEX(_group_[],MATCH(CONCATENATE(ВСЕ_КОДЫ[[#This Row],[CONTEST_CODE]],"_",AA$2),#REF!,0),MATCH(AA$1,_group_[#Headers],0)),"-")</f>
        <v>-</v>
      </c>
      <c r="AB520" s="1" t="str">
        <f>IFERROR(INDEX(_DATA_[],MATCH(ВСЕ_КОДЫ[[#This Row],[CONTEST_CODE]],_DATA_[CONTEST_CODE],0),MATCH($AB$2,_DATA_[#Headers],0)),"-")</f>
        <v>["""RSB1"""]</v>
      </c>
      <c r="AC520" t="str">
        <f>CONCATENATE(ВСЕ_КОДЫ[[#This Row],[CONTEST_CODE]],"_",ВСЕ_КОДЫ[[#This Row],[TOURNAMENT_CODE]])</f>
        <v>08_2025-0_18-2_1_t_08_2025-0_18-2_1_4001</v>
      </c>
      <c r="AD520" t="str">
        <f>ВСЕ_КОДЫ[[#This Row],[FULL_NAME]]</f>
        <v>Турнир по квадратным метрам</v>
      </c>
    </row>
    <row r="521" spans="1:30" hidden="1" x14ac:dyDescent="0.25">
      <c r="A521" s="1" t="s">
        <v>2272</v>
      </c>
      <c r="B521" s="1" t="s">
        <v>3575</v>
      </c>
      <c r="C521" s="1" t="s">
        <v>2493</v>
      </c>
      <c r="D521" s="1" t="s">
        <v>583</v>
      </c>
      <c r="E521" s="1" t="s">
        <v>2633</v>
      </c>
      <c r="F521" s="1" t="s">
        <v>2508</v>
      </c>
      <c r="G521" s="1" t="s">
        <v>27</v>
      </c>
      <c r="H521" s="1" t="s">
        <v>34</v>
      </c>
      <c r="I521" s="1" t="s">
        <v>50</v>
      </c>
      <c r="J521" s="1" t="s">
        <v>3219</v>
      </c>
      <c r="K521" s="1" t="s">
        <v>2542</v>
      </c>
      <c r="L521" s="1" t="s">
        <v>3545</v>
      </c>
      <c r="M521" s="1" t="s">
        <v>34</v>
      </c>
      <c r="N521" s="1" t="s">
        <v>305</v>
      </c>
      <c r="O521" s="1" t="s">
        <v>2764</v>
      </c>
      <c r="P521" s="1"/>
      <c r="Q521" s="1">
        <f>IFERROR(COUNTIFS(_report[TOURNAMENT_CODE],ВСЕ_КОДЫ[[#This Row],[TOURNAMENT_CODE]],_report[CONTEST_CODE],ВСЕ_КОДЫ[[#This Row],[CONTEST_CODE]]),"-")</f>
        <v>0</v>
      </c>
      <c r="R521" s="1" t="str">
        <f>IFERROR(INDEX(_SCHEDULE_[],MATCH(ВСЕ_КОДЫ[[#This Row],[CONTEST_CODE]],_SCHEDULE_[CONTEST_CODE],0),MATCH($R$1,_SCHEDULE_[#Headers],0)),"-")</f>
        <v>АКТИВНЫЙ</v>
      </c>
      <c r="S521" s="1" t="str">
        <f>IFERROR(INDEX(_group_[],MATCH(ВСЕ_КОДЫ[[#This Row],[CONTEST_CODE]],_group_[CONTEST_CODE],0),MATCH($S$1,_group_[#Headers],0)),"-")</f>
        <v>BANK</v>
      </c>
      <c r="T521" s="1" t="str">
        <f>IFERROR(INDEX(_INDICATOR_[],MATCH(ВСЕ_КОДЫ[[#This Row],[CONTEST_CODE]],_INDICATOR_[CONTEST_CODE],0),MATCH($T$1,_INDICATOR_[#Headers],0)),"-")</f>
        <v>WAIT</v>
      </c>
      <c r="U521" s="1" t="str">
        <f>IFERROR(INDEX(_reward_link_[],MATCH(ВСЕ_КОДЫ[[#This Row],[CONTEST_CODE]],_reward_link_[CONTEST_CODE],0),MATCH($U$1,_reward_link_[#Headers],0)),"-")</f>
        <v>BANK</v>
      </c>
      <c r="V521" s="1" t="str">
        <f>IFERROR(INDEX(_report[],MATCH(ВСЕ_КОДЫ[[#This Row],[CONTEST_CODE]],_report[CONTEST_CODE],0),MATCH($V$1,_report[#Headers],0)),"-")</f>
        <v>-</v>
      </c>
      <c r="W521" s="1" t="str">
        <f>IFERROR(INDEX(_reward_[],MATCH(ВСЕ_КОДЫ[[#This Row],[REWARD_CODE]],_reward_[REWARD_CODE],0),MATCH($W$1,_reward_[#Headers],0)),"-")</f>
        <v>Серебро#по Турниру СФН</v>
      </c>
      <c r="X521" s="1" t="str">
        <f>IFERROR(INDEX(_group_[],MATCH(CONCATENATE(ВСЕ_КОДЫ[[#This Row],[CONTEST_CODE]],"_",X$2),#REF!,0),MATCH(X$1,_group_[#Headers],0)),"-")</f>
        <v>-</v>
      </c>
      <c r="Y521" s="1" t="str">
        <f>IFERROR(INDEX(_group_[],MATCH(CONCATENATE(ВСЕ_КОДЫ[[#This Row],[CONTEST_CODE]],"_",Y$2),#REF!,0),MATCH(Y$1,_group_[#Headers],0)),"-")</f>
        <v>-</v>
      </c>
      <c r="Z521" s="1" t="str">
        <f>IFERROR(INDEX(_group_[],MATCH(CONCATENATE(ВСЕ_КОДЫ[[#This Row],[CONTEST_CODE]],"_",Z$2),#REF!,0),MATCH(Z$1,_group_[#Headers],0)),"-")</f>
        <v>-</v>
      </c>
      <c r="AA521" s="1" t="str">
        <f>IFERROR(INDEX(_group_[],MATCH(CONCATENATE(ВСЕ_КОДЫ[[#This Row],[CONTEST_CODE]],"_",AA$2),#REF!,0),MATCH(AA$1,_group_[#Headers],0)),"-")</f>
        <v>-</v>
      </c>
      <c r="AB521" s="1" t="str">
        <f>IFERROR(INDEX(_DATA_[],MATCH(ВСЕ_КОДЫ[[#This Row],[CONTEST_CODE]],_DATA_[CONTEST_CODE],0),MATCH($AB$2,_DATA_[#Headers],0)),"-")</f>
        <v>["""RSB1"""]</v>
      </c>
      <c r="AC521" t="str">
        <f>CONCATENATE(ВСЕ_КОДЫ[[#This Row],[CONTEST_CODE]],"_",ВСЕ_КОДЫ[[#This Row],[TOURNAMENT_CODE]])</f>
        <v>08_2025-0_18-2_1_t_08_2025-0_18-2_1_4001</v>
      </c>
      <c r="AD521" t="str">
        <f>ВСЕ_КОДЫ[[#This Row],[FULL_NAME]]</f>
        <v>Турнир по квадратным метрам</v>
      </c>
    </row>
    <row r="522" spans="1:30" hidden="1" x14ac:dyDescent="0.25">
      <c r="A522" s="1" t="s">
        <v>2272</v>
      </c>
      <c r="B522" s="1" t="s">
        <v>3575</v>
      </c>
      <c r="C522" s="1" t="s">
        <v>2494</v>
      </c>
      <c r="D522" s="1" t="s">
        <v>583</v>
      </c>
      <c r="E522" s="1" t="s">
        <v>2633</v>
      </c>
      <c r="F522" s="1" t="s">
        <v>2508</v>
      </c>
      <c r="G522" s="1" t="s">
        <v>27</v>
      </c>
      <c r="H522" s="1" t="s">
        <v>34</v>
      </c>
      <c r="I522" s="1" t="s">
        <v>50</v>
      </c>
      <c r="J522" s="1" t="s">
        <v>3219</v>
      </c>
      <c r="K522" s="1" t="s">
        <v>2542</v>
      </c>
      <c r="L522" s="1" t="s">
        <v>3545</v>
      </c>
      <c r="M522" s="1" t="s">
        <v>34</v>
      </c>
      <c r="N522" s="1" t="s">
        <v>305</v>
      </c>
      <c r="O522" s="1" t="s">
        <v>2765</v>
      </c>
      <c r="P522" s="1"/>
      <c r="Q522" s="1">
        <f>IFERROR(COUNTIFS(_report[TOURNAMENT_CODE],ВСЕ_КОДЫ[[#This Row],[TOURNAMENT_CODE]],_report[CONTEST_CODE],ВСЕ_КОДЫ[[#This Row],[CONTEST_CODE]]),"-")</f>
        <v>0</v>
      </c>
      <c r="R522" s="1" t="str">
        <f>IFERROR(INDEX(_SCHEDULE_[],MATCH(ВСЕ_КОДЫ[[#This Row],[CONTEST_CODE]],_SCHEDULE_[CONTEST_CODE],0),MATCH($R$1,_SCHEDULE_[#Headers],0)),"-")</f>
        <v>АКТИВНЫЙ</v>
      </c>
      <c r="S522" s="1" t="str">
        <f>IFERROR(INDEX(_group_[],MATCH(ВСЕ_КОДЫ[[#This Row],[CONTEST_CODE]],_group_[CONTEST_CODE],0),MATCH($S$1,_group_[#Headers],0)),"-")</f>
        <v>BANK</v>
      </c>
      <c r="T522" s="1" t="str">
        <f>IFERROR(INDEX(_INDICATOR_[],MATCH(ВСЕ_КОДЫ[[#This Row],[CONTEST_CODE]],_INDICATOR_[CONTEST_CODE],0),MATCH($T$1,_INDICATOR_[#Headers],0)),"-")</f>
        <v>WAIT</v>
      </c>
      <c r="U522" s="1" t="str">
        <f>IFERROR(INDEX(_reward_link_[],MATCH(ВСЕ_КОДЫ[[#This Row],[CONTEST_CODE]],_reward_link_[CONTEST_CODE],0),MATCH($U$1,_reward_link_[#Headers],0)),"-")</f>
        <v>BANK</v>
      </c>
      <c r="V522" s="1" t="str">
        <f>IFERROR(INDEX(_report[],MATCH(ВСЕ_КОДЫ[[#This Row],[CONTEST_CODE]],_report[CONTEST_CODE],0),MATCH($V$1,_report[#Headers],0)),"-")</f>
        <v>-</v>
      </c>
      <c r="W522" s="1" t="str">
        <f>IFERROR(INDEX(_reward_[],MATCH(ВСЕ_КОДЫ[[#This Row],[REWARD_CODE]],_reward_[REWARD_CODE],0),MATCH($W$1,_reward_[#Headers],0)),"-")</f>
        <v>Бронза#по Турниру СФН</v>
      </c>
      <c r="X522" s="1" t="str">
        <f>IFERROR(INDEX(_group_[],MATCH(CONCATENATE(ВСЕ_КОДЫ[[#This Row],[CONTEST_CODE]],"_",X$2),#REF!,0),MATCH(X$1,_group_[#Headers],0)),"-")</f>
        <v>-</v>
      </c>
      <c r="Y522" s="1" t="str">
        <f>IFERROR(INDEX(_group_[],MATCH(CONCATENATE(ВСЕ_КОДЫ[[#This Row],[CONTEST_CODE]],"_",Y$2),#REF!,0),MATCH(Y$1,_group_[#Headers],0)),"-")</f>
        <v>-</v>
      </c>
      <c r="Z522" s="1" t="str">
        <f>IFERROR(INDEX(_group_[],MATCH(CONCATENATE(ВСЕ_КОДЫ[[#This Row],[CONTEST_CODE]],"_",Z$2),#REF!,0),MATCH(Z$1,_group_[#Headers],0)),"-")</f>
        <v>-</v>
      </c>
      <c r="AA522" s="1" t="str">
        <f>IFERROR(INDEX(_group_[],MATCH(CONCATENATE(ВСЕ_КОДЫ[[#This Row],[CONTEST_CODE]],"_",AA$2),#REF!,0),MATCH(AA$1,_group_[#Headers],0)),"-")</f>
        <v>-</v>
      </c>
      <c r="AB522" s="1" t="str">
        <f>IFERROR(INDEX(_DATA_[],MATCH(ВСЕ_КОДЫ[[#This Row],[CONTEST_CODE]],_DATA_[CONTEST_CODE],0),MATCH($AB$2,_DATA_[#Headers],0)),"-")</f>
        <v>["""RSB1"""]</v>
      </c>
      <c r="AC522" t="str">
        <f>CONCATENATE(ВСЕ_КОДЫ[[#This Row],[CONTEST_CODE]],"_",ВСЕ_КОДЫ[[#This Row],[TOURNAMENT_CODE]])</f>
        <v>08_2025-0_18-2_1_t_08_2025-0_18-2_1_4001</v>
      </c>
      <c r="AD522" t="str">
        <f>ВСЕ_КОДЫ[[#This Row],[FULL_NAME]]</f>
        <v>Турнир по квадратным метрам</v>
      </c>
    </row>
    <row r="523" spans="1:30" hidden="1" x14ac:dyDescent="0.25">
      <c r="A523" s="1" t="s">
        <v>2274</v>
      </c>
      <c r="B523" s="1" t="s">
        <v>3577</v>
      </c>
      <c r="C523" s="1" t="s">
        <v>2495</v>
      </c>
      <c r="D523" s="1" t="s">
        <v>583</v>
      </c>
      <c r="E523" s="1" t="s">
        <v>2635</v>
      </c>
      <c r="F523" s="1" t="s">
        <v>2508</v>
      </c>
      <c r="G523" s="1" t="s">
        <v>27</v>
      </c>
      <c r="H523" s="1" t="s">
        <v>34</v>
      </c>
      <c r="I523" s="1" t="s">
        <v>50</v>
      </c>
      <c r="J523" s="1" t="s">
        <v>3219</v>
      </c>
      <c r="K523" s="1" t="s">
        <v>2542</v>
      </c>
      <c r="L523" s="1" t="s">
        <v>3545</v>
      </c>
      <c r="M523" s="1" t="s">
        <v>34</v>
      </c>
      <c r="N523" s="1" t="s">
        <v>305</v>
      </c>
      <c r="O523" s="1" t="s">
        <v>2766</v>
      </c>
      <c r="P523" s="1"/>
      <c r="Q523" s="1">
        <f>IFERROR(COUNTIFS(_report[TOURNAMENT_CODE],ВСЕ_КОДЫ[[#This Row],[TOURNAMENT_CODE]],_report[CONTEST_CODE],ВСЕ_КОДЫ[[#This Row],[CONTEST_CODE]]),"-")</f>
        <v>0</v>
      </c>
      <c r="R523" s="1" t="str">
        <f>IFERROR(INDEX(_SCHEDULE_[],MATCH(ВСЕ_КОДЫ[[#This Row],[CONTEST_CODE]],_SCHEDULE_[CONTEST_CODE],0),MATCH($R$1,_SCHEDULE_[#Headers],0)),"-")</f>
        <v>АКТИВНЫЙ</v>
      </c>
      <c r="S523" s="1" t="str">
        <f>IFERROR(INDEX(_group_[],MATCH(ВСЕ_КОДЫ[[#This Row],[CONTEST_CODE]],_group_[CONTEST_CODE],0),MATCH($S$1,_group_[#Headers],0)),"-")</f>
        <v>BANK</v>
      </c>
      <c r="T523" s="1" t="str">
        <f>IFERROR(INDEX(_INDICATOR_[],MATCH(ВСЕ_КОДЫ[[#This Row],[CONTEST_CODE]],_INDICATOR_[CONTEST_CODE],0),MATCH($T$1,_INDICATOR_[#Headers],0)),"-")</f>
        <v>WAIT</v>
      </c>
      <c r="U523" s="1" t="str">
        <f>IFERROR(INDEX(_reward_link_[],MATCH(ВСЕ_КОДЫ[[#This Row],[CONTEST_CODE]],_reward_link_[CONTEST_CODE],0),MATCH($U$1,_reward_link_[#Headers],0)),"-")</f>
        <v>BANK</v>
      </c>
      <c r="V523" s="1" t="str">
        <f>IFERROR(INDEX(_report[],MATCH(ВСЕ_КОДЫ[[#This Row],[CONTEST_CODE]],_report[CONTEST_CODE],0),MATCH($V$1,_report[#Headers],0)),"-")</f>
        <v>-</v>
      </c>
      <c r="W523" s="1" t="str">
        <f>IFERROR(INDEX(_reward_[],MATCH(ВСЕ_КОДЫ[[#This Row],[REWARD_CODE]],_reward_[REWARD_CODE],0),MATCH($W$1,_reward_[#Headers],0)),"-")</f>
        <v>Золото#по Турниру Брокера</v>
      </c>
      <c r="X523" s="1" t="str">
        <f>IFERROR(INDEX(_group_[],MATCH(CONCATENATE(ВСЕ_КОДЫ[[#This Row],[CONTEST_CODE]],"_",X$2),#REF!,0),MATCH(X$1,_group_[#Headers],0)),"-")</f>
        <v>-</v>
      </c>
      <c r="Y523" s="1" t="str">
        <f>IFERROR(INDEX(_group_[],MATCH(CONCATENATE(ВСЕ_КОДЫ[[#This Row],[CONTEST_CODE]],"_",Y$2),#REF!,0),MATCH(Y$1,_group_[#Headers],0)),"-")</f>
        <v>-</v>
      </c>
      <c r="Z523" s="1" t="str">
        <f>IFERROR(INDEX(_group_[],MATCH(CONCATENATE(ВСЕ_КОДЫ[[#This Row],[CONTEST_CODE]],"_",Z$2),#REF!,0),MATCH(Z$1,_group_[#Headers],0)),"-")</f>
        <v>-</v>
      </c>
      <c r="AA523" s="1" t="str">
        <f>IFERROR(INDEX(_group_[],MATCH(CONCATENATE(ВСЕ_КОДЫ[[#This Row],[CONTEST_CODE]],"_",AA$2),#REF!,0),MATCH(AA$1,_group_[#Headers],0)),"-")</f>
        <v>-</v>
      </c>
      <c r="AB523" s="1" t="str">
        <f>IFERROR(INDEX(_DATA_[],MATCH(ВСЕ_КОДЫ[[#This Row],[CONTEST_CODE]],_DATA_[CONTEST_CODE],0),MATCH($AB$2,_DATA_[#Headers],0)),"-")</f>
        <v>["""RSB1"""]</v>
      </c>
      <c r="AC523" t="str">
        <f>CONCATENATE(ВСЕ_КОДЫ[[#This Row],[CONTEST_CODE]],"_",ВСЕ_КОДЫ[[#This Row],[TOURNAMENT_CODE]])</f>
        <v>08_2025-0_18-3_1_t_08_2025-0_18-3_1_4001</v>
      </c>
      <c r="AD523" t="str">
        <f>ВСЕ_КОДЫ[[#This Row],[FULL_NAME]]</f>
        <v>Ралли брокера</v>
      </c>
    </row>
    <row r="524" spans="1:30" hidden="1" x14ac:dyDescent="0.25">
      <c r="A524" s="1" t="s">
        <v>2274</v>
      </c>
      <c r="B524" s="1" t="s">
        <v>3577</v>
      </c>
      <c r="C524" s="1" t="s">
        <v>2497</v>
      </c>
      <c r="D524" s="1" t="s">
        <v>583</v>
      </c>
      <c r="E524" s="1" t="s">
        <v>2635</v>
      </c>
      <c r="F524" s="1" t="s">
        <v>2508</v>
      </c>
      <c r="G524" s="1" t="s">
        <v>27</v>
      </c>
      <c r="H524" s="1" t="s">
        <v>34</v>
      </c>
      <c r="I524" s="1" t="s">
        <v>50</v>
      </c>
      <c r="J524" s="1" t="s">
        <v>3219</v>
      </c>
      <c r="K524" s="1" t="s">
        <v>2542</v>
      </c>
      <c r="L524" s="1" t="s">
        <v>3545</v>
      </c>
      <c r="M524" s="1" t="s">
        <v>34</v>
      </c>
      <c r="N524" s="1" t="s">
        <v>305</v>
      </c>
      <c r="O524" s="1" t="s">
        <v>2767</v>
      </c>
      <c r="P524" s="1"/>
      <c r="Q524" s="1">
        <f>IFERROR(COUNTIFS(_report[TOURNAMENT_CODE],ВСЕ_КОДЫ[[#This Row],[TOURNAMENT_CODE]],_report[CONTEST_CODE],ВСЕ_КОДЫ[[#This Row],[CONTEST_CODE]]),"-")</f>
        <v>0</v>
      </c>
      <c r="R524" s="1" t="str">
        <f>IFERROR(INDEX(_SCHEDULE_[],MATCH(ВСЕ_КОДЫ[[#This Row],[CONTEST_CODE]],_SCHEDULE_[CONTEST_CODE],0),MATCH($R$1,_SCHEDULE_[#Headers],0)),"-")</f>
        <v>АКТИВНЫЙ</v>
      </c>
      <c r="S524" s="1" t="str">
        <f>IFERROR(INDEX(_group_[],MATCH(ВСЕ_КОДЫ[[#This Row],[CONTEST_CODE]],_group_[CONTEST_CODE],0),MATCH($S$1,_group_[#Headers],0)),"-")</f>
        <v>BANK</v>
      </c>
      <c r="T524" s="1" t="str">
        <f>IFERROR(INDEX(_INDICATOR_[],MATCH(ВСЕ_КОДЫ[[#This Row],[CONTEST_CODE]],_INDICATOR_[CONTEST_CODE],0),MATCH($T$1,_INDICATOR_[#Headers],0)),"-")</f>
        <v>WAIT</v>
      </c>
      <c r="U524" s="1" t="str">
        <f>IFERROR(INDEX(_reward_link_[],MATCH(ВСЕ_КОДЫ[[#This Row],[CONTEST_CODE]],_reward_link_[CONTEST_CODE],0),MATCH($U$1,_reward_link_[#Headers],0)),"-")</f>
        <v>BANK</v>
      </c>
      <c r="V524" s="1" t="str">
        <f>IFERROR(INDEX(_report[],MATCH(ВСЕ_КОДЫ[[#This Row],[CONTEST_CODE]],_report[CONTEST_CODE],0),MATCH($V$1,_report[#Headers],0)),"-")</f>
        <v>-</v>
      </c>
      <c r="W524" s="1" t="str">
        <f>IFERROR(INDEX(_reward_[],MATCH(ВСЕ_КОДЫ[[#This Row],[REWARD_CODE]],_reward_[REWARD_CODE],0),MATCH($W$1,_reward_[#Headers],0)),"-")</f>
        <v>Серебро#по Турниру Брокера</v>
      </c>
      <c r="X524" s="1" t="str">
        <f>IFERROR(INDEX(_group_[],MATCH(CONCATENATE(ВСЕ_КОДЫ[[#This Row],[CONTEST_CODE]],"_",X$2),#REF!,0),MATCH(X$1,_group_[#Headers],0)),"-")</f>
        <v>-</v>
      </c>
      <c r="Y524" s="1" t="str">
        <f>IFERROR(INDEX(_group_[],MATCH(CONCATENATE(ВСЕ_КОДЫ[[#This Row],[CONTEST_CODE]],"_",Y$2),#REF!,0),MATCH(Y$1,_group_[#Headers],0)),"-")</f>
        <v>-</v>
      </c>
      <c r="Z524" s="1" t="str">
        <f>IFERROR(INDEX(_group_[],MATCH(CONCATENATE(ВСЕ_КОДЫ[[#This Row],[CONTEST_CODE]],"_",Z$2),#REF!,0),MATCH(Z$1,_group_[#Headers],0)),"-")</f>
        <v>-</v>
      </c>
      <c r="AA524" s="1" t="str">
        <f>IFERROR(INDEX(_group_[],MATCH(CONCATENATE(ВСЕ_КОДЫ[[#This Row],[CONTEST_CODE]],"_",AA$2),#REF!,0),MATCH(AA$1,_group_[#Headers],0)),"-")</f>
        <v>-</v>
      </c>
      <c r="AB524" s="1" t="str">
        <f>IFERROR(INDEX(_DATA_[],MATCH(ВСЕ_КОДЫ[[#This Row],[CONTEST_CODE]],_DATA_[CONTEST_CODE],0),MATCH($AB$2,_DATA_[#Headers],0)),"-")</f>
        <v>["""RSB1"""]</v>
      </c>
      <c r="AC524" t="str">
        <f>CONCATENATE(ВСЕ_КОДЫ[[#This Row],[CONTEST_CODE]],"_",ВСЕ_КОДЫ[[#This Row],[TOURNAMENT_CODE]])</f>
        <v>08_2025-0_18-3_1_t_08_2025-0_18-3_1_4001</v>
      </c>
      <c r="AD524" t="str">
        <f>ВСЕ_КОДЫ[[#This Row],[FULL_NAME]]</f>
        <v>Ралли брокера</v>
      </c>
    </row>
    <row r="525" spans="1:30" hidden="1" x14ac:dyDescent="0.25">
      <c r="A525" s="1" t="s">
        <v>2274</v>
      </c>
      <c r="B525" s="1" t="s">
        <v>3577</v>
      </c>
      <c r="C525" s="1" t="s">
        <v>2499</v>
      </c>
      <c r="D525" s="1" t="s">
        <v>583</v>
      </c>
      <c r="E525" s="1" t="s">
        <v>2635</v>
      </c>
      <c r="F525" s="1" t="s">
        <v>2508</v>
      </c>
      <c r="G525" s="1" t="s">
        <v>27</v>
      </c>
      <c r="H525" s="1" t="s">
        <v>34</v>
      </c>
      <c r="I525" s="1" t="s">
        <v>50</v>
      </c>
      <c r="J525" s="1" t="s">
        <v>3219</v>
      </c>
      <c r="K525" s="1" t="s">
        <v>2542</v>
      </c>
      <c r="L525" s="1" t="s">
        <v>3545</v>
      </c>
      <c r="M525" s="1" t="s">
        <v>34</v>
      </c>
      <c r="N525" s="1" t="s">
        <v>305</v>
      </c>
      <c r="O525" s="1" t="s">
        <v>2768</v>
      </c>
      <c r="P525" s="1"/>
      <c r="Q525" s="1">
        <f>IFERROR(COUNTIFS(_report[TOURNAMENT_CODE],ВСЕ_КОДЫ[[#This Row],[TOURNAMENT_CODE]],_report[CONTEST_CODE],ВСЕ_КОДЫ[[#This Row],[CONTEST_CODE]]),"-")</f>
        <v>0</v>
      </c>
      <c r="R525" s="1" t="str">
        <f>IFERROR(INDEX(_SCHEDULE_[],MATCH(ВСЕ_КОДЫ[[#This Row],[CONTEST_CODE]],_SCHEDULE_[CONTEST_CODE],0),MATCH($R$1,_SCHEDULE_[#Headers],0)),"-")</f>
        <v>АКТИВНЫЙ</v>
      </c>
      <c r="S525" s="1" t="str">
        <f>IFERROR(INDEX(_group_[],MATCH(ВСЕ_КОДЫ[[#This Row],[CONTEST_CODE]],_group_[CONTEST_CODE],0),MATCH($S$1,_group_[#Headers],0)),"-")</f>
        <v>BANK</v>
      </c>
      <c r="T525" s="1" t="str">
        <f>IFERROR(INDEX(_INDICATOR_[],MATCH(ВСЕ_КОДЫ[[#This Row],[CONTEST_CODE]],_INDICATOR_[CONTEST_CODE],0),MATCH($T$1,_INDICATOR_[#Headers],0)),"-")</f>
        <v>WAIT</v>
      </c>
      <c r="U525" s="1" t="str">
        <f>IFERROR(INDEX(_reward_link_[],MATCH(ВСЕ_КОДЫ[[#This Row],[CONTEST_CODE]],_reward_link_[CONTEST_CODE],0),MATCH($U$1,_reward_link_[#Headers],0)),"-")</f>
        <v>BANK</v>
      </c>
      <c r="V525" s="1" t="str">
        <f>IFERROR(INDEX(_report[],MATCH(ВСЕ_КОДЫ[[#This Row],[CONTEST_CODE]],_report[CONTEST_CODE],0),MATCH($V$1,_report[#Headers],0)),"-")</f>
        <v>-</v>
      </c>
      <c r="W525" s="1" t="str">
        <f>IFERROR(INDEX(_reward_[],MATCH(ВСЕ_КОДЫ[[#This Row],[REWARD_CODE]],_reward_[REWARD_CODE],0),MATCH($W$1,_reward_[#Headers],0)),"-")</f>
        <v>Бронза#по Турниру Брокера</v>
      </c>
      <c r="X525" s="1" t="str">
        <f>IFERROR(INDEX(_group_[],MATCH(CONCATENATE(ВСЕ_КОДЫ[[#This Row],[CONTEST_CODE]],"_",X$2),#REF!,0),MATCH(X$1,_group_[#Headers],0)),"-")</f>
        <v>-</v>
      </c>
      <c r="Y525" s="1" t="str">
        <f>IFERROR(INDEX(_group_[],MATCH(CONCATENATE(ВСЕ_КОДЫ[[#This Row],[CONTEST_CODE]],"_",Y$2),#REF!,0),MATCH(Y$1,_group_[#Headers],0)),"-")</f>
        <v>-</v>
      </c>
      <c r="Z525" s="1" t="str">
        <f>IFERROR(INDEX(_group_[],MATCH(CONCATENATE(ВСЕ_КОДЫ[[#This Row],[CONTEST_CODE]],"_",Z$2),#REF!,0),MATCH(Z$1,_group_[#Headers],0)),"-")</f>
        <v>-</v>
      </c>
      <c r="AA525" s="1" t="str">
        <f>IFERROR(INDEX(_group_[],MATCH(CONCATENATE(ВСЕ_КОДЫ[[#This Row],[CONTEST_CODE]],"_",AA$2),#REF!,0),MATCH(AA$1,_group_[#Headers],0)),"-")</f>
        <v>-</v>
      </c>
      <c r="AB525" s="1" t="str">
        <f>IFERROR(INDEX(_DATA_[],MATCH(ВСЕ_КОДЫ[[#This Row],[CONTEST_CODE]],_DATA_[CONTEST_CODE],0),MATCH($AB$2,_DATA_[#Headers],0)),"-")</f>
        <v>["""RSB1"""]</v>
      </c>
      <c r="AC525" t="str">
        <f>CONCATENATE(ВСЕ_КОДЫ[[#This Row],[CONTEST_CODE]],"_",ВСЕ_КОДЫ[[#This Row],[TOURNAMENT_CODE]])</f>
        <v>08_2025-0_18-3_1_t_08_2025-0_18-3_1_4001</v>
      </c>
      <c r="AD525" t="str">
        <f>ВСЕ_КОДЫ[[#This Row],[FULL_NAME]]</f>
        <v>Ралли брокера</v>
      </c>
    </row>
    <row r="526" spans="1:30" hidden="1" x14ac:dyDescent="0.25">
      <c r="A526" s="1" t="s">
        <v>2276</v>
      </c>
      <c r="B526" s="1" t="s">
        <v>3579</v>
      </c>
      <c r="C526" s="1" t="s">
        <v>2501</v>
      </c>
      <c r="D526" s="1" t="s">
        <v>583</v>
      </c>
      <c r="E526" s="1" t="s">
        <v>2638</v>
      </c>
      <c r="F526" s="1" t="s">
        <v>2508</v>
      </c>
      <c r="G526" s="1" t="s">
        <v>27</v>
      </c>
      <c r="H526" s="1" t="s">
        <v>34</v>
      </c>
      <c r="I526" s="1" t="s">
        <v>50</v>
      </c>
      <c r="J526" s="1" t="s">
        <v>3219</v>
      </c>
      <c r="K526" s="1" t="s">
        <v>2542</v>
      </c>
      <c r="L526" s="1" t="s">
        <v>3545</v>
      </c>
      <c r="M526" s="1" t="s">
        <v>34</v>
      </c>
      <c r="N526" s="1" t="s">
        <v>305</v>
      </c>
      <c r="O526" s="1" t="s">
        <v>2769</v>
      </c>
      <c r="P526" s="1"/>
      <c r="Q526" s="1">
        <f>IFERROR(COUNTIFS(_report[TOURNAMENT_CODE],ВСЕ_КОДЫ[[#This Row],[TOURNAMENT_CODE]],_report[CONTEST_CODE],ВСЕ_КОДЫ[[#This Row],[CONTEST_CODE]]),"-")</f>
        <v>0</v>
      </c>
      <c r="R526" s="1" t="str">
        <f>IFERROR(INDEX(_SCHEDULE_[],MATCH(ВСЕ_КОДЫ[[#This Row],[CONTEST_CODE]],_SCHEDULE_[CONTEST_CODE],0),MATCH($R$1,_SCHEDULE_[#Headers],0)),"-")</f>
        <v>АКТИВНЫЙ</v>
      </c>
      <c r="S526" s="1" t="str">
        <f>IFERROR(INDEX(_group_[],MATCH(ВСЕ_КОДЫ[[#This Row],[CONTEST_CODE]],_group_[CONTEST_CODE],0),MATCH($S$1,_group_[#Headers],0)),"-")</f>
        <v>BANK</v>
      </c>
      <c r="T526" s="1" t="str">
        <f>IFERROR(INDEX(_INDICATOR_[],MATCH(ВСЕ_КОДЫ[[#This Row],[CONTEST_CODE]],_INDICATOR_[CONTEST_CODE],0),MATCH($T$1,_INDICATOR_[#Headers],0)),"-")</f>
        <v>WAIT</v>
      </c>
      <c r="U526" s="1" t="str">
        <f>IFERROR(INDEX(_reward_link_[],MATCH(ВСЕ_КОДЫ[[#This Row],[CONTEST_CODE]],_reward_link_[CONTEST_CODE],0),MATCH($U$1,_reward_link_[#Headers],0)),"-")</f>
        <v>BANK</v>
      </c>
      <c r="V526" s="1" t="str">
        <f>IFERROR(INDEX(_report[],MATCH(ВСЕ_КОДЫ[[#This Row],[CONTEST_CODE]],_report[CONTEST_CODE],0),MATCH($V$1,_report[#Headers],0)),"-")</f>
        <v>-</v>
      </c>
      <c r="W526" s="1" t="str">
        <f>IFERROR(INDEX(_reward_[],MATCH(ВСЕ_КОДЫ[[#This Row],[REWARD_CODE]],_reward_[REWARD_CODE],0),MATCH($W$1,_reward_[#Headers],0)),"-")</f>
        <v>Золото#по Турниру СБСЖ</v>
      </c>
      <c r="X526" s="1" t="str">
        <f>IFERROR(INDEX(_group_[],MATCH(CONCATENATE(ВСЕ_КОДЫ[[#This Row],[CONTEST_CODE]],"_",X$2),#REF!,0),MATCH(X$1,_group_[#Headers],0)),"-")</f>
        <v>-</v>
      </c>
      <c r="Y526" s="1" t="str">
        <f>IFERROR(INDEX(_group_[],MATCH(CONCATENATE(ВСЕ_КОДЫ[[#This Row],[CONTEST_CODE]],"_",Y$2),#REF!,0),MATCH(Y$1,_group_[#Headers],0)),"-")</f>
        <v>-</v>
      </c>
      <c r="Z526" s="1" t="str">
        <f>IFERROR(INDEX(_group_[],MATCH(CONCATENATE(ВСЕ_КОДЫ[[#This Row],[CONTEST_CODE]],"_",Z$2),#REF!,0),MATCH(Z$1,_group_[#Headers],0)),"-")</f>
        <v>-</v>
      </c>
      <c r="AA526" s="1" t="str">
        <f>IFERROR(INDEX(_group_[],MATCH(CONCATENATE(ВСЕ_КОДЫ[[#This Row],[CONTEST_CODE]],"_",AA$2),#REF!,0),MATCH(AA$1,_group_[#Headers],0)),"-")</f>
        <v>-</v>
      </c>
      <c r="AB526" s="1" t="str">
        <f>IFERROR(INDEX(_DATA_[],MATCH(ВСЕ_КОДЫ[[#This Row],[CONTEST_CODE]],_DATA_[CONTEST_CODE],0),MATCH($AB$2,_DATA_[#Headers],0)),"-")</f>
        <v>["""RSB1"""]</v>
      </c>
      <c r="AC526" t="str">
        <f>CONCATENATE(ВСЕ_КОДЫ[[#This Row],[CONTEST_CODE]],"_",ВСЕ_КОДЫ[[#This Row],[TOURNAMENT_CODE]])</f>
        <v>08_2025-0_18-4_1_t_08_2025-0_18-4_1_4001</v>
      </c>
      <c r="AD526" t="str">
        <f>ВСЕ_КОДЫ[[#This Row],[FULL_NAME]]</f>
        <v>Страховой олимп</v>
      </c>
    </row>
    <row r="527" spans="1:30" hidden="1" x14ac:dyDescent="0.25">
      <c r="A527" s="1" t="s">
        <v>2276</v>
      </c>
      <c r="B527" s="1" t="s">
        <v>3579</v>
      </c>
      <c r="C527" s="1" t="s">
        <v>2503</v>
      </c>
      <c r="D527" s="1" t="s">
        <v>583</v>
      </c>
      <c r="E527" s="1" t="s">
        <v>2638</v>
      </c>
      <c r="F527" s="1" t="s">
        <v>2508</v>
      </c>
      <c r="G527" s="1" t="s">
        <v>27</v>
      </c>
      <c r="H527" s="1" t="s">
        <v>34</v>
      </c>
      <c r="I527" s="1" t="s">
        <v>50</v>
      </c>
      <c r="J527" s="1" t="s">
        <v>3219</v>
      </c>
      <c r="K527" s="1" t="s">
        <v>2542</v>
      </c>
      <c r="L527" s="1" t="s">
        <v>3545</v>
      </c>
      <c r="M527" s="1" t="s">
        <v>34</v>
      </c>
      <c r="N527" s="1" t="s">
        <v>305</v>
      </c>
      <c r="O527" s="1" t="s">
        <v>2770</v>
      </c>
      <c r="Q527">
        <f>IFERROR(COUNTIFS(_report[TOURNAMENT_CODE],ВСЕ_КОДЫ[[#This Row],[TOURNAMENT_CODE]],_report[CONTEST_CODE],ВСЕ_КОДЫ[[#This Row],[CONTEST_CODE]]),"-")</f>
        <v>0</v>
      </c>
      <c r="R527" s="1" t="str">
        <f>IFERROR(INDEX(_SCHEDULE_[],MATCH(ВСЕ_КОДЫ[[#This Row],[CONTEST_CODE]],_SCHEDULE_[CONTEST_CODE],0),MATCH($R$1,_SCHEDULE_[#Headers],0)),"-")</f>
        <v>АКТИВНЫЙ</v>
      </c>
      <c r="S527" s="1" t="str">
        <f>IFERROR(INDEX(_group_[],MATCH(ВСЕ_КОДЫ[[#This Row],[CONTEST_CODE]],_group_[CONTEST_CODE],0),MATCH($S$1,_group_[#Headers],0)),"-")</f>
        <v>BANK</v>
      </c>
      <c r="T527" s="1" t="str">
        <f>IFERROR(INDEX(_INDICATOR_[],MATCH(ВСЕ_КОДЫ[[#This Row],[CONTEST_CODE]],_INDICATOR_[CONTEST_CODE],0),MATCH($T$1,_INDICATOR_[#Headers],0)),"-")</f>
        <v>WAIT</v>
      </c>
      <c r="U527" s="1" t="str">
        <f>IFERROR(INDEX(_reward_link_[],MATCH(ВСЕ_КОДЫ[[#This Row],[CONTEST_CODE]],_reward_link_[CONTEST_CODE],0),MATCH($U$1,_reward_link_[#Headers],0)),"-")</f>
        <v>BANK</v>
      </c>
      <c r="V527" s="1" t="str">
        <f>IFERROR(INDEX(_report[],MATCH(ВСЕ_КОДЫ[[#This Row],[CONTEST_CODE]],_report[CONTEST_CODE],0),MATCH($V$1,_report[#Headers],0)),"-")</f>
        <v>-</v>
      </c>
      <c r="W527" s="1" t="str">
        <f>IFERROR(INDEX(_reward_[],MATCH(ВСЕ_КОДЫ[[#This Row],[REWARD_CODE]],_reward_[REWARD_CODE],0),MATCH($W$1,_reward_[#Headers],0)),"-")</f>
        <v>Серебро#по Турниру СБСЖ</v>
      </c>
      <c r="X527" s="1" t="str">
        <f>IFERROR(INDEX(_group_[],MATCH(CONCATENATE(ВСЕ_КОДЫ[[#This Row],[CONTEST_CODE]],"_",X$2),#REF!,0),MATCH(X$1,_group_[#Headers],0)),"-")</f>
        <v>-</v>
      </c>
      <c r="Y527" s="1" t="str">
        <f>IFERROR(INDEX(_group_[],MATCH(CONCATENATE(ВСЕ_КОДЫ[[#This Row],[CONTEST_CODE]],"_",Y$2),#REF!,0),MATCH(Y$1,_group_[#Headers],0)),"-")</f>
        <v>-</v>
      </c>
      <c r="Z527" s="1" t="str">
        <f>IFERROR(INDEX(_group_[],MATCH(CONCATENATE(ВСЕ_КОДЫ[[#This Row],[CONTEST_CODE]],"_",Z$2),#REF!,0),MATCH(Z$1,_group_[#Headers],0)),"-")</f>
        <v>-</v>
      </c>
      <c r="AA527" s="1" t="str">
        <f>IFERROR(INDEX(_group_[],MATCH(CONCATENATE(ВСЕ_КОДЫ[[#This Row],[CONTEST_CODE]],"_",AA$2),#REF!,0),MATCH(AA$1,_group_[#Headers],0)),"-")</f>
        <v>-</v>
      </c>
      <c r="AB527" s="1" t="str">
        <f>IFERROR(INDEX(_DATA_[],MATCH(ВСЕ_КОДЫ[[#This Row],[CONTEST_CODE]],_DATA_[CONTEST_CODE],0),MATCH($AB$2,_DATA_[#Headers],0)),"-")</f>
        <v>["""RSB1"""]</v>
      </c>
      <c r="AC527" t="str">
        <f>CONCATENATE(ВСЕ_КОДЫ[[#This Row],[CONTEST_CODE]],"_",ВСЕ_КОДЫ[[#This Row],[TOURNAMENT_CODE]])</f>
        <v>08_2025-0_18-4_1_t_08_2025-0_18-4_1_4001</v>
      </c>
      <c r="AD527" t="str">
        <f>ВСЕ_КОДЫ[[#This Row],[FULL_NAME]]</f>
        <v>Страховой олимп</v>
      </c>
    </row>
    <row r="528" spans="1:30" hidden="1" x14ac:dyDescent="0.25">
      <c r="A528" s="1" t="s">
        <v>2276</v>
      </c>
      <c r="B528" s="1" t="s">
        <v>3579</v>
      </c>
      <c r="C528" s="1" t="s">
        <v>2505</v>
      </c>
      <c r="D528" s="1" t="s">
        <v>583</v>
      </c>
      <c r="E528" s="1" t="s">
        <v>2638</v>
      </c>
      <c r="F528" s="1" t="s">
        <v>2508</v>
      </c>
      <c r="G528" s="1" t="s">
        <v>27</v>
      </c>
      <c r="H528" s="1" t="s">
        <v>34</v>
      </c>
      <c r="I528" s="1" t="s">
        <v>50</v>
      </c>
      <c r="J528" s="1" t="s">
        <v>3219</v>
      </c>
      <c r="K528" s="1" t="s">
        <v>2542</v>
      </c>
      <c r="L528" s="1" t="s">
        <v>3545</v>
      </c>
      <c r="M528" s="1" t="s">
        <v>34</v>
      </c>
      <c r="N528" s="1" t="s">
        <v>305</v>
      </c>
      <c r="O528" s="1" t="s">
        <v>2771</v>
      </c>
      <c r="Q528">
        <f>IFERROR(COUNTIFS(_report[TOURNAMENT_CODE],ВСЕ_КОДЫ[[#This Row],[TOURNAMENT_CODE]],_report[CONTEST_CODE],ВСЕ_КОДЫ[[#This Row],[CONTEST_CODE]]),"-")</f>
        <v>0</v>
      </c>
      <c r="R528" s="1" t="str">
        <f>IFERROR(INDEX(_SCHEDULE_[],MATCH(ВСЕ_КОДЫ[[#This Row],[CONTEST_CODE]],_SCHEDULE_[CONTEST_CODE],0),MATCH($R$1,_SCHEDULE_[#Headers],0)),"-")</f>
        <v>АКТИВНЫЙ</v>
      </c>
      <c r="S528" s="1" t="str">
        <f>IFERROR(INDEX(_group_[],MATCH(ВСЕ_КОДЫ[[#This Row],[CONTEST_CODE]],_group_[CONTEST_CODE],0),MATCH($S$1,_group_[#Headers],0)),"-")</f>
        <v>BANK</v>
      </c>
      <c r="T528" s="1" t="str">
        <f>IFERROR(INDEX(_INDICATOR_[],MATCH(ВСЕ_КОДЫ[[#This Row],[CONTEST_CODE]],_INDICATOR_[CONTEST_CODE],0),MATCH($T$1,_INDICATOR_[#Headers],0)),"-")</f>
        <v>WAIT</v>
      </c>
      <c r="U528" s="1" t="str">
        <f>IFERROR(INDEX(_reward_link_[],MATCH(ВСЕ_КОДЫ[[#This Row],[CONTEST_CODE]],_reward_link_[CONTEST_CODE],0),MATCH($U$1,_reward_link_[#Headers],0)),"-")</f>
        <v>BANK</v>
      </c>
      <c r="V528" s="1" t="str">
        <f>IFERROR(INDEX(_report[],MATCH(ВСЕ_КОДЫ[[#This Row],[CONTEST_CODE]],_report[CONTEST_CODE],0),MATCH($V$1,_report[#Headers],0)),"-")</f>
        <v>-</v>
      </c>
      <c r="W528" s="1" t="str">
        <f>IFERROR(INDEX(_reward_[],MATCH(ВСЕ_КОДЫ[[#This Row],[REWARD_CODE]],_reward_[REWARD_CODE],0),MATCH($W$1,_reward_[#Headers],0)),"-")</f>
        <v>Бронза#по Турниру СБСЖ</v>
      </c>
      <c r="X528" s="1" t="str">
        <f>IFERROR(INDEX(_group_[],MATCH(CONCATENATE(ВСЕ_КОДЫ[[#This Row],[CONTEST_CODE]],"_",X$2),#REF!,0),MATCH(X$1,_group_[#Headers],0)),"-")</f>
        <v>-</v>
      </c>
      <c r="Y528" s="1" t="str">
        <f>IFERROR(INDEX(_group_[],MATCH(CONCATENATE(ВСЕ_КОДЫ[[#This Row],[CONTEST_CODE]],"_",Y$2),#REF!,0),MATCH(Y$1,_group_[#Headers],0)),"-")</f>
        <v>-</v>
      </c>
      <c r="Z528" s="1" t="str">
        <f>IFERROR(INDEX(_group_[],MATCH(CONCATENATE(ВСЕ_КОДЫ[[#This Row],[CONTEST_CODE]],"_",Z$2),#REF!,0),MATCH(Z$1,_group_[#Headers],0)),"-")</f>
        <v>-</v>
      </c>
      <c r="AA528" s="1" t="str">
        <f>IFERROR(INDEX(_group_[],MATCH(CONCATENATE(ВСЕ_КОДЫ[[#This Row],[CONTEST_CODE]],"_",AA$2),#REF!,0),MATCH(AA$1,_group_[#Headers],0)),"-")</f>
        <v>-</v>
      </c>
      <c r="AB528" s="1" t="str">
        <f>IFERROR(INDEX(_DATA_[],MATCH(ВСЕ_КОДЫ[[#This Row],[CONTEST_CODE]],_DATA_[CONTEST_CODE],0),MATCH($AB$2,_DATA_[#Headers],0)),"-")</f>
        <v>["""RSB1"""]</v>
      </c>
      <c r="AC528" t="str">
        <f>CONCATENATE(ВСЕ_КОДЫ[[#This Row],[CONTEST_CODE]],"_",ВСЕ_КОДЫ[[#This Row],[TOURNAMENT_CODE]])</f>
        <v>08_2025-0_18-4_1_t_08_2025-0_18-4_1_4001</v>
      </c>
      <c r="AD528" t="str">
        <f>ВСЕ_КОДЫ[[#This Row],[FULL_NAME]]</f>
        <v>Страховой олимп</v>
      </c>
    </row>
    <row r="529" spans="1:30" hidden="1" x14ac:dyDescent="0.25">
      <c r="A529" s="1" t="s">
        <v>2234</v>
      </c>
      <c r="B529" s="1" t="s">
        <v>2568</v>
      </c>
      <c r="C529" s="1" t="s">
        <v>2372</v>
      </c>
      <c r="D529" s="1" t="s">
        <v>583</v>
      </c>
      <c r="E529" s="1" t="s">
        <v>2942</v>
      </c>
      <c r="F529" s="1" t="s">
        <v>2508</v>
      </c>
      <c r="G529" s="1" t="s">
        <v>27</v>
      </c>
      <c r="H529" s="1" t="s">
        <v>34</v>
      </c>
      <c r="I529" s="1" t="s">
        <v>50</v>
      </c>
      <c r="J529" s="1" t="s">
        <v>2508</v>
      </c>
      <c r="K529" s="1" t="s">
        <v>2534</v>
      </c>
      <c r="L529" s="1" t="s">
        <v>2535</v>
      </c>
      <c r="M529" s="1" t="s">
        <v>155</v>
      </c>
      <c r="N529" s="1" t="s">
        <v>305</v>
      </c>
      <c r="O529" s="1" t="s">
        <v>2772</v>
      </c>
      <c r="Q529">
        <f>IFERROR(COUNTIFS(_report[TOURNAMENT_CODE],ВСЕ_КОДЫ[[#This Row],[TOURNAMENT_CODE]],_report[CONTEST_CODE],ВСЕ_КОДЫ[[#This Row],[CONTEST_CODE]]),"-")</f>
        <v>0</v>
      </c>
      <c r="R529" s="1" t="str">
        <f>IFERROR(INDEX(_SCHEDULE_[],MATCH(ВСЕ_КОДЫ[[#This Row],[CONTEST_CODE]],_SCHEDULE_[CONTEST_CODE],0),MATCH($R$1,_SCHEDULE_[#Headers],0)),"-")</f>
        <v>АКТИВНЫЙ</v>
      </c>
      <c r="S529" s="1" t="str">
        <f>IFERROR(INDEX(_group_[],MATCH(ВСЕ_КОДЫ[[#This Row],[CONTEST_CODE]],_group_[CONTEST_CODE],0),MATCH($S$1,_group_[#Headers],0)),"-")</f>
        <v>BANK</v>
      </c>
      <c r="T529" s="1" t="str">
        <f>IFERROR(INDEX(_INDICATOR_[],MATCH(ВСЕ_КОДЫ[[#This Row],[CONTEST_CODE]],_INDICATOR_[CONTEST_CODE],0),MATCH($T$1,_INDICATOR_[#Headers],0)),"-")</f>
        <v>WAIT</v>
      </c>
      <c r="U529" s="1" t="str">
        <f>IFERROR(INDEX(_reward_link_[],MATCH(ВСЕ_КОДЫ[[#This Row],[CONTEST_CODE]],_reward_link_[CONTEST_CODE],0),MATCH($U$1,_reward_link_[#Headers],0)),"-")</f>
        <v>BANK</v>
      </c>
      <c r="V529" s="1" t="str">
        <f>IFERROR(INDEX(_report[],MATCH(ВСЕ_КОДЫ[[#This Row],[CONTEST_CODE]],_report[CONTEST_CODE],0),MATCH($V$1,_report[#Headers],0)),"-")</f>
        <v>-</v>
      </c>
      <c r="W529" s="1" t="str">
        <f>IFERROR(INDEX(_reward_[],MATCH(ВСЕ_КОДЫ[[#This Row],[REWARD_CODE]],_reward_[REWARD_CODE],0),MATCH($W$1,_reward_[#Headers],0)),"-")</f>
        <v>Золото#по Турниру МРИЯ</v>
      </c>
      <c r="X529" s="1" t="str">
        <f>IFERROR(INDEX(_group_[],MATCH(CONCATENATE(ВСЕ_КОДЫ[[#This Row],[CONTEST_CODE]],"_",X$2),#REF!,0),MATCH(X$1,_group_[#Headers],0)),"-")</f>
        <v>-</v>
      </c>
      <c r="Y529" s="1" t="str">
        <f>IFERROR(INDEX(_group_[],MATCH(CONCATENATE(ВСЕ_КОДЫ[[#This Row],[CONTEST_CODE]],"_",Y$2),#REF!,0),MATCH(Y$1,_group_[#Headers],0)),"-")</f>
        <v>-</v>
      </c>
      <c r="Z529" s="1" t="str">
        <f>IFERROR(INDEX(_group_[],MATCH(CONCATENATE(ВСЕ_КОДЫ[[#This Row],[CONTEST_CODE]],"_",Z$2),#REF!,0),MATCH(Z$1,_group_[#Headers],0)),"-")</f>
        <v>-</v>
      </c>
      <c r="AA529" s="1" t="str">
        <f>IFERROR(INDEX(_group_[],MATCH(CONCATENATE(ВСЕ_КОДЫ[[#This Row],[CONTEST_CODE]],"_",AA$2),#REF!,0),MATCH(AA$1,_group_[#Headers],0)),"-")</f>
        <v>-</v>
      </c>
      <c r="AB529" s="1" t="str">
        <f>IFERROR(INDEX(_DATA_[],MATCH(ВСЕ_КОДЫ[[#This Row],[CONTEST_CODE]],_DATA_[CONTEST_CODE],0),MATCH($AB$2,_DATA_[#Headers],0)),"-")</f>
        <v>["""KMSB1"""]</v>
      </c>
      <c r="AC529" t="str">
        <f>CONCATENATE(ВСЕ_КОДЫ[[#This Row],[CONTEST_CODE]],"_",ВСЕ_КОДЫ[[#This Row],[TOURNAMENT_CODE]])</f>
        <v>05_2025-0_18-5_1_t_05_2025-0_18-5_1_2011</v>
      </c>
      <c r="AD529" t="str">
        <f>ВСЕ_КОДЫ[[#This Row],[FULL_NAME]]</f>
        <v>Лотос у моря</v>
      </c>
    </row>
    <row r="530" spans="1:30" hidden="1" x14ac:dyDescent="0.25">
      <c r="A530" s="1" t="s">
        <v>2248</v>
      </c>
      <c r="B530" s="1" t="s">
        <v>2570</v>
      </c>
      <c r="C530" s="1" t="s">
        <v>2424</v>
      </c>
      <c r="D530" s="1" t="s">
        <v>586</v>
      </c>
      <c r="E530" s="1" t="s">
        <v>2629</v>
      </c>
      <c r="F530" s="1" t="s">
        <v>2508</v>
      </c>
      <c r="G530" s="1" t="s">
        <v>27</v>
      </c>
      <c r="H530" s="1" t="s">
        <v>34</v>
      </c>
      <c r="I530" s="1" t="s">
        <v>50</v>
      </c>
      <c r="J530" s="1" t="s">
        <v>2508</v>
      </c>
      <c r="K530" s="1" t="s">
        <v>2534</v>
      </c>
      <c r="L530" s="1" t="s">
        <v>2554</v>
      </c>
      <c r="M530" s="1" t="s">
        <v>155</v>
      </c>
      <c r="N530" s="1" t="s">
        <v>305</v>
      </c>
      <c r="O530" s="1" t="s">
        <v>2759</v>
      </c>
      <c r="Q530">
        <f>IFERROR(COUNTIFS(_report[TOURNAMENT_CODE],ВСЕ_КОДЫ[[#This Row],[TOURNAMENT_CODE]],_report[CONTEST_CODE],ВСЕ_КОДЫ[[#This Row],[CONTEST_CODE]]),"-")</f>
        <v>0</v>
      </c>
      <c r="R530" s="1" t="str">
        <f>IFERROR(INDEX(_SCHEDULE_[],MATCH(ВСЕ_КОДЫ[[#This Row],[CONTEST_CODE]],_SCHEDULE_[CONTEST_CODE],0),MATCH($R$1,_SCHEDULE_[#Headers],0)),"-")</f>
        <v>АКТИВНЫЙ</v>
      </c>
      <c r="S530" s="1" t="str">
        <f>IFERROR(INDEX(_group_[],MATCH(ВСЕ_КОДЫ[[#This Row],[CONTEST_CODE]],_group_[CONTEST_CODE],0),MATCH($S$1,_group_[#Headers],0)),"-")</f>
        <v>TB</v>
      </c>
      <c r="T530" s="1" t="str">
        <f>IFERROR(INDEX(_INDICATOR_[],MATCH(ВСЕ_КОДЫ[[#This Row],[CONTEST_CODE]],_INDICATOR_[CONTEST_CODE],0),MATCH($T$1,_INDICATOR_[#Headers],0)),"-")</f>
        <v>WAIT</v>
      </c>
      <c r="U530" s="1" t="str">
        <f>IFERROR(INDEX(_reward_link_[],MATCH(ВСЕ_КОДЫ[[#This Row],[CONTEST_CODE]],_reward_link_[CONTEST_CODE],0),MATCH($U$1,_reward_link_[#Headers],0)),"-")</f>
        <v>TB</v>
      </c>
      <c r="V530" s="1" t="str">
        <f>IFERROR(INDEX(_report[],MATCH(ВСЕ_КОДЫ[[#This Row],[CONTEST_CODE]],_report[CONTEST_CODE],0),MATCH($V$1,_report[#Headers],0)),"-")</f>
        <v>-</v>
      </c>
      <c r="W530" s="1" t="str">
        <f>IFERROR(INDEX(_reward_[],MATCH(ВСЕ_КОДЫ[[#This Row],[REWARD_CODE]],_reward_[REWARD_CODE],0),MATCH($W$1,_reward_[#Headers],0)),"-")</f>
        <v>Золото#по Турниру УКП</v>
      </c>
      <c r="X530" s="1" t="str">
        <f>IFERROR(INDEX(_group_[],MATCH(CONCATENATE(ВСЕ_КОДЫ[[#This Row],[CONTEST_CODE]],"_",X$2),#REF!,0),MATCH(X$1,_group_[#Headers],0)),"-")</f>
        <v>-</v>
      </c>
      <c r="Y530" s="1" t="str">
        <f>IFERROR(INDEX(_group_[],MATCH(CONCATENATE(ВСЕ_КОДЫ[[#This Row],[CONTEST_CODE]],"_",Y$2),#REF!,0),MATCH(Y$1,_group_[#Headers],0)),"-")</f>
        <v>-</v>
      </c>
      <c r="Z530" s="1" t="str">
        <f>IFERROR(INDEX(_group_[],MATCH(CONCATENATE(ВСЕ_КОДЫ[[#This Row],[CONTEST_CODE]],"_",Z$2),#REF!,0),MATCH(Z$1,_group_[#Headers],0)),"-")</f>
        <v>-</v>
      </c>
      <c r="AA530" s="1" t="str">
        <f>IFERROR(INDEX(_group_[],MATCH(CONCATENATE(ВСЕ_КОДЫ[[#This Row],[CONTEST_CODE]],"_",AA$2),#REF!,0),MATCH(AA$1,_group_[#Headers],0)),"-")</f>
        <v>-</v>
      </c>
      <c r="AB530" s="1" t="str">
        <f>IFERROR(INDEX(_DATA_[],MATCH(ВСЕ_КОДЫ[[#This Row],[CONTEST_CODE]],_DATA_[CONTEST_CODE],0),MATCH($AB$2,_DATA_[#Headers],0)),"-")</f>
        <v>["""KMSB1"""]</v>
      </c>
      <c r="AC530" t="str">
        <f>CONCATENATE(ВСЕ_КОДЫ[[#This Row],[CONTEST_CODE]],"_",ВСЕ_КОДЫ[[#This Row],[TOURNAMENT_CODE]])</f>
        <v>05_2025-0_18-1_1_t_05_2025-0_18-1_1_2011</v>
      </c>
      <c r="AD530" t="str">
        <f>ВСЕ_КОДЫ[[#This Row],[FULL_NAME]]</f>
        <v>Марафон УК Первая</v>
      </c>
    </row>
    <row r="531" spans="1:30" hidden="1" x14ac:dyDescent="0.25">
      <c r="A531" s="1" t="s">
        <v>2248</v>
      </c>
      <c r="B531" s="1" t="s">
        <v>2570</v>
      </c>
      <c r="C531" s="1" t="s">
        <v>2425</v>
      </c>
      <c r="D531" s="1" t="s">
        <v>586</v>
      </c>
      <c r="E531" s="1" t="s">
        <v>2629</v>
      </c>
      <c r="F531" s="1" t="s">
        <v>2508</v>
      </c>
      <c r="G531" s="1" t="s">
        <v>27</v>
      </c>
      <c r="H531" s="1" t="s">
        <v>34</v>
      </c>
      <c r="I531" s="1" t="s">
        <v>50</v>
      </c>
      <c r="J531" s="1" t="s">
        <v>2508</v>
      </c>
      <c r="K531" s="1" t="s">
        <v>2534</v>
      </c>
      <c r="L531" s="1" t="s">
        <v>2554</v>
      </c>
      <c r="M531" s="1" t="s">
        <v>155</v>
      </c>
      <c r="N531" s="1" t="s">
        <v>305</v>
      </c>
      <c r="O531" s="1" t="s">
        <v>2761</v>
      </c>
      <c r="Q531">
        <f>IFERROR(COUNTIFS(_report[TOURNAMENT_CODE],ВСЕ_КОДЫ[[#This Row],[TOURNAMENT_CODE]],_report[CONTEST_CODE],ВСЕ_КОДЫ[[#This Row],[CONTEST_CODE]]),"-")</f>
        <v>0</v>
      </c>
      <c r="R531" s="1" t="str">
        <f>IFERROR(INDEX(_SCHEDULE_[],MATCH(ВСЕ_КОДЫ[[#This Row],[CONTEST_CODE]],_SCHEDULE_[CONTEST_CODE],0),MATCH($R$1,_SCHEDULE_[#Headers],0)),"-")</f>
        <v>АКТИВНЫЙ</v>
      </c>
      <c r="S531" s="1" t="str">
        <f>IFERROR(INDEX(_group_[],MATCH(ВСЕ_КОДЫ[[#This Row],[CONTEST_CODE]],_group_[CONTEST_CODE],0),MATCH($S$1,_group_[#Headers],0)),"-")</f>
        <v>TB</v>
      </c>
      <c r="T531" s="1" t="str">
        <f>IFERROR(INDEX(_INDICATOR_[],MATCH(ВСЕ_КОДЫ[[#This Row],[CONTEST_CODE]],_INDICATOR_[CONTEST_CODE],0),MATCH($T$1,_INDICATOR_[#Headers],0)),"-")</f>
        <v>WAIT</v>
      </c>
      <c r="U531" s="1" t="str">
        <f>IFERROR(INDEX(_reward_link_[],MATCH(ВСЕ_КОДЫ[[#This Row],[CONTEST_CODE]],_reward_link_[CONTEST_CODE],0),MATCH($U$1,_reward_link_[#Headers],0)),"-")</f>
        <v>TB</v>
      </c>
      <c r="V531" s="1" t="str">
        <f>IFERROR(INDEX(_report[],MATCH(ВСЕ_КОДЫ[[#This Row],[CONTEST_CODE]],_report[CONTEST_CODE],0),MATCH($V$1,_report[#Headers],0)),"-")</f>
        <v>-</v>
      </c>
      <c r="W531" s="1" t="str">
        <f>IFERROR(INDEX(_reward_[],MATCH(ВСЕ_КОДЫ[[#This Row],[REWARD_CODE]],_reward_[REWARD_CODE],0),MATCH($W$1,_reward_[#Headers],0)),"-")</f>
        <v>Серебро#по Турниру УКП</v>
      </c>
      <c r="X531" s="1" t="str">
        <f>IFERROR(INDEX(_group_[],MATCH(CONCATENATE(ВСЕ_КОДЫ[[#This Row],[CONTEST_CODE]],"_",X$2),#REF!,0),MATCH(X$1,_group_[#Headers],0)),"-")</f>
        <v>-</v>
      </c>
      <c r="Y531" s="1" t="str">
        <f>IFERROR(INDEX(_group_[],MATCH(CONCATENATE(ВСЕ_КОДЫ[[#This Row],[CONTEST_CODE]],"_",Y$2),#REF!,0),MATCH(Y$1,_group_[#Headers],0)),"-")</f>
        <v>-</v>
      </c>
      <c r="Z531" s="1" t="str">
        <f>IFERROR(INDEX(_group_[],MATCH(CONCATENATE(ВСЕ_КОДЫ[[#This Row],[CONTEST_CODE]],"_",Z$2),#REF!,0),MATCH(Z$1,_group_[#Headers],0)),"-")</f>
        <v>-</v>
      </c>
      <c r="AA531" s="1" t="str">
        <f>IFERROR(INDEX(_group_[],MATCH(CONCATENATE(ВСЕ_КОДЫ[[#This Row],[CONTEST_CODE]],"_",AA$2),#REF!,0),MATCH(AA$1,_group_[#Headers],0)),"-")</f>
        <v>-</v>
      </c>
      <c r="AB531" s="1" t="str">
        <f>IFERROR(INDEX(_DATA_[],MATCH(ВСЕ_КОДЫ[[#This Row],[CONTEST_CODE]],_DATA_[CONTEST_CODE],0),MATCH($AB$2,_DATA_[#Headers],0)),"-")</f>
        <v>["""KMSB1"""]</v>
      </c>
      <c r="AC531" t="str">
        <f>CONCATENATE(ВСЕ_КОДЫ[[#This Row],[CONTEST_CODE]],"_",ВСЕ_КОДЫ[[#This Row],[TOURNAMENT_CODE]])</f>
        <v>05_2025-0_18-1_1_t_05_2025-0_18-1_1_2011</v>
      </c>
      <c r="AD531" t="str">
        <f>ВСЕ_КОДЫ[[#This Row],[FULL_NAME]]</f>
        <v>Марафон УК Первая</v>
      </c>
    </row>
    <row r="532" spans="1:30" hidden="1" x14ac:dyDescent="0.25">
      <c r="A532" s="1" t="s">
        <v>2253</v>
      </c>
      <c r="B532" s="1" t="s">
        <v>2572</v>
      </c>
      <c r="C532" s="1" t="s">
        <v>2437</v>
      </c>
      <c r="D532" s="1" t="s">
        <v>586</v>
      </c>
      <c r="E532" s="1" t="s">
        <v>2638</v>
      </c>
      <c r="F532" s="1" t="s">
        <v>2508</v>
      </c>
      <c r="G532" s="1" t="s">
        <v>27</v>
      </c>
      <c r="H532" s="1" t="s">
        <v>34</v>
      </c>
      <c r="I532" s="1" t="s">
        <v>50</v>
      </c>
      <c r="J532" s="1" t="s">
        <v>2508</v>
      </c>
      <c r="K532" s="1" t="s">
        <v>2534</v>
      </c>
      <c r="L532" s="1" t="s">
        <v>2554</v>
      </c>
      <c r="M532" s="1" t="s">
        <v>155</v>
      </c>
      <c r="N532" s="1" t="s">
        <v>305</v>
      </c>
      <c r="O532" s="1" t="s">
        <v>2769</v>
      </c>
      <c r="Q532">
        <f>IFERROR(COUNTIFS(_report[TOURNAMENT_CODE],ВСЕ_КОДЫ[[#This Row],[TOURNAMENT_CODE]],_report[CONTEST_CODE],ВСЕ_КОДЫ[[#This Row],[CONTEST_CODE]]),"-")</f>
        <v>0</v>
      </c>
      <c r="R532" s="1" t="str">
        <f>IFERROR(INDEX(_SCHEDULE_[],MATCH(ВСЕ_КОДЫ[[#This Row],[CONTEST_CODE]],_SCHEDULE_[CONTEST_CODE],0),MATCH($R$1,_SCHEDULE_[#Headers],0)),"-")</f>
        <v>АКТИВНЫЙ</v>
      </c>
      <c r="S532" s="1" t="str">
        <f>IFERROR(INDEX(_group_[],MATCH(ВСЕ_КОДЫ[[#This Row],[CONTEST_CODE]],_group_[CONTEST_CODE],0),MATCH($S$1,_group_[#Headers],0)),"-")</f>
        <v>TB</v>
      </c>
      <c r="T532" s="1" t="str">
        <f>IFERROR(INDEX(_INDICATOR_[],MATCH(ВСЕ_КОДЫ[[#This Row],[CONTEST_CODE]],_INDICATOR_[CONTEST_CODE],0),MATCH($T$1,_INDICATOR_[#Headers],0)),"-")</f>
        <v>WAIT</v>
      </c>
      <c r="U532" s="1" t="str">
        <f>IFERROR(INDEX(_reward_link_[],MATCH(ВСЕ_КОДЫ[[#This Row],[CONTEST_CODE]],_reward_link_[CONTEST_CODE],0),MATCH($U$1,_reward_link_[#Headers],0)),"-")</f>
        <v>TB</v>
      </c>
      <c r="V532" s="1" t="str">
        <f>IFERROR(INDEX(_report[],MATCH(ВСЕ_КОДЫ[[#This Row],[CONTEST_CODE]],_report[CONTEST_CODE],0),MATCH($V$1,_report[#Headers],0)),"-")</f>
        <v>-</v>
      </c>
      <c r="W532" s="1" t="str">
        <f>IFERROR(INDEX(_reward_[],MATCH(ВСЕ_КОДЫ[[#This Row],[REWARD_CODE]],_reward_[REWARD_CODE],0),MATCH($W$1,_reward_[#Headers],0)),"-")</f>
        <v>Золото#по Турниру СБСЖ</v>
      </c>
      <c r="X532" s="1" t="str">
        <f>IFERROR(INDEX(_group_[],MATCH(CONCATENATE(ВСЕ_КОДЫ[[#This Row],[CONTEST_CODE]],"_",X$2),#REF!,0),MATCH(X$1,_group_[#Headers],0)),"-")</f>
        <v>-</v>
      </c>
      <c r="Y532" s="1" t="str">
        <f>IFERROR(INDEX(_group_[],MATCH(CONCATENATE(ВСЕ_КОДЫ[[#This Row],[CONTEST_CODE]],"_",Y$2),#REF!,0),MATCH(Y$1,_group_[#Headers],0)),"-")</f>
        <v>-</v>
      </c>
      <c r="Z532" s="1" t="str">
        <f>IFERROR(INDEX(_group_[],MATCH(CONCATENATE(ВСЕ_КОДЫ[[#This Row],[CONTEST_CODE]],"_",Z$2),#REF!,0),MATCH(Z$1,_group_[#Headers],0)),"-")</f>
        <v>-</v>
      </c>
      <c r="AA532" s="1" t="str">
        <f>IFERROR(INDEX(_group_[],MATCH(CONCATENATE(ВСЕ_КОДЫ[[#This Row],[CONTEST_CODE]],"_",AA$2),#REF!,0),MATCH(AA$1,_group_[#Headers],0)),"-")</f>
        <v>-</v>
      </c>
      <c r="AB532" s="1" t="str">
        <f>IFERROR(INDEX(_DATA_[],MATCH(ВСЕ_КОДЫ[[#This Row],[CONTEST_CODE]],_DATA_[CONTEST_CODE],0),MATCH($AB$2,_DATA_[#Headers],0)),"-")</f>
        <v>["""KMSB1"""]</v>
      </c>
      <c r="AC532" t="str">
        <f>CONCATENATE(ВСЕ_КОДЫ[[#This Row],[CONTEST_CODE]],"_",ВСЕ_КОДЫ[[#This Row],[TOURNAMENT_CODE]])</f>
        <v>05_2025-0_18-4_1_t_05_2025-0_18-2_1_2011</v>
      </c>
      <c r="AD532" t="str">
        <f>ВСЕ_КОДЫ[[#This Row],[FULL_NAME]]</f>
        <v>Страховой олимп</v>
      </c>
    </row>
    <row r="533" spans="1:30" hidden="1" x14ac:dyDescent="0.25">
      <c r="A533" s="1" t="s">
        <v>2253</v>
      </c>
      <c r="B533" s="1" t="s">
        <v>2572</v>
      </c>
      <c r="C533" s="1" t="s">
        <v>2438</v>
      </c>
      <c r="D533" s="1" t="s">
        <v>586</v>
      </c>
      <c r="E533" s="1" t="s">
        <v>2638</v>
      </c>
      <c r="F533" s="1" t="s">
        <v>2508</v>
      </c>
      <c r="G533" s="1" t="s">
        <v>27</v>
      </c>
      <c r="H533" s="1" t="s">
        <v>34</v>
      </c>
      <c r="I533" s="1" t="s">
        <v>50</v>
      </c>
      <c r="J533" s="1" t="s">
        <v>2508</v>
      </c>
      <c r="K533" s="1" t="s">
        <v>2534</v>
      </c>
      <c r="L533" s="1" t="s">
        <v>2554</v>
      </c>
      <c r="M533" s="1" t="s">
        <v>155</v>
      </c>
      <c r="N533" s="1" t="s">
        <v>305</v>
      </c>
      <c r="O533" s="1" t="s">
        <v>2770</v>
      </c>
      <c r="Q533">
        <f>IFERROR(COUNTIFS(_report[TOURNAMENT_CODE],ВСЕ_КОДЫ[[#This Row],[TOURNAMENT_CODE]],_report[CONTEST_CODE],ВСЕ_КОДЫ[[#This Row],[CONTEST_CODE]]),"-")</f>
        <v>0</v>
      </c>
      <c r="R533" s="1" t="str">
        <f>IFERROR(INDEX(_SCHEDULE_[],MATCH(ВСЕ_КОДЫ[[#This Row],[CONTEST_CODE]],_SCHEDULE_[CONTEST_CODE],0),MATCH($R$1,_SCHEDULE_[#Headers],0)),"-")</f>
        <v>АКТИВНЫЙ</v>
      </c>
      <c r="S533" s="1" t="str">
        <f>IFERROR(INDEX(_group_[],MATCH(ВСЕ_КОДЫ[[#This Row],[CONTEST_CODE]],_group_[CONTEST_CODE],0),MATCH($S$1,_group_[#Headers],0)),"-")</f>
        <v>TB</v>
      </c>
      <c r="T533" s="1" t="str">
        <f>IFERROR(INDEX(_INDICATOR_[],MATCH(ВСЕ_КОДЫ[[#This Row],[CONTEST_CODE]],_INDICATOR_[CONTEST_CODE],0),MATCH($T$1,_INDICATOR_[#Headers],0)),"-")</f>
        <v>WAIT</v>
      </c>
      <c r="U533" s="1" t="str">
        <f>IFERROR(INDEX(_reward_link_[],MATCH(ВСЕ_КОДЫ[[#This Row],[CONTEST_CODE]],_reward_link_[CONTEST_CODE],0),MATCH($U$1,_reward_link_[#Headers],0)),"-")</f>
        <v>TB</v>
      </c>
      <c r="V533" s="1" t="str">
        <f>IFERROR(INDEX(_report[],MATCH(ВСЕ_КОДЫ[[#This Row],[CONTEST_CODE]],_report[CONTEST_CODE],0),MATCH($V$1,_report[#Headers],0)),"-")</f>
        <v>-</v>
      </c>
      <c r="W533" s="1" t="str">
        <f>IFERROR(INDEX(_reward_[],MATCH(ВСЕ_КОДЫ[[#This Row],[REWARD_CODE]],_reward_[REWARD_CODE],0),MATCH($W$1,_reward_[#Headers],0)),"-")</f>
        <v>Серебро#по Турниру СБСЖ</v>
      </c>
      <c r="X533" s="1" t="str">
        <f>IFERROR(INDEX(_group_[],MATCH(CONCATENATE(ВСЕ_КОДЫ[[#This Row],[CONTEST_CODE]],"_",X$2),#REF!,0),MATCH(X$1,_group_[#Headers],0)),"-")</f>
        <v>-</v>
      </c>
      <c r="Y533" s="1" t="str">
        <f>IFERROR(INDEX(_group_[],MATCH(CONCATENATE(ВСЕ_КОДЫ[[#This Row],[CONTEST_CODE]],"_",Y$2),#REF!,0),MATCH(Y$1,_group_[#Headers],0)),"-")</f>
        <v>-</v>
      </c>
      <c r="Z533" s="1" t="str">
        <f>IFERROR(INDEX(_group_[],MATCH(CONCATENATE(ВСЕ_КОДЫ[[#This Row],[CONTEST_CODE]],"_",Z$2),#REF!,0),MATCH(Z$1,_group_[#Headers],0)),"-")</f>
        <v>-</v>
      </c>
      <c r="AA533" s="1" t="str">
        <f>IFERROR(INDEX(_group_[],MATCH(CONCATENATE(ВСЕ_КОДЫ[[#This Row],[CONTEST_CODE]],"_",AA$2),#REF!,0),MATCH(AA$1,_group_[#Headers],0)),"-")</f>
        <v>-</v>
      </c>
      <c r="AB533" s="1" t="str">
        <f>IFERROR(INDEX(_DATA_[],MATCH(ВСЕ_КОДЫ[[#This Row],[CONTEST_CODE]],_DATA_[CONTEST_CODE],0),MATCH($AB$2,_DATA_[#Headers],0)),"-")</f>
        <v>["""KMSB1"""]</v>
      </c>
      <c r="AC533" t="str">
        <f>CONCATENATE(ВСЕ_КОДЫ[[#This Row],[CONTEST_CODE]],"_",ВСЕ_КОДЫ[[#This Row],[TOURNAMENT_CODE]])</f>
        <v>05_2025-0_18-4_1_t_05_2025-0_18-2_1_2011</v>
      </c>
      <c r="AD533" t="str">
        <f>ВСЕ_КОДЫ[[#This Row],[FULL_NAME]]</f>
        <v>Страховой олимп</v>
      </c>
    </row>
    <row r="534" spans="1:30" hidden="1" x14ac:dyDescent="0.25">
      <c r="A534" s="1" t="s">
        <v>2251</v>
      </c>
      <c r="B534" s="1" t="s">
        <v>2573</v>
      </c>
      <c r="C534" s="1" t="s">
        <v>2431</v>
      </c>
      <c r="D534" s="1" t="s">
        <v>586</v>
      </c>
      <c r="E534" s="1" t="s">
        <v>2635</v>
      </c>
      <c r="F534" s="1" t="s">
        <v>2508</v>
      </c>
      <c r="G534" s="1" t="s">
        <v>27</v>
      </c>
      <c r="H534" s="1" t="s">
        <v>34</v>
      </c>
      <c r="I534" s="1" t="s">
        <v>50</v>
      </c>
      <c r="J534" s="1" t="s">
        <v>2508</v>
      </c>
      <c r="K534" s="1" t="s">
        <v>2534</v>
      </c>
      <c r="L534" s="1" t="s">
        <v>2554</v>
      </c>
      <c r="M534" s="1" t="s">
        <v>155</v>
      </c>
      <c r="N534" s="1" t="s">
        <v>305</v>
      </c>
      <c r="O534" s="1" t="s">
        <v>2766</v>
      </c>
      <c r="Q534">
        <f>IFERROR(COUNTIFS(_report[TOURNAMENT_CODE],ВСЕ_КОДЫ[[#This Row],[TOURNAMENT_CODE]],_report[CONTEST_CODE],ВСЕ_КОДЫ[[#This Row],[CONTEST_CODE]]),"-")</f>
        <v>0</v>
      </c>
      <c r="R534" s="1" t="str">
        <f>IFERROR(INDEX(_SCHEDULE_[],MATCH(ВСЕ_КОДЫ[[#This Row],[CONTEST_CODE]],_SCHEDULE_[CONTEST_CODE],0),MATCH($R$1,_SCHEDULE_[#Headers],0)),"-")</f>
        <v>АКТИВНЫЙ</v>
      </c>
      <c r="S534" s="1" t="str">
        <f>IFERROR(INDEX(_group_[],MATCH(ВСЕ_КОДЫ[[#This Row],[CONTEST_CODE]],_group_[CONTEST_CODE],0),MATCH($S$1,_group_[#Headers],0)),"-")</f>
        <v>TB</v>
      </c>
      <c r="T534" s="1" t="str">
        <f>IFERROR(INDEX(_INDICATOR_[],MATCH(ВСЕ_КОДЫ[[#This Row],[CONTEST_CODE]],_INDICATOR_[CONTEST_CODE],0),MATCH($T$1,_INDICATOR_[#Headers],0)),"-")</f>
        <v>WAIT</v>
      </c>
      <c r="U534" s="1" t="str">
        <f>IFERROR(INDEX(_reward_link_[],MATCH(ВСЕ_КОДЫ[[#This Row],[CONTEST_CODE]],_reward_link_[CONTEST_CODE],0),MATCH($U$1,_reward_link_[#Headers],0)),"-")</f>
        <v>TB</v>
      </c>
      <c r="V534" s="1" t="str">
        <f>IFERROR(INDEX(_report[],MATCH(ВСЕ_КОДЫ[[#This Row],[CONTEST_CODE]],_report[CONTEST_CODE],0),MATCH($V$1,_report[#Headers],0)),"-")</f>
        <v>-</v>
      </c>
      <c r="W534" s="1" t="str">
        <f>IFERROR(INDEX(_reward_[],MATCH(ВСЕ_КОДЫ[[#This Row],[REWARD_CODE]],_reward_[REWARD_CODE],0),MATCH($W$1,_reward_[#Headers],0)),"-")</f>
        <v>Золото#по Турниру Брокера</v>
      </c>
      <c r="X534" s="1" t="str">
        <f>IFERROR(INDEX(_group_[],MATCH(CONCATENATE(ВСЕ_КОДЫ[[#This Row],[CONTEST_CODE]],"_",X$2),#REF!,0),MATCH(X$1,_group_[#Headers],0)),"-")</f>
        <v>-</v>
      </c>
      <c r="Y534" s="1" t="str">
        <f>IFERROR(INDEX(_group_[],MATCH(CONCATENATE(ВСЕ_КОДЫ[[#This Row],[CONTEST_CODE]],"_",Y$2),#REF!,0),MATCH(Y$1,_group_[#Headers],0)),"-")</f>
        <v>-</v>
      </c>
      <c r="Z534" s="1" t="str">
        <f>IFERROR(INDEX(_group_[],MATCH(CONCATENATE(ВСЕ_КОДЫ[[#This Row],[CONTEST_CODE]],"_",Z$2),#REF!,0),MATCH(Z$1,_group_[#Headers],0)),"-")</f>
        <v>-</v>
      </c>
      <c r="AA534" s="1" t="str">
        <f>IFERROR(INDEX(_group_[],MATCH(CONCATENATE(ВСЕ_КОДЫ[[#This Row],[CONTEST_CODE]],"_",AA$2),#REF!,0),MATCH(AA$1,_group_[#Headers],0)),"-")</f>
        <v>-</v>
      </c>
      <c r="AB534" s="1" t="str">
        <f>IFERROR(INDEX(_DATA_[],MATCH(ВСЕ_КОДЫ[[#This Row],[CONTEST_CODE]],_DATA_[CONTEST_CODE],0),MATCH($AB$2,_DATA_[#Headers],0)),"-")</f>
        <v>["""KMSB1"""]</v>
      </c>
      <c r="AC534" t="str">
        <f>CONCATENATE(ВСЕ_КОДЫ[[#This Row],[CONTEST_CODE]],"_",ВСЕ_КОДЫ[[#This Row],[TOURNAMENT_CODE]])</f>
        <v>05_2025-0_18-3_1_t_05_2025-0_18-3_1_2011</v>
      </c>
      <c r="AD534" t="str">
        <f>ВСЕ_КОДЫ[[#This Row],[FULL_NAME]]</f>
        <v>Ралли брокера</v>
      </c>
    </row>
    <row r="535" spans="1:30" hidden="1" x14ac:dyDescent="0.25">
      <c r="A535" s="1" t="s">
        <v>2251</v>
      </c>
      <c r="B535" s="1" t="s">
        <v>2573</v>
      </c>
      <c r="C535" s="1" t="s">
        <v>2433</v>
      </c>
      <c r="D535" s="1" t="s">
        <v>586</v>
      </c>
      <c r="E535" s="1" t="s">
        <v>2635</v>
      </c>
      <c r="F535" s="1" t="s">
        <v>2508</v>
      </c>
      <c r="G535" s="1" t="s">
        <v>27</v>
      </c>
      <c r="H535" s="1" t="s">
        <v>34</v>
      </c>
      <c r="I535" s="1" t="s">
        <v>50</v>
      </c>
      <c r="J535" s="1" t="s">
        <v>2508</v>
      </c>
      <c r="K535" s="1" t="s">
        <v>2534</v>
      </c>
      <c r="L535" s="1" t="s">
        <v>2554</v>
      </c>
      <c r="M535" s="1" t="s">
        <v>155</v>
      </c>
      <c r="N535" s="1" t="s">
        <v>305</v>
      </c>
      <c r="O535" s="1" t="s">
        <v>2767</v>
      </c>
      <c r="Q535">
        <f>IFERROR(COUNTIFS(_report[TOURNAMENT_CODE],ВСЕ_КОДЫ[[#This Row],[TOURNAMENT_CODE]],_report[CONTEST_CODE],ВСЕ_КОДЫ[[#This Row],[CONTEST_CODE]]),"-")</f>
        <v>0</v>
      </c>
      <c r="R535" s="1" t="str">
        <f>IFERROR(INDEX(_SCHEDULE_[],MATCH(ВСЕ_КОДЫ[[#This Row],[CONTEST_CODE]],_SCHEDULE_[CONTEST_CODE],0),MATCH($R$1,_SCHEDULE_[#Headers],0)),"-")</f>
        <v>АКТИВНЫЙ</v>
      </c>
      <c r="S535" s="1" t="str">
        <f>IFERROR(INDEX(_group_[],MATCH(ВСЕ_КОДЫ[[#This Row],[CONTEST_CODE]],_group_[CONTEST_CODE],0),MATCH($S$1,_group_[#Headers],0)),"-")</f>
        <v>TB</v>
      </c>
      <c r="T535" s="1" t="str">
        <f>IFERROR(INDEX(_INDICATOR_[],MATCH(ВСЕ_КОДЫ[[#This Row],[CONTEST_CODE]],_INDICATOR_[CONTEST_CODE],0),MATCH($T$1,_INDICATOR_[#Headers],0)),"-")</f>
        <v>WAIT</v>
      </c>
      <c r="U535" s="1" t="str">
        <f>IFERROR(INDEX(_reward_link_[],MATCH(ВСЕ_КОДЫ[[#This Row],[CONTEST_CODE]],_reward_link_[CONTEST_CODE],0),MATCH($U$1,_reward_link_[#Headers],0)),"-")</f>
        <v>TB</v>
      </c>
      <c r="V535" s="1" t="str">
        <f>IFERROR(INDEX(_report[],MATCH(ВСЕ_КОДЫ[[#This Row],[CONTEST_CODE]],_report[CONTEST_CODE],0),MATCH($V$1,_report[#Headers],0)),"-")</f>
        <v>-</v>
      </c>
      <c r="W535" s="1" t="str">
        <f>IFERROR(INDEX(_reward_[],MATCH(ВСЕ_КОДЫ[[#This Row],[REWARD_CODE]],_reward_[REWARD_CODE],0),MATCH($W$1,_reward_[#Headers],0)),"-")</f>
        <v>Серебро#по Турниру Брокера</v>
      </c>
      <c r="X535" s="1" t="str">
        <f>IFERROR(INDEX(_group_[],MATCH(CONCATENATE(ВСЕ_КОДЫ[[#This Row],[CONTEST_CODE]],"_",X$2),#REF!,0),MATCH(X$1,_group_[#Headers],0)),"-")</f>
        <v>-</v>
      </c>
      <c r="Y535" s="1" t="str">
        <f>IFERROR(INDEX(_group_[],MATCH(CONCATENATE(ВСЕ_КОДЫ[[#This Row],[CONTEST_CODE]],"_",Y$2),#REF!,0),MATCH(Y$1,_group_[#Headers],0)),"-")</f>
        <v>-</v>
      </c>
      <c r="Z535" s="1" t="str">
        <f>IFERROR(INDEX(_group_[],MATCH(CONCATENATE(ВСЕ_КОДЫ[[#This Row],[CONTEST_CODE]],"_",Z$2),#REF!,0),MATCH(Z$1,_group_[#Headers],0)),"-")</f>
        <v>-</v>
      </c>
      <c r="AA535" s="1" t="str">
        <f>IFERROR(INDEX(_group_[],MATCH(CONCATENATE(ВСЕ_КОДЫ[[#This Row],[CONTEST_CODE]],"_",AA$2),#REF!,0),MATCH(AA$1,_group_[#Headers],0)),"-")</f>
        <v>-</v>
      </c>
      <c r="AB535" s="1" t="str">
        <f>IFERROR(INDEX(_DATA_[],MATCH(ВСЕ_КОДЫ[[#This Row],[CONTEST_CODE]],_DATA_[CONTEST_CODE],0),MATCH($AB$2,_DATA_[#Headers],0)),"-")</f>
        <v>["""KMSB1"""]</v>
      </c>
      <c r="AC535" t="str">
        <f>CONCATENATE(ВСЕ_КОДЫ[[#This Row],[CONTEST_CODE]],"_",ВСЕ_КОДЫ[[#This Row],[TOURNAMENT_CODE]])</f>
        <v>05_2025-0_18-3_1_t_05_2025-0_18-3_1_2011</v>
      </c>
      <c r="AD535" t="str">
        <f>ВСЕ_КОДЫ[[#This Row],[FULL_NAME]]</f>
        <v>Ралли брокера</v>
      </c>
    </row>
    <row r="536" spans="1:30" hidden="1" x14ac:dyDescent="0.25">
      <c r="A536" s="1" t="s">
        <v>2251</v>
      </c>
      <c r="B536" s="1" t="s">
        <v>2573</v>
      </c>
      <c r="C536" s="1" t="s">
        <v>2435</v>
      </c>
      <c r="D536" s="1" t="s">
        <v>586</v>
      </c>
      <c r="E536" s="1" t="s">
        <v>2635</v>
      </c>
      <c r="F536" s="1" t="s">
        <v>2508</v>
      </c>
      <c r="G536" s="1" t="s">
        <v>27</v>
      </c>
      <c r="H536" s="1" t="s">
        <v>34</v>
      </c>
      <c r="I536" s="1" t="s">
        <v>50</v>
      </c>
      <c r="J536" s="1" t="s">
        <v>2508</v>
      </c>
      <c r="K536" s="1" t="s">
        <v>2534</v>
      </c>
      <c r="L536" s="1" t="s">
        <v>2554</v>
      </c>
      <c r="M536" s="1" t="s">
        <v>155</v>
      </c>
      <c r="N536" s="1" t="s">
        <v>305</v>
      </c>
      <c r="O536" s="1" t="s">
        <v>2768</v>
      </c>
      <c r="Q536">
        <f>IFERROR(COUNTIFS(_report[TOURNAMENT_CODE],ВСЕ_КОДЫ[[#This Row],[TOURNAMENT_CODE]],_report[CONTEST_CODE],ВСЕ_КОДЫ[[#This Row],[CONTEST_CODE]]),"-")</f>
        <v>0</v>
      </c>
      <c r="R536" s="1" t="str">
        <f>IFERROR(INDEX(_SCHEDULE_[],MATCH(ВСЕ_КОДЫ[[#This Row],[CONTEST_CODE]],_SCHEDULE_[CONTEST_CODE],0),MATCH($R$1,_SCHEDULE_[#Headers],0)),"-")</f>
        <v>АКТИВНЫЙ</v>
      </c>
      <c r="S536" s="1" t="str">
        <f>IFERROR(INDEX(_group_[],MATCH(ВСЕ_КОДЫ[[#This Row],[CONTEST_CODE]],_group_[CONTEST_CODE],0),MATCH($S$1,_group_[#Headers],0)),"-")</f>
        <v>TB</v>
      </c>
      <c r="T536" s="1" t="str">
        <f>IFERROR(INDEX(_INDICATOR_[],MATCH(ВСЕ_КОДЫ[[#This Row],[CONTEST_CODE]],_INDICATOR_[CONTEST_CODE],0),MATCH($T$1,_INDICATOR_[#Headers],0)),"-")</f>
        <v>WAIT</v>
      </c>
      <c r="U536" s="1" t="str">
        <f>IFERROR(INDEX(_reward_link_[],MATCH(ВСЕ_КОДЫ[[#This Row],[CONTEST_CODE]],_reward_link_[CONTEST_CODE],0),MATCH($U$1,_reward_link_[#Headers],0)),"-")</f>
        <v>TB</v>
      </c>
      <c r="V536" s="1" t="str">
        <f>IFERROR(INDEX(_report[],MATCH(ВСЕ_КОДЫ[[#This Row],[CONTEST_CODE]],_report[CONTEST_CODE],0),MATCH($V$1,_report[#Headers],0)),"-")</f>
        <v>-</v>
      </c>
      <c r="W536" s="1" t="str">
        <f>IFERROR(INDEX(_reward_[],MATCH(ВСЕ_КОДЫ[[#This Row],[REWARD_CODE]],_reward_[REWARD_CODE],0),MATCH($W$1,_reward_[#Headers],0)),"-")</f>
        <v>Бронза#по Турниру Брокера</v>
      </c>
      <c r="X536" s="1" t="str">
        <f>IFERROR(INDEX(_group_[],MATCH(CONCATENATE(ВСЕ_КОДЫ[[#This Row],[CONTEST_CODE]],"_",X$2),#REF!,0),MATCH(X$1,_group_[#Headers],0)),"-")</f>
        <v>-</v>
      </c>
      <c r="Y536" s="1" t="str">
        <f>IFERROR(INDEX(_group_[],MATCH(CONCATENATE(ВСЕ_КОДЫ[[#This Row],[CONTEST_CODE]],"_",Y$2),#REF!,0),MATCH(Y$1,_group_[#Headers],0)),"-")</f>
        <v>-</v>
      </c>
      <c r="Z536" s="1" t="str">
        <f>IFERROR(INDEX(_group_[],MATCH(CONCATENATE(ВСЕ_КОДЫ[[#This Row],[CONTEST_CODE]],"_",Z$2),#REF!,0),MATCH(Z$1,_group_[#Headers],0)),"-")</f>
        <v>-</v>
      </c>
      <c r="AA536" s="1" t="str">
        <f>IFERROR(INDEX(_group_[],MATCH(CONCATENATE(ВСЕ_КОДЫ[[#This Row],[CONTEST_CODE]],"_",AA$2),#REF!,0),MATCH(AA$1,_group_[#Headers],0)),"-")</f>
        <v>-</v>
      </c>
      <c r="AB536" s="1" t="str">
        <f>IFERROR(INDEX(_DATA_[],MATCH(ВСЕ_КОДЫ[[#This Row],[CONTEST_CODE]],_DATA_[CONTEST_CODE],0),MATCH($AB$2,_DATA_[#Headers],0)),"-")</f>
        <v>["""KMSB1"""]</v>
      </c>
      <c r="AC536" t="str">
        <f>CONCATENATE(ВСЕ_КОДЫ[[#This Row],[CONTEST_CODE]],"_",ВСЕ_КОДЫ[[#This Row],[TOURNAMENT_CODE]])</f>
        <v>05_2025-0_18-3_1_t_05_2025-0_18-3_1_2011</v>
      </c>
      <c r="AD536" t="str">
        <f>ВСЕ_КОДЫ[[#This Row],[FULL_NAME]]</f>
        <v>Ралли брокера</v>
      </c>
    </row>
    <row r="537" spans="1:30" hidden="1" x14ac:dyDescent="0.25">
      <c r="A537" s="1" t="s">
        <v>2253</v>
      </c>
      <c r="B537" s="1" t="s">
        <v>2575</v>
      </c>
      <c r="C537" s="1" t="s">
        <v>2437</v>
      </c>
      <c r="D537" s="1" t="s">
        <v>586</v>
      </c>
      <c r="E537" s="1" t="s">
        <v>2638</v>
      </c>
      <c r="F537" s="1" t="s">
        <v>2508</v>
      </c>
      <c r="G537" s="1" t="s">
        <v>27</v>
      </c>
      <c r="H537" s="1" t="s">
        <v>34</v>
      </c>
      <c r="I537" s="1" t="s">
        <v>50</v>
      </c>
      <c r="J537" s="1" t="s">
        <v>2508</v>
      </c>
      <c r="K537" s="1" t="s">
        <v>2534</v>
      </c>
      <c r="L537" s="1" t="s">
        <v>2554</v>
      </c>
      <c r="M537" s="1" t="s">
        <v>155</v>
      </c>
      <c r="N537" s="1" t="s">
        <v>305</v>
      </c>
      <c r="O537" s="1" t="s">
        <v>2769</v>
      </c>
      <c r="Q537">
        <f>IFERROR(COUNTIFS(_report[TOURNAMENT_CODE],ВСЕ_КОДЫ[[#This Row],[TOURNAMENT_CODE]],_report[CONTEST_CODE],ВСЕ_КОДЫ[[#This Row],[CONTEST_CODE]]),"-")</f>
        <v>0</v>
      </c>
      <c r="R537" s="1" t="str">
        <f>IFERROR(INDEX(_SCHEDULE_[],MATCH(ВСЕ_КОДЫ[[#This Row],[CONTEST_CODE]],_SCHEDULE_[CONTEST_CODE],0),MATCH($R$1,_SCHEDULE_[#Headers],0)),"-")</f>
        <v>АКТИВНЫЙ</v>
      </c>
      <c r="S537" s="1" t="str">
        <f>IFERROR(INDEX(_group_[],MATCH(ВСЕ_КОДЫ[[#This Row],[CONTEST_CODE]],_group_[CONTEST_CODE],0),MATCH($S$1,_group_[#Headers],0)),"-")</f>
        <v>TB</v>
      </c>
      <c r="T537" s="1" t="str">
        <f>IFERROR(INDEX(_INDICATOR_[],MATCH(ВСЕ_КОДЫ[[#This Row],[CONTEST_CODE]],_INDICATOR_[CONTEST_CODE],0),MATCH($T$1,_INDICATOR_[#Headers],0)),"-")</f>
        <v>WAIT</v>
      </c>
      <c r="U537" s="1" t="str">
        <f>IFERROR(INDEX(_reward_link_[],MATCH(ВСЕ_КОДЫ[[#This Row],[CONTEST_CODE]],_reward_link_[CONTEST_CODE],0),MATCH($U$1,_reward_link_[#Headers],0)),"-")</f>
        <v>TB</v>
      </c>
      <c r="V537" s="1" t="str">
        <f>IFERROR(INDEX(_report[],MATCH(ВСЕ_КОДЫ[[#This Row],[CONTEST_CODE]],_report[CONTEST_CODE],0),MATCH($V$1,_report[#Headers],0)),"-")</f>
        <v>-</v>
      </c>
      <c r="W537" s="1" t="str">
        <f>IFERROR(INDEX(_reward_[],MATCH(ВСЕ_КОДЫ[[#This Row],[REWARD_CODE]],_reward_[REWARD_CODE],0),MATCH($W$1,_reward_[#Headers],0)),"-")</f>
        <v>Золото#по Турниру СБСЖ</v>
      </c>
      <c r="X537" s="1" t="str">
        <f>IFERROR(INDEX(_group_[],MATCH(CONCATENATE(ВСЕ_КОДЫ[[#This Row],[CONTEST_CODE]],"_",X$2),#REF!,0),MATCH(X$1,_group_[#Headers],0)),"-")</f>
        <v>-</v>
      </c>
      <c r="Y537" s="1" t="str">
        <f>IFERROR(INDEX(_group_[],MATCH(CONCATENATE(ВСЕ_КОДЫ[[#This Row],[CONTEST_CODE]],"_",Y$2),#REF!,0),MATCH(Y$1,_group_[#Headers],0)),"-")</f>
        <v>-</v>
      </c>
      <c r="Z537" s="1" t="str">
        <f>IFERROR(INDEX(_group_[],MATCH(CONCATENATE(ВСЕ_КОДЫ[[#This Row],[CONTEST_CODE]],"_",Z$2),#REF!,0),MATCH(Z$1,_group_[#Headers],0)),"-")</f>
        <v>-</v>
      </c>
      <c r="AA537" s="1" t="str">
        <f>IFERROR(INDEX(_group_[],MATCH(CONCATENATE(ВСЕ_КОДЫ[[#This Row],[CONTEST_CODE]],"_",AA$2),#REF!,0),MATCH(AA$1,_group_[#Headers],0)),"-")</f>
        <v>-</v>
      </c>
      <c r="AB537" s="1" t="str">
        <f>IFERROR(INDEX(_DATA_[],MATCH(ВСЕ_КОДЫ[[#This Row],[CONTEST_CODE]],_DATA_[CONTEST_CODE],0),MATCH($AB$2,_DATA_[#Headers],0)),"-")</f>
        <v>["""KMSB1"""]</v>
      </c>
      <c r="AC537" t="str">
        <f>CONCATENATE(ВСЕ_КОДЫ[[#This Row],[CONTEST_CODE]],"_",ВСЕ_КОДЫ[[#This Row],[TOURNAMENT_CODE]])</f>
        <v>05_2025-0_18-4_1_t_05_2025-0_18-4_1_2011</v>
      </c>
      <c r="AD537" t="str">
        <f>ВСЕ_КОДЫ[[#This Row],[FULL_NAME]]</f>
        <v>Страховой олимп</v>
      </c>
    </row>
    <row r="538" spans="1:30" hidden="1" x14ac:dyDescent="0.25">
      <c r="A538" s="1" t="s">
        <v>2253</v>
      </c>
      <c r="B538" s="1" t="s">
        <v>2575</v>
      </c>
      <c r="C538" s="1" t="s">
        <v>2438</v>
      </c>
      <c r="D538" s="1" t="s">
        <v>586</v>
      </c>
      <c r="E538" s="1" t="s">
        <v>2638</v>
      </c>
      <c r="F538" s="1" t="s">
        <v>2508</v>
      </c>
      <c r="G538" s="1" t="s">
        <v>27</v>
      </c>
      <c r="H538" s="1" t="s">
        <v>34</v>
      </c>
      <c r="I538" s="1" t="s">
        <v>50</v>
      </c>
      <c r="J538" s="1" t="s">
        <v>2508</v>
      </c>
      <c r="K538" s="1" t="s">
        <v>2534</v>
      </c>
      <c r="L538" s="1" t="s">
        <v>2554</v>
      </c>
      <c r="M538" s="1" t="s">
        <v>155</v>
      </c>
      <c r="N538" s="1" t="s">
        <v>305</v>
      </c>
      <c r="O538" s="1" t="s">
        <v>2770</v>
      </c>
      <c r="Q538">
        <f>IFERROR(COUNTIFS(_report[TOURNAMENT_CODE],ВСЕ_КОДЫ[[#This Row],[TOURNAMENT_CODE]],_report[CONTEST_CODE],ВСЕ_КОДЫ[[#This Row],[CONTEST_CODE]]),"-")</f>
        <v>0</v>
      </c>
      <c r="R538" s="1" t="str">
        <f>IFERROR(INDEX(_SCHEDULE_[],MATCH(ВСЕ_КОДЫ[[#This Row],[CONTEST_CODE]],_SCHEDULE_[CONTEST_CODE],0),MATCH($R$1,_SCHEDULE_[#Headers],0)),"-")</f>
        <v>АКТИВНЫЙ</v>
      </c>
      <c r="S538" s="1" t="str">
        <f>IFERROR(INDEX(_group_[],MATCH(ВСЕ_КОДЫ[[#This Row],[CONTEST_CODE]],_group_[CONTEST_CODE],0),MATCH($S$1,_group_[#Headers],0)),"-")</f>
        <v>TB</v>
      </c>
      <c r="T538" s="1" t="str">
        <f>IFERROR(INDEX(_INDICATOR_[],MATCH(ВСЕ_КОДЫ[[#This Row],[CONTEST_CODE]],_INDICATOR_[CONTEST_CODE],0),MATCH($T$1,_INDICATOR_[#Headers],0)),"-")</f>
        <v>WAIT</v>
      </c>
      <c r="U538" s="1" t="str">
        <f>IFERROR(INDEX(_reward_link_[],MATCH(ВСЕ_КОДЫ[[#This Row],[CONTEST_CODE]],_reward_link_[CONTEST_CODE],0),MATCH($U$1,_reward_link_[#Headers],0)),"-")</f>
        <v>TB</v>
      </c>
      <c r="V538" s="1" t="str">
        <f>IFERROR(INDEX(_report[],MATCH(ВСЕ_КОДЫ[[#This Row],[CONTEST_CODE]],_report[CONTEST_CODE],0),MATCH($V$1,_report[#Headers],0)),"-")</f>
        <v>-</v>
      </c>
      <c r="W538" s="1" t="str">
        <f>IFERROR(INDEX(_reward_[],MATCH(ВСЕ_КОДЫ[[#This Row],[REWARD_CODE]],_reward_[REWARD_CODE],0),MATCH($W$1,_reward_[#Headers],0)),"-")</f>
        <v>Серебро#по Турниру СБСЖ</v>
      </c>
      <c r="X538" s="1" t="str">
        <f>IFERROR(INDEX(_group_[],MATCH(CONCATENATE(ВСЕ_КОДЫ[[#This Row],[CONTEST_CODE]],"_",X$2),#REF!,0),MATCH(X$1,_group_[#Headers],0)),"-")</f>
        <v>-</v>
      </c>
      <c r="Y538" s="1" t="str">
        <f>IFERROR(INDEX(_group_[],MATCH(CONCATENATE(ВСЕ_КОДЫ[[#This Row],[CONTEST_CODE]],"_",Y$2),#REF!,0),MATCH(Y$1,_group_[#Headers],0)),"-")</f>
        <v>-</v>
      </c>
      <c r="Z538" s="1" t="str">
        <f>IFERROR(INDEX(_group_[],MATCH(CONCATENATE(ВСЕ_КОДЫ[[#This Row],[CONTEST_CODE]],"_",Z$2),#REF!,0),MATCH(Z$1,_group_[#Headers],0)),"-")</f>
        <v>-</v>
      </c>
      <c r="AA538" s="1" t="str">
        <f>IFERROR(INDEX(_group_[],MATCH(CONCATENATE(ВСЕ_КОДЫ[[#This Row],[CONTEST_CODE]],"_",AA$2),#REF!,0),MATCH(AA$1,_group_[#Headers],0)),"-")</f>
        <v>-</v>
      </c>
      <c r="AB538" s="1" t="str">
        <f>IFERROR(INDEX(_DATA_[],MATCH(ВСЕ_КОДЫ[[#This Row],[CONTEST_CODE]],_DATA_[CONTEST_CODE],0),MATCH($AB$2,_DATA_[#Headers],0)),"-")</f>
        <v>["""KMSB1"""]</v>
      </c>
      <c r="AC538" t="str">
        <f>CONCATENATE(ВСЕ_КОДЫ[[#This Row],[CONTEST_CODE]],"_",ВСЕ_КОДЫ[[#This Row],[TOURNAMENT_CODE]])</f>
        <v>05_2025-0_18-4_1_t_05_2025-0_18-4_1_2011</v>
      </c>
      <c r="AD538" t="str">
        <f>ВСЕ_КОДЫ[[#This Row],[FULL_NAME]]</f>
        <v>Страховой олимп</v>
      </c>
    </row>
    <row r="539" spans="1:30" hidden="1" x14ac:dyDescent="0.25">
      <c r="A539" s="1" t="s">
        <v>2254</v>
      </c>
      <c r="B539" s="1" t="s">
        <v>2577</v>
      </c>
      <c r="C539" s="1" t="s">
        <v>2440</v>
      </c>
      <c r="D539" s="1" t="s">
        <v>583</v>
      </c>
      <c r="E539" s="1" t="s">
        <v>2629</v>
      </c>
      <c r="F539" s="1" t="s">
        <v>2508</v>
      </c>
      <c r="G539" s="1" t="s">
        <v>27</v>
      </c>
      <c r="H539" s="1" t="s">
        <v>34</v>
      </c>
      <c r="I539" s="1" t="s">
        <v>50</v>
      </c>
      <c r="J539" s="1" t="s">
        <v>2508</v>
      </c>
      <c r="K539" s="1" t="s">
        <v>2534</v>
      </c>
      <c r="L539" s="1" t="s">
        <v>2554</v>
      </c>
      <c r="M539" s="1" t="s">
        <v>155</v>
      </c>
      <c r="N539" s="1" t="s">
        <v>305</v>
      </c>
      <c r="O539" s="1" t="s">
        <v>2759</v>
      </c>
      <c r="Q539">
        <f>IFERROR(COUNTIFS(_report[TOURNAMENT_CODE],ВСЕ_КОДЫ[[#This Row],[TOURNAMENT_CODE]],_report[CONTEST_CODE],ВСЕ_КОДЫ[[#This Row],[CONTEST_CODE]]),"-")</f>
        <v>0</v>
      </c>
      <c r="R539" s="1" t="str">
        <f>IFERROR(INDEX(_SCHEDULE_[],MATCH(ВСЕ_КОДЫ[[#This Row],[CONTEST_CODE]],_SCHEDULE_[CONTEST_CODE],0),MATCH($R$1,_SCHEDULE_[#Headers],0)),"-")</f>
        <v>АКТИВНЫЙ</v>
      </c>
      <c r="S539" s="1" t="str">
        <f>IFERROR(INDEX(_group_[],MATCH(ВСЕ_КОДЫ[[#This Row],[CONTEST_CODE]],_group_[CONTEST_CODE],0),MATCH($S$1,_group_[#Headers],0)),"-")</f>
        <v>BANK</v>
      </c>
      <c r="T539" s="1" t="str">
        <f>IFERROR(INDEX(_INDICATOR_[],MATCH(ВСЕ_КОДЫ[[#This Row],[CONTEST_CODE]],_INDICATOR_[CONTEST_CODE],0),MATCH($T$1,_INDICATOR_[#Headers],0)),"-")</f>
        <v>WAIT</v>
      </c>
      <c r="U539" s="1" t="str">
        <f>IFERROR(INDEX(_reward_link_[],MATCH(ВСЕ_КОДЫ[[#This Row],[CONTEST_CODE]],_reward_link_[CONTEST_CODE],0),MATCH($U$1,_reward_link_[#Headers],0)),"-")</f>
        <v>BANK</v>
      </c>
      <c r="V539" s="1" t="str">
        <f>IFERROR(INDEX(_report[],MATCH(ВСЕ_КОДЫ[[#This Row],[CONTEST_CODE]],_report[CONTEST_CODE],0),MATCH($V$1,_report[#Headers],0)),"-")</f>
        <v>-</v>
      </c>
      <c r="W539" s="1" t="str">
        <f>IFERROR(INDEX(_reward_[],MATCH(ВСЕ_КОДЫ[[#This Row],[REWARD_CODE]],_reward_[REWARD_CODE],0),MATCH($W$1,_reward_[#Headers],0)),"-")</f>
        <v>Золото#по Турниру УКП</v>
      </c>
      <c r="X539" s="1" t="str">
        <f>IFERROR(INDEX(_group_[],MATCH(CONCATENATE(ВСЕ_КОДЫ[[#This Row],[CONTEST_CODE]],"_",X$2),#REF!,0),MATCH(X$1,_group_[#Headers],0)),"-")</f>
        <v>-</v>
      </c>
      <c r="Y539" s="1" t="str">
        <f>IFERROR(INDEX(_group_[],MATCH(CONCATENATE(ВСЕ_КОДЫ[[#This Row],[CONTEST_CODE]],"_",Y$2),#REF!,0),MATCH(Y$1,_group_[#Headers],0)),"-")</f>
        <v>-</v>
      </c>
      <c r="Z539" s="1" t="str">
        <f>IFERROR(INDEX(_group_[],MATCH(CONCATENATE(ВСЕ_КОДЫ[[#This Row],[CONTEST_CODE]],"_",Z$2),#REF!,0),MATCH(Z$1,_group_[#Headers],0)),"-")</f>
        <v>-</v>
      </c>
      <c r="AA539" s="1" t="str">
        <f>IFERROR(INDEX(_group_[],MATCH(CONCATENATE(ВСЕ_КОДЫ[[#This Row],[CONTEST_CODE]],"_",AA$2),#REF!,0),MATCH(AA$1,_group_[#Headers],0)),"-")</f>
        <v>-</v>
      </c>
      <c r="AB539" s="1" t="str">
        <f>IFERROR(INDEX(_DATA_[],MATCH(ВСЕ_КОДЫ[[#This Row],[CONTEST_CODE]],_DATA_[CONTEST_CODE],0),MATCH($AB$2,_DATA_[#Headers],0)),"-")</f>
        <v>["""IMUB"""]</v>
      </c>
      <c r="AC539" t="str">
        <f>CONCATENATE(ВСЕ_КОДЫ[[#This Row],[CONTEST_CODE]],"_",ВСЕ_КОДЫ[[#This Row],[TOURNAMENT_CODE]])</f>
        <v>06_2025-0_18-1_1_t_06_2025-0_18-1_1_2011</v>
      </c>
      <c r="AD539" t="str">
        <f>ВСЕ_КОДЫ[[#This Row],[FULL_NAME]]</f>
        <v>Марафон УК Первая</v>
      </c>
    </row>
    <row r="540" spans="1:30" hidden="1" x14ac:dyDescent="0.25">
      <c r="A540" s="1" t="s">
        <v>2254</v>
      </c>
      <c r="B540" s="1" t="s">
        <v>2577</v>
      </c>
      <c r="C540" s="1" t="s">
        <v>2442</v>
      </c>
      <c r="D540" s="1" t="s">
        <v>583</v>
      </c>
      <c r="E540" s="1" t="s">
        <v>2629</v>
      </c>
      <c r="F540" s="1" t="s">
        <v>2508</v>
      </c>
      <c r="G540" s="1" t="s">
        <v>27</v>
      </c>
      <c r="H540" s="1" t="s">
        <v>34</v>
      </c>
      <c r="I540" s="1" t="s">
        <v>50</v>
      </c>
      <c r="J540" s="1" t="s">
        <v>2508</v>
      </c>
      <c r="K540" s="1" t="s">
        <v>2534</v>
      </c>
      <c r="L540" s="1" t="s">
        <v>2554</v>
      </c>
      <c r="M540" s="1" t="s">
        <v>155</v>
      </c>
      <c r="N540" s="1" t="s">
        <v>305</v>
      </c>
      <c r="O540" s="1" t="s">
        <v>2761</v>
      </c>
      <c r="Q540">
        <f>IFERROR(COUNTIFS(_report[TOURNAMENT_CODE],ВСЕ_КОДЫ[[#This Row],[TOURNAMENT_CODE]],_report[CONTEST_CODE],ВСЕ_КОДЫ[[#This Row],[CONTEST_CODE]]),"-")</f>
        <v>0</v>
      </c>
      <c r="R540" s="1" t="str">
        <f>IFERROR(INDEX(_SCHEDULE_[],MATCH(ВСЕ_КОДЫ[[#This Row],[CONTEST_CODE]],_SCHEDULE_[CONTEST_CODE],0),MATCH($R$1,_SCHEDULE_[#Headers],0)),"-")</f>
        <v>АКТИВНЫЙ</v>
      </c>
      <c r="S540" s="1" t="str">
        <f>IFERROR(INDEX(_group_[],MATCH(ВСЕ_КОДЫ[[#This Row],[CONTEST_CODE]],_group_[CONTEST_CODE],0),MATCH($S$1,_group_[#Headers],0)),"-")</f>
        <v>BANK</v>
      </c>
      <c r="T540" s="1" t="str">
        <f>IFERROR(INDEX(_INDICATOR_[],MATCH(ВСЕ_КОДЫ[[#This Row],[CONTEST_CODE]],_INDICATOR_[CONTEST_CODE],0),MATCH($T$1,_INDICATOR_[#Headers],0)),"-")</f>
        <v>WAIT</v>
      </c>
      <c r="U540" s="1" t="str">
        <f>IFERROR(INDEX(_reward_link_[],MATCH(ВСЕ_КОДЫ[[#This Row],[CONTEST_CODE]],_reward_link_[CONTEST_CODE],0),MATCH($U$1,_reward_link_[#Headers],0)),"-")</f>
        <v>BANK</v>
      </c>
      <c r="V540" s="1" t="str">
        <f>IFERROR(INDEX(_report[],MATCH(ВСЕ_КОДЫ[[#This Row],[CONTEST_CODE]],_report[CONTEST_CODE],0),MATCH($V$1,_report[#Headers],0)),"-")</f>
        <v>-</v>
      </c>
      <c r="W540" s="1" t="str">
        <f>IFERROR(INDEX(_reward_[],MATCH(ВСЕ_КОДЫ[[#This Row],[REWARD_CODE]],_reward_[REWARD_CODE],0),MATCH($W$1,_reward_[#Headers],0)),"-")</f>
        <v>Серебро#по Турниру УКП</v>
      </c>
      <c r="X540" s="1" t="str">
        <f>IFERROR(INDEX(_group_[],MATCH(CONCATENATE(ВСЕ_КОДЫ[[#This Row],[CONTEST_CODE]],"_",X$2),#REF!,0),MATCH(X$1,_group_[#Headers],0)),"-")</f>
        <v>-</v>
      </c>
      <c r="Y540" s="1" t="str">
        <f>IFERROR(INDEX(_group_[],MATCH(CONCATENATE(ВСЕ_КОДЫ[[#This Row],[CONTEST_CODE]],"_",Y$2),#REF!,0),MATCH(Y$1,_group_[#Headers],0)),"-")</f>
        <v>-</v>
      </c>
      <c r="Z540" s="1" t="str">
        <f>IFERROR(INDEX(_group_[],MATCH(CONCATENATE(ВСЕ_КОДЫ[[#This Row],[CONTEST_CODE]],"_",Z$2),#REF!,0),MATCH(Z$1,_group_[#Headers],0)),"-")</f>
        <v>-</v>
      </c>
      <c r="AA540" s="1" t="str">
        <f>IFERROR(INDEX(_group_[],MATCH(CONCATENATE(ВСЕ_КОДЫ[[#This Row],[CONTEST_CODE]],"_",AA$2),#REF!,0),MATCH(AA$1,_group_[#Headers],0)),"-")</f>
        <v>-</v>
      </c>
      <c r="AB540" s="1" t="str">
        <f>IFERROR(INDEX(_DATA_[],MATCH(ВСЕ_КОДЫ[[#This Row],[CONTEST_CODE]],_DATA_[CONTEST_CODE],0),MATCH($AB$2,_DATA_[#Headers],0)),"-")</f>
        <v>["""IMUB"""]</v>
      </c>
      <c r="AC540" t="str">
        <f>CONCATENATE(ВСЕ_КОДЫ[[#This Row],[CONTEST_CODE]],"_",ВСЕ_КОДЫ[[#This Row],[TOURNAMENT_CODE]])</f>
        <v>06_2025-0_18-1_1_t_06_2025-0_18-1_1_2011</v>
      </c>
      <c r="AD540" t="str">
        <f>ВСЕ_КОДЫ[[#This Row],[FULL_NAME]]</f>
        <v>Марафон УК Первая</v>
      </c>
    </row>
    <row r="541" spans="1:30" hidden="1" x14ac:dyDescent="0.25">
      <c r="A541" s="1" t="s">
        <v>2254</v>
      </c>
      <c r="B541" s="1" t="s">
        <v>2577</v>
      </c>
      <c r="C541" s="1" t="s">
        <v>2444</v>
      </c>
      <c r="D541" s="1" t="s">
        <v>583</v>
      </c>
      <c r="E541" s="1" t="s">
        <v>2629</v>
      </c>
      <c r="F541" s="1" t="s">
        <v>2508</v>
      </c>
      <c r="G541" s="1" t="s">
        <v>27</v>
      </c>
      <c r="H541" s="1" t="s">
        <v>34</v>
      </c>
      <c r="I541" s="1" t="s">
        <v>50</v>
      </c>
      <c r="J541" s="1" t="s">
        <v>2508</v>
      </c>
      <c r="K541" s="1" t="s">
        <v>2534</v>
      </c>
      <c r="L541" s="1" t="s">
        <v>2554</v>
      </c>
      <c r="M541" s="1" t="s">
        <v>155</v>
      </c>
      <c r="N541" s="1" t="s">
        <v>305</v>
      </c>
      <c r="O541" s="1" t="s">
        <v>2762</v>
      </c>
      <c r="Q541">
        <f>IFERROR(COUNTIFS(_report[TOURNAMENT_CODE],ВСЕ_КОДЫ[[#This Row],[TOURNAMENT_CODE]],_report[CONTEST_CODE],ВСЕ_КОДЫ[[#This Row],[CONTEST_CODE]]),"-")</f>
        <v>0</v>
      </c>
      <c r="R541" s="1" t="str">
        <f>IFERROR(INDEX(_SCHEDULE_[],MATCH(ВСЕ_КОДЫ[[#This Row],[CONTEST_CODE]],_SCHEDULE_[CONTEST_CODE],0),MATCH($R$1,_SCHEDULE_[#Headers],0)),"-")</f>
        <v>АКТИВНЫЙ</v>
      </c>
      <c r="S541" s="1" t="str">
        <f>IFERROR(INDEX(_group_[],MATCH(ВСЕ_КОДЫ[[#This Row],[CONTEST_CODE]],_group_[CONTEST_CODE],0),MATCH($S$1,_group_[#Headers],0)),"-")</f>
        <v>BANK</v>
      </c>
      <c r="T541" s="1" t="str">
        <f>IFERROR(INDEX(_INDICATOR_[],MATCH(ВСЕ_КОДЫ[[#This Row],[CONTEST_CODE]],_INDICATOR_[CONTEST_CODE],0),MATCH($T$1,_INDICATOR_[#Headers],0)),"-")</f>
        <v>WAIT</v>
      </c>
      <c r="U541" s="1" t="str">
        <f>IFERROR(INDEX(_reward_link_[],MATCH(ВСЕ_КОДЫ[[#This Row],[CONTEST_CODE]],_reward_link_[CONTEST_CODE],0),MATCH($U$1,_reward_link_[#Headers],0)),"-")</f>
        <v>BANK</v>
      </c>
      <c r="V541" s="1" t="str">
        <f>IFERROR(INDEX(_report[],MATCH(ВСЕ_КОДЫ[[#This Row],[CONTEST_CODE]],_report[CONTEST_CODE],0),MATCH($V$1,_report[#Headers],0)),"-")</f>
        <v>-</v>
      </c>
      <c r="W541" s="1" t="str">
        <f>IFERROR(INDEX(_reward_[],MATCH(ВСЕ_КОДЫ[[#This Row],[REWARD_CODE]],_reward_[REWARD_CODE],0),MATCH($W$1,_reward_[#Headers],0)),"-")</f>
        <v>Бронза#по Турниру УКП</v>
      </c>
      <c r="X541" s="1" t="str">
        <f>IFERROR(INDEX(_group_[],MATCH(CONCATENATE(ВСЕ_КОДЫ[[#This Row],[CONTEST_CODE]],"_",X$2),#REF!,0),MATCH(X$1,_group_[#Headers],0)),"-")</f>
        <v>-</v>
      </c>
      <c r="Y541" s="1" t="str">
        <f>IFERROR(INDEX(_group_[],MATCH(CONCATENATE(ВСЕ_КОДЫ[[#This Row],[CONTEST_CODE]],"_",Y$2),#REF!,0),MATCH(Y$1,_group_[#Headers],0)),"-")</f>
        <v>-</v>
      </c>
      <c r="Z541" s="1" t="str">
        <f>IFERROR(INDEX(_group_[],MATCH(CONCATENATE(ВСЕ_КОДЫ[[#This Row],[CONTEST_CODE]],"_",Z$2),#REF!,0),MATCH(Z$1,_group_[#Headers],0)),"-")</f>
        <v>-</v>
      </c>
      <c r="AA541" s="1" t="str">
        <f>IFERROR(INDEX(_group_[],MATCH(CONCATENATE(ВСЕ_КОДЫ[[#This Row],[CONTEST_CODE]],"_",AA$2),#REF!,0),MATCH(AA$1,_group_[#Headers],0)),"-")</f>
        <v>-</v>
      </c>
      <c r="AB541" s="1" t="str">
        <f>IFERROR(INDEX(_DATA_[],MATCH(ВСЕ_КОДЫ[[#This Row],[CONTEST_CODE]],_DATA_[CONTEST_CODE],0),MATCH($AB$2,_DATA_[#Headers],0)),"-")</f>
        <v>["""IMUB"""]</v>
      </c>
      <c r="AC541" t="str">
        <f>CONCATENATE(ВСЕ_КОДЫ[[#This Row],[CONTEST_CODE]],"_",ВСЕ_КОДЫ[[#This Row],[TOURNAMENT_CODE]])</f>
        <v>06_2025-0_18-1_1_t_06_2025-0_18-1_1_2011</v>
      </c>
      <c r="AD541" t="str">
        <f>ВСЕ_КОДЫ[[#This Row],[FULL_NAME]]</f>
        <v>Марафон УК Первая</v>
      </c>
    </row>
    <row r="542" spans="1:30" hidden="1" x14ac:dyDescent="0.25">
      <c r="A542" s="1" t="s">
        <v>2256</v>
      </c>
      <c r="B542" s="1" t="s">
        <v>2579</v>
      </c>
      <c r="C542" s="1" t="s">
        <v>2446</v>
      </c>
      <c r="D542" s="1" t="s">
        <v>583</v>
      </c>
      <c r="E542" s="1" t="s">
        <v>2633</v>
      </c>
      <c r="F542" s="1" t="s">
        <v>2508</v>
      </c>
      <c r="G542" s="1" t="s">
        <v>27</v>
      </c>
      <c r="H542" s="1" t="s">
        <v>34</v>
      </c>
      <c r="I542" s="1" t="s">
        <v>50</v>
      </c>
      <c r="J542" s="1" t="s">
        <v>2508</v>
      </c>
      <c r="K542" s="1" t="s">
        <v>2534</v>
      </c>
      <c r="L542" s="1" t="s">
        <v>2554</v>
      </c>
      <c r="M542" s="1" t="s">
        <v>155</v>
      </c>
      <c r="N542" s="1" t="s">
        <v>305</v>
      </c>
      <c r="O542" s="1" t="s">
        <v>2763</v>
      </c>
      <c r="Q542">
        <f>IFERROR(COUNTIFS(_report[TOURNAMENT_CODE],ВСЕ_КОДЫ[[#This Row],[TOURNAMENT_CODE]],_report[CONTEST_CODE],ВСЕ_КОДЫ[[#This Row],[CONTEST_CODE]]),"-")</f>
        <v>0</v>
      </c>
      <c r="R542" s="1" t="str">
        <f>IFERROR(INDEX(_SCHEDULE_[],MATCH(ВСЕ_КОДЫ[[#This Row],[CONTEST_CODE]],_SCHEDULE_[CONTEST_CODE],0),MATCH($R$1,_SCHEDULE_[#Headers],0)),"-")</f>
        <v>АКТИВНЫЙ</v>
      </c>
      <c r="S542" s="1" t="str">
        <f>IFERROR(INDEX(_group_[],MATCH(ВСЕ_КОДЫ[[#This Row],[CONTEST_CODE]],_group_[CONTEST_CODE],0),MATCH($S$1,_group_[#Headers],0)),"-")</f>
        <v>BANK</v>
      </c>
      <c r="T542" s="1" t="str">
        <f>IFERROR(INDEX(_INDICATOR_[],MATCH(ВСЕ_КОДЫ[[#This Row],[CONTEST_CODE]],_INDICATOR_[CONTEST_CODE],0),MATCH($T$1,_INDICATOR_[#Headers],0)),"-")</f>
        <v>WAIT</v>
      </c>
      <c r="U542" s="1" t="str">
        <f>IFERROR(INDEX(_reward_link_[],MATCH(ВСЕ_КОДЫ[[#This Row],[CONTEST_CODE]],_reward_link_[CONTEST_CODE],0),MATCH($U$1,_reward_link_[#Headers],0)),"-")</f>
        <v>BANK</v>
      </c>
      <c r="V542" s="1" t="str">
        <f>IFERROR(INDEX(_report[],MATCH(ВСЕ_КОДЫ[[#This Row],[CONTEST_CODE]],_report[CONTEST_CODE],0),MATCH($V$1,_report[#Headers],0)),"-")</f>
        <v>-</v>
      </c>
      <c r="W542" s="1" t="str">
        <f>IFERROR(INDEX(_reward_[],MATCH(ВСЕ_КОДЫ[[#This Row],[REWARD_CODE]],_reward_[REWARD_CODE],0),MATCH($W$1,_reward_[#Headers],0)),"-")</f>
        <v>Золото#по Турниру СФН</v>
      </c>
      <c r="X542" s="1" t="str">
        <f>IFERROR(INDEX(_group_[],MATCH(CONCATENATE(ВСЕ_КОДЫ[[#This Row],[CONTEST_CODE]],"_",X$2),#REF!,0),MATCH(X$1,_group_[#Headers],0)),"-")</f>
        <v>-</v>
      </c>
      <c r="Y542" s="1" t="str">
        <f>IFERROR(INDEX(_group_[],MATCH(CONCATENATE(ВСЕ_КОДЫ[[#This Row],[CONTEST_CODE]],"_",Y$2),#REF!,0),MATCH(Y$1,_group_[#Headers],0)),"-")</f>
        <v>-</v>
      </c>
      <c r="Z542" s="1" t="str">
        <f>IFERROR(INDEX(_group_[],MATCH(CONCATENATE(ВСЕ_КОДЫ[[#This Row],[CONTEST_CODE]],"_",Z$2),#REF!,0),MATCH(Z$1,_group_[#Headers],0)),"-")</f>
        <v>-</v>
      </c>
      <c r="AA542" s="1" t="str">
        <f>IFERROR(INDEX(_group_[],MATCH(CONCATENATE(ВСЕ_КОДЫ[[#This Row],[CONTEST_CODE]],"_",AA$2),#REF!,0),MATCH(AA$1,_group_[#Headers],0)),"-")</f>
        <v>-</v>
      </c>
      <c r="AB542" s="1" t="str">
        <f>IFERROR(INDEX(_DATA_[],MATCH(ВСЕ_КОДЫ[[#This Row],[CONTEST_CODE]],_DATA_[CONTEST_CODE],0),MATCH($AB$2,_DATA_[#Headers],0)),"-")</f>
        <v>["""IMUB"""]</v>
      </c>
      <c r="AC542" t="str">
        <f>CONCATENATE(ВСЕ_КОДЫ[[#This Row],[CONTEST_CODE]],"_",ВСЕ_КОДЫ[[#This Row],[TOURNAMENT_CODE]])</f>
        <v>06_2025-0_18-2_1_t_06_2025-0_18-2_1_2011</v>
      </c>
      <c r="AD542" t="str">
        <f>ВСЕ_КОДЫ[[#This Row],[FULL_NAME]]</f>
        <v>Турнир по квадратным метрам</v>
      </c>
    </row>
    <row r="543" spans="1:30" hidden="1" x14ac:dyDescent="0.25">
      <c r="A543" s="1" t="s">
        <v>2256</v>
      </c>
      <c r="B543" s="1" t="s">
        <v>2579</v>
      </c>
      <c r="C543" s="1" t="s">
        <v>2448</v>
      </c>
      <c r="D543" s="1" t="s">
        <v>583</v>
      </c>
      <c r="E543" s="1" t="s">
        <v>2633</v>
      </c>
      <c r="F543" s="1" t="s">
        <v>2508</v>
      </c>
      <c r="G543" s="1" t="s">
        <v>27</v>
      </c>
      <c r="H543" s="1" t="s">
        <v>34</v>
      </c>
      <c r="I543" s="1" t="s">
        <v>50</v>
      </c>
      <c r="J543" s="1" t="s">
        <v>2508</v>
      </c>
      <c r="K543" s="1" t="s">
        <v>2534</v>
      </c>
      <c r="L543" s="1" t="s">
        <v>2554</v>
      </c>
      <c r="M543" s="1" t="s">
        <v>155</v>
      </c>
      <c r="N543" s="1" t="s">
        <v>305</v>
      </c>
      <c r="O543" s="1" t="s">
        <v>2764</v>
      </c>
      <c r="Q543">
        <f>IFERROR(COUNTIFS(_report[TOURNAMENT_CODE],ВСЕ_КОДЫ[[#This Row],[TOURNAMENT_CODE]],_report[CONTEST_CODE],ВСЕ_КОДЫ[[#This Row],[CONTEST_CODE]]),"-")</f>
        <v>0</v>
      </c>
      <c r="R543" s="1" t="str">
        <f>IFERROR(INDEX(_SCHEDULE_[],MATCH(ВСЕ_КОДЫ[[#This Row],[CONTEST_CODE]],_SCHEDULE_[CONTEST_CODE],0),MATCH($R$1,_SCHEDULE_[#Headers],0)),"-")</f>
        <v>АКТИВНЫЙ</v>
      </c>
      <c r="S543" s="1" t="str">
        <f>IFERROR(INDEX(_group_[],MATCH(ВСЕ_КОДЫ[[#This Row],[CONTEST_CODE]],_group_[CONTEST_CODE],0),MATCH($S$1,_group_[#Headers],0)),"-")</f>
        <v>BANK</v>
      </c>
      <c r="T543" s="1" t="str">
        <f>IFERROR(INDEX(_INDICATOR_[],MATCH(ВСЕ_КОДЫ[[#This Row],[CONTEST_CODE]],_INDICATOR_[CONTEST_CODE],0),MATCH($T$1,_INDICATOR_[#Headers],0)),"-")</f>
        <v>WAIT</v>
      </c>
      <c r="U543" s="1" t="str">
        <f>IFERROR(INDEX(_reward_link_[],MATCH(ВСЕ_КОДЫ[[#This Row],[CONTEST_CODE]],_reward_link_[CONTEST_CODE],0),MATCH($U$1,_reward_link_[#Headers],0)),"-")</f>
        <v>BANK</v>
      </c>
      <c r="V543" s="1" t="str">
        <f>IFERROR(INDEX(_report[],MATCH(ВСЕ_КОДЫ[[#This Row],[CONTEST_CODE]],_report[CONTEST_CODE],0),MATCH($V$1,_report[#Headers],0)),"-")</f>
        <v>-</v>
      </c>
      <c r="W543" s="1" t="str">
        <f>IFERROR(INDEX(_reward_[],MATCH(ВСЕ_КОДЫ[[#This Row],[REWARD_CODE]],_reward_[REWARD_CODE],0),MATCH($W$1,_reward_[#Headers],0)),"-")</f>
        <v>Серебро#по Турниру СФН</v>
      </c>
      <c r="X543" s="1" t="str">
        <f>IFERROR(INDEX(_group_[],MATCH(CONCATENATE(ВСЕ_КОДЫ[[#This Row],[CONTEST_CODE]],"_",X$2),#REF!,0),MATCH(X$1,_group_[#Headers],0)),"-")</f>
        <v>-</v>
      </c>
      <c r="Y543" s="1" t="str">
        <f>IFERROR(INDEX(_group_[],MATCH(CONCATENATE(ВСЕ_КОДЫ[[#This Row],[CONTEST_CODE]],"_",Y$2),#REF!,0),MATCH(Y$1,_group_[#Headers],0)),"-")</f>
        <v>-</v>
      </c>
      <c r="Z543" s="1" t="str">
        <f>IFERROR(INDEX(_group_[],MATCH(CONCATENATE(ВСЕ_КОДЫ[[#This Row],[CONTEST_CODE]],"_",Z$2),#REF!,0),MATCH(Z$1,_group_[#Headers],0)),"-")</f>
        <v>-</v>
      </c>
      <c r="AA543" s="1" t="str">
        <f>IFERROR(INDEX(_group_[],MATCH(CONCATENATE(ВСЕ_КОДЫ[[#This Row],[CONTEST_CODE]],"_",AA$2),#REF!,0),MATCH(AA$1,_group_[#Headers],0)),"-")</f>
        <v>-</v>
      </c>
      <c r="AB543" s="1" t="str">
        <f>IFERROR(INDEX(_DATA_[],MATCH(ВСЕ_КОДЫ[[#This Row],[CONTEST_CODE]],_DATA_[CONTEST_CODE],0),MATCH($AB$2,_DATA_[#Headers],0)),"-")</f>
        <v>["""IMUB"""]</v>
      </c>
      <c r="AC543" t="str">
        <f>CONCATENATE(ВСЕ_КОДЫ[[#This Row],[CONTEST_CODE]],"_",ВСЕ_КОДЫ[[#This Row],[TOURNAMENT_CODE]])</f>
        <v>06_2025-0_18-2_1_t_06_2025-0_18-2_1_2011</v>
      </c>
      <c r="AD543" t="str">
        <f>ВСЕ_КОДЫ[[#This Row],[FULL_NAME]]</f>
        <v>Турнир по квадратным метрам</v>
      </c>
    </row>
    <row r="544" spans="1:30" hidden="1" x14ac:dyDescent="0.25">
      <c r="A544" s="1" t="s">
        <v>2258</v>
      </c>
      <c r="B544" s="1" t="s">
        <v>2581</v>
      </c>
      <c r="C544" s="1" t="s">
        <v>2451</v>
      </c>
      <c r="D544" s="1" t="s">
        <v>583</v>
      </c>
      <c r="E544" s="1" t="s">
        <v>2635</v>
      </c>
      <c r="F544" s="1" t="s">
        <v>2508</v>
      </c>
      <c r="G544" s="1" t="s">
        <v>27</v>
      </c>
      <c r="H544" s="1" t="s">
        <v>34</v>
      </c>
      <c r="I544" s="1" t="s">
        <v>50</v>
      </c>
      <c r="J544" s="1" t="s">
        <v>2508</v>
      </c>
      <c r="K544" s="1" t="s">
        <v>2534</v>
      </c>
      <c r="L544" s="1" t="s">
        <v>2554</v>
      </c>
      <c r="M544" s="1" t="s">
        <v>155</v>
      </c>
      <c r="N544" s="1" t="s">
        <v>305</v>
      </c>
      <c r="O544" s="1" t="s">
        <v>2766</v>
      </c>
      <c r="Q544">
        <f>IFERROR(COUNTIFS(_report[TOURNAMENT_CODE],ВСЕ_КОДЫ[[#This Row],[TOURNAMENT_CODE]],_report[CONTEST_CODE],ВСЕ_КОДЫ[[#This Row],[CONTEST_CODE]]),"-")</f>
        <v>0</v>
      </c>
      <c r="R544" s="1" t="str">
        <f>IFERROR(INDEX(_SCHEDULE_[],MATCH(ВСЕ_КОДЫ[[#This Row],[CONTEST_CODE]],_SCHEDULE_[CONTEST_CODE],0),MATCH($R$1,_SCHEDULE_[#Headers],0)),"-")</f>
        <v>АКТИВНЫЙ</v>
      </c>
      <c r="S544" s="1" t="str">
        <f>IFERROR(INDEX(_group_[],MATCH(ВСЕ_КОДЫ[[#This Row],[CONTEST_CODE]],_group_[CONTEST_CODE],0),MATCH($S$1,_group_[#Headers],0)),"-")</f>
        <v>BANK</v>
      </c>
      <c r="T544" s="1" t="str">
        <f>IFERROR(INDEX(_INDICATOR_[],MATCH(ВСЕ_КОДЫ[[#This Row],[CONTEST_CODE]],_INDICATOR_[CONTEST_CODE],0),MATCH($T$1,_INDICATOR_[#Headers],0)),"-")</f>
        <v>WAIT</v>
      </c>
      <c r="U544" s="1" t="str">
        <f>IFERROR(INDEX(_reward_link_[],MATCH(ВСЕ_КОДЫ[[#This Row],[CONTEST_CODE]],_reward_link_[CONTEST_CODE],0),MATCH($U$1,_reward_link_[#Headers],0)),"-")</f>
        <v>BANK</v>
      </c>
      <c r="V544" s="1" t="str">
        <f>IFERROR(INDEX(_report[],MATCH(ВСЕ_КОДЫ[[#This Row],[CONTEST_CODE]],_report[CONTEST_CODE],0),MATCH($V$1,_report[#Headers],0)),"-")</f>
        <v>-</v>
      </c>
      <c r="W544" s="1" t="str">
        <f>IFERROR(INDEX(_reward_[],MATCH(ВСЕ_КОДЫ[[#This Row],[REWARD_CODE]],_reward_[REWARD_CODE],0),MATCH($W$1,_reward_[#Headers],0)),"-")</f>
        <v>Золото#по Турниру Брокера</v>
      </c>
      <c r="X544" s="1" t="str">
        <f>IFERROR(INDEX(_group_[],MATCH(CONCATENATE(ВСЕ_КОДЫ[[#This Row],[CONTEST_CODE]],"_",X$2),#REF!,0),MATCH(X$1,_group_[#Headers],0)),"-")</f>
        <v>-</v>
      </c>
      <c r="Y544" s="1" t="str">
        <f>IFERROR(INDEX(_group_[],MATCH(CONCATENATE(ВСЕ_КОДЫ[[#This Row],[CONTEST_CODE]],"_",Y$2),#REF!,0),MATCH(Y$1,_group_[#Headers],0)),"-")</f>
        <v>-</v>
      </c>
      <c r="Z544" s="1" t="str">
        <f>IFERROR(INDEX(_group_[],MATCH(CONCATENATE(ВСЕ_КОДЫ[[#This Row],[CONTEST_CODE]],"_",Z$2),#REF!,0),MATCH(Z$1,_group_[#Headers],0)),"-")</f>
        <v>-</v>
      </c>
      <c r="AA544" s="1" t="str">
        <f>IFERROR(INDEX(_group_[],MATCH(CONCATENATE(ВСЕ_КОДЫ[[#This Row],[CONTEST_CODE]],"_",AA$2),#REF!,0),MATCH(AA$1,_group_[#Headers],0)),"-")</f>
        <v>-</v>
      </c>
      <c r="AB544" s="1" t="str">
        <f>IFERROR(INDEX(_DATA_[],MATCH(ВСЕ_КОДЫ[[#This Row],[CONTEST_CODE]],_DATA_[CONTEST_CODE],0),MATCH($AB$2,_DATA_[#Headers],0)),"-")</f>
        <v>["""IMUB"""]</v>
      </c>
      <c r="AC544" t="str">
        <f>CONCATENATE(ВСЕ_КОДЫ[[#This Row],[CONTEST_CODE]],"_",ВСЕ_КОДЫ[[#This Row],[TOURNAMENT_CODE]])</f>
        <v>06_2025-0_18-3_1_t_06_2025-0_18-3_1_2011</v>
      </c>
      <c r="AD544" t="str">
        <f>ВСЕ_КОДЫ[[#This Row],[FULL_NAME]]</f>
        <v>Ралли брокера</v>
      </c>
    </row>
    <row r="545" spans="1:30" hidden="1" x14ac:dyDescent="0.25">
      <c r="A545" s="1" t="s">
        <v>2258</v>
      </c>
      <c r="B545" s="1" t="s">
        <v>2581</v>
      </c>
      <c r="C545" s="1" t="s">
        <v>2453</v>
      </c>
      <c r="D545" s="1" t="s">
        <v>583</v>
      </c>
      <c r="E545" s="1" t="s">
        <v>2635</v>
      </c>
      <c r="F545" s="1" t="s">
        <v>2508</v>
      </c>
      <c r="G545" s="1" t="s">
        <v>27</v>
      </c>
      <c r="H545" s="1" t="s">
        <v>34</v>
      </c>
      <c r="I545" s="1" t="s">
        <v>50</v>
      </c>
      <c r="J545" s="1" t="s">
        <v>2508</v>
      </c>
      <c r="K545" s="1" t="s">
        <v>2534</v>
      </c>
      <c r="L545" s="1" t="s">
        <v>2554</v>
      </c>
      <c r="M545" s="1" t="s">
        <v>155</v>
      </c>
      <c r="N545" s="1" t="s">
        <v>305</v>
      </c>
      <c r="O545" s="1" t="s">
        <v>2767</v>
      </c>
      <c r="Q545">
        <f>IFERROR(COUNTIFS(_report[TOURNAMENT_CODE],ВСЕ_КОДЫ[[#This Row],[TOURNAMENT_CODE]],_report[CONTEST_CODE],ВСЕ_КОДЫ[[#This Row],[CONTEST_CODE]]),"-")</f>
        <v>0</v>
      </c>
      <c r="R545" s="1" t="str">
        <f>IFERROR(INDEX(_SCHEDULE_[],MATCH(ВСЕ_КОДЫ[[#This Row],[CONTEST_CODE]],_SCHEDULE_[CONTEST_CODE],0),MATCH($R$1,_SCHEDULE_[#Headers],0)),"-")</f>
        <v>АКТИВНЫЙ</v>
      </c>
      <c r="S545" s="1" t="str">
        <f>IFERROR(INDEX(_group_[],MATCH(ВСЕ_КОДЫ[[#This Row],[CONTEST_CODE]],_group_[CONTEST_CODE],0),MATCH($S$1,_group_[#Headers],0)),"-")</f>
        <v>BANK</v>
      </c>
      <c r="T545" s="1" t="str">
        <f>IFERROR(INDEX(_INDICATOR_[],MATCH(ВСЕ_КОДЫ[[#This Row],[CONTEST_CODE]],_INDICATOR_[CONTEST_CODE],0),MATCH($T$1,_INDICATOR_[#Headers],0)),"-")</f>
        <v>WAIT</v>
      </c>
      <c r="U545" s="1" t="str">
        <f>IFERROR(INDEX(_reward_link_[],MATCH(ВСЕ_КОДЫ[[#This Row],[CONTEST_CODE]],_reward_link_[CONTEST_CODE],0),MATCH($U$1,_reward_link_[#Headers],0)),"-")</f>
        <v>BANK</v>
      </c>
      <c r="V545" s="1" t="str">
        <f>IFERROR(INDEX(_report[],MATCH(ВСЕ_КОДЫ[[#This Row],[CONTEST_CODE]],_report[CONTEST_CODE],0),MATCH($V$1,_report[#Headers],0)),"-")</f>
        <v>-</v>
      </c>
      <c r="W545" s="1" t="str">
        <f>IFERROR(INDEX(_reward_[],MATCH(ВСЕ_КОДЫ[[#This Row],[REWARD_CODE]],_reward_[REWARD_CODE],0),MATCH($W$1,_reward_[#Headers],0)),"-")</f>
        <v>Серебро#по Турниру Брокера</v>
      </c>
      <c r="X545" s="1" t="str">
        <f>IFERROR(INDEX(_group_[],MATCH(CONCATENATE(ВСЕ_КОДЫ[[#This Row],[CONTEST_CODE]],"_",X$2),#REF!,0),MATCH(X$1,_group_[#Headers],0)),"-")</f>
        <v>-</v>
      </c>
      <c r="Y545" s="1" t="str">
        <f>IFERROR(INDEX(_group_[],MATCH(CONCATENATE(ВСЕ_КОДЫ[[#This Row],[CONTEST_CODE]],"_",Y$2),#REF!,0),MATCH(Y$1,_group_[#Headers],0)),"-")</f>
        <v>-</v>
      </c>
      <c r="Z545" s="1" t="str">
        <f>IFERROR(INDEX(_group_[],MATCH(CONCATENATE(ВСЕ_КОДЫ[[#This Row],[CONTEST_CODE]],"_",Z$2),#REF!,0),MATCH(Z$1,_group_[#Headers],0)),"-")</f>
        <v>-</v>
      </c>
      <c r="AA545" s="1" t="str">
        <f>IFERROR(INDEX(_group_[],MATCH(CONCATENATE(ВСЕ_КОДЫ[[#This Row],[CONTEST_CODE]],"_",AA$2),#REF!,0),MATCH(AA$1,_group_[#Headers],0)),"-")</f>
        <v>-</v>
      </c>
      <c r="AB545" s="1" t="str">
        <f>IFERROR(INDEX(_DATA_[],MATCH(ВСЕ_КОДЫ[[#This Row],[CONTEST_CODE]],_DATA_[CONTEST_CODE],0),MATCH($AB$2,_DATA_[#Headers],0)),"-")</f>
        <v>["""IMUB"""]</v>
      </c>
      <c r="AC545" t="str">
        <f>CONCATENATE(ВСЕ_КОДЫ[[#This Row],[CONTEST_CODE]],"_",ВСЕ_КОДЫ[[#This Row],[TOURNAMENT_CODE]])</f>
        <v>06_2025-0_18-3_1_t_06_2025-0_18-3_1_2011</v>
      </c>
      <c r="AD545" t="str">
        <f>ВСЕ_КОДЫ[[#This Row],[FULL_NAME]]</f>
        <v>Ралли брокера</v>
      </c>
    </row>
    <row r="546" spans="1:30" hidden="1" x14ac:dyDescent="0.25">
      <c r="A546" s="1" t="s">
        <v>2258</v>
      </c>
      <c r="B546" s="1" t="s">
        <v>2581</v>
      </c>
      <c r="C546" s="1" t="s">
        <v>2455</v>
      </c>
      <c r="D546" s="1" t="s">
        <v>583</v>
      </c>
      <c r="E546" s="1" t="s">
        <v>2635</v>
      </c>
      <c r="F546" s="1" t="s">
        <v>2508</v>
      </c>
      <c r="G546" s="1" t="s">
        <v>27</v>
      </c>
      <c r="H546" s="1" t="s">
        <v>34</v>
      </c>
      <c r="I546" s="1" t="s">
        <v>50</v>
      </c>
      <c r="J546" s="1" t="s">
        <v>2508</v>
      </c>
      <c r="K546" s="1" t="s">
        <v>2534</v>
      </c>
      <c r="L546" s="1" t="s">
        <v>2554</v>
      </c>
      <c r="M546" s="1" t="s">
        <v>155</v>
      </c>
      <c r="N546" s="1" t="s">
        <v>305</v>
      </c>
      <c r="O546" s="1" t="s">
        <v>2768</v>
      </c>
      <c r="Q546">
        <f>IFERROR(COUNTIFS(_report[TOURNAMENT_CODE],ВСЕ_КОДЫ[[#This Row],[TOURNAMENT_CODE]],_report[CONTEST_CODE],ВСЕ_КОДЫ[[#This Row],[CONTEST_CODE]]),"-")</f>
        <v>0</v>
      </c>
      <c r="R546" s="1" t="str">
        <f>IFERROR(INDEX(_SCHEDULE_[],MATCH(ВСЕ_КОДЫ[[#This Row],[CONTEST_CODE]],_SCHEDULE_[CONTEST_CODE],0),MATCH($R$1,_SCHEDULE_[#Headers],0)),"-")</f>
        <v>АКТИВНЫЙ</v>
      </c>
      <c r="S546" s="1" t="str">
        <f>IFERROR(INDEX(_group_[],MATCH(ВСЕ_КОДЫ[[#This Row],[CONTEST_CODE]],_group_[CONTEST_CODE],0),MATCH($S$1,_group_[#Headers],0)),"-")</f>
        <v>BANK</v>
      </c>
      <c r="T546" s="1" t="str">
        <f>IFERROR(INDEX(_INDICATOR_[],MATCH(ВСЕ_КОДЫ[[#This Row],[CONTEST_CODE]],_INDICATOR_[CONTEST_CODE],0),MATCH($T$1,_INDICATOR_[#Headers],0)),"-")</f>
        <v>WAIT</v>
      </c>
      <c r="U546" s="1" t="str">
        <f>IFERROR(INDEX(_reward_link_[],MATCH(ВСЕ_КОДЫ[[#This Row],[CONTEST_CODE]],_reward_link_[CONTEST_CODE],0),MATCH($U$1,_reward_link_[#Headers],0)),"-")</f>
        <v>BANK</v>
      </c>
      <c r="V546" s="1" t="str">
        <f>IFERROR(INDEX(_report[],MATCH(ВСЕ_КОДЫ[[#This Row],[CONTEST_CODE]],_report[CONTEST_CODE],0),MATCH($V$1,_report[#Headers],0)),"-")</f>
        <v>-</v>
      </c>
      <c r="W546" s="1" t="str">
        <f>IFERROR(INDEX(_reward_[],MATCH(ВСЕ_КОДЫ[[#This Row],[REWARD_CODE]],_reward_[REWARD_CODE],0),MATCH($W$1,_reward_[#Headers],0)),"-")</f>
        <v>Бронза#по Турниру Брокера</v>
      </c>
      <c r="X546" s="1" t="str">
        <f>IFERROR(INDEX(_group_[],MATCH(CONCATENATE(ВСЕ_КОДЫ[[#This Row],[CONTEST_CODE]],"_",X$2),#REF!,0),MATCH(X$1,_group_[#Headers],0)),"-")</f>
        <v>-</v>
      </c>
      <c r="Y546" s="1" t="str">
        <f>IFERROR(INDEX(_group_[],MATCH(CONCATENATE(ВСЕ_КОДЫ[[#This Row],[CONTEST_CODE]],"_",Y$2),#REF!,0),MATCH(Y$1,_group_[#Headers],0)),"-")</f>
        <v>-</v>
      </c>
      <c r="Z546" s="1" t="str">
        <f>IFERROR(INDEX(_group_[],MATCH(CONCATENATE(ВСЕ_КОДЫ[[#This Row],[CONTEST_CODE]],"_",Z$2),#REF!,0),MATCH(Z$1,_group_[#Headers],0)),"-")</f>
        <v>-</v>
      </c>
      <c r="AA546" s="1" t="str">
        <f>IFERROR(INDEX(_group_[],MATCH(CONCATENATE(ВСЕ_КОДЫ[[#This Row],[CONTEST_CODE]],"_",AA$2),#REF!,0),MATCH(AA$1,_group_[#Headers],0)),"-")</f>
        <v>-</v>
      </c>
      <c r="AB546" s="1" t="str">
        <f>IFERROR(INDEX(_DATA_[],MATCH(ВСЕ_КОДЫ[[#This Row],[CONTEST_CODE]],_DATA_[CONTEST_CODE],0),MATCH($AB$2,_DATA_[#Headers],0)),"-")</f>
        <v>["""IMUB"""]</v>
      </c>
      <c r="AC546" t="str">
        <f>CONCATENATE(ВСЕ_КОДЫ[[#This Row],[CONTEST_CODE]],"_",ВСЕ_КОДЫ[[#This Row],[TOURNAMENT_CODE]])</f>
        <v>06_2025-0_18-3_1_t_06_2025-0_18-3_1_2011</v>
      </c>
      <c r="AD546" t="str">
        <f>ВСЕ_КОДЫ[[#This Row],[FULL_NAME]]</f>
        <v>Ралли брокера</v>
      </c>
    </row>
    <row r="547" spans="1:30" hidden="1" x14ac:dyDescent="0.25">
      <c r="A547" s="1" t="s">
        <v>2260</v>
      </c>
      <c r="B547" s="1" t="s">
        <v>2583</v>
      </c>
      <c r="C547" s="1" t="s">
        <v>2457</v>
      </c>
      <c r="D547" s="1" t="s">
        <v>583</v>
      </c>
      <c r="E547" s="1" t="s">
        <v>2638</v>
      </c>
      <c r="F547" s="1" t="s">
        <v>2508</v>
      </c>
      <c r="G547" s="1" t="s">
        <v>27</v>
      </c>
      <c r="H547" s="1" t="s">
        <v>34</v>
      </c>
      <c r="I547" s="1" t="s">
        <v>50</v>
      </c>
      <c r="J547" s="1" t="s">
        <v>2508</v>
      </c>
      <c r="K547" s="1" t="s">
        <v>2534</v>
      </c>
      <c r="L547" s="1" t="s">
        <v>2554</v>
      </c>
      <c r="M547" s="1" t="s">
        <v>155</v>
      </c>
      <c r="N547" s="1" t="s">
        <v>305</v>
      </c>
      <c r="O547" s="1" t="s">
        <v>2769</v>
      </c>
      <c r="Q547">
        <f>IFERROR(COUNTIFS(_report[TOURNAMENT_CODE],ВСЕ_КОДЫ[[#This Row],[TOURNAMENT_CODE]],_report[CONTEST_CODE],ВСЕ_КОДЫ[[#This Row],[CONTEST_CODE]]),"-")</f>
        <v>0</v>
      </c>
      <c r="R547" s="1" t="str">
        <f>IFERROR(INDEX(_SCHEDULE_[],MATCH(ВСЕ_КОДЫ[[#This Row],[CONTEST_CODE]],_SCHEDULE_[CONTEST_CODE],0),MATCH($R$1,_SCHEDULE_[#Headers],0)),"-")</f>
        <v>АКТИВНЫЙ</v>
      </c>
      <c r="S547" s="1" t="str">
        <f>IFERROR(INDEX(_group_[],MATCH(ВСЕ_КОДЫ[[#This Row],[CONTEST_CODE]],_group_[CONTEST_CODE],0),MATCH($S$1,_group_[#Headers],0)),"-")</f>
        <v>BANK</v>
      </c>
      <c r="T547" s="1" t="str">
        <f>IFERROR(INDEX(_INDICATOR_[],MATCH(ВСЕ_КОДЫ[[#This Row],[CONTEST_CODE]],_INDICATOR_[CONTEST_CODE],0),MATCH($T$1,_INDICATOR_[#Headers],0)),"-")</f>
        <v>WAIT</v>
      </c>
      <c r="U547" s="1" t="str">
        <f>IFERROR(INDEX(_reward_link_[],MATCH(ВСЕ_КОДЫ[[#This Row],[CONTEST_CODE]],_reward_link_[CONTEST_CODE],0),MATCH($U$1,_reward_link_[#Headers],0)),"-")</f>
        <v>BANK</v>
      </c>
      <c r="V547" s="1" t="str">
        <f>IFERROR(INDEX(_report[],MATCH(ВСЕ_КОДЫ[[#This Row],[CONTEST_CODE]],_report[CONTEST_CODE],0),MATCH($V$1,_report[#Headers],0)),"-")</f>
        <v>-</v>
      </c>
      <c r="W547" s="1" t="str">
        <f>IFERROR(INDEX(_reward_[],MATCH(ВСЕ_КОДЫ[[#This Row],[REWARD_CODE]],_reward_[REWARD_CODE],0),MATCH($W$1,_reward_[#Headers],0)),"-")</f>
        <v>Золото#по Турниру СБСЖ</v>
      </c>
      <c r="X547" s="1" t="str">
        <f>IFERROR(INDEX(_group_[],MATCH(CONCATENATE(ВСЕ_КОДЫ[[#This Row],[CONTEST_CODE]],"_",X$2),#REF!,0),MATCH(X$1,_group_[#Headers],0)),"-")</f>
        <v>-</v>
      </c>
      <c r="Y547" s="1" t="str">
        <f>IFERROR(INDEX(_group_[],MATCH(CONCATENATE(ВСЕ_КОДЫ[[#This Row],[CONTEST_CODE]],"_",Y$2),#REF!,0),MATCH(Y$1,_group_[#Headers],0)),"-")</f>
        <v>-</v>
      </c>
      <c r="Z547" s="1" t="str">
        <f>IFERROR(INDEX(_group_[],MATCH(CONCATENATE(ВСЕ_КОДЫ[[#This Row],[CONTEST_CODE]],"_",Z$2),#REF!,0),MATCH(Z$1,_group_[#Headers],0)),"-")</f>
        <v>-</v>
      </c>
      <c r="AA547" s="1" t="str">
        <f>IFERROR(INDEX(_group_[],MATCH(CONCATENATE(ВСЕ_КОДЫ[[#This Row],[CONTEST_CODE]],"_",AA$2),#REF!,0),MATCH(AA$1,_group_[#Headers],0)),"-")</f>
        <v>-</v>
      </c>
      <c r="AB547" s="1" t="str">
        <f>IFERROR(INDEX(_DATA_[],MATCH(ВСЕ_КОДЫ[[#This Row],[CONTEST_CODE]],_DATA_[CONTEST_CODE],0),MATCH($AB$2,_DATA_[#Headers],0)),"-")</f>
        <v>["""IMUB"""]</v>
      </c>
      <c r="AC547" t="str">
        <f>CONCATENATE(ВСЕ_КОДЫ[[#This Row],[CONTEST_CODE]],"_",ВСЕ_КОДЫ[[#This Row],[TOURNAMENT_CODE]])</f>
        <v>06_2025-0_18-4_1_t_06_2025-0_18-4_1_2011</v>
      </c>
      <c r="AD547" t="str">
        <f>ВСЕ_КОДЫ[[#This Row],[FULL_NAME]]</f>
        <v>Страховой олимп</v>
      </c>
    </row>
    <row r="548" spans="1:30" hidden="1" x14ac:dyDescent="0.25">
      <c r="A548" s="1" t="s">
        <v>2260</v>
      </c>
      <c r="B548" s="1" t="s">
        <v>2583</v>
      </c>
      <c r="C548" s="1" t="s">
        <v>2459</v>
      </c>
      <c r="D548" s="1" t="s">
        <v>583</v>
      </c>
      <c r="E548" s="1" t="s">
        <v>2638</v>
      </c>
      <c r="F548" s="1" t="s">
        <v>2508</v>
      </c>
      <c r="G548" s="1" t="s">
        <v>27</v>
      </c>
      <c r="H548" s="1" t="s">
        <v>34</v>
      </c>
      <c r="I548" s="1" t="s">
        <v>50</v>
      </c>
      <c r="J548" s="1" t="s">
        <v>2508</v>
      </c>
      <c r="K548" s="1" t="s">
        <v>2534</v>
      </c>
      <c r="L548" s="1" t="s">
        <v>2554</v>
      </c>
      <c r="M548" s="1" t="s">
        <v>155</v>
      </c>
      <c r="N548" s="1" t="s">
        <v>305</v>
      </c>
      <c r="O548" s="1" t="s">
        <v>2770</v>
      </c>
      <c r="Q548">
        <f>IFERROR(COUNTIFS(_report[TOURNAMENT_CODE],ВСЕ_КОДЫ[[#This Row],[TOURNAMENT_CODE]],_report[CONTEST_CODE],ВСЕ_КОДЫ[[#This Row],[CONTEST_CODE]]),"-")</f>
        <v>0</v>
      </c>
      <c r="R548" s="1" t="str">
        <f>IFERROR(INDEX(_SCHEDULE_[],MATCH(ВСЕ_КОДЫ[[#This Row],[CONTEST_CODE]],_SCHEDULE_[CONTEST_CODE],0),MATCH($R$1,_SCHEDULE_[#Headers],0)),"-")</f>
        <v>АКТИВНЫЙ</v>
      </c>
      <c r="S548" s="1" t="str">
        <f>IFERROR(INDEX(_group_[],MATCH(ВСЕ_КОДЫ[[#This Row],[CONTEST_CODE]],_group_[CONTEST_CODE],0),MATCH($S$1,_group_[#Headers],0)),"-")</f>
        <v>BANK</v>
      </c>
      <c r="T548" s="1" t="str">
        <f>IFERROR(INDEX(_INDICATOR_[],MATCH(ВСЕ_КОДЫ[[#This Row],[CONTEST_CODE]],_INDICATOR_[CONTEST_CODE],0),MATCH($T$1,_INDICATOR_[#Headers],0)),"-")</f>
        <v>WAIT</v>
      </c>
      <c r="U548" s="1" t="str">
        <f>IFERROR(INDEX(_reward_link_[],MATCH(ВСЕ_КОДЫ[[#This Row],[CONTEST_CODE]],_reward_link_[CONTEST_CODE],0),MATCH($U$1,_reward_link_[#Headers],0)),"-")</f>
        <v>BANK</v>
      </c>
      <c r="V548" s="1" t="str">
        <f>IFERROR(INDEX(_report[],MATCH(ВСЕ_КОДЫ[[#This Row],[CONTEST_CODE]],_report[CONTEST_CODE],0),MATCH($V$1,_report[#Headers],0)),"-")</f>
        <v>-</v>
      </c>
      <c r="W548" s="1" t="str">
        <f>IFERROR(INDEX(_reward_[],MATCH(ВСЕ_КОДЫ[[#This Row],[REWARD_CODE]],_reward_[REWARD_CODE],0),MATCH($W$1,_reward_[#Headers],0)),"-")</f>
        <v>Серебро#по Турниру СБСЖ</v>
      </c>
      <c r="X548" s="1" t="str">
        <f>IFERROR(INDEX(_group_[],MATCH(CONCATENATE(ВСЕ_КОДЫ[[#This Row],[CONTEST_CODE]],"_",X$2),#REF!,0),MATCH(X$1,_group_[#Headers],0)),"-")</f>
        <v>-</v>
      </c>
      <c r="Y548" s="1" t="str">
        <f>IFERROR(INDEX(_group_[],MATCH(CONCATENATE(ВСЕ_КОДЫ[[#This Row],[CONTEST_CODE]],"_",Y$2),#REF!,0),MATCH(Y$1,_group_[#Headers],0)),"-")</f>
        <v>-</v>
      </c>
      <c r="Z548" s="1" t="str">
        <f>IFERROR(INDEX(_group_[],MATCH(CONCATENATE(ВСЕ_КОДЫ[[#This Row],[CONTEST_CODE]],"_",Z$2),#REF!,0),MATCH(Z$1,_group_[#Headers],0)),"-")</f>
        <v>-</v>
      </c>
      <c r="AA548" s="1" t="str">
        <f>IFERROR(INDEX(_group_[],MATCH(CONCATENATE(ВСЕ_КОДЫ[[#This Row],[CONTEST_CODE]],"_",AA$2),#REF!,0),MATCH(AA$1,_group_[#Headers],0)),"-")</f>
        <v>-</v>
      </c>
      <c r="AB548" s="1" t="str">
        <f>IFERROR(INDEX(_DATA_[],MATCH(ВСЕ_КОДЫ[[#This Row],[CONTEST_CODE]],_DATA_[CONTEST_CODE],0),MATCH($AB$2,_DATA_[#Headers],0)),"-")</f>
        <v>["""IMUB"""]</v>
      </c>
      <c r="AC548" t="str">
        <f>CONCATENATE(ВСЕ_КОДЫ[[#This Row],[CONTEST_CODE]],"_",ВСЕ_КОДЫ[[#This Row],[TOURNAMENT_CODE]])</f>
        <v>06_2025-0_18-4_1_t_06_2025-0_18-4_1_2011</v>
      </c>
      <c r="AD548" t="str">
        <f>ВСЕ_КОДЫ[[#This Row],[FULL_NAME]]</f>
        <v>Страховой олимп</v>
      </c>
    </row>
    <row r="549" spans="1:30" hidden="1" x14ac:dyDescent="0.25">
      <c r="A549" s="1" t="s">
        <v>2260</v>
      </c>
      <c r="B549" s="1" t="s">
        <v>2583</v>
      </c>
      <c r="C549" s="1" t="s">
        <v>2461</v>
      </c>
      <c r="D549" s="1" t="s">
        <v>583</v>
      </c>
      <c r="E549" s="1" t="s">
        <v>2638</v>
      </c>
      <c r="F549" s="1" t="s">
        <v>2508</v>
      </c>
      <c r="G549" s="1" t="s">
        <v>27</v>
      </c>
      <c r="H549" s="1" t="s">
        <v>34</v>
      </c>
      <c r="I549" s="1" t="s">
        <v>50</v>
      </c>
      <c r="J549" s="1" t="s">
        <v>2508</v>
      </c>
      <c r="K549" s="1" t="s">
        <v>2534</v>
      </c>
      <c r="L549" s="1" t="s">
        <v>2554</v>
      </c>
      <c r="M549" s="1" t="s">
        <v>155</v>
      </c>
      <c r="N549" s="1" t="s">
        <v>305</v>
      </c>
      <c r="O549" s="1" t="s">
        <v>2771</v>
      </c>
      <c r="Q549">
        <f>IFERROR(COUNTIFS(_report[TOURNAMENT_CODE],ВСЕ_КОДЫ[[#This Row],[TOURNAMENT_CODE]],_report[CONTEST_CODE],ВСЕ_КОДЫ[[#This Row],[CONTEST_CODE]]),"-")</f>
        <v>0</v>
      </c>
      <c r="R549" s="1" t="str">
        <f>IFERROR(INDEX(_SCHEDULE_[],MATCH(ВСЕ_КОДЫ[[#This Row],[CONTEST_CODE]],_SCHEDULE_[CONTEST_CODE],0),MATCH($R$1,_SCHEDULE_[#Headers],0)),"-")</f>
        <v>АКТИВНЫЙ</v>
      </c>
      <c r="S549" s="1" t="str">
        <f>IFERROR(INDEX(_group_[],MATCH(ВСЕ_КОДЫ[[#This Row],[CONTEST_CODE]],_group_[CONTEST_CODE],0),MATCH($S$1,_group_[#Headers],0)),"-")</f>
        <v>BANK</v>
      </c>
      <c r="T549" s="1" t="str">
        <f>IFERROR(INDEX(_INDICATOR_[],MATCH(ВСЕ_КОДЫ[[#This Row],[CONTEST_CODE]],_INDICATOR_[CONTEST_CODE],0),MATCH($T$1,_INDICATOR_[#Headers],0)),"-")</f>
        <v>WAIT</v>
      </c>
      <c r="U549" s="1" t="str">
        <f>IFERROR(INDEX(_reward_link_[],MATCH(ВСЕ_КОДЫ[[#This Row],[CONTEST_CODE]],_reward_link_[CONTEST_CODE],0),MATCH($U$1,_reward_link_[#Headers],0)),"-")</f>
        <v>BANK</v>
      </c>
      <c r="V549" s="1" t="str">
        <f>IFERROR(INDEX(_report[],MATCH(ВСЕ_КОДЫ[[#This Row],[CONTEST_CODE]],_report[CONTEST_CODE],0),MATCH($V$1,_report[#Headers],0)),"-")</f>
        <v>-</v>
      </c>
      <c r="W549" s="1" t="str">
        <f>IFERROR(INDEX(_reward_[],MATCH(ВСЕ_КОДЫ[[#This Row],[REWARD_CODE]],_reward_[REWARD_CODE],0),MATCH($W$1,_reward_[#Headers],0)),"-")</f>
        <v>Бронза#по Турниру СБСЖ</v>
      </c>
      <c r="X549" s="1" t="str">
        <f>IFERROR(INDEX(_group_[],MATCH(CONCATENATE(ВСЕ_КОДЫ[[#This Row],[CONTEST_CODE]],"_",X$2),#REF!,0),MATCH(X$1,_group_[#Headers],0)),"-")</f>
        <v>-</v>
      </c>
      <c r="Y549" s="1" t="str">
        <f>IFERROR(INDEX(_group_[],MATCH(CONCATENATE(ВСЕ_КОДЫ[[#This Row],[CONTEST_CODE]],"_",Y$2),#REF!,0),MATCH(Y$1,_group_[#Headers],0)),"-")</f>
        <v>-</v>
      </c>
      <c r="Z549" s="1" t="str">
        <f>IFERROR(INDEX(_group_[],MATCH(CONCATENATE(ВСЕ_КОДЫ[[#This Row],[CONTEST_CODE]],"_",Z$2),#REF!,0),MATCH(Z$1,_group_[#Headers],0)),"-")</f>
        <v>-</v>
      </c>
      <c r="AA549" s="1" t="str">
        <f>IFERROR(INDEX(_group_[],MATCH(CONCATENATE(ВСЕ_КОДЫ[[#This Row],[CONTEST_CODE]],"_",AA$2),#REF!,0),MATCH(AA$1,_group_[#Headers],0)),"-")</f>
        <v>-</v>
      </c>
      <c r="AB549" s="1" t="str">
        <f>IFERROR(INDEX(_DATA_[],MATCH(ВСЕ_КОДЫ[[#This Row],[CONTEST_CODE]],_DATA_[CONTEST_CODE],0),MATCH($AB$2,_DATA_[#Headers],0)),"-")</f>
        <v>["""IMUB"""]</v>
      </c>
      <c r="AC549" t="str">
        <f>CONCATENATE(ВСЕ_КОДЫ[[#This Row],[CONTEST_CODE]],"_",ВСЕ_КОДЫ[[#This Row],[TOURNAMENT_CODE]])</f>
        <v>06_2025-0_18-4_1_t_06_2025-0_18-4_1_2011</v>
      </c>
      <c r="AD549" t="str">
        <f>ВСЕ_КОДЫ[[#This Row],[FULL_NAME]]</f>
        <v>Страховой олимп</v>
      </c>
    </row>
    <row r="550" spans="1:30" hidden="1" x14ac:dyDescent="0.25">
      <c r="A550" s="1" t="s">
        <v>2262</v>
      </c>
      <c r="B550" s="1" t="s">
        <v>2585</v>
      </c>
      <c r="C550" s="1" t="s">
        <v>2463</v>
      </c>
      <c r="D550" s="1" t="s">
        <v>583</v>
      </c>
      <c r="E550" s="1" t="s">
        <v>2629</v>
      </c>
      <c r="F550" s="1" t="s">
        <v>2508</v>
      </c>
      <c r="G550" s="1" t="s">
        <v>27</v>
      </c>
      <c r="H550" s="1" t="s">
        <v>34</v>
      </c>
      <c r="I550" s="1" t="s">
        <v>50</v>
      </c>
      <c r="J550" s="1" t="s">
        <v>2508</v>
      </c>
      <c r="K550" s="1" t="s">
        <v>2534</v>
      </c>
      <c r="L550" s="1" t="s">
        <v>2554</v>
      </c>
      <c r="M550" s="1" t="s">
        <v>155</v>
      </c>
      <c r="N550" s="1" t="s">
        <v>305</v>
      </c>
      <c r="O550" s="1" t="s">
        <v>2759</v>
      </c>
      <c r="Q550">
        <f>IFERROR(COUNTIFS(_report[TOURNAMENT_CODE],ВСЕ_КОДЫ[[#This Row],[TOURNAMENT_CODE]],_report[CONTEST_CODE],ВСЕ_КОДЫ[[#This Row],[CONTEST_CODE]]),"-")</f>
        <v>0</v>
      </c>
      <c r="R550" s="1" t="str">
        <f>IFERROR(INDEX(_SCHEDULE_[],MATCH(ВСЕ_КОДЫ[[#This Row],[CONTEST_CODE]],_SCHEDULE_[CONTEST_CODE],0),MATCH($R$1,_SCHEDULE_[#Headers],0)),"-")</f>
        <v>АКТИВНЫЙ</v>
      </c>
      <c r="S550" s="1" t="str">
        <f>IFERROR(INDEX(_group_[],MATCH(ВСЕ_КОДЫ[[#This Row],[CONTEST_CODE]],_group_[CONTEST_CODE],0),MATCH($S$1,_group_[#Headers],0)),"-")</f>
        <v>BANK</v>
      </c>
      <c r="T550" s="1" t="str">
        <f>IFERROR(INDEX(_INDICATOR_[],MATCH(ВСЕ_КОДЫ[[#This Row],[CONTEST_CODE]],_INDICATOR_[CONTEST_CODE],0),MATCH($T$1,_INDICATOR_[#Headers],0)),"-")</f>
        <v>WAIT</v>
      </c>
      <c r="U550" s="1" t="str">
        <f>IFERROR(INDEX(_reward_link_[],MATCH(ВСЕ_КОДЫ[[#This Row],[CONTEST_CODE]],_reward_link_[CONTEST_CODE],0),MATCH($U$1,_reward_link_[#Headers],0)),"-")</f>
        <v>BANK</v>
      </c>
      <c r="V550" s="1" t="str">
        <f>IFERROR(INDEX(_report[],MATCH(ВСЕ_КОДЫ[[#This Row],[CONTEST_CODE]],_report[CONTEST_CODE],0),MATCH($V$1,_report[#Headers],0)),"-")</f>
        <v>-</v>
      </c>
      <c r="W550" s="1" t="str">
        <f>IFERROR(INDEX(_reward_[],MATCH(ВСЕ_КОДЫ[[#This Row],[REWARD_CODE]],_reward_[REWARD_CODE],0),MATCH($W$1,_reward_[#Headers],0)),"-")</f>
        <v>Золото#по Турниру УКП</v>
      </c>
      <c r="X550" s="1" t="str">
        <f>IFERROR(INDEX(_group_[],MATCH(CONCATENATE(ВСЕ_КОДЫ[[#This Row],[CONTEST_CODE]],"_",X$2),#REF!,0),MATCH(X$1,_group_[#Headers],0)),"-")</f>
        <v>-</v>
      </c>
      <c r="Y550" s="1" t="str">
        <f>IFERROR(INDEX(_group_[],MATCH(CONCATENATE(ВСЕ_КОДЫ[[#This Row],[CONTEST_CODE]],"_",Y$2),#REF!,0),MATCH(Y$1,_group_[#Headers],0)),"-")</f>
        <v>-</v>
      </c>
      <c r="Z550" s="1" t="str">
        <f>IFERROR(INDEX(_group_[],MATCH(CONCATENATE(ВСЕ_КОДЫ[[#This Row],[CONTEST_CODE]],"_",Z$2),#REF!,0),MATCH(Z$1,_group_[#Headers],0)),"-")</f>
        <v>-</v>
      </c>
      <c r="AA550" s="1" t="str">
        <f>IFERROR(INDEX(_group_[],MATCH(CONCATENATE(ВСЕ_КОДЫ[[#This Row],[CONTEST_CODE]],"_",AA$2),#REF!,0),MATCH(AA$1,_group_[#Headers],0)),"-")</f>
        <v>-</v>
      </c>
      <c r="AB550" s="1" t="str">
        <f>IFERROR(INDEX(_DATA_[],MATCH(ВСЕ_КОДЫ[[#This Row],[CONTEST_CODE]],_DATA_[CONTEST_CODE],0),MATCH($AB$2,_DATA_[#Headers],0)),"-")</f>
        <v>["""RNUB"""]</v>
      </c>
      <c r="AC550" t="str">
        <f>CONCATENATE(ВСЕ_КОДЫ[[#This Row],[CONTEST_CODE]],"_",ВСЕ_КОДЫ[[#This Row],[TOURNAMENT_CODE]])</f>
        <v>07_2025-0_18-1_1_t_07_2025-0_18-1_1_2011</v>
      </c>
      <c r="AD550" t="str">
        <f>ВСЕ_КОДЫ[[#This Row],[FULL_NAME]]</f>
        <v>Марафон УК Первая</v>
      </c>
    </row>
    <row r="551" spans="1:30" hidden="1" x14ac:dyDescent="0.25">
      <c r="A551" s="1" t="s">
        <v>2262</v>
      </c>
      <c r="B551" s="1" t="s">
        <v>2585</v>
      </c>
      <c r="C551" s="1" t="s">
        <v>2465</v>
      </c>
      <c r="D551" s="1" t="s">
        <v>583</v>
      </c>
      <c r="E551" s="1" t="s">
        <v>2629</v>
      </c>
      <c r="F551" s="1" t="s">
        <v>2508</v>
      </c>
      <c r="G551" s="1" t="s">
        <v>27</v>
      </c>
      <c r="H551" s="1" t="s">
        <v>34</v>
      </c>
      <c r="I551" s="1" t="s">
        <v>50</v>
      </c>
      <c r="J551" s="1" t="s">
        <v>2508</v>
      </c>
      <c r="K551" s="1" t="s">
        <v>2534</v>
      </c>
      <c r="L551" s="1" t="s">
        <v>2554</v>
      </c>
      <c r="M551" s="1" t="s">
        <v>155</v>
      </c>
      <c r="N551" s="1" t="s">
        <v>305</v>
      </c>
      <c r="O551" s="1" t="s">
        <v>2761</v>
      </c>
      <c r="Q551">
        <f>IFERROR(COUNTIFS(_report[TOURNAMENT_CODE],ВСЕ_КОДЫ[[#This Row],[TOURNAMENT_CODE]],_report[CONTEST_CODE],ВСЕ_КОДЫ[[#This Row],[CONTEST_CODE]]),"-")</f>
        <v>0</v>
      </c>
      <c r="R551" s="1" t="str">
        <f>IFERROR(INDEX(_SCHEDULE_[],MATCH(ВСЕ_КОДЫ[[#This Row],[CONTEST_CODE]],_SCHEDULE_[CONTEST_CODE],0),MATCH($R$1,_SCHEDULE_[#Headers],0)),"-")</f>
        <v>АКТИВНЫЙ</v>
      </c>
      <c r="S551" s="1" t="str">
        <f>IFERROR(INDEX(_group_[],MATCH(ВСЕ_КОДЫ[[#This Row],[CONTEST_CODE]],_group_[CONTEST_CODE],0),MATCH($S$1,_group_[#Headers],0)),"-")</f>
        <v>BANK</v>
      </c>
      <c r="T551" s="1" t="str">
        <f>IFERROR(INDEX(_INDICATOR_[],MATCH(ВСЕ_КОДЫ[[#This Row],[CONTEST_CODE]],_INDICATOR_[CONTEST_CODE],0),MATCH($T$1,_INDICATOR_[#Headers],0)),"-")</f>
        <v>WAIT</v>
      </c>
      <c r="U551" s="1" t="str">
        <f>IFERROR(INDEX(_reward_link_[],MATCH(ВСЕ_КОДЫ[[#This Row],[CONTEST_CODE]],_reward_link_[CONTEST_CODE],0),MATCH($U$1,_reward_link_[#Headers],0)),"-")</f>
        <v>BANK</v>
      </c>
      <c r="V551" s="1" t="str">
        <f>IFERROR(INDEX(_report[],MATCH(ВСЕ_КОДЫ[[#This Row],[CONTEST_CODE]],_report[CONTEST_CODE],0),MATCH($V$1,_report[#Headers],0)),"-")</f>
        <v>-</v>
      </c>
      <c r="W551" s="1" t="str">
        <f>IFERROR(INDEX(_reward_[],MATCH(ВСЕ_КОДЫ[[#This Row],[REWARD_CODE]],_reward_[REWARD_CODE],0),MATCH($W$1,_reward_[#Headers],0)),"-")</f>
        <v>Серебро#по Турниру УКП</v>
      </c>
      <c r="X551" s="1" t="str">
        <f>IFERROR(INDEX(_group_[],MATCH(CONCATENATE(ВСЕ_КОДЫ[[#This Row],[CONTEST_CODE]],"_",X$2),#REF!,0),MATCH(X$1,_group_[#Headers],0)),"-")</f>
        <v>-</v>
      </c>
      <c r="Y551" s="1" t="str">
        <f>IFERROR(INDEX(_group_[],MATCH(CONCATENATE(ВСЕ_КОДЫ[[#This Row],[CONTEST_CODE]],"_",Y$2),#REF!,0),MATCH(Y$1,_group_[#Headers],0)),"-")</f>
        <v>-</v>
      </c>
      <c r="Z551" s="1" t="str">
        <f>IFERROR(INDEX(_group_[],MATCH(CONCATENATE(ВСЕ_КОДЫ[[#This Row],[CONTEST_CODE]],"_",Z$2),#REF!,0),MATCH(Z$1,_group_[#Headers],0)),"-")</f>
        <v>-</v>
      </c>
      <c r="AA551" s="1" t="str">
        <f>IFERROR(INDEX(_group_[],MATCH(CONCATENATE(ВСЕ_КОДЫ[[#This Row],[CONTEST_CODE]],"_",AA$2),#REF!,0),MATCH(AA$1,_group_[#Headers],0)),"-")</f>
        <v>-</v>
      </c>
      <c r="AB551" s="1" t="str">
        <f>IFERROR(INDEX(_DATA_[],MATCH(ВСЕ_КОДЫ[[#This Row],[CONTEST_CODE]],_DATA_[CONTEST_CODE],0),MATCH($AB$2,_DATA_[#Headers],0)),"-")</f>
        <v>["""RNUB"""]</v>
      </c>
      <c r="AC551" t="str">
        <f>CONCATENATE(ВСЕ_КОДЫ[[#This Row],[CONTEST_CODE]],"_",ВСЕ_КОДЫ[[#This Row],[TOURNAMENT_CODE]])</f>
        <v>07_2025-0_18-1_1_t_07_2025-0_18-1_1_2011</v>
      </c>
      <c r="AD551" t="str">
        <f>ВСЕ_КОДЫ[[#This Row],[FULL_NAME]]</f>
        <v>Марафон УК Первая</v>
      </c>
    </row>
    <row r="552" spans="1:30" hidden="1" x14ac:dyDescent="0.25">
      <c r="A552" s="1" t="s">
        <v>2262</v>
      </c>
      <c r="B552" s="1" t="s">
        <v>2585</v>
      </c>
      <c r="C552" s="1" t="s">
        <v>2467</v>
      </c>
      <c r="D552" s="1" t="s">
        <v>583</v>
      </c>
      <c r="E552" s="1" t="s">
        <v>2629</v>
      </c>
      <c r="F552" s="1" t="s">
        <v>2508</v>
      </c>
      <c r="G552" s="1" t="s">
        <v>27</v>
      </c>
      <c r="H552" s="1" t="s">
        <v>34</v>
      </c>
      <c r="I552" s="1" t="s">
        <v>50</v>
      </c>
      <c r="J552" s="1" t="s">
        <v>2508</v>
      </c>
      <c r="K552" s="1" t="s">
        <v>2534</v>
      </c>
      <c r="L552" s="1" t="s">
        <v>2554</v>
      </c>
      <c r="M552" s="1" t="s">
        <v>155</v>
      </c>
      <c r="N552" s="1" t="s">
        <v>305</v>
      </c>
      <c r="O552" s="1" t="s">
        <v>2762</v>
      </c>
      <c r="Q552">
        <f>IFERROR(COUNTIFS(_report[TOURNAMENT_CODE],ВСЕ_КОДЫ[[#This Row],[TOURNAMENT_CODE]],_report[CONTEST_CODE],ВСЕ_КОДЫ[[#This Row],[CONTEST_CODE]]),"-")</f>
        <v>0</v>
      </c>
      <c r="R552" s="1" t="str">
        <f>IFERROR(INDEX(_SCHEDULE_[],MATCH(ВСЕ_КОДЫ[[#This Row],[CONTEST_CODE]],_SCHEDULE_[CONTEST_CODE],0),MATCH($R$1,_SCHEDULE_[#Headers],0)),"-")</f>
        <v>АКТИВНЫЙ</v>
      </c>
      <c r="S552" s="1" t="str">
        <f>IFERROR(INDEX(_group_[],MATCH(ВСЕ_КОДЫ[[#This Row],[CONTEST_CODE]],_group_[CONTEST_CODE],0),MATCH($S$1,_group_[#Headers],0)),"-")</f>
        <v>BANK</v>
      </c>
      <c r="T552" s="1" t="str">
        <f>IFERROR(INDEX(_INDICATOR_[],MATCH(ВСЕ_КОДЫ[[#This Row],[CONTEST_CODE]],_INDICATOR_[CONTEST_CODE],0),MATCH($T$1,_INDICATOR_[#Headers],0)),"-")</f>
        <v>WAIT</v>
      </c>
      <c r="U552" s="1" t="str">
        <f>IFERROR(INDEX(_reward_link_[],MATCH(ВСЕ_КОДЫ[[#This Row],[CONTEST_CODE]],_reward_link_[CONTEST_CODE],0),MATCH($U$1,_reward_link_[#Headers],0)),"-")</f>
        <v>BANK</v>
      </c>
      <c r="V552" s="1" t="str">
        <f>IFERROR(INDEX(_report[],MATCH(ВСЕ_КОДЫ[[#This Row],[CONTEST_CODE]],_report[CONTEST_CODE],0),MATCH($V$1,_report[#Headers],0)),"-")</f>
        <v>-</v>
      </c>
      <c r="W552" s="1" t="str">
        <f>IFERROR(INDEX(_reward_[],MATCH(ВСЕ_КОДЫ[[#This Row],[REWARD_CODE]],_reward_[REWARD_CODE],0),MATCH($W$1,_reward_[#Headers],0)),"-")</f>
        <v>Бронза#по Турниру УКП</v>
      </c>
      <c r="X552" s="1" t="str">
        <f>IFERROR(INDEX(_group_[],MATCH(CONCATENATE(ВСЕ_КОДЫ[[#This Row],[CONTEST_CODE]],"_",X$2),#REF!,0),MATCH(X$1,_group_[#Headers],0)),"-")</f>
        <v>-</v>
      </c>
      <c r="Y552" s="1" t="str">
        <f>IFERROR(INDEX(_group_[],MATCH(CONCATENATE(ВСЕ_КОДЫ[[#This Row],[CONTEST_CODE]],"_",Y$2),#REF!,0),MATCH(Y$1,_group_[#Headers],0)),"-")</f>
        <v>-</v>
      </c>
      <c r="Z552" s="1" t="str">
        <f>IFERROR(INDEX(_group_[],MATCH(CONCATENATE(ВСЕ_КОДЫ[[#This Row],[CONTEST_CODE]],"_",Z$2),#REF!,0),MATCH(Z$1,_group_[#Headers],0)),"-")</f>
        <v>-</v>
      </c>
      <c r="AA552" s="1" t="str">
        <f>IFERROR(INDEX(_group_[],MATCH(CONCATENATE(ВСЕ_КОДЫ[[#This Row],[CONTEST_CODE]],"_",AA$2),#REF!,0),MATCH(AA$1,_group_[#Headers],0)),"-")</f>
        <v>-</v>
      </c>
      <c r="AB552" s="1" t="str">
        <f>IFERROR(INDEX(_DATA_[],MATCH(ВСЕ_КОДЫ[[#This Row],[CONTEST_CODE]],_DATA_[CONTEST_CODE],0),MATCH($AB$2,_DATA_[#Headers],0)),"-")</f>
        <v>["""RNUB"""]</v>
      </c>
      <c r="AC552" t="str">
        <f>CONCATENATE(ВСЕ_КОДЫ[[#This Row],[CONTEST_CODE]],"_",ВСЕ_КОДЫ[[#This Row],[TOURNAMENT_CODE]])</f>
        <v>07_2025-0_18-1_1_t_07_2025-0_18-1_1_2011</v>
      </c>
      <c r="AD552" t="str">
        <f>ВСЕ_КОДЫ[[#This Row],[FULL_NAME]]</f>
        <v>Марафон УК Первая</v>
      </c>
    </row>
    <row r="553" spans="1:30" hidden="1" x14ac:dyDescent="0.25">
      <c r="A553" s="1" t="s">
        <v>2264</v>
      </c>
      <c r="B553" s="1" t="s">
        <v>2587</v>
      </c>
      <c r="C553" s="1" t="s">
        <v>2469</v>
      </c>
      <c r="D553" s="1" t="s">
        <v>583</v>
      </c>
      <c r="E553" s="1" t="s">
        <v>2633</v>
      </c>
      <c r="F553" s="1" t="s">
        <v>2508</v>
      </c>
      <c r="G553" s="1" t="s">
        <v>27</v>
      </c>
      <c r="H553" s="1" t="s">
        <v>34</v>
      </c>
      <c r="I553" s="1" t="s">
        <v>50</v>
      </c>
      <c r="J553" s="1" t="s">
        <v>2508</v>
      </c>
      <c r="K553" s="1" t="s">
        <v>2534</v>
      </c>
      <c r="L553" s="1" t="s">
        <v>2554</v>
      </c>
      <c r="M553" s="1" t="s">
        <v>155</v>
      </c>
      <c r="N553" s="1" t="s">
        <v>305</v>
      </c>
      <c r="O553" s="1" t="s">
        <v>2763</v>
      </c>
      <c r="Q553">
        <f>IFERROR(COUNTIFS(_report[TOURNAMENT_CODE],ВСЕ_КОДЫ[[#This Row],[TOURNAMENT_CODE]],_report[CONTEST_CODE],ВСЕ_КОДЫ[[#This Row],[CONTEST_CODE]]),"-")</f>
        <v>0</v>
      </c>
      <c r="R553" s="1" t="str">
        <f>IFERROR(INDEX(_SCHEDULE_[],MATCH(ВСЕ_КОДЫ[[#This Row],[CONTEST_CODE]],_SCHEDULE_[CONTEST_CODE],0),MATCH($R$1,_SCHEDULE_[#Headers],0)),"-")</f>
        <v>АКТИВНЫЙ</v>
      </c>
      <c r="S553" s="1" t="str">
        <f>IFERROR(INDEX(_group_[],MATCH(ВСЕ_КОДЫ[[#This Row],[CONTEST_CODE]],_group_[CONTEST_CODE],0),MATCH($S$1,_group_[#Headers],0)),"-")</f>
        <v>BANK</v>
      </c>
      <c r="T553" s="1" t="str">
        <f>IFERROR(INDEX(_INDICATOR_[],MATCH(ВСЕ_КОДЫ[[#This Row],[CONTEST_CODE]],_INDICATOR_[CONTEST_CODE],0),MATCH($T$1,_INDICATOR_[#Headers],0)),"-")</f>
        <v>WAIT</v>
      </c>
      <c r="U553" s="1" t="str">
        <f>IFERROR(INDEX(_reward_link_[],MATCH(ВСЕ_КОДЫ[[#This Row],[CONTEST_CODE]],_reward_link_[CONTEST_CODE],0),MATCH($U$1,_reward_link_[#Headers],0)),"-")</f>
        <v>BANK</v>
      </c>
      <c r="V553" s="1" t="str">
        <f>IFERROR(INDEX(_report[],MATCH(ВСЕ_КОДЫ[[#This Row],[CONTEST_CODE]],_report[CONTEST_CODE],0),MATCH($V$1,_report[#Headers],0)),"-")</f>
        <v>-</v>
      </c>
      <c r="W553" s="1" t="str">
        <f>IFERROR(INDEX(_reward_[],MATCH(ВСЕ_КОДЫ[[#This Row],[REWARD_CODE]],_reward_[REWARD_CODE],0),MATCH($W$1,_reward_[#Headers],0)),"-")</f>
        <v>Золото#по Турниру СФН</v>
      </c>
      <c r="X553" s="1" t="str">
        <f>IFERROR(INDEX(_group_[],MATCH(CONCATENATE(ВСЕ_КОДЫ[[#This Row],[CONTEST_CODE]],"_",X$2),#REF!,0),MATCH(X$1,_group_[#Headers],0)),"-")</f>
        <v>-</v>
      </c>
      <c r="Y553" s="1" t="str">
        <f>IFERROR(INDEX(_group_[],MATCH(CONCATENATE(ВСЕ_КОДЫ[[#This Row],[CONTEST_CODE]],"_",Y$2),#REF!,0),MATCH(Y$1,_group_[#Headers],0)),"-")</f>
        <v>-</v>
      </c>
      <c r="Z553" s="1" t="str">
        <f>IFERROR(INDEX(_group_[],MATCH(CONCATENATE(ВСЕ_КОДЫ[[#This Row],[CONTEST_CODE]],"_",Z$2),#REF!,0),MATCH(Z$1,_group_[#Headers],0)),"-")</f>
        <v>-</v>
      </c>
      <c r="AA553" s="1" t="str">
        <f>IFERROR(INDEX(_group_[],MATCH(CONCATENATE(ВСЕ_КОДЫ[[#This Row],[CONTEST_CODE]],"_",AA$2),#REF!,0),MATCH(AA$1,_group_[#Headers],0)),"-")</f>
        <v>-</v>
      </c>
      <c r="AB553" s="1" t="str">
        <f>IFERROR(INDEX(_DATA_[],MATCH(ВСЕ_КОДЫ[[#This Row],[CONTEST_CODE]],_DATA_[CONTEST_CODE],0),MATCH($AB$2,_DATA_[#Headers],0)),"-")</f>
        <v>["""RNUB"""]</v>
      </c>
      <c r="AC553" t="str">
        <f>CONCATENATE(ВСЕ_КОДЫ[[#This Row],[CONTEST_CODE]],"_",ВСЕ_КОДЫ[[#This Row],[TOURNAMENT_CODE]])</f>
        <v>07_2025-0_18-2_1_t_07_2025-0_18-2_1_2011</v>
      </c>
      <c r="AD553" t="str">
        <f>ВСЕ_КОДЫ[[#This Row],[FULL_NAME]]</f>
        <v>Турнир по квадратным метрам</v>
      </c>
    </row>
    <row r="554" spans="1:30" hidden="1" x14ac:dyDescent="0.25">
      <c r="A554" s="1" t="s">
        <v>2268</v>
      </c>
      <c r="B554" s="1" t="s">
        <v>2591</v>
      </c>
      <c r="C554" s="1" t="s">
        <v>2479</v>
      </c>
      <c r="D554" s="1" t="s">
        <v>583</v>
      </c>
      <c r="E554" s="1" t="s">
        <v>2638</v>
      </c>
      <c r="F554" s="1" t="s">
        <v>2508</v>
      </c>
      <c r="G554" s="1" t="s">
        <v>27</v>
      </c>
      <c r="H554" s="1" t="s">
        <v>34</v>
      </c>
      <c r="I554" s="1" t="s">
        <v>50</v>
      </c>
      <c r="J554" s="1" t="s">
        <v>2508</v>
      </c>
      <c r="K554" s="1" t="s">
        <v>2534</v>
      </c>
      <c r="L554" s="1" t="s">
        <v>2554</v>
      </c>
      <c r="M554" s="1" t="s">
        <v>155</v>
      </c>
      <c r="N554" s="1" t="s">
        <v>305</v>
      </c>
      <c r="O554" s="1" t="s">
        <v>2769</v>
      </c>
      <c r="Q554">
        <f>IFERROR(COUNTIFS(_report[TOURNAMENT_CODE],ВСЕ_КОДЫ[[#This Row],[TOURNAMENT_CODE]],_report[CONTEST_CODE],ВСЕ_КОДЫ[[#This Row],[CONTEST_CODE]]),"-")</f>
        <v>0</v>
      </c>
      <c r="R554" s="1" t="str">
        <f>IFERROR(INDEX(_SCHEDULE_[],MATCH(ВСЕ_КОДЫ[[#This Row],[CONTEST_CODE]],_SCHEDULE_[CONTEST_CODE],0),MATCH($R$1,_SCHEDULE_[#Headers],0)),"-")</f>
        <v>АКТИВНЫЙ</v>
      </c>
      <c r="S554" s="1" t="str">
        <f>IFERROR(INDEX(_group_[],MATCH(ВСЕ_КОДЫ[[#This Row],[CONTEST_CODE]],_group_[CONTEST_CODE],0),MATCH($S$1,_group_[#Headers],0)),"-")</f>
        <v>BANK</v>
      </c>
      <c r="T554" s="1" t="str">
        <f>IFERROR(INDEX(_INDICATOR_[],MATCH(ВСЕ_КОДЫ[[#This Row],[CONTEST_CODE]],_INDICATOR_[CONTEST_CODE],0),MATCH($T$1,_INDICATOR_[#Headers],0)),"-")</f>
        <v>WAIT</v>
      </c>
      <c r="U554" s="1" t="str">
        <f>IFERROR(INDEX(_reward_link_[],MATCH(ВСЕ_КОДЫ[[#This Row],[CONTEST_CODE]],_reward_link_[CONTEST_CODE],0),MATCH($U$1,_reward_link_[#Headers],0)),"-")</f>
        <v>BANK</v>
      </c>
      <c r="V554" s="1" t="str">
        <f>IFERROR(INDEX(_report[],MATCH(ВСЕ_КОДЫ[[#This Row],[CONTEST_CODE]],_report[CONTEST_CODE],0),MATCH($V$1,_report[#Headers],0)),"-")</f>
        <v>-</v>
      </c>
      <c r="W554" s="1" t="str">
        <f>IFERROR(INDEX(_reward_[],MATCH(ВСЕ_КОДЫ[[#This Row],[REWARD_CODE]],_reward_[REWARD_CODE],0),MATCH($W$1,_reward_[#Headers],0)),"-")</f>
        <v>Золото#по Турниру СБСЖ</v>
      </c>
      <c r="X554" s="1" t="str">
        <f>IFERROR(INDEX(_group_[],MATCH(CONCATENATE(ВСЕ_КОДЫ[[#This Row],[CONTEST_CODE]],"_",X$2),#REF!,0),MATCH(X$1,_group_[#Headers],0)),"-")</f>
        <v>-</v>
      </c>
      <c r="Y554" s="1" t="str">
        <f>IFERROR(INDEX(_group_[],MATCH(CONCATENATE(ВСЕ_КОДЫ[[#This Row],[CONTEST_CODE]],"_",Y$2),#REF!,0),MATCH(Y$1,_group_[#Headers],0)),"-")</f>
        <v>-</v>
      </c>
      <c r="Z554" s="1" t="str">
        <f>IFERROR(INDEX(_group_[],MATCH(CONCATENATE(ВСЕ_КОДЫ[[#This Row],[CONTEST_CODE]],"_",Z$2),#REF!,0),MATCH(Z$1,_group_[#Headers],0)),"-")</f>
        <v>-</v>
      </c>
      <c r="AA554" s="1" t="str">
        <f>IFERROR(INDEX(_group_[],MATCH(CONCATENATE(ВСЕ_КОДЫ[[#This Row],[CONTEST_CODE]],"_",AA$2),#REF!,0),MATCH(AA$1,_group_[#Headers],0)),"-")</f>
        <v>-</v>
      </c>
      <c r="AB554" s="1" t="str">
        <f>IFERROR(INDEX(_DATA_[],MATCH(ВСЕ_КОДЫ[[#This Row],[CONTEST_CODE]],_DATA_[CONTEST_CODE],0),MATCH($AB$2,_DATA_[#Headers],0)),"-")</f>
        <v>["""RNUB"""]</v>
      </c>
      <c r="AC554" t="str">
        <f>CONCATENATE(ВСЕ_КОДЫ[[#This Row],[CONTEST_CODE]],"_",ВСЕ_КОДЫ[[#This Row],[TOURNAMENT_CODE]])</f>
        <v>07_2025-0_18-4_1_t_07_2025-0_18-4_1_2011</v>
      </c>
      <c r="AD554" t="str">
        <f>ВСЕ_КОДЫ[[#This Row],[FULL_NAME]]</f>
        <v>Страховой олимп</v>
      </c>
    </row>
    <row r="555" spans="1:30" hidden="1" x14ac:dyDescent="0.25">
      <c r="A555" s="1" t="s">
        <v>2268</v>
      </c>
      <c r="B555" s="1" t="s">
        <v>2591</v>
      </c>
      <c r="C555" s="1" t="s">
        <v>2481</v>
      </c>
      <c r="D555" s="1" t="s">
        <v>583</v>
      </c>
      <c r="E555" s="1" t="s">
        <v>2638</v>
      </c>
      <c r="F555" s="1" t="s">
        <v>2508</v>
      </c>
      <c r="G555" s="1" t="s">
        <v>27</v>
      </c>
      <c r="H555" s="1" t="s">
        <v>34</v>
      </c>
      <c r="I555" s="1" t="s">
        <v>50</v>
      </c>
      <c r="J555" s="1" t="s">
        <v>2508</v>
      </c>
      <c r="K555" s="1" t="s">
        <v>2534</v>
      </c>
      <c r="L555" s="1" t="s">
        <v>2554</v>
      </c>
      <c r="M555" s="1" t="s">
        <v>155</v>
      </c>
      <c r="N555" s="1" t="s">
        <v>305</v>
      </c>
      <c r="O555" s="1" t="s">
        <v>2770</v>
      </c>
      <c r="Q555">
        <f>IFERROR(COUNTIFS(_report[TOURNAMENT_CODE],ВСЕ_КОДЫ[[#This Row],[TOURNAMENT_CODE]],_report[CONTEST_CODE],ВСЕ_КОДЫ[[#This Row],[CONTEST_CODE]]),"-")</f>
        <v>0</v>
      </c>
      <c r="R555" s="1" t="str">
        <f>IFERROR(INDEX(_SCHEDULE_[],MATCH(ВСЕ_КОДЫ[[#This Row],[CONTEST_CODE]],_SCHEDULE_[CONTEST_CODE],0),MATCH($R$1,_SCHEDULE_[#Headers],0)),"-")</f>
        <v>АКТИВНЫЙ</v>
      </c>
      <c r="S555" s="1" t="str">
        <f>IFERROR(INDEX(_group_[],MATCH(ВСЕ_КОДЫ[[#This Row],[CONTEST_CODE]],_group_[CONTEST_CODE],0),MATCH($S$1,_group_[#Headers],0)),"-")</f>
        <v>BANK</v>
      </c>
      <c r="T555" s="1" t="str">
        <f>IFERROR(INDEX(_INDICATOR_[],MATCH(ВСЕ_КОДЫ[[#This Row],[CONTEST_CODE]],_INDICATOR_[CONTEST_CODE],0),MATCH($T$1,_INDICATOR_[#Headers],0)),"-")</f>
        <v>WAIT</v>
      </c>
      <c r="U555" s="1" t="str">
        <f>IFERROR(INDEX(_reward_link_[],MATCH(ВСЕ_КОДЫ[[#This Row],[CONTEST_CODE]],_reward_link_[CONTEST_CODE],0),MATCH($U$1,_reward_link_[#Headers],0)),"-")</f>
        <v>BANK</v>
      </c>
      <c r="V555" s="1" t="str">
        <f>IFERROR(INDEX(_report[],MATCH(ВСЕ_КОДЫ[[#This Row],[CONTEST_CODE]],_report[CONTEST_CODE],0),MATCH($V$1,_report[#Headers],0)),"-")</f>
        <v>-</v>
      </c>
      <c r="W555" s="1" t="str">
        <f>IFERROR(INDEX(_reward_[],MATCH(ВСЕ_КОДЫ[[#This Row],[REWARD_CODE]],_reward_[REWARD_CODE],0),MATCH($W$1,_reward_[#Headers],0)),"-")</f>
        <v>Серебро#по Турниру СБСЖ</v>
      </c>
      <c r="X555" s="1" t="str">
        <f>IFERROR(INDEX(_group_[],MATCH(CONCATENATE(ВСЕ_КОДЫ[[#This Row],[CONTEST_CODE]],"_",X$2),#REF!,0),MATCH(X$1,_group_[#Headers],0)),"-")</f>
        <v>-</v>
      </c>
      <c r="Y555" s="1" t="str">
        <f>IFERROR(INDEX(_group_[],MATCH(CONCATENATE(ВСЕ_КОДЫ[[#This Row],[CONTEST_CODE]],"_",Y$2),#REF!,0),MATCH(Y$1,_group_[#Headers],0)),"-")</f>
        <v>-</v>
      </c>
      <c r="Z555" s="1" t="str">
        <f>IFERROR(INDEX(_group_[],MATCH(CONCATENATE(ВСЕ_КОДЫ[[#This Row],[CONTEST_CODE]],"_",Z$2),#REF!,0),MATCH(Z$1,_group_[#Headers],0)),"-")</f>
        <v>-</v>
      </c>
      <c r="AA555" s="1" t="str">
        <f>IFERROR(INDEX(_group_[],MATCH(CONCATENATE(ВСЕ_КОДЫ[[#This Row],[CONTEST_CODE]],"_",AA$2),#REF!,0),MATCH(AA$1,_group_[#Headers],0)),"-")</f>
        <v>-</v>
      </c>
      <c r="AB555" s="1" t="str">
        <f>IFERROR(INDEX(_DATA_[],MATCH(ВСЕ_КОДЫ[[#This Row],[CONTEST_CODE]],_DATA_[CONTEST_CODE],0),MATCH($AB$2,_DATA_[#Headers],0)),"-")</f>
        <v>["""RNUB"""]</v>
      </c>
      <c r="AC555" t="str">
        <f>CONCATENATE(ВСЕ_КОДЫ[[#This Row],[CONTEST_CODE]],"_",ВСЕ_КОДЫ[[#This Row],[TOURNAMENT_CODE]])</f>
        <v>07_2025-0_18-4_1_t_07_2025-0_18-4_1_2011</v>
      </c>
      <c r="AD555" t="str">
        <f>ВСЕ_КОДЫ[[#This Row],[FULL_NAME]]</f>
        <v>Страховой олимп</v>
      </c>
    </row>
    <row r="556" spans="1:30" hidden="1" x14ac:dyDescent="0.25">
      <c r="A556" s="1" t="s">
        <v>2268</v>
      </c>
      <c r="B556" s="1" t="s">
        <v>2591</v>
      </c>
      <c r="C556" s="1" t="s">
        <v>2483</v>
      </c>
      <c r="D556" s="1" t="s">
        <v>583</v>
      </c>
      <c r="E556" s="1" t="s">
        <v>2638</v>
      </c>
      <c r="F556" s="1" t="s">
        <v>2508</v>
      </c>
      <c r="G556" s="1" t="s">
        <v>27</v>
      </c>
      <c r="H556" s="1" t="s">
        <v>34</v>
      </c>
      <c r="I556" s="1" t="s">
        <v>50</v>
      </c>
      <c r="J556" s="1" t="s">
        <v>2508</v>
      </c>
      <c r="K556" s="1" t="s">
        <v>2534</v>
      </c>
      <c r="L556" s="1" t="s">
        <v>2554</v>
      </c>
      <c r="M556" s="1" t="s">
        <v>155</v>
      </c>
      <c r="N556" s="1" t="s">
        <v>305</v>
      </c>
      <c r="O556" s="1" t="s">
        <v>2771</v>
      </c>
      <c r="Q556">
        <f>IFERROR(COUNTIFS(_report[TOURNAMENT_CODE],ВСЕ_КОДЫ[[#This Row],[TOURNAMENT_CODE]],_report[CONTEST_CODE],ВСЕ_КОДЫ[[#This Row],[CONTEST_CODE]]),"-")</f>
        <v>0</v>
      </c>
      <c r="R556" s="1" t="str">
        <f>IFERROR(INDEX(_SCHEDULE_[],MATCH(ВСЕ_КОДЫ[[#This Row],[CONTEST_CODE]],_SCHEDULE_[CONTEST_CODE],0),MATCH($R$1,_SCHEDULE_[#Headers],0)),"-")</f>
        <v>АКТИВНЫЙ</v>
      </c>
      <c r="S556" s="1" t="str">
        <f>IFERROR(INDEX(_group_[],MATCH(ВСЕ_КОДЫ[[#This Row],[CONTEST_CODE]],_group_[CONTEST_CODE],0),MATCH($S$1,_group_[#Headers],0)),"-")</f>
        <v>BANK</v>
      </c>
      <c r="T556" s="1" t="str">
        <f>IFERROR(INDEX(_INDICATOR_[],MATCH(ВСЕ_КОДЫ[[#This Row],[CONTEST_CODE]],_INDICATOR_[CONTEST_CODE],0),MATCH($T$1,_INDICATOR_[#Headers],0)),"-")</f>
        <v>WAIT</v>
      </c>
      <c r="U556" s="1" t="str">
        <f>IFERROR(INDEX(_reward_link_[],MATCH(ВСЕ_КОДЫ[[#This Row],[CONTEST_CODE]],_reward_link_[CONTEST_CODE],0),MATCH($U$1,_reward_link_[#Headers],0)),"-")</f>
        <v>BANK</v>
      </c>
      <c r="V556" s="1" t="str">
        <f>IFERROR(INDEX(_report[],MATCH(ВСЕ_КОДЫ[[#This Row],[CONTEST_CODE]],_report[CONTEST_CODE],0),MATCH($V$1,_report[#Headers],0)),"-")</f>
        <v>-</v>
      </c>
      <c r="W556" s="1" t="str">
        <f>IFERROR(INDEX(_reward_[],MATCH(ВСЕ_КОДЫ[[#This Row],[REWARD_CODE]],_reward_[REWARD_CODE],0),MATCH($W$1,_reward_[#Headers],0)),"-")</f>
        <v>Бронза#по Турниру СБСЖ</v>
      </c>
      <c r="X556" s="1" t="str">
        <f>IFERROR(INDEX(_group_[],MATCH(CONCATENATE(ВСЕ_КОДЫ[[#This Row],[CONTEST_CODE]],"_",X$2),#REF!,0),MATCH(X$1,_group_[#Headers],0)),"-")</f>
        <v>-</v>
      </c>
      <c r="Y556" s="1" t="str">
        <f>IFERROR(INDEX(_group_[],MATCH(CONCATENATE(ВСЕ_КОДЫ[[#This Row],[CONTEST_CODE]],"_",Y$2),#REF!,0),MATCH(Y$1,_group_[#Headers],0)),"-")</f>
        <v>-</v>
      </c>
      <c r="Z556" s="1" t="str">
        <f>IFERROR(INDEX(_group_[],MATCH(CONCATENATE(ВСЕ_КОДЫ[[#This Row],[CONTEST_CODE]],"_",Z$2),#REF!,0),MATCH(Z$1,_group_[#Headers],0)),"-")</f>
        <v>-</v>
      </c>
      <c r="AA556" s="1" t="str">
        <f>IFERROR(INDEX(_group_[],MATCH(CONCATENATE(ВСЕ_КОДЫ[[#This Row],[CONTEST_CODE]],"_",AA$2),#REF!,0),MATCH(AA$1,_group_[#Headers],0)),"-")</f>
        <v>-</v>
      </c>
      <c r="AB556" s="1" t="str">
        <f>IFERROR(INDEX(_DATA_[],MATCH(ВСЕ_КОДЫ[[#This Row],[CONTEST_CODE]],_DATA_[CONTEST_CODE],0),MATCH($AB$2,_DATA_[#Headers],0)),"-")</f>
        <v>["""RNUB"""]</v>
      </c>
      <c r="AC556" t="str">
        <f>CONCATENATE(ВСЕ_КОДЫ[[#This Row],[CONTEST_CODE]],"_",ВСЕ_КОДЫ[[#This Row],[TOURNAMENT_CODE]])</f>
        <v>07_2025-0_18-4_1_t_07_2025-0_18-4_1_2011</v>
      </c>
      <c r="AD556" t="str">
        <f>ВСЕ_КОДЫ[[#This Row],[FULL_NAME]]</f>
        <v>Страховой олимп</v>
      </c>
    </row>
    <row r="557" spans="1:30" hidden="1" x14ac:dyDescent="0.25">
      <c r="A557" s="1" t="s">
        <v>2270</v>
      </c>
      <c r="B557" s="1" t="s">
        <v>2593</v>
      </c>
      <c r="C557" s="1" t="s">
        <v>2485</v>
      </c>
      <c r="D557" s="1" t="s">
        <v>583</v>
      </c>
      <c r="E557" s="1" t="s">
        <v>2629</v>
      </c>
      <c r="F557" s="1" t="s">
        <v>2508</v>
      </c>
      <c r="G557" s="1" t="s">
        <v>27</v>
      </c>
      <c r="H557" s="1" t="s">
        <v>34</v>
      </c>
      <c r="I557" s="1" t="s">
        <v>50</v>
      </c>
      <c r="J557" s="1" t="s">
        <v>2508</v>
      </c>
      <c r="K557" s="1" t="s">
        <v>2534</v>
      </c>
      <c r="L557" s="1" t="s">
        <v>2554</v>
      </c>
      <c r="M557" s="1" t="s">
        <v>155</v>
      </c>
      <c r="N557" s="1" t="s">
        <v>305</v>
      </c>
      <c r="O557" s="1" t="s">
        <v>2759</v>
      </c>
      <c r="Q557">
        <f>IFERROR(COUNTIFS(_report[TOURNAMENT_CODE],ВСЕ_КОДЫ[[#This Row],[TOURNAMENT_CODE]],_report[CONTEST_CODE],ВСЕ_КОДЫ[[#This Row],[CONTEST_CODE]]),"-")</f>
        <v>0</v>
      </c>
      <c r="R557" s="1" t="str">
        <f>IFERROR(INDEX(_SCHEDULE_[],MATCH(ВСЕ_КОДЫ[[#This Row],[CONTEST_CODE]],_SCHEDULE_[CONTEST_CODE],0),MATCH($R$1,_SCHEDULE_[#Headers],0)),"-")</f>
        <v>АКТИВНЫЙ</v>
      </c>
      <c r="S557" s="1" t="str">
        <f>IFERROR(INDEX(_group_[],MATCH(ВСЕ_КОДЫ[[#This Row],[CONTEST_CODE]],_group_[CONTEST_CODE],0),MATCH($S$1,_group_[#Headers],0)),"-")</f>
        <v>BANK</v>
      </c>
      <c r="T557" s="1" t="str">
        <f>IFERROR(INDEX(_INDICATOR_[],MATCH(ВСЕ_КОДЫ[[#This Row],[CONTEST_CODE]],_INDICATOR_[CONTEST_CODE],0),MATCH($T$1,_INDICATOR_[#Headers],0)),"-")</f>
        <v>WAIT</v>
      </c>
      <c r="U557" s="1" t="str">
        <f>IFERROR(INDEX(_reward_link_[],MATCH(ВСЕ_КОДЫ[[#This Row],[CONTEST_CODE]],_reward_link_[CONTEST_CODE],0),MATCH($U$1,_reward_link_[#Headers],0)),"-")</f>
        <v>BANK</v>
      </c>
      <c r="V557" s="1" t="str">
        <f>IFERROR(INDEX(_report[],MATCH(ВСЕ_КОДЫ[[#This Row],[CONTEST_CODE]],_report[CONTEST_CODE],0),MATCH($V$1,_report[#Headers],0)),"-")</f>
        <v>-</v>
      </c>
      <c r="W557" s="1" t="str">
        <f>IFERROR(INDEX(_reward_[],MATCH(ВСЕ_КОДЫ[[#This Row],[REWARD_CODE]],_reward_[REWARD_CODE],0),MATCH($W$1,_reward_[#Headers],0)),"-")</f>
        <v>Золото#по Турниру УКП</v>
      </c>
      <c r="X557" s="1" t="str">
        <f>IFERROR(INDEX(_group_[],MATCH(CONCATENATE(ВСЕ_КОДЫ[[#This Row],[CONTEST_CODE]],"_",X$2),#REF!,0),MATCH(X$1,_group_[#Headers],0)),"-")</f>
        <v>-</v>
      </c>
      <c r="Y557" s="1" t="str">
        <f>IFERROR(INDEX(_group_[],MATCH(CONCATENATE(ВСЕ_КОДЫ[[#This Row],[CONTEST_CODE]],"_",Y$2),#REF!,0),MATCH(Y$1,_group_[#Headers],0)),"-")</f>
        <v>-</v>
      </c>
      <c r="Z557" s="1" t="str">
        <f>IFERROR(INDEX(_group_[],MATCH(CONCATENATE(ВСЕ_КОДЫ[[#This Row],[CONTEST_CODE]],"_",Z$2),#REF!,0),MATCH(Z$1,_group_[#Headers],0)),"-")</f>
        <v>-</v>
      </c>
      <c r="AA557" s="1" t="str">
        <f>IFERROR(INDEX(_group_[],MATCH(CONCATENATE(ВСЕ_КОДЫ[[#This Row],[CONTEST_CODE]],"_",AA$2),#REF!,0),MATCH(AA$1,_group_[#Headers],0)),"-")</f>
        <v>-</v>
      </c>
      <c r="AB557" s="1" t="str">
        <f>IFERROR(INDEX(_DATA_[],MATCH(ВСЕ_КОДЫ[[#This Row],[CONTEST_CODE]],_DATA_[CONTEST_CODE],0),MATCH($AB$2,_DATA_[#Headers],0)),"-")</f>
        <v>["""RSB1"""]</v>
      </c>
      <c r="AC557" t="str">
        <f>CONCATENATE(ВСЕ_КОДЫ[[#This Row],[CONTEST_CODE]],"_",ВСЕ_КОДЫ[[#This Row],[TOURNAMENT_CODE]])</f>
        <v>08_2025-0_18-1_1_t_08_2025-0_18-1_1_2011</v>
      </c>
      <c r="AD557" t="str">
        <f>ВСЕ_КОДЫ[[#This Row],[FULL_NAME]]</f>
        <v>Марафон УК Первая</v>
      </c>
    </row>
    <row r="558" spans="1:30" hidden="1" x14ac:dyDescent="0.25">
      <c r="A558" s="1" t="s">
        <v>2270</v>
      </c>
      <c r="B558" s="1" t="s">
        <v>2593</v>
      </c>
      <c r="C558" s="1" t="s">
        <v>2487</v>
      </c>
      <c r="D558" s="1" t="s">
        <v>583</v>
      </c>
      <c r="E558" s="1" t="s">
        <v>2629</v>
      </c>
      <c r="F558" s="1" t="s">
        <v>2508</v>
      </c>
      <c r="G558" s="1" t="s">
        <v>27</v>
      </c>
      <c r="H558" s="1" t="s">
        <v>34</v>
      </c>
      <c r="I558" s="1" t="s">
        <v>50</v>
      </c>
      <c r="J558" s="1" t="s">
        <v>2508</v>
      </c>
      <c r="K558" s="1" t="s">
        <v>2534</v>
      </c>
      <c r="L558" s="1" t="s">
        <v>2554</v>
      </c>
      <c r="M558" s="1" t="s">
        <v>155</v>
      </c>
      <c r="N558" s="1" t="s">
        <v>305</v>
      </c>
      <c r="O558" s="1" t="s">
        <v>2761</v>
      </c>
      <c r="Q558">
        <f>IFERROR(COUNTIFS(_report[TOURNAMENT_CODE],ВСЕ_КОДЫ[[#This Row],[TOURNAMENT_CODE]],_report[CONTEST_CODE],ВСЕ_КОДЫ[[#This Row],[CONTEST_CODE]]),"-")</f>
        <v>0</v>
      </c>
      <c r="R558" s="1" t="str">
        <f>IFERROR(INDEX(_SCHEDULE_[],MATCH(ВСЕ_КОДЫ[[#This Row],[CONTEST_CODE]],_SCHEDULE_[CONTEST_CODE],0),MATCH($R$1,_SCHEDULE_[#Headers],0)),"-")</f>
        <v>АКТИВНЫЙ</v>
      </c>
      <c r="S558" s="1" t="str">
        <f>IFERROR(INDEX(_group_[],MATCH(ВСЕ_КОДЫ[[#This Row],[CONTEST_CODE]],_group_[CONTEST_CODE],0),MATCH($S$1,_group_[#Headers],0)),"-")</f>
        <v>BANK</v>
      </c>
      <c r="T558" s="1" t="str">
        <f>IFERROR(INDEX(_INDICATOR_[],MATCH(ВСЕ_КОДЫ[[#This Row],[CONTEST_CODE]],_INDICATOR_[CONTEST_CODE],0),MATCH($T$1,_INDICATOR_[#Headers],0)),"-")</f>
        <v>WAIT</v>
      </c>
      <c r="U558" s="1" t="str">
        <f>IFERROR(INDEX(_reward_link_[],MATCH(ВСЕ_КОДЫ[[#This Row],[CONTEST_CODE]],_reward_link_[CONTEST_CODE],0),MATCH($U$1,_reward_link_[#Headers],0)),"-")</f>
        <v>BANK</v>
      </c>
      <c r="V558" s="1" t="str">
        <f>IFERROR(INDEX(_report[],MATCH(ВСЕ_КОДЫ[[#This Row],[CONTEST_CODE]],_report[CONTEST_CODE],0),MATCH($V$1,_report[#Headers],0)),"-")</f>
        <v>-</v>
      </c>
      <c r="W558" s="1" t="str">
        <f>IFERROR(INDEX(_reward_[],MATCH(ВСЕ_КОДЫ[[#This Row],[REWARD_CODE]],_reward_[REWARD_CODE],0),MATCH($W$1,_reward_[#Headers],0)),"-")</f>
        <v>Серебро#по Турниру УКП</v>
      </c>
      <c r="X558" s="1" t="str">
        <f>IFERROR(INDEX(_group_[],MATCH(CONCATENATE(ВСЕ_КОДЫ[[#This Row],[CONTEST_CODE]],"_",X$2),#REF!,0),MATCH(X$1,_group_[#Headers],0)),"-")</f>
        <v>-</v>
      </c>
      <c r="Y558" s="1" t="str">
        <f>IFERROR(INDEX(_group_[],MATCH(CONCATENATE(ВСЕ_КОДЫ[[#This Row],[CONTEST_CODE]],"_",Y$2),#REF!,0),MATCH(Y$1,_group_[#Headers],0)),"-")</f>
        <v>-</v>
      </c>
      <c r="Z558" s="1" t="str">
        <f>IFERROR(INDEX(_group_[],MATCH(CONCATENATE(ВСЕ_КОДЫ[[#This Row],[CONTEST_CODE]],"_",Z$2),#REF!,0),MATCH(Z$1,_group_[#Headers],0)),"-")</f>
        <v>-</v>
      </c>
      <c r="AA558" s="1" t="str">
        <f>IFERROR(INDEX(_group_[],MATCH(CONCATENATE(ВСЕ_КОДЫ[[#This Row],[CONTEST_CODE]],"_",AA$2),#REF!,0),MATCH(AA$1,_group_[#Headers],0)),"-")</f>
        <v>-</v>
      </c>
      <c r="AB558" s="1" t="str">
        <f>IFERROR(INDEX(_DATA_[],MATCH(ВСЕ_КОДЫ[[#This Row],[CONTEST_CODE]],_DATA_[CONTEST_CODE],0),MATCH($AB$2,_DATA_[#Headers],0)),"-")</f>
        <v>["""RSB1"""]</v>
      </c>
      <c r="AC558" t="str">
        <f>CONCATENATE(ВСЕ_КОДЫ[[#This Row],[CONTEST_CODE]],"_",ВСЕ_КОДЫ[[#This Row],[TOURNAMENT_CODE]])</f>
        <v>08_2025-0_18-1_1_t_08_2025-0_18-1_1_2011</v>
      </c>
      <c r="AD558" t="str">
        <f>ВСЕ_КОДЫ[[#This Row],[FULL_NAME]]</f>
        <v>Марафон УК Первая</v>
      </c>
    </row>
    <row r="559" spans="1:30" hidden="1" x14ac:dyDescent="0.25">
      <c r="A559" s="1" t="s">
        <v>2270</v>
      </c>
      <c r="B559" s="1" t="s">
        <v>2593</v>
      </c>
      <c r="C559" s="1" t="s">
        <v>2489</v>
      </c>
      <c r="D559" s="1" t="s">
        <v>583</v>
      </c>
      <c r="E559" s="1" t="s">
        <v>2629</v>
      </c>
      <c r="F559" s="1" t="s">
        <v>2508</v>
      </c>
      <c r="G559" s="1" t="s">
        <v>27</v>
      </c>
      <c r="H559" s="1" t="s">
        <v>34</v>
      </c>
      <c r="I559" s="1" t="s">
        <v>50</v>
      </c>
      <c r="J559" s="1" t="s">
        <v>2508</v>
      </c>
      <c r="K559" s="1" t="s">
        <v>2534</v>
      </c>
      <c r="L559" s="1" t="s">
        <v>2554</v>
      </c>
      <c r="M559" s="1" t="s">
        <v>155</v>
      </c>
      <c r="N559" s="1" t="s">
        <v>305</v>
      </c>
      <c r="O559" s="1" t="s">
        <v>2762</v>
      </c>
      <c r="Q559">
        <f>IFERROR(COUNTIFS(_report[TOURNAMENT_CODE],ВСЕ_КОДЫ[[#This Row],[TOURNAMENT_CODE]],_report[CONTEST_CODE],ВСЕ_КОДЫ[[#This Row],[CONTEST_CODE]]),"-")</f>
        <v>0</v>
      </c>
      <c r="R559" s="1" t="str">
        <f>IFERROR(INDEX(_SCHEDULE_[],MATCH(ВСЕ_КОДЫ[[#This Row],[CONTEST_CODE]],_SCHEDULE_[CONTEST_CODE],0),MATCH($R$1,_SCHEDULE_[#Headers],0)),"-")</f>
        <v>АКТИВНЫЙ</v>
      </c>
      <c r="S559" s="1" t="str">
        <f>IFERROR(INDEX(_group_[],MATCH(ВСЕ_КОДЫ[[#This Row],[CONTEST_CODE]],_group_[CONTEST_CODE],0),MATCH($S$1,_group_[#Headers],0)),"-")</f>
        <v>BANK</v>
      </c>
      <c r="T559" s="1" t="str">
        <f>IFERROR(INDEX(_INDICATOR_[],MATCH(ВСЕ_КОДЫ[[#This Row],[CONTEST_CODE]],_INDICATOR_[CONTEST_CODE],0),MATCH($T$1,_INDICATOR_[#Headers],0)),"-")</f>
        <v>WAIT</v>
      </c>
      <c r="U559" s="1" t="str">
        <f>IFERROR(INDEX(_reward_link_[],MATCH(ВСЕ_КОДЫ[[#This Row],[CONTEST_CODE]],_reward_link_[CONTEST_CODE],0),MATCH($U$1,_reward_link_[#Headers],0)),"-")</f>
        <v>BANK</v>
      </c>
      <c r="V559" s="1" t="str">
        <f>IFERROR(INDEX(_report[],MATCH(ВСЕ_КОДЫ[[#This Row],[CONTEST_CODE]],_report[CONTEST_CODE],0),MATCH($V$1,_report[#Headers],0)),"-")</f>
        <v>-</v>
      </c>
      <c r="W559" s="1" t="str">
        <f>IFERROR(INDEX(_reward_[],MATCH(ВСЕ_КОДЫ[[#This Row],[REWARD_CODE]],_reward_[REWARD_CODE],0),MATCH($W$1,_reward_[#Headers],0)),"-")</f>
        <v>Бронза#по Турниру УКП</v>
      </c>
      <c r="X559" s="1" t="str">
        <f>IFERROR(INDEX(_group_[],MATCH(CONCATENATE(ВСЕ_КОДЫ[[#This Row],[CONTEST_CODE]],"_",X$2),#REF!,0),MATCH(X$1,_group_[#Headers],0)),"-")</f>
        <v>-</v>
      </c>
      <c r="Y559" s="1" t="str">
        <f>IFERROR(INDEX(_group_[],MATCH(CONCATENATE(ВСЕ_КОДЫ[[#This Row],[CONTEST_CODE]],"_",Y$2),#REF!,0),MATCH(Y$1,_group_[#Headers],0)),"-")</f>
        <v>-</v>
      </c>
      <c r="Z559" s="1" t="str">
        <f>IFERROR(INDEX(_group_[],MATCH(CONCATENATE(ВСЕ_КОДЫ[[#This Row],[CONTEST_CODE]],"_",Z$2),#REF!,0),MATCH(Z$1,_group_[#Headers],0)),"-")</f>
        <v>-</v>
      </c>
      <c r="AA559" s="1" t="str">
        <f>IFERROR(INDEX(_group_[],MATCH(CONCATENATE(ВСЕ_КОДЫ[[#This Row],[CONTEST_CODE]],"_",AA$2),#REF!,0),MATCH(AA$1,_group_[#Headers],0)),"-")</f>
        <v>-</v>
      </c>
      <c r="AB559" s="1" t="str">
        <f>IFERROR(INDEX(_DATA_[],MATCH(ВСЕ_КОДЫ[[#This Row],[CONTEST_CODE]],_DATA_[CONTEST_CODE],0),MATCH($AB$2,_DATA_[#Headers],0)),"-")</f>
        <v>["""RSB1"""]</v>
      </c>
      <c r="AC559" t="str">
        <f>CONCATENATE(ВСЕ_КОДЫ[[#This Row],[CONTEST_CODE]],"_",ВСЕ_КОДЫ[[#This Row],[TOURNAMENT_CODE]])</f>
        <v>08_2025-0_18-1_1_t_08_2025-0_18-1_1_2011</v>
      </c>
      <c r="AD559" t="str">
        <f>ВСЕ_КОДЫ[[#This Row],[FULL_NAME]]</f>
        <v>Марафон УК Первая</v>
      </c>
    </row>
    <row r="560" spans="1:30" hidden="1" x14ac:dyDescent="0.25">
      <c r="A560" s="1" t="s">
        <v>2272</v>
      </c>
      <c r="B560" s="1" t="s">
        <v>2595</v>
      </c>
      <c r="C560" s="1" t="s">
        <v>2491</v>
      </c>
      <c r="D560" s="1" t="s">
        <v>583</v>
      </c>
      <c r="E560" s="1" t="s">
        <v>2633</v>
      </c>
      <c r="F560" s="1" t="s">
        <v>2508</v>
      </c>
      <c r="G560" s="1" t="s">
        <v>27</v>
      </c>
      <c r="H560" s="1" t="s">
        <v>34</v>
      </c>
      <c r="I560" s="1" t="s">
        <v>50</v>
      </c>
      <c r="J560" s="1" t="s">
        <v>2508</v>
      </c>
      <c r="K560" s="1" t="s">
        <v>2534</v>
      </c>
      <c r="L560" s="1" t="s">
        <v>2554</v>
      </c>
      <c r="M560" s="1" t="s">
        <v>155</v>
      </c>
      <c r="N560" s="1" t="s">
        <v>305</v>
      </c>
      <c r="O560" s="1" t="s">
        <v>2763</v>
      </c>
      <c r="Q560">
        <f>IFERROR(COUNTIFS(_report[TOURNAMENT_CODE],ВСЕ_КОДЫ[[#This Row],[TOURNAMENT_CODE]],_report[CONTEST_CODE],ВСЕ_КОДЫ[[#This Row],[CONTEST_CODE]]),"-")</f>
        <v>0</v>
      </c>
      <c r="R560" s="1" t="str">
        <f>IFERROR(INDEX(_SCHEDULE_[],MATCH(ВСЕ_КОДЫ[[#This Row],[CONTEST_CODE]],_SCHEDULE_[CONTEST_CODE],0),MATCH($R$1,_SCHEDULE_[#Headers],0)),"-")</f>
        <v>АКТИВНЫЙ</v>
      </c>
      <c r="S560" s="1" t="str">
        <f>IFERROR(INDEX(_group_[],MATCH(ВСЕ_КОДЫ[[#This Row],[CONTEST_CODE]],_group_[CONTEST_CODE],0),MATCH($S$1,_group_[#Headers],0)),"-")</f>
        <v>BANK</v>
      </c>
      <c r="T560" s="1" t="str">
        <f>IFERROR(INDEX(_INDICATOR_[],MATCH(ВСЕ_КОДЫ[[#This Row],[CONTEST_CODE]],_INDICATOR_[CONTEST_CODE],0),MATCH($T$1,_INDICATOR_[#Headers],0)),"-")</f>
        <v>WAIT</v>
      </c>
      <c r="U560" s="1" t="str">
        <f>IFERROR(INDEX(_reward_link_[],MATCH(ВСЕ_КОДЫ[[#This Row],[CONTEST_CODE]],_reward_link_[CONTEST_CODE],0),MATCH($U$1,_reward_link_[#Headers],0)),"-")</f>
        <v>BANK</v>
      </c>
      <c r="V560" s="1" t="str">
        <f>IFERROR(INDEX(_report[],MATCH(ВСЕ_КОДЫ[[#This Row],[CONTEST_CODE]],_report[CONTEST_CODE],0),MATCH($V$1,_report[#Headers],0)),"-")</f>
        <v>-</v>
      </c>
      <c r="W560" s="1" t="str">
        <f>IFERROR(INDEX(_reward_[],MATCH(ВСЕ_КОДЫ[[#This Row],[REWARD_CODE]],_reward_[REWARD_CODE],0),MATCH($W$1,_reward_[#Headers],0)),"-")</f>
        <v>Золото#по Турниру СФН</v>
      </c>
      <c r="X560" s="1" t="str">
        <f>IFERROR(INDEX(_group_[],MATCH(CONCATENATE(ВСЕ_КОДЫ[[#This Row],[CONTEST_CODE]],"_",X$2),#REF!,0),MATCH(X$1,_group_[#Headers],0)),"-")</f>
        <v>-</v>
      </c>
      <c r="Y560" s="1" t="str">
        <f>IFERROR(INDEX(_group_[],MATCH(CONCATENATE(ВСЕ_КОДЫ[[#This Row],[CONTEST_CODE]],"_",Y$2),#REF!,0),MATCH(Y$1,_group_[#Headers],0)),"-")</f>
        <v>-</v>
      </c>
      <c r="Z560" s="1" t="str">
        <f>IFERROR(INDEX(_group_[],MATCH(CONCATENATE(ВСЕ_КОДЫ[[#This Row],[CONTEST_CODE]],"_",Z$2),#REF!,0),MATCH(Z$1,_group_[#Headers],0)),"-")</f>
        <v>-</v>
      </c>
      <c r="AA560" s="1" t="str">
        <f>IFERROR(INDEX(_group_[],MATCH(CONCATENATE(ВСЕ_КОДЫ[[#This Row],[CONTEST_CODE]],"_",AA$2),#REF!,0),MATCH(AA$1,_group_[#Headers],0)),"-")</f>
        <v>-</v>
      </c>
      <c r="AB560" s="1" t="str">
        <f>IFERROR(INDEX(_DATA_[],MATCH(ВСЕ_КОДЫ[[#This Row],[CONTEST_CODE]],_DATA_[CONTEST_CODE],0),MATCH($AB$2,_DATA_[#Headers],0)),"-")</f>
        <v>["""RSB1"""]</v>
      </c>
      <c r="AC560" t="str">
        <f>CONCATENATE(ВСЕ_КОДЫ[[#This Row],[CONTEST_CODE]],"_",ВСЕ_КОДЫ[[#This Row],[TOURNAMENT_CODE]])</f>
        <v>08_2025-0_18-2_1_t_08_2025-0_18-2_1_2011</v>
      </c>
      <c r="AD560" t="str">
        <f>ВСЕ_КОДЫ[[#This Row],[FULL_NAME]]</f>
        <v>Турнир по квадратным метрам</v>
      </c>
    </row>
    <row r="561" spans="1:30" hidden="1" x14ac:dyDescent="0.25">
      <c r="A561" s="1" t="s">
        <v>2272</v>
      </c>
      <c r="B561" s="1" t="s">
        <v>2595</v>
      </c>
      <c r="C561" s="1" t="s">
        <v>2493</v>
      </c>
      <c r="D561" s="1" t="s">
        <v>583</v>
      </c>
      <c r="E561" s="1" t="s">
        <v>2633</v>
      </c>
      <c r="F561" s="1" t="s">
        <v>2508</v>
      </c>
      <c r="G561" s="1" t="s">
        <v>27</v>
      </c>
      <c r="H561" s="1" t="s">
        <v>34</v>
      </c>
      <c r="I561" s="1" t="s">
        <v>50</v>
      </c>
      <c r="J561" s="1" t="s">
        <v>2508</v>
      </c>
      <c r="K561" s="1" t="s">
        <v>2534</v>
      </c>
      <c r="L561" s="1" t="s">
        <v>2554</v>
      </c>
      <c r="M561" s="1" t="s">
        <v>155</v>
      </c>
      <c r="N561" s="1" t="s">
        <v>305</v>
      </c>
      <c r="O561" s="1" t="s">
        <v>2764</v>
      </c>
      <c r="Q561">
        <f>IFERROR(COUNTIFS(_report[TOURNAMENT_CODE],ВСЕ_КОДЫ[[#This Row],[TOURNAMENT_CODE]],_report[CONTEST_CODE],ВСЕ_КОДЫ[[#This Row],[CONTEST_CODE]]),"-")</f>
        <v>0</v>
      </c>
      <c r="R561" s="1" t="str">
        <f>IFERROR(INDEX(_SCHEDULE_[],MATCH(ВСЕ_КОДЫ[[#This Row],[CONTEST_CODE]],_SCHEDULE_[CONTEST_CODE],0),MATCH($R$1,_SCHEDULE_[#Headers],0)),"-")</f>
        <v>АКТИВНЫЙ</v>
      </c>
      <c r="S561" s="1" t="str">
        <f>IFERROR(INDEX(_group_[],MATCH(ВСЕ_КОДЫ[[#This Row],[CONTEST_CODE]],_group_[CONTEST_CODE],0),MATCH($S$1,_group_[#Headers],0)),"-")</f>
        <v>BANK</v>
      </c>
      <c r="T561" s="1" t="str">
        <f>IFERROR(INDEX(_INDICATOR_[],MATCH(ВСЕ_КОДЫ[[#This Row],[CONTEST_CODE]],_INDICATOR_[CONTEST_CODE],0),MATCH($T$1,_INDICATOR_[#Headers],0)),"-")</f>
        <v>WAIT</v>
      </c>
      <c r="U561" s="1" t="str">
        <f>IFERROR(INDEX(_reward_link_[],MATCH(ВСЕ_КОДЫ[[#This Row],[CONTEST_CODE]],_reward_link_[CONTEST_CODE],0),MATCH($U$1,_reward_link_[#Headers],0)),"-")</f>
        <v>BANK</v>
      </c>
      <c r="V561" s="1" t="str">
        <f>IFERROR(INDEX(_report[],MATCH(ВСЕ_КОДЫ[[#This Row],[CONTEST_CODE]],_report[CONTEST_CODE],0),MATCH($V$1,_report[#Headers],0)),"-")</f>
        <v>-</v>
      </c>
      <c r="W561" s="1" t="str">
        <f>IFERROR(INDEX(_reward_[],MATCH(ВСЕ_КОДЫ[[#This Row],[REWARD_CODE]],_reward_[REWARD_CODE],0),MATCH($W$1,_reward_[#Headers],0)),"-")</f>
        <v>Серебро#по Турниру СФН</v>
      </c>
      <c r="X561" s="1" t="str">
        <f>IFERROR(INDEX(_group_[],MATCH(CONCATENATE(ВСЕ_КОДЫ[[#This Row],[CONTEST_CODE]],"_",X$2),#REF!,0),MATCH(X$1,_group_[#Headers],0)),"-")</f>
        <v>-</v>
      </c>
      <c r="Y561" s="1" t="str">
        <f>IFERROR(INDEX(_group_[],MATCH(CONCATENATE(ВСЕ_КОДЫ[[#This Row],[CONTEST_CODE]],"_",Y$2),#REF!,0),MATCH(Y$1,_group_[#Headers],0)),"-")</f>
        <v>-</v>
      </c>
      <c r="Z561" s="1" t="str">
        <f>IFERROR(INDEX(_group_[],MATCH(CONCATENATE(ВСЕ_КОДЫ[[#This Row],[CONTEST_CODE]],"_",Z$2),#REF!,0),MATCH(Z$1,_group_[#Headers],0)),"-")</f>
        <v>-</v>
      </c>
      <c r="AA561" s="1" t="str">
        <f>IFERROR(INDEX(_group_[],MATCH(CONCATENATE(ВСЕ_КОДЫ[[#This Row],[CONTEST_CODE]],"_",AA$2),#REF!,0),MATCH(AA$1,_group_[#Headers],0)),"-")</f>
        <v>-</v>
      </c>
      <c r="AB561" s="1" t="str">
        <f>IFERROR(INDEX(_DATA_[],MATCH(ВСЕ_КОДЫ[[#This Row],[CONTEST_CODE]],_DATA_[CONTEST_CODE],0),MATCH($AB$2,_DATA_[#Headers],0)),"-")</f>
        <v>["""RSB1"""]</v>
      </c>
      <c r="AC561" t="str">
        <f>CONCATENATE(ВСЕ_КОДЫ[[#This Row],[CONTEST_CODE]],"_",ВСЕ_КОДЫ[[#This Row],[TOURNAMENT_CODE]])</f>
        <v>08_2025-0_18-2_1_t_08_2025-0_18-2_1_2011</v>
      </c>
      <c r="AD561" t="str">
        <f>ВСЕ_КОДЫ[[#This Row],[FULL_NAME]]</f>
        <v>Турнир по квадратным метрам</v>
      </c>
    </row>
    <row r="562" spans="1:30" hidden="1" x14ac:dyDescent="0.25">
      <c r="A562" s="1" t="s">
        <v>2272</v>
      </c>
      <c r="B562" s="1" t="s">
        <v>2595</v>
      </c>
      <c r="C562" s="1" t="s">
        <v>2494</v>
      </c>
      <c r="D562" s="1" t="s">
        <v>583</v>
      </c>
      <c r="E562" s="1" t="s">
        <v>2633</v>
      </c>
      <c r="F562" s="1" t="s">
        <v>2508</v>
      </c>
      <c r="G562" s="1" t="s">
        <v>27</v>
      </c>
      <c r="H562" s="1" t="s">
        <v>34</v>
      </c>
      <c r="I562" s="1" t="s">
        <v>50</v>
      </c>
      <c r="J562" s="1" t="s">
        <v>2508</v>
      </c>
      <c r="K562" s="1" t="s">
        <v>2534</v>
      </c>
      <c r="L562" s="1" t="s">
        <v>2554</v>
      </c>
      <c r="M562" s="1" t="s">
        <v>155</v>
      </c>
      <c r="N562" s="1" t="s">
        <v>305</v>
      </c>
      <c r="O562" s="1" t="s">
        <v>2765</v>
      </c>
      <c r="Q562">
        <f>IFERROR(COUNTIFS(_report[TOURNAMENT_CODE],ВСЕ_КОДЫ[[#This Row],[TOURNAMENT_CODE]],_report[CONTEST_CODE],ВСЕ_КОДЫ[[#This Row],[CONTEST_CODE]]),"-")</f>
        <v>0</v>
      </c>
      <c r="R562" s="1" t="str">
        <f>IFERROR(INDEX(_SCHEDULE_[],MATCH(ВСЕ_КОДЫ[[#This Row],[CONTEST_CODE]],_SCHEDULE_[CONTEST_CODE],0),MATCH($R$1,_SCHEDULE_[#Headers],0)),"-")</f>
        <v>АКТИВНЫЙ</v>
      </c>
      <c r="S562" s="1" t="str">
        <f>IFERROR(INDEX(_group_[],MATCH(ВСЕ_КОДЫ[[#This Row],[CONTEST_CODE]],_group_[CONTEST_CODE],0),MATCH($S$1,_group_[#Headers],0)),"-")</f>
        <v>BANK</v>
      </c>
      <c r="T562" s="1" t="str">
        <f>IFERROR(INDEX(_INDICATOR_[],MATCH(ВСЕ_КОДЫ[[#This Row],[CONTEST_CODE]],_INDICATOR_[CONTEST_CODE],0),MATCH($T$1,_INDICATOR_[#Headers],0)),"-")</f>
        <v>WAIT</v>
      </c>
      <c r="U562" s="1" t="str">
        <f>IFERROR(INDEX(_reward_link_[],MATCH(ВСЕ_КОДЫ[[#This Row],[CONTEST_CODE]],_reward_link_[CONTEST_CODE],0),MATCH($U$1,_reward_link_[#Headers],0)),"-")</f>
        <v>BANK</v>
      </c>
      <c r="V562" s="1" t="str">
        <f>IFERROR(INDEX(_report[],MATCH(ВСЕ_КОДЫ[[#This Row],[CONTEST_CODE]],_report[CONTEST_CODE],0),MATCH($V$1,_report[#Headers],0)),"-")</f>
        <v>-</v>
      </c>
      <c r="W562" s="1" t="str">
        <f>IFERROR(INDEX(_reward_[],MATCH(ВСЕ_КОДЫ[[#This Row],[REWARD_CODE]],_reward_[REWARD_CODE],0),MATCH($W$1,_reward_[#Headers],0)),"-")</f>
        <v>Бронза#по Турниру СФН</v>
      </c>
      <c r="X562" s="1" t="str">
        <f>IFERROR(INDEX(_group_[],MATCH(CONCATENATE(ВСЕ_КОДЫ[[#This Row],[CONTEST_CODE]],"_",X$2),#REF!,0),MATCH(X$1,_group_[#Headers],0)),"-")</f>
        <v>-</v>
      </c>
      <c r="Y562" s="1" t="str">
        <f>IFERROR(INDEX(_group_[],MATCH(CONCATENATE(ВСЕ_КОДЫ[[#This Row],[CONTEST_CODE]],"_",Y$2),#REF!,0),MATCH(Y$1,_group_[#Headers],0)),"-")</f>
        <v>-</v>
      </c>
      <c r="Z562" s="1" t="str">
        <f>IFERROR(INDEX(_group_[],MATCH(CONCATENATE(ВСЕ_КОДЫ[[#This Row],[CONTEST_CODE]],"_",Z$2),#REF!,0),MATCH(Z$1,_group_[#Headers],0)),"-")</f>
        <v>-</v>
      </c>
      <c r="AA562" s="1" t="str">
        <f>IFERROR(INDEX(_group_[],MATCH(CONCATENATE(ВСЕ_КОДЫ[[#This Row],[CONTEST_CODE]],"_",AA$2),#REF!,0),MATCH(AA$1,_group_[#Headers],0)),"-")</f>
        <v>-</v>
      </c>
      <c r="AB562" s="1" t="str">
        <f>IFERROR(INDEX(_DATA_[],MATCH(ВСЕ_КОДЫ[[#This Row],[CONTEST_CODE]],_DATA_[CONTEST_CODE],0),MATCH($AB$2,_DATA_[#Headers],0)),"-")</f>
        <v>["""RSB1"""]</v>
      </c>
      <c r="AC562" t="str">
        <f>CONCATENATE(ВСЕ_КОДЫ[[#This Row],[CONTEST_CODE]],"_",ВСЕ_КОДЫ[[#This Row],[TOURNAMENT_CODE]])</f>
        <v>08_2025-0_18-2_1_t_08_2025-0_18-2_1_2011</v>
      </c>
      <c r="AD562" t="str">
        <f>ВСЕ_КОДЫ[[#This Row],[FULL_NAME]]</f>
        <v>Турнир по квадратным метрам</v>
      </c>
    </row>
    <row r="563" spans="1:30" hidden="1" x14ac:dyDescent="0.25">
      <c r="A563" s="1" t="s">
        <v>2274</v>
      </c>
      <c r="B563" s="1" t="s">
        <v>2597</v>
      </c>
      <c r="C563" s="1" t="s">
        <v>2495</v>
      </c>
      <c r="D563" s="1" t="s">
        <v>583</v>
      </c>
      <c r="E563" s="1" t="s">
        <v>2635</v>
      </c>
      <c r="F563" s="1" t="s">
        <v>2508</v>
      </c>
      <c r="G563" s="1" t="s">
        <v>27</v>
      </c>
      <c r="H563" s="1" t="s">
        <v>34</v>
      </c>
      <c r="I563" s="1" t="s">
        <v>50</v>
      </c>
      <c r="J563" s="1" t="s">
        <v>2508</v>
      </c>
      <c r="K563" s="1" t="s">
        <v>2534</v>
      </c>
      <c r="L563" s="1" t="s">
        <v>2554</v>
      </c>
      <c r="M563" s="1" t="s">
        <v>155</v>
      </c>
      <c r="N563" s="1" t="s">
        <v>305</v>
      </c>
      <c r="O563" s="1" t="s">
        <v>2766</v>
      </c>
      <c r="Q563">
        <f>IFERROR(COUNTIFS(_report[TOURNAMENT_CODE],ВСЕ_КОДЫ[[#This Row],[TOURNAMENT_CODE]],_report[CONTEST_CODE],ВСЕ_КОДЫ[[#This Row],[CONTEST_CODE]]),"-")</f>
        <v>0</v>
      </c>
      <c r="R563" s="1" t="str">
        <f>IFERROR(INDEX(_SCHEDULE_[],MATCH(ВСЕ_КОДЫ[[#This Row],[CONTEST_CODE]],_SCHEDULE_[CONTEST_CODE],0),MATCH($R$1,_SCHEDULE_[#Headers],0)),"-")</f>
        <v>АКТИВНЫЙ</v>
      </c>
      <c r="S563" s="1" t="str">
        <f>IFERROR(INDEX(_group_[],MATCH(ВСЕ_КОДЫ[[#This Row],[CONTEST_CODE]],_group_[CONTEST_CODE],0),MATCH($S$1,_group_[#Headers],0)),"-")</f>
        <v>BANK</v>
      </c>
      <c r="T563" s="1" t="str">
        <f>IFERROR(INDEX(_INDICATOR_[],MATCH(ВСЕ_КОДЫ[[#This Row],[CONTEST_CODE]],_INDICATOR_[CONTEST_CODE],0),MATCH($T$1,_INDICATOR_[#Headers],0)),"-")</f>
        <v>WAIT</v>
      </c>
      <c r="U563" s="1" t="str">
        <f>IFERROR(INDEX(_reward_link_[],MATCH(ВСЕ_КОДЫ[[#This Row],[CONTEST_CODE]],_reward_link_[CONTEST_CODE],0),MATCH($U$1,_reward_link_[#Headers],0)),"-")</f>
        <v>BANK</v>
      </c>
      <c r="V563" s="1" t="str">
        <f>IFERROR(INDEX(_report[],MATCH(ВСЕ_КОДЫ[[#This Row],[CONTEST_CODE]],_report[CONTEST_CODE],0),MATCH($V$1,_report[#Headers],0)),"-")</f>
        <v>-</v>
      </c>
      <c r="W563" s="1" t="str">
        <f>IFERROR(INDEX(_reward_[],MATCH(ВСЕ_КОДЫ[[#This Row],[REWARD_CODE]],_reward_[REWARD_CODE],0),MATCH($W$1,_reward_[#Headers],0)),"-")</f>
        <v>Золото#по Турниру Брокера</v>
      </c>
      <c r="X563" s="1" t="str">
        <f>IFERROR(INDEX(_group_[],MATCH(CONCATENATE(ВСЕ_КОДЫ[[#This Row],[CONTEST_CODE]],"_",X$2),#REF!,0),MATCH(X$1,_group_[#Headers],0)),"-")</f>
        <v>-</v>
      </c>
      <c r="Y563" s="1" t="str">
        <f>IFERROR(INDEX(_group_[],MATCH(CONCATENATE(ВСЕ_КОДЫ[[#This Row],[CONTEST_CODE]],"_",Y$2),#REF!,0),MATCH(Y$1,_group_[#Headers],0)),"-")</f>
        <v>-</v>
      </c>
      <c r="Z563" s="1" t="str">
        <f>IFERROR(INDEX(_group_[],MATCH(CONCATENATE(ВСЕ_КОДЫ[[#This Row],[CONTEST_CODE]],"_",Z$2),#REF!,0),MATCH(Z$1,_group_[#Headers],0)),"-")</f>
        <v>-</v>
      </c>
      <c r="AA563" s="1" t="str">
        <f>IFERROR(INDEX(_group_[],MATCH(CONCATENATE(ВСЕ_КОДЫ[[#This Row],[CONTEST_CODE]],"_",AA$2),#REF!,0),MATCH(AA$1,_group_[#Headers],0)),"-")</f>
        <v>-</v>
      </c>
      <c r="AB563" s="1" t="str">
        <f>IFERROR(INDEX(_DATA_[],MATCH(ВСЕ_КОДЫ[[#This Row],[CONTEST_CODE]],_DATA_[CONTEST_CODE],0),MATCH($AB$2,_DATA_[#Headers],0)),"-")</f>
        <v>["""RSB1"""]</v>
      </c>
      <c r="AC563" t="str">
        <f>CONCATENATE(ВСЕ_КОДЫ[[#This Row],[CONTEST_CODE]],"_",ВСЕ_КОДЫ[[#This Row],[TOURNAMENT_CODE]])</f>
        <v>08_2025-0_18-3_1_t_08_2025-0_18-3_1_2011</v>
      </c>
      <c r="AD563" t="str">
        <f>ВСЕ_КОДЫ[[#This Row],[FULL_NAME]]</f>
        <v>Ралли брокера</v>
      </c>
    </row>
    <row r="564" spans="1:30" hidden="1" x14ac:dyDescent="0.25">
      <c r="A564" s="1" t="s">
        <v>2274</v>
      </c>
      <c r="B564" s="1" t="s">
        <v>2597</v>
      </c>
      <c r="C564" s="1" t="s">
        <v>2497</v>
      </c>
      <c r="D564" s="1" t="s">
        <v>583</v>
      </c>
      <c r="E564" s="1" t="s">
        <v>2635</v>
      </c>
      <c r="F564" s="1" t="s">
        <v>2508</v>
      </c>
      <c r="G564" s="1" t="s">
        <v>27</v>
      </c>
      <c r="H564" s="1" t="s">
        <v>34</v>
      </c>
      <c r="I564" s="1" t="s">
        <v>50</v>
      </c>
      <c r="J564" s="1" t="s">
        <v>2508</v>
      </c>
      <c r="K564" s="1" t="s">
        <v>2534</v>
      </c>
      <c r="L564" s="1" t="s">
        <v>2554</v>
      </c>
      <c r="M564" s="1" t="s">
        <v>155</v>
      </c>
      <c r="N564" s="1" t="s">
        <v>305</v>
      </c>
      <c r="O564" s="1" t="s">
        <v>2767</v>
      </c>
      <c r="Q564">
        <f>IFERROR(COUNTIFS(_report[TOURNAMENT_CODE],ВСЕ_КОДЫ[[#This Row],[TOURNAMENT_CODE]],_report[CONTEST_CODE],ВСЕ_КОДЫ[[#This Row],[CONTEST_CODE]]),"-")</f>
        <v>0</v>
      </c>
      <c r="R564" s="1" t="str">
        <f>IFERROR(INDEX(_SCHEDULE_[],MATCH(ВСЕ_КОДЫ[[#This Row],[CONTEST_CODE]],_SCHEDULE_[CONTEST_CODE],0),MATCH($R$1,_SCHEDULE_[#Headers],0)),"-")</f>
        <v>АКТИВНЫЙ</v>
      </c>
      <c r="S564" s="1" t="str">
        <f>IFERROR(INDEX(_group_[],MATCH(ВСЕ_КОДЫ[[#This Row],[CONTEST_CODE]],_group_[CONTEST_CODE],0),MATCH($S$1,_group_[#Headers],0)),"-")</f>
        <v>BANK</v>
      </c>
      <c r="T564" s="1" t="str">
        <f>IFERROR(INDEX(_INDICATOR_[],MATCH(ВСЕ_КОДЫ[[#This Row],[CONTEST_CODE]],_INDICATOR_[CONTEST_CODE],0),MATCH($T$1,_INDICATOR_[#Headers],0)),"-")</f>
        <v>WAIT</v>
      </c>
      <c r="U564" s="1" t="str">
        <f>IFERROR(INDEX(_reward_link_[],MATCH(ВСЕ_КОДЫ[[#This Row],[CONTEST_CODE]],_reward_link_[CONTEST_CODE],0),MATCH($U$1,_reward_link_[#Headers],0)),"-")</f>
        <v>BANK</v>
      </c>
      <c r="V564" s="1" t="str">
        <f>IFERROR(INDEX(_report[],MATCH(ВСЕ_КОДЫ[[#This Row],[CONTEST_CODE]],_report[CONTEST_CODE],0),MATCH($V$1,_report[#Headers],0)),"-")</f>
        <v>-</v>
      </c>
      <c r="W564" s="1" t="str">
        <f>IFERROR(INDEX(_reward_[],MATCH(ВСЕ_КОДЫ[[#This Row],[REWARD_CODE]],_reward_[REWARD_CODE],0),MATCH($W$1,_reward_[#Headers],0)),"-")</f>
        <v>Серебро#по Турниру Брокера</v>
      </c>
      <c r="X564" s="1" t="str">
        <f>IFERROR(INDEX(_group_[],MATCH(CONCATENATE(ВСЕ_КОДЫ[[#This Row],[CONTEST_CODE]],"_",X$2),#REF!,0),MATCH(X$1,_group_[#Headers],0)),"-")</f>
        <v>-</v>
      </c>
      <c r="Y564" s="1" t="str">
        <f>IFERROR(INDEX(_group_[],MATCH(CONCATENATE(ВСЕ_КОДЫ[[#This Row],[CONTEST_CODE]],"_",Y$2),#REF!,0),MATCH(Y$1,_group_[#Headers],0)),"-")</f>
        <v>-</v>
      </c>
      <c r="Z564" s="1" t="str">
        <f>IFERROR(INDEX(_group_[],MATCH(CONCATENATE(ВСЕ_КОДЫ[[#This Row],[CONTEST_CODE]],"_",Z$2),#REF!,0),MATCH(Z$1,_group_[#Headers],0)),"-")</f>
        <v>-</v>
      </c>
      <c r="AA564" s="1" t="str">
        <f>IFERROR(INDEX(_group_[],MATCH(CONCATENATE(ВСЕ_КОДЫ[[#This Row],[CONTEST_CODE]],"_",AA$2),#REF!,0),MATCH(AA$1,_group_[#Headers],0)),"-")</f>
        <v>-</v>
      </c>
      <c r="AB564" s="1" t="str">
        <f>IFERROR(INDEX(_DATA_[],MATCH(ВСЕ_КОДЫ[[#This Row],[CONTEST_CODE]],_DATA_[CONTEST_CODE],0),MATCH($AB$2,_DATA_[#Headers],0)),"-")</f>
        <v>["""RSB1"""]</v>
      </c>
      <c r="AC564" t="str">
        <f>CONCATENATE(ВСЕ_КОДЫ[[#This Row],[CONTEST_CODE]],"_",ВСЕ_КОДЫ[[#This Row],[TOURNAMENT_CODE]])</f>
        <v>08_2025-0_18-3_1_t_08_2025-0_18-3_1_2011</v>
      </c>
      <c r="AD564" t="str">
        <f>ВСЕ_КОДЫ[[#This Row],[FULL_NAME]]</f>
        <v>Ралли брокера</v>
      </c>
    </row>
    <row r="565" spans="1:30" hidden="1" x14ac:dyDescent="0.25">
      <c r="A565" s="1" t="s">
        <v>2274</v>
      </c>
      <c r="B565" s="1" t="s">
        <v>2597</v>
      </c>
      <c r="C565" s="1" t="s">
        <v>2499</v>
      </c>
      <c r="D565" s="1" t="s">
        <v>583</v>
      </c>
      <c r="E565" s="1" t="s">
        <v>2635</v>
      </c>
      <c r="F565" s="1" t="s">
        <v>2508</v>
      </c>
      <c r="G565" s="1" t="s">
        <v>27</v>
      </c>
      <c r="H565" s="1" t="s">
        <v>34</v>
      </c>
      <c r="I565" s="1" t="s">
        <v>50</v>
      </c>
      <c r="J565" s="1" t="s">
        <v>2508</v>
      </c>
      <c r="K565" s="1" t="s">
        <v>2534</v>
      </c>
      <c r="L565" s="1" t="s">
        <v>2554</v>
      </c>
      <c r="M565" s="1" t="s">
        <v>155</v>
      </c>
      <c r="N565" s="1" t="s">
        <v>305</v>
      </c>
      <c r="O565" s="1" t="s">
        <v>2768</v>
      </c>
      <c r="Q565">
        <f>IFERROR(COUNTIFS(_report[TOURNAMENT_CODE],ВСЕ_КОДЫ[[#This Row],[TOURNAMENT_CODE]],_report[CONTEST_CODE],ВСЕ_КОДЫ[[#This Row],[CONTEST_CODE]]),"-")</f>
        <v>0</v>
      </c>
      <c r="R565" s="1" t="str">
        <f>IFERROR(INDEX(_SCHEDULE_[],MATCH(ВСЕ_КОДЫ[[#This Row],[CONTEST_CODE]],_SCHEDULE_[CONTEST_CODE],0),MATCH($R$1,_SCHEDULE_[#Headers],0)),"-")</f>
        <v>АКТИВНЫЙ</v>
      </c>
      <c r="S565" s="1" t="str">
        <f>IFERROR(INDEX(_group_[],MATCH(ВСЕ_КОДЫ[[#This Row],[CONTEST_CODE]],_group_[CONTEST_CODE],0),MATCH($S$1,_group_[#Headers],0)),"-")</f>
        <v>BANK</v>
      </c>
      <c r="T565" s="1" t="str">
        <f>IFERROR(INDEX(_INDICATOR_[],MATCH(ВСЕ_КОДЫ[[#This Row],[CONTEST_CODE]],_INDICATOR_[CONTEST_CODE],0),MATCH($T$1,_INDICATOR_[#Headers],0)),"-")</f>
        <v>WAIT</v>
      </c>
      <c r="U565" s="1" t="str">
        <f>IFERROR(INDEX(_reward_link_[],MATCH(ВСЕ_КОДЫ[[#This Row],[CONTEST_CODE]],_reward_link_[CONTEST_CODE],0),MATCH($U$1,_reward_link_[#Headers],0)),"-")</f>
        <v>BANK</v>
      </c>
      <c r="V565" s="1" t="str">
        <f>IFERROR(INDEX(_report[],MATCH(ВСЕ_КОДЫ[[#This Row],[CONTEST_CODE]],_report[CONTEST_CODE],0),MATCH($V$1,_report[#Headers],0)),"-")</f>
        <v>-</v>
      </c>
      <c r="W565" s="1" t="str">
        <f>IFERROR(INDEX(_reward_[],MATCH(ВСЕ_КОДЫ[[#This Row],[REWARD_CODE]],_reward_[REWARD_CODE],0),MATCH($W$1,_reward_[#Headers],0)),"-")</f>
        <v>Бронза#по Турниру Брокера</v>
      </c>
      <c r="X565" s="1" t="str">
        <f>IFERROR(INDEX(_group_[],MATCH(CONCATENATE(ВСЕ_КОДЫ[[#This Row],[CONTEST_CODE]],"_",X$2),#REF!,0),MATCH(X$1,_group_[#Headers],0)),"-")</f>
        <v>-</v>
      </c>
      <c r="Y565" s="1" t="str">
        <f>IFERROR(INDEX(_group_[],MATCH(CONCATENATE(ВСЕ_КОДЫ[[#This Row],[CONTEST_CODE]],"_",Y$2),#REF!,0),MATCH(Y$1,_group_[#Headers],0)),"-")</f>
        <v>-</v>
      </c>
      <c r="Z565" s="1" t="str">
        <f>IFERROR(INDEX(_group_[],MATCH(CONCATENATE(ВСЕ_КОДЫ[[#This Row],[CONTEST_CODE]],"_",Z$2),#REF!,0),MATCH(Z$1,_group_[#Headers],0)),"-")</f>
        <v>-</v>
      </c>
      <c r="AA565" s="1" t="str">
        <f>IFERROR(INDEX(_group_[],MATCH(CONCATENATE(ВСЕ_КОДЫ[[#This Row],[CONTEST_CODE]],"_",AA$2),#REF!,0),MATCH(AA$1,_group_[#Headers],0)),"-")</f>
        <v>-</v>
      </c>
      <c r="AB565" s="1" t="str">
        <f>IFERROR(INDEX(_DATA_[],MATCH(ВСЕ_КОДЫ[[#This Row],[CONTEST_CODE]],_DATA_[CONTEST_CODE],0),MATCH($AB$2,_DATA_[#Headers],0)),"-")</f>
        <v>["""RSB1"""]</v>
      </c>
      <c r="AC565" t="str">
        <f>CONCATENATE(ВСЕ_КОДЫ[[#This Row],[CONTEST_CODE]],"_",ВСЕ_КОДЫ[[#This Row],[TOURNAMENT_CODE]])</f>
        <v>08_2025-0_18-3_1_t_08_2025-0_18-3_1_2011</v>
      </c>
      <c r="AD565" t="str">
        <f>ВСЕ_КОДЫ[[#This Row],[FULL_NAME]]</f>
        <v>Ралли брокера</v>
      </c>
    </row>
    <row r="566" spans="1:30" hidden="1" x14ac:dyDescent="0.25">
      <c r="A566" s="1" t="s">
        <v>2276</v>
      </c>
      <c r="B566" s="1" t="s">
        <v>2599</v>
      </c>
      <c r="C566" s="1" t="s">
        <v>2501</v>
      </c>
      <c r="D566" s="1" t="s">
        <v>583</v>
      </c>
      <c r="E566" s="1" t="s">
        <v>2638</v>
      </c>
      <c r="F566" s="1" t="s">
        <v>2508</v>
      </c>
      <c r="G566" s="1" t="s">
        <v>27</v>
      </c>
      <c r="H566" s="1" t="s">
        <v>34</v>
      </c>
      <c r="I566" s="1" t="s">
        <v>50</v>
      </c>
      <c r="J566" s="1" t="s">
        <v>2508</v>
      </c>
      <c r="K566" s="1" t="s">
        <v>2534</v>
      </c>
      <c r="L566" s="1" t="s">
        <v>2554</v>
      </c>
      <c r="M566" s="1" t="s">
        <v>155</v>
      </c>
      <c r="N566" s="1" t="s">
        <v>305</v>
      </c>
      <c r="O566" s="1" t="s">
        <v>2769</v>
      </c>
      <c r="Q566">
        <f>IFERROR(COUNTIFS(_report[TOURNAMENT_CODE],ВСЕ_КОДЫ[[#This Row],[TOURNAMENT_CODE]],_report[CONTEST_CODE],ВСЕ_КОДЫ[[#This Row],[CONTEST_CODE]]),"-")</f>
        <v>0</v>
      </c>
      <c r="R566" s="1" t="str">
        <f>IFERROR(INDEX(_SCHEDULE_[],MATCH(ВСЕ_КОДЫ[[#This Row],[CONTEST_CODE]],_SCHEDULE_[CONTEST_CODE],0),MATCH($R$1,_SCHEDULE_[#Headers],0)),"-")</f>
        <v>АКТИВНЫЙ</v>
      </c>
      <c r="S566" s="1" t="str">
        <f>IFERROR(INDEX(_group_[],MATCH(ВСЕ_КОДЫ[[#This Row],[CONTEST_CODE]],_group_[CONTEST_CODE],0),MATCH($S$1,_group_[#Headers],0)),"-")</f>
        <v>BANK</v>
      </c>
      <c r="T566" s="1" t="str">
        <f>IFERROR(INDEX(_INDICATOR_[],MATCH(ВСЕ_КОДЫ[[#This Row],[CONTEST_CODE]],_INDICATOR_[CONTEST_CODE],0),MATCH($T$1,_INDICATOR_[#Headers],0)),"-")</f>
        <v>WAIT</v>
      </c>
      <c r="U566" s="1" t="str">
        <f>IFERROR(INDEX(_reward_link_[],MATCH(ВСЕ_КОДЫ[[#This Row],[CONTEST_CODE]],_reward_link_[CONTEST_CODE],0),MATCH($U$1,_reward_link_[#Headers],0)),"-")</f>
        <v>BANK</v>
      </c>
      <c r="V566" s="1" t="str">
        <f>IFERROR(INDEX(_report[],MATCH(ВСЕ_КОДЫ[[#This Row],[CONTEST_CODE]],_report[CONTEST_CODE],0),MATCH($V$1,_report[#Headers],0)),"-")</f>
        <v>-</v>
      </c>
      <c r="W566" s="1" t="str">
        <f>IFERROR(INDEX(_reward_[],MATCH(ВСЕ_КОДЫ[[#This Row],[REWARD_CODE]],_reward_[REWARD_CODE],0),MATCH($W$1,_reward_[#Headers],0)),"-")</f>
        <v>Золото#по Турниру СБСЖ</v>
      </c>
      <c r="X566" s="1" t="str">
        <f>IFERROR(INDEX(_group_[],MATCH(CONCATENATE(ВСЕ_КОДЫ[[#This Row],[CONTEST_CODE]],"_",X$2),#REF!,0),MATCH(X$1,_group_[#Headers],0)),"-")</f>
        <v>-</v>
      </c>
      <c r="Y566" s="1" t="str">
        <f>IFERROR(INDEX(_group_[],MATCH(CONCATENATE(ВСЕ_КОДЫ[[#This Row],[CONTEST_CODE]],"_",Y$2),#REF!,0),MATCH(Y$1,_group_[#Headers],0)),"-")</f>
        <v>-</v>
      </c>
      <c r="Z566" s="1" t="str">
        <f>IFERROR(INDEX(_group_[],MATCH(CONCATENATE(ВСЕ_КОДЫ[[#This Row],[CONTEST_CODE]],"_",Z$2),#REF!,0),MATCH(Z$1,_group_[#Headers],0)),"-")</f>
        <v>-</v>
      </c>
      <c r="AA566" s="1" t="str">
        <f>IFERROR(INDEX(_group_[],MATCH(CONCATENATE(ВСЕ_КОДЫ[[#This Row],[CONTEST_CODE]],"_",AA$2),#REF!,0),MATCH(AA$1,_group_[#Headers],0)),"-")</f>
        <v>-</v>
      </c>
      <c r="AB566" s="1" t="str">
        <f>IFERROR(INDEX(_DATA_[],MATCH(ВСЕ_КОДЫ[[#This Row],[CONTEST_CODE]],_DATA_[CONTEST_CODE],0),MATCH($AB$2,_DATA_[#Headers],0)),"-")</f>
        <v>["""RSB1"""]</v>
      </c>
      <c r="AC566" t="str">
        <f>CONCATENATE(ВСЕ_КОДЫ[[#This Row],[CONTEST_CODE]],"_",ВСЕ_КОДЫ[[#This Row],[TOURNAMENT_CODE]])</f>
        <v>08_2025-0_18-4_1_t_08_2025-0_18-4_1_2011</v>
      </c>
      <c r="AD566" t="str">
        <f>ВСЕ_КОДЫ[[#This Row],[FULL_NAME]]</f>
        <v>Страховой олимп</v>
      </c>
    </row>
    <row r="567" spans="1:30" hidden="1" x14ac:dyDescent="0.25">
      <c r="A567" s="1" t="s">
        <v>2276</v>
      </c>
      <c r="B567" s="1" t="s">
        <v>2599</v>
      </c>
      <c r="C567" s="1" t="s">
        <v>2503</v>
      </c>
      <c r="D567" s="1" t="s">
        <v>583</v>
      </c>
      <c r="E567" s="1" t="s">
        <v>2638</v>
      </c>
      <c r="F567" s="1" t="s">
        <v>2508</v>
      </c>
      <c r="G567" s="1" t="s">
        <v>27</v>
      </c>
      <c r="H567" s="1" t="s">
        <v>34</v>
      </c>
      <c r="I567" s="1" t="s">
        <v>50</v>
      </c>
      <c r="J567" s="1" t="s">
        <v>2508</v>
      </c>
      <c r="K567" s="1" t="s">
        <v>2534</v>
      </c>
      <c r="L567" s="1" t="s">
        <v>2554</v>
      </c>
      <c r="M567" s="1" t="s">
        <v>155</v>
      </c>
      <c r="N567" s="1" t="s">
        <v>305</v>
      </c>
      <c r="O567" s="1" t="s">
        <v>2770</v>
      </c>
      <c r="Q567">
        <f>IFERROR(COUNTIFS(_report[TOURNAMENT_CODE],ВСЕ_КОДЫ[[#This Row],[TOURNAMENT_CODE]],_report[CONTEST_CODE],ВСЕ_КОДЫ[[#This Row],[CONTEST_CODE]]),"-")</f>
        <v>0</v>
      </c>
      <c r="R567" s="1" t="str">
        <f>IFERROR(INDEX(_SCHEDULE_[],MATCH(ВСЕ_КОДЫ[[#This Row],[CONTEST_CODE]],_SCHEDULE_[CONTEST_CODE],0),MATCH($R$1,_SCHEDULE_[#Headers],0)),"-")</f>
        <v>АКТИВНЫЙ</v>
      </c>
      <c r="S567" s="1" t="str">
        <f>IFERROR(INDEX(_group_[],MATCH(ВСЕ_КОДЫ[[#This Row],[CONTEST_CODE]],_group_[CONTEST_CODE],0),MATCH($S$1,_group_[#Headers],0)),"-")</f>
        <v>BANK</v>
      </c>
      <c r="T567" s="1" t="str">
        <f>IFERROR(INDEX(_INDICATOR_[],MATCH(ВСЕ_КОДЫ[[#This Row],[CONTEST_CODE]],_INDICATOR_[CONTEST_CODE],0),MATCH($T$1,_INDICATOR_[#Headers],0)),"-")</f>
        <v>WAIT</v>
      </c>
      <c r="U567" s="1" t="str">
        <f>IFERROR(INDEX(_reward_link_[],MATCH(ВСЕ_КОДЫ[[#This Row],[CONTEST_CODE]],_reward_link_[CONTEST_CODE],0),MATCH($U$1,_reward_link_[#Headers],0)),"-")</f>
        <v>BANK</v>
      </c>
      <c r="V567" s="1" t="str">
        <f>IFERROR(INDEX(_report[],MATCH(ВСЕ_КОДЫ[[#This Row],[CONTEST_CODE]],_report[CONTEST_CODE],0),MATCH($V$1,_report[#Headers],0)),"-")</f>
        <v>-</v>
      </c>
      <c r="W567" s="1" t="str">
        <f>IFERROR(INDEX(_reward_[],MATCH(ВСЕ_КОДЫ[[#This Row],[REWARD_CODE]],_reward_[REWARD_CODE],0),MATCH($W$1,_reward_[#Headers],0)),"-")</f>
        <v>Серебро#по Турниру СБСЖ</v>
      </c>
      <c r="X567" s="1" t="str">
        <f>IFERROR(INDEX(_group_[],MATCH(CONCATENATE(ВСЕ_КОДЫ[[#This Row],[CONTEST_CODE]],"_",X$2),#REF!,0),MATCH(X$1,_group_[#Headers],0)),"-")</f>
        <v>-</v>
      </c>
      <c r="Y567" s="1" t="str">
        <f>IFERROR(INDEX(_group_[],MATCH(CONCATENATE(ВСЕ_КОДЫ[[#This Row],[CONTEST_CODE]],"_",Y$2),#REF!,0),MATCH(Y$1,_group_[#Headers],0)),"-")</f>
        <v>-</v>
      </c>
      <c r="Z567" s="1" t="str">
        <f>IFERROR(INDEX(_group_[],MATCH(CONCATENATE(ВСЕ_КОДЫ[[#This Row],[CONTEST_CODE]],"_",Z$2),#REF!,0),MATCH(Z$1,_group_[#Headers],0)),"-")</f>
        <v>-</v>
      </c>
      <c r="AA567" s="1" t="str">
        <f>IFERROR(INDEX(_group_[],MATCH(CONCATENATE(ВСЕ_КОДЫ[[#This Row],[CONTEST_CODE]],"_",AA$2),#REF!,0),MATCH(AA$1,_group_[#Headers],0)),"-")</f>
        <v>-</v>
      </c>
      <c r="AB567" s="1" t="str">
        <f>IFERROR(INDEX(_DATA_[],MATCH(ВСЕ_КОДЫ[[#This Row],[CONTEST_CODE]],_DATA_[CONTEST_CODE],0),MATCH($AB$2,_DATA_[#Headers],0)),"-")</f>
        <v>["""RSB1"""]</v>
      </c>
      <c r="AC567" t="str">
        <f>CONCATENATE(ВСЕ_КОДЫ[[#This Row],[CONTEST_CODE]],"_",ВСЕ_КОДЫ[[#This Row],[TOURNAMENT_CODE]])</f>
        <v>08_2025-0_18-4_1_t_08_2025-0_18-4_1_2011</v>
      </c>
      <c r="AD567" t="str">
        <f>ВСЕ_КОДЫ[[#This Row],[FULL_NAME]]</f>
        <v>Страховой олимп</v>
      </c>
    </row>
    <row r="568" spans="1:30" hidden="1" x14ac:dyDescent="0.25">
      <c r="A568" s="1" t="s">
        <v>2276</v>
      </c>
      <c r="B568" s="1" t="s">
        <v>2599</v>
      </c>
      <c r="C568" s="1" t="s">
        <v>2505</v>
      </c>
      <c r="D568" s="1" t="s">
        <v>583</v>
      </c>
      <c r="E568" s="1" t="s">
        <v>2638</v>
      </c>
      <c r="F568" s="1" t="s">
        <v>2508</v>
      </c>
      <c r="G568" s="1" t="s">
        <v>27</v>
      </c>
      <c r="H568" s="1" t="s">
        <v>34</v>
      </c>
      <c r="I568" s="1" t="s">
        <v>50</v>
      </c>
      <c r="J568" s="1" t="s">
        <v>2508</v>
      </c>
      <c r="K568" s="1" t="s">
        <v>2534</v>
      </c>
      <c r="L568" s="1" t="s">
        <v>2554</v>
      </c>
      <c r="M568" s="1" t="s">
        <v>155</v>
      </c>
      <c r="N568" s="1" t="s">
        <v>305</v>
      </c>
      <c r="O568" s="1" t="s">
        <v>2771</v>
      </c>
      <c r="Q568">
        <f>IFERROR(COUNTIFS(_report[TOURNAMENT_CODE],ВСЕ_КОДЫ[[#This Row],[TOURNAMENT_CODE]],_report[CONTEST_CODE],ВСЕ_КОДЫ[[#This Row],[CONTEST_CODE]]),"-")</f>
        <v>0</v>
      </c>
      <c r="R568" s="1" t="str">
        <f>IFERROR(INDEX(_SCHEDULE_[],MATCH(ВСЕ_КОДЫ[[#This Row],[CONTEST_CODE]],_SCHEDULE_[CONTEST_CODE],0),MATCH($R$1,_SCHEDULE_[#Headers],0)),"-")</f>
        <v>АКТИВНЫЙ</v>
      </c>
      <c r="S568" s="1" t="str">
        <f>IFERROR(INDEX(_group_[],MATCH(ВСЕ_КОДЫ[[#This Row],[CONTEST_CODE]],_group_[CONTEST_CODE],0),MATCH($S$1,_group_[#Headers],0)),"-")</f>
        <v>BANK</v>
      </c>
      <c r="T568" s="1" t="str">
        <f>IFERROR(INDEX(_INDICATOR_[],MATCH(ВСЕ_КОДЫ[[#This Row],[CONTEST_CODE]],_INDICATOR_[CONTEST_CODE],0),MATCH($T$1,_INDICATOR_[#Headers],0)),"-")</f>
        <v>WAIT</v>
      </c>
      <c r="U568" s="1" t="str">
        <f>IFERROR(INDEX(_reward_link_[],MATCH(ВСЕ_КОДЫ[[#This Row],[CONTEST_CODE]],_reward_link_[CONTEST_CODE],0),MATCH($U$1,_reward_link_[#Headers],0)),"-")</f>
        <v>BANK</v>
      </c>
      <c r="V568" s="1" t="str">
        <f>IFERROR(INDEX(_report[],MATCH(ВСЕ_КОДЫ[[#This Row],[CONTEST_CODE]],_report[CONTEST_CODE],0),MATCH($V$1,_report[#Headers],0)),"-")</f>
        <v>-</v>
      </c>
      <c r="W568" s="1" t="str">
        <f>IFERROR(INDEX(_reward_[],MATCH(ВСЕ_КОДЫ[[#This Row],[REWARD_CODE]],_reward_[REWARD_CODE],0),MATCH($W$1,_reward_[#Headers],0)),"-")</f>
        <v>Бронза#по Турниру СБСЖ</v>
      </c>
      <c r="X568" s="1" t="str">
        <f>IFERROR(INDEX(_group_[],MATCH(CONCATENATE(ВСЕ_КОДЫ[[#This Row],[CONTEST_CODE]],"_",X$2),#REF!,0),MATCH(X$1,_group_[#Headers],0)),"-")</f>
        <v>-</v>
      </c>
      <c r="Y568" s="1" t="str">
        <f>IFERROR(INDEX(_group_[],MATCH(CONCATENATE(ВСЕ_КОДЫ[[#This Row],[CONTEST_CODE]],"_",Y$2),#REF!,0),MATCH(Y$1,_group_[#Headers],0)),"-")</f>
        <v>-</v>
      </c>
      <c r="Z568" s="1" t="str">
        <f>IFERROR(INDEX(_group_[],MATCH(CONCATENATE(ВСЕ_КОДЫ[[#This Row],[CONTEST_CODE]],"_",Z$2),#REF!,0),MATCH(Z$1,_group_[#Headers],0)),"-")</f>
        <v>-</v>
      </c>
      <c r="AA568" s="1" t="str">
        <f>IFERROR(INDEX(_group_[],MATCH(CONCATENATE(ВСЕ_КОДЫ[[#This Row],[CONTEST_CODE]],"_",AA$2),#REF!,0),MATCH(AA$1,_group_[#Headers],0)),"-")</f>
        <v>-</v>
      </c>
      <c r="AB568" s="1" t="str">
        <f>IFERROR(INDEX(_DATA_[],MATCH(ВСЕ_КОДЫ[[#This Row],[CONTEST_CODE]],_DATA_[CONTEST_CODE],0),MATCH($AB$2,_DATA_[#Headers],0)),"-")</f>
        <v>["""RSB1"""]</v>
      </c>
      <c r="AC568" t="str">
        <f>CONCATENATE(ВСЕ_КОДЫ[[#This Row],[CONTEST_CODE]],"_",ВСЕ_КОДЫ[[#This Row],[TOURNAMENT_CODE]])</f>
        <v>08_2025-0_18-4_1_t_08_2025-0_18-4_1_2011</v>
      </c>
      <c r="AD568" t="str">
        <f>ВСЕ_КОДЫ[[#This Row],[FULL_NAME]]</f>
        <v>Страховой олимп</v>
      </c>
    </row>
    <row r="569" spans="1:30" hidden="1" x14ac:dyDescent="0.25">
      <c r="A569" s="1" t="s">
        <v>2908</v>
      </c>
      <c r="B569" s="1" t="s">
        <v>2926</v>
      </c>
      <c r="C569" s="1" t="s">
        <v>4010</v>
      </c>
      <c r="D569" s="1" t="s">
        <v>583</v>
      </c>
      <c r="E569" s="1" t="s">
        <v>2946</v>
      </c>
      <c r="F569" s="1" t="s">
        <v>2508</v>
      </c>
      <c r="G569" s="1" t="s">
        <v>27</v>
      </c>
      <c r="H569" s="1" t="s">
        <v>34</v>
      </c>
      <c r="I569" s="1" t="s">
        <v>35</v>
      </c>
      <c r="J569" s="1" t="s">
        <v>2508</v>
      </c>
      <c r="K569" s="1" t="s">
        <v>2509</v>
      </c>
      <c r="L569" s="1" t="s">
        <v>2510</v>
      </c>
      <c r="M569" s="1" t="s">
        <v>34</v>
      </c>
      <c r="N569" s="1" t="s">
        <v>305</v>
      </c>
      <c r="O569" s="1" t="s">
        <v>2946</v>
      </c>
      <c r="Q569">
        <f>IFERROR(COUNTIFS(_report[TOURNAMENT_CODE],ВСЕ_КОДЫ[[#This Row],[TOURNAMENT_CODE]],_report[CONTEST_CODE],ВСЕ_КОДЫ[[#This Row],[CONTEST_CODE]]),"-")</f>
        <v>0</v>
      </c>
      <c r="R569" s="1" t="str">
        <f>IFERROR(INDEX(_SCHEDULE_[],MATCH(ВСЕ_КОДЫ[[#This Row],[CONTEST_CODE]],_SCHEDULE_[CONTEST_CODE],0),MATCH($R$1,_SCHEDULE_[#Headers],0)),"-")</f>
        <v>АКТИВНЫЙ</v>
      </c>
      <c r="S569" s="1" t="str">
        <f>IFERROR(INDEX(_group_[],MATCH(ВСЕ_КОДЫ[[#This Row],[CONTEST_CODE]],_group_[CONTEST_CODE],0),MATCH($S$1,_group_[#Headers],0)),"-")</f>
        <v>BANK</v>
      </c>
      <c r="T569" s="1" t="str">
        <f>IFERROR(INDEX(_INDICATOR_[],MATCH(ВСЕ_КОДЫ[[#This Row],[CONTEST_CODE]],_INDICATOR_[CONTEST_CODE],0),MATCH($T$1,_INDICATOR_[#Headers],0)),"-")</f>
        <v>WAIT</v>
      </c>
      <c r="U569" s="1" t="str">
        <f>IFERROR(INDEX(_reward_link_[],MATCH(ВСЕ_КОДЫ[[#This Row],[CONTEST_CODE]],_reward_link_[CONTEST_CODE],0),MATCH($U$1,_reward_link_[#Headers],0)),"-")</f>
        <v>BANK</v>
      </c>
      <c r="V569" s="1" t="str">
        <f>IFERROR(INDEX(_report[],MATCH(ВСЕ_КОДЫ[[#This Row],[CONTEST_CODE]],_report[CONTEST_CODE],0),MATCH($V$1,_report[#Headers],0)),"-")</f>
        <v>-</v>
      </c>
      <c r="W569" s="1" t="str">
        <f>IFERROR(INDEX(_reward_[],MATCH(ВСЕ_КОДЫ[[#This Row],[REWARD_CODE]],_reward_[REWARD_CODE],0),MATCH($W$1,_reward_[#Headers],0)),"-")</f>
        <v>1 клиент на пакет услуг</v>
      </c>
      <c r="X569" s="1" t="str">
        <f>IFERROR(INDEX(_group_[],MATCH(CONCATENATE(ВСЕ_КОДЫ[[#This Row],[CONTEST_CODE]],"_",X$2),#REF!,0),MATCH(X$1,_group_[#Headers],0)),"-")</f>
        <v>-</v>
      </c>
      <c r="Y569" s="1" t="str">
        <f>IFERROR(INDEX(_group_[],MATCH(CONCATENATE(ВСЕ_КОДЫ[[#This Row],[CONTEST_CODE]],"_",Y$2),#REF!,0),MATCH(Y$1,_group_[#Headers],0)),"-")</f>
        <v>-</v>
      </c>
      <c r="Z569" s="1" t="str">
        <f>IFERROR(INDEX(_group_[],MATCH(CONCATENATE(ВСЕ_КОДЫ[[#This Row],[CONTEST_CODE]],"_",Z$2),#REF!,0),MATCH(Z$1,_group_[#Headers],0)),"-")</f>
        <v>-</v>
      </c>
      <c r="AA569" s="1" t="str">
        <f>IFERROR(INDEX(_group_[],MATCH(CONCATENATE(ВСЕ_КОДЫ[[#This Row],[CONTEST_CODE]],"_",AA$2),#REF!,0),MATCH(AA$1,_group_[#Headers],0)),"-")</f>
        <v>-</v>
      </c>
      <c r="AB569" s="1" t="str">
        <f>IFERROR(INDEX(_DATA_[],MATCH(ВСЕ_КОДЫ[[#This Row],[CONTEST_CODE]],_DATA_[CONTEST_CODE],0),MATCH($AB$2,_DATA_[#Headers],0)),"-")</f>
        <v>["""KMSB1"""]</v>
      </c>
      <c r="AC569" t="str">
        <f>CONCATENATE(ВСЕ_КОДЫ[[#This Row],[CONTEST_CODE]],"_",ВСЕ_КОДЫ[[#This Row],[TOURNAMENT_CODE]])</f>
        <v>05_2025-0_18-7_1_t_05_2025-0_18-7_1_1001</v>
      </c>
      <c r="AD569" t="str">
        <f>ВСЕ_КОДЫ[[#This Row],[FULL_NAME]]</f>
        <v>1 клиент на пакет услуг</v>
      </c>
    </row>
    <row r="570" spans="1:30" hidden="1" x14ac:dyDescent="0.25">
      <c r="A570" s="1" t="s">
        <v>2910</v>
      </c>
      <c r="B570" s="1" t="s">
        <v>2928</v>
      </c>
      <c r="C570" s="1" t="s">
        <v>4012</v>
      </c>
      <c r="D570" s="1" t="s">
        <v>583</v>
      </c>
      <c r="E570" s="1" t="s">
        <v>2948</v>
      </c>
      <c r="F570" s="1" t="s">
        <v>2508</v>
      </c>
      <c r="G570" s="1" t="s">
        <v>27</v>
      </c>
      <c r="H570" s="1" t="s">
        <v>34</v>
      </c>
      <c r="I570" s="1" t="s">
        <v>35</v>
      </c>
      <c r="J570" s="1" t="s">
        <v>2508</v>
      </c>
      <c r="K570" s="1" t="s">
        <v>2509</v>
      </c>
      <c r="L570" s="1" t="s">
        <v>2510</v>
      </c>
      <c r="M570" s="1" t="s">
        <v>34</v>
      </c>
      <c r="N570" s="1" t="s">
        <v>305</v>
      </c>
      <c r="O570" s="1" t="s">
        <v>2948</v>
      </c>
      <c r="Q570">
        <f>IFERROR(COUNTIFS(_report[TOURNAMENT_CODE],ВСЕ_КОДЫ[[#This Row],[TOURNAMENT_CODE]],_report[CONTEST_CODE],ВСЕ_КОДЫ[[#This Row],[CONTEST_CODE]]),"-")</f>
        <v>0</v>
      </c>
      <c r="R570" s="1" t="str">
        <f>IFERROR(INDEX(_SCHEDULE_[],MATCH(ВСЕ_КОДЫ[[#This Row],[CONTEST_CODE]],_SCHEDULE_[CONTEST_CODE],0),MATCH($R$1,_SCHEDULE_[#Headers],0)),"-")</f>
        <v>АКТИВНЫЙ</v>
      </c>
      <c r="S570" s="1" t="str">
        <f>IFERROR(INDEX(_group_[],MATCH(ВСЕ_КОДЫ[[#This Row],[CONTEST_CODE]],_group_[CONTEST_CODE],0),MATCH($S$1,_group_[#Headers],0)),"-")</f>
        <v>BANK</v>
      </c>
      <c r="T570" s="1" t="str">
        <f>IFERROR(INDEX(_INDICATOR_[],MATCH(ВСЕ_КОДЫ[[#This Row],[CONTEST_CODE]],_INDICATOR_[CONTEST_CODE],0),MATCH($T$1,_INDICATOR_[#Headers],0)),"-")</f>
        <v>WAIT</v>
      </c>
      <c r="U570" s="1" t="str">
        <f>IFERROR(INDEX(_reward_link_[],MATCH(ВСЕ_КОДЫ[[#This Row],[CONTEST_CODE]],_reward_link_[CONTEST_CODE],0),MATCH($U$1,_reward_link_[#Headers],0)),"-")</f>
        <v>BANK</v>
      </c>
      <c r="V570" s="1" t="str">
        <f>IFERROR(INDEX(_report[],MATCH(ВСЕ_КОДЫ[[#This Row],[CONTEST_CODE]],_report[CONTEST_CODE],0),MATCH($V$1,_report[#Headers],0)),"-")</f>
        <v>-</v>
      </c>
      <c r="W570" s="1" t="str">
        <f>IFERROR(INDEX(_reward_[],MATCH(ВСЕ_КОДЫ[[#This Row],[REWARD_CODE]],_reward_[REWARD_CODE],0),MATCH($W$1,_reward_[#Headers],0)),"-")</f>
        <v>3 клиента на пакет услуг</v>
      </c>
      <c r="X570" s="1" t="str">
        <f>IFERROR(INDEX(_group_[],MATCH(CONCATENATE(ВСЕ_КОДЫ[[#This Row],[CONTEST_CODE]],"_",X$2),#REF!,0),MATCH(X$1,_group_[#Headers],0)),"-")</f>
        <v>-</v>
      </c>
      <c r="Y570" s="1" t="str">
        <f>IFERROR(INDEX(_group_[],MATCH(CONCATENATE(ВСЕ_КОДЫ[[#This Row],[CONTEST_CODE]],"_",Y$2),#REF!,0),MATCH(Y$1,_group_[#Headers],0)),"-")</f>
        <v>-</v>
      </c>
      <c r="Z570" s="1" t="str">
        <f>IFERROR(INDEX(_group_[],MATCH(CONCATENATE(ВСЕ_КОДЫ[[#This Row],[CONTEST_CODE]],"_",Z$2),#REF!,0),MATCH(Z$1,_group_[#Headers],0)),"-")</f>
        <v>-</v>
      </c>
      <c r="AA570" s="1" t="str">
        <f>IFERROR(INDEX(_group_[],MATCH(CONCATENATE(ВСЕ_КОДЫ[[#This Row],[CONTEST_CODE]],"_",AA$2),#REF!,0),MATCH(AA$1,_group_[#Headers],0)),"-")</f>
        <v>-</v>
      </c>
      <c r="AB570" s="1" t="str">
        <f>IFERROR(INDEX(_DATA_[],MATCH(ВСЕ_КОДЫ[[#This Row],[CONTEST_CODE]],_DATA_[CONTEST_CODE],0),MATCH($AB$2,_DATA_[#Headers],0)),"-")</f>
        <v>["""KMSB1"""]</v>
      </c>
      <c r="AC570" t="str">
        <f>CONCATENATE(ВСЕ_КОДЫ[[#This Row],[CONTEST_CODE]],"_",ВСЕ_КОДЫ[[#This Row],[TOURNAMENT_CODE]])</f>
        <v>05_2025-0_18-7_2_t_05_2025-0_18-7_2_1001</v>
      </c>
      <c r="AD570" t="str">
        <f>ВСЕ_КОДЫ[[#This Row],[FULL_NAME]]</f>
        <v>3 клиента на пакет услуг</v>
      </c>
    </row>
    <row r="571" spans="1:30" hidden="1" x14ac:dyDescent="0.25">
      <c r="A571" s="1" t="s">
        <v>2912</v>
      </c>
      <c r="B571" s="1" t="s">
        <v>2930</v>
      </c>
      <c r="C571" s="1" t="s">
        <v>4014</v>
      </c>
      <c r="D571" s="1" t="s">
        <v>583</v>
      </c>
      <c r="E571" s="1" t="s">
        <v>2949</v>
      </c>
      <c r="F571" s="1" t="s">
        <v>2508</v>
      </c>
      <c r="G571" s="1" t="s">
        <v>27</v>
      </c>
      <c r="H571" s="1" t="s">
        <v>34</v>
      </c>
      <c r="I571" s="1" t="s">
        <v>35</v>
      </c>
      <c r="J571" s="1" t="s">
        <v>2508</v>
      </c>
      <c r="K571" s="1" t="s">
        <v>2509</v>
      </c>
      <c r="L571" s="1" t="s">
        <v>2510</v>
      </c>
      <c r="M571" s="1" t="s">
        <v>34</v>
      </c>
      <c r="N571" s="1" t="s">
        <v>305</v>
      </c>
      <c r="O571" s="1" t="s">
        <v>2949</v>
      </c>
      <c r="Q571">
        <f>IFERROR(COUNTIFS(_report[TOURNAMENT_CODE],ВСЕ_КОДЫ[[#This Row],[TOURNAMENT_CODE]],_report[CONTEST_CODE],ВСЕ_КОДЫ[[#This Row],[CONTEST_CODE]]),"-")</f>
        <v>0</v>
      </c>
      <c r="R571" s="1" t="str">
        <f>IFERROR(INDEX(_SCHEDULE_[],MATCH(ВСЕ_КОДЫ[[#This Row],[CONTEST_CODE]],_SCHEDULE_[CONTEST_CODE],0),MATCH($R$1,_SCHEDULE_[#Headers],0)),"-")</f>
        <v>АКТИВНЫЙ</v>
      </c>
      <c r="S571" s="1" t="str">
        <f>IFERROR(INDEX(_group_[],MATCH(ВСЕ_КОДЫ[[#This Row],[CONTEST_CODE]],_group_[CONTEST_CODE],0),MATCH($S$1,_group_[#Headers],0)),"-")</f>
        <v>BANK</v>
      </c>
      <c r="T571" s="1" t="str">
        <f>IFERROR(INDEX(_INDICATOR_[],MATCH(ВСЕ_КОДЫ[[#This Row],[CONTEST_CODE]],_INDICATOR_[CONTEST_CODE],0),MATCH($T$1,_INDICATOR_[#Headers],0)),"-")</f>
        <v>WAIT</v>
      </c>
      <c r="U571" s="1" t="str">
        <f>IFERROR(INDEX(_reward_link_[],MATCH(ВСЕ_КОДЫ[[#This Row],[CONTEST_CODE]],_reward_link_[CONTEST_CODE],0),MATCH($U$1,_reward_link_[#Headers],0)),"-")</f>
        <v>BANK</v>
      </c>
      <c r="V571" s="1" t="str">
        <f>IFERROR(INDEX(_report[],MATCH(ВСЕ_КОДЫ[[#This Row],[CONTEST_CODE]],_report[CONTEST_CODE],0),MATCH($V$1,_report[#Headers],0)),"-")</f>
        <v>-</v>
      </c>
      <c r="W571" s="1" t="str">
        <f>IFERROR(INDEX(_reward_[],MATCH(ВСЕ_КОДЫ[[#This Row],[REWARD_CODE]],_reward_[REWARD_CODE],0),MATCH($W$1,_reward_[#Headers],0)),"-")</f>
        <v>5 клиентов на пакет услуг</v>
      </c>
      <c r="X571" s="1" t="str">
        <f>IFERROR(INDEX(_group_[],MATCH(CONCATENATE(ВСЕ_КОДЫ[[#This Row],[CONTEST_CODE]],"_",X$2),#REF!,0),MATCH(X$1,_group_[#Headers],0)),"-")</f>
        <v>-</v>
      </c>
      <c r="Y571" s="1" t="str">
        <f>IFERROR(INDEX(_group_[],MATCH(CONCATENATE(ВСЕ_КОДЫ[[#This Row],[CONTEST_CODE]],"_",Y$2),#REF!,0),MATCH(Y$1,_group_[#Headers],0)),"-")</f>
        <v>-</v>
      </c>
      <c r="Z571" s="1" t="str">
        <f>IFERROR(INDEX(_group_[],MATCH(CONCATENATE(ВСЕ_КОДЫ[[#This Row],[CONTEST_CODE]],"_",Z$2),#REF!,0),MATCH(Z$1,_group_[#Headers],0)),"-")</f>
        <v>-</v>
      </c>
      <c r="AA571" s="1" t="str">
        <f>IFERROR(INDEX(_group_[],MATCH(CONCATENATE(ВСЕ_КОДЫ[[#This Row],[CONTEST_CODE]],"_",AA$2),#REF!,0),MATCH(AA$1,_group_[#Headers],0)),"-")</f>
        <v>-</v>
      </c>
      <c r="AB571" s="1" t="str">
        <f>IFERROR(INDEX(_DATA_[],MATCH(ВСЕ_КОДЫ[[#This Row],[CONTEST_CODE]],_DATA_[CONTEST_CODE],0),MATCH($AB$2,_DATA_[#Headers],0)),"-")</f>
        <v>["""KMSB1"""]</v>
      </c>
      <c r="AC571" t="str">
        <f>CONCATENATE(ВСЕ_КОДЫ[[#This Row],[CONTEST_CODE]],"_",ВСЕ_КОДЫ[[#This Row],[TOURNAMENT_CODE]])</f>
        <v>05_2025-0_18-7_3_t_05_2025-0_18-7_3_1001</v>
      </c>
      <c r="AD571" t="str">
        <f>ВСЕ_КОДЫ[[#This Row],[FULL_NAME]]</f>
        <v>5 клиентов на пакет услуг</v>
      </c>
    </row>
    <row r="572" spans="1:30" hidden="1" x14ac:dyDescent="0.25">
      <c r="A572" s="1" t="s">
        <v>2914</v>
      </c>
      <c r="B572" s="1" t="s">
        <v>2932</v>
      </c>
      <c r="C572" s="1" t="s">
        <v>4016</v>
      </c>
      <c r="D572" s="1" t="s">
        <v>583</v>
      </c>
      <c r="E572" s="1" t="s">
        <v>2950</v>
      </c>
      <c r="F572" s="1" t="s">
        <v>2508</v>
      </c>
      <c r="G572" s="1" t="s">
        <v>27</v>
      </c>
      <c r="H572" s="1" t="s">
        <v>34</v>
      </c>
      <c r="I572" s="1" t="s">
        <v>35</v>
      </c>
      <c r="J572" s="1" t="s">
        <v>2508</v>
      </c>
      <c r="K572" s="1" t="s">
        <v>2509</v>
      </c>
      <c r="L572" s="1" t="s">
        <v>2510</v>
      </c>
      <c r="M572" s="1" t="s">
        <v>34</v>
      </c>
      <c r="N572" s="1" t="s">
        <v>305</v>
      </c>
      <c r="O572" s="1" t="s">
        <v>2950</v>
      </c>
      <c r="Q572">
        <f>IFERROR(COUNTIFS(_report[TOURNAMENT_CODE],ВСЕ_КОДЫ[[#This Row],[TOURNAMENT_CODE]],_report[CONTEST_CODE],ВСЕ_КОДЫ[[#This Row],[CONTEST_CODE]]),"-")</f>
        <v>0</v>
      </c>
      <c r="R572" s="1" t="str">
        <f>IFERROR(INDEX(_SCHEDULE_[],MATCH(ВСЕ_КОДЫ[[#This Row],[CONTEST_CODE]],_SCHEDULE_[CONTEST_CODE],0),MATCH($R$1,_SCHEDULE_[#Headers],0)),"-")</f>
        <v>АКТИВНЫЙ</v>
      </c>
      <c r="S572" s="1" t="str">
        <f>IFERROR(INDEX(_group_[],MATCH(ВСЕ_КОДЫ[[#This Row],[CONTEST_CODE]],_group_[CONTEST_CODE],0),MATCH($S$1,_group_[#Headers],0)),"-")</f>
        <v>BANK</v>
      </c>
      <c r="T572" s="1" t="str">
        <f>IFERROR(INDEX(_INDICATOR_[],MATCH(ВСЕ_КОДЫ[[#This Row],[CONTEST_CODE]],_INDICATOR_[CONTEST_CODE],0),MATCH($T$1,_INDICATOR_[#Headers],0)),"-")</f>
        <v>WAIT</v>
      </c>
      <c r="U572" s="1" t="str">
        <f>IFERROR(INDEX(_reward_link_[],MATCH(ВСЕ_КОДЫ[[#This Row],[CONTEST_CODE]],_reward_link_[CONTEST_CODE],0),MATCH($U$1,_reward_link_[#Headers],0)),"-")</f>
        <v>BANK</v>
      </c>
      <c r="V572" s="1" t="str">
        <f>IFERROR(INDEX(_report[],MATCH(ВСЕ_КОДЫ[[#This Row],[CONTEST_CODE]],_report[CONTEST_CODE],0),MATCH($V$1,_report[#Headers],0)),"-")</f>
        <v>-</v>
      </c>
      <c r="W572" s="1" t="str">
        <f>IFERROR(INDEX(_reward_[],MATCH(ВСЕ_КОДЫ[[#This Row],[REWARD_CODE]],_reward_[REWARD_CODE],0),MATCH($W$1,_reward_[#Headers],0)),"-")</f>
        <v>10 клиентов на пакет услуг</v>
      </c>
      <c r="X572" s="1" t="str">
        <f>IFERROR(INDEX(_group_[],MATCH(CONCATENATE(ВСЕ_КОДЫ[[#This Row],[CONTEST_CODE]],"_",X$2),#REF!,0),MATCH(X$1,_group_[#Headers],0)),"-")</f>
        <v>-</v>
      </c>
      <c r="Y572" s="1" t="str">
        <f>IFERROR(INDEX(_group_[],MATCH(CONCATENATE(ВСЕ_КОДЫ[[#This Row],[CONTEST_CODE]],"_",Y$2),#REF!,0),MATCH(Y$1,_group_[#Headers],0)),"-")</f>
        <v>-</v>
      </c>
      <c r="Z572" s="1" t="str">
        <f>IFERROR(INDEX(_group_[],MATCH(CONCATENATE(ВСЕ_КОДЫ[[#This Row],[CONTEST_CODE]],"_",Z$2),#REF!,0),MATCH(Z$1,_group_[#Headers],0)),"-")</f>
        <v>-</v>
      </c>
      <c r="AA572" s="1" t="str">
        <f>IFERROR(INDEX(_group_[],MATCH(CONCATENATE(ВСЕ_КОДЫ[[#This Row],[CONTEST_CODE]],"_",AA$2),#REF!,0),MATCH(AA$1,_group_[#Headers],0)),"-")</f>
        <v>-</v>
      </c>
      <c r="AB572" s="1" t="str">
        <f>IFERROR(INDEX(_DATA_[],MATCH(ВСЕ_КОДЫ[[#This Row],[CONTEST_CODE]],_DATA_[CONTEST_CODE],0),MATCH($AB$2,_DATA_[#Headers],0)),"-")</f>
        <v>["""KMSB1"""]</v>
      </c>
      <c r="AC572" t="str">
        <f>CONCATENATE(ВСЕ_КОДЫ[[#This Row],[CONTEST_CODE]],"_",ВСЕ_КОДЫ[[#This Row],[TOURNAMENT_CODE]])</f>
        <v>05_2025-0_18-7_4_t_05_2025-0_18-7_4_1001</v>
      </c>
      <c r="AD572" t="str">
        <f>ВСЕ_КОДЫ[[#This Row],[FULL_NAME]]</f>
        <v>10 клиентов на пакет услуг</v>
      </c>
    </row>
    <row r="573" spans="1:30" hidden="1" x14ac:dyDescent="0.25">
      <c r="A573" s="1" t="s">
        <v>2916</v>
      </c>
      <c r="B573" s="1" t="s">
        <v>2934</v>
      </c>
      <c r="C573" s="1" t="s">
        <v>3700</v>
      </c>
      <c r="D573" s="1" t="s">
        <v>583</v>
      </c>
      <c r="E573" s="1" t="s">
        <v>2946</v>
      </c>
      <c r="F573" s="1" t="s">
        <v>2508</v>
      </c>
      <c r="G573" s="1" t="s">
        <v>27</v>
      </c>
      <c r="H573" s="1" t="s">
        <v>34</v>
      </c>
      <c r="I573" s="1" t="s">
        <v>35</v>
      </c>
      <c r="J573" s="1" t="s">
        <v>2508</v>
      </c>
      <c r="K573" s="1" t="s">
        <v>2509</v>
      </c>
      <c r="L573" s="1" t="s">
        <v>2510</v>
      </c>
      <c r="M573" s="1" t="s">
        <v>34</v>
      </c>
      <c r="N573" s="1" t="s">
        <v>305</v>
      </c>
      <c r="O573" s="1" t="s">
        <v>2946</v>
      </c>
      <c r="Q573">
        <f>IFERROR(COUNTIFS(_report[TOURNAMENT_CODE],ВСЕ_КОДЫ[[#This Row],[TOURNAMENT_CODE]],_report[CONTEST_CODE],ВСЕ_КОДЫ[[#This Row],[CONTEST_CODE]]),"-")</f>
        <v>0</v>
      </c>
      <c r="R573" s="1" t="str">
        <f>IFERROR(INDEX(_SCHEDULE_[],MATCH(ВСЕ_КОДЫ[[#This Row],[CONTEST_CODE]],_SCHEDULE_[CONTEST_CODE],0),MATCH($R$1,_SCHEDULE_[#Headers],0)),"-")</f>
        <v>АКТИВНЫЙ</v>
      </c>
      <c r="S573" s="1" t="str">
        <f>IFERROR(INDEX(_group_[],MATCH(ВСЕ_КОДЫ[[#This Row],[CONTEST_CODE]],_group_[CONTEST_CODE],0),MATCH($S$1,_group_[#Headers],0)),"-")</f>
        <v>BANK</v>
      </c>
      <c r="T573" s="1" t="str">
        <f>IFERROR(INDEX(_INDICATOR_[],MATCH(ВСЕ_КОДЫ[[#This Row],[CONTEST_CODE]],_INDICATOR_[CONTEST_CODE],0),MATCH($T$1,_INDICATOR_[#Headers],0)),"-")</f>
        <v>WAIT</v>
      </c>
      <c r="U573" s="1" t="str">
        <f>IFERROR(INDEX(_reward_link_[],MATCH(ВСЕ_КОДЫ[[#This Row],[CONTEST_CODE]],_reward_link_[CONTEST_CODE],0),MATCH($U$1,_reward_link_[#Headers],0)),"-")</f>
        <v>BANK</v>
      </c>
      <c r="V573" s="1" t="str">
        <f>IFERROR(INDEX(_report[],MATCH(ВСЕ_КОДЫ[[#This Row],[CONTEST_CODE]],_report[CONTEST_CODE],0),MATCH($V$1,_report[#Headers],0)),"-")</f>
        <v>-</v>
      </c>
      <c r="W573" s="1" t="str">
        <f>IFERROR(INDEX(_reward_[],MATCH(ВСЕ_КОДЫ[[#This Row],[REWARD_CODE]],_reward_[REWARD_CODE],0),MATCH($W$1,_reward_[#Headers],0)),"-")</f>
        <v>1 клиент на пакет услуг</v>
      </c>
      <c r="X573" s="1" t="str">
        <f>IFERROR(INDEX(_group_[],MATCH(CONCATENATE(ВСЕ_КОДЫ[[#This Row],[CONTEST_CODE]],"_",X$2),#REF!,0),MATCH(X$1,_group_[#Headers],0)),"-")</f>
        <v>-</v>
      </c>
      <c r="Y573" s="1" t="str">
        <f>IFERROR(INDEX(_group_[],MATCH(CONCATENATE(ВСЕ_КОДЫ[[#This Row],[CONTEST_CODE]],"_",Y$2),#REF!,0),MATCH(Y$1,_group_[#Headers],0)),"-")</f>
        <v>-</v>
      </c>
      <c r="Z573" s="1" t="str">
        <f>IFERROR(INDEX(_group_[],MATCH(CONCATENATE(ВСЕ_КОДЫ[[#This Row],[CONTEST_CODE]],"_",Z$2),#REF!,0),MATCH(Z$1,_group_[#Headers],0)),"-")</f>
        <v>-</v>
      </c>
      <c r="AA573" s="1" t="str">
        <f>IFERROR(INDEX(_group_[],MATCH(CONCATENATE(ВСЕ_КОДЫ[[#This Row],[CONTEST_CODE]],"_",AA$2),#REF!,0),MATCH(AA$1,_group_[#Headers],0)),"-")</f>
        <v>-</v>
      </c>
      <c r="AB573" s="1" t="str">
        <f>IFERROR(INDEX(_DATA_[],MATCH(ВСЕ_КОДЫ[[#This Row],[CONTEST_CODE]],_DATA_[CONTEST_CODE],0),MATCH($AB$2,_DATA_[#Headers],0)),"-")</f>
        <v>["""KMKKSB"""]</v>
      </c>
      <c r="AC573" t="str">
        <f>CONCATENATE(ВСЕ_КОДЫ[[#This Row],[CONTEST_CODE]],"_",ВСЕ_КОДЫ[[#This Row],[TOURNAMENT_CODE]])</f>
        <v>01_2025-0_18-7_1_t_01_2025-0_18-7_1_1001</v>
      </c>
      <c r="AD573" t="str">
        <f>ВСЕ_КОДЫ[[#This Row],[FULL_NAME]]</f>
        <v>1 клиент на пакет услуг</v>
      </c>
    </row>
    <row r="574" spans="1:30" hidden="1" x14ac:dyDescent="0.25">
      <c r="A574" s="1" t="s">
        <v>2918</v>
      </c>
      <c r="B574" s="1" t="s">
        <v>2936</v>
      </c>
      <c r="C574" s="1" t="s">
        <v>3702</v>
      </c>
      <c r="D574" s="1" t="s">
        <v>583</v>
      </c>
      <c r="E574" s="1" t="s">
        <v>2948</v>
      </c>
      <c r="F574" s="1" t="s">
        <v>2508</v>
      </c>
      <c r="G574" s="1" t="s">
        <v>27</v>
      </c>
      <c r="H574" s="1" t="s">
        <v>34</v>
      </c>
      <c r="I574" s="1" t="s">
        <v>35</v>
      </c>
      <c r="J574" s="1" t="s">
        <v>2508</v>
      </c>
      <c r="K574" s="1" t="s">
        <v>2509</v>
      </c>
      <c r="L574" s="1" t="s">
        <v>2510</v>
      </c>
      <c r="M574" s="1" t="s">
        <v>34</v>
      </c>
      <c r="N574" s="1" t="s">
        <v>305</v>
      </c>
      <c r="O574" s="1" t="s">
        <v>2948</v>
      </c>
      <c r="Q574">
        <f>IFERROR(COUNTIFS(_report[TOURNAMENT_CODE],ВСЕ_КОДЫ[[#This Row],[TOURNAMENT_CODE]],_report[CONTEST_CODE],ВСЕ_КОДЫ[[#This Row],[CONTEST_CODE]]),"-")</f>
        <v>0</v>
      </c>
      <c r="R574" s="1" t="str">
        <f>IFERROR(INDEX(_SCHEDULE_[],MATCH(ВСЕ_КОДЫ[[#This Row],[CONTEST_CODE]],_SCHEDULE_[CONTEST_CODE],0),MATCH($R$1,_SCHEDULE_[#Headers],0)),"-")</f>
        <v>АКТИВНЫЙ</v>
      </c>
      <c r="S574" s="1" t="str">
        <f>IFERROR(INDEX(_group_[],MATCH(ВСЕ_КОДЫ[[#This Row],[CONTEST_CODE]],_group_[CONTEST_CODE],0),MATCH($S$1,_group_[#Headers],0)),"-")</f>
        <v>BANK</v>
      </c>
      <c r="T574" s="1" t="str">
        <f>IFERROR(INDEX(_INDICATOR_[],MATCH(ВСЕ_КОДЫ[[#This Row],[CONTEST_CODE]],_INDICATOR_[CONTEST_CODE],0),MATCH($T$1,_INDICATOR_[#Headers],0)),"-")</f>
        <v>WAIT</v>
      </c>
      <c r="U574" s="1" t="str">
        <f>IFERROR(INDEX(_reward_link_[],MATCH(ВСЕ_КОДЫ[[#This Row],[CONTEST_CODE]],_reward_link_[CONTEST_CODE],0),MATCH($U$1,_reward_link_[#Headers],0)),"-")</f>
        <v>BANK</v>
      </c>
      <c r="V574" s="1" t="str">
        <f>IFERROR(INDEX(_report[],MATCH(ВСЕ_КОДЫ[[#This Row],[CONTEST_CODE]],_report[CONTEST_CODE],0),MATCH($V$1,_report[#Headers],0)),"-")</f>
        <v>-</v>
      </c>
      <c r="W574" s="1" t="str">
        <f>IFERROR(INDEX(_reward_[],MATCH(ВСЕ_КОДЫ[[#This Row],[REWARD_CODE]],_reward_[REWARD_CODE],0),MATCH($W$1,_reward_[#Headers],0)),"-")</f>
        <v>3 клиента на пакет услуг</v>
      </c>
      <c r="X574" s="1" t="str">
        <f>IFERROR(INDEX(_group_[],MATCH(CONCATENATE(ВСЕ_КОДЫ[[#This Row],[CONTEST_CODE]],"_",X$2),#REF!,0),MATCH(X$1,_group_[#Headers],0)),"-")</f>
        <v>-</v>
      </c>
      <c r="Y574" s="1" t="str">
        <f>IFERROR(INDEX(_group_[],MATCH(CONCATENATE(ВСЕ_КОДЫ[[#This Row],[CONTEST_CODE]],"_",Y$2),#REF!,0),MATCH(Y$1,_group_[#Headers],0)),"-")</f>
        <v>-</v>
      </c>
      <c r="Z574" s="1" t="str">
        <f>IFERROR(INDEX(_group_[],MATCH(CONCATENATE(ВСЕ_КОДЫ[[#This Row],[CONTEST_CODE]],"_",Z$2),#REF!,0),MATCH(Z$1,_group_[#Headers],0)),"-")</f>
        <v>-</v>
      </c>
      <c r="AA574" s="1" t="str">
        <f>IFERROR(INDEX(_group_[],MATCH(CONCATENATE(ВСЕ_КОДЫ[[#This Row],[CONTEST_CODE]],"_",AA$2),#REF!,0),MATCH(AA$1,_group_[#Headers],0)),"-")</f>
        <v>-</v>
      </c>
      <c r="AB574" s="1" t="str">
        <f>IFERROR(INDEX(_DATA_[],MATCH(ВСЕ_КОДЫ[[#This Row],[CONTEST_CODE]],_DATA_[CONTEST_CODE],0),MATCH($AB$2,_DATA_[#Headers],0)),"-")</f>
        <v>["""KMKKSB"""]</v>
      </c>
      <c r="AC574" t="str">
        <f>CONCATENATE(ВСЕ_КОДЫ[[#This Row],[CONTEST_CODE]],"_",ВСЕ_КОДЫ[[#This Row],[TOURNAMENT_CODE]])</f>
        <v>01_2025-0_18-7_2_t_01_2025-0_18-7_2_1001</v>
      </c>
      <c r="AD574" t="str">
        <f>ВСЕ_КОДЫ[[#This Row],[FULL_NAME]]</f>
        <v>3 клиента на пакет услуг</v>
      </c>
    </row>
    <row r="575" spans="1:30" hidden="1" x14ac:dyDescent="0.25">
      <c r="A575" s="1" t="s">
        <v>2920</v>
      </c>
      <c r="B575" s="1" t="s">
        <v>2938</v>
      </c>
      <c r="C575" s="1" t="s">
        <v>3704</v>
      </c>
      <c r="D575" s="1" t="s">
        <v>583</v>
      </c>
      <c r="E575" s="1" t="s">
        <v>2949</v>
      </c>
      <c r="F575" s="1" t="s">
        <v>2508</v>
      </c>
      <c r="G575" s="1" t="s">
        <v>27</v>
      </c>
      <c r="H575" s="1" t="s">
        <v>34</v>
      </c>
      <c r="I575" s="1" t="s">
        <v>35</v>
      </c>
      <c r="J575" s="1" t="s">
        <v>2508</v>
      </c>
      <c r="K575" s="1" t="s">
        <v>2509</v>
      </c>
      <c r="L575" s="1" t="s">
        <v>2510</v>
      </c>
      <c r="M575" s="1" t="s">
        <v>34</v>
      </c>
      <c r="N575" s="1" t="s">
        <v>305</v>
      </c>
      <c r="O575" s="1" t="s">
        <v>2949</v>
      </c>
      <c r="Q575">
        <f>IFERROR(COUNTIFS(_report[TOURNAMENT_CODE],ВСЕ_КОДЫ[[#This Row],[TOURNAMENT_CODE]],_report[CONTEST_CODE],ВСЕ_КОДЫ[[#This Row],[CONTEST_CODE]]),"-")</f>
        <v>0</v>
      </c>
      <c r="R575" s="1" t="str">
        <f>IFERROR(INDEX(_SCHEDULE_[],MATCH(ВСЕ_КОДЫ[[#This Row],[CONTEST_CODE]],_SCHEDULE_[CONTEST_CODE],0),MATCH($R$1,_SCHEDULE_[#Headers],0)),"-")</f>
        <v>АКТИВНЫЙ</v>
      </c>
      <c r="S575" s="1" t="str">
        <f>IFERROR(INDEX(_group_[],MATCH(ВСЕ_КОДЫ[[#This Row],[CONTEST_CODE]],_group_[CONTEST_CODE],0),MATCH($S$1,_group_[#Headers],0)),"-")</f>
        <v>BANK</v>
      </c>
      <c r="T575" s="1" t="str">
        <f>IFERROR(INDEX(_INDICATOR_[],MATCH(ВСЕ_КОДЫ[[#This Row],[CONTEST_CODE]],_INDICATOR_[CONTEST_CODE],0),MATCH($T$1,_INDICATOR_[#Headers],0)),"-")</f>
        <v>WAIT</v>
      </c>
      <c r="U575" s="1" t="str">
        <f>IFERROR(INDEX(_reward_link_[],MATCH(ВСЕ_КОДЫ[[#This Row],[CONTEST_CODE]],_reward_link_[CONTEST_CODE],0),MATCH($U$1,_reward_link_[#Headers],0)),"-")</f>
        <v>BANK</v>
      </c>
      <c r="V575" s="1" t="str">
        <f>IFERROR(INDEX(_report[],MATCH(ВСЕ_КОДЫ[[#This Row],[CONTEST_CODE]],_report[CONTEST_CODE],0),MATCH($V$1,_report[#Headers],0)),"-")</f>
        <v>-</v>
      </c>
      <c r="W575" s="1" t="str">
        <f>IFERROR(INDEX(_reward_[],MATCH(ВСЕ_КОДЫ[[#This Row],[REWARD_CODE]],_reward_[REWARD_CODE],0),MATCH($W$1,_reward_[#Headers],0)),"-")</f>
        <v>5 клиентов на пакет услуг</v>
      </c>
      <c r="X575" s="1" t="str">
        <f>IFERROR(INDEX(_group_[],MATCH(CONCATENATE(ВСЕ_КОДЫ[[#This Row],[CONTEST_CODE]],"_",X$2),#REF!,0),MATCH(X$1,_group_[#Headers],0)),"-")</f>
        <v>-</v>
      </c>
      <c r="Y575" s="1" t="str">
        <f>IFERROR(INDEX(_group_[],MATCH(CONCATENATE(ВСЕ_КОДЫ[[#This Row],[CONTEST_CODE]],"_",Y$2),#REF!,0),MATCH(Y$1,_group_[#Headers],0)),"-")</f>
        <v>-</v>
      </c>
      <c r="Z575" s="1" t="str">
        <f>IFERROR(INDEX(_group_[],MATCH(CONCATENATE(ВСЕ_КОДЫ[[#This Row],[CONTEST_CODE]],"_",Z$2),#REF!,0),MATCH(Z$1,_group_[#Headers],0)),"-")</f>
        <v>-</v>
      </c>
      <c r="AA575" s="1" t="str">
        <f>IFERROR(INDEX(_group_[],MATCH(CONCATENATE(ВСЕ_КОДЫ[[#This Row],[CONTEST_CODE]],"_",AA$2),#REF!,0),MATCH(AA$1,_group_[#Headers],0)),"-")</f>
        <v>-</v>
      </c>
      <c r="AB575" s="1" t="str">
        <f>IFERROR(INDEX(_DATA_[],MATCH(ВСЕ_КОДЫ[[#This Row],[CONTEST_CODE]],_DATA_[CONTEST_CODE],0),MATCH($AB$2,_DATA_[#Headers],0)),"-")</f>
        <v>["""KMKKSB"""]</v>
      </c>
      <c r="AC575" t="str">
        <f>CONCATENATE(ВСЕ_КОДЫ[[#This Row],[CONTEST_CODE]],"_",ВСЕ_КОДЫ[[#This Row],[TOURNAMENT_CODE]])</f>
        <v>01_2025-0_18-7_3_t_01_2025-0_18-7_3_1001</v>
      </c>
      <c r="AD575" t="str">
        <f>ВСЕ_КОДЫ[[#This Row],[FULL_NAME]]</f>
        <v>5 клиентов на пакет услуг</v>
      </c>
    </row>
    <row r="576" spans="1:30" hidden="1" x14ac:dyDescent="0.25">
      <c r="A576" s="1" t="s">
        <v>2922</v>
      </c>
      <c r="B576" s="1" t="s">
        <v>2940</v>
      </c>
      <c r="C576" s="1" t="s">
        <v>3706</v>
      </c>
      <c r="D576" s="1" t="s">
        <v>583</v>
      </c>
      <c r="E576" s="1" t="s">
        <v>2950</v>
      </c>
      <c r="F576" s="1" t="s">
        <v>2508</v>
      </c>
      <c r="G576" s="1" t="s">
        <v>27</v>
      </c>
      <c r="H576" s="1" t="s">
        <v>34</v>
      </c>
      <c r="I576" s="1" t="s">
        <v>35</v>
      </c>
      <c r="J576" s="1" t="s">
        <v>2508</v>
      </c>
      <c r="K576" s="1" t="s">
        <v>2509</v>
      </c>
      <c r="L576" s="1" t="s">
        <v>2510</v>
      </c>
      <c r="M576" s="1" t="s">
        <v>34</v>
      </c>
      <c r="N576" s="1" t="s">
        <v>305</v>
      </c>
      <c r="O576" s="1" t="s">
        <v>2950</v>
      </c>
      <c r="Q576">
        <f>IFERROR(COUNTIFS(_report[TOURNAMENT_CODE],ВСЕ_КОДЫ[[#This Row],[TOURNAMENT_CODE]],_report[CONTEST_CODE],ВСЕ_КОДЫ[[#This Row],[CONTEST_CODE]]),"-")</f>
        <v>0</v>
      </c>
      <c r="R576" s="1" t="str">
        <f>IFERROR(INDEX(_SCHEDULE_[],MATCH(ВСЕ_КОДЫ[[#This Row],[CONTEST_CODE]],_SCHEDULE_[CONTEST_CODE],0),MATCH($R$1,_SCHEDULE_[#Headers],0)),"-")</f>
        <v>АКТИВНЫЙ</v>
      </c>
      <c r="S576" s="1" t="str">
        <f>IFERROR(INDEX(_group_[],MATCH(ВСЕ_КОДЫ[[#This Row],[CONTEST_CODE]],_group_[CONTEST_CODE],0),MATCH($S$1,_group_[#Headers],0)),"-")</f>
        <v>BANK</v>
      </c>
      <c r="T576" s="1" t="str">
        <f>IFERROR(INDEX(_INDICATOR_[],MATCH(ВСЕ_КОДЫ[[#This Row],[CONTEST_CODE]],_INDICATOR_[CONTEST_CODE],0),MATCH($T$1,_INDICATOR_[#Headers],0)),"-")</f>
        <v>WAIT</v>
      </c>
      <c r="U576" s="1" t="str">
        <f>IFERROR(INDEX(_reward_link_[],MATCH(ВСЕ_КОДЫ[[#This Row],[CONTEST_CODE]],_reward_link_[CONTEST_CODE],0),MATCH($U$1,_reward_link_[#Headers],0)),"-")</f>
        <v>BANK</v>
      </c>
      <c r="V576" s="1" t="str">
        <f>IFERROR(INDEX(_report[],MATCH(ВСЕ_КОДЫ[[#This Row],[CONTEST_CODE]],_report[CONTEST_CODE],0),MATCH($V$1,_report[#Headers],0)),"-")</f>
        <v>-</v>
      </c>
      <c r="W576" s="1" t="str">
        <f>IFERROR(INDEX(_reward_[],MATCH(ВСЕ_КОДЫ[[#This Row],[REWARD_CODE]],_reward_[REWARD_CODE],0),MATCH($W$1,_reward_[#Headers],0)),"-")</f>
        <v>10 клиентов на пакет услуг</v>
      </c>
      <c r="X576" s="1" t="str">
        <f>IFERROR(INDEX(_group_[],MATCH(CONCATENATE(ВСЕ_КОДЫ[[#This Row],[CONTEST_CODE]],"_",X$2),#REF!,0),MATCH(X$1,_group_[#Headers],0)),"-")</f>
        <v>-</v>
      </c>
      <c r="Y576" s="1" t="str">
        <f>IFERROR(INDEX(_group_[],MATCH(CONCATENATE(ВСЕ_КОДЫ[[#This Row],[CONTEST_CODE]],"_",Y$2),#REF!,0),MATCH(Y$1,_group_[#Headers],0)),"-")</f>
        <v>-</v>
      </c>
      <c r="Z576" s="1" t="str">
        <f>IFERROR(INDEX(_group_[],MATCH(CONCATENATE(ВСЕ_КОДЫ[[#This Row],[CONTEST_CODE]],"_",Z$2),#REF!,0),MATCH(Z$1,_group_[#Headers],0)),"-")</f>
        <v>-</v>
      </c>
      <c r="AA576" s="1" t="str">
        <f>IFERROR(INDEX(_group_[],MATCH(CONCATENATE(ВСЕ_КОДЫ[[#This Row],[CONTEST_CODE]],"_",AA$2),#REF!,0),MATCH(AA$1,_group_[#Headers],0)),"-")</f>
        <v>-</v>
      </c>
      <c r="AB576" s="1" t="str">
        <f>IFERROR(INDEX(_DATA_[],MATCH(ВСЕ_КОДЫ[[#This Row],[CONTEST_CODE]],_DATA_[CONTEST_CODE],0),MATCH($AB$2,_DATA_[#Headers],0)),"-")</f>
        <v>["""KMKKSB"""]</v>
      </c>
      <c r="AC576" t="str">
        <f>CONCATENATE(ВСЕ_КОДЫ[[#This Row],[CONTEST_CODE]],"_",ВСЕ_КОДЫ[[#This Row],[TOURNAMENT_CODE]])</f>
        <v>01_2025-0_18-7_4_t_01_2025-0_18-7_4_1001</v>
      </c>
      <c r="AD576" t="str">
        <f>ВСЕ_КОДЫ[[#This Row],[FULL_NAME]]</f>
        <v>10 клиентов на пакет услуг</v>
      </c>
    </row>
    <row r="577" spans="1:30" hidden="1" x14ac:dyDescent="0.25">
      <c r="A577" s="1" t="s">
        <v>2902</v>
      </c>
      <c r="B577" s="1" t="s">
        <v>2961</v>
      </c>
      <c r="C577" s="1" t="s">
        <v>2903</v>
      </c>
      <c r="D577" s="1" t="s">
        <v>586</v>
      </c>
      <c r="E577" s="1" t="s">
        <v>4120</v>
      </c>
      <c r="F577" s="1" t="s">
        <v>2508</v>
      </c>
      <c r="G577" s="1" t="s">
        <v>27</v>
      </c>
      <c r="H577" s="1" t="s">
        <v>34</v>
      </c>
      <c r="I577" s="1" t="s">
        <v>50</v>
      </c>
      <c r="J577" s="1" t="s">
        <v>2508</v>
      </c>
      <c r="K577" s="1" t="s">
        <v>2534</v>
      </c>
      <c r="L577" s="1" t="s">
        <v>4025</v>
      </c>
      <c r="M577" s="1" t="s">
        <v>176</v>
      </c>
      <c r="N577" s="1" t="s">
        <v>305</v>
      </c>
      <c r="O577" s="1" t="s">
        <v>4114</v>
      </c>
      <c r="Q577">
        <f>IFERROR(COUNTIFS(_report[TOURNAMENT_CODE],ВСЕ_КОДЫ[[#This Row],[TOURNAMENT_CODE]],_report[CONTEST_CODE],ВСЕ_КОДЫ[[#This Row],[CONTEST_CODE]]),"-")</f>
        <v>0</v>
      </c>
      <c r="R577" s="1" t="str">
        <f>IFERROR(INDEX(_SCHEDULE_[],MATCH(ВСЕ_КОДЫ[[#This Row],[CONTEST_CODE]],_SCHEDULE_[CONTEST_CODE],0),MATCH($R$1,_SCHEDULE_[#Headers],0)),"-")</f>
        <v>ЗАВЕРШЕН</v>
      </c>
      <c r="S577" s="1" t="str">
        <f>IFERROR(INDEX(_group_[],MATCH(ВСЕ_КОДЫ[[#This Row],[CONTEST_CODE]],_group_[CONTEST_CODE],0),MATCH($S$1,_group_[#Headers],0)),"-")</f>
        <v>TB</v>
      </c>
      <c r="T577" s="1" t="str">
        <f>IFERROR(INDEX(_INDICATOR_[],MATCH(ВСЕ_КОДЫ[[#This Row],[CONTEST_CODE]],_INDICATOR_[CONTEST_CODE],0),MATCH($T$1,_INDICATOR_[#Headers],0)),"-")</f>
        <v>WAIT</v>
      </c>
      <c r="U577" s="1" t="str">
        <f>IFERROR(INDEX(_reward_link_[],MATCH(ВСЕ_КОДЫ[[#This Row],[CONTEST_CODE]],_reward_link_[CONTEST_CODE],0),MATCH($U$1,_reward_link_[#Headers],0)),"-")</f>
        <v>TB</v>
      </c>
      <c r="V577" s="1" t="str">
        <f>IFERROR(INDEX(_report[],MATCH(ВСЕ_КОДЫ[[#This Row],[CONTEST_CODE]],_report[CONTEST_CODE],0),MATCH($V$1,_report[#Headers],0)),"-")</f>
        <v>-</v>
      </c>
      <c r="W577" s="1" t="str">
        <f>IFERROR(INDEX(_reward_[],MATCH(ВСЕ_КОДЫ[[#This Row],[REWARD_CODE]],_reward_[REWARD_CODE],0),MATCH($W$1,_reward_[#Headers],0)),"-")</f>
        <v>Золото#Защита Бизнеса 360. Максимизируем комиссию</v>
      </c>
      <c r="X577" s="1" t="str">
        <f>IFERROR(INDEX(_group_[],MATCH(CONCATENATE(ВСЕ_КОДЫ[[#This Row],[CONTEST_CODE]],"_",X$2),#REF!,0),MATCH(X$1,_group_[#Headers],0)),"-")</f>
        <v>-</v>
      </c>
      <c r="Y577" s="1" t="str">
        <f>IFERROR(INDEX(_group_[],MATCH(CONCATENATE(ВСЕ_КОДЫ[[#This Row],[CONTEST_CODE]],"_",Y$2),#REF!,0),MATCH(Y$1,_group_[#Headers],0)),"-")</f>
        <v>-</v>
      </c>
      <c r="Z577" s="1" t="str">
        <f>IFERROR(INDEX(_group_[],MATCH(CONCATENATE(ВСЕ_КОДЫ[[#This Row],[CONTEST_CODE]],"_",Z$2),#REF!,0),MATCH(Z$1,_group_[#Headers],0)),"-")</f>
        <v>-</v>
      </c>
      <c r="AA577" s="1" t="str">
        <f>IFERROR(INDEX(_group_[],MATCH(CONCATENATE(ВСЕ_КОДЫ[[#This Row],[CONTEST_CODE]],"_",AA$2),#REF!,0),MATCH(AA$1,_group_[#Headers],0)),"-")</f>
        <v>-</v>
      </c>
      <c r="AB577" s="1" t="str">
        <f>IFERROR(INDEX(_DATA_[],MATCH(ВСЕ_КОДЫ[[#This Row],[CONTEST_CODE]],_DATA_[CONTEST_CODE],0),MATCH($AB$2,_DATA_[#Headers],0)),"-")</f>
        <v>["""KMKKSB"""]</v>
      </c>
      <c r="AC577" t="str">
        <f>CONCATENATE(ВСЕ_КОДЫ[[#This Row],[CONTEST_CODE]],"_",ВСЕ_КОДЫ[[#This Row],[TOURNAMENT_CODE]])</f>
        <v>01_2025-0_08-2_4_t_01_2025-0_08-2_4_2011</v>
      </c>
      <c r="AD577" t="str">
        <f>ВСЕ_КОДЫ[[#This Row],[FULL_NAME]]</f>
        <v>Защита Бизнеса 360. Максимизируй комиссию</v>
      </c>
    </row>
    <row r="578" spans="1:30" hidden="1" x14ac:dyDescent="0.25">
      <c r="A578" s="1" t="s">
        <v>2902</v>
      </c>
      <c r="B578" s="1" t="s">
        <v>3671</v>
      </c>
      <c r="C578" s="1" t="s">
        <v>2903</v>
      </c>
      <c r="D578" s="1" t="s">
        <v>586</v>
      </c>
      <c r="E578" s="1" t="s">
        <v>4120</v>
      </c>
      <c r="F578" s="1" t="s">
        <v>2508</v>
      </c>
      <c r="G578" s="1" t="s">
        <v>27</v>
      </c>
      <c r="H578" s="1" t="s">
        <v>34</v>
      </c>
      <c r="I578" s="1" t="s">
        <v>50</v>
      </c>
      <c r="J578" s="1" t="s">
        <v>4019</v>
      </c>
      <c r="K578" s="1" t="s">
        <v>2542</v>
      </c>
      <c r="L578" s="1" t="s">
        <v>3545</v>
      </c>
      <c r="M578" s="1" t="s">
        <v>155</v>
      </c>
      <c r="N578" s="1" t="s">
        <v>305</v>
      </c>
      <c r="O578" s="1" t="s">
        <v>4114</v>
      </c>
      <c r="Q578">
        <f>IFERROR(COUNTIFS(_report[TOURNAMENT_CODE],ВСЕ_КОДЫ[[#This Row],[TOURNAMENT_CODE]],_report[CONTEST_CODE],ВСЕ_КОДЫ[[#This Row],[CONTEST_CODE]]),"-")</f>
        <v>0</v>
      </c>
      <c r="R578" s="1" t="str">
        <f>IFERROR(INDEX(_SCHEDULE_[],MATCH(ВСЕ_КОДЫ[[#This Row],[CONTEST_CODE]],_SCHEDULE_[CONTEST_CODE],0),MATCH($R$1,_SCHEDULE_[#Headers],0)),"-")</f>
        <v>ЗАВЕРШЕН</v>
      </c>
      <c r="S578" s="1" t="str">
        <f>IFERROR(INDEX(_group_[],MATCH(ВСЕ_КОДЫ[[#This Row],[CONTEST_CODE]],_group_[CONTEST_CODE],0),MATCH($S$1,_group_[#Headers],0)),"-")</f>
        <v>TB</v>
      </c>
      <c r="T578" s="1" t="str">
        <f>IFERROR(INDEX(_INDICATOR_[],MATCH(ВСЕ_КОДЫ[[#This Row],[CONTEST_CODE]],_INDICATOR_[CONTEST_CODE],0),MATCH($T$1,_INDICATOR_[#Headers],0)),"-")</f>
        <v>WAIT</v>
      </c>
      <c r="U578" s="1" t="str">
        <f>IFERROR(INDEX(_reward_link_[],MATCH(ВСЕ_КОДЫ[[#This Row],[CONTEST_CODE]],_reward_link_[CONTEST_CODE],0),MATCH($U$1,_reward_link_[#Headers],0)),"-")</f>
        <v>TB</v>
      </c>
      <c r="V578" s="1" t="str">
        <f>IFERROR(INDEX(_report[],MATCH(ВСЕ_КОДЫ[[#This Row],[CONTEST_CODE]],_report[CONTEST_CODE],0),MATCH($V$1,_report[#Headers],0)),"-")</f>
        <v>-</v>
      </c>
      <c r="W578" s="1" t="str">
        <f>IFERROR(INDEX(_reward_[],MATCH(ВСЕ_КОДЫ[[#This Row],[REWARD_CODE]],_reward_[REWARD_CODE],0),MATCH($W$1,_reward_[#Headers],0)),"-")</f>
        <v>Золото#Защита Бизнеса 360. Максимизируем комиссию</v>
      </c>
      <c r="X578" s="1" t="str">
        <f>IFERROR(INDEX(_group_[],MATCH(CONCATENATE(ВСЕ_КОДЫ[[#This Row],[CONTEST_CODE]],"_",X$2),#REF!,0),MATCH(X$1,_group_[#Headers],0)),"-")</f>
        <v>-</v>
      </c>
      <c r="Y578" s="1" t="str">
        <f>IFERROR(INDEX(_group_[],MATCH(CONCATENATE(ВСЕ_КОДЫ[[#This Row],[CONTEST_CODE]],"_",Y$2),#REF!,0),MATCH(Y$1,_group_[#Headers],0)),"-")</f>
        <v>-</v>
      </c>
      <c r="Z578" s="1" t="str">
        <f>IFERROR(INDEX(_group_[],MATCH(CONCATENATE(ВСЕ_КОДЫ[[#This Row],[CONTEST_CODE]],"_",Z$2),#REF!,0),MATCH(Z$1,_group_[#Headers],0)),"-")</f>
        <v>-</v>
      </c>
      <c r="AA578" s="1" t="str">
        <f>IFERROR(INDEX(_group_[],MATCH(CONCATENATE(ВСЕ_КОДЫ[[#This Row],[CONTEST_CODE]],"_",AA$2),#REF!,0),MATCH(AA$1,_group_[#Headers],0)),"-")</f>
        <v>-</v>
      </c>
      <c r="AB578" s="1" t="str">
        <f>IFERROR(INDEX(_DATA_[],MATCH(ВСЕ_КОДЫ[[#This Row],[CONTEST_CODE]],_DATA_[CONTEST_CODE],0),MATCH($AB$2,_DATA_[#Headers],0)),"-")</f>
        <v>["""KMKKSB"""]</v>
      </c>
      <c r="AC578" t="str">
        <f>CONCATENATE(ВСЕ_КОДЫ[[#This Row],[CONTEST_CODE]],"_",ВСЕ_КОДЫ[[#This Row],[TOURNAMENT_CODE]])</f>
        <v>01_2025-0_08-2_4_t_01_2025-0_08-2_4_2021</v>
      </c>
      <c r="AD578" t="str">
        <f>ВСЕ_КОДЫ[[#This Row],[FULL_NAME]]</f>
        <v>Защита Бизнеса 360. Максимизируй комиссию</v>
      </c>
    </row>
    <row r="579" spans="1:30" hidden="1" x14ac:dyDescent="0.25">
      <c r="A579" s="1" t="s">
        <v>3087</v>
      </c>
      <c r="B579" s="1" t="s">
        <v>3231</v>
      </c>
      <c r="C579" s="1" t="s">
        <v>3143</v>
      </c>
      <c r="D579" s="1" t="s">
        <v>583</v>
      </c>
      <c r="E579" s="1" t="s">
        <v>3284</v>
      </c>
      <c r="F579" s="1" t="s">
        <v>2508</v>
      </c>
      <c r="G579" s="1" t="s">
        <v>27</v>
      </c>
      <c r="H579" s="1" t="s">
        <v>34</v>
      </c>
      <c r="I579" s="1" t="s">
        <v>29</v>
      </c>
      <c r="J579" s="1" t="s">
        <v>2508</v>
      </c>
      <c r="K579" s="1" t="s">
        <v>3232</v>
      </c>
      <c r="L579" s="1" t="s">
        <v>3233</v>
      </c>
      <c r="M579" s="1" t="s">
        <v>34</v>
      </c>
      <c r="N579" s="1" t="s">
        <v>305</v>
      </c>
      <c r="O579" s="1" t="s">
        <v>3349</v>
      </c>
      <c r="Q579">
        <f>IFERROR(COUNTIFS(_report[TOURNAMENT_CODE],ВСЕ_КОДЫ[[#This Row],[TOURNAMENT_CODE]],_report[CONTEST_CODE],ВСЕ_КОДЫ[[#This Row],[CONTEST_CODE]]),"-")</f>
        <v>0</v>
      </c>
      <c r="R579" s="1" t="str">
        <f>IFERROR(INDEX(_SCHEDULE_[],MATCH(ВСЕ_КОДЫ[[#This Row],[CONTEST_CODE]],_SCHEDULE_[CONTEST_CODE],0),MATCH($R$1,_SCHEDULE_[#Headers],0)),"-")</f>
        <v>АКТИВНЫЙ</v>
      </c>
      <c r="S579" s="1" t="str">
        <f>IFERROR(INDEX(_group_[],MATCH(ВСЕ_КОДЫ[[#This Row],[CONTEST_CODE]],_group_[CONTEST_CODE],0),MATCH($S$1,_group_[#Headers],0)),"-")</f>
        <v>BANK</v>
      </c>
      <c r="T579" s="1" t="str">
        <f>IFERROR(INDEX(_INDICATOR_[],MATCH(ВСЕ_КОДЫ[[#This Row],[CONTEST_CODE]],_INDICATOR_[CONTEST_CODE],0),MATCH($T$1,_INDICATOR_[#Headers],0)),"-")</f>
        <v>WAIT</v>
      </c>
      <c r="U579" s="1" t="str">
        <f>IFERROR(INDEX(_reward_link_[],MATCH(ВСЕ_КОДЫ[[#This Row],[CONTEST_CODE]],_reward_link_[CONTEST_CODE],0),MATCH($U$1,_reward_link_[#Headers],0)),"-")</f>
        <v>BANK</v>
      </c>
      <c r="V579" s="1" t="str">
        <f>IFERROR(INDEX(_report[],MATCH(ВСЕ_КОДЫ[[#This Row],[CONTEST_CODE]],_report[CONTEST_CODE],0),MATCH($V$1,_report[#Headers],0)),"-")</f>
        <v>-</v>
      </c>
      <c r="W579" s="1" t="str">
        <f>IFERROR(INDEX(_reward_[],MATCH(ВСЕ_КОДЫ[[#This Row],[REWARD_CODE]],_reward_[REWARD_CODE],0),MATCH($W$1,_reward_[#Headers],0)),"-")</f>
        <v>1 млн руб. по Process Mining</v>
      </c>
      <c r="X579" s="1" t="str">
        <f>IFERROR(INDEX(_group_[],MATCH(CONCATENATE(ВСЕ_КОДЫ[[#This Row],[CONTEST_CODE]],"_",X$2),#REF!,0),MATCH(X$1,_group_[#Headers],0)),"-")</f>
        <v>-</v>
      </c>
      <c r="Y579" s="1" t="str">
        <f>IFERROR(INDEX(_group_[],MATCH(CONCATENATE(ВСЕ_КОДЫ[[#This Row],[CONTEST_CODE]],"_",Y$2),#REF!,0),MATCH(Y$1,_group_[#Headers],0)),"-")</f>
        <v>-</v>
      </c>
      <c r="Z579" s="1" t="str">
        <f>IFERROR(INDEX(_group_[],MATCH(CONCATENATE(ВСЕ_КОДЫ[[#This Row],[CONTEST_CODE]],"_",Z$2),#REF!,0),MATCH(Z$1,_group_[#Headers],0)),"-")</f>
        <v>-</v>
      </c>
      <c r="AA579" s="1" t="str">
        <f>IFERROR(INDEX(_group_[],MATCH(CONCATENATE(ВСЕ_КОДЫ[[#This Row],[CONTEST_CODE]],"_",AA$2),#REF!,0),MATCH(AA$1,_group_[#Headers],0)),"-")</f>
        <v>-</v>
      </c>
      <c r="AB579" s="1" t="str">
        <f>IFERROR(INDEX(_DATA_[],MATCH(ВСЕ_КОДЫ[[#This Row],[CONTEST_CODE]],_DATA_[CONTEST_CODE],0),MATCH($AB$2,_DATA_[#Headers],0)),"-")</f>
        <v>["""KMKKSB"""]</v>
      </c>
      <c r="AC579" t="str">
        <f>CONCATENATE(ВСЕ_КОДЫ[[#This Row],[CONTEST_CODE]],"_",ВСЕ_КОДЫ[[#This Row],[TOURNAMENT_CODE]])</f>
        <v>01_2025-1_07-5_1_t_01_2025-1_07-5_1_4001</v>
      </c>
      <c r="AD579" t="str">
        <f>ВСЕ_КОДЫ[[#This Row],[FULL_NAME]]</f>
        <v>1 млн руб по Process Mining</v>
      </c>
    </row>
    <row r="580" spans="1:30" hidden="1" x14ac:dyDescent="0.25">
      <c r="A580" s="1" t="s">
        <v>3089</v>
      </c>
      <c r="B580" s="1" t="s">
        <v>3235</v>
      </c>
      <c r="C580" s="1" t="s">
        <v>3145</v>
      </c>
      <c r="D580" s="1" t="s">
        <v>583</v>
      </c>
      <c r="E580" s="1" t="s">
        <v>3286</v>
      </c>
      <c r="F580" s="1" t="s">
        <v>2508</v>
      </c>
      <c r="G580" s="1" t="s">
        <v>27</v>
      </c>
      <c r="H580" s="1" t="s">
        <v>34</v>
      </c>
      <c r="I580" s="1" t="s">
        <v>29</v>
      </c>
      <c r="J580" s="1" t="s">
        <v>2508</v>
      </c>
      <c r="K580" s="1" t="s">
        <v>3232</v>
      </c>
      <c r="L580" s="1" t="s">
        <v>3233</v>
      </c>
      <c r="M580" s="1" t="s">
        <v>34</v>
      </c>
      <c r="N580" s="1" t="s">
        <v>305</v>
      </c>
      <c r="O580" s="1" t="s">
        <v>3352</v>
      </c>
      <c r="Q580">
        <f>IFERROR(COUNTIFS(_report[TOURNAMENT_CODE],ВСЕ_КОДЫ[[#This Row],[TOURNAMENT_CODE]],_report[CONTEST_CODE],ВСЕ_КОДЫ[[#This Row],[CONTEST_CODE]]),"-")</f>
        <v>0</v>
      </c>
      <c r="R580" s="1" t="str">
        <f>IFERROR(INDEX(_SCHEDULE_[],MATCH(ВСЕ_КОДЫ[[#This Row],[CONTEST_CODE]],_SCHEDULE_[CONTEST_CODE],0),MATCH($R$1,_SCHEDULE_[#Headers],0)),"-")</f>
        <v>АКТИВНЫЙ</v>
      </c>
      <c r="S580" s="1" t="str">
        <f>IFERROR(INDEX(_group_[],MATCH(ВСЕ_КОДЫ[[#This Row],[CONTEST_CODE]],_group_[CONTEST_CODE],0),MATCH($S$1,_group_[#Headers],0)),"-")</f>
        <v>BANK</v>
      </c>
      <c r="T580" s="1" t="str">
        <f>IFERROR(INDEX(_INDICATOR_[],MATCH(ВСЕ_КОДЫ[[#This Row],[CONTEST_CODE]],_INDICATOR_[CONTEST_CODE],0),MATCH($T$1,_INDICATOR_[#Headers],0)),"-")</f>
        <v>WAIT</v>
      </c>
      <c r="U580" s="1" t="str">
        <f>IFERROR(INDEX(_reward_link_[],MATCH(ВСЕ_КОДЫ[[#This Row],[CONTEST_CODE]],_reward_link_[CONTEST_CODE],0),MATCH($U$1,_reward_link_[#Headers],0)),"-")</f>
        <v>BANK</v>
      </c>
      <c r="V580" s="1" t="str">
        <f>IFERROR(INDEX(_report[],MATCH(ВСЕ_КОДЫ[[#This Row],[CONTEST_CODE]],_report[CONTEST_CODE],0),MATCH($V$1,_report[#Headers],0)),"-")</f>
        <v>-</v>
      </c>
      <c r="W580" s="1" t="str">
        <f>IFERROR(INDEX(_reward_[],MATCH(ВСЕ_КОДЫ[[#This Row],[REWARD_CODE]],_reward_[REWARD_CODE],0),MATCH($W$1,_reward_[#Headers],0)),"-")</f>
        <v>1 млн руб. по Навигатор BI</v>
      </c>
      <c r="X580" s="1" t="str">
        <f>IFERROR(INDEX(_group_[],MATCH(CONCATENATE(ВСЕ_КОДЫ[[#This Row],[CONTEST_CODE]],"_",X$2),#REF!,0),MATCH(X$1,_group_[#Headers],0)),"-")</f>
        <v>-</v>
      </c>
      <c r="Y580" s="1" t="str">
        <f>IFERROR(INDEX(_group_[],MATCH(CONCATENATE(ВСЕ_КОДЫ[[#This Row],[CONTEST_CODE]],"_",Y$2),#REF!,0),MATCH(Y$1,_group_[#Headers],0)),"-")</f>
        <v>-</v>
      </c>
      <c r="Z580" s="1" t="str">
        <f>IFERROR(INDEX(_group_[],MATCH(CONCATENATE(ВСЕ_КОДЫ[[#This Row],[CONTEST_CODE]],"_",Z$2),#REF!,0),MATCH(Z$1,_group_[#Headers],0)),"-")</f>
        <v>-</v>
      </c>
      <c r="AA580" s="1" t="str">
        <f>IFERROR(INDEX(_group_[],MATCH(CONCATENATE(ВСЕ_КОДЫ[[#This Row],[CONTEST_CODE]],"_",AA$2),#REF!,0),MATCH(AA$1,_group_[#Headers],0)),"-")</f>
        <v>-</v>
      </c>
      <c r="AB580" s="1" t="str">
        <f>IFERROR(INDEX(_DATA_[],MATCH(ВСЕ_КОДЫ[[#This Row],[CONTEST_CODE]],_DATA_[CONTEST_CODE],0),MATCH($AB$2,_DATA_[#Headers],0)),"-")</f>
        <v>["""KMKKSB"""]</v>
      </c>
      <c r="AC580" t="str">
        <f>CONCATENATE(ВСЕ_КОДЫ[[#This Row],[CONTEST_CODE]],"_",ВСЕ_КОДЫ[[#This Row],[TOURNAMENT_CODE]])</f>
        <v>01_2025-1_07-5_2_t_01_2025-1_07-5_2_4001</v>
      </c>
      <c r="AD580" t="str">
        <f>ВСЕ_КОДЫ[[#This Row],[FULL_NAME]]</f>
        <v>1 млн руб по Навигатор BI</v>
      </c>
    </row>
    <row r="581" spans="1:30" hidden="1" x14ac:dyDescent="0.25">
      <c r="A581" s="1" t="s">
        <v>3091</v>
      </c>
      <c r="B581" s="1" t="s">
        <v>3237</v>
      </c>
      <c r="C581" s="1" t="s">
        <v>3147</v>
      </c>
      <c r="D581" s="1" t="s">
        <v>583</v>
      </c>
      <c r="E581" s="1" t="s">
        <v>3287</v>
      </c>
      <c r="F581" s="1" t="s">
        <v>2508</v>
      </c>
      <c r="G581" s="1" t="s">
        <v>27</v>
      </c>
      <c r="H581" s="1" t="s">
        <v>34</v>
      </c>
      <c r="I581" s="1" t="s">
        <v>29</v>
      </c>
      <c r="J581" s="1" t="s">
        <v>2508</v>
      </c>
      <c r="K581" s="1" t="s">
        <v>3232</v>
      </c>
      <c r="L581" s="1" t="s">
        <v>3233</v>
      </c>
      <c r="M581" s="1" t="s">
        <v>34</v>
      </c>
      <c r="N581" s="1" t="s">
        <v>305</v>
      </c>
      <c r="O581" s="1" t="s">
        <v>3287</v>
      </c>
      <c r="Q581">
        <f>IFERROR(COUNTIFS(_report[TOURNAMENT_CODE],ВСЕ_КОДЫ[[#This Row],[TOURNAMENT_CODE]],_report[CONTEST_CODE],ВСЕ_КОДЫ[[#This Row],[CONTEST_CODE]]),"-")</f>
        <v>0</v>
      </c>
      <c r="R581" s="1" t="str">
        <f>IFERROR(INDEX(_SCHEDULE_[],MATCH(ВСЕ_КОДЫ[[#This Row],[CONTEST_CODE]],_SCHEDULE_[CONTEST_CODE],0),MATCH($R$1,_SCHEDULE_[#Headers],0)),"-")</f>
        <v>АКТИВНЫЙ</v>
      </c>
      <c r="S581" s="1" t="str">
        <f>IFERROR(INDEX(_group_[],MATCH(ВСЕ_КОДЫ[[#This Row],[CONTEST_CODE]],_group_[CONTEST_CODE],0),MATCH($S$1,_group_[#Headers],0)),"-")</f>
        <v>BANK</v>
      </c>
      <c r="T581" s="1" t="str">
        <f>IFERROR(INDEX(_INDICATOR_[],MATCH(ВСЕ_КОДЫ[[#This Row],[CONTEST_CODE]],_INDICATOR_[CONTEST_CODE],0),MATCH($T$1,_INDICATOR_[#Headers],0)),"-")</f>
        <v>WAIT</v>
      </c>
      <c r="U581" s="1" t="str">
        <f>IFERROR(INDEX(_reward_link_[],MATCH(ВСЕ_КОДЫ[[#This Row],[CONTEST_CODE]],_reward_link_[CONTEST_CODE],0),MATCH($U$1,_reward_link_[#Headers],0)),"-")</f>
        <v>BANK</v>
      </c>
      <c r="V581" s="1" t="str">
        <f>IFERROR(INDEX(_report[],MATCH(ВСЕ_КОДЫ[[#This Row],[CONTEST_CODE]],_report[CONTEST_CODE],0),MATCH($V$1,_report[#Headers],0)),"-")</f>
        <v>-</v>
      </c>
      <c r="W581" s="1" t="str">
        <f>IFERROR(INDEX(_reward_[],MATCH(ВСЕ_КОДЫ[[#This Row],[REWARD_CODE]],_reward_[REWARD_CODE],0),MATCH($W$1,_reward_[#Headers],0)),"-")</f>
        <v>250 тыс. руб. по СберИндексПро</v>
      </c>
      <c r="X581" s="1" t="str">
        <f>IFERROR(INDEX(_group_[],MATCH(CONCATENATE(ВСЕ_КОДЫ[[#This Row],[CONTEST_CODE]],"_",X$2),#REF!,0),MATCH(X$1,_group_[#Headers],0)),"-")</f>
        <v>-</v>
      </c>
      <c r="Y581" s="1" t="str">
        <f>IFERROR(INDEX(_group_[],MATCH(CONCATENATE(ВСЕ_КОДЫ[[#This Row],[CONTEST_CODE]],"_",Y$2),#REF!,0),MATCH(Y$1,_group_[#Headers],0)),"-")</f>
        <v>-</v>
      </c>
      <c r="Z581" s="1" t="str">
        <f>IFERROR(INDEX(_group_[],MATCH(CONCATENATE(ВСЕ_КОДЫ[[#This Row],[CONTEST_CODE]],"_",Z$2),#REF!,0),MATCH(Z$1,_group_[#Headers],0)),"-")</f>
        <v>-</v>
      </c>
      <c r="AA581" s="1" t="str">
        <f>IFERROR(INDEX(_group_[],MATCH(CONCATENATE(ВСЕ_КОДЫ[[#This Row],[CONTEST_CODE]],"_",AA$2),#REF!,0),MATCH(AA$1,_group_[#Headers],0)),"-")</f>
        <v>-</v>
      </c>
      <c r="AB581" s="1" t="str">
        <f>IFERROR(INDEX(_DATA_[],MATCH(ВСЕ_КОДЫ[[#This Row],[CONTEST_CODE]],_DATA_[CONTEST_CODE],0),MATCH($AB$2,_DATA_[#Headers],0)),"-")</f>
        <v>["""KMKKSB"""]</v>
      </c>
      <c r="AC581" t="str">
        <f>CONCATENATE(ВСЕ_КОДЫ[[#This Row],[CONTEST_CODE]],"_",ВСЕ_КОДЫ[[#This Row],[TOURNAMENT_CODE]])</f>
        <v>01_2025-1_07-5_3_t_01_2025-1_07-5_3_4001</v>
      </c>
      <c r="AD581" t="str">
        <f>ВСЕ_КОДЫ[[#This Row],[FULL_NAME]]</f>
        <v>250 тыс. руб. по СберИндексПро</v>
      </c>
    </row>
    <row r="582" spans="1:30" hidden="1" x14ac:dyDescent="0.25">
      <c r="A582" s="1" t="s">
        <v>3093</v>
      </c>
      <c r="B582" s="1" t="s">
        <v>3239</v>
      </c>
      <c r="C582" s="1" t="s">
        <v>3149</v>
      </c>
      <c r="D582" s="1" t="s">
        <v>583</v>
      </c>
      <c r="E582" s="1" t="s">
        <v>3289</v>
      </c>
      <c r="F582" s="1" t="s">
        <v>2508</v>
      </c>
      <c r="G582" s="1" t="s">
        <v>27</v>
      </c>
      <c r="H582" s="1" t="s">
        <v>34</v>
      </c>
      <c r="I582" s="1" t="s">
        <v>35</v>
      </c>
      <c r="J582" s="1" t="s">
        <v>2508</v>
      </c>
      <c r="K582" s="1" t="s">
        <v>3232</v>
      </c>
      <c r="L582" s="1" t="s">
        <v>3233</v>
      </c>
      <c r="M582" s="1" t="s">
        <v>34</v>
      </c>
      <c r="N582" s="1" t="s">
        <v>305</v>
      </c>
      <c r="O582" s="1" t="s">
        <v>3289</v>
      </c>
      <c r="Q582">
        <f>IFERROR(COUNTIFS(_report[TOURNAMENT_CODE],ВСЕ_КОДЫ[[#This Row],[TOURNAMENT_CODE]],_report[CONTEST_CODE],ВСЕ_КОДЫ[[#This Row],[CONTEST_CODE]]),"-")</f>
        <v>0</v>
      </c>
      <c r="R582" s="1" t="str">
        <f>IFERROR(INDEX(_SCHEDULE_[],MATCH(ВСЕ_КОДЫ[[#This Row],[CONTEST_CODE]],_SCHEDULE_[CONTEST_CODE],0),MATCH($R$1,_SCHEDULE_[#Headers],0)),"-")</f>
        <v>АКТИВНЫЙ</v>
      </c>
      <c r="S582" s="1" t="str">
        <f>IFERROR(INDEX(_group_[],MATCH(ВСЕ_КОДЫ[[#This Row],[CONTEST_CODE]],_group_[CONTEST_CODE],0),MATCH($S$1,_group_[#Headers],0)),"-")</f>
        <v>BANK</v>
      </c>
      <c r="T582" s="1" t="str">
        <f>IFERROR(INDEX(_INDICATOR_[],MATCH(ВСЕ_КОДЫ[[#This Row],[CONTEST_CODE]],_INDICATOR_[CONTEST_CODE],0),MATCH($T$1,_INDICATOR_[#Headers],0)),"-")</f>
        <v>WAIT</v>
      </c>
      <c r="U582" s="1" t="str">
        <f>IFERROR(INDEX(_reward_link_[],MATCH(ВСЕ_КОДЫ[[#This Row],[CONTEST_CODE]],_reward_link_[CONTEST_CODE],0),MATCH($U$1,_reward_link_[#Headers],0)),"-")</f>
        <v>BANK</v>
      </c>
      <c r="V582" s="1" t="str">
        <f>IFERROR(INDEX(_report[],MATCH(ВСЕ_КОДЫ[[#This Row],[CONTEST_CODE]],_report[CONTEST_CODE],0),MATCH($V$1,_report[#Headers],0)),"-")</f>
        <v>-</v>
      </c>
      <c r="W582" s="1" t="str">
        <f>IFERROR(INDEX(_reward_[],MATCH(ВСЕ_КОДЫ[[#This Row],[REWARD_CODE]],_reward_[REWARD_CODE],0),MATCH($W$1,_reward_[#Headers],0)),"-")</f>
        <v>5 млн руб. по Process Mining</v>
      </c>
      <c r="X582" s="1" t="str">
        <f>IFERROR(INDEX(_group_[],MATCH(CONCATENATE(ВСЕ_КОДЫ[[#This Row],[CONTEST_CODE]],"_",X$2),#REF!,0),MATCH(X$1,_group_[#Headers],0)),"-")</f>
        <v>-</v>
      </c>
      <c r="Y582" s="1" t="str">
        <f>IFERROR(INDEX(_group_[],MATCH(CONCATENATE(ВСЕ_КОДЫ[[#This Row],[CONTEST_CODE]],"_",Y$2),#REF!,0),MATCH(Y$1,_group_[#Headers],0)),"-")</f>
        <v>-</v>
      </c>
      <c r="Z582" s="1" t="str">
        <f>IFERROR(INDEX(_group_[],MATCH(CONCATENATE(ВСЕ_КОДЫ[[#This Row],[CONTEST_CODE]],"_",Z$2),#REF!,0),MATCH(Z$1,_group_[#Headers],0)),"-")</f>
        <v>-</v>
      </c>
      <c r="AA582" s="1" t="str">
        <f>IFERROR(INDEX(_group_[],MATCH(CONCATENATE(ВСЕ_КОДЫ[[#This Row],[CONTEST_CODE]],"_",AA$2),#REF!,0),MATCH(AA$1,_group_[#Headers],0)),"-")</f>
        <v>-</v>
      </c>
      <c r="AB582" s="1" t="str">
        <f>IFERROR(INDEX(_DATA_[],MATCH(ВСЕ_КОДЫ[[#This Row],[CONTEST_CODE]],_DATA_[CONTEST_CODE],0),MATCH($AB$2,_DATA_[#Headers],0)),"-")</f>
        <v>["""MNS"""]</v>
      </c>
      <c r="AC582" t="str">
        <f>CONCATENATE(ВСЕ_КОДЫ[[#This Row],[CONTEST_CODE]],"_",ВСЕ_КОДЫ[[#This Row],[TOURNAMENT_CODE]])</f>
        <v>02_2025-1_07-5_1_t_02_2025-1_07-5_1_4001</v>
      </c>
      <c r="AD582" t="str">
        <f>ВСЕ_КОДЫ[[#This Row],[FULL_NAME]]</f>
        <v>5 млн руб. по Process Mining</v>
      </c>
    </row>
    <row r="583" spans="1:30" hidden="1" x14ac:dyDescent="0.25">
      <c r="A583" s="1" t="s">
        <v>3095</v>
      </c>
      <c r="B583" s="1" t="s">
        <v>3241</v>
      </c>
      <c r="C583" s="1" t="s">
        <v>3151</v>
      </c>
      <c r="D583" s="1" t="s">
        <v>583</v>
      </c>
      <c r="E583" s="1" t="s">
        <v>3291</v>
      </c>
      <c r="F583" s="1" t="s">
        <v>2508</v>
      </c>
      <c r="G583" s="1" t="s">
        <v>27</v>
      </c>
      <c r="H583" s="1" t="s">
        <v>34</v>
      </c>
      <c r="I583" s="1" t="s">
        <v>35</v>
      </c>
      <c r="J583" s="1" t="s">
        <v>2508</v>
      </c>
      <c r="K583" s="1" t="s">
        <v>3232</v>
      </c>
      <c r="L583" s="1" t="s">
        <v>3233</v>
      </c>
      <c r="M583" s="1" t="s">
        <v>34</v>
      </c>
      <c r="N583" s="1" t="s">
        <v>305</v>
      </c>
      <c r="O583" s="1" t="s">
        <v>3291</v>
      </c>
      <c r="Q583">
        <f>IFERROR(COUNTIFS(_report[TOURNAMENT_CODE],ВСЕ_КОДЫ[[#This Row],[TOURNAMENT_CODE]],_report[CONTEST_CODE],ВСЕ_КОДЫ[[#This Row],[CONTEST_CODE]]),"-")</f>
        <v>0</v>
      </c>
      <c r="R583" s="1" t="str">
        <f>IFERROR(INDEX(_SCHEDULE_[],MATCH(ВСЕ_КОДЫ[[#This Row],[CONTEST_CODE]],_SCHEDULE_[CONTEST_CODE],0),MATCH($R$1,_SCHEDULE_[#Headers],0)),"-")</f>
        <v>АКТИВНЫЙ</v>
      </c>
      <c r="S583" s="1" t="str">
        <f>IFERROR(INDEX(_group_[],MATCH(ВСЕ_КОДЫ[[#This Row],[CONTEST_CODE]],_group_[CONTEST_CODE],0),MATCH($S$1,_group_[#Headers],0)),"-")</f>
        <v>BANK</v>
      </c>
      <c r="T583" s="1" t="str">
        <f>IFERROR(INDEX(_INDICATOR_[],MATCH(ВСЕ_КОДЫ[[#This Row],[CONTEST_CODE]],_INDICATOR_[CONTEST_CODE],0),MATCH($T$1,_INDICATOR_[#Headers],0)),"-")</f>
        <v>WAIT</v>
      </c>
      <c r="U583" s="1" t="str">
        <f>IFERROR(INDEX(_reward_link_[],MATCH(ВСЕ_КОДЫ[[#This Row],[CONTEST_CODE]],_reward_link_[CONTEST_CODE],0),MATCH($U$1,_reward_link_[#Headers],0)),"-")</f>
        <v>BANK</v>
      </c>
      <c r="V583" s="1" t="str">
        <f>IFERROR(INDEX(_report[],MATCH(ВСЕ_КОДЫ[[#This Row],[CONTEST_CODE]],_report[CONTEST_CODE],0),MATCH($V$1,_report[#Headers],0)),"-")</f>
        <v>-</v>
      </c>
      <c r="W583" s="1" t="str">
        <f>IFERROR(INDEX(_reward_[],MATCH(ВСЕ_КОДЫ[[#This Row],[REWARD_CODE]],_reward_[REWARD_CODE],0),MATCH($W$1,_reward_[#Headers],0)),"-")</f>
        <v>5 млн руб. по Навигатор BI</v>
      </c>
      <c r="X583" s="1" t="str">
        <f>IFERROR(INDEX(_group_[],MATCH(CONCATENATE(ВСЕ_КОДЫ[[#This Row],[CONTEST_CODE]],"_",X$2),#REF!,0),MATCH(X$1,_group_[#Headers],0)),"-")</f>
        <v>-</v>
      </c>
      <c r="Y583" s="1" t="str">
        <f>IFERROR(INDEX(_group_[],MATCH(CONCATENATE(ВСЕ_КОДЫ[[#This Row],[CONTEST_CODE]],"_",Y$2),#REF!,0),MATCH(Y$1,_group_[#Headers],0)),"-")</f>
        <v>-</v>
      </c>
      <c r="Z583" s="1" t="str">
        <f>IFERROR(INDEX(_group_[],MATCH(CONCATENATE(ВСЕ_КОДЫ[[#This Row],[CONTEST_CODE]],"_",Z$2),#REF!,0),MATCH(Z$1,_group_[#Headers],0)),"-")</f>
        <v>-</v>
      </c>
      <c r="AA583" s="1" t="str">
        <f>IFERROR(INDEX(_group_[],MATCH(CONCATENATE(ВСЕ_КОДЫ[[#This Row],[CONTEST_CODE]],"_",AA$2),#REF!,0),MATCH(AA$1,_group_[#Headers],0)),"-")</f>
        <v>-</v>
      </c>
      <c r="AB583" s="1" t="str">
        <f>IFERROR(INDEX(_DATA_[],MATCH(ВСЕ_КОДЫ[[#This Row],[CONTEST_CODE]],_DATA_[CONTEST_CODE],0),MATCH($AB$2,_DATA_[#Headers],0)),"-")</f>
        <v>["""MNS"""]</v>
      </c>
      <c r="AC583" t="str">
        <f>CONCATENATE(ВСЕ_КОДЫ[[#This Row],[CONTEST_CODE]],"_",ВСЕ_КОДЫ[[#This Row],[TOURNAMENT_CODE]])</f>
        <v>02_2025-1_07-5_2_t_02_2025-1_07-5_2_4001</v>
      </c>
      <c r="AD583" t="str">
        <f>ВСЕ_КОДЫ[[#This Row],[FULL_NAME]]</f>
        <v>5 млн руб. по Навигатор BI</v>
      </c>
    </row>
    <row r="584" spans="1:30" hidden="1" x14ac:dyDescent="0.25">
      <c r="A584" s="1" t="s">
        <v>3097</v>
      </c>
      <c r="B584" s="1" t="s">
        <v>3243</v>
      </c>
      <c r="C584" s="1" t="s">
        <v>3153</v>
      </c>
      <c r="D584" s="1" t="s">
        <v>583</v>
      </c>
      <c r="E584" s="1" t="s">
        <v>3292</v>
      </c>
      <c r="F584" s="1" t="s">
        <v>2508</v>
      </c>
      <c r="G584" s="1" t="s">
        <v>27</v>
      </c>
      <c r="H584" s="1" t="s">
        <v>34</v>
      </c>
      <c r="I584" s="1" t="s">
        <v>35</v>
      </c>
      <c r="J584" s="1" t="s">
        <v>2508</v>
      </c>
      <c r="K584" s="1" t="s">
        <v>3232</v>
      </c>
      <c r="L584" s="1" t="s">
        <v>3233</v>
      </c>
      <c r="M584" s="1" t="s">
        <v>34</v>
      </c>
      <c r="N584" s="1" t="s">
        <v>305</v>
      </c>
      <c r="O584" s="1" t="s">
        <v>3292</v>
      </c>
      <c r="Q584">
        <f>IFERROR(COUNTIFS(_report[TOURNAMENT_CODE],ВСЕ_КОДЫ[[#This Row],[TOURNAMENT_CODE]],_report[CONTEST_CODE],ВСЕ_КОДЫ[[#This Row],[CONTEST_CODE]]),"-")</f>
        <v>0</v>
      </c>
      <c r="R584" s="1" t="str">
        <f>IFERROR(INDEX(_SCHEDULE_[],MATCH(ВСЕ_КОДЫ[[#This Row],[CONTEST_CODE]],_SCHEDULE_[CONTEST_CODE],0),MATCH($R$1,_SCHEDULE_[#Headers],0)),"-")</f>
        <v>АКТИВНЫЙ</v>
      </c>
      <c r="S584" s="1" t="str">
        <f>IFERROR(INDEX(_group_[],MATCH(ВСЕ_КОДЫ[[#This Row],[CONTEST_CODE]],_group_[CONTEST_CODE],0),MATCH($S$1,_group_[#Headers],0)),"-")</f>
        <v>BANK</v>
      </c>
      <c r="T584" s="1" t="str">
        <f>IFERROR(INDEX(_INDICATOR_[],MATCH(ВСЕ_КОДЫ[[#This Row],[CONTEST_CODE]],_INDICATOR_[CONTEST_CODE],0),MATCH($T$1,_INDICATOR_[#Headers],0)),"-")</f>
        <v>WAIT</v>
      </c>
      <c r="U584" s="1" t="str">
        <f>IFERROR(INDEX(_reward_link_[],MATCH(ВСЕ_КОДЫ[[#This Row],[CONTEST_CODE]],_reward_link_[CONTEST_CODE],0),MATCH($U$1,_reward_link_[#Headers],0)),"-")</f>
        <v>BANK</v>
      </c>
      <c r="V584" s="1" t="str">
        <f>IFERROR(INDEX(_report[],MATCH(ВСЕ_КОДЫ[[#This Row],[CONTEST_CODE]],_report[CONTEST_CODE],0),MATCH($V$1,_report[#Headers],0)),"-")</f>
        <v>-</v>
      </c>
      <c r="W584" s="1" t="str">
        <f>IFERROR(INDEX(_reward_[],MATCH(ВСЕ_КОДЫ[[#This Row],[REWARD_CODE]],_reward_[REWARD_CODE],0),MATCH($W$1,_reward_[#Headers],0)),"-")</f>
        <v>500 тыс. руб. по СберИндексПро</v>
      </c>
      <c r="X584" s="1" t="str">
        <f>IFERROR(INDEX(_group_[],MATCH(CONCATENATE(ВСЕ_КОДЫ[[#This Row],[CONTEST_CODE]],"_",X$2),#REF!,0),MATCH(X$1,_group_[#Headers],0)),"-")</f>
        <v>-</v>
      </c>
      <c r="Y584" s="1" t="str">
        <f>IFERROR(INDEX(_group_[],MATCH(CONCATENATE(ВСЕ_КОДЫ[[#This Row],[CONTEST_CODE]],"_",Y$2),#REF!,0),MATCH(Y$1,_group_[#Headers],0)),"-")</f>
        <v>-</v>
      </c>
      <c r="Z584" s="1" t="str">
        <f>IFERROR(INDEX(_group_[],MATCH(CONCATENATE(ВСЕ_КОДЫ[[#This Row],[CONTEST_CODE]],"_",Z$2),#REF!,0),MATCH(Z$1,_group_[#Headers],0)),"-")</f>
        <v>-</v>
      </c>
      <c r="AA584" s="1" t="str">
        <f>IFERROR(INDEX(_group_[],MATCH(CONCATENATE(ВСЕ_КОДЫ[[#This Row],[CONTEST_CODE]],"_",AA$2),#REF!,0),MATCH(AA$1,_group_[#Headers],0)),"-")</f>
        <v>-</v>
      </c>
      <c r="AB584" s="1" t="str">
        <f>IFERROR(INDEX(_DATA_[],MATCH(ВСЕ_КОДЫ[[#This Row],[CONTEST_CODE]],_DATA_[CONTEST_CODE],0),MATCH($AB$2,_DATA_[#Headers],0)),"-")</f>
        <v>["""MNS"""]</v>
      </c>
      <c r="AC584" t="str">
        <f>CONCATENATE(ВСЕ_КОДЫ[[#This Row],[CONTEST_CODE]],"_",ВСЕ_КОДЫ[[#This Row],[TOURNAMENT_CODE]])</f>
        <v>02_2025-1_07-5_3_t_02_2025-1_07-5_3_4001</v>
      </c>
      <c r="AD584" t="str">
        <f>ВСЕ_КОДЫ[[#This Row],[FULL_NAME]]</f>
        <v>500 тыс. руб. по СберИндексПро</v>
      </c>
    </row>
    <row r="585" spans="1:30" hidden="1" x14ac:dyDescent="0.25">
      <c r="A585" s="1" t="s">
        <v>3099</v>
      </c>
      <c r="B585" s="1" t="s">
        <v>3245</v>
      </c>
      <c r="C585" s="1" t="s">
        <v>3155</v>
      </c>
      <c r="D585" s="1" t="s">
        <v>583</v>
      </c>
      <c r="E585" s="1" t="s">
        <v>75</v>
      </c>
      <c r="F585" s="1" t="s">
        <v>2508</v>
      </c>
      <c r="G585" s="1" t="s">
        <v>27</v>
      </c>
      <c r="H585" s="1" t="s">
        <v>34</v>
      </c>
      <c r="I585" s="1" t="s">
        <v>50</v>
      </c>
      <c r="J585" s="1" t="s">
        <v>2508</v>
      </c>
      <c r="K585" s="1" t="s">
        <v>2534</v>
      </c>
      <c r="L585" s="1" t="s">
        <v>4152</v>
      </c>
      <c r="M585" s="1" t="s">
        <v>176</v>
      </c>
      <c r="N585" s="1" t="s">
        <v>305</v>
      </c>
      <c r="O585" s="1" t="s">
        <v>3377</v>
      </c>
      <c r="Q585">
        <f>IFERROR(COUNTIFS(_report[TOURNAMENT_CODE],ВСЕ_КОДЫ[[#This Row],[TOURNAMENT_CODE]],_report[CONTEST_CODE],ВСЕ_КОДЫ[[#This Row],[CONTEST_CODE]]),"-")</f>
        <v>0</v>
      </c>
      <c r="R585" s="1" t="str">
        <f>IFERROR(INDEX(_SCHEDULE_[],MATCH(ВСЕ_КОДЫ[[#This Row],[CONTEST_CODE]],_SCHEDULE_[CONTEST_CODE],0),MATCH($R$1,_SCHEDULE_[#Headers],0)),"-")</f>
        <v>ЗАВЕРШЕН</v>
      </c>
      <c r="S585" s="1" t="str">
        <f>IFERROR(INDEX(_group_[],MATCH(ВСЕ_КОДЫ[[#This Row],[CONTEST_CODE]],_group_[CONTEST_CODE],0),MATCH($S$1,_group_[#Headers],0)),"-")</f>
        <v>BANK</v>
      </c>
      <c r="T585" s="1" t="str">
        <f>IFERROR(INDEX(_INDICATOR_[],MATCH(ВСЕ_КОДЫ[[#This Row],[CONTEST_CODE]],_INDICATOR_[CONTEST_CODE],0),MATCH($T$1,_INDICATOR_[#Headers],0)),"-")</f>
        <v>WAIT</v>
      </c>
      <c r="U585" s="1" t="str">
        <f>IFERROR(INDEX(_reward_link_[],MATCH(ВСЕ_КОДЫ[[#This Row],[CONTEST_CODE]],_reward_link_[CONTEST_CODE],0),MATCH($U$1,_reward_link_[#Headers],0)),"-")</f>
        <v>BANK</v>
      </c>
      <c r="V585" s="1" t="str">
        <f>IFERROR(INDEX(_report[],MATCH(ВСЕ_КОДЫ[[#This Row],[CONTEST_CODE]],_report[CONTEST_CODE],0),MATCH($V$1,_report[#Headers],0)),"-")</f>
        <v>-</v>
      </c>
      <c r="W585" s="1" t="str">
        <f>IFERROR(INDEX(_reward_[],MATCH(ВСЕ_КОДЫ[[#This Row],[REWARD_CODE]],_reward_[REWARD_CODE],0),MATCH($W$1,_reward_[#Headers],0)),"-")</f>
        <v>Золото#по СберЗдоровью</v>
      </c>
      <c r="X585" s="1" t="str">
        <f>IFERROR(INDEX(_group_[],MATCH(CONCATENATE(ВСЕ_КОДЫ[[#This Row],[CONTEST_CODE]],"_",X$2),#REF!,0),MATCH(X$1,_group_[#Headers],0)),"-")</f>
        <v>-</v>
      </c>
      <c r="Y585" s="1" t="str">
        <f>IFERROR(INDEX(_group_[],MATCH(CONCATENATE(ВСЕ_КОДЫ[[#This Row],[CONTEST_CODE]],"_",Y$2),#REF!,0),MATCH(Y$1,_group_[#Headers],0)),"-")</f>
        <v>-</v>
      </c>
      <c r="Z585" s="1" t="str">
        <f>IFERROR(INDEX(_group_[],MATCH(CONCATENATE(ВСЕ_КОДЫ[[#This Row],[CONTEST_CODE]],"_",Z$2),#REF!,0),MATCH(Z$1,_group_[#Headers],0)),"-")</f>
        <v>-</v>
      </c>
      <c r="AA585" s="1" t="str">
        <f>IFERROR(INDEX(_group_[],MATCH(CONCATENATE(ВСЕ_КОДЫ[[#This Row],[CONTEST_CODE]],"_",AA$2),#REF!,0),MATCH(AA$1,_group_[#Headers],0)),"-")</f>
        <v>-</v>
      </c>
      <c r="AB585" s="1" t="str">
        <f>IFERROR(INDEX(_DATA_[],MATCH(ВСЕ_КОДЫ[[#This Row],[CONTEST_CODE]],_DATA_[CONTEST_CODE],0),MATCH($AB$2,_DATA_[#Headers],0)),"-")</f>
        <v>["""MNS"""]</v>
      </c>
      <c r="AC585" t="str">
        <f>CONCATENATE(ВСЕ_КОДЫ[[#This Row],[CONTEST_CODE]],"_",ВСЕ_КОДЫ[[#This Row],[TOURNAMENT_CODE]])</f>
        <v>02_2025-1_07-2_1_t_02_2025-1_07-2_1_2011</v>
      </c>
      <c r="AD585" t="str">
        <f>ВСЕ_КОДЫ[[#This Row],[FULL_NAME]]</f>
        <v>Максимальный полученный доход от продажи продуктов СберЗдоровье</v>
      </c>
    </row>
    <row r="586" spans="1:30" hidden="1" x14ac:dyDescent="0.25">
      <c r="A586" s="1" t="s">
        <v>3099</v>
      </c>
      <c r="B586" s="1" t="s">
        <v>3245</v>
      </c>
      <c r="C586" s="1" t="s">
        <v>3157</v>
      </c>
      <c r="D586" s="1" t="s">
        <v>586</v>
      </c>
      <c r="E586" s="1" t="s">
        <v>75</v>
      </c>
      <c r="F586" s="1" t="s">
        <v>2508</v>
      </c>
      <c r="G586" s="1" t="s">
        <v>27</v>
      </c>
      <c r="H586" s="1" t="s">
        <v>34</v>
      </c>
      <c r="I586" s="1" t="s">
        <v>50</v>
      </c>
      <c r="J586" s="1" t="s">
        <v>2508</v>
      </c>
      <c r="K586" s="1" t="s">
        <v>2534</v>
      </c>
      <c r="L586" s="1" t="s">
        <v>4152</v>
      </c>
      <c r="M586" s="1" t="s">
        <v>176</v>
      </c>
      <c r="N586" s="1" t="s">
        <v>305</v>
      </c>
      <c r="O586" s="1" t="s">
        <v>3378</v>
      </c>
      <c r="Q586">
        <f>IFERROR(COUNTIFS(_report[TOURNAMENT_CODE],ВСЕ_КОДЫ[[#This Row],[TOURNAMENT_CODE]],_report[CONTEST_CODE],ВСЕ_КОДЫ[[#This Row],[CONTEST_CODE]]),"-")</f>
        <v>0</v>
      </c>
      <c r="R586" s="1" t="str">
        <f>IFERROR(INDEX(_SCHEDULE_[],MATCH(ВСЕ_КОДЫ[[#This Row],[CONTEST_CODE]],_SCHEDULE_[CONTEST_CODE],0),MATCH($R$1,_SCHEDULE_[#Headers],0)),"-")</f>
        <v>ЗАВЕРШЕН</v>
      </c>
      <c r="S586" s="1" t="str">
        <f>IFERROR(INDEX(_group_[],MATCH(ВСЕ_КОДЫ[[#This Row],[CONTEST_CODE]],_group_[CONTEST_CODE],0),MATCH($S$1,_group_[#Headers],0)),"-")</f>
        <v>BANK</v>
      </c>
      <c r="T586" s="1" t="str">
        <f>IFERROR(INDEX(_INDICATOR_[],MATCH(ВСЕ_КОДЫ[[#This Row],[CONTEST_CODE]],_INDICATOR_[CONTEST_CODE],0),MATCH($T$1,_INDICATOR_[#Headers],0)),"-")</f>
        <v>WAIT</v>
      </c>
      <c r="U586" s="1" t="str">
        <f>IFERROR(INDEX(_reward_link_[],MATCH(ВСЕ_КОДЫ[[#This Row],[CONTEST_CODE]],_reward_link_[CONTEST_CODE],0),MATCH($U$1,_reward_link_[#Headers],0)),"-")</f>
        <v>BANK</v>
      </c>
      <c r="V586" s="1" t="str">
        <f>IFERROR(INDEX(_report[],MATCH(ВСЕ_КОДЫ[[#This Row],[CONTEST_CODE]],_report[CONTEST_CODE],0),MATCH($V$1,_report[#Headers],0)),"-")</f>
        <v>-</v>
      </c>
      <c r="W586" s="1" t="str">
        <f>IFERROR(INDEX(_reward_[],MATCH(ВСЕ_КОДЫ[[#This Row],[REWARD_CODE]],_reward_[REWARD_CODE],0),MATCH($W$1,_reward_[#Headers],0)),"-")</f>
        <v>Серебро#по СберЗдоровью</v>
      </c>
      <c r="X586" s="1" t="str">
        <f>IFERROR(INDEX(_group_[],MATCH(CONCATENATE(ВСЕ_КОДЫ[[#This Row],[CONTEST_CODE]],"_",X$2),#REF!,0),MATCH(X$1,_group_[#Headers],0)),"-")</f>
        <v>-</v>
      </c>
      <c r="Y586" s="1" t="str">
        <f>IFERROR(INDEX(_group_[],MATCH(CONCATENATE(ВСЕ_КОДЫ[[#This Row],[CONTEST_CODE]],"_",Y$2),#REF!,0),MATCH(Y$1,_group_[#Headers],0)),"-")</f>
        <v>-</v>
      </c>
      <c r="Z586" s="1" t="str">
        <f>IFERROR(INDEX(_group_[],MATCH(CONCATENATE(ВСЕ_КОДЫ[[#This Row],[CONTEST_CODE]],"_",Z$2),#REF!,0),MATCH(Z$1,_group_[#Headers],0)),"-")</f>
        <v>-</v>
      </c>
      <c r="AA586" s="1" t="str">
        <f>IFERROR(INDEX(_group_[],MATCH(CONCATENATE(ВСЕ_КОДЫ[[#This Row],[CONTEST_CODE]],"_",AA$2),#REF!,0),MATCH(AA$1,_group_[#Headers],0)),"-")</f>
        <v>-</v>
      </c>
      <c r="AB586" s="1" t="str">
        <f>IFERROR(INDEX(_DATA_[],MATCH(ВСЕ_КОДЫ[[#This Row],[CONTEST_CODE]],_DATA_[CONTEST_CODE],0),MATCH($AB$2,_DATA_[#Headers],0)),"-")</f>
        <v>["""MNS"""]</v>
      </c>
      <c r="AC586" t="str">
        <f>CONCATENATE(ВСЕ_КОДЫ[[#This Row],[CONTEST_CODE]],"_",ВСЕ_КОДЫ[[#This Row],[TOURNAMENT_CODE]])</f>
        <v>02_2025-1_07-2_1_t_02_2025-1_07-2_1_2011</v>
      </c>
      <c r="AD586" t="str">
        <f>ВСЕ_КОДЫ[[#This Row],[FULL_NAME]]</f>
        <v>Максимальный полученный доход от продажи продуктов СберЗдоровье</v>
      </c>
    </row>
    <row r="587" spans="1:30" hidden="1" x14ac:dyDescent="0.25">
      <c r="A587" s="1" t="s">
        <v>3099</v>
      </c>
      <c r="B587" s="1" t="s">
        <v>3245</v>
      </c>
      <c r="C587" s="1" t="s">
        <v>3159</v>
      </c>
      <c r="D587" s="1" t="s">
        <v>586</v>
      </c>
      <c r="E587" s="1" t="s">
        <v>75</v>
      </c>
      <c r="F587" s="1" t="s">
        <v>2508</v>
      </c>
      <c r="G587" s="1" t="s">
        <v>27</v>
      </c>
      <c r="H587" s="1" t="s">
        <v>34</v>
      </c>
      <c r="I587" s="1" t="s">
        <v>50</v>
      </c>
      <c r="J587" s="1" t="s">
        <v>2508</v>
      </c>
      <c r="K587" s="1" t="s">
        <v>2534</v>
      </c>
      <c r="L587" s="1" t="s">
        <v>4152</v>
      </c>
      <c r="M587" s="1" t="s">
        <v>176</v>
      </c>
      <c r="N587" s="1" t="s">
        <v>305</v>
      </c>
      <c r="O587" s="1" t="s">
        <v>3379</v>
      </c>
      <c r="Q587">
        <f>IFERROR(COUNTIFS(_report[TOURNAMENT_CODE],ВСЕ_КОДЫ[[#This Row],[TOURNAMENT_CODE]],_report[CONTEST_CODE],ВСЕ_КОДЫ[[#This Row],[CONTEST_CODE]]),"-")</f>
        <v>0</v>
      </c>
      <c r="R587" s="1" t="str">
        <f>IFERROR(INDEX(_SCHEDULE_[],MATCH(ВСЕ_КОДЫ[[#This Row],[CONTEST_CODE]],_SCHEDULE_[CONTEST_CODE],0),MATCH($R$1,_SCHEDULE_[#Headers],0)),"-")</f>
        <v>ЗАВЕРШЕН</v>
      </c>
      <c r="S587" s="1" t="str">
        <f>IFERROR(INDEX(_group_[],MATCH(ВСЕ_КОДЫ[[#This Row],[CONTEST_CODE]],_group_[CONTEST_CODE],0),MATCH($S$1,_group_[#Headers],0)),"-")</f>
        <v>BANK</v>
      </c>
      <c r="T587" s="1" t="str">
        <f>IFERROR(INDEX(_INDICATOR_[],MATCH(ВСЕ_КОДЫ[[#This Row],[CONTEST_CODE]],_INDICATOR_[CONTEST_CODE],0),MATCH($T$1,_INDICATOR_[#Headers],0)),"-")</f>
        <v>WAIT</v>
      </c>
      <c r="U587" s="1" t="str">
        <f>IFERROR(INDEX(_reward_link_[],MATCH(ВСЕ_КОДЫ[[#This Row],[CONTEST_CODE]],_reward_link_[CONTEST_CODE],0),MATCH($U$1,_reward_link_[#Headers],0)),"-")</f>
        <v>BANK</v>
      </c>
      <c r="V587" s="1" t="str">
        <f>IFERROR(INDEX(_report[],MATCH(ВСЕ_КОДЫ[[#This Row],[CONTEST_CODE]],_report[CONTEST_CODE],0),MATCH($V$1,_report[#Headers],0)),"-")</f>
        <v>-</v>
      </c>
      <c r="W587" s="1" t="str">
        <f>IFERROR(INDEX(_reward_[],MATCH(ВСЕ_КОДЫ[[#This Row],[REWARD_CODE]],_reward_[REWARD_CODE],0),MATCH($W$1,_reward_[#Headers],0)),"-")</f>
        <v>Бронза#по СберЗдоровью</v>
      </c>
      <c r="X587" s="1" t="str">
        <f>IFERROR(INDEX(_group_[],MATCH(CONCATENATE(ВСЕ_КОДЫ[[#This Row],[CONTEST_CODE]],"_",X$2),#REF!,0),MATCH(X$1,_group_[#Headers],0)),"-")</f>
        <v>-</v>
      </c>
      <c r="Y587" s="1" t="str">
        <f>IFERROR(INDEX(_group_[],MATCH(CONCATENATE(ВСЕ_КОДЫ[[#This Row],[CONTEST_CODE]],"_",Y$2),#REF!,0),MATCH(Y$1,_group_[#Headers],0)),"-")</f>
        <v>-</v>
      </c>
      <c r="Z587" s="1" t="str">
        <f>IFERROR(INDEX(_group_[],MATCH(CONCATENATE(ВСЕ_КОДЫ[[#This Row],[CONTEST_CODE]],"_",Z$2),#REF!,0),MATCH(Z$1,_group_[#Headers],0)),"-")</f>
        <v>-</v>
      </c>
      <c r="AA587" s="1" t="str">
        <f>IFERROR(INDEX(_group_[],MATCH(CONCATENATE(ВСЕ_КОДЫ[[#This Row],[CONTEST_CODE]],"_",AA$2),#REF!,0),MATCH(AA$1,_group_[#Headers],0)),"-")</f>
        <v>-</v>
      </c>
      <c r="AB587" s="1" t="str">
        <f>IFERROR(INDEX(_DATA_[],MATCH(ВСЕ_КОДЫ[[#This Row],[CONTEST_CODE]],_DATA_[CONTEST_CODE],0),MATCH($AB$2,_DATA_[#Headers],0)),"-")</f>
        <v>["""MNS"""]</v>
      </c>
      <c r="AC587" t="str">
        <f>CONCATENATE(ВСЕ_КОДЫ[[#This Row],[CONTEST_CODE]],"_",ВСЕ_КОДЫ[[#This Row],[TOURNAMENT_CODE]])</f>
        <v>02_2025-1_07-2_1_t_02_2025-1_07-2_1_2011</v>
      </c>
      <c r="AD587" t="str">
        <f>ВСЕ_КОДЫ[[#This Row],[FULL_NAME]]</f>
        <v>Максимальный полученный доход от продажи продуктов СберЗдоровье</v>
      </c>
    </row>
    <row r="588" spans="1:30" hidden="1" x14ac:dyDescent="0.25">
      <c r="A588" s="1" t="s">
        <v>3099</v>
      </c>
      <c r="B588" s="1" t="s">
        <v>3673</v>
      </c>
      <c r="C588" s="1" t="s">
        <v>3155</v>
      </c>
      <c r="D588" s="1" t="s">
        <v>583</v>
      </c>
      <c r="E588" s="1" t="s">
        <v>75</v>
      </c>
      <c r="F588" s="1" t="s">
        <v>2508</v>
      </c>
      <c r="G588" s="1" t="s">
        <v>27</v>
      </c>
      <c r="H588" s="1" t="s">
        <v>34</v>
      </c>
      <c r="I588" s="1" t="s">
        <v>50</v>
      </c>
      <c r="J588" s="1" t="s">
        <v>4019</v>
      </c>
      <c r="K588" s="1" t="s">
        <v>2542</v>
      </c>
      <c r="L588" s="1" t="s">
        <v>3545</v>
      </c>
      <c r="M588" s="1" t="s">
        <v>34</v>
      </c>
      <c r="N588" s="1" t="s">
        <v>305</v>
      </c>
      <c r="O588" s="1" t="s">
        <v>3377</v>
      </c>
      <c r="Q588">
        <f>IFERROR(COUNTIFS(_report[TOURNAMENT_CODE],ВСЕ_КОДЫ[[#This Row],[TOURNAMENT_CODE]],_report[CONTEST_CODE],ВСЕ_КОДЫ[[#This Row],[CONTEST_CODE]]),"-")</f>
        <v>0</v>
      </c>
      <c r="R588" s="1" t="str">
        <f>IFERROR(INDEX(_SCHEDULE_[],MATCH(ВСЕ_КОДЫ[[#This Row],[CONTEST_CODE]],_SCHEDULE_[CONTEST_CODE],0),MATCH($R$1,_SCHEDULE_[#Headers],0)),"-")</f>
        <v>ЗАВЕРШЕН</v>
      </c>
      <c r="S588" s="1" t="str">
        <f>IFERROR(INDEX(_group_[],MATCH(ВСЕ_КОДЫ[[#This Row],[CONTEST_CODE]],_group_[CONTEST_CODE],0),MATCH($S$1,_group_[#Headers],0)),"-")</f>
        <v>BANK</v>
      </c>
      <c r="T588" s="1" t="str">
        <f>IFERROR(INDEX(_INDICATOR_[],MATCH(ВСЕ_КОДЫ[[#This Row],[CONTEST_CODE]],_INDICATOR_[CONTEST_CODE],0),MATCH($T$1,_INDICATOR_[#Headers],0)),"-")</f>
        <v>WAIT</v>
      </c>
      <c r="U588" s="1" t="str">
        <f>IFERROR(INDEX(_reward_link_[],MATCH(ВСЕ_КОДЫ[[#This Row],[CONTEST_CODE]],_reward_link_[CONTEST_CODE],0),MATCH($U$1,_reward_link_[#Headers],0)),"-")</f>
        <v>BANK</v>
      </c>
      <c r="V588" s="1" t="str">
        <f>IFERROR(INDEX(_report[],MATCH(ВСЕ_КОДЫ[[#This Row],[CONTEST_CODE]],_report[CONTEST_CODE],0),MATCH($V$1,_report[#Headers],0)),"-")</f>
        <v>-</v>
      </c>
      <c r="W588" s="1" t="str">
        <f>IFERROR(INDEX(_reward_[],MATCH(ВСЕ_КОДЫ[[#This Row],[REWARD_CODE]],_reward_[REWARD_CODE],0),MATCH($W$1,_reward_[#Headers],0)),"-")</f>
        <v>Золото#по СберЗдоровью</v>
      </c>
      <c r="X588" s="1" t="str">
        <f>IFERROR(INDEX(_group_[],MATCH(CONCATENATE(ВСЕ_КОДЫ[[#This Row],[CONTEST_CODE]],"_",X$2),#REF!,0),MATCH(X$1,_group_[#Headers],0)),"-")</f>
        <v>-</v>
      </c>
      <c r="Y588" s="1" t="str">
        <f>IFERROR(INDEX(_group_[],MATCH(CONCATENATE(ВСЕ_КОДЫ[[#This Row],[CONTEST_CODE]],"_",Y$2),#REF!,0),MATCH(Y$1,_group_[#Headers],0)),"-")</f>
        <v>-</v>
      </c>
      <c r="Z588" s="1" t="str">
        <f>IFERROR(INDEX(_group_[],MATCH(CONCATENATE(ВСЕ_КОДЫ[[#This Row],[CONTEST_CODE]],"_",Z$2),#REF!,0),MATCH(Z$1,_group_[#Headers],0)),"-")</f>
        <v>-</v>
      </c>
      <c r="AA588" s="1" t="str">
        <f>IFERROR(INDEX(_group_[],MATCH(CONCATENATE(ВСЕ_КОДЫ[[#This Row],[CONTEST_CODE]],"_",AA$2),#REF!,0),MATCH(AA$1,_group_[#Headers],0)),"-")</f>
        <v>-</v>
      </c>
      <c r="AB588" s="1" t="str">
        <f>IFERROR(INDEX(_DATA_[],MATCH(ВСЕ_КОДЫ[[#This Row],[CONTEST_CODE]],_DATA_[CONTEST_CODE],0),MATCH($AB$2,_DATA_[#Headers],0)),"-")</f>
        <v>["""MNS"""]</v>
      </c>
      <c r="AC588" t="str">
        <f>CONCATENATE(ВСЕ_КОДЫ[[#This Row],[CONTEST_CODE]],"_",ВСЕ_КОДЫ[[#This Row],[TOURNAMENT_CODE]])</f>
        <v>02_2025-1_07-2_1_t_02_2025-1_07-2_1_2021</v>
      </c>
      <c r="AD588" t="str">
        <f>ВСЕ_КОДЫ[[#This Row],[FULL_NAME]]</f>
        <v>Максимальный полученный доход от продажи продуктов СберЗдоровье</v>
      </c>
    </row>
    <row r="589" spans="1:30" hidden="1" x14ac:dyDescent="0.25">
      <c r="A589" s="1" t="s">
        <v>3099</v>
      </c>
      <c r="B589" s="1" t="s">
        <v>3673</v>
      </c>
      <c r="C589" s="1" t="s">
        <v>3157</v>
      </c>
      <c r="D589" s="1" t="s">
        <v>586</v>
      </c>
      <c r="E589" s="1" t="s">
        <v>75</v>
      </c>
      <c r="F589" s="1" t="s">
        <v>2508</v>
      </c>
      <c r="G589" s="1" t="s">
        <v>27</v>
      </c>
      <c r="H589" s="1" t="s">
        <v>34</v>
      </c>
      <c r="I589" s="1" t="s">
        <v>50</v>
      </c>
      <c r="J589" s="1" t="s">
        <v>4019</v>
      </c>
      <c r="K589" s="1" t="s">
        <v>2542</v>
      </c>
      <c r="L589" s="1" t="s">
        <v>3545</v>
      </c>
      <c r="M589" s="1" t="s">
        <v>34</v>
      </c>
      <c r="N589" s="1" t="s">
        <v>305</v>
      </c>
      <c r="O589" s="1" t="s">
        <v>3378</v>
      </c>
      <c r="Q589">
        <f>IFERROR(COUNTIFS(_report[TOURNAMENT_CODE],ВСЕ_КОДЫ[[#This Row],[TOURNAMENT_CODE]],_report[CONTEST_CODE],ВСЕ_КОДЫ[[#This Row],[CONTEST_CODE]]),"-")</f>
        <v>0</v>
      </c>
      <c r="R589" s="1" t="str">
        <f>IFERROR(INDEX(_SCHEDULE_[],MATCH(ВСЕ_КОДЫ[[#This Row],[CONTEST_CODE]],_SCHEDULE_[CONTEST_CODE],0),MATCH($R$1,_SCHEDULE_[#Headers],0)),"-")</f>
        <v>ЗАВЕРШЕН</v>
      </c>
      <c r="S589" s="1" t="str">
        <f>IFERROR(INDEX(_group_[],MATCH(ВСЕ_КОДЫ[[#This Row],[CONTEST_CODE]],_group_[CONTEST_CODE],0),MATCH($S$1,_group_[#Headers],0)),"-")</f>
        <v>BANK</v>
      </c>
      <c r="T589" s="1" t="str">
        <f>IFERROR(INDEX(_INDICATOR_[],MATCH(ВСЕ_КОДЫ[[#This Row],[CONTEST_CODE]],_INDICATOR_[CONTEST_CODE],0),MATCH($T$1,_INDICATOR_[#Headers],0)),"-")</f>
        <v>WAIT</v>
      </c>
      <c r="U589" s="1" t="str">
        <f>IFERROR(INDEX(_reward_link_[],MATCH(ВСЕ_КОДЫ[[#This Row],[CONTEST_CODE]],_reward_link_[CONTEST_CODE],0),MATCH($U$1,_reward_link_[#Headers],0)),"-")</f>
        <v>BANK</v>
      </c>
      <c r="V589" s="1" t="str">
        <f>IFERROR(INDEX(_report[],MATCH(ВСЕ_КОДЫ[[#This Row],[CONTEST_CODE]],_report[CONTEST_CODE],0),MATCH($V$1,_report[#Headers],0)),"-")</f>
        <v>-</v>
      </c>
      <c r="W589" s="1" t="str">
        <f>IFERROR(INDEX(_reward_[],MATCH(ВСЕ_КОДЫ[[#This Row],[REWARD_CODE]],_reward_[REWARD_CODE],0),MATCH($W$1,_reward_[#Headers],0)),"-")</f>
        <v>Серебро#по СберЗдоровью</v>
      </c>
      <c r="X589" s="1" t="str">
        <f>IFERROR(INDEX(_group_[],MATCH(CONCATENATE(ВСЕ_КОДЫ[[#This Row],[CONTEST_CODE]],"_",X$2),#REF!,0),MATCH(X$1,_group_[#Headers],0)),"-")</f>
        <v>-</v>
      </c>
      <c r="Y589" s="1" t="str">
        <f>IFERROR(INDEX(_group_[],MATCH(CONCATENATE(ВСЕ_КОДЫ[[#This Row],[CONTEST_CODE]],"_",Y$2),#REF!,0),MATCH(Y$1,_group_[#Headers],0)),"-")</f>
        <v>-</v>
      </c>
      <c r="Z589" s="1" t="str">
        <f>IFERROR(INDEX(_group_[],MATCH(CONCATENATE(ВСЕ_КОДЫ[[#This Row],[CONTEST_CODE]],"_",Z$2),#REF!,0),MATCH(Z$1,_group_[#Headers],0)),"-")</f>
        <v>-</v>
      </c>
      <c r="AA589" s="1" t="str">
        <f>IFERROR(INDEX(_group_[],MATCH(CONCATENATE(ВСЕ_КОДЫ[[#This Row],[CONTEST_CODE]],"_",AA$2),#REF!,0),MATCH(AA$1,_group_[#Headers],0)),"-")</f>
        <v>-</v>
      </c>
      <c r="AB589" s="1" t="str">
        <f>IFERROR(INDEX(_DATA_[],MATCH(ВСЕ_КОДЫ[[#This Row],[CONTEST_CODE]],_DATA_[CONTEST_CODE],0),MATCH($AB$2,_DATA_[#Headers],0)),"-")</f>
        <v>["""MNS"""]</v>
      </c>
      <c r="AC589" t="str">
        <f>CONCATENATE(ВСЕ_КОДЫ[[#This Row],[CONTEST_CODE]],"_",ВСЕ_КОДЫ[[#This Row],[TOURNAMENT_CODE]])</f>
        <v>02_2025-1_07-2_1_t_02_2025-1_07-2_1_2021</v>
      </c>
      <c r="AD589" t="str">
        <f>ВСЕ_КОДЫ[[#This Row],[FULL_NAME]]</f>
        <v>Максимальный полученный доход от продажи продуктов СберЗдоровье</v>
      </c>
    </row>
    <row r="590" spans="1:30" hidden="1" x14ac:dyDescent="0.25">
      <c r="A590" s="1" t="s">
        <v>3099</v>
      </c>
      <c r="B590" s="1" t="s">
        <v>3673</v>
      </c>
      <c r="C590" s="1" t="s">
        <v>3159</v>
      </c>
      <c r="D590" s="1" t="s">
        <v>586</v>
      </c>
      <c r="E590" s="1" t="s">
        <v>75</v>
      </c>
      <c r="F590" s="1" t="s">
        <v>2508</v>
      </c>
      <c r="G590" s="1" t="s">
        <v>27</v>
      </c>
      <c r="H590" s="1" t="s">
        <v>34</v>
      </c>
      <c r="I590" s="1" t="s">
        <v>50</v>
      </c>
      <c r="J590" s="1" t="s">
        <v>4019</v>
      </c>
      <c r="K590" s="1" t="s">
        <v>2542</v>
      </c>
      <c r="L590" s="1" t="s">
        <v>3545</v>
      </c>
      <c r="M590" s="1" t="s">
        <v>34</v>
      </c>
      <c r="N590" s="1" t="s">
        <v>305</v>
      </c>
      <c r="O590" s="1" t="s">
        <v>3379</v>
      </c>
      <c r="Q590">
        <f>IFERROR(COUNTIFS(_report[TOURNAMENT_CODE],ВСЕ_КОДЫ[[#This Row],[TOURNAMENT_CODE]],_report[CONTEST_CODE],ВСЕ_КОДЫ[[#This Row],[CONTEST_CODE]]),"-")</f>
        <v>0</v>
      </c>
      <c r="R590" s="1" t="str">
        <f>IFERROR(INDEX(_SCHEDULE_[],MATCH(ВСЕ_КОДЫ[[#This Row],[CONTEST_CODE]],_SCHEDULE_[CONTEST_CODE],0),MATCH($R$1,_SCHEDULE_[#Headers],0)),"-")</f>
        <v>ЗАВЕРШЕН</v>
      </c>
      <c r="S590" s="1" t="str">
        <f>IFERROR(INDEX(_group_[],MATCH(ВСЕ_КОДЫ[[#This Row],[CONTEST_CODE]],_group_[CONTEST_CODE],0),MATCH($S$1,_group_[#Headers],0)),"-")</f>
        <v>BANK</v>
      </c>
      <c r="T590" s="1" t="str">
        <f>IFERROR(INDEX(_INDICATOR_[],MATCH(ВСЕ_КОДЫ[[#This Row],[CONTEST_CODE]],_INDICATOR_[CONTEST_CODE],0),MATCH($T$1,_INDICATOR_[#Headers],0)),"-")</f>
        <v>WAIT</v>
      </c>
      <c r="U590" s="1" t="str">
        <f>IFERROR(INDEX(_reward_link_[],MATCH(ВСЕ_КОДЫ[[#This Row],[CONTEST_CODE]],_reward_link_[CONTEST_CODE],0),MATCH($U$1,_reward_link_[#Headers],0)),"-")</f>
        <v>BANK</v>
      </c>
      <c r="V590" s="1" t="str">
        <f>IFERROR(INDEX(_report[],MATCH(ВСЕ_КОДЫ[[#This Row],[CONTEST_CODE]],_report[CONTEST_CODE],0),MATCH($V$1,_report[#Headers],0)),"-")</f>
        <v>-</v>
      </c>
      <c r="W590" s="1" t="str">
        <f>IFERROR(INDEX(_reward_[],MATCH(ВСЕ_КОДЫ[[#This Row],[REWARD_CODE]],_reward_[REWARD_CODE],0),MATCH($W$1,_reward_[#Headers],0)),"-")</f>
        <v>Бронза#по СберЗдоровью</v>
      </c>
      <c r="X590" s="1" t="str">
        <f>IFERROR(INDEX(_group_[],MATCH(CONCATENATE(ВСЕ_КОДЫ[[#This Row],[CONTEST_CODE]],"_",X$2),#REF!,0),MATCH(X$1,_group_[#Headers],0)),"-")</f>
        <v>-</v>
      </c>
      <c r="Y590" s="1" t="str">
        <f>IFERROR(INDEX(_group_[],MATCH(CONCATENATE(ВСЕ_КОДЫ[[#This Row],[CONTEST_CODE]],"_",Y$2),#REF!,0),MATCH(Y$1,_group_[#Headers],0)),"-")</f>
        <v>-</v>
      </c>
      <c r="Z590" s="1" t="str">
        <f>IFERROR(INDEX(_group_[],MATCH(CONCATENATE(ВСЕ_КОДЫ[[#This Row],[CONTEST_CODE]],"_",Z$2),#REF!,0),MATCH(Z$1,_group_[#Headers],0)),"-")</f>
        <v>-</v>
      </c>
      <c r="AA590" s="1" t="str">
        <f>IFERROR(INDEX(_group_[],MATCH(CONCATENATE(ВСЕ_КОДЫ[[#This Row],[CONTEST_CODE]],"_",AA$2),#REF!,0),MATCH(AA$1,_group_[#Headers],0)),"-")</f>
        <v>-</v>
      </c>
      <c r="AB590" s="1" t="str">
        <f>IFERROR(INDEX(_DATA_[],MATCH(ВСЕ_КОДЫ[[#This Row],[CONTEST_CODE]],_DATA_[CONTEST_CODE],0),MATCH($AB$2,_DATA_[#Headers],0)),"-")</f>
        <v>["""MNS"""]</v>
      </c>
      <c r="AC590" t="str">
        <f>CONCATENATE(ВСЕ_КОДЫ[[#This Row],[CONTEST_CODE]],"_",ВСЕ_КОДЫ[[#This Row],[TOURNAMENT_CODE]])</f>
        <v>02_2025-1_07-2_1_t_02_2025-1_07-2_1_2021</v>
      </c>
      <c r="AD590" t="str">
        <f>ВСЕ_КОДЫ[[#This Row],[FULL_NAME]]</f>
        <v>Максимальный полученный доход от продажи продуктов СберЗдоровье</v>
      </c>
    </row>
    <row r="591" spans="1:30" hidden="1" x14ac:dyDescent="0.25">
      <c r="A591" s="1" t="s">
        <v>3102</v>
      </c>
      <c r="B591" s="1" t="s">
        <v>3247</v>
      </c>
      <c r="C591" s="1" t="s">
        <v>3161</v>
      </c>
      <c r="D591" s="1" t="s">
        <v>583</v>
      </c>
      <c r="E591" s="1" t="s">
        <v>1419</v>
      </c>
      <c r="F591" s="1" t="s">
        <v>2508</v>
      </c>
      <c r="G591" s="1" t="s">
        <v>27</v>
      </c>
      <c r="H591" s="1" t="s">
        <v>34</v>
      </c>
      <c r="I591" s="1" t="s">
        <v>50</v>
      </c>
      <c r="J591" s="1" t="s">
        <v>2508</v>
      </c>
      <c r="K591" s="1" t="s">
        <v>2534</v>
      </c>
      <c r="L591" s="1" t="s">
        <v>4152</v>
      </c>
      <c r="M591" s="1" t="s">
        <v>176</v>
      </c>
      <c r="N591" s="1" t="s">
        <v>305</v>
      </c>
      <c r="O591" s="1" t="s">
        <v>3372</v>
      </c>
      <c r="Q591">
        <f>IFERROR(COUNTIFS(_report[TOURNAMENT_CODE],ВСЕ_КОДЫ[[#This Row],[TOURNAMENT_CODE]],_report[CONTEST_CODE],ВСЕ_КОДЫ[[#This Row],[CONTEST_CODE]]),"-")</f>
        <v>0</v>
      </c>
      <c r="R591" s="1" t="str">
        <f>IFERROR(INDEX(_SCHEDULE_[],MATCH(ВСЕ_КОДЫ[[#This Row],[CONTEST_CODE]],_SCHEDULE_[CONTEST_CODE],0),MATCH($R$1,_SCHEDULE_[#Headers],0)),"-")</f>
        <v>ЗАВЕРШЕН</v>
      </c>
      <c r="S591" s="1" t="str">
        <f>IFERROR(INDEX(_group_[],MATCH(ВСЕ_КОДЫ[[#This Row],[CONTEST_CODE]],_group_[CONTEST_CODE],0),MATCH($S$1,_group_[#Headers],0)),"-")</f>
        <v>BANK</v>
      </c>
      <c r="T591" s="1" t="str">
        <f>IFERROR(INDEX(_INDICATOR_[],MATCH(ВСЕ_КОДЫ[[#This Row],[CONTEST_CODE]],_INDICATOR_[CONTEST_CODE],0),MATCH($T$1,_INDICATOR_[#Headers],0)),"-")</f>
        <v>WAIT</v>
      </c>
      <c r="U591" s="1" t="str">
        <f>IFERROR(INDEX(_reward_link_[],MATCH(ВСЕ_КОДЫ[[#This Row],[CONTEST_CODE]],_reward_link_[CONTEST_CODE],0),MATCH($U$1,_reward_link_[#Headers],0)),"-")</f>
        <v>BANK</v>
      </c>
      <c r="V591" s="1" t="str">
        <f>IFERROR(INDEX(_report[],MATCH(ВСЕ_КОДЫ[[#This Row],[CONTEST_CODE]],_report[CONTEST_CODE],0),MATCH($V$1,_report[#Headers],0)),"-")</f>
        <v>-</v>
      </c>
      <c r="W591" s="1" t="str">
        <f>IFERROR(INDEX(_reward_[],MATCH(ВСЕ_КОДЫ[[#This Row],[REWARD_CODE]],_reward_[REWARD_CODE],0),MATCH($W$1,_reward_[#Headers],0)),"-")</f>
        <v>Золото#по числу сделок экосистемы</v>
      </c>
      <c r="X591" s="1" t="str">
        <f>IFERROR(INDEX(_group_[],MATCH(CONCATENATE(ВСЕ_КОДЫ[[#This Row],[CONTEST_CODE]],"_",X$2),#REF!,0),MATCH(X$1,_group_[#Headers],0)),"-")</f>
        <v>-</v>
      </c>
      <c r="Y591" s="1" t="str">
        <f>IFERROR(INDEX(_group_[],MATCH(CONCATENATE(ВСЕ_КОДЫ[[#This Row],[CONTEST_CODE]],"_",Y$2),#REF!,0),MATCH(Y$1,_group_[#Headers],0)),"-")</f>
        <v>-</v>
      </c>
      <c r="Z591" s="1" t="str">
        <f>IFERROR(INDEX(_group_[],MATCH(CONCATENATE(ВСЕ_КОДЫ[[#This Row],[CONTEST_CODE]],"_",Z$2),#REF!,0),MATCH(Z$1,_group_[#Headers],0)),"-")</f>
        <v>-</v>
      </c>
      <c r="AA591" s="1" t="str">
        <f>IFERROR(INDEX(_group_[],MATCH(CONCATENATE(ВСЕ_КОДЫ[[#This Row],[CONTEST_CODE]],"_",AA$2),#REF!,0),MATCH(AA$1,_group_[#Headers],0)),"-")</f>
        <v>-</v>
      </c>
      <c r="AB591" s="1" t="str">
        <f>IFERROR(INDEX(_DATA_[],MATCH(ВСЕ_КОДЫ[[#This Row],[CONTEST_CODE]],_DATA_[CONTEST_CODE],0),MATCH($AB$2,_DATA_[#Headers],0)),"-")</f>
        <v>["""MNS"""]</v>
      </c>
      <c r="AC591" t="str">
        <f>CONCATENATE(ВСЕ_КОДЫ[[#This Row],[CONTEST_CODE]],"_",ВСЕ_КОДЫ[[#This Row],[TOURNAMENT_CODE]])</f>
        <v>02_2025-1_07-1_1_t_02_2025-1_07-1_1_2011</v>
      </c>
      <c r="AD591" t="str">
        <f>ВСЕ_КОДЫ[[#This Row],[FULL_NAME]]</f>
        <v>Экосистема. Лидер по числу сделок</v>
      </c>
    </row>
    <row r="592" spans="1:30" hidden="1" x14ac:dyDescent="0.25">
      <c r="A592" s="1" t="s">
        <v>3102</v>
      </c>
      <c r="B592" s="1" t="s">
        <v>3247</v>
      </c>
      <c r="C592" s="1" t="s">
        <v>3163</v>
      </c>
      <c r="D592" s="1" t="s">
        <v>586</v>
      </c>
      <c r="E592" s="1" t="s">
        <v>1419</v>
      </c>
      <c r="F592" s="1" t="s">
        <v>2508</v>
      </c>
      <c r="G592" s="1" t="s">
        <v>27</v>
      </c>
      <c r="H592" s="1" t="s">
        <v>34</v>
      </c>
      <c r="I592" s="1" t="s">
        <v>50</v>
      </c>
      <c r="J592" s="1" t="s">
        <v>2508</v>
      </c>
      <c r="K592" s="1" t="s">
        <v>2534</v>
      </c>
      <c r="L592" s="1" t="s">
        <v>4152</v>
      </c>
      <c r="M592" s="1" t="s">
        <v>176</v>
      </c>
      <c r="N592" s="1" t="s">
        <v>305</v>
      </c>
      <c r="O592" s="1" t="s">
        <v>3373</v>
      </c>
      <c r="Q592">
        <f>IFERROR(COUNTIFS(_report[TOURNAMENT_CODE],ВСЕ_КОДЫ[[#This Row],[TOURNAMENT_CODE]],_report[CONTEST_CODE],ВСЕ_КОДЫ[[#This Row],[CONTEST_CODE]]),"-")</f>
        <v>0</v>
      </c>
      <c r="R592" s="1" t="str">
        <f>IFERROR(INDEX(_SCHEDULE_[],MATCH(ВСЕ_КОДЫ[[#This Row],[CONTEST_CODE]],_SCHEDULE_[CONTEST_CODE],0),MATCH($R$1,_SCHEDULE_[#Headers],0)),"-")</f>
        <v>ЗАВЕРШЕН</v>
      </c>
      <c r="S592" s="1" t="str">
        <f>IFERROR(INDEX(_group_[],MATCH(ВСЕ_КОДЫ[[#This Row],[CONTEST_CODE]],_group_[CONTEST_CODE],0),MATCH($S$1,_group_[#Headers],0)),"-")</f>
        <v>BANK</v>
      </c>
      <c r="T592" s="1" t="str">
        <f>IFERROR(INDEX(_INDICATOR_[],MATCH(ВСЕ_КОДЫ[[#This Row],[CONTEST_CODE]],_INDICATOR_[CONTEST_CODE],0),MATCH($T$1,_INDICATOR_[#Headers],0)),"-")</f>
        <v>WAIT</v>
      </c>
      <c r="U592" s="1" t="str">
        <f>IFERROR(INDEX(_reward_link_[],MATCH(ВСЕ_КОДЫ[[#This Row],[CONTEST_CODE]],_reward_link_[CONTEST_CODE],0),MATCH($U$1,_reward_link_[#Headers],0)),"-")</f>
        <v>BANK</v>
      </c>
      <c r="V592" s="1" t="str">
        <f>IFERROR(INDEX(_report[],MATCH(ВСЕ_КОДЫ[[#This Row],[CONTEST_CODE]],_report[CONTEST_CODE],0),MATCH($V$1,_report[#Headers],0)),"-")</f>
        <v>-</v>
      </c>
      <c r="W592" s="1" t="str">
        <f>IFERROR(INDEX(_reward_[],MATCH(ВСЕ_КОДЫ[[#This Row],[REWARD_CODE]],_reward_[REWARD_CODE],0),MATCH($W$1,_reward_[#Headers],0)),"-")</f>
        <v>Серебро#по числу сделок экосистемы</v>
      </c>
      <c r="X592" s="1" t="str">
        <f>IFERROR(INDEX(_group_[],MATCH(CONCATENATE(ВСЕ_КОДЫ[[#This Row],[CONTEST_CODE]],"_",X$2),#REF!,0),MATCH(X$1,_group_[#Headers],0)),"-")</f>
        <v>-</v>
      </c>
      <c r="Y592" s="1" t="str">
        <f>IFERROR(INDEX(_group_[],MATCH(CONCATENATE(ВСЕ_КОДЫ[[#This Row],[CONTEST_CODE]],"_",Y$2),#REF!,0),MATCH(Y$1,_group_[#Headers],0)),"-")</f>
        <v>-</v>
      </c>
      <c r="Z592" s="1" t="str">
        <f>IFERROR(INDEX(_group_[],MATCH(CONCATENATE(ВСЕ_КОДЫ[[#This Row],[CONTEST_CODE]],"_",Z$2),#REF!,0),MATCH(Z$1,_group_[#Headers],0)),"-")</f>
        <v>-</v>
      </c>
      <c r="AA592" s="1" t="str">
        <f>IFERROR(INDEX(_group_[],MATCH(CONCATENATE(ВСЕ_КОДЫ[[#This Row],[CONTEST_CODE]],"_",AA$2),#REF!,0),MATCH(AA$1,_group_[#Headers],0)),"-")</f>
        <v>-</v>
      </c>
      <c r="AB592" s="1" t="str">
        <f>IFERROR(INDEX(_DATA_[],MATCH(ВСЕ_КОДЫ[[#This Row],[CONTEST_CODE]],_DATA_[CONTEST_CODE],0),MATCH($AB$2,_DATA_[#Headers],0)),"-")</f>
        <v>["""MNS"""]</v>
      </c>
      <c r="AC592" t="str">
        <f>CONCATENATE(ВСЕ_КОДЫ[[#This Row],[CONTEST_CODE]],"_",ВСЕ_КОДЫ[[#This Row],[TOURNAMENT_CODE]])</f>
        <v>02_2025-1_07-1_1_t_02_2025-1_07-1_1_2011</v>
      </c>
      <c r="AD592" t="str">
        <f>ВСЕ_КОДЫ[[#This Row],[FULL_NAME]]</f>
        <v>Экосистема. Лидер по числу сделок</v>
      </c>
    </row>
    <row r="593" spans="1:30" hidden="1" x14ac:dyDescent="0.25">
      <c r="A593" s="1" t="s">
        <v>3102</v>
      </c>
      <c r="B593" s="1" t="s">
        <v>3247</v>
      </c>
      <c r="C593" s="1" t="s">
        <v>3165</v>
      </c>
      <c r="D593" s="1" t="s">
        <v>586</v>
      </c>
      <c r="E593" s="1" t="s">
        <v>1419</v>
      </c>
      <c r="F593" s="1" t="s">
        <v>2508</v>
      </c>
      <c r="G593" s="1" t="s">
        <v>27</v>
      </c>
      <c r="H593" s="1" t="s">
        <v>34</v>
      </c>
      <c r="I593" s="1" t="s">
        <v>50</v>
      </c>
      <c r="J593" s="1" t="s">
        <v>2508</v>
      </c>
      <c r="K593" s="1" t="s">
        <v>2534</v>
      </c>
      <c r="L593" s="1" t="s">
        <v>4152</v>
      </c>
      <c r="M593" s="1" t="s">
        <v>176</v>
      </c>
      <c r="N593" s="1" t="s">
        <v>305</v>
      </c>
      <c r="O593" s="1" t="s">
        <v>3375</v>
      </c>
      <c r="Q593">
        <f>IFERROR(COUNTIFS(_report[TOURNAMENT_CODE],ВСЕ_КОДЫ[[#This Row],[TOURNAMENT_CODE]],_report[CONTEST_CODE],ВСЕ_КОДЫ[[#This Row],[CONTEST_CODE]]),"-")</f>
        <v>0</v>
      </c>
      <c r="R593" s="1" t="str">
        <f>IFERROR(INDEX(_SCHEDULE_[],MATCH(ВСЕ_КОДЫ[[#This Row],[CONTEST_CODE]],_SCHEDULE_[CONTEST_CODE],0),MATCH($R$1,_SCHEDULE_[#Headers],0)),"-")</f>
        <v>ЗАВЕРШЕН</v>
      </c>
      <c r="S593" s="1" t="str">
        <f>IFERROR(INDEX(_group_[],MATCH(ВСЕ_КОДЫ[[#This Row],[CONTEST_CODE]],_group_[CONTEST_CODE],0),MATCH($S$1,_group_[#Headers],0)),"-")</f>
        <v>BANK</v>
      </c>
      <c r="T593" s="1" t="str">
        <f>IFERROR(INDEX(_INDICATOR_[],MATCH(ВСЕ_КОДЫ[[#This Row],[CONTEST_CODE]],_INDICATOR_[CONTEST_CODE],0),MATCH($T$1,_INDICATOR_[#Headers],0)),"-")</f>
        <v>WAIT</v>
      </c>
      <c r="U593" s="1" t="str">
        <f>IFERROR(INDEX(_reward_link_[],MATCH(ВСЕ_КОДЫ[[#This Row],[CONTEST_CODE]],_reward_link_[CONTEST_CODE],0),MATCH($U$1,_reward_link_[#Headers],0)),"-")</f>
        <v>BANK</v>
      </c>
      <c r="V593" s="1" t="str">
        <f>IFERROR(INDEX(_report[],MATCH(ВСЕ_КОДЫ[[#This Row],[CONTEST_CODE]],_report[CONTEST_CODE],0),MATCH($V$1,_report[#Headers],0)),"-")</f>
        <v>-</v>
      </c>
      <c r="W593" s="1" t="str">
        <f>IFERROR(INDEX(_reward_[],MATCH(ВСЕ_КОДЫ[[#This Row],[REWARD_CODE]],_reward_[REWARD_CODE],0),MATCH($W$1,_reward_[#Headers],0)),"-")</f>
        <v>Бронза#по числу сделок экосистемы</v>
      </c>
      <c r="X593" s="1" t="str">
        <f>IFERROR(INDEX(_group_[],MATCH(CONCATENATE(ВСЕ_КОДЫ[[#This Row],[CONTEST_CODE]],"_",X$2),#REF!,0),MATCH(X$1,_group_[#Headers],0)),"-")</f>
        <v>-</v>
      </c>
      <c r="Y593" s="1" t="str">
        <f>IFERROR(INDEX(_group_[],MATCH(CONCATENATE(ВСЕ_КОДЫ[[#This Row],[CONTEST_CODE]],"_",Y$2),#REF!,0),MATCH(Y$1,_group_[#Headers],0)),"-")</f>
        <v>-</v>
      </c>
      <c r="Z593" s="1" t="str">
        <f>IFERROR(INDEX(_group_[],MATCH(CONCATENATE(ВСЕ_КОДЫ[[#This Row],[CONTEST_CODE]],"_",Z$2),#REF!,0),MATCH(Z$1,_group_[#Headers],0)),"-")</f>
        <v>-</v>
      </c>
      <c r="AA593" s="1" t="str">
        <f>IFERROR(INDEX(_group_[],MATCH(CONCATENATE(ВСЕ_КОДЫ[[#This Row],[CONTEST_CODE]],"_",AA$2),#REF!,0),MATCH(AA$1,_group_[#Headers],0)),"-")</f>
        <v>-</v>
      </c>
      <c r="AB593" s="1" t="str">
        <f>IFERROR(INDEX(_DATA_[],MATCH(ВСЕ_КОДЫ[[#This Row],[CONTEST_CODE]],_DATA_[CONTEST_CODE],0),MATCH($AB$2,_DATA_[#Headers],0)),"-")</f>
        <v>["""MNS"""]</v>
      </c>
      <c r="AC593" t="str">
        <f>CONCATENATE(ВСЕ_КОДЫ[[#This Row],[CONTEST_CODE]],"_",ВСЕ_КОДЫ[[#This Row],[TOURNAMENT_CODE]])</f>
        <v>02_2025-1_07-1_1_t_02_2025-1_07-1_1_2011</v>
      </c>
      <c r="AD593" t="str">
        <f>ВСЕ_КОДЫ[[#This Row],[FULL_NAME]]</f>
        <v>Экосистема. Лидер по числу сделок</v>
      </c>
    </row>
    <row r="594" spans="1:30" hidden="1" x14ac:dyDescent="0.25">
      <c r="A594" s="1" t="s">
        <v>3102</v>
      </c>
      <c r="B594" s="1" t="s">
        <v>3675</v>
      </c>
      <c r="C594" s="1" t="s">
        <v>3161</v>
      </c>
      <c r="D594" s="1" t="s">
        <v>583</v>
      </c>
      <c r="E594" s="1" t="s">
        <v>1419</v>
      </c>
      <c r="F594" s="1" t="s">
        <v>2508</v>
      </c>
      <c r="G594" s="1" t="s">
        <v>27</v>
      </c>
      <c r="H594" s="1" t="s">
        <v>34</v>
      </c>
      <c r="I594" s="1" t="s">
        <v>50</v>
      </c>
      <c r="J594" s="1" t="s">
        <v>4019</v>
      </c>
      <c r="K594" s="1" t="s">
        <v>2542</v>
      </c>
      <c r="L594" s="1" t="s">
        <v>3545</v>
      </c>
      <c r="M594" s="1" t="s">
        <v>34</v>
      </c>
      <c r="N594" s="1" t="s">
        <v>305</v>
      </c>
      <c r="O594" s="1" t="s">
        <v>3372</v>
      </c>
      <c r="Q594">
        <f>IFERROR(COUNTIFS(_report[TOURNAMENT_CODE],ВСЕ_КОДЫ[[#This Row],[TOURNAMENT_CODE]],_report[CONTEST_CODE],ВСЕ_КОДЫ[[#This Row],[CONTEST_CODE]]),"-")</f>
        <v>0</v>
      </c>
      <c r="R594" s="1" t="str">
        <f>IFERROR(INDEX(_SCHEDULE_[],MATCH(ВСЕ_КОДЫ[[#This Row],[CONTEST_CODE]],_SCHEDULE_[CONTEST_CODE],0),MATCH($R$1,_SCHEDULE_[#Headers],0)),"-")</f>
        <v>ЗАВЕРШЕН</v>
      </c>
      <c r="S594" s="1" t="str">
        <f>IFERROR(INDEX(_group_[],MATCH(ВСЕ_КОДЫ[[#This Row],[CONTEST_CODE]],_group_[CONTEST_CODE],0),MATCH($S$1,_group_[#Headers],0)),"-")</f>
        <v>BANK</v>
      </c>
      <c r="T594" s="1" t="str">
        <f>IFERROR(INDEX(_INDICATOR_[],MATCH(ВСЕ_КОДЫ[[#This Row],[CONTEST_CODE]],_INDICATOR_[CONTEST_CODE],0),MATCH($T$1,_INDICATOR_[#Headers],0)),"-")</f>
        <v>WAIT</v>
      </c>
      <c r="U594" s="1" t="str">
        <f>IFERROR(INDEX(_reward_link_[],MATCH(ВСЕ_КОДЫ[[#This Row],[CONTEST_CODE]],_reward_link_[CONTEST_CODE],0),MATCH($U$1,_reward_link_[#Headers],0)),"-")</f>
        <v>BANK</v>
      </c>
      <c r="V594" s="1" t="str">
        <f>IFERROR(INDEX(_report[],MATCH(ВСЕ_КОДЫ[[#This Row],[CONTEST_CODE]],_report[CONTEST_CODE],0),MATCH($V$1,_report[#Headers],0)),"-")</f>
        <v>-</v>
      </c>
      <c r="W594" s="1" t="str">
        <f>IFERROR(INDEX(_reward_[],MATCH(ВСЕ_КОДЫ[[#This Row],[REWARD_CODE]],_reward_[REWARD_CODE],0),MATCH($W$1,_reward_[#Headers],0)),"-")</f>
        <v>Золото#по числу сделок экосистемы</v>
      </c>
      <c r="X594" s="1" t="str">
        <f>IFERROR(INDEX(_group_[],MATCH(CONCATENATE(ВСЕ_КОДЫ[[#This Row],[CONTEST_CODE]],"_",X$2),#REF!,0),MATCH(X$1,_group_[#Headers],0)),"-")</f>
        <v>-</v>
      </c>
      <c r="Y594" s="1" t="str">
        <f>IFERROR(INDEX(_group_[],MATCH(CONCATENATE(ВСЕ_КОДЫ[[#This Row],[CONTEST_CODE]],"_",Y$2),#REF!,0),MATCH(Y$1,_group_[#Headers],0)),"-")</f>
        <v>-</v>
      </c>
      <c r="Z594" s="1" t="str">
        <f>IFERROR(INDEX(_group_[],MATCH(CONCATENATE(ВСЕ_КОДЫ[[#This Row],[CONTEST_CODE]],"_",Z$2),#REF!,0),MATCH(Z$1,_group_[#Headers],0)),"-")</f>
        <v>-</v>
      </c>
      <c r="AA594" s="1" t="str">
        <f>IFERROR(INDEX(_group_[],MATCH(CONCATENATE(ВСЕ_КОДЫ[[#This Row],[CONTEST_CODE]],"_",AA$2),#REF!,0),MATCH(AA$1,_group_[#Headers],0)),"-")</f>
        <v>-</v>
      </c>
      <c r="AB594" s="1" t="str">
        <f>IFERROR(INDEX(_DATA_[],MATCH(ВСЕ_КОДЫ[[#This Row],[CONTEST_CODE]],_DATA_[CONTEST_CODE],0),MATCH($AB$2,_DATA_[#Headers],0)),"-")</f>
        <v>["""MNS"""]</v>
      </c>
      <c r="AC594" t="str">
        <f>CONCATENATE(ВСЕ_КОДЫ[[#This Row],[CONTEST_CODE]],"_",ВСЕ_КОДЫ[[#This Row],[TOURNAMENT_CODE]])</f>
        <v>02_2025-1_07-1_1_t_02_2025-1_07-1_1_2021</v>
      </c>
      <c r="AD594" t="str">
        <f>ВСЕ_КОДЫ[[#This Row],[FULL_NAME]]</f>
        <v>Экосистема. Лидер по числу сделок</v>
      </c>
    </row>
    <row r="595" spans="1:30" hidden="1" x14ac:dyDescent="0.25">
      <c r="A595" s="1" t="s">
        <v>3102</v>
      </c>
      <c r="B595" s="1" t="s">
        <v>3675</v>
      </c>
      <c r="C595" s="1" t="s">
        <v>3163</v>
      </c>
      <c r="D595" s="1" t="s">
        <v>586</v>
      </c>
      <c r="E595" s="1" t="s">
        <v>1419</v>
      </c>
      <c r="F595" s="1" t="s">
        <v>2508</v>
      </c>
      <c r="G595" s="1" t="s">
        <v>27</v>
      </c>
      <c r="H595" s="1" t="s">
        <v>34</v>
      </c>
      <c r="I595" s="1" t="s">
        <v>50</v>
      </c>
      <c r="J595" s="1" t="s">
        <v>4019</v>
      </c>
      <c r="K595" s="1" t="s">
        <v>2542</v>
      </c>
      <c r="L595" s="1" t="s">
        <v>3545</v>
      </c>
      <c r="M595" s="1" t="s">
        <v>34</v>
      </c>
      <c r="N595" s="1" t="s">
        <v>305</v>
      </c>
      <c r="O595" s="1" t="s">
        <v>3373</v>
      </c>
      <c r="Q595">
        <f>IFERROR(COUNTIFS(_report[TOURNAMENT_CODE],ВСЕ_КОДЫ[[#This Row],[TOURNAMENT_CODE]],_report[CONTEST_CODE],ВСЕ_КОДЫ[[#This Row],[CONTEST_CODE]]),"-")</f>
        <v>0</v>
      </c>
      <c r="R595" s="1" t="str">
        <f>IFERROR(INDEX(_SCHEDULE_[],MATCH(ВСЕ_КОДЫ[[#This Row],[CONTEST_CODE]],_SCHEDULE_[CONTEST_CODE],0),MATCH($R$1,_SCHEDULE_[#Headers],0)),"-")</f>
        <v>ЗАВЕРШЕН</v>
      </c>
      <c r="S595" s="1" t="str">
        <f>IFERROR(INDEX(_group_[],MATCH(ВСЕ_КОДЫ[[#This Row],[CONTEST_CODE]],_group_[CONTEST_CODE],0),MATCH($S$1,_group_[#Headers],0)),"-")</f>
        <v>BANK</v>
      </c>
      <c r="T595" s="1" t="str">
        <f>IFERROR(INDEX(_INDICATOR_[],MATCH(ВСЕ_КОДЫ[[#This Row],[CONTEST_CODE]],_INDICATOR_[CONTEST_CODE],0),MATCH($T$1,_INDICATOR_[#Headers],0)),"-")</f>
        <v>WAIT</v>
      </c>
      <c r="U595" s="1" t="str">
        <f>IFERROR(INDEX(_reward_link_[],MATCH(ВСЕ_КОДЫ[[#This Row],[CONTEST_CODE]],_reward_link_[CONTEST_CODE],0),MATCH($U$1,_reward_link_[#Headers],0)),"-")</f>
        <v>BANK</v>
      </c>
      <c r="V595" s="1" t="str">
        <f>IFERROR(INDEX(_report[],MATCH(ВСЕ_КОДЫ[[#This Row],[CONTEST_CODE]],_report[CONTEST_CODE],0),MATCH($V$1,_report[#Headers],0)),"-")</f>
        <v>-</v>
      </c>
      <c r="W595" s="1" t="str">
        <f>IFERROR(INDEX(_reward_[],MATCH(ВСЕ_КОДЫ[[#This Row],[REWARD_CODE]],_reward_[REWARD_CODE],0),MATCH($W$1,_reward_[#Headers],0)),"-")</f>
        <v>Серебро#по числу сделок экосистемы</v>
      </c>
      <c r="X595" s="1" t="str">
        <f>IFERROR(INDEX(_group_[],MATCH(CONCATENATE(ВСЕ_КОДЫ[[#This Row],[CONTEST_CODE]],"_",X$2),#REF!,0),MATCH(X$1,_group_[#Headers],0)),"-")</f>
        <v>-</v>
      </c>
      <c r="Y595" s="1" t="str">
        <f>IFERROR(INDEX(_group_[],MATCH(CONCATENATE(ВСЕ_КОДЫ[[#This Row],[CONTEST_CODE]],"_",Y$2),#REF!,0),MATCH(Y$1,_group_[#Headers],0)),"-")</f>
        <v>-</v>
      </c>
      <c r="Z595" s="1" t="str">
        <f>IFERROR(INDEX(_group_[],MATCH(CONCATENATE(ВСЕ_КОДЫ[[#This Row],[CONTEST_CODE]],"_",Z$2),#REF!,0),MATCH(Z$1,_group_[#Headers],0)),"-")</f>
        <v>-</v>
      </c>
      <c r="AA595" s="1" t="str">
        <f>IFERROR(INDEX(_group_[],MATCH(CONCATENATE(ВСЕ_КОДЫ[[#This Row],[CONTEST_CODE]],"_",AA$2),#REF!,0),MATCH(AA$1,_group_[#Headers],0)),"-")</f>
        <v>-</v>
      </c>
      <c r="AB595" s="1" t="str">
        <f>IFERROR(INDEX(_DATA_[],MATCH(ВСЕ_КОДЫ[[#This Row],[CONTEST_CODE]],_DATA_[CONTEST_CODE],0),MATCH($AB$2,_DATA_[#Headers],0)),"-")</f>
        <v>["""MNS"""]</v>
      </c>
      <c r="AC595" t="str">
        <f>CONCATENATE(ВСЕ_КОДЫ[[#This Row],[CONTEST_CODE]],"_",ВСЕ_КОДЫ[[#This Row],[TOURNAMENT_CODE]])</f>
        <v>02_2025-1_07-1_1_t_02_2025-1_07-1_1_2021</v>
      </c>
      <c r="AD595" t="str">
        <f>ВСЕ_КОДЫ[[#This Row],[FULL_NAME]]</f>
        <v>Экосистема. Лидер по числу сделок</v>
      </c>
    </row>
    <row r="596" spans="1:30" hidden="1" x14ac:dyDescent="0.25">
      <c r="A596" s="1" t="s">
        <v>3102</v>
      </c>
      <c r="B596" s="1" t="s">
        <v>3675</v>
      </c>
      <c r="C596" s="1" t="s">
        <v>3165</v>
      </c>
      <c r="D596" s="1" t="s">
        <v>586</v>
      </c>
      <c r="E596" s="1" t="s">
        <v>1419</v>
      </c>
      <c r="F596" s="1" t="s">
        <v>2508</v>
      </c>
      <c r="G596" s="1" t="s">
        <v>27</v>
      </c>
      <c r="H596" s="1" t="s">
        <v>34</v>
      </c>
      <c r="I596" s="1" t="s">
        <v>50</v>
      </c>
      <c r="J596" s="1" t="s">
        <v>4019</v>
      </c>
      <c r="K596" s="1" t="s">
        <v>2542</v>
      </c>
      <c r="L596" s="1" t="s">
        <v>3545</v>
      </c>
      <c r="M596" s="1" t="s">
        <v>34</v>
      </c>
      <c r="N596" s="1" t="s">
        <v>305</v>
      </c>
      <c r="O596" s="1" t="s">
        <v>3375</v>
      </c>
      <c r="Q596">
        <f>IFERROR(COUNTIFS(_report[TOURNAMENT_CODE],ВСЕ_КОДЫ[[#This Row],[TOURNAMENT_CODE]],_report[CONTEST_CODE],ВСЕ_КОДЫ[[#This Row],[CONTEST_CODE]]),"-")</f>
        <v>0</v>
      </c>
      <c r="R596" s="1" t="str">
        <f>IFERROR(INDEX(_SCHEDULE_[],MATCH(ВСЕ_КОДЫ[[#This Row],[CONTEST_CODE]],_SCHEDULE_[CONTEST_CODE],0),MATCH($R$1,_SCHEDULE_[#Headers],0)),"-")</f>
        <v>ЗАВЕРШЕН</v>
      </c>
      <c r="S596" s="1" t="str">
        <f>IFERROR(INDEX(_group_[],MATCH(ВСЕ_КОДЫ[[#This Row],[CONTEST_CODE]],_group_[CONTEST_CODE],0),MATCH($S$1,_group_[#Headers],0)),"-")</f>
        <v>BANK</v>
      </c>
      <c r="T596" s="1" t="str">
        <f>IFERROR(INDEX(_INDICATOR_[],MATCH(ВСЕ_КОДЫ[[#This Row],[CONTEST_CODE]],_INDICATOR_[CONTEST_CODE],0),MATCH($T$1,_INDICATOR_[#Headers],0)),"-")</f>
        <v>WAIT</v>
      </c>
      <c r="U596" s="1" t="str">
        <f>IFERROR(INDEX(_reward_link_[],MATCH(ВСЕ_КОДЫ[[#This Row],[CONTEST_CODE]],_reward_link_[CONTEST_CODE],0),MATCH($U$1,_reward_link_[#Headers],0)),"-")</f>
        <v>BANK</v>
      </c>
      <c r="V596" s="1" t="str">
        <f>IFERROR(INDEX(_report[],MATCH(ВСЕ_КОДЫ[[#This Row],[CONTEST_CODE]],_report[CONTEST_CODE],0),MATCH($V$1,_report[#Headers],0)),"-")</f>
        <v>-</v>
      </c>
      <c r="W596" s="1" t="str">
        <f>IFERROR(INDEX(_reward_[],MATCH(ВСЕ_КОДЫ[[#This Row],[REWARD_CODE]],_reward_[REWARD_CODE],0),MATCH($W$1,_reward_[#Headers],0)),"-")</f>
        <v>Бронза#по числу сделок экосистемы</v>
      </c>
      <c r="X596" s="1" t="str">
        <f>IFERROR(INDEX(_group_[],MATCH(CONCATENATE(ВСЕ_КОДЫ[[#This Row],[CONTEST_CODE]],"_",X$2),#REF!,0),MATCH(X$1,_group_[#Headers],0)),"-")</f>
        <v>-</v>
      </c>
      <c r="Y596" s="1" t="str">
        <f>IFERROR(INDEX(_group_[],MATCH(CONCATENATE(ВСЕ_КОДЫ[[#This Row],[CONTEST_CODE]],"_",Y$2),#REF!,0),MATCH(Y$1,_group_[#Headers],0)),"-")</f>
        <v>-</v>
      </c>
      <c r="Z596" s="1" t="str">
        <f>IFERROR(INDEX(_group_[],MATCH(CONCATENATE(ВСЕ_КОДЫ[[#This Row],[CONTEST_CODE]],"_",Z$2),#REF!,0),MATCH(Z$1,_group_[#Headers],0)),"-")</f>
        <v>-</v>
      </c>
      <c r="AA596" s="1" t="str">
        <f>IFERROR(INDEX(_group_[],MATCH(CONCATENATE(ВСЕ_КОДЫ[[#This Row],[CONTEST_CODE]],"_",AA$2),#REF!,0),MATCH(AA$1,_group_[#Headers],0)),"-")</f>
        <v>-</v>
      </c>
      <c r="AB596" s="1" t="str">
        <f>IFERROR(INDEX(_DATA_[],MATCH(ВСЕ_КОДЫ[[#This Row],[CONTEST_CODE]],_DATA_[CONTEST_CODE],0),MATCH($AB$2,_DATA_[#Headers],0)),"-")</f>
        <v>["""MNS"""]</v>
      </c>
      <c r="AC596" t="str">
        <f>CONCATENATE(ВСЕ_КОДЫ[[#This Row],[CONTEST_CODE]],"_",ВСЕ_КОДЫ[[#This Row],[TOURNAMENT_CODE]])</f>
        <v>02_2025-1_07-1_1_t_02_2025-1_07-1_1_2021</v>
      </c>
      <c r="AD596" t="str">
        <f>ВСЕ_КОДЫ[[#This Row],[FULL_NAME]]</f>
        <v>Экосистема. Лидер по числу сделок</v>
      </c>
    </row>
    <row r="597" spans="1:30" hidden="1" x14ac:dyDescent="0.25">
      <c r="A597" s="1" t="s">
        <v>3105</v>
      </c>
      <c r="B597" s="1" t="s">
        <v>3249</v>
      </c>
      <c r="C597" s="1" t="s">
        <v>3167</v>
      </c>
      <c r="D597" s="1" t="s">
        <v>583</v>
      </c>
      <c r="E597" s="1" t="s">
        <v>1425</v>
      </c>
      <c r="F597" s="1" t="s">
        <v>2508</v>
      </c>
      <c r="G597" s="1" t="s">
        <v>27</v>
      </c>
      <c r="H597" s="1" t="s">
        <v>34</v>
      </c>
      <c r="I597" s="1" t="s">
        <v>50</v>
      </c>
      <c r="J597" s="1" t="s">
        <v>2508</v>
      </c>
      <c r="K597" s="1" t="s">
        <v>2534</v>
      </c>
      <c r="L597" s="1" t="s">
        <v>4152</v>
      </c>
      <c r="M597" s="1" t="s">
        <v>176</v>
      </c>
      <c r="N597" s="1" t="s">
        <v>305</v>
      </c>
      <c r="O597" s="1" t="s">
        <v>3380</v>
      </c>
      <c r="Q597">
        <f>IFERROR(COUNTIFS(_report[TOURNAMENT_CODE],ВСЕ_КОДЫ[[#This Row],[TOURNAMENT_CODE]],_report[CONTEST_CODE],ВСЕ_КОДЫ[[#This Row],[CONTEST_CODE]]),"-")</f>
        <v>0</v>
      </c>
      <c r="R597" s="1" t="str">
        <f>IFERROR(INDEX(_SCHEDULE_[],MATCH(ВСЕ_КОДЫ[[#This Row],[CONTEST_CODE]],_SCHEDULE_[CONTEST_CODE],0),MATCH($R$1,_SCHEDULE_[#Headers],0)),"-")</f>
        <v>ЗАВЕРШЕН</v>
      </c>
      <c r="S597" s="1" t="str">
        <f>IFERROR(INDEX(_group_[],MATCH(ВСЕ_КОДЫ[[#This Row],[CONTEST_CODE]],_group_[CONTEST_CODE],0),MATCH($S$1,_group_[#Headers],0)),"-")</f>
        <v>BANK</v>
      </c>
      <c r="T597" s="1" t="str">
        <f>IFERROR(INDEX(_INDICATOR_[],MATCH(ВСЕ_КОДЫ[[#This Row],[CONTEST_CODE]],_INDICATOR_[CONTEST_CODE],0),MATCH($T$1,_INDICATOR_[#Headers],0)),"-")</f>
        <v>WAIT</v>
      </c>
      <c r="U597" s="1" t="str">
        <f>IFERROR(INDEX(_reward_link_[],MATCH(ВСЕ_КОДЫ[[#This Row],[CONTEST_CODE]],_reward_link_[CONTEST_CODE],0),MATCH($U$1,_reward_link_[#Headers],0)),"-")</f>
        <v>BANK</v>
      </c>
      <c r="V597" s="1" t="str">
        <f>IFERROR(INDEX(_report[],MATCH(ВСЕ_КОДЫ[[#This Row],[CONTEST_CODE]],_report[CONTEST_CODE],0),MATCH($V$1,_report[#Headers],0)),"-")</f>
        <v>-</v>
      </c>
      <c r="W597" s="1" t="str">
        <f>IFERROR(INDEX(_reward_[],MATCH(ВСЕ_КОДЫ[[#This Row],[REWARD_CODE]],_reward_[REWARD_CODE],0),MATCH($W$1,_reward_[#Headers],0)),"-")</f>
        <v>Золото#по продажам продуктов AI-native</v>
      </c>
      <c r="X597" s="1" t="str">
        <f>IFERROR(INDEX(_group_[],MATCH(CONCATENATE(ВСЕ_КОДЫ[[#This Row],[CONTEST_CODE]],"_",X$2),#REF!,0),MATCH(X$1,_group_[#Headers],0)),"-")</f>
        <v>-</v>
      </c>
      <c r="Y597" s="1" t="str">
        <f>IFERROR(INDEX(_group_[],MATCH(CONCATENATE(ВСЕ_КОДЫ[[#This Row],[CONTEST_CODE]],"_",Y$2),#REF!,0),MATCH(Y$1,_group_[#Headers],0)),"-")</f>
        <v>-</v>
      </c>
      <c r="Z597" s="1" t="str">
        <f>IFERROR(INDEX(_group_[],MATCH(CONCATENATE(ВСЕ_КОДЫ[[#This Row],[CONTEST_CODE]],"_",Z$2),#REF!,0),MATCH(Z$1,_group_[#Headers],0)),"-")</f>
        <v>-</v>
      </c>
      <c r="AA597" s="1" t="str">
        <f>IFERROR(INDEX(_group_[],MATCH(CONCATENATE(ВСЕ_КОДЫ[[#This Row],[CONTEST_CODE]],"_",AA$2),#REF!,0),MATCH(AA$1,_group_[#Headers],0)),"-")</f>
        <v>-</v>
      </c>
      <c r="AB597" s="1" t="str">
        <f>IFERROR(INDEX(_DATA_[],MATCH(ВСЕ_КОДЫ[[#This Row],[CONTEST_CODE]],_DATA_[CONTEST_CODE],0),MATCH($AB$2,_DATA_[#Headers],0)),"-")</f>
        <v>["""MNS"""]</v>
      </c>
      <c r="AC597" t="str">
        <f>CONCATENATE(ВСЕ_КОДЫ[[#This Row],[CONTEST_CODE]],"_",ВСЕ_КОДЫ[[#This Row],[TOURNAMENT_CODE]])</f>
        <v>02_2025-1_07-5_4_t_02_2025-1_07-5_4_2011</v>
      </c>
      <c r="AD597" t="str">
        <f>ВСЕ_КОДЫ[[#This Row],[FULL_NAME]]</f>
        <v>Лидер по продажам продуктов AI-native</v>
      </c>
    </row>
    <row r="598" spans="1:30" hidden="1" x14ac:dyDescent="0.25">
      <c r="A598" s="1" t="s">
        <v>3105</v>
      </c>
      <c r="B598" s="1" t="s">
        <v>3249</v>
      </c>
      <c r="C598" s="1" t="s">
        <v>3169</v>
      </c>
      <c r="D598" s="1" t="s">
        <v>586</v>
      </c>
      <c r="E598" s="1" t="s">
        <v>1425</v>
      </c>
      <c r="F598" s="1" t="s">
        <v>2508</v>
      </c>
      <c r="G598" s="1" t="s">
        <v>27</v>
      </c>
      <c r="H598" s="1" t="s">
        <v>34</v>
      </c>
      <c r="I598" s="1" t="s">
        <v>50</v>
      </c>
      <c r="J598" s="1" t="s">
        <v>2508</v>
      </c>
      <c r="K598" s="1" t="s">
        <v>2534</v>
      </c>
      <c r="L598" s="1" t="s">
        <v>4152</v>
      </c>
      <c r="M598" s="1" t="s">
        <v>176</v>
      </c>
      <c r="N598" s="1" t="s">
        <v>305</v>
      </c>
      <c r="O598" s="1" t="s">
        <v>3381</v>
      </c>
      <c r="Q598">
        <f>IFERROR(COUNTIFS(_report[TOURNAMENT_CODE],ВСЕ_КОДЫ[[#This Row],[TOURNAMENT_CODE]],_report[CONTEST_CODE],ВСЕ_КОДЫ[[#This Row],[CONTEST_CODE]]),"-")</f>
        <v>0</v>
      </c>
      <c r="R598" s="1" t="str">
        <f>IFERROR(INDEX(_SCHEDULE_[],MATCH(ВСЕ_КОДЫ[[#This Row],[CONTEST_CODE]],_SCHEDULE_[CONTEST_CODE],0),MATCH($R$1,_SCHEDULE_[#Headers],0)),"-")</f>
        <v>ЗАВЕРШЕН</v>
      </c>
      <c r="S598" s="1" t="str">
        <f>IFERROR(INDEX(_group_[],MATCH(ВСЕ_КОДЫ[[#This Row],[CONTEST_CODE]],_group_[CONTEST_CODE],0),MATCH($S$1,_group_[#Headers],0)),"-")</f>
        <v>BANK</v>
      </c>
      <c r="T598" s="1" t="str">
        <f>IFERROR(INDEX(_INDICATOR_[],MATCH(ВСЕ_КОДЫ[[#This Row],[CONTEST_CODE]],_INDICATOR_[CONTEST_CODE],0),MATCH($T$1,_INDICATOR_[#Headers],0)),"-")</f>
        <v>WAIT</v>
      </c>
      <c r="U598" s="1" t="str">
        <f>IFERROR(INDEX(_reward_link_[],MATCH(ВСЕ_КОДЫ[[#This Row],[CONTEST_CODE]],_reward_link_[CONTEST_CODE],0),MATCH($U$1,_reward_link_[#Headers],0)),"-")</f>
        <v>BANK</v>
      </c>
      <c r="V598" s="1" t="str">
        <f>IFERROR(INDEX(_report[],MATCH(ВСЕ_КОДЫ[[#This Row],[CONTEST_CODE]],_report[CONTEST_CODE],0),MATCH($V$1,_report[#Headers],0)),"-")</f>
        <v>-</v>
      </c>
      <c r="W598" s="1" t="str">
        <f>IFERROR(INDEX(_reward_[],MATCH(ВСЕ_КОДЫ[[#This Row],[REWARD_CODE]],_reward_[REWARD_CODE],0),MATCH($W$1,_reward_[#Headers],0)),"-")</f>
        <v>Серебро#по продажам продуктов AI-native</v>
      </c>
      <c r="X598" s="1" t="str">
        <f>IFERROR(INDEX(_group_[],MATCH(CONCATENATE(ВСЕ_КОДЫ[[#This Row],[CONTEST_CODE]],"_",X$2),#REF!,0),MATCH(X$1,_group_[#Headers],0)),"-")</f>
        <v>-</v>
      </c>
      <c r="Y598" s="1" t="str">
        <f>IFERROR(INDEX(_group_[],MATCH(CONCATENATE(ВСЕ_КОДЫ[[#This Row],[CONTEST_CODE]],"_",Y$2),#REF!,0),MATCH(Y$1,_group_[#Headers],0)),"-")</f>
        <v>-</v>
      </c>
      <c r="Z598" s="1" t="str">
        <f>IFERROR(INDEX(_group_[],MATCH(CONCATENATE(ВСЕ_КОДЫ[[#This Row],[CONTEST_CODE]],"_",Z$2),#REF!,0),MATCH(Z$1,_group_[#Headers],0)),"-")</f>
        <v>-</v>
      </c>
      <c r="AA598" s="1" t="str">
        <f>IFERROR(INDEX(_group_[],MATCH(CONCATENATE(ВСЕ_КОДЫ[[#This Row],[CONTEST_CODE]],"_",AA$2),#REF!,0),MATCH(AA$1,_group_[#Headers],0)),"-")</f>
        <v>-</v>
      </c>
      <c r="AB598" s="1" t="str">
        <f>IFERROR(INDEX(_DATA_[],MATCH(ВСЕ_КОДЫ[[#This Row],[CONTEST_CODE]],_DATA_[CONTEST_CODE],0),MATCH($AB$2,_DATA_[#Headers],0)),"-")</f>
        <v>["""MNS"""]</v>
      </c>
      <c r="AC598" t="str">
        <f>CONCATENATE(ВСЕ_КОДЫ[[#This Row],[CONTEST_CODE]],"_",ВСЕ_КОДЫ[[#This Row],[TOURNAMENT_CODE]])</f>
        <v>02_2025-1_07-5_4_t_02_2025-1_07-5_4_2011</v>
      </c>
      <c r="AD598" t="str">
        <f>ВСЕ_КОДЫ[[#This Row],[FULL_NAME]]</f>
        <v>Лидер по продажам продуктов AI-native</v>
      </c>
    </row>
    <row r="599" spans="1:30" hidden="1" x14ac:dyDescent="0.25">
      <c r="A599" s="1" t="s">
        <v>3105</v>
      </c>
      <c r="B599" s="1" t="s">
        <v>3249</v>
      </c>
      <c r="C599" s="1" t="s">
        <v>3171</v>
      </c>
      <c r="D599" s="1" t="s">
        <v>586</v>
      </c>
      <c r="E599" s="1" t="s">
        <v>1425</v>
      </c>
      <c r="F599" s="1" t="s">
        <v>2508</v>
      </c>
      <c r="G599" s="1" t="s">
        <v>27</v>
      </c>
      <c r="H599" s="1" t="s">
        <v>34</v>
      </c>
      <c r="I599" s="1" t="s">
        <v>50</v>
      </c>
      <c r="J599" s="1" t="s">
        <v>2508</v>
      </c>
      <c r="K599" s="1" t="s">
        <v>2534</v>
      </c>
      <c r="L599" s="1" t="s">
        <v>4152</v>
      </c>
      <c r="M599" s="1" t="s">
        <v>176</v>
      </c>
      <c r="N599" s="1" t="s">
        <v>305</v>
      </c>
      <c r="O599" s="1" t="s">
        <v>3382</v>
      </c>
      <c r="Q599">
        <f>IFERROR(COUNTIFS(_report[TOURNAMENT_CODE],ВСЕ_КОДЫ[[#This Row],[TOURNAMENT_CODE]],_report[CONTEST_CODE],ВСЕ_КОДЫ[[#This Row],[CONTEST_CODE]]),"-")</f>
        <v>0</v>
      </c>
      <c r="R599" s="1" t="str">
        <f>IFERROR(INDEX(_SCHEDULE_[],MATCH(ВСЕ_КОДЫ[[#This Row],[CONTEST_CODE]],_SCHEDULE_[CONTEST_CODE],0),MATCH($R$1,_SCHEDULE_[#Headers],0)),"-")</f>
        <v>ЗАВЕРШЕН</v>
      </c>
      <c r="S599" s="1" t="str">
        <f>IFERROR(INDEX(_group_[],MATCH(ВСЕ_КОДЫ[[#This Row],[CONTEST_CODE]],_group_[CONTEST_CODE],0),MATCH($S$1,_group_[#Headers],0)),"-")</f>
        <v>BANK</v>
      </c>
      <c r="T599" s="1" t="str">
        <f>IFERROR(INDEX(_INDICATOR_[],MATCH(ВСЕ_КОДЫ[[#This Row],[CONTEST_CODE]],_INDICATOR_[CONTEST_CODE],0),MATCH($T$1,_INDICATOR_[#Headers],0)),"-")</f>
        <v>WAIT</v>
      </c>
      <c r="U599" s="1" t="str">
        <f>IFERROR(INDEX(_reward_link_[],MATCH(ВСЕ_КОДЫ[[#This Row],[CONTEST_CODE]],_reward_link_[CONTEST_CODE],0),MATCH($U$1,_reward_link_[#Headers],0)),"-")</f>
        <v>BANK</v>
      </c>
      <c r="V599" s="1" t="str">
        <f>IFERROR(INDEX(_report[],MATCH(ВСЕ_КОДЫ[[#This Row],[CONTEST_CODE]],_report[CONTEST_CODE],0),MATCH($V$1,_report[#Headers],0)),"-")</f>
        <v>-</v>
      </c>
      <c r="W599" s="1" t="str">
        <f>IFERROR(INDEX(_reward_[],MATCH(ВСЕ_КОДЫ[[#This Row],[REWARD_CODE]],_reward_[REWARD_CODE],0),MATCH($W$1,_reward_[#Headers],0)),"-")</f>
        <v>Бронза#по продажам продуктов AI-native</v>
      </c>
      <c r="X599" s="1" t="str">
        <f>IFERROR(INDEX(_group_[],MATCH(CONCATENATE(ВСЕ_КОДЫ[[#This Row],[CONTEST_CODE]],"_",X$2),#REF!,0),MATCH(X$1,_group_[#Headers],0)),"-")</f>
        <v>-</v>
      </c>
      <c r="Y599" s="1" t="str">
        <f>IFERROR(INDEX(_group_[],MATCH(CONCATENATE(ВСЕ_КОДЫ[[#This Row],[CONTEST_CODE]],"_",Y$2),#REF!,0),MATCH(Y$1,_group_[#Headers],0)),"-")</f>
        <v>-</v>
      </c>
      <c r="Z599" s="1" t="str">
        <f>IFERROR(INDEX(_group_[],MATCH(CONCATENATE(ВСЕ_КОДЫ[[#This Row],[CONTEST_CODE]],"_",Z$2),#REF!,0),MATCH(Z$1,_group_[#Headers],0)),"-")</f>
        <v>-</v>
      </c>
      <c r="AA599" s="1" t="str">
        <f>IFERROR(INDEX(_group_[],MATCH(CONCATENATE(ВСЕ_КОДЫ[[#This Row],[CONTEST_CODE]],"_",AA$2),#REF!,0),MATCH(AA$1,_group_[#Headers],0)),"-")</f>
        <v>-</v>
      </c>
      <c r="AB599" s="1" t="str">
        <f>IFERROR(INDEX(_DATA_[],MATCH(ВСЕ_КОДЫ[[#This Row],[CONTEST_CODE]],_DATA_[CONTEST_CODE],0),MATCH($AB$2,_DATA_[#Headers],0)),"-")</f>
        <v>["""MNS"""]</v>
      </c>
      <c r="AC599" t="str">
        <f>CONCATENATE(ВСЕ_КОДЫ[[#This Row],[CONTEST_CODE]],"_",ВСЕ_КОДЫ[[#This Row],[TOURNAMENT_CODE]])</f>
        <v>02_2025-1_07-5_4_t_02_2025-1_07-5_4_2011</v>
      </c>
      <c r="AD599" t="str">
        <f>ВСЕ_КОДЫ[[#This Row],[FULL_NAME]]</f>
        <v>Лидер по продажам продуктов AI-native</v>
      </c>
    </row>
    <row r="600" spans="1:30" hidden="1" x14ac:dyDescent="0.25">
      <c r="A600" s="1" t="s">
        <v>3105</v>
      </c>
      <c r="B600" s="1" t="s">
        <v>3677</v>
      </c>
      <c r="C600" s="1" t="s">
        <v>3167</v>
      </c>
      <c r="D600" s="1" t="s">
        <v>583</v>
      </c>
      <c r="E600" s="1" t="s">
        <v>1425</v>
      </c>
      <c r="F600" s="1" t="s">
        <v>2508</v>
      </c>
      <c r="G600" s="1" t="s">
        <v>27</v>
      </c>
      <c r="H600" s="1" t="s">
        <v>34</v>
      </c>
      <c r="I600" s="1" t="s">
        <v>50</v>
      </c>
      <c r="J600" s="1" t="s">
        <v>4019</v>
      </c>
      <c r="K600" s="1" t="s">
        <v>2542</v>
      </c>
      <c r="L600" s="1" t="s">
        <v>3545</v>
      </c>
      <c r="M600" s="1" t="s">
        <v>34</v>
      </c>
      <c r="N600" s="1" t="s">
        <v>305</v>
      </c>
      <c r="O600" s="1" t="s">
        <v>3380</v>
      </c>
      <c r="Q600">
        <f>IFERROR(COUNTIFS(_report[TOURNAMENT_CODE],ВСЕ_КОДЫ[[#This Row],[TOURNAMENT_CODE]],_report[CONTEST_CODE],ВСЕ_КОДЫ[[#This Row],[CONTEST_CODE]]),"-")</f>
        <v>0</v>
      </c>
      <c r="R600" s="1" t="str">
        <f>IFERROR(INDEX(_SCHEDULE_[],MATCH(ВСЕ_КОДЫ[[#This Row],[CONTEST_CODE]],_SCHEDULE_[CONTEST_CODE],0),MATCH($R$1,_SCHEDULE_[#Headers],0)),"-")</f>
        <v>ЗАВЕРШЕН</v>
      </c>
      <c r="S600" s="1" t="str">
        <f>IFERROR(INDEX(_group_[],MATCH(ВСЕ_КОДЫ[[#This Row],[CONTEST_CODE]],_group_[CONTEST_CODE],0),MATCH($S$1,_group_[#Headers],0)),"-")</f>
        <v>BANK</v>
      </c>
      <c r="T600" s="1" t="str">
        <f>IFERROR(INDEX(_INDICATOR_[],MATCH(ВСЕ_КОДЫ[[#This Row],[CONTEST_CODE]],_INDICATOR_[CONTEST_CODE],0),MATCH($T$1,_INDICATOR_[#Headers],0)),"-")</f>
        <v>WAIT</v>
      </c>
      <c r="U600" s="1" t="str">
        <f>IFERROR(INDEX(_reward_link_[],MATCH(ВСЕ_КОДЫ[[#This Row],[CONTEST_CODE]],_reward_link_[CONTEST_CODE],0),MATCH($U$1,_reward_link_[#Headers],0)),"-")</f>
        <v>BANK</v>
      </c>
      <c r="V600" s="1" t="str">
        <f>IFERROR(INDEX(_report[],MATCH(ВСЕ_КОДЫ[[#This Row],[CONTEST_CODE]],_report[CONTEST_CODE],0),MATCH($V$1,_report[#Headers],0)),"-")</f>
        <v>-</v>
      </c>
      <c r="W600" s="1" t="str">
        <f>IFERROR(INDEX(_reward_[],MATCH(ВСЕ_КОДЫ[[#This Row],[REWARD_CODE]],_reward_[REWARD_CODE],0),MATCH($W$1,_reward_[#Headers],0)),"-")</f>
        <v>Золото#по продажам продуктов AI-native</v>
      </c>
      <c r="X600" s="1" t="str">
        <f>IFERROR(INDEX(_group_[],MATCH(CONCATENATE(ВСЕ_КОДЫ[[#This Row],[CONTEST_CODE]],"_",X$2),#REF!,0),MATCH(X$1,_group_[#Headers],0)),"-")</f>
        <v>-</v>
      </c>
      <c r="Y600" s="1" t="str">
        <f>IFERROR(INDEX(_group_[],MATCH(CONCATENATE(ВСЕ_КОДЫ[[#This Row],[CONTEST_CODE]],"_",Y$2),#REF!,0),MATCH(Y$1,_group_[#Headers],0)),"-")</f>
        <v>-</v>
      </c>
      <c r="Z600" s="1" t="str">
        <f>IFERROR(INDEX(_group_[],MATCH(CONCATENATE(ВСЕ_КОДЫ[[#This Row],[CONTEST_CODE]],"_",Z$2),#REF!,0),MATCH(Z$1,_group_[#Headers],0)),"-")</f>
        <v>-</v>
      </c>
      <c r="AA600" s="1" t="str">
        <f>IFERROR(INDEX(_group_[],MATCH(CONCATENATE(ВСЕ_КОДЫ[[#This Row],[CONTEST_CODE]],"_",AA$2),#REF!,0),MATCH(AA$1,_group_[#Headers],0)),"-")</f>
        <v>-</v>
      </c>
      <c r="AB600" s="1" t="str">
        <f>IFERROR(INDEX(_DATA_[],MATCH(ВСЕ_КОДЫ[[#This Row],[CONTEST_CODE]],_DATA_[CONTEST_CODE],0),MATCH($AB$2,_DATA_[#Headers],0)),"-")</f>
        <v>["""MNS"""]</v>
      </c>
      <c r="AC600" t="str">
        <f>CONCATENATE(ВСЕ_КОДЫ[[#This Row],[CONTEST_CODE]],"_",ВСЕ_КОДЫ[[#This Row],[TOURNAMENT_CODE]])</f>
        <v>02_2025-1_07-5_4_t_02_2025-1_07-5_4_2021</v>
      </c>
      <c r="AD600" t="str">
        <f>ВСЕ_КОДЫ[[#This Row],[FULL_NAME]]</f>
        <v>Лидер по продажам продуктов AI-native</v>
      </c>
    </row>
    <row r="601" spans="1:30" hidden="1" x14ac:dyDescent="0.25">
      <c r="A601" s="1" t="s">
        <v>3105</v>
      </c>
      <c r="B601" s="1" t="s">
        <v>3677</v>
      </c>
      <c r="C601" s="1" t="s">
        <v>3169</v>
      </c>
      <c r="D601" s="1" t="s">
        <v>586</v>
      </c>
      <c r="E601" s="1" t="s">
        <v>1425</v>
      </c>
      <c r="F601" s="1" t="s">
        <v>2508</v>
      </c>
      <c r="G601" s="1" t="s">
        <v>27</v>
      </c>
      <c r="H601" s="1" t="s">
        <v>34</v>
      </c>
      <c r="I601" s="1" t="s">
        <v>50</v>
      </c>
      <c r="J601" s="1" t="s">
        <v>4019</v>
      </c>
      <c r="K601" s="1" t="s">
        <v>2542</v>
      </c>
      <c r="L601" s="1" t="s">
        <v>3545</v>
      </c>
      <c r="M601" s="1" t="s">
        <v>34</v>
      </c>
      <c r="N601" s="1" t="s">
        <v>305</v>
      </c>
      <c r="O601" s="1" t="s">
        <v>3381</v>
      </c>
      <c r="Q601">
        <f>IFERROR(COUNTIFS(_report[TOURNAMENT_CODE],ВСЕ_КОДЫ[[#This Row],[TOURNAMENT_CODE]],_report[CONTEST_CODE],ВСЕ_КОДЫ[[#This Row],[CONTEST_CODE]]),"-")</f>
        <v>0</v>
      </c>
      <c r="R601" s="1" t="str">
        <f>IFERROR(INDEX(_SCHEDULE_[],MATCH(ВСЕ_КОДЫ[[#This Row],[CONTEST_CODE]],_SCHEDULE_[CONTEST_CODE],0),MATCH($R$1,_SCHEDULE_[#Headers],0)),"-")</f>
        <v>ЗАВЕРШЕН</v>
      </c>
      <c r="S601" s="1" t="str">
        <f>IFERROR(INDEX(_group_[],MATCH(ВСЕ_КОДЫ[[#This Row],[CONTEST_CODE]],_group_[CONTEST_CODE],0),MATCH($S$1,_group_[#Headers],0)),"-")</f>
        <v>BANK</v>
      </c>
      <c r="T601" s="1" t="str">
        <f>IFERROR(INDEX(_INDICATOR_[],MATCH(ВСЕ_КОДЫ[[#This Row],[CONTEST_CODE]],_INDICATOR_[CONTEST_CODE],0),MATCH($T$1,_INDICATOR_[#Headers],0)),"-")</f>
        <v>WAIT</v>
      </c>
      <c r="U601" s="1" t="str">
        <f>IFERROR(INDEX(_reward_link_[],MATCH(ВСЕ_КОДЫ[[#This Row],[CONTEST_CODE]],_reward_link_[CONTEST_CODE],0),MATCH($U$1,_reward_link_[#Headers],0)),"-")</f>
        <v>BANK</v>
      </c>
      <c r="V601" s="1" t="str">
        <f>IFERROR(INDEX(_report[],MATCH(ВСЕ_КОДЫ[[#This Row],[CONTEST_CODE]],_report[CONTEST_CODE],0),MATCH($V$1,_report[#Headers],0)),"-")</f>
        <v>-</v>
      </c>
      <c r="W601" s="1" t="str">
        <f>IFERROR(INDEX(_reward_[],MATCH(ВСЕ_КОДЫ[[#This Row],[REWARD_CODE]],_reward_[REWARD_CODE],0),MATCH($W$1,_reward_[#Headers],0)),"-")</f>
        <v>Серебро#по продажам продуктов AI-native</v>
      </c>
      <c r="X601" s="1" t="str">
        <f>IFERROR(INDEX(_group_[],MATCH(CONCATENATE(ВСЕ_КОДЫ[[#This Row],[CONTEST_CODE]],"_",X$2),#REF!,0),MATCH(X$1,_group_[#Headers],0)),"-")</f>
        <v>-</v>
      </c>
      <c r="Y601" s="1" t="str">
        <f>IFERROR(INDEX(_group_[],MATCH(CONCATENATE(ВСЕ_КОДЫ[[#This Row],[CONTEST_CODE]],"_",Y$2),#REF!,0),MATCH(Y$1,_group_[#Headers],0)),"-")</f>
        <v>-</v>
      </c>
      <c r="Z601" s="1" t="str">
        <f>IFERROR(INDEX(_group_[],MATCH(CONCATENATE(ВСЕ_КОДЫ[[#This Row],[CONTEST_CODE]],"_",Z$2),#REF!,0),MATCH(Z$1,_group_[#Headers],0)),"-")</f>
        <v>-</v>
      </c>
      <c r="AA601" s="1" t="str">
        <f>IFERROR(INDEX(_group_[],MATCH(CONCATENATE(ВСЕ_КОДЫ[[#This Row],[CONTEST_CODE]],"_",AA$2),#REF!,0),MATCH(AA$1,_group_[#Headers],0)),"-")</f>
        <v>-</v>
      </c>
      <c r="AB601" s="1" t="str">
        <f>IFERROR(INDEX(_DATA_[],MATCH(ВСЕ_КОДЫ[[#This Row],[CONTEST_CODE]],_DATA_[CONTEST_CODE],0),MATCH($AB$2,_DATA_[#Headers],0)),"-")</f>
        <v>["""MNS"""]</v>
      </c>
      <c r="AC601" t="str">
        <f>CONCATENATE(ВСЕ_КОДЫ[[#This Row],[CONTEST_CODE]],"_",ВСЕ_КОДЫ[[#This Row],[TOURNAMENT_CODE]])</f>
        <v>02_2025-1_07-5_4_t_02_2025-1_07-5_4_2021</v>
      </c>
      <c r="AD601" t="str">
        <f>ВСЕ_КОДЫ[[#This Row],[FULL_NAME]]</f>
        <v>Лидер по продажам продуктов AI-native</v>
      </c>
    </row>
    <row r="602" spans="1:30" hidden="1" x14ac:dyDescent="0.25">
      <c r="A602" s="1" t="s">
        <v>3105</v>
      </c>
      <c r="B602" s="1" t="s">
        <v>3677</v>
      </c>
      <c r="C602" s="1" t="s">
        <v>3171</v>
      </c>
      <c r="D602" s="1" t="s">
        <v>586</v>
      </c>
      <c r="E602" s="1" t="s">
        <v>1425</v>
      </c>
      <c r="F602" s="1" t="s">
        <v>2508</v>
      </c>
      <c r="G602" s="1" t="s">
        <v>27</v>
      </c>
      <c r="H602" s="1" t="s">
        <v>34</v>
      </c>
      <c r="I602" s="1" t="s">
        <v>50</v>
      </c>
      <c r="J602" s="1" t="s">
        <v>4019</v>
      </c>
      <c r="K602" s="1" t="s">
        <v>2542</v>
      </c>
      <c r="L602" s="1" t="s">
        <v>3545</v>
      </c>
      <c r="M602" s="1" t="s">
        <v>34</v>
      </c>
      <c r="N602" s="1" t="s">
        <v>305</v>
      </c>
      <c r="O602" s="1" t="s">
        <v>3382</v>
      </c>
      <c r="Q602">
        <f>IFERROR(COUNTIFS(_report[TOURNAMENT_CODE],ВСЕ_КОДЫ[[#This Row],[TOURNAMENT_CODE]],_report[CONTEST_CODE],ВСЕ_КОДЫ[[#This Row],[CONTEST_CODE]]),"-")</f>
        <v>0</v>
      </c>
      <c r="R602" s="1" t="str">
        <f>IFERROR(INDEX(_SCHEDULE_[],MATCH(ВСЕ_КОДЫ[[#This Row],[CONTEST_CODE]],_SCHEDULE_[CONTEST_CODE],0),MATCH($R$1,_SCHEDULE_[#Headers],0)),"-")</f>
        <v>ЗАВЕРШЕН</v>
      </c>
      <c r="S602" s="1" t="str">
        <f>IFERROR(INDEX(_group_[],MATCH(ВСЕ_КОДЫ[[#This Row],[CONTEST_CODE]],_group_[CONTEST_CODE],0),MATCH($S$1,_group_[#Headers],0)),"-")</f>
        <v>BANK</v>
      </c>
      <c r="T602" s="1" t="str">
        <f>IFERROR(INDEX(_INDICATOR_[],MATCH(ВСЕ_КОДЫ[[#This Row],[CONTEST_CODE]],_INDICATOR_[CONTEST_CODE],0),MATCH($T$1,_INDICATOR_[#Headers],0)),"-")</f>
        <v>WAIT</v>
      </c>
      <c r="U602" s="1" t="str">
        <f>IFERROR(INDEX(_reward_link_[],MATCH(ВСЕ_КОДЫ[[#This Row],[CONTEST_CODE]],_reward_link_[CONTEST_CODE],0),MATCH($U$1,_reward_link_[#Headers],0)),"-")</f>
        <v>BANK</v>
      </c>
      <c r="V602" s="1" t="str">
        <f>IFERROR(INDEX(_report[],MATCH(ВСЕ_КОДЫ[[#This Row],[CONTEST_CODE]],_report[CONTEST_CODE],0),MATCH($V$1,_report[#Headers],0)),"-")</f>
        <v>-</v>
      </c>
      <c r="W602" s="1" t="str">
        <f>IFERROR(INDEX(_reward_[],MATCH(ВСЕ_КОДЫ[[#This Row],[REWARD_CODE]],_reward_[REWARD_CODE],0),MATCH($W$1,_reward_[#Headers],0)),"-")</f>
        <v>Бронза#по продажам продуктов AI-native</v>
      </c>
      <c r="X602" s="1" t="str">
        <f>IFERROR(INDEX(_group_[],MATCH(CONCATENATE(ВСЕ_КОДЫ[[#This Row],[CONTEST_CODE]],"_",X$2),#REF!,0),MATCH(X$1,_group_[#Headers],0)),"-")</f>
        <v>-</v>
      </c>
      <c r="Y602" s="1" t="str">
        <f>IFERROR(INDEX(_group_[],MATCH(CONCATENATE(ВСЕ_КОДЫ[[#This Row],[CONTEST_CODE]],"_",Y$2),#REF!,0),MATCH(Y$1,_group_[#Headers],0)),"-")</f>
        <v>-</v>
      </c>
      <c r="Z602" s="1" t="str">
        <f>IFERROR(INDEX(_group_[],MATCH(CONCATENATE(ВСЕ_КОДЫ[[#This Row],[CONTEST_CODE]],"_",Z$2),#REF!,0),MATCH(Z$1,_group_[#Headers],0)),"-")</f>
        <v>-</v>
      </c>
      <c r="AA602" s="1" t="str">
        <f>IFERROR(INDEX(_group_[],MATCH(CONCATENATE(ВСЕ_КОДЫ[[#This Row],[CONTEST_CODE]],"_",AA$2),#REF!,0),MATCH(AA$1,_group_[#Headers],0)),"-")</f>
        <v>-</v>
      </c>
      <c r="AB602" s="1" t="str">
        <f>IFERROR(INDEX(_DATA_[],MATCH(ВСЕ_КОДЫ[[#This Row],[CONTEST_CODE]],_DATA_[CONTEST_CODE],0),MATCH($AB$2,_DATA_[#Headers],0)),"-")</f>
        <v>["""MNS"""]</v>
      </c>
      <c r="AC602" t="str">
        <f>CONCATENATE(ВСЕ_КОДЫ[[#This Row],[CONTEST_CODE]],"_",ВСЕ_КОДЫ[[#This Row],[TOURNAMENT_CODE]])</f>
        <v>02_2025-1_07-5_4_t_02_2025-1_07-5_4_2021</v>
      </c>
      <c r="AD602" t="str">
        <f>ВСЕ_КОДЫ[[#This Row],[FULL_NAME]]</f>
        <v>Лидер по продажам продуктов AI-native</v>
      </c>
    </row>
    <row r="603" spans="1:30" hidden="1" x14ac:dyDescent="0.25">
      <c r="A603" s="1" t="s">
        <v>3108</v>
      </c>
      <c r="B603" s="1" t="s">
        <v>3251</v>
      </c>
      <c r="C603" s="1" t="s">
        <v>3173</v>
      </c>
      <c r="D603" s="1" t="s">
        <v>583</v>
      </c>
      <c r="E603" s="1" t="s">
        <v>3293</v>
      </c>
      <c r="F603" s="1" t="s">
        <v>2508</v>
      </c>
      <c r="G603" s="1" t="s">
        <v>27</v>
      </c>
      <c r="H603" s="1" t="s">
        <v>34</v>
      </c>
      <c r="I603" s="1" t="s">
        <v>50</v>
      </c>
      <c r="J603" s="1" t="s">
        <v>2508</v>
      </c>
      <c r="K603" s="1" t="s">
        <v>2534</v>
      </c>
      <c r="L603" s="1" t="s">
        <v>4152</v>
      </c>
      <c r="M603" s="1" t="s">
        <v>176</v>
      </c>
      <c r="N603" s="1" t="s">
        <v>305</v>
      </c>
      <c r="O603" s="1" t="s">
        <v>3393</v>
      </c>
      <c r="Q603">
        <f>IFERROR(COUNTIFS(_report[TOURNAMENT_CODE],ВСЕ_КОДЫ[[#This Row],[TOURNAMENT_CODE]],_report[CONTEST_CODE],ВСЕ_КОДЫ[[#This Row],[CONTEST_CODE]]),"-")</f>
        <v>0</v>
      </c>
      <c r="R603" s="1" t="str">
        <f>IFERROR(INDEX(_SCHEDULE_[],MATCH(ВСЕ_КОДЫ[[#This Row],[CONTEST_CODE]],_SCHEDULE_[CONTEST_CODE],0),MATCH($R$1,_SCHEDULE_[#Headers],0)),"-")</f>
        <v>ЗАВЕРШЕН</v>
      </c>
      <c r="S603" s="1" t="str">
        <f>IFERROR(INDEX(_group_[],MATCH(ВСЕ_КОДЫ[[#This Row],[CONTEST_CODE]],_group_[CONTEST_CODE],0),MATCH($S$1,_group_[#Headers],0)),"-")</f>
        <v>BANK</v>
      </c>
      <c r="T603" s="1" t="str">
        <f>IFERROR(INDEX(_INDICATOR_[],MATCH(ВСЕ_КОДЫ[[#This Row],[CONTEST_CODE]],_INDICATOR_[CONTEST_CODE],0),MATCH($T$1,_INDICATOR_[#Headers],0)),"-")</f>
        <v>WAIT</v>
      </c>
      <c r="U603" s="1" t="str">
        <f>IFERROR(INDEX(_reward_link_[],MATCH(ВСЕ_КОДЫ[[#This Row],[CONTEST_CODE]],_reward_link_[CONTEST_CODE],0),MATCH($U$1,_reward_link_[#Headers],0)),"-")</f>
        <v>BANK</v>
      </c>
      <c r="V603" s="1" t="str">
        <f>IFERROR(INDEX(_report[],MATCH(ВСЕ_КОДЫ[[#This Row],[CONTEST_CODE]],_report[CONTEST_CODE],0),MATCH($V$1,_report[#Headers],0)),"-")</f>
        <v>-</v>
      </c>
      <c r="W603" s="1" t="str">
        <f>IFERROR(INDEX(_reward_[],MATCH(ВСЕ_КОДЫ[[#This Row],[REWARD_CODE]],_reward_[REWARD_CODE],0),MATCH($W$1,_reward_[#Headers],0)),"-")</f>
        <v>Золото#по продуктам HR</v>
      </c>
      <c r="X603" s="1" t="str">
        <f>IFERROR(INDEX(_group_[],MATCH(CONCATENATE(ВСЕ_КОДЫ[[#This Row],[CONTEST_CODE]],"_",X$2),#REF!,0),MATCH(X$1,_group_[#Headers],0)),"-")</f>
        <v>-</v>
      </c>
      <c r="Y603" s="1" t="str">
        <f>IFERROR(INDEX(_group_[],MATCH(CONCATENATE(ВСЕ_КОДЫ[[#This Row],[CONTEST_CODE]],"_",Y$2),#REF!,0),MATCH(Y$1,_group_[#Headers],0)),"-")</f>
        <v>-</v>
      </c>
      <c r="Z603" s="1" t="str">
        <f>IFERROR(INDEX(_group_[],MATCH(CONCATENATE(ВСЕ_КОДЫ[[#This Row],[CONTEST_CODE]],"_",Z$2),#REF!,0),MATCH(Z$1,_group_[#Headers],0)),"-")</f>
        <v>-</v>
      </c>
      <c r="AA603" s="1" t="str">
        <f>IFERROR(INDEX(_group_[],MATCH(CONCATENATE(ВСЕ_КОДЫ[[#This Row],[CONTEST_CODE]],"_",AA$2),#REF!,0),MATCH(AA$1,_group_[#Headers],0)),"-")</f>
        <v>-</v>
      </c>
      <c r="AB603" s="1" t="str">
        <f>IFERROR(INDEX(_DATA_[],MATCH(ВСЕ_КОДЫ[[#This Row],[CONTEST_CODE]],_DATA_[CONTEST_CODE],0),MATCH($AB$2,_DATA_[#Headers],0)),"-")</f>
        <v>["""MNS"""]</v>
      </c>
      <c r="AC603" t="str">
        <f>CONCATENATE(ВСЕ_КОДЫ[[#This Row],[CONTEST_CODE]],"_",ВСЕ_КОДЫ[[#This Row],[TOURNAMENT_CODE]])</f>
        <v>02_2025-1_07-7_1_t_02_2025-1_07-7_1_2011</v>
      </c>
      <c r="AD603" t="str">
        <f>ВСЕ_КОДЫ[[#This Row],[FULL_NAME]]</f>
        <v>Лидер по продажам продуктов HR направления</v>
      </c>
    </row>
    <row r="604" spans="1:30" hidden="1" x14ac:dyDescent="0.25">
      <c r="A604" s="1" t="s">
        <v>3108</v>
      </c>
      <c r="B604" s="1" t="s">
        <v>3251</v>
      </c>
      <c r="C604" s="1" t="s">
        <v>3175</v>
      </c>
      <c r="D604" s="1" t="s">
        <v>586</v>
      </c>
      <c r="E604" s="1" t="s">
        <v>3293</v>
      </c>
      <c r="F604" s="1" t="s">
        <v>2508</v>
      </c>
      <c r="G604" s="1" t="s">
        <v>27</v>
      </c>
      <c r="H604" s="1" t="s">
        <v>34</v>
      </c>
      <c r="I604" s="1" t="s">
        <v>50</v>
      </c>
      <c r="J604" s="1" t="s">
        <v>2508</v>
      </c>
      <c r="K604" s="1" t="s">
        <v>2534</v>
      </c>
      <c r="L604" s="1" t="s">
        <v>4152</v>
      </c>
      <c r="M604" s="1" t="s">
        <v>176</v>
      </c>
      <c r="N604" s="1" t="s">
        <v>305</v>
      </c>
      <c r="O604" s="1" t="s">
        <v>3394</v>
      </c>
      <c r="Q604">
        <f>IFERROR(COUNTIFS(_report[TOURNAMENT_CODE],ВСЕ_КОДЫ[[#This Row],[TOURNAMENT_CODE]],_report[CONTEST_CODE],ВСЕ_КОДЫ[[#This Row],[CONTEST_CODE]]),"-")</f>
        <v>0</v>
      </c>
      <c r="R604" s="1" t="str">
        <f>IFERROR(INDEX(_SCHEDULE_[],MATCH(ВСЕ_КОДЫ[[#This Row],[CONTEST_CODE]],_SCHEDULE_[CONTEST_CODE],0),MATCH($R$1,_SCHEDULE_[#Headers],0)),"-")</f>
        <v>ЗАВЕРШЕН</v>
      </c>
      <c r="S604" s="1" t="str">
        <f>IFERROR(INDEX(_group_[],MATCH(ВСЕ_КОДЫ[[#This Row],[CONTEST_CODE]],_group_[CONTEST_CODE],0),MATCH($S$1,_group_[#Headers],0)),"-")</f>
        <v>BANK</v>
      </c>
      <c r="T604" s="1" t="str">
        <f>IFERROR(INDEX(_INDICATOR_[],MATCH(ВСЕ_КОДЫ[[#This Row],[CONTEST_CODE]],_INDICATOR_[CONTEST_CODE],0),MATCH($T$1,_INDICATOR_[#Headers],0)),"-")</f>
        <v>WAIT</v>
      </c>
      <c r="U604" s="1" t="str">
        <f>IFERROR(INDEX(_reward_link_[],MATCH(ВСЕ_КОДЫ[[#This Row],[CONTEST_CODE]],_reward_link_[CONTEST_CODE],0),MATCH($U$1,_reward_link_[#Headers],0)),"-")</f>
        <v>BANK</v>
      </c>
      <c r="V604" s="1" t="str">
        <f>IFERROR(INDEX(_report[],MATCH(ВСЕ_КОДЫ[[#This Row],[CONTEST_CODE]],_report[CONTEST_CODE],0),MATCH($V$1,_report[#Headers],0)),"-")</f>
        <v>-</v>
      </c>
      <c r="W604" s="1" t="str">
        <f>IFERROR(INDEX(_reward_[],MATCH(ВСЕ_КОДЫ[[#This Row],[REWARD_CODE]],_reward_[REWARD_CODE],0),MATCH($W$1,_reward_[#Headers],0)),"-")</f>
        <v>Серебро#по продуктам HR</v>
      </c>
      <c r="X604" s="1" t="str">
        <f>IFERROR(INDEX(_group_[],MATCH(CONCATENATE(ВСЕ_КОДЫ[[#This Row],[CONTEST_CODE]],"_",X$2),#REF!,0),MATCH(X$1,_group_[#Headers],0)),"-")</f>
        <v>-</v>
      </c>
      <c r="Y604" s="1" t="str">
        <f>IFERROR(INDEX(_group_[],MATCH(CONCATENATE(ВСЕ_КОДЫ[[#This Row],[CONTEST_CODE]],"_",Y$2),#REF!,0),MATCH(Y$1,_group_[#Headers],0)),"-")</f>
        <v>-</v>
      </c>
      <c r="Z604" s="1" t="str">
        <f>IFERROR(INDEX(_group_[],MATCH(CONCATENATE(ВСЕ_КОДЫ[[#This Row],[CONTEST_CODE]],"_",Z$2),#REF!,0),MATCH(Z$1,_group_[#Headers],0)),"-")</f>
        <v>-</v>
      </c>
      <c r="AA604" s="1" t="str">
        <f>IFERROR(INDEX(_group_[],MATCH(CONCATENATE(ВСЕ_КОДЫ[[#This Row],[CONTEST_CODE]],"_",AA$2),#REF!,0),MATCH(AA$1,_group_[#Headers],0)),"-")</f>
        <v>-</v>
      </c>
      <c r="AB604" s="1" t="str">
        <f>IFERROR(INDEX(_DATA_[],MATCH(ВСЕ_КОДЫ[[#This Row],[CONTEST_CODE]],_DATA_[CONTEST_CODE],0),MATCH($AB$2,_DATA_[#Headers],0)),"-")</f>
        <v>["""MNS"""]</v>
      </c>
      <c r="AC604" t="str">
        <f>CONCATENATE(ВСЕ_КОДЫ[[#This Row],[CONTEST_CODE]],"_",ВСЕ_КОДЫ[[#This Row],[TOURNAMENT_CODE]])</f>
        <v>02_2025-1_07-7_1_t_02_2025-1_07-7_1_2011</v>
      </c>
      <c r="AD604" t="str">
        <f>ВСЕ_КОДЫ[[#This Row],[FULL_NAME]]</f>
        <v>Лидер по продажам продуктов HR направления</v>
      </c>
    </row>
    <row r="605" spans="1:30" hidden="1" x14ac:dyDescent="0.25">
      <c r="A605" s="1" t="s">
        <v>3108</v>
      </c>
      <c r="B605" s="1" t="s">
        <v>3251</v>
      </c>
      <c r="C605" s="1" t="s">
        <v>3177</v>
      </c>
      <c r="D605" s="1" t="s">
        <v>586</v>
      </c>
      <c r="E605" s="1" t="s">
        <v>3293</v>
      </c>
      <c r="F605" s="1" t="s">
        <v>2508</v>
      </c>
      <c r="G605" s="1" t="s">
        <v>27</v>
      </c>
      <c r="H605" s="1" t="s">
        <v>34</v>
      </c>
      <c r="I605" s="1" t="s">
        <v>50</v>
      </c>
      <c r="J605" s="1" t="s">
        <v>2508</v>
      </c>
      <c r="K605" s="1" t="s">
        <v>2534</v>
      </c>
      <c r="L605" s="1" t="s">
        <v>4152</v>
      </c>
      <c r="M605" s="1" t="s">
        <v>176</v>
      </c>
      <c r="N605" s="1" t="s">
        <v>305</v>
      </c>
      <c r="O605" s="1" t="s">
        <v>3395</v>
      </c>
      <c r="Q605">
        <f>IFERROR(COUNTIFS(_report[TOURNAMENT_CODE],ВСЕ_КОДЫ[[#This Row],[TOURNAMENT_CODE]],_report[CONTEST_CODE],ВСЕ_КОДЫ[[#This Row],[CONTEST_CODE]]),"-")</f>
        <v>0</v>
      </c>
      <c r="R605" s="1" t="str">
        <f>IFERROR(INDEX(_SCHEDULE_[],MATCH(ВСЕ_КОДЫ[[#This Row],[CONTEST_CODE]],_SCHEDULE_[CONTEST_CODE],0),MATCH($R$1,_SCHEDULE_[#Headers],0)),"-")</f>
        <v>ЗАВЕРШЕН</v>
      </c>
      <c r="S605" s="1" t="str">
        <f>IFERROR(INDEX(_group_[],MATCH(ВСЕ_КОДЫ[[#This Row],[CONTEST_CODE]],_group_[CONTEST_CODE],0),MATCH($S$1,_group_[#Headers],0)),"-")</f>
        <v>BANK</v>
      </c>
      <c r="T605" s="1" t="str">
        <f>IFERROR(INDEX(_INDICATOR_[],MATCH(ВСЕ_КОДЫ[[#This Row],[CONTEST_CODE]],_INDICATOR_[CONTEST_CODE],0),MATCH($T$1,_INDICATOR_[#Headers],0)),"-")</f>
        <v>WAIT</v>
      </c>
      <c r="U605" s="1" t="str">
        <f>IFERROR(INDEX(_reward_link_[],MATCH(ВСЕ_КОДЫ[[#This Row],[CONTEST_CODE]],_reward_link_[CONTEST_CODE],0),MATCH($U$1,_reward_link_[#Headers],0)),"-")</f>
        <v>BANK</v>
      </c>
      <c r="V605" s="1" t="str">
        <f>IFERROR(INDEX(_report[],MATCH(ВСЕ_КОДЫ[[#This Row],[CONTEST_CODE]],_report[CONTEST_CODE],0),MATCH($V$1,_report[#Headers],0)),"-")</f>
        <v>-</v>
      </c>
      <c r="W605" s="1" t="str">
        <f>IFERROR(INDEX(_reward_[],MATCH(ВСЕ_КОДЫ[[#This Row],[REWARD_CODE]],_reward_[REWARD_CODE],0),MATCH($W$1,_reward_[#Headers],0)),"-")</f>
        <v>Бронза#по продуктам HR</v>
      </c>
      <c r="X605" s="1" t="str">
        <f>IFERROR(INDEX(_group_[],MATCH(CONCATENATE(ВСЕ_КОДЫ[[#This Row],[CONTEST_CODE]],"_",X$2),#REF!,0),MATCH(X$1,_group_[#Headers],0)),"-")</f>
        <v>-</v>
      </c>
      <c r="Y605" s="1" t="str">
        <f>IFERROR(INDEX(_group_[],MATCH(CONCATENATE(ВСЕ_КОДЫ[[#This Row],[CONTEST_CODE]],"_",Y$2),#REF!,0),MATCH(Y$1,_group_[#Headers],0)),"-")</f>
        <v>-</v>
      </c>
      <c r="Z605" s="1" t="str">
        <f>IFERROR(INDEX(_group_[],MATCH(CONCATENATE(ВСЕ_КОДЫ[[#This Row],[CONTEST_CODE]],"_",Z$2),#REF!,0),MATCH(Z$1,_group_[#Headers],0)),"-")</f>
        <v>-</v>
      </c>
      <c r="AA605" s="1" t="str">
        <f>IFERROR(INDEX(_group_[],MATCH(CONCATENATE(ВСЕ_КОДЫ[[#This Row],[CONTEST_CODE]],"_",AA$2),#REF!,0),MATCH(AA$1,_group_[#Headers],0)),"-")</f>
        <v>-</v>
      </c>
      <c r="AB605" s="1" t="str">
        <f>IFERROR(INDEX(_DATA_[],MATCH(ВСЕ_КОДЫ[[#This Row],[CONTEST_CODE]],_DATA_[CONTEST_CODE],0),MATCH($AB$2,_DATA_[#Headers],0)),"-")</f>
        <v>["""MNS"""]</v>
      </c>
      <c r="AC605" t="str">
        <f>CONCATENATE(ВСЕ_КОДЫ[[#This Row],[CONTEST_CODE]],"_",ВСЕ_КОДЫ[[#This Row],[TOURNAMENT_CODE]])</f>
        <v>02_2025-1_07-7_1_t_02_2025-1_07-7_1_2011</v>
      </c>
      <c r="AD605" t="str">
        <f>ВСЕ_КОДЫ[[#This Row],[FULL_NAME]]</f>
        <v>Лидер по продажам продуктов HR направления</v>
      </c>
    </row>
    <row r="606" spans="1:30" hidden="1" x14ac:dyDescent="0.25">
      <c r="A606" s="1" t="s">
        <v>3108</v>
      </c>
      <c r="B606" s="1" t="s">
        <v>3679</v>
      </c>
      <c r="C606" s="1" t="s">
        <v>3173</v>
      </c>
      <c r="D606" s="1" t="s">
        <v>583</v>
      </c>
      <c r="E606" s="1" t="s">
        <v>3293</v>
      </c>
      <c r="F606" s="1" t="s">
        <v>2508</v>
      </c>
      <c r="G606" s="1" t="s">
        <v>27</v>
      </c>
      <c r="H606" s="1" t="s">
        <v>34</v>
      </c>
      <c r="I606" s="1" t="s">
        <v>50</v>
      </c>
      <c r="J606" s="1" t="s">
        <v>4019</v>
      </c>
      <c r="K606" s="1" t="s">
        <v>2542</v>
      </c>
      <c r="L606" s="1" t="s">
        <v>3545</v>
      </c>
      <c r="M606" s="1" t="s">
        <v>34</v>
      </c>
      <c r="N606" s="1" t="s">
        <v>305</v>
      </c>
      <c r="O606" s="1" t="s">
        <v>3393</v>
      </c>
      <c r="Q606">
        <f>IFERROR(COUNTIFS(_report[TOURNAMENT_CODE],ВСЕ_КОДЫ[[#This Row],[TOURNAMENT_CODE]],_report[CONTEST_CODE],ВСЕ_КОДЫ[[#This Row],[CONTEST_CODE]]),"-")</f>
        <v>0</v>
      </c>
      <c r="R606" s="1" t="str">
        <f>IFERROR(INDEX(_SCHEDULE_[],MATCH(ВСЕ_КОДЫ[[#This Row],[CONTEST_CODE]],_SCHEDULE_[CONTEST_CODE],0),MATCH($R$1,_SCHEDULE_[#Headers],0)),"-")</f>
        <v>ЗАВЕРШЕН</v>
      </c>
      <c r="S606" s="1" t="str">
        <f>IFERROR(INDEX(_group_[],MATCH(ВСЕ_КОДЫ[[#This Row],[CONTEST_CODE]],_group_[CONTEST_CODE],0),MATCH($S$1,_group_[#Headers],0)),"-")</f>
        <v>BANK</v>
      </c>
      <c r="T606" s="1" t="str">
        <f>IFERROR(INDEX(_INDICATOR_[],MATCH(ВСЕ_КОДЫ[[#This Row],[CONTEST_CODE]],_INDICATOR_[CONTEST_CODE],0),MATCH($T$1,_INDICATOR_[#Headers],0)),"-")</f>
        <v>WAIT</v>
      </c>
      <c r="U606" s="1" t="str">
        <f>IFERROR(INDEX(_reward_link_[],MATCH(ВСЕ_КОДЫ[[#This Row],[CONTEST_CODE]],_reward_link_[CONTEST_CODE],0),MATCH($U$1,_reward_link_[#Headers],0)),"-")</f>
        <v>BANK</v>
      </c>
      <c r="V606" s="1" t="str">
        <f>IFERROR(INDEX(_report[],MATCH(ВСЕ_КОДЫ[[#This Row],[CONTEST_CODE]],_report[CONTEST_CODE],0),MATCH($V$1,_report[#Headers],0)),"-")</f>
        <v>-</v>
      </c>
      <c r="W606" s="1" t="str">
        <f>IFERROR(INDEX(_reward_[],MATCH(ВСЕ_КОДЫ[[#This Row],[REWARD_CODE]],_reward_[REWARD_CODE],0),MATCH($W$1,_reward_[#Headers],0)),"-")</f>
        <v>Золото#по продуктам HR</v>
      </c>
      <c r="X606" s="1" t="str">
        <f>IFERROR(INDEX(_group_[],MATCH(CONCATENATE(ВСЕ_КОДЫ[[#This Row],[CONTEST_CODE]],"_",X$2),#REF!,0),MATCH(X$1,_group_[#Headers],0)),"-")</f>
        <v>-</v>
      </c>
      <c r="Y606" s="1" t="str">
        <f>IFERROR(INDEX(_group_[],MATCH(CONCATENATE(ВСЕ_КОДЫ[[#This Row],[CONTEST_CODE]],"_",Y$2),#REF!,0),MATCH(Y$1,_group_[#Headers],0)),"-")</f>
        <v>-</v>
      </c>
      <c r="Z606" s="1" t="str">
        <f>IFERROR(INDEX(_group_[],MATCH(CONCATENATE(ВСЕ_КОДЫ[[#This Row],[CONTEST_CODE]],"_",Z$2),#REF!,0),MATCH(Z$1,_group_[#Headers],0)),"-")</f>
        <v>-</v>
      </c>
      <c r="AA606" s="1" t="str">
        <f>IFERROR(INDEX(_group_[],MATCH(CONCATENATE(ВСЕ_КОДЫ[[#This Row],[CONTEST_CODE]],"_",AA$2),#REF!,0),MATCH(AA$1,_group_[#Headers],0)),"-")</f>
        <v>-</v>
      </c>
      <c r="AB606" s="1" t="str">
        <f>IFERROR(INDEX(_DATA_[],MATCH(ВСЕ_КОДЫ[[#This Row],[CONTEST_CODE]],_DATA_[CONTEST_CODE],0),MATCH($AB$2,_DATA_[#Headers],0)),"-")</f>
        <v>["""MNS"""]</v>
      </c>
      <c r="AC606" t="str">
        <f>CONCATENATE(ВСЕ_КОДЫ[[#This Row],[CONTEST_CODE]],"_",ВСЕ_КОДЫ[[#This Row],[TOURNAMENT_CODE]])</f>
        <v>02_2025-1_07-7_1_t_02_2025-1_07-7_1_2021</v>
      </c>
      <c r="AD606" t="str">
        <f>ВСЕ_КОДЫ[[#This Row],[FULL_NAME]]</f>
        <v>Лидер по продажам продуктов HR направления</v>
      </c>
    </row>
    <row r="607" spans="1:30" hidden="1" x14ac:dyDescent="0.25">
      <c r="A607" s="1" t="s">
        <v>3108</v>
      </c>
      <c r="B607" s="1" t="s">
        <v>3679</v>
      </c>
      <c r="C607" s="1" t="s">
        <v>3175</v>
      </c>
      <c r="D607" s="1" t="s">
        <v>586</v>
      </c>
      <c r="E607" s="1" t="s">
        <v>3293</v>
      </c>
      <c r="F607" s="1" t="s">
        <v>2508</v>
      </c>
      <c r="G607" s="1" t="s">
        <v>27</v>
      </c>
      <c r="H607" s="1" t="s">
        <v>34</v>
      </c>
      <c r="I607" s="1" t="s">
        <v>50</v>
      </c>
      <c r="J607" s="1" t="s">
        <v>4019</v>
      </c>
      <c r="K607" s="1" t="s">
        <v>2542</v>
      </c>
      <c r="L607" s="1" t="s">
        <v>3545</v>
      </c>
      <c r="M607" s="1" t="s">
        <v>34</v>
      </c>
      <c r="N607" s="1" t="s">
        <v>305</v>
      </c>
      <c r="O607" s="1" t="s">
        <v>3394</v>
      </c>
      <c r="Q607">
        <f>IFERROR(COUNTIFS(_report[TOURNAMENT_CODE],ВСЕ_КОДЫ[[#This Row],[TOURNAMENT_CODE]],_report[CONTEST_CODE],ВСЕ_КОДЫ[[#This Row],[CONTEST_CODE]]),"-")</f>
        <v>0</v>
      </c>
      <c r="R607" s="1" t="str">
        <f>IFERROR(INDEX(_SCHEDULE_[],MATCH(ВСЕ_КОДЫ[[#This Row],[CONTEST_CODE]],_SCHEDULE_[CONTEST_CODE],0),MATCH($R$1,_SCHEDULE_[#Headers],0)),"-")</f>
        <v>ЗАВЕРШЕН</v>
      </c>
      <c r="S607" s="1" t="str">
        <f>IFERROR(INDEX(_group_[],MATCH(ВСЕ_КОДЫ[[#This Row],[CONTEST_CODE]],_group_[CONTEST_CODE],0),MATCH($S$1,_group_[#Headers],0)),"-")</f>
        <v>BANK</v>
      </c>
      <c r="T607" s="1" t="str">
        <f>IFERROR(INDEX(_INDICATOR_[],MATCH(ВСЕ_КОДЫ[[#This Row],[CONTEST_CODE]],_INDICATOR_[CONTEST_CODE],0),MATCH($T$1,_INDICATOR_[#Headers],0)),"-")</f>
        <v>WAIT</v>
      </c>
      <c r="U607" s="1" t="str">
        <f>IFERROR(INDEX(_reward_link_[],MATCH(ВСЕ_КОДЫ[[#This Row],[CONTEST_CODE]],_reward_link_[CONTEST_CODE],0),MATCH($U$1,_reward_link_[#Headers],0)),"-")</f>
        <v>BANK</v>
      </c>
      <c r="V607" s="1" t="str">
        <f>IFERROR(INDEX(_report[],MATCH(ВСЕ_КОДЫ[[#This Row],[CONTEST_CODE]],_report[CONTEST_CODE],0),MATCH($V$1,_report[#Headers],0)),"-")</f>
        <v>-</v>
      </c>
      <c r="W607" s="1" t="str">
        <f>IFERROR(INDEX(_reward_[],MATCH(ВСЕ_КОДЫ[[#This Row],[REWARD_CODE]],_reward_[REWARD_CODE],0),MATCH($W$1,_reward_[#Headers],0)),"-")</f>
        <v>Серебро#по продуктам HR</v>
      </c>
      <c r="X607" s="1" t="str">
        <f>IFERROR(INDEX(_group_[],MATCH(CONCATENATE(ВСЕ_КОДЫ[[#This Row],[CONTEST_CODE]],"_",X$2),#REF!,0),MATCH(X$1,_group_[#Headers],0)),"-")</f>
        <v>-</v>
      </c>
      <c r="Y607" s="1" t="str">
        <f>IFERROR(INDEX(_group_[],MATCH(CONCATENATE(ВСЕ_КОДЫ[[#This Row],[CONTEST_CODE]],"_",Y$2),#REF!,0),MATCH(Y$1,_group_[#Headers],0)),"-")</f>
        <v>-</v>
      </c>
      <c r="Z607" s="1" t="str">
        <f>IFERROR(INDEX(_group_[],MATCH(CONCATENATE(ВСЕ_КОДЫ[[#This Row],[CONTEST_CODE]],"_",Z$2),#REF!,0),MATCH(Z$1,_group_[#Headers],0)),"-")</f>
        <v>-</v>
      </c>
      <c r="AA607" s="1" t="str">
        <f>IFERROR(INDEX(_group_[],MATCH(CONCATENATE(ВСЕ_КОДЫ[[#This Row],[CONTEST_CODE]],"_",AA$2),#REF!,0),MATCH(AA$1,_group_[#Headers],0)),"-")</f>
        <v>-</v>
      </c>
      <c r="AB607" s="1" t="str">
        <f>IFERROR(INDEX(_DATA_[],MATCH(ВСЕ_КОДЫ[[#This Row],[CONTEST_CODE]],_DATA_[CONTEST_CODE],0),MATCH($AB$2,_DATA_[#Headers],0)),"-")</f>
        <v>["""MNS"""]</v>
      </c>
      <c r="AC607" t="str">
        <f>CONCATENATE(ВСЕ_КОДЫ[[#This Row],[CONTEST_CODE]],"_",ВСЕ_КОДЫ[[#This Row],[TOURNAMENT_CODE]])</f>
        <v>02_2025-1_07-7_1_t_02_2025-1_07-7_1_2021</v>
      </c>
      <c r="AD607" t="str">
        <f>ВСЕ_КОДЫ[[#This Row],[FULL_NAME]]</f>
        <v>Лидер по продажам продуктов HR направления</v>
      </c>
    </row>
    <row r="608" spans="1:30" hidden="1" x14ac:dyDescent="0.25">
      <c r="A608" s="1" t="s">
        <v>3108</v>
      </c>
      <c r="B608" s="1" t="s">
        <v>3679</v>
      </c>
      <c r="C608" s="1" t="s">
        <v>3177</v>
      </c>
      <c r="D608" s="1" t="s">
        <v>586</v>
      </c>
      <c r="E608" s="1" t="s">
        <v>3293</v>
      </c>
      <c r="F608" s="1" t="s">
        <v>2508</v>
      </c>
      <c r="G608" s="1" t="s">
        <v>27</v>
      </c>
      <c r="H608" s="1" t="s">
        <v>34</v>
      </c>
      <c r="I608" s="1" t="s">
        <v>50</v>
      </c>
      <c r="J608" s="1" t="s">
        <v>4019</v>
      </c>
      <c r="K608" s="1" t="s">
        <v>2542</v>
      </c>
      <c r="L608" s="1" t="s">
        <v>3545</v>
      </c>
      <c r="M608" s="1" t="s">
        <v>34</v>
      </c>
      <c r="N608" s="1" t="s">
        <v>305</v>
      </c>
      <c r="O608" s="1" t="s">
        <v>3395</v>
      </c>
      <c r="Q608">
        <f>IFERROR(COUNTIFS(_report[TOURNAMENT_CODE],ВСЕ_КОДЫ[[#This Row],[TOURNAMENT_CODE]],_report[CONTEST_CODE],ВСЕ_КОДЫ[[#This Row],[CONTEST_CODE]]),"-")</f>
        <v>0</v>
      </c>
      <c r="R608" s="1" t="str">
        <f>IFERROR(INDEX(_SCHEDULE_[],MATCH(ВСЕ_КОДЫ[[#This Row],[CONTEST_CODE]],_SCHEDULE_[CONTEST_CODE],0),MATCH($R$1,_SCHEDULE_[#Headers],0)),"-")</f>
        <v>ЗАВЕРШЕН</v>
      </c>
      <c r="S608" s="1" t="str">
        <f>IFERROR(INDEX(_group_[],MATCH(ВСЕ_КОДЫ[[#This Row],[CONTEST_CODE]],_group_[CONTEST_CODE],0),MATCH($S$1,_group_[#Headers],0)),"-")</f>
        <v>BANK</v>
      </c>
      <c r="T608" s="1" t="str">
        <f>IFERROR(INDEX(_INDICATOR_[],MATCH(ВСЕ_КОДЫ[[#This Row],[CONTEST_CODE]],_INDICATOR_[CONTEST_CODE],0),MATCH($T$1,_INDICATOR_[#Headers],0)),"-")</f>
        <v>WAIT</v>
      </c>
      <c r="U608" s="1" t="str">
        <f>IFERROR(INDEX(_reward_link_[],MATCH(ВСЕ_КОДЫ[[#This Row],[CONTEST_CODE]],_reward_link_[CONTEST_CODE],0),MATCH($U$1,_reward_link_[#Headers],0)),"-")</f>
        <v>BANK</v>
      </c>
      <c r="V608" s="1" t="str">
        <f>IFERROR(INDEX(_report[],MATCH(ВСЕ_КОДЫ[[#This Row],[CONTEST_CODE]],_report[CONTEST_CODE],0),MATCH($V$1,_report[#Headers],0)),"-")</f>
        <v>-</v>
      </c>
      <c r="W608" s="1" t="str">
        <f>IFERROR(INDEX(_reward_[],MATCH(ВСЕ_КОДЫ[[#This Row],[REWARD_CODE]],_reward_[REWARD_CODE],0),MATCH($W$1,_reward_[#Headers],0)),"-")</f>
        <v>Бронза#по продуктам HR</v>
      </c>
      <c r="X608" s="1" t="str">
        <f>IFERROR(INDEX(_group_[],MATCH(CONCATENATE(ВСЕ_КОДЫ[[#This Row],[CONTEST_CODE]],"_",X$2),#REF!,0),MATCH(X$1,_group_[#Headers],0)),"-")</f>
        <v>-</v>
      </c>
      <c r="Y608" s="1" t="str">
        <f>IFERROR(INDEX(_group_[],MATCH(CONCATENATE(ВСЕ_КОДЫ[[#This Row],[CONTEST_CODE]],"_",Y$2),#REF!,0),MATCH(Y$1,_group_[#Headers],0)),"-")</f>
        <v>-</v>
      </c>
      <c r="Z608" s="1" t="str">
        <f>IFERROR(INDEX(_group_[],MATCH(CONCATENATE(ВСЕ_КОДЫ[[#This Row],[CONTEST_CODE]],"_",Z$2),#REF!,0),MATCH(Z$1,_group_[#Headers],0)),"-")</f>
        <v>-</v>
      </c>
      <c r="AA608" s="1" t="str">
        <f>IFERROR(INDEX(_group_[],MATCH(CONCATENATE(ВСЕ_КОДЫ[[#This Row],[CONTEST_CODE]],"_",AA$2),#REF!,0),MATCH(AA$1,_group_[#Headers],0)),"-")</f>
        <v>-</v>
      </c>
      <c r="AB608" s="1" t="str">
        <f>IFERROR(INDEX(_DATA_[],MATCH(ВСЕ_КОДЫ[[#This Row],[CONTEST_CODE]],_DATA_[CONTEST_CODE],0),MATCH($AB$2,_DATA_[#Headers],0)),"-")</f>
        <v>["""MNS"""]</v>
      </c>
      <c r="AC608" t="str">
        <f>CONCATENATE(ВСЕ_КОДЫ[[#This Row],[CONTEST_CODE]],"_",ВСЕ_КОДЫ[[#This Row],[TOURNAMENT_CODE]])</f>
        <v>02_2025-1_07-7_1_t_02_2025-1_07-7_1_2021</v>
      </c>
      <c r="AD608" t="str">
        <f>ВСЕ_КОДЫ[[#This Row],[FULL_NAME]]</f>
        <v>Лидер по продажам продуктов HR направления</v>
      </c>
    </row>
    <row r="609" spans="1:30" hidden="1" x14ac:dyDescent="0.25">
      <c r="A609" s="1" t="s">
        <v>3111</v>
      </c>
      <c r="B609" s="1" t="s">
        <v>3253</v>
      </c>
      <c r="C609" s="1" t="s">
        <v>3179</v>
      </c>
      <c r="D609" s="1" t="s">
        <v>583</v>
      </c>
      <c r="E609" s="1" t="s">
        <v>3295</v>
      </c>
      <c r="F609" s="1" t="s">
        <v>2508</v>
      </c>
      <c r="G609" s="1" t="s">
        <v>27</v>
      </c>
      <c r="H609" s="1" t="s">
        <v>34</v>
      </c>
      <c r="I609" s="1" t="s">
        <v>50</v>
      </c>
      <c r="J609" s="1" t="s">
        <v>2508</v>
      </c>
      <c r="K609" s="1" t="s">
        <v>2534</v>
      </c>
      <c r="L609" s="1" t="s">
        <v>4152</v>
      </c>
      <c r="M609" s="1" t="s">
        <v>176</v>
      </c>
      <c r="N609" s="1" t="s">
        <v>305</v>
      </c>
      <c r="O609" s="1" t="s">
        <v>3396</v>
      </c>
      <c r="Q609">
        <f>IFERROR(COUNTIFS(_report[TOURNAMENT_CODE],ВСЕ_КОДЫ[[#This Row],[TOURNAMENT_CODE]],_report[CONTEST_CODE],ВСЕ_КОДЫ[[#This Row],[CONTEST_CODE]]),"-")</f>
        <v>0</v>
      </c>
      <c r="R609" s="1" t="str">
        <f>IFERROR(INDEX(_SCHEDULE_[],MATCH(ВСЕ_КОДЫ[[#This Row],[CONTEST_CODE]],_SCHEDULE_[CONTEST_CODE],0),MATCH($R$1,_SCHEDULE_[#Headers],0)),"-")</f>
        <v>ЗАВЕРШЕН</v>
      </c>
      <c r="S609" s="1" t="str">
        <f>IFERROR(INDEX(_group_[],MATCH(ВСЕ_КОДЫ[[#This Row],[CONTEST_CODE]],_group_[CONTEST_CODE],0),MATCH($S$1,_group_[#Headers],0)),"-")</f>
        <v>BANK</v>
      </c>
      <c r="T609" s="1" t="str">
        <f>IFERROR(INDEX(_INDICATOR_[],MATCH(ВСЕ_КОДЫ[[#This Row],[CONTEST_CODE]],_INDICATOR_[CONTEST_CODE],0),MATCH($T$1,_INDICATOR_[#Headers],0)),"-")</f>
        <v>WAIT</v>
      </c>
      <c r="U609" s="1" t="str">
        <f>IFERROR(INDEX(_reward_link_[],MATCH(ВСЕ_КОДЫ[[#This Row],[CONTEST_CODE]],_reward_link_[CONTEST_CODE],0),MATCH($U$1,_reward_link_[#Headers],0)),"-")</f>
        <v>BANK</v>
      </c>
      <c r="V609" s="1" t="str">
        <f>IFERROR(INDEX(_report[],MATCH(ВСЕ_КОДЫ[[#This Row],[CONTEST_CODE]],_report[CONTEST_CODE],0),MATCH($V$1,_report[#Headers],0)),"-")</f>
        <v>-</v>
      </c>
      <c r="W609" s="1" t="str">
        <f>IFERROR(INDEX(_reward_[],MATCH(ВСЕ_КОДЫ[[#This Row],[REWARD_CODE]],_reward_[REWARD_CODE],0),MATCH($W$1,_reward_[#Headers],0)),"-")</f>
        <v>Золото#по продуктам IT</v>
      </c>
      <c r="X609" s="1" t="str">
        <f>IFERROR(INDEX(_group_[],MATCH(CONCATENATE(ВСЕ_КОДЫ[[#This Row],[CONTEST_CODE]],"_",X$2),#REF!,0),MATCH(X$1,_group_[#Headers],0)),"-")</f>
        <v>-</v>
      </c>
      <c r="Y609" s="1" t="str">
        <f>IFERROR(INDEX(_group_[],MATCH(CONCATENATE(ВСЕ_КОДЫ[[#This Row],[CONTEST_CODE]],"_",Y$2),#REF!,0),MATCH(Y$1,_group_[#Headers],0)),"-")</f>
        <v>-</v>
      </c>
      <c r="Z609" s="1" t="str">
        <f>IFERROR(INDEX(_group_[],MATCH(CONCATENATE(ВСЕ_КОДЫ[[#This Row],[CONTEST_CODE]],"_",Z$2),#REF!,0),MATCH(Z$1,_group_[#Headers],0)),"-")</f>
        <v>-</v>
      </c>
      <c r="AA609" s="1" t="str">
        <f>IFERROR(INDEX(_group_[],MATCH(CONCATENATE(ВСЕ_КОДЫ[[#This Row],[CONTEST_CODE]],"_",AA$2),#REF!,0),MATCH(AA$1,_group_[#Headers],0)),"-")</f>
        <v>-</v>
      </c>
      <c r="AB609" s="1" t="str">
        <f>IFERROR(INDEX(_DATA_[],MATCH(ВСЕ_КОДЫ[[#This Row],[CONTEST_CODE]],_DATA_[CONTEST_CODE],0),MATCH($AB$2,_DATA_[#Headers],0)),"-")</f>
        <v>["""MNS"""]</v>
      </c>
      <c r="AC609" t="str">
        <f>CONCATENATE(ВСЕ_КОДЫ[[#This Row],[CONTEST_CODE]],"_",ВСЕ_КОДЫ[[#This Row],[TOURNAMENT_CODE]])</f>
        <v>02_2025-1_07-8_1_t_02_2025-1_07-8_1_2011</v>
      </c>
      <c r="AD609" t="str">
        <f>ВСЕ_КОДЫ[[#This Row],[FULL_NAME]]</f>
        <v>Лидер по продажам продуктов IT направления</v>
      </c>
    </row>
    <row r="610" spans="1:30" hidden="1" x14ac:dyDescent="0.25">
      <c r="A610" s="1" t="s">
        <v>3111</v>
      </c>
      <c r="B610" s="1" t="s">
        <v>3253</v>
      </c>
      <c r="C610" s="1" t="s">
        <v>3181</v>
      </c>
      <c r="D610" s="1" t="s">
        <v>586</v>
      </c>
      <c r="E610" s="1" t="s">
        <v>3295</v>
      </c>
      <c r="F610" s="1" t="s">
        <v>2508</v>
      </c>
      <c r="G610" s="1" t="s">
        <v>27</v>
      </c>
      <c r="H610" s="1" t="s">
        <v>34</v>
      </c>
      <c r="I610" s="1" t="s">
        <v>50</v>
      </c>
      <c r="J610" s="1" t="s">
        <v>2508</v>
      </c>
      <c r="K610" s="1" t="s">
        <v>2534</v>
      </c>
      <c r="L610" s="1" t="s">
        <v>4152</v>
      </c>
      <c r="M610" s="1" t="s">
        <v>176</v>
      </c>
      <c r="N610" s="1" t="s">
        <v>305</v>
      </c>
      <c r="O610" s="1" t="s">
        <v>3397</v>
      </c>
      <c r="Q610">
        <f>IFERROR(COUNTIFS(_report[TOURNAMENT_CODE],ВСЕ_КОДЫ[[#This Row],[TOURNAMENT_CODE]],_report[CONTEST_CODE],ВСЕ_КОДЫ[[#This Row],[CONTEST_CODE]]),"-")</f>
        <v>0</v>
      </c>
      <c r="R610" s="1" t="str">
        <f>IFERROR(INDEX(_SCHEDULE_[],MATCH(ВСЕ_КОДЫ[[#This Row],[CONTEST_CODE]],_SCHEDULE_[CONTEST_CODE],0),MATCH($R$1,_SCHEDULE_[#Headers],0)),"-")</f>
        <v>ЗАВЕРШЕН</v>
      </c>
      <c r="S610" s="1" t="str">
        <f>IFERROR(INDEX(_group_[],MATCH(ВСЕ_КОДЫ[[#This Row],[CONTEST_CODE]],_group_[CONTEST_CODE],0),MATCH($S$1,_group_[#Headers],0)),"-")</f>
        <v>BANK</v>
      </c>
      <c r="T610" s="1" t="str">
        <f>IFERROR(INDEX(_INDICATOR_[],MATCH(ВСЕ_КОДЫ[[#This Row],[CONTEST_CODE]],_INDICATOR_[CONTEST_CODE],0),MATCH($T$1,_INDICATOR_[#Headers],0)),"-")</f>
        <v>WAIT</v>
      </c>
      <c r="U610" s="1" t="str">
        <f>IFERROR(INDEX(_reward_link_[],MATCH(ВСЕ_КОДЫ[[#This Row],[CONTEST_CODE]],_reward_link_[CONTEST_CODE],0),MATCH($U$1,_reward_link_[#Headers],0)),"-")</f>
        <v>BANK</v>
      </c>
      <c r="V610" s="1" t="str">
        <f>IFERROR(INDEX(_report[],MATCH(ВСЕ_КОДЫ[[#This Row],[CONTEST_CODE]],_report[CONTEST_CODE],0),MATCH($V$1,_report[#Headers],0)),"-")</f>
        <v>-</v>
      </c>
      <c r="W610" s="1" t="str">
        <f>IFERROR(INDEX(_reward_[],MATCH(ВСЕ_КОДЫ[[#This Row],[REWARD_CODE]],_reward_[REWARD_CODE],0),MATCH($W$1,_reward_[#Headers],0)),"-")</f>
        <v>Серебро#по продуктам IT</v>
      </c>
      <c r="X610" s="1" t="str">
        <f>IFERROR(INDEX(_group_[],MATCH(CONCATENATE(ВСЕ_КОДЫ[[#This Row],[CONTEST_CODE]],"_",X$2),#REF!,0),MATCH(X$1,_group_[#Headers],0)),"-")</f>
        <v>-</v>
      </c>
      <c r="Y610" s="1" t="str">
        <f>IFERROR(INDEX(_group_[],MATCH(CONCATENATE(ВСЕ_КОДЫ[[#This Row],[CONTEST_CODE]],"_",Y$2),#REF!,0),MATCH(Y$1,_group_[#Headers],0)),"-")</f>
        <v>-</v>
      </c>
      <c r="Z610" s="1" t="str">
        <f>IFERROR(INDEX(_group_[],MATCH(CONCATENATE(ВСЕ_КОДЫ[[#This Row],[CONTEST_CODE]],"_",Z$2),#REF!,0),MATCH(Z$1,_group_[#Headers],0)),"-")</f>
        <v>-</v>
      </c>
      <c r="AA610" s="1" t="str">
        <f>IFERROR(INDEX(_group_[],MATCH(CONCATENATE(ВСЕ_КОДЫ[[#This Row],[CONTEST_CODE]],"_",AA$2),#REF!,0),MATCH(AA$1,_group_[#Headers],0)),"-")</f>
        <v>-</v>
      </c>
      <c r="AB610" s="1" t="str">
        <f>IFERROR(INDEX(_DATA_[],MATCH(ВСЕ_КОДЫ[[#This Row],[CONTEST_CODE]],_DATA_[CONTEST_CODE],0),MATCH($AB$2,_DATA_[#Headers],0)),"-")</f>
        <v>["""MNS"""]</v>
      </c>
      <c r="AC610" t="str">
        <f>CONCATENATE(ВСЕ_КОДЫ[[#This Row],[CONTEST_CODE]],"_",ВСЕ_КОДЫ[[#This Row],[TOURNAMENT_CODE]])</f>
        <v>02_2025-1_07-8_1_t_02_2025-1_07-8_1_2011</v>
      </c>
      <c r="AD610" t="str">
        <f>ВСЕ_КОДЫ[[#This Row],[FULL_NAME]]</f>
        <v>Лидер по продажам продуктов IT направления</v>
      </c>
    </row>
    <row r="611" spans="1:30" hidden="1" x14ac:dyDescent="0.25">
      <c r="A611" s="1" t="s">
        <v>3111</v>
      </c>
      <c r="B611" s="1" t="s">
        <v>3253</v>
      </c>
      <c r="C611" s="1" t="s">
        <v>3183</v>
      </c>
      <c r="D611" s="1" t="s">
        <v>586</v>
      </c>
      <c r="E611" s="1" t="s">
        <v>3295</v>
      </c>
      <c r="F611" s="1" t="s">
        <v>2508</v>
      </c>
      <c r="G611" s="1" t="s">
        <v>27</v>
      </c>
      <c r="H611" s="1" t="s">
        <v>34</v>
      </c>
      <c r="I611" s="1" t="s">
        <v>50</v>
      </c>
      <c r="J611" s="1" t="s">
        <v>2508</v>
      </c>
      <c r="K611" s="1" t="s">
        <v>2534</v>
      </c>
      <c r="L611" s="1" t="s">
        <v>4152</v>
      </c>
      <c r="M611" s="1" t="s">
        <v>176</v>
      </c>
      <c r="N611" s="1" t="s">
        <v>305</v>
      </c>
      <c r="O611" s="1" t="s">
        <v>3398</v>
      </c>
      <c r="Q611">
        <f>IFERROR(COUNTIFS(_report[TOURNAMENT_CODE],ВСЕ_КОДЫ[[#This Row],[TOURNAMENT_CODE]],_report[CONTEST_CODE],ВСЕ_КОДЫ[[#This Row],[CONTEST_CODE]]),"-")</f>
        <v>0</v>
      </c>
      <c r="R611" s="1" t="str">
        <f>IFERROR(INDEX(_SCHEDULE_[],MATCH(ВСЕ_КОДЫ[[#This Row],[CONTEST_CODE]],_SCHEDULE_[CONTEST_CODE],0),MATCH($R$1,_SCHEDULE_[#Headers],0)),"-")</f>
        <v>ЗАВЕРШЕН</v>
      </c>
      <c r="S611" s="1" t="str">
        <f>IFERROR(INDEX(_group_[],MATCH(ВСЕ_КОДЫ[[#This Row],[CONTEST_CODE]],_group_[CONTEST_CODE],0),MATCH($S$1,_group_[#Headers],0)),"-")</f>
        <v>BANK</v>
      </c>
      <c r="T611" s="1" t="str">
        <f>IFERROR(INDEX(_INDICATOR_[],MATCH(ВСЕ_КОДЫ[[#This Row],[CONTEST_CODE]],_INDICATOR_[CONTEST_CODE],0),MATCH($T$1,_INDICATOR_[#Headers],0)),"-")</f>
        <v>WAIT</v>
      </c>
      <c r="U611" s="1" t="str">
        <f>IFERROR(INDEX(_reward_link_[],MATCH(ВСЕ_КОДЫ[[#This Row],[CONTEST_CODE]],_reward_link_[CONTEST_CODE],0),MATCH($U$1,_reward_link_[#Headers],0)),"-")</f>
        <v>BANK</v>
      </c>
      <c r="V611" s="1" t="str">
        <f>IFERROR(INDEX(_report[],MATCH(ВСЕ_КОДЫ[[#This Row],[CONTEST_CODE]],_report[CONTEST_CODE],0),MATCH($V$1,_report[#Headers],0)),"-")</f>
        <v>-</v>
      </c>
      <c r="W611" s="1" t="str">
        <f>IFERROR(INDEX(_reward_[],MATCH(ВСЕ_КОДЫ[[#This Row],[REWARD_CODE]],_reward_[REWARD_CODE],0),MATCH($W$1,_reward_[#Headers],0)),"-")</f>
        <v>Бронза#по продуктам IT</v>
      </c>
      <c r="X611" s="1" t="str">
        <f>IFERROR(INDEX(_group_[],MATCH(CONCATENATE(ВСЕ_КОДЫ[[#This Row],[CONTEST_CODE]],"_",X$2),#REF!,0),MATCH(X$1,_group_[#Headers],0)),"-")</f>
        <v>-</v>
      </c>
      <c r="Y611" s="1" t="str">
        <f>IFERROR(INDEX(_group_[],MATCH(CONCATENATE(ВСЕ_КОДЫ[[#This Row],[CONTEST_CODE]],"_",Y$2),#REF!,0),MATCH(Y$1,_group_[#Headers],0)),"-")</f>
        <v>-</v>
      </c>
      <c r="Z611" s="1" t="str">
        <f>IFERROR(INDEX(_group_[],MATCH(CONCATENATE(ВСЕ_КОДЫ[[#This Row],[CONTEST_CODE]],"_",Z$2),#REF!,0),MATCH(Z$1,_group_[#Headers],0)),"-")</f>
        <v>-</v>
      </c>
      <c r="AA611" s="1" t="str">
        <f>IFERROR(INDEX(_group_[],MATCH(CONCATENATE(ВСЕ_КОДЫ[[#This Row],[CONTEST_CODE]],"_",AA$2),#REF!,0),MATCH(AA$1,_group_[#Headers],0)),"-")</f>
        <v>-</v>
      </c>
      <c r="AB611" s="1" t="str">
        <f>IFERROR(INDEX(_DATA_[],MATCH(ВСЕ_КОДЫ[[#This Row],[CONTEST_CODE]],_DATA_[CONTEST_CODE],0),MATCH($AB$2,_DATA_[#Headers],0)),"-")</f>
        <v>["""MNS"""]</v>
      </c>
      <c r="AC611" t="str">
        <f>CONCATENATE(ВСЕ_КОДЫ[[#This Row],[CONTEST_CODE]],"_",ВСЕ_КОДЫ[[#This Row],[TOURNAMENT_CODE]])</f>
        <v>02_2025-1_07-8_1_t_02_2025-1_07-8_1_2011</v>
      </c>
      <c r="AD611" t="str">
        <f>ВСЕ_КОДЫ[[#This Row],[FULL_NAME]]</f>
        <v>Лидер по продажам продуктов IT направления</v>
      </c>
    </row>
    <row r="612" spans="1:30" hidden="1" x14ac:dyDescent="0.25">
      <c r="A612" s="1" t="s">
        <v>3111</v>
      </c>
      <c r="B612" s="1" t="s">
        <v>3681</v>
      </c>
      <c r="C612" s="1" t="s">
        <v>3179</v>
      </c>
      <c r="D612" s="1" t="s">
        <v>583</v>
      </c>
      <c r="E612" s="1" t="s">
        <v>3295</v>
      </c>
      <c r="F612" s="1" t="s">
        <v>2508</v>
      </c>
      <c r="G612" s="1" t="s">
        <v>27</v>
      </c>
      <c r="H612" s="1" t="s">
        <v>34</v>
      </c>
      <c r="I612" s="1" t="s">
        <v>50</v>
      </c>
      <c r="J612" s="1" t="s">
        <v>4019</v>
      </c>
      <c r="K612" s="1" t="s">
        <v>2542</v>
      </c>
      <c r="L612" s="1" t="s">
        <v>3545</v>
      </c>
      <c r="M612" s="1" t="s">
        <v>34</v>
      </c>
      <c r="N612" s="1" t="s">
        <v>305</v>
      </c>
      <c r="O612" s="1" t="s">
        <v>3396</v>
      </c>
      <c r="Q612">
        <f>IFERROR(COUNTIFS(_report[TOURNAMENT_CODE],ВСЕ_КОДЫ[[#This Row],[TOURNAMENT_CODE]],_report[CONTEST_CODE],ВСЕ_КОДЫ[[#This Row],[CONTEST_CODE]]),"-")</f>
        <v>0</v>
      </c>
      <c r="R612" s="1" t="str">
        <f>IFERROR(INDEX(_SCHEDULE_[],MATCH(ВСЕ_КОДЫ[[#This Row],[CONTEST_CODE]],_SCHEDULE_[CONTEST_CODE],0),MATCH($R$1,_SCHEDULE_[#Headers],0)),"-")</f>
        <v>ЗАВЕРШЕН</v>
      </c>
      <c r="S612" s="1" t="str">
        <f>IFERROR(INDEX(_group_[],MATCH(ВСЕ_КОДЫ[[#This Row],[CONTEST_CODE]],_group_[CONTEST_CODE],0),MATCH($S$1,_group_[#Headers],0)),"-")</f>
        <v>BANK</v>
      </c>
      <c r="T612" s="1" t="str">
        <f>IFERROR(INDEX(_INDICATOR_[],MATCH(ВСЕ_КОДЫ[[#This Row],[CONTEST_CODE]],_INDICATOR_[CONTEST_CODE],0),MATCH($T$1,_INDICATOR_[#Headers],0)),"-")</f>
        <v>WAIT</v>
      </c>
      <c r="U612" s="1" t="str">
        <f>IFERROR(INDEX(_reward_link_[],MATCH(ВСЕ_КОДЫ[[#This Row],[CONTEST_CODE]],_reward_link_[CONTEST_CODE],0),MATCH($U$1,_reward_link_[#Headers],0)),"-")</f>
        <v>BANK</v>
      </c>
      <c r="V612" s="1" t="str">
        <f>IFERROR(INDEX(_report[],MATCH(ВСЕ_КОДЫ[[#This Row],[CONTEST_CODE]],_report[CONTEST_CODE],0),MATCH($V$1,_report[#Headers],0)),"-")</f>
        <v>-</v>
      </c>
      <c r="W612" s="1" t="str">
        <f>IFERROR(INDEX(_reward_[],MATCH(ВСЕ_КОДЫ[[#This Row],[REWARD_CODE]],_reward_[REWARD_CODE],0),MATCH($W$1,_reward_[#Headers],0)),"-")</f>
        <v>Золото#по продуктам IT</v>
      </c>
      <c r="X612" s="1" t="str">
        <f>IFERROR(INDEX(_group_[],MATCH(CONCATENATE(ВСЕ_КОДЫ[[#This Row],[CONTEST_CODE]],"_",X$2),#REF!,0),MATCH(X$1,_group_[#Headers],0)),"-")</f>
        <v>-</v>
      </c>
      <c r="Y612" s="1" t="str">
        <f>IFERROR(INDEX(_group_[],MATCH(CONCATENATE(ВСЕ_КОДЫ[[#This Row],[CONTEST_CODE]],"_",Y$2),#REF!,0),MATCH(Y$1,_group_[#Headers],0)),"-")</f>
        <v>-</v>
      </c>
      <c r="Z612" s="1" t="str">
        <f>IFERROR(INDEX(_group_[],MATCH(CONCATENATE(ВСЕ_КОДЫ[[#This Row],[CONTEST_CODE]],"_",Z$2),#REF!,0),MATCH(Z$1,_group_[#Headers],0)),"-")</f>
        <v>-</v>
      </c>
      <c r="AA612" s="1" t="str">
        <f>IFERROR(INDEX(_group_[],MATCH(CONCATENATE(ВСЕ_КОДЫ[[#This Row],[CONTEST_CODE]],"_",AA$2),#REF!,0),MATCH(AA$1,_group_[#Headers],0)),"-")</f>
        <v>-</v>
      </c>
      <c r="AB612" s="1" t="str">
        <f>IFERROR(INDEX(_DATA_[],MATCH(ВСЕ_КОДЫ[[#This Row],[CONTEST_CODE]],_DATA_[CONTEST_CODE],0),MATCH($AB$2,_DATA_[#Headers],0)),"-")</f>
        <v>["""MNS"""]</v>
      </c>
      <c r="AC612" t="str">
        <f>CONCATENATE(ВСЕ_КОДЫ[[#This Row],[CONTEST_CODE]],"_",ВСЕ_КОДЫ[[#This Row],[TOURNAMENT_CODE]])</f>
        <v>02_2025-1_07-8_1_t_02_2025-1_07-8_1_2021</v>
      </c>
      <c r="AD612" t="str">
        <f>ВСЕ_КОДЫ[[#This Row],[FULL_NAME]]</f>
        <v>Лидер по продажам продуктов IT направления</v>
      </c>
    </row>
    <row r="613" spans="1:30" hidden="1" x14ac:dyDescent="0.25">
      <c r="A613" s="1" t="s">
        <v>3111</v>
      </c>
      <c r="B613" s="1" t="s">
        <v>3681</v>
      </c>
      <c r="C613" s="1" t="s">
        <v>3181</v>
      </c>
      <c r="D613" s="1" t="s">
        <v>586</v>
      </c>
      <c r="E613" s="1" t="s">
        <v>3295</v>
      </c>
      <c r="F613" s="1" t="s">
        <v>2508</v>
      </c>
      <c r="G613" s="1" t="s">
        <v>27</v>
      </c>
      <c r="H613" s="1" t="s">
        <v>34</v>
      </c>
      <c r="I613" s="1" t="s">
        <v>50</v>
      </c>
      <c r="J613" s="1" t="s">
        <v>4019</v>
      </c>
      <c r="K613" s="1" t="s">
        <v>2542</v>
      </c>
      <c r="L613" s="1" t="s">
        <v>3545</v>
      </c>
      <c r="M613" s="1" t="s">
        <v>34</v>
      </c>
      <c r="N613" s="1" t="s">
        <v>305</v>
      </c>
      <c r="O613" s="1" t="s">
        <v>3397</v>
      </c>
      <c r="Q613">
        <f>IFERROR(COUNTIFS(_report[TOURNAMENT_CODE],ВСЕ_КОДЫ[[#This Row],[TOURNAMENT_CODE]],_report[CONTEST_CODE],ВСЕ_КОДЫ[[#This Row],[CONTEST_CODE]]),"-")</f>
        <v>0</v>
      </c>
      <c r="R613" s="1" t="str">
        <f>IFERROR(INDEX(_SCHEDULE_[],MATCH(ВСЕ_КОДЫ[[#This Row],[CONTEST_CODE]],_SCHEDULE_[CONTEST_CODE],0),MATCH($R$1,_SCHEDULE_[#Headers],0)),"-")</f>
        <v>ЗАВЕРШЕН</v>
      </c>
      <c r="S613" s="1" t="str">
        <f>IFERROR(INDEX(_group_[],MATCH(ВСЕ_КОДЫ[[#This Row],[CONTEST_CODE]],_group_[CONTEST_CODE],0),MATCH($S$1,_group_[#Headers],0)),"-")</f>
        <v>BANK</v>
      </c>
      <c r="T613" s="1" t="str">
        <f>IFERROR(INDEX(_INDICATOR_[],MATCH(ВСЕ_КОДЫ[[#This Row],[CONTEST_CODE]],_INDICATOR_[CONTEST_CODE],0),MATCH($T$1,_INDICATOR_[#Headers],0)),"-")</f>
        <v>WAIT</v>
      </c>
      <c r="U613" s="1" t="str">
        <f>IFERROR(INDEX(_reward_link_[],MATCH(ВСЕ_КОДЫ[[#This Row],[CONTEST_CODE]],_reward_link_[CONTEST_CODE],0),MATCH($U$1,_reward_link_[#Headers],0)),"-")</f>
        <v>BANK</v>
      </c>
      <c r="V613" s="1" t="str">
        <f>IFERROR(INDEX(_report[],MATCH(ВСЕ_КОДЫ[[#This Row],[CONTEST_CODE]],_report[CONTEST_CODE],0),MATCH($V$1,_report[#Headers],0)),"-")</f>
        <v>-</v>
      </c>
      <c r="W613" s="1" t="str">
        <f>IFERROR(INDEX(_reward_[],MATCH(ВСЕ_КОДЫ[[#This Row],[REWARD_CODE]],_reward_[REWARD_CODE],0),MATCH($W$1,_reward_[#Headers],0)),"-")</f>
        <v>Серебро#по продуктам IT</v>
      </c>
      <c r="X613" s="1" t="str">
        <f>IFERROR(INDEX(_group_[],MATCH(CONCATENATE(ВСЕ_КОДЫ[[#This Row],[CONTEST_CODE]],"_",X$2),#REF!,0),MATCH(X$1,_group_[#Headers],0)),"-")</f>
        <v>-</v>
      </c>
      <c r="Y613" s="1" t="str">
        <f>IFERROR(INDEX(_group_[],MATCH(CONCATENATE(ВСЕ_КОДЫ[[#This Row],[CONTEST_CODE]],"_",Y$2),#REF!,0),MATCH(Y$1,_group_[#Headers],0)),"-")</f>
        <v>-</v>
      </c>
      <c r="Z613" s="1" t="str">
        <f>IFERROR(INDEX(_group_[],MATCH(CONCATENATE(ВСЕ_КОДЫ[[#This Row],[CONTEST_CODE]],"_",Z$2),#REF!,0),MATCH(Z$1,_group_[#Headers],0)),"-")</f>
        <v>-</v>
      </c>
      <c r="AA613" s="1" t="str">
        <f>IFERROR(INDEX(_group_[],MATCH(CONCATENATE(ВСЕ_КОДЫ[[#This Row],[CONTEST_CODE]],"_",AA$2),#REF!,0),MATCH(AA$1,_group_[#Headers],0)),"-")</f>
        <v>-</v>
      </c>
      <c r="AB613" s="1" t="str">
        <f>IFERROR(INDEX(_DATA_[],MATCH(ВСЕ_КОДЫ[[#This Row],[CONTEST_CODE]],_DATA_[CONTEST_CODE],0),MATCH($AB$2,_DATA_[#Headers],0)),"-")</f>
        <v>["""MNS"""]</v>
      </c>
      <c r="AC613" t="str">
        <f>CONCATENATE(ВСЕ_КОДЫ[[#This Row],[CONTEST_CODE]],"_",ВСЕ_КОДЫ[[#This Row],[TOURNAMENT_CODE]])</f>
        <v>02_2025-1_07-8_1_t_02_2025-1_07-8_1_2021</v>
      </c>
      <c r="AD613" t="str">
        <f>ВСЕ_КОДЫ[[#This Row],[FULL_NAME]]</f>
        <v>Лидер по продажам продуктов IT направления</v>
      </c>
    </row>
    <row r="614" spans="1:30" hidden="1" x14ac:dyDescent="0.25">
      <c r="A614" s="1" t="s">
        <v>3111</v>
      </c>
      <c r="B614" s="1" t="s">
        <v>3681</v>
      </c>
      <c r="C614" s="1" t="s">
        <v>3183</v>
      </c>
      <c r="D614" s="1" t="s">
        <v>586</v>
      </c>
      <c r="E614" s="1" t="s">
        <v>3295</v>
      </c>
      <c r="F614" s="1" t="s">
        <v>2508</v>
      </c>
      <c r="G614" s="1" t="s">
        <v>27</v>
      </c>
      <c r="H614" s="1" t="s">
        <v>34</v>
      </c>
      <c r="I614" s="1" t="s">
        <v>50</v>
      </c>
      <c r="J614" s="1" t="s">
        <v>4019</v>
      </c>
      <c r="K614" s="1" t="s">
        <v>2542</v>
      </c>
      <c r="L614" s="1" t="s">
        <v>3545</v>
      </c>
      <c r="M614" s="1" t="s">
        <v>34</v>
      </c>
      <c r="N614" s="1" t="s">
        <v>305</v>
      </c>
      <c r="O614" s="1" t="s">
        <v>3398</v>
      </c>
      <c r="Q614">
        <f>IFERROR(COUNTIFS(_report[TOURNAMENT_CODE],ВСЕ_КОДЫ[[#This Row],[TOURNAMENT_CODE]],_report[CONTEST_CODE],ВСЕ_КОДЫ[[#This Row],[CONTEST_CODE]]),"-")</f>
        <v>0</v>
      </c>
      <c r="R614" s="1" t="str">
        <f>IFERROR(INDEX(_SCHEDULE_[],MATCH(ВСЕ_КОДЫ[[#This Row],[CONTEST_CODE]],_SCHEDULE_[CONTEST_CODE],0),MATCH($R$1,_SCHEDULE_[#Headers],0)),"-")</f>
        <v>ЗАВЕРШЕН</v>
      </c>
      <c r="S614" s="1" t="str">
        <f>IFERROR(INDEX(_group_[],MATCH(ВСЕ_КОДЫ[[#This Row],[CONTEST_CODE]],_group_[CONTEST_CODE],0),MATCH($S$1,_group_[#Headers],0)),"-")</f>
        <v>BANK</v>
      </c>
      <c r="T614" s="1" t="str">
        <f>IFERROR(INDEX(_INDICATOR_[],MATCH(ВСЕ_КОДЫ[[#This Row],[CONTEST_CODE]],_INDICATOR_[CONTEST_CODE],0),MATCH($T$1,_INDICATOR_[#Headers],0)),"-")</f>
        <v>WAIT</v>
      </c>
      <c r="U614" s="1" t="str">
        <f>IFERROR(INDEX(_reward_link_[],MATCH(ВСЕ_КОДЫ[[#This Row],[CONTEST_CODE]],_reward_link_[CONTEST_CODE],0),MATCH($U$1,_reward_link_[#Headers],0)),"-")</f>
        <v>BANK</v>
      </c>
      <c r="V614" s="1" t="str">
        <f>IFERROR(INDEX(_report[],MATCH(ВСЕ_КОДЫ[[#This Row],[CONTEST_CODE]],_report[CONTEST_CODE],0),MATCH($V$1,_report[#Headers],0)),"-")</f>
        <v>-</v>
      </c>
      <c r="W614" s="1" t="str">
        <f>IFERROR(INDEX(_reward_[],MATCH(ВСЕ_КОДЫ[[#This Row],[REWARD_CODE]],_reward_[REWARD_CODE],0),MATCH($W$1,_reward_[#Headers],0)),"-")</f>
        <v>Бронза#по продуктам IT</v>
      </c>
      <c r="X614" s="1" t="str">
        <f>IFERROR(INDEX(_group_[],MATCH(CONCATENATE(ВСЕ_КОДЫ[[#This Row],[CONTEST_CODE]],"_",X$2),#REF!,0),MATCH(X$1,_group_[#Headers],0)),"-")</f>
        <v>-</v>
      </c>
      <c r="Y614" s="1" t="str">
        <f>IFERROR(INDEX(_group_[],MATCH(CONCATENATE(ВСЕ_КОДЫ[[#This Row],[CONTEST_CODE]],"_",Y$2),#REF!,0),MATCH(Y$1,_group_[#Headers],0)),"-")</f>
        <v>-</v>
      </c>
      <c r="Z614" s="1" t="str">
        <f>IFERROR(INDEX(_group_[],MATCH(CONCATENATE(ВСЕ_КОДЫ[[#This Row],[CONTEST_CODE]],"_",Z$2),#REF!,0),MATCH(Z$1,_group_[#Headers],0)),"-")</f>
        <v>-</v>
      </c>
      <c r="AA614" s="1" t="str">
        <f>IFERROR(INDEX(_group_[],MATCH(CONCATENATE(ВСЕ_КОДЫ[[#This Row],[CONTEST_CODE]],"_",AA$2),#REF!,0),MATCH(AA$1,_group_[#Headers],0)),"-")</f>
        <v>-</v>
      </c>
      <c r="AB614" s="1" t="str">
        <f>IFERROR(INDEX(_DATA_[],MATCH(ВСЕ_КОДЫ[[#This Row],[CONTEST_CODE]],_DATA_[CONTEST_CODE],0),MATCH($AB$2,_DATA_[#Headers],0)),"-")</f>
        <v>["""MNS"""]</v>
      </c>
      <c r="AC614" t="str">
        <f>CONCATENATE(ВСЕ_КОДЫ[[#This Row],[CONTEST_CODE]],"_",ВСЕ_КОДЫ[[#This Row],[TOURNAMENT_CODE]])</f>
        <v>02_2025-1_07-8_1_t_02_2025-1_07-8_1_2021</v>
      </c>
      <c r="AD614" t="str">
        <f>ВСЕ_КОДЫ[[#This Row],[FULL_NAME]]</f>
        <v>Лидер по продажам продуктов IT направления</v>
      </c>
    </row>
    <row r="615" spans="1:30" hidden="1" x14ac:dyDescent="0.25">
      <c r="A615" s="1" t="s">
        <v>3114</v>
      </c>
      <c r="B615" s="1" t="s">
        <v>3255</v>
      </c>
      <c r="C615" s="1" t="s">
        <v>3185</v>
      </c>
      <c r="D615" s="1" t="s">
        <v>583</v>
      </c>
      <c r="E615" s="1" t="s">
        <v>3297</v>
      </c>
      <c r="F615" s="1" t="s">
        <v>2508</v>
      </c>
      <c r="G615" s="1" t="s">
        <v>27</v>
      </c>
      <c r="H615" s="1" t="s">
        <v>34</v>
      </c>
      <c r="I615" s="1" t="s">
        <v>50</v>
      </c>
      <c r="J615" s="1" t="s">
        <v>2508</v>
      </c>
      <c r="K615" s="1" t="s">
        <v>2534</v>
      </c>
      <c r="L615" s="1" t="s">
        <v>4152</v>
      </c>
      <c r="M615" s="1" t="s">
        <v>176</v>
      </c>
      <c r="N615" s="1" t="s">
        <v>305</v>
      </c>
      <c r="O615" s="1" t="s">
        <v>3399</v>
      </c>
      <c r="Q615">
        <f>IFERROR(COUNTIFS(_report[TOURNAMENT_CODE],ВСЕ_КОДЫ[[#This Row],[TOURNAMENT_CODE]],_report[CONTEST_CODE],ВСЕ_КОДЫ[[#This Row],[CONTEST_CODE]]),"-")</f>
        <v>0</v>
      </c>
      <c r="R615" s="1" t="str">
        <f>IFERROR(INDEX(_SCHEDULE_[],MATCH(ВСЕ_КОДЫ[[#This Row],[CONTEST_CODE]],_SCHEDULE_[CONTEST_CODE],0),MATCH($R$1,_SCHEDULE_[#Headers],0)),"-")</f>
        <v>ЗАВЕРШЕН</v>
      </c>
      <c r="S615" s="1" t="str">
        <f>IFERROR(INDEX(_group_[],MATCH(ВСЕ_КОДЫ[[#This Row],[CONTEST_CODE]],_group_[CONTEST_CODE],0),MATCH($S$1,_group_[#Headers],0)),"-")</f>
        <v>BANK</v>
      </c>
      <c r="T615" s="1" t="str">
        <f>IFERROR(INDEX(_INDICATOR_[],MATCH(ВСЕ_КОДЫ[[#This Row],[CONTEST_CODE]],_INDICATOR_[CONTEST_CODE],0),MATCH($T$1,_INDICATOR_[#Headers],0)),"-")</f>
        <v>WAIT</v>
      </c>
      <c r="U615" s="1" t="str">
        <f>IFERROR(INDEX(_reward_link_[],MATCH(ВСЕ_КОДЫ[[#This Row],[CONTEST_CODE]],_reward_link_[CONTEST_CODE],0),MATCH($U$1,_reward_link_[#Headers],0)),"-")</f>
        <v>BANK</v>
      </c>
      <c r="V615" s="1" t="str">
        <f>IFERROR(INDEX(_report[],MATCH(ВСЕ_КОДЫ[[#This Row],[CONTEST_CODE]],_report[CONTEST_CODE],0),MATCH($V$1,_report[#Headers],0)),"-")</f>
        <v>-</v>
      </c>
      <c r="W615" s="1" t="str">
        <f>IFERROR(INDEX(_reward_[],MATCH(ВСЕ_КОДЫ[[#This Row],[REWARD_CODE]],_reward_[REWARD_CODE],0),MATCH($W$1,_reward_[#Headers],0)),"-")</f>
        <v>Золото#по продуктам COM</v>
      </c>
      <c r="X615" s="1" t="str">
        <f>IFERROR(INDEX(_group_[],MATCH(CONCATENATE(ВСЕ_КОДЫ[[#This Row],[CONTEST_CODE]],"_",X$2),#REF!,0),MATCH(X$1,_group_[#Headers],0)),"-")</f>
        <v>-</v>
      </c>
      <c r="Y615" s="1" t="str">
        <f>IFERROR(INDEX(_group_[],MATCH(CONCATENATE(ВСЕ_КОДЫ[[#This Row],[CONTEST_CODE]],"_",Y$2),#REF!,0),MATCH(Y$1,_group_[#Headers],0)),"-")</f>
        <v>-</v>
      </c>
      <c r="Z615" s="1" t="str">
        <f>IFERROR(INDEX(_group_[],MATCH(CONCATENATE(ВСЕ_КОДЫ[[#This Row],[CONTEST_CODE]],"_",Z$2),#REF!,0),MATCH(Z$1,_group_[#Headers],0)),"-")</f>
        <v>-</v>
      </c>
      <c r="AA615" s="1" t="str">
        <f>IFERROR(INDEX(_group_[],MATCH(CONCATENATE(ВСЕ_КОДЫ[[#This Row],[CONTEST_CODE]],"_",AA$2),#REF!,0),MATCH(AA$1,_group_[#Headers],0)),"-")</f>
        <v>-</v>
      </c>
      <c r="AB615" s="1" t="str">
        <f>IFERROR(INDEX(_DATA_[],MATCH(ВСЕ_КОДЫ[[#This Row],[CONTEST_CODE]],_DATA_[CONTEST_CODE],0),MATCH($AB$2,_DATA_[#Headers],0)),"-")</f>
        <v>["""MNS"""]</v>
      </c>
      <c r="AC615" t="str">
        <f>CONCATENATE(ВСЕ_КОДЫ[[#This Row],[CONTEST_CODE]],"_",ВСЕ_КОДЫ[[#This Row],[TOURNAMENT_CODE]])</f>
        <v>02_2025-1_07-9_1_t_02_2025-1_07-9_1_2011</v>
      </c>
      <c r="AD615" t="str">
        <f>ВСЕ_КОДЫ[[#This Row],[FULL_NAME]]</f>
        <v>Лидер по продажам продуктов COM направления</v>
      </c>
    </row>
    <row r="616" spans="1:30" hidden="1" x14ac:dyDescent="0.25">
      <c r="A616" s="1" t="s">
        <v>3114</v>
      </c>
      <c r="B616" s="1" t="s">
        <v>3255</v>
      </c>
      <c r="C616" s="1" t="s">
        <v>3187</v>
      </c>
      <c r="D616" s="1" t="s">
        <v>586</v>
      </c>
      <c r="E616" s="1" t="s">
        <v>3297</v>
      </c>
      <c r="F616" s="1" t="s">
        <v>2508</v>
      </c>
      <c r="G616" s="1" t="s">
        <v>27</v>
      </c>
      <c r="H616" s="1" t="s">
        <v>34</v>
      </c>
      <c r="I616" s="1" t="s">
        <v>50</v>
      </c>
      <c r="J616" s="1" t="s">
        <v>2508</v>
      </c>
      <c r="K616" s="1" t="s">
        <v>2534</v>
      </c>
      <c r="L616" s="1" t="s">
        <v>4152</v>
      </c>
      <c r="M616" s="1" t="s">
        <v>176</v>
      </c>
      <c r="N616" s="1" t="s">
        <v>305</v>
      </c>
      <c r="O616" s="1" t="s">
        <v>3400</v>
      </c>
      <c r="Q616">
        <f>IFERROR(COUNTIFS(_report[TOURNAMENT_CODE],ВСЕ_КОДЫ[[#This Row],[TOURNAMENT_CODE]],_report[CONTEST_CODE],ВСЕ_КОДЫ[[#This Row],[CONTEST_CODE]]),"-")</f>
        <v>0</v>
      </c>
      <c r="R616" s="1" t="str">
        <f>IFERROR(INDEX(_SCHEDULE_[],MATCH(ВСЕ_КОДЫ[[#This Row],[CONTEST_CODE]],_SCHEDULE_[CONTEST_CODE],0),MATCH($R$1,_SCHEDULE_[#Headers],0)),"-")</f>
        <v>ЗАВЕРШЕН</v>
      </c>
      <c r="S616" s="1" t="str">
        <f>IFERROR(INDEX(_group_[],MATCH(ВСЕ_КОДЫ[[#This Row],[CONTEST_CODE]],_group_[CONTEST_CODE],0),MATCH($S$1,_group_[#Headers],0)),"-")</f>
        <v>BANK</v>
      </c>
      <c r="T616" s="1" t="str">
        <f>IFERROR(INDEX(_INDICATOR_[],MATCH(ВСЕ_КОДЫ[[#This Row],[CONTEST_CODE]],_INDICATOR_[CONTEST_CODE],0),MATCH($T$1,_INDICATOR_[#Headers],0)),"-")</f>
        <v>WAIT</v>
      </c>
      <c r="U616" s="1" t="str">
        <f>IFERROR(INDEX(_reward_link_[],MATCH(ВСЕ_КОДЫ[[#This Row],[CONTEST_CODE]],_reward_link_[CONTEST_CODE],0),MATCH($U$1,_reward_link_[#Headers],0)),"-")</f>
        <v>BANK</v>
      </c>
      <c r="V616" s="1" t="str">
        <f>IFERROR(INDEX(_report[],MATCH(ВСЕ_КОДЫ[[#This Row],[CONTEST_CODE]],_report[CONTEST_CODE],0),MATCH($V$1,_report[#Headers],0)),"-")</f>
        <v>-</v>
      </c>
      <c r="W616" s="1" t="str">
        <f>IFERROR(INDEX(_reward_[],MATCH(ВСЕ_КОДЫ[[#This Row],[REWARD_CODE]],_reward_[REWARD_CODE],0),MATCH($W$1,_reward_[#Headers],0)),"-")</f>
        <v>Серебро#по продуктам COM</v>
      </c>
      <c r="X616" s="1" t="str">
        <f>IFERROR(INDEX(_group_[],MATCH(CONCATENATE(ВСЕ_КОДЫ[[#This Row],[CONTEST_CODE]],"_",X$2),#REF!,0),MATCH(X$1,_group_[#Headers],0)),"-")</f>
        <v>-</v>
      </c>
      <c r="Y616" s="1" t="str">
        <f>IFERROR(INDEX(_group_[],MATCH(CONCATENATE(ВСЕ_КОДЫ[[#This Row],[CONTEST_CODE]],"_",Y$2),#REF!,0),MATCH(Y$1,_group_[#Headers],0)),"-")</f>
        <v>-</v>
      </c>
      <c r="Z616" s="1" t="str">
        <f>IFERROR(INDEX(_group_[],MATCH(CONCATENATE(ВСЕ_КОДЫ[[#This Row],[CONTEST_CODE]],"_",Z$2),#REF!,0),MATCH(Z$1,_group_[#Headers],0)),"-")</f>
        <v>-</v>
      </c>
      <c r="AA616" s="1" t="str">
        <f>IFERROR(INDEX(_group_[],MATCH(CONCATENATE(ВСЕ_КОДЫ[[#This Row],[CONTEST_CODE]],"_",AA$2),#REF!,0),MATCH(AA$1,_group_[#Headers],0)),"-")</f>
        <v>-</v>
      </c>
      <c r="AB616" s="1" t="str">
        <f>IFERROR(INDEX(_DATA_[],MATCH(ВСЕ_КОДЫ[[#This Row],[CONTEST_CODE]],_DATA_[CONTEST_CODE],0),MATCH($AB$2,_DATA_[#Headers],0)),"-")</f>
        <v>["""MNS"""]</v>
      </c>
      <c r="AC616" t="str">
        <f>CONCATENATE(ВСЕ_КОДЫ[[#This Row],[CONTEST_CODE]],"_",ВСЕ_КОДЫ[[#This Row],[TOURNAMENT_CODE]])</f>
        <v>02_2025-1_07-9_1_t_02_2025-1_07-9_1_2011</v>
      </c>
      <c r="AD616" t="str">
        <f>ВСЕ_КОДЫ[[#This Row],[FULL_NAME]]</f>
        <v>Лидер по продажам продуктов COM направления</v>
      </c>
    </row>
    <row r="617" spans="1:30" hidden="1" x14ac:dyDescent="0.25">
      <c r="A617" s="1" t="s">
        <v>3114</v>
      </c>
      <c r="B617" s="1" t="s">
        <v>3255</v>
      </c>
      <c r="C617" s="1" t="s">
        <v>3189</v>
      </c>
      <c r="D617" s="1" t="s">
        <v>586</v>
      </c>
      <c r="E617" s="1" t="s">
        <v>3297</v>
      </c>
      <c r="F617" s="1" t="s">
        <v>2508</v>
      </c>
      <c r="G617" s="1" t="s">
        <v>27</v>
      </c>
      <c r="H617" s="1" t="s">
        <v>34</v>
      </c>
      <c r="I617" s="1" t="s">
        <v>50</v>
      </c>
      <c r="J617" s="1" t="s">
        <v>2508</v>
      </c>
      <c r="K617" s="1" t="s">
        <v>2534</v>
      </c>
      <c r="L617" s="1" t="s">
        <v>4152</v>
      </c>
      <c r="M617" s="1" t="s">
        <v>176</v>
      </c>
      <c r="N617" s="1" t="s">
        <v>305</v>
      </c>
      <c r="O617" s="1" t="s">
        <v>3401</v>
      </c>
      <c r="Q617">
        <f>IFERROR(COUNTIFS(_report[TOURNAMENT_CODE],ВСЕ_КОДЫ[[#This Row],[TOURNAMENT_CODE]],_report[CONTEST_CODE],ВСЕ_КОДЫ[[#This Row],[CONTEST_CODE]]),"-")</f>
        <v>0</v>
      </c>
      <c r="R617" s="1" t="str">
        <f>IFERROR(INDEX(_SCHEDULE_[],MATCH(ВСЕ_КОДЫ[[#This Row],[CONTEST_CODE]],_SCHEDULE_[CONTEST_CODE],0),MATCH($R$1,_SCHEDULE_[#Headers],0)),"-")</f>
        <v>ЗАВЕРШЕН</v>
      </c>
      <c r="S617" s="1" t="str">
        <f>IFERROR(INDEX(_group_[],MATCH(ВСЕ_КОДЫ[[#This Row],[CONTEST_CODE]],_group_[CONTEST_CODE],0),MATCH($S$1,_group_[#Headers],0)),"-")</f>
        <v>BANK</v>
      </c>
      <c r="T617" s="1" t="str">
        <f>IFERROR(INDEX(_INDICATOR_[],MATCH(ВСЕ_КОДЫ[[#This Row],[CONTEST_CODE]],_INDICATOR_[CONTEST_CODE],0),MATCH($T$1,_INDICATOR_[#Headers],0)),"-")</f>
        <v>WAIT</v>
      </c>
      <c r="U617" s="1" t="str">
        <f>IFERROR(INDEX(_reward_link_[],MATCH(ВСЕ_КОДЫ[[#This Row],[CONTEST_CODE]],_reward_link_[CONTEST_CODE],0),MATCH($U$1,_reward_link_[#Headers],0)),"-")</f>
        <v>BANK</v>
      </c>
      <c r="V617" s="1" t="str">
        <f>IFERROR(INDEX(_report[],MATCH(ВСЕ_КОДЫ[[#This Row],[CONTEST_CODE]],_report[CONTEST_CODE],0),MATCH($V$1,_report[#Headers],0)),"-")</f>
        <v>-</v>
      </c>
      <c r="W617" s="1" t="str">
        <f>IFERROR(INDEX(_reward_[],MATCH(ВСЕ_КОДЫ[[#This Row],[REWARD_CODE]],_reward_[REWARD_CODE],0),MATCH($W$1,_reward_[#Headers],0)),"-")</f>
        <v>Бронза#по продуктам COM</v>
      </c>
      <c r="X617" s="1" t="str">
        <f>IFERROR(INDEX(_group_[],MATCH(CONCATENATE(ВСЕ_КОДЫ[[#This Row],[CONTEST_CODE]],"_",X$2),#REF!,0),MATCH(X$1,_group_[#Headers],0)),"-")</f>
        <v>-</v>
      </c>
      <c r="Y617" s="1" t="str">
        <f>IFERROR(INDEX(_group_[],MATCH(CONCATENATE(ВСЕ_КОДЫ[[#This Row],[CONTEST_CODE]],"_",Y$2),#REF!,0),MATCH(Y$1,_group_[#Headers],0)),"-")</f>
        <v>-</v>
      </c>
      <c r="Z617" s="1" t="str">
        <f>IFERROR(INDEX(_group_[],MATCH(CONCATENATE(ВСЕ_КОДЫ[[#This Row],[CONTEST_CODE]],"_",Z$2),#REF!,0),MATCH(Z$1,_group_[#Headers],0)),"-")</f>
        <v>-</v>
      </c>
      <c r="AA617" s="1" t="str">
        <f>IFERROR(INDEX(_group_[],MATCH(CONCATENATE(ВСЕ_КОДЫ[[#This Row],[CONTEST_CODE]],"_",AA$2),#REF!,0),MATCH(AA$1,_group_[#Headers],0)),"-")</f>
        <v>-</v>
      </c>
      <c r="AB617" s="1" t="str">
        <f>IFERROR(INDEX(_DATA_[],MATCH(ВСЕ_КОДЫ[[#This Row],[CONTEST_CODE]],_DATA_[CONTEST_CODE],0),MATCH($AB$2,_DATA_[#Headers],0)),"-")</f>
        <v>["""MNS"""]</v>
      </c>
      <c r="AC617" t="str">
        <f>CONCATENATE(ВСЕ_КОДЫ[[#This Row],[CONTEST_CODE]],"_",ВСЕ_КОДЫ[[#This Row],[TOURNAMENT_CODE]])</f>
        <v>02_2025-1_07-9_1_t_02_2025-1_07-9_1_2011</v>
      </c>
      <c r="AD617" t="str">
        <f>ВСЕ_КОДЫ[[#This Row],[FULL_NAME]]</f>
        <v>Лидер по продажам продуктов COM направления</v>
      </c>
    </row>
    <row r="618" spans="1:30" hidden="1" x14ac:dyDescent="0.25">
      <c r="A618" s="1" t="s">
        <v>3114</v>
      </c>
      <c r="B618" s="1" t="s">
        <v>3683</v>
      </c>
      <c r="C618" s="1" t="s">
        <v>3185</v>
      </c>
      <c r="D618" s="1" t="s">
        <v>583</v>
      </c>
      <c r="E618" s="1" t="s">
        <v>3297</v>
      </c>
      <c r="F618" s="1" t="s">
        <v>2508</v>
      </c>
      <c r="G618" s="1" t="s">
        <v>27</v>
      </c>
      <c r="H618" s="1" t="s">
        <v>34</v>
      </c>
      <c r="I618" s="1" t="s">
        <v>50</v>
      </c>
      <c r="J618" s="1" t="s">
        <v>4019</v>
      </c>
      <c r="K618" s="1" t="s">
        <v>2542</v>
      </c>
      <c r="L618" s="1" t="s">
        <v>3545</v>
      </c>
      <c r="M618" s="1" t="s">
        <v>34</v>
      </c>
      <c r="N618" s="1" t="s">
        <v>305</v>
      </c>
      <c r="O618" s="1" t="s">
        <v>3399</v>
      </c>
      <c r="Q618">
        <f>IFERROR(COUNTIFS(_report[TOURNAMENT_CODE],ВСЕ_КОДЫ[[#This Row],[TOURNAMENT_CODE]],_report[CONTEST_CODE],ВСЕ_КОДЫ[[#This Row],[CONTEST_CODE]]),"-")</f>
        <v>0</v>
      </c>
      <c r="R618" s="1" t="str">
        <f>IFERROR(INDEX(_SCHEDULE_[],MATCH(ВСЕ_КОДЫ[[#This Row],[CONTEST_CODE]],_SCHEDULE_[CONTEST_CODE],0),MATCH($R$1,_SCHEDULE_[#Headers],0)),"-")</f>
        <v>ЗАВЕРШЕН</v>
      </c>
      <c r="S618" s="1" t="str">
        <f>IFERROR(INDEX(_group_[],MATCH(ВСЕ_КОДЫ[[#This Row],[CONTEST_CODE]],_group_[CONTEST_CODE],0),MATCH($S$1,_group_[#Headers],0)),"-")</f>
        <v>BANK</v>
      </c>
      <c r="T618" s="1" t="str">
        <f>IFERROR(INDEX(_INDICATOR_[],MATCH(ВСЕ_КОДЫ[[#This Row],[CONTEST_CODE]],_INDICATOR_[CONTEST_CODE],0),MATCH($T$1,_INDICATOR_[#Headers],0)),"-")</f>
        <v>WAIT</v>
      </c>
      <c r="U618" s="1" t="str">
        <f>IFERROR(INDEX(_reward_link_[],MATCH(ВСЕ_КОДЫ[[#This Row],[CONTEST_CODE]],_reward_link_[CONTEST_CODE],0),MATCH($U$1,_reward_link_[#Headers],0)),"-")</f>
        <v>BANK</v>
      </c>
      <c r="V618" s="1" t="str">
        <f>IFERROR(INDEX(_report[],MATCH(ВСЕ_КОДЫ[[#This Row],[CONTEST_CODE]],_report[CONTEST_CODE],0),MATCH($V$1,_report[#Headers],0)),"-")</f>
        <v>-</v>
      </c>
      <c r="W618" s="1" t="str">
        <f>IFERROR(INDEX(_reward_[],MATCH(ВСЕ_КОДЫ[[#This Row],[REWARD_CODE]],_reward_[REWARD_CODE],0),MATCH($W$1,_reward_[#Headers],0)),"-")</f>
        <v>Золото#по продуктам COM</v>
      </c>
      <c r="X618" s="1" t="str">
        <f>IFERROR(INDEX(_group_[],MATCH(CONCATENATE(ВСЕ_КОДЫ[[#This Row],[CONTEST_CODE]],"_",X$2),#REF!,0),MATCH(X$1,_group_[#Headers],0)),"-")</f>
        <v>-</v>
      </c>
      <c r="Y618" s="1" t="str">
        <f>IFERROR(INDEX(_group_[],MATCH(CONCATENATE(ВСЕ_КОДЫ[[#This Row],[CONTEST_CODE]],"_",Y$2),#REF!,0),MATCH(Y$1,_group_[#Headers],0)),"-")</f>
        <v>-</v>
      </c>
      <c r="Z618" s="1" t="str">
        <f>IFERROR(INDEX(_group_[],MATCH(CONCATENATE(ВСЕ_КОДЫ[[#This Row],[CONTEST_CODE]],"_",Z$2),#REF!,0),MATCH(Z$1,_group_[#Headers],0)),"-")</f>
        <v>-</v>
      </c>
      <c r="AA618" s="1" t="str">
        <f>IFERROR(INDEX(_group_[],MATCH(CONCATENATE(ВСЕ_КОДЫ[[#This Row],[CONTEST_CODE]],"_",AA$2),#REF!,0),MATCH(AA$1,_group_[#Headers],0)),"-")</f>
        <v>-</v>
      </c>
      <c r="AB618" s="1" t="str">
        <f>IFERROR(INDEX(_DATA_[],MATCH(ВСЕ_КОДЫ[[#This Row],[CONTEST_CODE]],_DATA_[CONTEST_CODE],0),MATCH($AB$2,_DATA_[#Headers],0)),"-")</f>
        <v>["""MNS"""]</v>
      </c>
      <c r="AC618" t="str">
        <f>CONCATENATE(ВСЕ_КОДЫ[[#This Row],[CONTEST_CODE]],"_",ВСЕ_КОДЫ[[#This Row],[TOURNAMENT_CODE]])</f>
        <v>02_2025-1_07-9_1_t_02_2025-1_07-9_1_2021</v>
      </c>
      <c r="AD618" t="str">
        <f>ВСЕ_КОДЫ[[#This Row],[FULL_NAME]]</f>
        <v>Лидер по продажам продуктов COM направления</v>
      </c>
    </row>
    <row r="619" spans="1:30" hidden="1" x14ac:dyDescent="0.25">
      <c r="A619" s="1" t="s">
        <v>3114</v>
      </c>
      <c r="B619" s="1" t="s">
        <v>3683</v>
      </c>
      <c r="C619" s="1" t="s">
        <v>3187</v>
      </c>
      <c r="D619" s="1" t="s">
        <v>586</v>
      </c>
      <c r="E619" s="1" t="s">
        <v>3297</v>
      </c>
      <c r="F619" s="1" t="s">
        <v>2508</v>
      </c>
      <c r="G619" s="1" t="s">
        <v>27</v>
      </c>
      <c r="H619" s="1" t="s">
        <v>34</v>
      </c>
      <c r="I619" s="1" t="s">
        <v>50</v>
      </c>
      <c r="J619" s="1" t="s">
        <v>4019</v>
      </c>
      <c r="K619" s="1" t="s">
        <v>2542</v>
      </c>
      <c r="L619" s="1" t="s">
        <v>3545</v>
      </c>
      <c r="M619" s="1" t="s">
        <v>34</v>
      </c>
      <c r="N619" s="1" t="s">
        <v>305</v>
      </c>
      <c r="O619" s="1" t="s">
        <v>3400</v>
      </c>
      <c r="Q619">
        <f>IFERROR(COUNTIFS(_report[TOURNAMENT_CODE],ВСЕ_КОДЫ[[#This Row],[TOURNAMENT_CODE]],_report[CONTEST_CODE],ВСЕ_КОДЫ[[#This Row],[CONTEST_CODE]]),"-")</f>
        <v>0</v>
      </c>
      <c r="R619" s="1" t="str">
        <f>IFERROR(INDEX(_SCHEDULE_[],MATCH(ВСЕ_КОДЫ[[#This Row],[CONTEST_CODE]],_SCHEDULE_[CONTEST_CODE],0),MATCH($R$1,_SCHEDULE_[#Headers],0)),"-")</f>
        <v>ЗАВЕРШЕН</v>
      </c>
      <c r="S619" s="1" t="str">
        <f>IFERROR(INDEX(_group_[],MATCH(ВСЕ_КОДЫ[[#This Row],[CONTEST_CODE]],_group_[CONTEST_CODE],0),MATCH($S$1,_group_[#Headers],0)),"-")</f>
        <v>BANK</v>
      </c>
      <c r="T619" s="1" t="str">
        <f>IFERROR(INDEX(_INDICATOR_[],MATCH(ВСЕ_КОДЫ[[#This Row],[CONTEST_CODE]],_INDICATOR_[CONTEST_CODE],0),MATCH($T$1,_INDICATOR_[#Headers],0)),"-")</f>
        <v>WAIT</v>
      </c>
      <c r="U619" s="1" t="str">
        <f>IFERROR(INDEX(_reward_link_[],MATCH(ВСЕ_КОДЫ[[#This Row],[CONTEST_CODE]],_reward_link_[CONTEST_CODE],0),MATCH($U$1,_reward_link_[#Headers],0)),"-")</f>
        <v>BANK</v>
      </c>
      <c r="V619" s="1" t="str">
        <f>IFERROR(INDEX(_report[],MATCH(ВСЕ_КОДЫ[[#This Row],[CONTEST_CODE]],_report[CONTEST_CODE],0),MATCH($V$1,_report[#Headers],0)),"-")</f>
        <v>-</v>
      </c>
      <c r="W619" s="1" t="str">
        <f>IFERROR(INDEX(_reward_[],MATCH(ВСЕ_КОДЫ[[#This Row],[REWARD_CODE]],_reward_[REWARD_CODE],0),MATCH($W$1,_reward_[#Headers],0)),"-")</f>
        <v>Серебро#по продуктам COM</v>
      </c>
      <c r="X619" s="1" t="str">
        <f>IFERROR(INDEX(_group_[],MATCH(CONCATENATE(ВСЕ_КОДЫ[[#This Row],[CONTEST_CODE]],"_",X$2),#REF!,0),MATCH(X$1,_group_[#Headers],0)),"-")</f>
        <v>-</v>
      </c>
      <c r="Y619" s="1" t="str">
        <f>IFERROR(INDEX(_group_[],MATCH(CONCATENATE(ВСЕ_КОДЫ[[#This Row],[CONTEST_CODE]],"_",Y$2),#REF!,0),MATCH(Y$1,_group_[#Headers],0)),"-")</f>
        <v>-</v>
      </c>
      <c r="Z619" s="1" t="str">
        <f>IFERROR(INDEX(_group_[],MATCH(CONCATENATE(ВСЕ_КОДЫ[[#This Row],[CONTEST_CODE]],"_",Z$2),#REF!,0),MATCH(Z$1,_group_[#Headers],0)),"-")</f>
        <v>-</v>
      </c>
      <c r="AA619" s="1" t="str">
        <f>IFERROR(INDEX(_group_[],MATCH(CONCATENATE(ВСЕ_КОДЫ[[#This Row],[CONTEST_CODE]],"_",AA$2),#REF!,0),MATCH(AA$1,_group_[#Headers],0)),"-")</f>
        <v>-</v>
      </c>
      <c r="AB619" s="1" t="str">
        <f>IFERROR(INDEX(_DATA_[],MATCH(ВСЕ_КОДЫ[[#This Row],[CONTEST_CODE]],_DATA_[CONTEST_CODE],0),MATCH($AB$2,_DATA_[#Headers],0)),"-")</f>
        <v>["""MNS"""]</v>
      </c>
      <c r="AC619" t="str">
        <f>CONCATENATE(ВСЕ_КОДЫ[[#This Row],[CONTEST_CODE]],"_",ВСЕ_КОДЫ[[#This Row],[TOURNAMENT_CODE]])</f>
        <v>02_2025-1_07-9_1_t_02_2025-1_07-9_1_2021</v>
      </c>
      <c r="AD619" t="str">
        <f>ВСЕ_КОДЫ[[#This Row],[FULL_NAME]]</f>
        <v>Лидер по продажам продуктов COM направления</v>
      </c>
    </row>
    <row r="620" spans="1:30" hidden="1" x14ac:dyDescent="0.25">
      <c r="A620" s="1" t="s">
        <v>3114</v>
      </c>
      <c r="B620" s="1" t="s">
        <v>3683</v>
      </c>
      <c r="C620" s="1" t="s">
        <v>3189</v>
      </c>
      <c r="D620" s="1" t="s">
        <v>586</v>
      </c>
      <c r="E620" s="1" t="s">
        <v>3297</v>
      </c>
      <c r="F620" s="1" t="s">
        <v>2508</v>
      </c>
      <c r="G620" s="1" t="s">
        <v>27</v>
      </c>
      <c r="H620" s="1" t="s">
        <v>34</v>
      </c>
      <c r="I620" s="1" t="s">
        <v>50</v>
      </c>
      <c r="J620" s="1" t="s">
        <v>4019</v>
      </c>
      <c r="K620" s="1" t="s">
        <v>2542</v>
      </c>
      <c r="L620" s="1" t="s">
        <v>3545</v>
      </c>
      <c r="M620" s="1" t="s">
        <v>34</v>
      </c>
      <c r="N620" s="1" t="s">
        <v>305</v>
      </c>
      <c r="O620" s="1" t="s">
        <v>3401</v>
      </c>
      <c r="Q620">
        <f>IFERROR(COUNTIFS(_report[TOURNAMENT_CODE],ВСЕ_КОДЫ[[#This Row],[TOURNAMENT_CODE]],_report[CONTEST_CODE],ВСЕ_КОДЫ[[#This Row],[CONTEST_CODE]]),"-")</f>
        <v>0</v>
      </c>
      <c r="R620" s="1" t="str">
        <f>IFERROR(INDEX(_SCHEDULE_[],MATCH(ВСЕ_КОДЫ[[#This Row],[CONTEST_CODE]],_SCHEDULE_[CONTEST_CODE],0),MATCH($R$1,_SCHEDULE_[#Headers],0)),"-")</f>
        <v>ЗАВЕРШЕН</v>
      </c>
      <c r="S620" s="1" t="str">
        <f>IFERROR(INDEX(_group_[],MATCH(ВСЕ_КОДЫ[[#This Row],[CONTEST_CODE]],_group_[CONTEST_CODE],0),MATCH($S$1,_group_[#Headers],0)),"-")</f>
        <v>BANK</v>
      </c>
      <c r="T620" s="1" t="str">
        <f>IFERROR(INDEX(_INDICATOR_[],MATCH(ВСЕ_КОДЫ[[#This Row],[CONTEST_CODE]],_INDICATOR_[CONTEST_CODE],0),MATCH($T$1,_INDICATOR_[#Headers],0)),"-")</f>
        <v>WAIT</v>
      </c>
      <c r="U620" s="1" t="str">
        <f>IFERROR(INDEX(_reward_link_[],MATCH(ВСЕ_КОДЫ[[#This Row],[CONTEST_CODE]],_reward_link_[CONTEST_CODE],0),MATCH($U$1,_reward_link_[#Headers],0)),"-")</f>
        <v>BANK</v>
      </c>
      <c r="V620" s="1" t="str">
        <f>IFERROR(INDEX(_report[],MATCH(ВСЕ_КОДЫ[[#This Row],[CONTEST_CODE]],_report[CONTEST_CODE],0),MATCH($V$1,_report[#Headers],0)),"-")</f>
        <v>-</v>
      </c>
      <c r="W620" s="1" t="str">
        <f>IFERROR(INDEX(_reward_[],MATCH(ВСЕ_КОДЫ[[#This Row],[REWARD_CODE]],_reward_[REWARD_CODE],0),MATCH($W$1,_reward_[#Headers],0)),"-")</f>
        <v>Бронза#по продуктам COM</v>
      </c>
      <c r="X620" s="1" t="str">
        <f>IFERROR(INDEX(_group_[],MATCH(CONCATENATE(ВСЕ_КОДЫ[[#This Row],[CONTEST_CODE]],"_",X$2),#REF!,0),MATCH(X$1,_group_[#Headers],0)),"-")</f>
        <v>-</v>
      </c>
      <c r="Y620" s="1" t="str">
        <f>IFERROR(INDEX(_group_[],MATCH(CONCATENATE(ВСЕ_КОДЫ[[#This Row],[CONTEST_CODE]],"_",Y$2),#REF!,0),MATCH(Y$1,_group_[#Headers],0)),"-")</f>
        <v>-</v>
      </c>
      <c r="Z620" s="1" t="str">
        <f>IFERROR(INDEX(_group_[],MATCH(CONCATENATE(ВСЕ_КОДЫ[[#This Row],[CONTEST_CODE]],"_",Z$2),#REF!,0),MATCH(Z$1,_group_[#Headers],0)),"-")</f>
        <v>-</v>
      </c>
      <c r="AA620" s="1" t="str">
        <f>IFERROR(INDEX(_group_[],MATCH(CONCATENATE(ВСЕ_КОДЫ[[#This Row],[CONTEST_CODE]],"_",AA$2),#REF!,0),MATCH(AA$1,_group_[#Headers],0)),"-")</f>
        <v>-</v>
      </c>
      <c r="AB620" s="1" t="str">
        <f>IFERROR(INDEX(_DATA_[],MATCH(ВСЕ_КОДЫ[[#This Row],[CONTEST_CODE]],_DATA_[CONTEST_CODE],0),MATCH($AB$2,_DATA_[#Headers],0)),"-")</f>
        <v>["""MNS"""]</v>
      </c>
      <c r="AC620" t="str">
        <f>CONCATENATE(ВСЕ_КОДЫ[[#This Row],[CONTEST_CODE]],"_",ВСЕ_КОДЫ[[#This Row],[TOURNAMENT_CODE]])</f>
        <v>02_2025-1_07-9_1_t_02_2025-1_07-9_1_2021</v>
      </c>
      <c r="AD620" t="str">
        <f>ВСЕ_КОДЫ[[#This Row],[FULL_NAME]]</f>
        <v>Лидер по продажам продуктов COM направления</v>
      </c>
    </row>
    <row r="621" spans="1:30" hidden="1" x14ac:dyDescent="0.25">
      <c r="A621" s="1" t="s">
        <v>3117</v>
      </c>
      <c r="B621" s="1" t="s">
        <v>3257</v>
      </c>
      <c r="C621" s="1" t="s">
        <v>3191</v>
      </c>
      <c r="D621" s="1" t="s">
        <v>583</v>
      </c>
      <c r="E621" s="1" t="s">
        <v>3299</v>
      </c>
      <c r="F621" s="1" t="s">
        <v>2508</v>
      </c>
      <c r="G621" s="1" t="s">
        <v>27</v>
      </c>
      <c r="H621" s="1" t="s">
        <v>34</v>
      </c>
      <c r="I621" s="1" t="s">
        <v>50</v>
      </c>
      <c r="J621" s="1" t="s">
        <v>2508</v>
      </c>
      <c r="K621" s="1" t="s">
        <v>2542</v>
      </c>
      <c r="L621" s="1" t="s">
        <v>3258</v>
      </c>
      <c r="M621" s="1" t="s">
        <v>34</v>
      </c>
      <c r="N621" s="1" t="s">
        <v>305</v>
      </c>
      <c r="O621" s="1" t="s">
        <v>3342</v>
      </c>
      <c r="Q621">
        <f>IFERROR(COUNTIFS(_report[TOURNAMENT_CODE],ВСЕ_КОДЫ[[#This Row],[TOURNAMENT_CODE]],_report[CONTEST_CODE],ВСЕ_КОДЫ[[#This Row],[CONTEST_CODE]]),"-")</f>
        <v>0</v>
      </c>
      <c r="R621" s="1" t="str">
        <f>IFERROR(INDEX(_SCHEDULE_[],MATCH(ВСЕ_КОДЫ[[#This Row],[CONTEST_CODE]],_SCHEDULE_[CONTEST_CODE],0),MATCH($R$1,_SCHEDULE_[#Headers],0)),"-")</f>
        <v>АКТИВНЫЙ</v>
      </c>
      <c r="S621" s="1" t="str">
        <f>IFERROR(INDEX(_group_[],MATCH(ВСЕ_КОДЫ[[#This Row],[CONTEST_CODE]],_group_[CONTEST_CODE],0),MATCH($S$1,_group_[#Headers],0)),"-")</f>
        <v>BANK</v>
      </c>
      <c r="T621" s="1" t="str">
        <f>IFERROR(INDEX(_INDICATOR_[],MATCH(ВСЕ_КОДЫ[[#This Row],[CONTEST_CODE]],_INDICATOR_[CONTEST_CODE],0),MATCH($T$1,_INDICATOR_[#Headers],0)),"-")</f>
        <v>WAIT</v>
      </c>
      <c r="U621" s="1" t="str">
        <f>IFERROR(INDEX(_reward_link_[],MATCH(ВСЕ_КОДЫ[[#This Row],[CONTEST_CODE]],_reward_link_[CONTEST_CODE],0),MATCH($U$1,_reward_link_[#Headers],0)),"-")</f>
        <v>BANK</v>
      </c>
      <c r="V621" s="1" t="str">
        <f>IFERROR(INDEX(_report[],MATCH(ВСЕ_КОДЫ[[#This Row],[CONTEST_CODE]],_report[CONTEST_CODE],0),MATCH($V$1,_report[#Headers],0)),"-")</f>
        <v>-</v>
      </c>
      <c r="W621" s="1" t="str">
        <f>IFERROR(INDEX(_reward_[],MATCH(ВСЕ_КОДЫ[[#This Row],[REWARD_CODE]],_reward_[REWARD_CODE],0),MATCH($W$1,_reward_[#Headers],0)),"-")</f>
        <v>Золото#по марафону исследований</v>
      </c>
      <c r="X621" s="1" t="str">
        <f>IFERROR(INDEX(_group_[],MATCH(CONCATENATE(ВСЕ_КОДЫ[[#This Row],[CONTEST_CODE]],"_",X$2),#REF!,0),MATCH(X$1,_group_[#Headers],0)),"-")</f>
        <v>-</v>
      </c>
      <c r="Y621" s="1" t="str">
        <f>IFERROR(INDEX(_group_[],MATCH(CONCATENATE(ВСЕ_КОДЫ[[#This Row],[CONTEST_CODE]],"_",Y$2),#REF!,0),MATCH(Y$1,_group_[#Headers],0)),"-")</f>
        <v>-</v>
      </c>
      <c r="Z621" s="1" t="str">
        <f>IFERROR(INDEX(_group_[],MATCH(CONCATENATE(ВСЕ_КОДЫ[[#This Row],[CONTEST_CODE]],"_",Z$2),#REF!,0),MATCH(Z$1,_group_[#Headers],0)),"-")</f>
        <v>-</v>
      </c>
      <c r="AA621" s="1" t="str">
        <f>IFERROR(INDEX(_group_[],MATCH(CONCATENATE(ВСЕ_КОДЫ[[#This Row],[CONTEST_CODE]],"_",AA$2),#REF!,0),MATCH(AA$1,_group_[#Headers],0)),"-")</f>
        <v>-</v>
      </c>
      <c r="AB621" s="1" t="str">
        <f>IFERROR(INDEX(_DATA_[],MATCH(ВСЕ_КОДЫ[[#This Row],[CONTEST_CODE]],_DATA_[CONTEST_CODE],0),MATCH($AB$2,_DATA_[#Headers],0)),"-")</f>
        <v>["""KMKKSB"""]</v>
      </c>
      <c r="AC621" t="str">
        <f>CONCATENATE(ВСЕ_КОДЫ[[#This Row],[CONTEST_CODE]],"_",ВСЕ_КОДЫ[[#This Row],[TOURNAMENT_CODE]])</f>
        <v>01_2025-1_01-7_1_t_01_2025-1_01-7_1_4001</v>
      </c>
      <c r="AD621" t="str">
        <f>ВСЕ_КОДЫ[[#This Row],[FULL_NAME]]</f>
        <v>Марафон исследований</v>
      </c>
    </row>
    <row r="622" spans="1:30" hidden="1" x14ac:dyDescent="0.25">
      <c r="A622" s="1" t="s">
        <v>3117</v>
      </c>
      <c r="B622" s="1" t="s">
        <v>3257</v>
      </c>
      <c r="C622" s="1" t="s">
        <v>3345</v>
      </c>
      <c r="D622" s="1" t="s">
        <v>583</v>
      </c>
      <c r="E622" s="1" t="s">
        <v>3299</v>
      </c>
      <c r="F622" s="1" t="s">
        <v>2508</v>
      </c>
      <c r="G622" s="1" t="s">
        <v>27</v>
      </c>
      <c r="H622" s="1" t="s">
        <v>34</v>
      </c>
      <c r="I622" s="1" t="s">
        <v>50</v>
      </c>
      <c r="J622" s="1" t="s">
        <v>2508</v>
      </c>
      <c r="K622" s="1" t="s">
        <v>2542</v>
      </c>
      <c r="L622" s="1" t="s">
        <v>3258</v>
      </c>
      <c r="M622" s="1" t="s">
        <v>34</v>
      </c>
      <c r="N622" s="1" t="s">
        <v>305</v>
      </c>
      <c r="O622" s="1" t="s">
        <v>3346</v>
      </c>
      <c r="Q622">
        <f>IFERROR(COUNTIFS(_report[TOURNAMENT_CODE],ВСЕ_КОДЫ[[#This Row],[TOURNAMENT_CODE]],_report[CONTEST_CODE],ВСЕ_КОДЫ[[#This Row],[CONTEST_CODE]]),"-")</f>
        <v>0</v>
      </c>
      <c r="R622" s="1" t="str">
        <f>IFERROR(INDEX(_SCHEDULE_[],MATCH(ВСЕ_КОДЫ[[#This Row],[CONTEST_CODE]],_SCHEDULE_[CONTEST_CODE],0),MATCH($R$1,_SCHEDULE_[#Headers],0)),"-")</f>
        <v>АКТИВНЫЙ</v>
      </c>
      <c r="S622" s="1" t="str">
        <f>IFERROR(INDEX(_group_[],MATCH(ВСЕ_КОДЫ[[#This Row],[CONTEST_CODE]],_group_[CONTEST_CODE],0),MATCH($S$1,_group_[#Headers],0)),"-")</f>
        <v>BANK</v>
      </c>
      <c r="T622" s="1" t="str">
        <f>IFERROR(INDEX(_INDICATOR_[],MATCH(ВСЕ_КОДЫ[[#This Row],[CONTEST_CODE]],_INDICATOR_[CONTEST_CODE],0),MATCH($T$1,_INDICATOR_[#Headers],0)),"-")</f>
        <v>WAIT</v>
      </c>
      <c r="U622" s="1" t="str">
        <f>IFERROR(INDEX(_reward_link_[],MATCH(ВСЕ_КОДЫ[[#This Row],[CONTEST_CODE]],_reward_link_[CONTEST_CODE],0),MATCH($U$1,_reward_link_[#Headers],0)),"-")</f>
        <v>BANK</v>
      </c>
      <c r="V622" s="1" t="str">
        <f>IFERROR(INDEX(_report[],MATCH(ВСЕ_КОДЫ[[#This Row],[CONTEST_CODE]],_report[CONTEST_CODE],0),MATCH($V$1,_report[#Headers],0)),"-")</f>
        <v>-</v>
      </c>
      <c r="W622" s="1" t="str">
        <f>IFERROR(INDEX(_reward_[],MATCH(ВСЕ_КОДЫ[[#This Row],[REWARD_CODE]],_reward_[REWARD_CODE],0),MATCH($W$1,_reward_[#Headers],0)),"-")</f>
        <v>Серебро#по марафону исследований</v>
      </c>
      <c r="X622" s="1" t="str">
        <f>IFERROR(INDEX(_group_[],MATCH(CONCATENATE(ВСЕ_КОДЫ[[#This Row],[CONTEST_CODE]],"_",X$2),#REF!,0),MATCH(X$1,_group_[#Headers],0)),"-")</f>
        <v>-</v>
      </c>
      <c r="Y622" s="1" t="str">
        <f>IFERROR(INDEX(_group_[],MATCH(CONCATENATE(ВСЕ_КОДЫ[[#This Row],[CONTEST_CODE]],"_",Y$2),#REF!,0),MATCH(Y$1,_group_[#Headers],0)),"-")</f>
        <v>-</v>
      </c>
      <c r="Z622" s="1" t="str">
        <f>IFERROR(INDEX(_group_[],MATCH(CONCATENATE(ВСЕ_КОДЫ[[#This Row],[CONTEST_CODE]],"_",Z$2),#REF!,0),MATCH(Z$1,_group_[#Headers],0)),"-")</f>
        <v>-</v>
      </c>
      <c r="AA622" s="1" t="str">
        <f>IFERROR(INDEX(_group_[],MATCH(CONCATENATE(ВСЕ_КОДЫ[[#This Row],[CONTEST_CODE]],"_",AA$2),#REF!,0),MATCH(AA$1,_group_[#Headers],0)),"-")</f>
        <v>-</v>
      </c>
      <c r="AB622" s="1" t="str">
        <f>IFERROR(INDEX(_DATA_[],MATCH(ВСЕ_КОДЫ[[#This Row],[CONTEST_CODE]],_DATA_[CONTEST_CODE],0),MATCH($AB$2,_DATA_[#Headers],0)),"-")</f>
        <v>["""KMKKSB"""]</v>
      </c>
      <c r="AC622" t="str">
        <f>CONCATENATE(ВСЕ_КОДЫ[[#This Row],[CONTEST_CODE]],"_",ВСЕ_КОДЫ[[#This Row],[TOURNAMENT_CODE]])</f>
        <v>01_2025-1_01-7_1_t_01_2025-1_01-7_1_4001</v>
      </c>
      <c r="AD622" t="str">
        <f>ВСЕ_КОДЫ[[#This Row],[FULL_NAME]]</f>
        <v>Марафон исследований</v>
      </c>
    </row>
    <row r="623" spans="1:30" hidden="1" x14ac:dyDescent="0.25">
      <c r="A623" s="1" t="s">
        <v>3117</v>
      </c>
      <c r="B623" s="1" t="s">
        <v>3257</v>
      </c>
      <c r="C623" s="1" t="s">
        <v>3347</v>
      </c>
      <c r="D623" s="1" t="s">
        <v>583</v>
      </c>
      <c r="E623" s="1" t="s">
        <v>3299</v>
      </c>
      <c r="F623" s="1" t="s">
        <v>2508</v>
      </c>
      <c r="G623" s="1" t="s">
        <v>27</v>
      </c>
      <c r="H623" s="1" t="s">
        <v>34</v>
      </c>
      <c r="I623" s="1" t="s">
        <v>50</v>
      </c>
      <c r="J623" s="1" t="s">
        <v>2508</v>
      </c>
      <c r="K623" s="1" t="s">
        <v>2542</v>
      </c>
      <c r="L623" s="1" t="s">
        <v>3258</v>
      </c>
      <c r="M623" s="1" t="s">
        <v>34</v>
      </c>
      <c r="N623" s="1" t="s">
        <v>305</v>
      </c>
      <c r="O623" s="1" t="s">
        <v>3348</v>
      </c>
      <c r="Q623">
        <f>IFERROR(COUNTIFS(_report[TOURNAMENT_CODE],ВСЕ_КОДЫ[[#This Row],[TOURNAMENT_CODE]],_report[CONTEST_CODE],ВСЕ_КОДЫ[[#This Row],[CONTEST_CODE]]),"-")</f>
        <v>0</v>
      </c>
      <c r="R623" s="1" t="str">
        <f>IFERROR(INDEX(_SCHEDULE_[],MATCH(ВСЕ_КОДЫ[[#This Row],[CONTEST_CODE]],_SCHEDULE_[CONTEST_CODE],0),MATCH($R$1,_SCHEDULE_[#Headers],0)),"-")</f>
        <v>АКТИВНЫЙ</v>
      </c>
      <c r="S623" s="1" t="str">
        <f>IFERROR(INDEX(_group_[],MATCH(ВСЕ_КОДЫ[[#This Row],[CONTEST_CODE]],_group_[CONTEST_CODE],0),MATCH($S$1,_group_[#Headers],0)),"-")</f>
        <v>BANK</v>
      </c>
      <c r="T623" s="1" t="str">
        <f>IFERROR(INDEX(_INDICATOR_[],MATCH(ВСЕ_КОДЫ[[#This Row],[CONTEST_CODE]],_INDICATOR_[CONTEST_CODE],0),MATCH($T$1,_INDICATOR_[#Headers],0)),"-")</f>
        <v>WAIT</v>
      </c>
      <c r="U623" s="1" t="str">
        <f>IFERROR(INDEX(_reward_link_[],MATCH(ВСЕ_КОДЫ[[#This Row],[CONTEST_CODE]],_reward_link_[CONTEST_CODE],0),MATCH($U$1,_reward_link_[#Headers],0)),"-")</f>
        <v>BANK</v>
      </c>
      <c r="V623" s="1" t="str">
        <f>IFERROR(INDEX(_report[],MATCH(ВСЕ_КОДЫ[[#This Row],[CONTEST_CODE]],_report[CONTEST_CODE],0),MATCH($V$1,_report[#Headers],0)),"-")</f>
        <v>-</v>
      </c>
      <c r="W623" s="1" t="str">
        <f>IFERROR(INDEX(_reward_[],MATCH(ВСЕ_КОДЫ[[#This Row],[REWARD_CODE]],_reward_[REWARD_CODE],0),MATCH($W$1,_reward_[#Headers],0)),"-")</f>
        <v>Бронза#по марафону исследований</v>
      </c>
      <c r="X623" s="1" t="str">
        <f>IFERROR(INDEX(_group_[],MATCH(CONCATENATE(ВСЕ_КОДЫ[[#This Row],[CONTEST_CODE]],"_",X$2),#REF!,0),MATCH(X$1,_group_[#Headers],0)),"-")</f>
        <v>-</v>
      </c>
      <c r="Y623" s="1" t="str">
        <f>IFERROR(INDEX(_group_[],MATCH(CONCATENATE(ВСЕ_КОДЫ[[#This Row],[CONTEST_CODE]],"_",Y$2),#REF!,0),MATCH(Y$1,_group_[#Headers],0)),"-")</f>
        <v>-</v>
      </c>
      <c r="Z623" s="1" t="str">
        <f>IFERROR(INDEX(_group_[],MATCH(CONCATENATE(ВСЕ_КОДЫ[[#This Row],[CONTEST_CODE]],"_",Z$2),#REF!,0),MATCH(Z$1,_group_[#Headers],0)),"-")</f>
        <v>-</v>
      </c>
      <c r="AA623" s="1" t="str">
        <f>IFERROR(INDEX(_group_[],MATCH(CONCATENATE(ВСЕ_КОДЫ[[#This Row],[CONTEST_CODE]],"_",AA$2),#REF!,0),MATCH(AA$1,_group_[#Headers],0)),"-")</f>
        <v>-</v>
      </c>
      <c r="AB623" s="1" t="str">
        <f>IFERROR(INDEX(_DATA_[],MATCH(ВСЕ_КОДЫ[[#This Row],[CONTEST_CODE]],_DATA_[CONTEST_CODE],0),MATCH($AB$2,_DATA_[#Headers],0)),"-")</f>
        <v>["""KMKKSB"""]</v>
      </c>
      <c r="AC623" t="str">
        <f>CONCATENATE(ВСЕ_КОДЫ[[#This Row],[CONTEST_CODE]],"_",ВСЕ_КОДЫ[[#This Row],[TOURNAMENT_CODE]])</f>
        <v>01_2025-1_01-7_1_t_01_2025-1_01-7_1_4001</v>
      </c>
      <c r="AD623" t="str">
        <f>ВСЕ_КОДЫ[[#This Row],[FULL_NAME]]</f>
        <v>Марафон исследований</v>
      </c>
    </row>
    <row r="624" spans="1:30" hidden="1" x14ac:dyDescent="0.25">
      <c r="A624" s="1" t="s">
        <v>3119</v>
      </c>
      <c r="B624" s="1" t="s">
        <v>3260</v>
      </c>
      <c r="C624" s="1" t="s">
        <v>3193</v>
      </c>
      <c r="D624" s="1" t="s">
        <v>583</v>
      </c>
      <c r="E624" s="1" t="s">
        <v>3302</v>
      </c>
      <c r="F624" s="1" t="s">
        <v>2508</v>
      </c>
      <c r="G624" s="1" t="s">
        <v>27</v>
      </c>
      <c r="H624" s="1" t="s">
        <v>34</v>
      </c>
      <c r="I624" s="1" t="s">
        <v>50</v>
      </c>
      <c r="J624" s="1" t="s">
        <v>2508</v>
      </c>
      <c r="K624" s="1" t="s">
        <v>3232</v>
      </c>
      <c r="L624" s="1" t="s">
        <v>3233</v>
      </c>
      <c r="M624" s="1" t="s">
        <v>34</v>
      </c>
      <c r="N624" s="1" t="s">
        <v>305</v>
      </c>
      <c r="O624" s="1" t="s">
        <v>3353</v>
      </c>
      <c r="Q624">
        <f>IFERROR(COUNTIFS(_report[TOURNAMENT_CODE],ВСЕ_КОДЫ[[#This Row],[TOURNAMENT_CODE]],_report[CONTEST_CODE],ВСЕ_КОДЫ[[#This Row],[CONTEST_CODE]]),"-")</f>
        <v>0</v>
      </c>
      <c r="R624" s="1" t="str">
        <f>IFERROR(INDEX(_SCHEDULE_[],MATCH(ВСЕ_КОДЫ[[#This Row],[CONTEST_CODE]],_SCHEDULE_[CONTEST_CODE],0),MATCH($R$1,_SCHEDULE_[#Headers],0)),"-")</f>
        <v>АКТИВНЫЙ</v>
      </c>
      <c r="S624" s="1" t="str">
        <f>IFERROR(INDEX(_group_[],MATCH(ВСЕ_КОДЫ[[#This Row],[CONTEST_CODE]],_group_[CONTEST_CODE],0),MATCH($S$1,_group_[#Headers],0)),"-")</f>
        <v>BANK</v>
      </c>
      <c r="T624" s="1" t="str">
        <f>IFERROR(INDEX(_INDICATOR_[],MATCH(ВСЕ_КОДЫ[[#This Row],[CONTEST_CODE]],_INDICATOR_[CONTEST_CODE],0),MATCH($T$1,_INDICATOR_[#Headers],0)),"-")</f>
        <v>WAIT</v>
      </c>
      <c r="U624" s="1" t="str">
        <f>IFERROR(INDEX(_reward_link_[],MATCH(ВСЕ_КОДЫ[[#This Row],[CONTEST_CODE]],_reward_link_[CONTEST_CODE],0),MATCH($U$1,_reward_link_[#Headers],0)),"-")</f>
        <v>BANK</v>
      </c>
      <c r="V624" s="1" t="str">
        <f>IFERROR(INDEX(_report[],MATCH(ВСЕ_КОДЫ[[#This Row],[CONTEST_CODE]],_report[CONTEST_CODE],0),MATCH($V$1,_report[#Headers],0)),"-")</f>
        <v>-</v>
      </c>
      <c r="W624" s="1" t="str">
        <f>IFERROR(INDEX(_reward_[],MATCH(ВСЕ_КОДЫ[[#This Row],[REWARD_CODE]],_reward_[REWARD_CODE],0),MATCH($W$1,_reward_[#Headers],0)),"-")</f>
        <v>Золото#Process Mining. Максимизируй комиссию</v>
      </c>
      <c r="X624" s="1" t="str">
        <f>IFERROR(INDEX(_group_[],MATCH(CONCATENATE(ВСЕ_КОДЫ[[#This Row],[CONTEST_CODE]],"_",X$2),#REF!,0),MATCH(X$1,_group_[#Headers],0)),"-")</f>
        <v>-</v>
      </c>
      <c r="Y624" s="1" t="str">
        <f>IFERROR(INDEX(_group_[],MATCH(CONCATENATE(ВСЕ_КОДЫ[[#This Row],[CONTEST_CODE]],"_",Y$2),#REF!,0),MATCH(Y$1,_group_[#Headers],0)),"-")</f>
        <v>-</v>
      </c>
      <c r="Z624" s="1" t="str">
        <f>IFERROR(INDEX(_group_[],MATCH(CONCATENATE(ВСЕ_КОДЫ[[#This Row],[CONTEST_CODE]],"_",Z$2),#REF!,0),MATCH(Z$1,_group_[#Headers],0)),"-")</f>
        <v>-</v>
      </c>
      <c r="AA624" s="1" t="str">
        <f>IFERROR(INDEX(_group_[],MATCH(CONCATENATE(ВСЕ_КОДЫ[[#This Row],[CONTEST_CODE]],"_",AA$2),#REF!,0),MATCH(AA$1,_group_[#Headers],0)),"-")</f>
        <v>-</v>
      </c>
      <c r="AB624" s="1" t="str">
        <f>IFERROR(INDEX(_DATA_[],MATCH(ВСЕ_КОДЫ[[#This Row],[CONTEST_CODE]],_DATA_[CONTEST_CODE],0),MATCH($AB$2,_DATA_[#Headers],0)),"-")</f>
        <v>["""KMKKSB"""]</v>
      </c>
      <c r="AC624" t="str">
        <f>CONCATENATE(ВСЕ_КОДЫ[[#This Row],[CONTEST_CODE]],"_",ВСЕ_КОДЫ[[#This Row],[TOURNAMENT_CODE]])</f>
        <v>01_2025-1_07-5_5_t_01_2025-1_07-5_5_4001</v>
      </c>
      <c r="AD624" t="str">
        <f>ВСЕ_КОДЫ[[#This Row],[FULL_NAME]]</f>
        <v>Process Mining. Максимизируй комиссию</v>
      </c>
    </row>
    <row r="625" spans="1:30" hidden="1" x14ac:dyDescent="0.25">
      <c r="A625" s="1" t="s">
        <v>3121</v>
      </c>
      <c r="B625" s="1" t="s">
        <v>3262</v>
      </c>
      <c r="C625" s="1" t="s">
        <v>3195</v>
      </c>
      <c r="D625" s="1" t="s">
        <v>583</v>
      </c>
      <c r="E625" s="1" t="s">
        <v>3304</v>
      </c>
      <c r="F625" s="1" t="s">
        <v>2508</v>
      </c>
      <c r="G625" s="1" t="s">
        <v>27</v>
      </c>
      <c r="H625" s="1" t="s">
        <v>34</v>
      </c>
      <c r="I625" s="1" t="s">
        <v>50</v>
      </c>
      <c r="J625" s="1" t="s">
        <v>2508</v>
      </c>
      <c r="K625" s="1" t="s">
        <v>3232</v>
      </c>
      <c r="L625" s="1" t="s">
        <v>3233</v>
      </c>
      <c r="M625" s="1" t="s">
        <v>34</v>
      </c>
      <c r="N625" s="1" t="s">
        <v>305</v>
      </c>
      <c r="O625" s="1" t="s">
        <v>3358</v>
      </c>
      <c r="Q625">
        <f>IFERROR(COUNTIFS(_report[TOURNAMENT_CODE],ВСЕ_КОДЫ[[#This Row],[TOURNAMENT_CODE]],_report[CONTEST_CODE],ВСЕ_КОДЫ[[#This Row],[CONTEST_CODE]]),"-")</f>
        <v>0</v>
      </c>
      <c r="R625" s="1" t="str">
        <f>IFERROR(INDEX(_SCHEDULE_[],MATCH(ВСЕ_КОДЫ[[#This Row],[CONTEST_CODE]],_SCHEDULE_[CONTEST_CODE],0),MATCH($R$1,_SCHEDULE_[#Headers],0)),"-")</f>
        <v>АКТИВНЫЙ</v>
      </c>
      <c r="S625" s="1" t="str">
        <f>IFERROR(INDEX(_group_[],MATCH(ВСЕ_КОДЫ[[#This Row],[CONTEST_CODE]],_group_[CONTEST_CODE],0),MATCH($S$1,_group_[#Headers],0)),"-")</f>
        <v>BANK</v>
      </c>
      <c r="T625" s="1" t="str">
        <f>IFERROR(INDEX(_INDICATOR_[],MATCH(ВСЕ_КОДЫ[[#This Row],[CONTEST_CODE]],_INDICATOR_[CONTEST_CODE],0),MATCH($T$1,_INDICATOR_[#Headers],0)),"-")</f>
        <v>WAIT</v>
      </c>
      <c r="U625" s="1" t="str">
        <f>IFERROR(INDEX(_reward_link_[],MATCH(ВСЕ_КОДЫ[[#This Row],[CONTEST_CODE]],_reward_link_[CONTEST_CODE],0),MATCH($U$1,_reward_link_[#Headers],0)),"-")</f>
        <v>BANK</v>
      </c>
      <c r="V625" s="1" t="str">
        <f>IFERROR(INDEX(_report[],MATCH(ВСЕ_КОДЫ[[#This Row],[CONTEST_CODE]],_report[CONTEST_CODE],0),MATCH($V$1,_report[#Headers],0)),"-")</f>
        <v>-</v>
      </c>
      <c r="W625" s="1" t="str">
        <f>IFERROR(INDEX(_reward_[],MATCH(ВСЕ_КОДЫ[[#This Row],[REWARD_CODE]],_reward_[REWARD_CODE],0),MATCH($W$1,_reward_[#Headers],0)),"-")</f>
        <v>Золото#Навигатора BI. Максимизируй комиссию</v>
      </c>
      <c r="X625" s="1" t="str">
        <f>IFERROR(INDEX(_group_[],MATCH(CONCATENATE(ВСЕ_КОДЫ[[#This Row],[CONTEST_CODE]],"_",X$2),#REF!,0),MATCH(X$1,_group_[#Headers],0)),"-")</f>
        <v>-</v>
      </c>
      <c r="Y625" s="1" t="str">
        <f>IFERROR(INDEX(_group_[],MATCH(CONCATENATE(ВСЕ_КОДЫ[[#This Row],[CONTEST_CODE]],"_",Y$2),#REF!,0),MATCH(Y$1,_group_[#Headers],0)),"-")</f>
        <v>-</v>
      </c>
      <c r="Z625" s="1" t="str">
        <f>IFERROR(INDEX(_group_[],MATCH(CONCATENATE(ВСЕ_КОДЫ[[#This Row],[CONTEST_CODE]],"_",Z$2),#REF!,0),MATCH(Z$1,_group_[#Headers],0)),"-")</f>
        <v>-</v>
      </c>
      <c r="AA625" s="1" t="str">
        <f>IFERROR(INDEX(_group_[],MATCH(CONCATENATE(ВСЕ_КОДЫ[[#This Row],[CONTEST_CODE]],"_",AA$2),#REF!,0),MATCH(AA$1,_group_[#Headers],0)),"-")</f>
        <v>-</v>
      </c>
      <c r="AB625" s="1" t="str">
        <f>IFERROR(INDEX(_DATA_[],MATCH(ВСЕ_КОДЫ[[#This Row],[CONTEST_CODE]],_DATA_[CONTEST_CODE],0),MATCH($AB$2,_DATA_[#Headers],0)),"-")</f>
        <v>["""KMKKSB"""]</v>
      </c>
      <c r="AC625" t="str">
        <f>CONCATENATE(ВСЕ_КОДЫ[[#This Row],[CONTEST_CODE]],"_",ВСЕ_КОДЫ[[#This Row],[TOURNAMENT_CODE]])</f>
        <v>01_2025-1_07-5_6_t_01_2025-1_07-5_6_4001</v>
      </c>
      <c r="AD625" t="str">
        <f>ВСЕ_КОДЫ[[#This Row],[FULL_NAME]]</f>
        <v>Навигатор BI. Максимизируй комиссию</v>
      </c>
    </row>
    <row r="626" spans="1:30" hidden="1" x14ac:dyDescent="0.25">
      <c r="A626" s="1" t="s">
        <v>3123</v>
      </c>
      <c r="B626" s="1" t="s">
        <v>3264</v>
      </c>
      <c r="C626" s="1" t="s">
        <v>3197</v>
      </c>
      <c r="D626" s="1" t="s">
        <v>583</v>
      </c>
      <c r="E626" s="1" t="s">
        <v>3306</v>
      </c>
      <c r="F626" s="1" t="s">
        <v>2508</v>
      </c>
      <c r="G626" s="1" t="s">
        <v>27</v>
      </c>
      <c r="H626" s="1" t="s">
        <v>34</v>
      </c>
      <c r="I626" s="1" t="s">
        <v>50</v>
      </c>
      <c r="J626" s="1" t="s">
        <v>2508</v>
      </c>
      <c r="K626" s="1" t="s">
        <v>3232</v>
      </c>
      <c r="L626" s="1" t="s">
        <v>3233</v>
      </c>
      <c r="M626" s="1" t="s">
        <v>34</v>
      </c>
      <c r="N626" s="1" t="s">
        <v>305</v>
      </c>
      <c r="O626" s="1" t="s">
        <v>3363</v>
      </c>
      <c r="Q626">
        <f>IFERROR(COUNTIFS(_report[TOURNAMENT_CODE],ВСЕ_КОДЫ[[#This Row],[TOURNAMENT_CODE]],_report[CONTEST_CODE],ВСЕ_КОДЫ[[#This Row],[CONTEST_CODE]]),"-")</f>
        <v>0</v>
      </c>
      <c r="R626" s="1" t="str">
        <f>IFERROR(INDEX(_SCHEDULE_[],MATCH(ВСЕ_КОДЫ[[#This Row],[CONTEST_CODE]],_SCHEDULE_[CONTEST_CODE],0),MATCH($R$1,_SCHEDULE_[#Headers],0)),"-")</f>
        <v>АКТИВНЫЙ</v>
      </c>
      <c r="S626" s="1" t="str">
        <f>IFERROR(INDEX(_group_[],MATCH(ВСЕ_КОДЫ[[#This Row],[CONTEST_CODE]],_group_[CONTEST_CODE],0),MATCH($S$1,_group_[#Headers],0)),"-")</f>
        <v>BANK</v>
      </c>
      <c r="T626" s="1" t="str">
        <f>IFERROR(INDEX(_INDICATOR_[],MATCH(ВСЕ_КОДЫ[[#This Row],[CONTEST_CODE]],_INDICATOR_[CONTEST_CODE],0),MATCH($T$1,_INDICATOR_[#Headers],0)),"-")</f>
        <v>WAIT</v>
      </c>
      <c r="U626" s="1" t="str">
        <f>IFERROR(INDEX(_reward_link_[],MATCH(ВСЕ_КОДЫ[[#This Row],[CONTEST_CODE]],_reward_link_[CONTEST_CODE],0),MATCH($U$1,_reward_link_[#Headers],0)),"-")</f>
        <v>BANK</v>
      </c>
      <c r="V626" s="1" t="str">
        <f>IFERROR(INDEX(_report[],MATCH(ВСЕ_КОДЫ[[#This Row],[CONTEST_CODE]],_report[CONTEST_CODE],0),MATCH($V$1,_report[#Headers],0)),"-")</f>
        <v>-</v>
      </c>
      <c r="W626" s="1" t="str">
        <f>IFERROR(INDEX(_reward_[],MATCH(ВСЕ_КОДЫ[[#This Row],[REWARD_CODE]],_reward_[REWARD_CODE],0),MATCH($W$1,_reward_[#Headers],0)),"-")</f>
        <v>Золото#СберИндексПро. Максимизируй комиссию</v>
      </c>
      <c r="X626" s="1" t="str">
        <f>IFERROR(INDEX(_group_[],MATCH(CONCATENATE(ВСЕ_КОДЫ[[#This Row],[CONTEST_CODE]],"_",X$2),#REF!,0),MATCH(X$1,_group_[#Headers],0)),"-")</f>
        <v>-</v>
      </c>
      <c r="Y626" s="1" t="str">
        <f>IFERROR(INDEX(_group_[],MATCH(CONCATENATE(ВСЕ_КОДЫ[[#This Row],[CONTEST_CODE]],"_",Y$2),#REF!,0),MATCH(Y$1,_group_[#Headers],0)),"-")</f>
        <v>-</v>
      </c>
      <c r="Z626" s="1" t="str">
        <f>IFERROR(INDEX(_group_[],MATCH(CONCATENATE(ВСЕ_КОДЫ[[#This Row],[CONTEST_CODE]],"_",Z$2),#REF!,0),MATCH(Z$1,_group_[#Headers],0)),"-")</f>
        <v>-</v>
      </c>
      <c r="AA626" s="1" t="str">
        <f>IFERROR(INDEX(_group_[],MATCH(CONCATENATE(ВСЕ_КОДЫ[[#This Row],[CONTEST_CODE]],"_",AA$2),#REF!,0),MATCH(AA$1,_group_[#Headers],0)),"-")</f>
        <v>-</v>
      </c>
      <c r="AB626" s="1" t="str">
        <f>IFERROR(INDEX(_DATA_[],MATCH(ВСЕ_КОДЫ[[#This Row],[CONTEST_CODE]],_DATA_[CONTEST_CODE],0),MATCH($AB$2,_DATA_[#Headers],0)),"-")</f>
        <v>["""KMKKSB"""]</v>
      </c>
      <c r="AC626" t="str">
        <f>CONCATENATE(ВСЕ_КОДЫ[[#This Row],[CONTEST_CODE]],"_",ВСЕ_КОДЫ[[#This Row],[TOURNAMENT_CODE]])</f>
        <v>01_2025-1_07-5_7_t_01_2025-1_07-5_7_4001</v>
      </c>
      <c r="AD626" t="str">
        <f>ВСЕ_КОДЫ[[#This Row],[FULL_NAME]]</f>
        <v>СберИндексПро. Максимизируй комиссию</v>
      </c>
    </row>
    <row r="627" spans="1:30" hidden="1" x14ac:dyDescent="0.25">
      <c r="A627" s="1" t="s">
        <v>3125</v>
      </c>
      <c r="B627" s="1" t="s">
        <v>3266</v>
      </c>
      <c r="C627" s="1" t="s">
        <v>3199</v>
      </c>
      <c r="D627" s="1" t="s">
        <v>583</v>
      </c>
      <c r="E627" s="1" t="s">
        <v>3302</v>
      </c>
      <c r="F627" s="1" t="s">
        <v>2508</v>
      </c>
      <c r="G627" s="1" t="s">
        <v>27</v>
      </c>
      <c r="H627" s="1" t="s">
        <v>34</v>
      </c>
      <c r="I627" s="1" t="s">
        <v>50</v>
      </c>
      <c r="J627" s="1" t="s">
        <v>2508</v>
      </c>
      <c r="K627" s="1" t="s">
        <v>3232</v>
      </c>
      <c r="L627" s="1" t="s">
        <v>3233</v>
      </c>
      <c r="M627" s="1" t="s">
        <v>34</v>
      </c>
      <c r="N627" s="1" t="s">
        <v>305</v>
      </c>
      <c r="O627" s="1" t="s">
        <v>3353</v>
      </c>
      <c r="Q627">
        <f>IFERROR(COUNTIFS(_report[TOURNAMENT_CODE],ВСЕ_КОДЫ[[#This Row],[TOURNAMENT_CODE]],_report[CONTEST_CODE],ВСЕ_КОДЫ[[#This Row],[CONTEST_CODE]]),"-")</f>
        <v>0</v>
      </c>
      <c r="R627" s="1" t="str">
        <f>IFERROR(INDEX(_SCHEDULE_[],MATCH(ВСЕ_КОДЫ[[#This Row],[CONTEST_CODE]],_SCHEDULE_[CONTEST_CODE],0),MATCH($R$1,_SCHEDULE_[#Headers],0)),"-")</f>
        <v>АКТИВНЫЙ</v>
      </c>
      <c r="S627" s="1" t="str">
        <f>IFERROR(INDEX(_group_[],MATCH(ВСЕ_КОДЫ[[#This Row],[CONTEST_CODE]],_group_[CONTEST_CODE],0),MATCH($S$1,_group_[#Headers],0)),"-")</f>
        <v>BANK</v>
      </c>
      <c r="T627" s="1" t="str">
        <f>IFERROR(INDEX(_INDICATOR_[],MATCH(ВСЕ_КОДЫ[[#This Row],[CONTEST_CODE]],_INDICATOR_[CONTEST_CODE],0),MATCH($T$1,_INDICATOR_[#Headers],0)),"-")</f>
        <v>WAIT</v>
      </c>
      <c r="U627" s="1" t="str">
        <f>IFERROR(INDEX(_reward_link_[],MATCH(ВСЕ_КОДЫ[[#This Row],[CONTEST_CODE]],_reward_link_[CONTEST_CODE],0),MATCH($U$1,_reward_link_[#Headers],0)),"-")</f>
        <v>BANK</v>
      </c>
      <c r="V627" s="1" t="str">
        <f>IFERROR(INDEX(_report[],MATCH(ВСЕ_КОДЫ[[#This Row],[CONTEST_CODE]],_report[CONTEST_CODE],0),MATCH($V$1,_report[#Headers],0)),"-")</f>
        <v>-</v>
      </c>
      <c r="W627" s="1" t="str">
        <f>IFERROR(INDEX(_reward_[],MATCH(ВСЕ_КОДЫ[[#This Row],[REWARD_CODE]],_reward_[REWARD_CODE],0),MATCH($W$1,_reward_[#Headers],0)),"-")</f>
        <v>Золото#Process Mining. Максимизируй комиссию</v>
      </c>
      <c r="X627" s="1" t="str">
        <f>IFERROR(INDEX(_group_[],MATCH(CONCATENATE(ВСЕ_КОДЫ[[#This Row],[CONTEST_CODE]],"_",X$2),#REF!,0),MATCH(X$1,_group_[#Headers],0)),"-")</f>
        <v>-</v>
      </c>
      <c r="Y627" s="1" t="str">
        <f>IFERROR(INDEX(_group_[],MATCH(CONCATENATE(ВСЕ_КОДЫ[[#This Row],[CONTEST_CODE]],"_",Y$2),#REF!,0),MATCH(Y$1,_group_[#Headers],0)),"-")</f>
        <v>-</v>
      </c>
      <c r="Z627" s="1" t="str">
        <f>IFERROR(INDEX(_group_[],MATCH(CONCATENATE(ВСЕ_КОДЫ[[#This Row],[CONTEST_CODE]],"_",Z$2),#REF!,0),MATCH(Z$1,_group_[#Headers],0)),"-")</f>
        <v>-</v>
      </c>
      <c r="AA627" s="1" t="str">
        <f>IFERROR(INDEX(_group_[],MATCH(CONCATENATE(ВСЕ_КОДЫ[[#This Row],[CONTEST_CODE]],"_",AA$2),#REF!,0),MATCH(AA$1,_group_[#Headers],0)),"-")</f>
        <v>-</v>
      </c>
      <c r="AB627" s="1" t="str">
        <f>IFERROR(INDEX(_DATA_[],MATCH(ВСЕ_КОДЫ[[#This Row],[CONTEST_CODE]],_DATA_[CONTEST_CODE],0),MATCH($AB$2,_DATA_[#Headers],0)),"-")</f>
        <v>["""MNS"""]</v>
      </c>
      <c r="AC627" t="str">
        <f>CONCATENATE(ВСЕ_КОДЫ[[#This Row],[CONTEST_CODE]],"_",ВСЕ_КОДЫ[[#This Row],[TOURNAMENT_CODE]])</f>
        <v>02_2025-1_07-5_5_t_02_2025-1_07-5_5_4001</v>
      </c>
      <c r="AD627" t="str">
        <f>ВСЕ_КОДЫ[[#This Row],[FULL_NAME]]</f>
        <v>Process Mining. Максимизируй комиссию</v>
      </c>
    </row>
    <row r="628" spans="1:30" hidden="1" x14ac:dyDescent="0.25">
      <c r="A628" s="1" t="s">
        <v>3127</v>
      </c>
      <c r="B628" s="1" t="s">
        <v>3268</v>
      </c>
      <c r="C628" s="1" t="s">
        <v>3201</v>
      </c>
      <c r="D628" s="1" t="s">
        <v>583</v>
      </c>
      <c r="E628" s="1" t="s">
        <v>3304</v>
      </c>
      <c r="F628" s="1" t="s">
        <v>2508</v>
      </c>
      <c r="G628" s="1" t="s">
        <v>27</v>
      </c>
      <c r="H628" s="1" t="s">
        <v>34</v>
      </c>
      <c r="I628" s="1" t="s">
        <v>50</v>
      </c>
      <c r="J628" s="1" t="s">
        <v>2508</v>
      </c>
      <c r="K628" s="1" t="s">
        <v>3232</v>
      </c>
      <c r="L628" s="1" t="s">
        <v>3233</v>
      </c>
      <c r="M628" s="1" t="s">
        <v>34</v>
      </c>
      <c r="N628" s="1" t="s">
        <v>305</v>
      </c>
      <c r="O628" s="1" t="s">
        <v>3358</v>
      </c>
      <c r="Q628">
        <f>IFERROR(COUNTIFS(_report[TOURNAMENT_CODE],ВСЕ_КОДЫ[[#This Row],[TOURNAMENT_CODE]],_report[CONTEST_CODE],ВСЕ_КОДЫ[[#This Row],[CONTEST_CODE]]),"-")</f>
        <v>0</v>
      </c>
      <c r="R628" s="1" t="str">
        <f>IFERROR(INDEX(_SCHEDULE_[],MATCH(ВСЕ_КОДЫ[[#This Row],[CONTEST_CODE]],_SCHEDULE_[CONTEST_CODE],0),MATCH($R$1,_SCHEDULE_[#Headers],0)),"-")</f>
        <v>АКТИВНЫЙ</v>
      </c>
      <c r="S628" s="1" t="str">
        <f>IFERROR(INDEX(_group_[],MATCH(ВСЕ_КОДЫ[[#This Row],[CONTEST_CODE]],_group_[CONTEST_CODE],0),MATCH($S$1,_group_[#Headers],0)),"-")</f>
        <v>BANK</v>
      </c>
      <c r="T628" s="1" t="str">
        <f>IFERROR(INDEX(_INDICATOR_[],MATCH(ВСЕ_КОДЫ[[#This Row],[CONTEST_CODE]],_INDICATOR_[CONTEST_CODE],0),MATCH($T$1,_INDICATOR_[#Headers],0)),"-")</f>
        <v>WAIT</v>
      </c>
      <c r="U628" s="1" t="str">
        <f>IFERROR(INDEX(_reward_link_[],MATCH(ВСЕ_КОДЫ[[#This Row],[CONTEST_CODE]],_reward_link_[CONTEST_CODE],0),MATCH($U$1,_reward_link_[#Headers],0)),"-")</f>
        <v>BANK</v>
      </c>
      <c r="V628" s="1" t="str">
        <f>IFERROR(INDEX(_report[],MATCH(ВСЕ_КОДЫ[[#This Row],[CONTEST_CODE]],_report[CONTEST_CODE],0),MATCH($V$1,_report[#Headers],0)),"-")</f>
        <v>-</v>
      </c>
      <c r="W628" s="1" t="str">
        <f>IFERROR(INDEX(_reward_[],MATCH(ВСЕ_КОДЫ[[#This Row],[REWARD_CODE]],_reward_[REWARD_CODE],0),MATCH($W$1,_reward_[#Headers],0)),"-")</f>
        <v>Золото#Навигатора BI. Максимизируй комиссию</v>
      </c>
      <c r="X628" s="1" t="str">
        <f>IFERROR(INDEX(_group_[],MATCH(CONCATENATE(ВСЕ_КОДЫ[[#This Row],[CONTEST_CODE]],"_",X$2),#REF!,0),MATCH(X$1,_group_[#Headers],0)),"-")</f>
        <v>-</v>
      </c>
      <c r="Y628" s="1" t="str">
        <f>IFERROR(INDEX(_group_[],MATCH(CONCATENATE(ВСЕ_КОДЫ[[#This Row],[CONTEST_CODE]],"_",Y$2),#REF!,0),MATCH(Y$1,_group_[#Headers],0)),"-")</f>
        <v>-</v>
      </c>
      <c r="Z628" s="1" t="str">
        <f>IFERROR(INDEX(_group_[],MATCH(CONCATENATE(ВСЕ_КОДЫ[[#This Row],[CONTEST_CODE]],"_",Z$2),#REF!,0),MATCH(Z$1,_group_[#Headers],0)),"-")</f>
        <v>-</v>
      </c>
      <c r="AA628" s="1" t="str">
        <f>IFERROR(INDEX(_group_[],MATCH(CONCATENATE(ВСЕ_КОДЫ[[#This Row],[CONTEST_CODE]],"_",AA$2),#REF!,0),MATCH(AA$1,_group_[#Headers],0)),"-")</f>
        <v>-</v>
      </c>
      <c r="AB628" s="1" t="str">
        <f>IFERROR(INDEX(_DATA_[],MATCH(ВСЕ_КОДЫ[[#This Row],[CONTEST_CODE]],_DATA_[CONTEST_CODE],0),MATCH($AB$2,_DATA_[#Headers],0)),"-")</f>
        <v>["""MNS"""]</v>
      </c>
      <c r="AC628" t="str">
        <f>CONCATENATE(ВСЕ_КОДЫ[[#This Row],[CONTEST_CODE]],"_",ВСЕ_КОДЫ[[#This Row],[TOURNAMENT_CODE]])</f>
        <v>02_2025-1_07-5_6_t_02_2025-1_07-5_6_4001</v>
      </c>
      <c r="AD628" t="str">
        <f>ВСЕ_КОДЫ[[#This Row],[FULL_NAME]]</f>
        <v>Навигатор BI. Максимизируй комиссию</v>
      </c>
    </row>
    <row r="629" spans="1:30" hidden="1" x14ac:dyDescent="0.25">
      <c r="A629" s="1" t="s">
        <v>3129</v>
      </c>
      <c r="B629" s="1" t="s">
        <v>3270</v>
      </c>
      <c r="C629" s="1" t="s">
        <v>3203</v>
      </c>
      <c r="D629" s="1" t="s">
        <v>583</v>
      </c>
      <c r="E629" s="1" t="s">
        <v>3306</v>
      </c>
      <c r="F629" s="1" t="s">
        <v>2508</v>
      </c>
      <c r="G629" s="1" t="s">
        <v>27</v>
      </c>
      <c r="H629" s="1" t="s">
        <v>34</v>
      </c>
      <c r="I629" s="1" t="s">
        <v>50</v>
      </c>
      <c r="J629" s="1" t="s">
        <v>2508</v>
      </c>
      <c r="K629" s="1" t="s">
        <v>3232</v>
      </c>
      <c r="L629" s="1" t="s">
        <v>3233</v>
      </c>
      <c r="M629" s="1" t="s">
        <v>34</v>
      </c>
      <c r="N629" s="1" t="s">
        <v>305</v>
      </c>
      <c r="O629" s="1" t="s">
        <v>3363</v>
      </c>
      <c r="Q629">
        <f>IFERROR(COUNTIFS(_report[TOURNAMENT_CODE],ВСЕ_КОДЫ[[#This Row],[TOURNAMENT_CODE]],_report[CONTEST_CODE],ВСЕ_КОДЫ[[#This Row],[CONTEST_CODE]]),"-")</f>
        <v>0</v>
      </c>
      <c r="R629" s="1" t="str">
        <f>IFERROR(INDEX(_SCHEDULE_[],MATCH(ВСЕ_КОДЫ[[#This Row],[CONTEST_CODE]],_SCHEDULE_[CONTEST_CODE],0),MATCH($R$1,_SCHEDULE_[#Headers],0)),"-")</f>
        <v>АКТИВНЫЙ</v>
      </c>
      <c r="S629" s="1" t="str">
        <f>IFERROR(INDEX(_group_[],MATCH(ВСЕ_КОДЫ[[#This Row],[CONTEST_CODE]],_group_[CONTEST_CODE],0),MATCH($S$1,_group_[#Headers],0)),"-")</f>
        <v>BANK</v>
      </c>
      <c r="T629" s="1" t="str">
        <f>IFERROR(INDEX(_INDICATOR_[],MATCH(ВСЕ_КОДЫ[[#This Row],[CONTEST_CODE]],_INDICATOR_[CONTEST_CODE],0),MATCH($T$1,_INDICATOR_[#Headers],0)),"-")</f>
        <v>WAIT</v>
      </c>
      <c r="U629" s="1" t="str">
        <f>IFERROR(INDEX(_reward_link_[],MATCH(ВСЕ_КОДЫ[[#This Row],[CONTEST_CODE]],_reward_link_[CONTEST_CODE],0),MATCH($U$1,_reward_link_[#Headers],0)),"-")</f>
        <v>BANK</v>
      </c>
      <c r="V629" s="1" t="str">
        <f>IFERROR(INDEX(_report[],MATCH(ВСЕ_КОДЫ[[#This Row],[CONTEST_CODE]],_report[CONTEST_CODE],0),MATCH($V$1,_report[#Headers],0)),"-")</f>
        <v>-</v>
      </c>
      <c r="W629" s="1" t="str">
        <f>IFERROR(INDEX(_reward_[],MATCH(ВСЕ_КОДЫ[[#This Row],[REWARD_CODE]],_reward_[REWARD_CODE],0),MATCH($W$1,_reward_[#Headers],0)),"-")</f>
        <v>Золото#СберИндексПро. Максимизируй комиссию</v>
      </c>
      <c r="X629" s="1" t="str">
        <f>IFERROR(INDEX(_group_[],MATCH(CONCATENATE(ВСЕ_КОДЫ[[#This Row],[CONTEST_CODE]],"_",X$2),#REF!,0),MATCH(X$1,_group_[#Headers],0)),"-")</f>
        <v>-</v>
      </c>
      <c r="Y629" s="1" t="str">
        <f>IFERROR(INDEX(_group_[],MATCH(CONCATENATE(ВСЕ_КОДЫ[[#This Row],[CONTEST_CODE]],"_",Y$2),#REF!,0),MATCH(Y$1,_group_[#Headers],0)),"-")</f>
        <v>-</v>
      </c>
      <c r="Z629" s="1" t="str">
        <f>IFERROR(INDEX(_group_[],MATCH(CONCATENATE(ВСЕ_КОДЫ[[#This Row],[CONTEST_CODE]],"_",Z$2),#REF!,0),MATCH(Z$1,_group_[#Headers],0)),"-")</f>
        <v>-</v>
      </c>
      <c r="AA629" s="1" t="str">
        <f>IFERROR(INDEX(_group_[],MATCH(CONCATENATE(ВСЕ_КОДЫ[[#This Row],[CONTEST_CODE]],"_",AA$2),#REF!,0),MATCH(AA$1,_group_[#Headers],0)),"-")</f>
        <v>-</v>
      </c>
      <c r="AB629" s="1" t="str">
        <f>IFERROR(INDEX(_DATA_[],MATCH(ВСЕ_КОДЫ[[#This Row],[CONTEST_CODE]],_DATA_[CONTEST_CODE],0),MATCH($AB$2,_DATA_[#Headers],0)),"-")</f>
        <v>["""MNS"""]</v>
      </c>
      <c r="AC629" t="str">
        <f>CONCATENATE(ВСЕ_КОДЫ[[#This Row],[CONTEST_CODE]],"_",ВСЕ_КОДЫ[[#This Row],[TOURNAMENT_CODE]])</f>
        <v>02_2025-1_07-5_7_t_02_2025-1_07-5_7_4001</v>
      </c>
      <c r="AD629" t="str">
        <f>ВСЕ_КОДЫ[[#This Row],[FULL_NAME]]</f>
        <v>СберИндексПро. Максимизируй комиссию</v>
      </c>
    </row>
    <row r="630" spans="1:30" hidden="1" x14ac:dyDescent="0.25">
      <c r="A630" s="1" t="s">
        <v>3131</v>
      </c>
      <c r="B630" s="1" t="s">
        <v>3272</v>
      </c>
      <c r="C630" s="1" t="s">
        <v>3205</v>
      </c>
      <c r="D630" s="1" t="s">
        <v>583</v>
      </c>
      <c r="E630" s="1" t="s">
        <v>3310</v>
      </c>
      <c r="F630" s="1" t="s">
        <v>2508</v>
      </c>
      <c r="G630" s="1" t="s">
        <v>27</v>
      </c>
      <c r="H630" s="1" t="s">
        <v>34</v>
      </c>
      <c r="I630" s="1" t="s">
        <v>29</v>
      </c>
      <c r="J630" s="1" t="s">
        <v>2508</v>
      </c>
      <c r="K630" s="1" t="s">
        <v>3232</v>
      </c>
      <c r="L630" s="1" t="s">
        <v>3233</v>
      </c>
      <c r="M630" s="1" t="s">
        <v>34</v>
      </c>
      <c r="N630" s="1" t="s">
        <v>305</v>
      </c>
      <c r="O630" s="1" t="s">
        <v>3368</v>
      </c>
      <c r="Q630">
        <f>IFERROR(COUNTIFS(_report[TOURNAMENT_CODE],ВСЕ_КОДЫ[[#This Row],[TOURNAMENT_CODE]],_report[CONTEST_CODE],ВСЕ_КОДЫ[[#This Row],[CONTEST_CODE]]),"-")</f>
        <v>0</v>
      </c>
      <c r="R630" s="1" t="str">
        <f>IFERROR(INDEX(_SCHEDULE_[],MATCH(ВСЕ_КОДЫ[[#This Row],[CONTEST_CODE]],_SCHEDULE_[CONTEST_CODE],0),MATCH($R$1,_SCHEDULE_[#Headers],0)),"-")</f>
        <v>АКТИВНЫЙ</v>
      </c>
      <c r="S630" s="1" t="str">
        <f>IFERROR(INDEX(_group_[],MATCH(ВСЕ_КОДЫ[[#This Row],[CONTEST_CODE]],_group_[CONTEST_CODE],0),MATCH($S$1,_group_[#Headers],0)),"-")</f>
        <v>BANK</v>
      </c>
      <c r="T630" s="1" t="str">
        <f>IFERROR(INDEX(_INDICATOR_[],MATCH(ВСЕ_КОДЫ[[#This Row],[CONTEST_CODE]],_INDICATOR_[CONTEST_CODE],0),MATCH($T$1,_INDICATOR_[#Headers],0)),"-")</f>
        <v>WAIT</v>
      </c>
      <c r="U630" s="1" t="str">
        <f>IFERROR(INDEX(_reward_link_[],MATCH(ВСЕ_КОДЫ[[#This Row],[CONTEST_CODE]],_reward_link_[CONTEST_CODE],0),MATCH($U$1,_reward_link_[#Headers],0)),"-")</f>
        <v>BANK</v>
      </c>
      <c r="V630" s="1" t="str">
        <f>IFERROR(INDEX(_report[],MATCH(ВСЕ_КОДЫ[[#This Row],[CONTEST_CODE]],_report[CONTEST_CODE],0),MATCH($V$1,_report[#Headers],0)),"-")</f>
        <v>-</v>
      </c>
      <c r="W630" s="1" t="str">
        <f>IFERROR(INDEX(_reward_[],MATCH(ВСЕ_КОДЫ[[#This Row],[REWARD_CODE]],_reward_[REWARD_CODE],0),MATCH($W$1,_reward_[#Headers],0)),"-")</f>
        <v>2 клиента Process Mining</v>
      </c>
      <c r="X630" s="1" t="str">
        <f>IFERROR(INDEX(_group_[],MATCH(CONCATENATE(ВСЕ_КОДЫ[[#This Row],[CONTEST_CODE]],"_",X$2),#REF!,0),MATCH(X$1,_group_[#Headers],0)),"-")</f>
        <v>-</v>
      </c>
      <c r="Y630" s="1" t="str">
        <f>IFERROR(INDEX(_group_[],MATCH(CONCATENATE(ВСЕ_КОДЫ[[#This Row],[CONTEST_CODE]],"_",Y$2),#REF!,0),MATCH(Y$1,_group_[#Headers],0)),"-")</f>
        <v>-</v>
      </c>
      <c r="Z630" s="1" t="str">
        <f>IFERROR(INDEX(_group_[],MATCH(CONCATENATE(ВСЕ_КОДЫ[[#This Row],[CONTEST_CODE]],"_",Z$2),#REF!,0),MATCH(Z$1,_group_[#Headers],0)),"-")</f>
        <v>-</v>
      </c>
      <c r="AA630" s="1" t="str">
        <f>IFERROR(INDEX(_group_[],MATCH(CONCATENATE(ВСЕ_КОДЫ[[#This Row],[CONTEST_CODE]],"_",AA$2),#REF!,0),MATCH(AA$1,_group_[#Headers],0)),"-")</f>
        <v>-</v>
      </c>
      <c r="AB630" s="1" t="str">
        <f>IFERROR(INDEX(_DATA_[],MATCH(ВСЕ_КОДЫ[[#This Row],[CONTEST_CODE]],_DATA_[CONTEST_CODE],0),MATCH($AB$2,_DATA_[#Headers],0)),"-")</f>
        <v>["""KMKKSB"""]</v>
      </c>
      <c r="AC630" t="str">
        <f>CONCATENATE(ВСЕ_КОДЫ[[#This Row],[CONTEST_CODE]],"_",ВСЕ_КОДЫ[[#This Row],[TOURNAMENT_CODE]])</f>
        <v>01_2025-1_07-5_8_t_01_2025-1_07-5_8_4001</v>
      </c>
      <c r="AD630" t="str">
        <f>ВСЕ_КОДЫ[[#This Row],[FULL_NAME]]</f>
        <v>2 клиента по Process Mining</v>
      </c>
    </row>
    <row r="631" spans="1:30" hidden="1" x14ac:dyDescent="0.25">
      <c r="A631" s="1" t="s">
        <v>3133</v>
      </c>
      <c r="B631" s="1" t="s">
        <v>3274</v>
      </c>
      <c r="C631" s="1" t="s">
        <v>3207</v>
      </c>
      <c r="D631" s="1" t="s">
        <v>583</v>
      </c>
      <c r="E631" s="1" t="s">
        <v>3311</v>
      </c>
      <c r="F631" s="1" t="s">
        <v>2508</v>
      </c>
      <c r="G631" s="1" t="s">
        <v>27</v>
      </c>
      <c r="H631" s="1" t="s">
        <v>34</v>
      </c>
      <c r="I631" s="1" t="s">
        <v>29</v>
      </c>
      <c r="J631" s="1" t="s">
        <v>2508</v>
      </c>
      <c r="K631" s="1" t="s">
        <v>3232</v>
      </c>
      <c r="L631" s="1" t="s">
        <v>3233</v>
      </c>
      <c r="M631" s="1" t="s">
        <v>34</v>
      </c>
      <c r="N631" s="1" t="s">
        <v>305</v>
      </c>
      <c r="O631" s="1" t="s">
        <v>3370</v>
      </c>
      <c r="Q631">
        <f>IFERROR(COUNTIFS(_report[TOURNAMENT_CODE],ВСЕ_КОДЫ[[#This Row],[TOURNAMENT_CODE]],_report[CONTEST_CODE],ВСЕ_КОДЫ[[#This Row],[CONTEST_CODE]]),"-")</f>
        <v>0</v>
      </c>
      <c r="R631" s="1" t="str">
        <f>IFERROR(INDEX(_SCHEDULE_[],MATCH(ВСЕ_КОДЫ[[#This Row],[CONTEST_CODE]],_SCHEDULE_[CONTEST_CODE],0),MATCH($R$1,_SCHEDULE_[#Headers],0)),"-")</f>
        <v>АКТИВНЫЙ</v>
      </c>
      <c r="S631" s="1" t="str">
        <f>IFERROR(INDEX(_group_[],MATCH(ВСЕ_КОДЫ[[#This Row],[CONTEST_CODE]],_group_[CONTEST_CODE],0),MATCH($S$1,_group_[#Headers],0)),"-")</f>
        <v>BANK</v>
      </c>
      <c r="T631" s="1" t="str">
        <f>IFERROR(INDEX(_INDICATOR_[],MATCH(ВСЕ_КОДЫ[[#This Row],[CONTEST_CODE]],_INDICATOR_[CONTEST_CODE],0),MATCH($T$1,_INDICATOR_[#Headers],0)),"-")</f>
        <v>WAIT</v>
      </c>
      <c r="U631" s="1" t="str">
        <f>IFERROR(INDEX(_reward_link_[],MATCH(ВСЕ_КОДЫ[[#This Row],[CONTEST_CODE]],_reward_link_[CONTEST_CODE],0),MATCH($U$1,_reward_link_[#Headers],0)),"-")</f>
        <v>BANK</v>
      </c>
      <c r="V631" s="1" t="str">
        <f>IFERROR(INDEX(_report[],MATCH(ВСЕ_КОДЫ[[#This Row],[CONTEST_CODE]],_report[CONTEST_CODE],0),MATCH($V$1,_report[#Headers],0)),"-")</f>
        <v>-</v>
      </c>
      <c r="W631" s="1" t="str">
        <f>IFERROR(INDEX(_reward_[],MATCH(ВСЕ_КОДЫ[[#This Row],[REWARD_CODE]],_reward_[REWARD_CODE],0),MATCH($W$1,_reward_[#Headers],0)),"-")</f>
        <v>2 клиента Навигатора BI</v>
      </c>
      <c r="X631" s="1" t="str">
        <f>IFERROR(INDEX(_group_[],MATCH(CONCATENATE(ВСЕ_КОДЫ[[#This Row],[CONTEST_CODE]],"_",X$2),#REF!,0),MATCH(X$1,_group_[#Headers],0)),"-")</f>
        <v>-</v>
      </c>
      <c r="Y631" s="1" t="str">
        <f>IFERROR(INDEX(_group_[],MATCH(CONCATENATE(ВСЕ_КОДЫ[[#This Row],[CONTEST_CODE]],"_",Y$2),#REF!,0),MATCH(Y$1,_group_[#Headers],0)),"-")</f>
        <v>-</v>
      </c>
      <c r="Z631" s="1" t="str">
        <f>IFERROR(INDEX(_group_[],MATCH(CONCATENATE(ВСЕ_КОДЫ[[#This Row],[CONTEST_CODE]],"_",Z$2),#REF!,0),MATCH(Z$1,_group_[#Headers],0)),"-")</f>
        <v>-</v>
      </c>
      <c r="AA631" s="1" t="str">
        <f>IFERROR(INDEX(_group_[],MATCH(CONCATENATE(ВСЕ_КОДЫ[[#This Row],[CONTEST_CODE]],"_",AA$2),#REF!,0),MATCH(AA$1,_group_[#Headers],0)),"-")</f>
        <v>-</v>
      </c>
      <c r="AB631" s="1" t="str">
        <f>IFERROR(INDEX(_DATA_[],MATCH(ВСЕ_КОДЫ[[#This Row],[CONTEST_CODE]],_DATA_[CONTEST_CODE],0),MATCH($AB$2,_DATA_[#Headers],0)),"-")</f>
        <v>["""KMKKSB"""]</v>
      </c>
      <c r="AC631" t="str">
        <f>CONCATENATE(ВСЕ_КОДЫ[[#This Row],[CONTEST_CODE]],"_",ВСЕ_КОДЫ[[#This Row],[TOURNAMENT_CODE]])</f>
        <v>01_2025-1_07-5_9_t_01_2025-1_07-5_9_4001</v>
      </c>
      <c r="AD631" t="str">
        <f>ВСЕ_КОДЫ[[#This Row],[FULL_NAME]]</f>
        <v>2 клиента по Навигатор BI</v>
      </c>
    </row>
    <row r="632" spans="1:30" hidden="1" x14ac:dyDescent="0.25">
      <c r="A632" s="1" t="s">
        <v>3135</v>
      </c>
      <c r="B632" s="1" t="s">
        <v>3276</v>
      </c>
      <c r="C632" s="1" t="s">
        <v>3209</v>
      </c>
      <c r="D632" s="1" t="s">
        <v>583</v>
      </c>
      <c r="E632" s="1" t="s">
        <v>3312</v>
      </c>
      <c r="F632" s="1" t="s">
        <v>2508</v>
      </c>
      <c r="G632" s="1" t="s">
        <v>27</v>
      </c>
      <c r="H632" s="1" t="s">
        <v>34</v>
      </c>
      <c r="I632" s="1" t="s">
        <v>29</v>
      </c>
      <c r="J632" s="1" t="s">
        <v>2508</v>
      </c>
      <c r="K632" s="1" t="s">
        <v>3232</v>
      </c>
      <c r="L632" s="1" t="s">
        <v>3233</v>
      </c>
      <c r="M632" s="1" t="s">
        <v>34</v>
      </c>
      <c r="N632" s="1" t="s">
        <v>305</v>
      </c>
      <c r="O632" s="1" t="s">
        <v>3350</v>
      </c>
      <c r="Q632">
        <f>IFERROR(COUNTIFS(_report[TOURNAMENT_CODE],ВСЕ_КОДЫ[[#This Row],[TOURNAMENT_CODE]],_report[CONTEST_CODE],ВСЕ_КОДЫ[[#This Row],[CONTEST_CODE]]),"-")</f>
        <v>0</v>
      </c>
      <c r="R632" s="1" t="str">
        <f>IFERROR(INDEX(_SCHEDULE_[],MATCH(ВСЕ_КОДЫ[[#This Row],[CONTEST_CODE]],_SCHEDULE_[CONTEST_CODE],0),MATCH($R$1,_SCHEDULE_[#Headers],0)),"-")</f>
        <v>АКТИВНЫЙ</v>
      </c>
      <c r="S632" s="1" t="str">
        <f>IFERROR(INDEX(_group_[],MATCH(ВСЕ_КОДЫ[[#This Row],[CONTEST_CODE]],_group_[CONTEST_CODE],0),MATCH($S$1,_group_[#Headers],0)),"-")</f>
        <v>BANK</v>
      </c>
      <c r="T632" s="1" t="str">
        <f>IFERROR(INDEX(_INDICATOR_[],MATCH(ВСЕ_КОДЫ[[#This Row],[CONTEST_CODE]],_INDICATOR_[CONTEST_CODE],0),MATCH($T$1,_INDICATOR_[#Headers],0)),"-")</f>
        <v>WAIT</v>
      </c>
      <c r="U632" s="1" t="str">
        <f>IFERROR(INDEX(_reward_link_[],MATCH(ВСЕ_КОДЫ[[#This Row],[CONTEST_CODE]],_reward_link_[CONTEST_CODE],0),MATCH($U$1,_reward_link_[#Headers],0)),"-")</f>
        <v>BANK</v>
      </c>
      <c r="V632" s="1" t="str">
        <f>IFERROR(INDEX(_report[],MATCH(ВСЕ_КОДЫ[[#This Row],[CONTEST_CODE]],_report[CONTEST_CODE],0),MATCH($V$1,_report[#Headers],0)),"-")</f>
        <v>-</v>
      </c>
      <c r="W632" s="1" t="str">
        <f>IFERROR(INDEX(_reward_[],MATCH(ВСЕ_КОДЫ[[#This Row],[REWARD_CODE]],_reward_[REWARD_CODE],0),MATCH($W$1,_reward_[#Headers],0)),"-")</f>
        <v>2 клиента СберИндексПро</v>
      </c>
      <c r="X632" s="1" t="str">
        <f>IFERROR(INDEX(_group_[],MATCH(CONCATENATE(ВСЕ_КОДЫ[[#This Row],[CONTEST_CODE]],"_",X$2),#REF!,0),MATCH(X$1,_group_[#Headers],0)),"-")</f>
        <v>-</v>
      </c>
      <c r="Y632" s="1" t="str">
        <f>IFERROR(INDEX(_group_[],MATCH(CONCATENATE(ВСЕ_КОДЫ[[#This Row],[CONTEST_CODE]],"_",Y$2),#REF!,0),MATCH(Y$1,_group_[#Headers],0)),"-")</f>
        <v>-</v>
      </c>
      <c r="Z632" s="1" t="str">
        <f>IFERROR(INDEX(_group_[],MATCH(CONCATENATE(ВСЕ_КОДЫ[[#This Row],[CONTEST_CODE]],"_",Z$2),#REF!,0),MATCH(Z$1,_group_[#Headers],0)),"-")</f>
        <v>-</v>
      </c>
      <c r="AA632" s="1" t="str">
        <f>IFERROR(INDEX(_group_[],MATCH(CONCATENATE(ВСЕ_КОДЫ[[#This Row],[CONTEST_CODE]],"_",AA$2),#REF!,0),MATCH(AA$1,_group_[#Headers],0)),"-")</f>
        <v>-</v>
      </c>
      <c r="AB632" s="1" t="str">
        <f>IFERROR(INDEX(_DATA_[],MATCH(ВСЕ_КОДЫ[[#This Row],[CONTEST_CODE]],_DATA_[CONTEST_CODE],0),MATCH($AB$2,_DATA_[#Headers],0)),"-")</f>
        <v>["""KMKKSB"""]</v>
      </c>
      <c r="AC632" t="str">
        <f>CONCATENATE(ВСЕ_КОДЫ[[#This Row],[CONTEST_CODE]],"_",ВСЕ_КОДЫ[[#This Row],[TOURNAMENT_CODE]])</f>
        <v>01_2025-1_07-5_10_t_01_2025-1_07-5_10_4001</v>
      </c>
      <c r="AD632" t="str">
        <f>ВСЕ_КОДЫ[[#This Row],[FULL_NAME]]</f>
        <v>2 клиента по СберИндексПро</v>
      </c>
    </row>
    <row r="633" spans="1:30" hidden="1" x14ac:dyDescent="0.25">
      <c r="A633" s="1" t="s">
        <v>3137</v>
      </c>
      <c r="B633" s="1" t="s">
        <v>3278</v>
      </c>
      <c r="C633" s="1" t="s">
        <v>3211</v>
      </c>
      <c r="D633" s="1" t="s">
        <v>583</v>
      </c>
      <c r="E633" s="1" t="s">
        <v>3313</v>
      </c>
      <c r="F633" s="1" t="s">
        <v>2508</v>
      </c>
      <c r="G633" s="1" t="s">
        <v>27</v>
      </c>
      <c r="H633" s="1" t="s">
        <v>34</v>
      </c>
      <c r="I633" s="1" t="s">
        <v>35</v>
      </c>
      <c r="J633" s="1" t="s">
        <v>2508</v>
      </c>
      <c r="K633" s="1" t="s">
        <v>3232</v>
      </c>
      <c r="L633" s="1" t="s">
        <v>3233</v>
      </c>
      <c r="M633" s="1" t="s">
        <v>34</v>
      </c>
      <c r="N633" s="1" t="s">
        <v>305</v>
      </c>
      <c r="O633" s="1" t="s">
        <v>3389</v>
      </c>
      <c r="Q633">
        <f>IFERROR(COUNTIFS(_report[TOURNAMENT_CODE],ВСЕ_КОДЫ[[#This Row],[TOURNAMENT_CODE]],_report[CONTEST_CODE],ВСЕ_КОДЫ[[#This Row],[CONTEST_CODE]]),"-")</f>
        <v>0</v>
      </c>
      <c r="R633" s="1" t="str">
        <f>IFERROR(INDEX(_SCHEDULE_[],MATCH(ВСЕ_КОДЫ[[#This Row],[CONTEST_CODE]],_SCHEDULE_[CONTEST_CODE],0),MATCH($R$1,_SCHEDULE_[#Headers],0)),"-")</f>
        <v>АКТИВНЫЙ</v>
      </c>
      <c r="S633" s="1" t="str">
        <f>IFERROR(INDEX(_group_[],MATCH(ВСЕ_КОДЫ[[#This Row],[CONTEST_CODE]],_group_[CONTEST_CODE],0),MATCH($S$1,_group_[#Headers],0)),"-")</f>
        <v>BANK</v>
      </c>
      <c r="T633" s="1" t="str">
        <f>IFERROR(INDEX(_INDICATOR_[],MATCH(ВСЕ_КОДЫ[[#This Row],[CONTEST_CODE]],_INDICATOR_[CONTEST_CODE],0),MATCH($T$1,_INDICATOR_[#Headers],0)),"-")</f>
        <v>WAIT</v>
      </c>
      <c r="U633" s="1" t="str">
        <f>IFERROR(INDEX(_reward_link_[],MATCH(ВСЕ_КОДЫ[[#This Row],[CONTEST_CODE]],_reward_link_[CONTEST_CODE],0),MATCH($U$1,_reward_link_[#Headers],0)),"-")</f>
        <v>BANK</v>
      </c>
      <c r="V633" s="1" t="str">
        <f>IFERROR(INDEX(_report[],MATCH(ВСЕ_КОДЫ[[#This Row],[CONTEST_CODE]],_report[CONTEST_CODE],0),MATCH($V$1,_report[#Headers],0)),"-")</f>
        <v>-</v>
      </c>
      <c r="W633" s="1" t="str">
        <f>IFERROR(INDEX(_reward_[],MATCH(ВСЕ_КОДЫ[[#This Row],[REWARD_CODE]],_reward_[REWARD_CODE],0),MATCH($W$1,_reward_[#Headers],0)),"-")</f>
        <v>3 клиента Process Mining</v>
      </c>
      <c r="X633" s="1" t="str">
        <f>IFERROR(INDEX(_group_[],MATCH(CONCATENATE(ВСЕ_КОДЫ[[#This Row],[CONTEST_CODE]],"_",X$2),#REF!,0),MATCH(X$1,_group_[#Headers],0)),"-")</f>
        <v>-</v>
      </c>
      <c r="Y633" s="1" t="str">
        <f>IFERROR(INDEX(_group_[],MATCH(CONCATENATE(ВСЕ_КОДЫ[[#This Row],[CONTEST_CODE]],"_",Y$2),#REF!,0),MATCH(Y$1,_group_[#Headers],0)),"-")</f>
        <v>-</v>
      </c>
      <c r="Z633" s="1" t="str">
        <f>IFERROR(INDEX(_group_[],MATCH(CONCATENATE(ВСЕ_КОДЫ[[#This Row],[CONTEST_CODE]],"_",Z$2),#REF!,0),MATCH(Z$1,_group_[#Headers],0)),"-")</f>
        <v>-</v>
      </c>
      <c r="AA633" s="1" t="str">
        <f>IFERROR(INDEX(_group_[],MATCH(CONCATENATE(ВСЕ_КОДЫ[[#This Row],[CONTEST_CODE]],"_",AA$2),#REF!,0),MATCH(AA$1,_group_[#Headers],0)),"-")</f>
        <v>-</v>
      </c>
      <c r="AB633" s="1" t="str">
        <f>IFERROR(INDEX(_DATA_[],MATCH(ВСЕ_КОДЫ[[#This Row],[CONTEST_CODE]],_DATA_[CONTEST_CODE],0),MATCH($AB$2,_DATA_[#Headers],0)),"-")</f>
        <v>["""MNS"""]</v>
      </c>
      <c r="AC633" t="str">
        <f>CONCATENATE(ВСЕ_КОДЫ[[#This Row],[CONTEST_CODE]],"_",ВСЕ_КОДЫ[[#This Row],[TOURNAMENT_CODE]])</f>
        <v>02_2025-1_07-5_8_t_02_2025-1_07-5_8_4001</v>
      </c>
      <c r="AD633" t="str">
        <f>ВСЕ_КОДЫ[[#This Row],[FULL_NAME]]</f>
        <v>3 клиента по Process Mining</v>
      </c>
    </row>
    <row r="634" spans="1:30" hidden="1" x14ac:dyDescent="0.25">
      <c r="A634" s="1" t="s">
        <v>3139</v>
      </c>
      <c r="B634" s="1" t="s">
        <v>3280</v>
      </c>
      <c r="C634" s="1" t="s">
        <v>3213</v>
      </c>
      <c r="D634" s="1" t="s">
        <v>583</v>
      </c>
      <c r="E634" s="1" t="s">
        <v>3314</v>
      </c>
      <c r="F634" s="1" t="s">
        <v>2508</v>
      </c>
      <c r="G634" s="1" t="s">
        <v>27</v>
      </c>
      <c r="H634" s="1" t="s">
        <v>34</v>
      </c>
      <c r="I634" s="1" t="s">
        <v>35</v>
      </c>
      <c r="J634" s="1" t="s">
        <v>2508</v>
      </c>
      <c r="K634" s="1" t="s">
        <v>3232</v>
      </c>
      <c r="L634" s="1" t="s">
        <v>3233</v>
      </c>
      <c r="M634" s="1" t="s">
        <v>34</v>
      </c>
      <c r="N634" s="1" t="s">
        <v>305</v>
      </c>
      <c r="O634" s="1" t="s">
        <v>3391</v>
      </c>
      <c r="Q634">
        <f>IFERROR(COUNTIFS(_report[TOURNAMENT_CODE],ВСЕ_КОДЫ[[#This Row],[TOURNAMENT_CODE]],_report[CONTEST_CODE],ВСЕ_КОДЫ[[#This Row],[CONTEST_CODE]]),"-")</f>
        <v>0</v>
      </c>
      <c r="R634" s="1" t="str">
        <f>IFERROR(INDEX(_SCHEDULE_[],MATCH(ВСЕ_КОДЫ[[#This Row],[CONTEST_CODE]],_SCHEDULE_[CONTEST_CODE],0),MATCH($R$1,_SCHEDULE_[#Headers],0)),"-")</f>
        <v>АКТИВНЫЙ</v>
      </c>
      <c r="S634" s="1" t="str">
        <f>IFERROR(INDEX(_group_[],MATCH(ВСЕ_КОДЫ[[#This Row],[CONTEST_CODE]],_group_[CONTEST_CODE],0),MATCH($S$1,_group_[#Headers],0)),"-")</f>
        <v>BANK</v>
      </c>
      <c r="T634" s="1" t="str">
        <f>IFERROR(INDEX(_INDICATOR_[],MATCH(ВСЕ_КОДЫ[[#This Row],[CONTEST_CODE]],_INDICATOR_[CONTEST_CODE],0),MATCH($T$1,_INDICATOR_[#Headers],0)),"-")</f>
        <v>WAIT</v>
      </c>
      <c r="U634" s="1" t="str">
        <f>IFERROR(INDEX(_reward_link_[],MATCH(ВСЕ_КОДЫ[[#This Row],[CONTEST_CODE]],_reward_link_[CONTEST_CODE],0),MATCH($U$1,_reward_link_[#Headers],0)),"-")</f>
        <v>BANK</v>
      </c>
      <c r="V634" s="1" t="str">
        <f>IFERROR(INDEX(_report[],MATCH(ВСЕ_КОДЫ[[#This Row],[CONTEST_CODE]],_report[CONTEST_CODE],0),MATCH($V$1,_report[#Headers],0)),"-")</f>
        <v>-</v>
      </c>
      <c r="W634" s="1" t="str">
        <f>IFERROR(INDEX(_reward_[],MATCH(ВСЕ_КОДЫ[[#This Row],[REWARD_CODE]],_reward_[REWARD_CODE],0),MATCH($W$1,_reward_[#Headers],0)),"-")</f>
        <v>3 клиента Навигатор BI</v>
      </c>
      <c r="X634" s="1" t="str">
        <f>IFERROR(INDEX(_group_[],MATCH(CONCATENATE(ВСЕ_КОДЫ[[#This Row],[CONTEST_CODE]],"_",X$2),#REF!,0),MATCH(X$1,_group_[#Headers],0)),"-")</f>
        <v>-</v>
      </c>
      <c r="Y634" s="1" t="str">
        <f>IFERROR(INDEX(_group_[],MATCH(CONCATENATE(ВСЕ_КОДЫ[[#This Row],[CONTEST_CODE]],"_",Y$2),#REF!,0),MATCH(Y$1,_group_[#Headers],0)),"-")</f>
        <v>-</v>
      </c>
      <c r="Z634" s="1" t="str">
        <f>IFERROR(INDEX(_group_[],MATCH(CONCATENATE(ВСЕ_КОДЫ[[#This Row],[CONTEST_CODE]],"_",Z$2),#REF!,0),MATCH(Z$1,_group_[#Headers],0)),"-")</f>
        <v>-</v>
      </c>
      <c r="AA634" s="1" t="str">
        <f>IFERROR(INDEX(_group_[],MATCH(CONCATENATE(ВСЕ_КОДЫ[[#This Row],[CONTEST_CODE]],"_",AA$2),#REF!,0),MATCH(AA$1,_group_[#Headers],0)),"-")</f>
        <v>-</v>
      </c>
      <c r="AB634" s="1" t="str">
        <f>IFERROR(INDEX(_DATA_[],MATCH(ВСЕ_КОДЫ[[#This Row],[CONTEST_CODE]],_DATA_[CONTEST_CODE],0),MATCH($AB$2,_DATA_[#Headers],0)),"-")</f>
        <v>["""MNS"""]</v>
      </c>
      <c r="AC634" t="str">
        <f>CONCATENATE(ВСЕ_КОДЫ[[#This Row],[CONTEST_CODE]],"_",ВСЕ_КОДЫ[[#This Row],[TOURNAMENT_CODE]])</f>
        <v>02_2025-1_07-5_9_t_02_2025-1_07-5_9_4001</v>
      </c>
      <c r="AD634" t="str">
        <f>ВСЕ_КОДЫ[[#This Row],[FULL_NAME]]</f>
        <v>3 клиента по Навигатор BI</v>
      </c>
    </row>
    <row r="635" spans="1:30" hidden="1" x14ac:dyDescent="0.25">
      <c r="A635" s="1" t="s">
        <v>3141</v>
      </c>
      <c r="B635" s="1" t="s">
        <v>3282</v>
      </c>
      <c r="C635" s="1" t="s">
        <v>3215</v>
      </c>
      <c r="D635" s="1" t="s">
        <v>583</v>
      </c>
      <c r="E635" s="1" t="s">
        <v>3312</v>
      </c>
      <c r="F635" s="1" t="s">
        <v>2508</v>
      </c>
      <c r="G635" s="1" t="s">
        <v>27</v>
      </c>
      <c r="H635" s="1" t="s">
        <v>34</v>
      </c>
      <c r="I635" s="1" t="s">
        <v>35</v>
      </c>
      <c r="J635" s="1" t="s">
        <v>2508</v>
      </c>
      <c r="K635" s="1" t="s">
        <v>3232</v>
      </c>
      <c r="L635" s="1" t="s">
        <v>3233</v>
      </c>
      <c r="M635" s="1" t="s">
        <v>34</v>
      </c>
      <c r="N635" s="1" t="s">
        <v>305</v>
      </c>
      <c r="O635" s="1" t="s">
        <v>3350</v>
      </c>
      <c r="Q635">
        <f>IFERROR(COUNTIFS(_report[TOURNAMENT_CODE],ВСЕ_КОДЫ[[#This Row],[TOURNAMENT_CODE]],_report[CONTEST_CODE],ВСЕ_КОДЫ[[#This Row],[CONTEST_CODE]]),"-")</f>
        <v>0</v>
      </c>
      <c r="R635" s="1" t="str">
        <f>IFERROR(INDEX(_SCHEDULE_[],MATCH(ВСЕ_КОДЫ[[#This Row],[CONTEST_CODE]],_SCHEDULE_[CONTEST_CODE],0),MATCH($R$1,_SCHEDULE_[#Headers],0)),"-")</f>
        <v>АКТИВНЫЙ</v>
      </c>
      <c r="S635" s="1" t="str">
        <f>IFERROR(INDEX(_group_[],MATCH(ВСЕ_КОДЫ[[#This Row],[CONTEST_CODE]],_group_[CONTEST_CODE],0),MATCH($S$1,_group_[#Headers],0)),"-")</f>
        <v>BANK</v>
      </c>
      <c r="T635" s="1" t="str">
        <f>IFERROR(INDEX(_INDICATOR_[],MATCH(ВСЕ_КОДЫ[[#This Row],[CONTEST_CODE]],_INDICATOR_[CONTEST_CODE],0),MATCH($T$1,_INDICATOR_[#Headers],0)),"-")</f>
        <v>WAIT</v>
      </c>
      <c r="U635" s="1" t="str">
        <f>IFERROR(INDEX(_reward_link_[],MATCH(ВСЕ_КОДЫ[[#This Row],[CONTEST_CODE]],_reward_link_[CONTEST_CODE],0),MATCH($U$1,_reward_link_[#Headers],0)),"-")</f>
        <v>BANK</v>
      </c>
      <c r="V635" s="1" t="str">
        <f>IFERROR(INDEX(_report[],MATCH(ВСЕ_КОДЫ[[#This Row],[CONTEST_CODE]],_report[CONTEST_CODE],0),MATCH($V$1,_report[#Headers],0)),"-")</f>
        <v>-</v>
      </c>
      <c r="W635" s="1" t="str">
        <f>IFERROR(INDEX(_reward_[],MATCH(ВСЕ_КОДЫ[[#This Row],[REWARD_CODE]],_reward_[REWARD_CODE],0),MATCH($W$1,_reward_[#Headers],0)),"-")</f>
        <v>2 клиента СберИндексПро</v>
      </c>
      <c r="X635" s="1" t="str">
        <f>IFERROR(INDEX(_group_[],MATCH(CONCATENATE(ВСЕ_КОДЫ[[#This Row],[CONTEST_CODE]],"_",X$2),#REF!,0),MATCH(X$1,_group_[#Headers],0)),"-")</f>
        <v>-</v>
      </c>
      <c r="Y635" s="1" t="str">
        <f>IFERROR(INDEX(_group_[],MATCH(CONCATENATE(ВСЕ_КОДЫ[[#This Row],[CONTEST_CODE]],"_",Y$2),#REF!,0),MATCH(Y$1,_group_[#Headers],0)),"-")</f>
        <v>-</v>
      </c>
      <c r="Z635" s="1" t="str">
        <f>IFERROR(INDEX(_group_[],MATCH(CONCATENATE(ВСЕ_КОДЫ[[#This Row],[CONTEST_CODE]],"_",Z$2),#REF!,0),MATCH(Z$1,_group_[#Headers],0)),"-")</f>
        <v>-</v>
      </c>
      <c r="AA635" s="1" t="str">
        <f>IFERROR(INDEX(_group_[],MATCH(CONCATENATE(ВСЕ_КОДЫ[[#This Row],[CONTEST_CODE]],"_",AA$2),#REF!,0),MATCH(AA$1,_group_[#Headers],0)),"-")</f>
        <v>-</v>
      </c>
      <c r="AB635" s="1" t="str">
        <f>IFERROR(INDEX(_DATA_[],MATCH(ВСЕ_КОДЫ[[#This Row],[CONTEST_CODE]],_DATA_[CONTEST_CODE],0),MATCH($AB$2,_DATA_[#Headers],0)),"-")</f>
        <v>["""MNS"""]</v>
      </c>
      <c r="AC635" t="str">
        <f>CONCATENATE(ВСЕ_КОДЫ[[#This Row],[CONTEST_CODE]],"_",ВСЕ_КОДЫ[[#This Row],[TOURNAMENT_CODE]])</f>
        <v>02_2025-1_07-5_10_t_02_2025-1_07-5_10_4001</v>
      </c>
      <c r="AD635" t="str">
        <f>ВСЕ_КОДЫ[[#This Row],[FULL_NAME]]</f>
        <v>2 клиента по СберИндексПро</v>
      </c>
    </row>
    <row r="636" spans="1:30" hidden="1" x14ac:dyDescent="0.25">
      <c r="A636" s="1" t="s">
        <v>3403</v>
      </c>
      <c r="B636" s="1" t="s">
        <v>3408</v>
      </c>
      <c r="C636" s="1" t="s">
        <v>3406</v>
      </c>
      <c r="D636" s="1" t="s">
        <v>586</v>
      </c>
      <c r="E636" s="1" t="s">
        <v>3410</v>
      </c>
      <c r="F636" s="1" t="s">
        <v>2508</v>
      </c>
      <c r="G636" s="1" t="s">
        <v>27</v>
      </c>
      <c r="H636" s="1" t="s">
        <v>34</v>
      </c>
      <c r="I636" s="1" t="s">
        <v>50</v>
      </c>
      <c r="J636" s="1" t="s">
        <v>2508</v>
      </c>
      <c r="K636" s="1" t="s">
        <v>2542</v>
      </c>
      <c r="L636" s="1" t="s">
        <v>3232</v>
      </c>
      <c r="M636" s="1" t="s">
        <v>34</v>
      </c>
      <c r="N636" s="1" t="s">
        <v>305</v>
      </c>
      <c r="O636" s="1" t="s">
        <v>2673</v>
      </c>
      <c r="Q636">
        <f>IFERROR(COUNTIFS(_report[TOURNAMENT_CODE],ВСЕ_КОДЫ[[#This Row],[TOURNAMENT_CODE]],_report[CONTEST_CODE],ВСЕ_КОДЫ[[#This Row],[CONTEST_CODE]]),"-")</f>
        <v>0</v>
      </c>
      <c r="R636" s="1" t="str">
        <f>IFERROR(INDEX(_SCHEDULE_[],MATCH(ВСЕ_КОДЫ[[#This Row],[CONTEST_CODE]],_SCHEDULE_[CONTEST_CODE],0),MATCH($R$1,_SCHEDULE_[#Headers],0)),"-")</f>
        <v>АКТИВНЫЙ</v>
      </c>
      <c r="S636" s="1" t="str">
        <f>IFERROR(INDEX(_group_[],MATCH(ВСЕ_КОДЫ[[#This Row],[CONTEST_CODE]],_group_[CONTEST_CODE],0),MATCH($S$1,_group_[#Headers],0)),"-")</f>
        <v>TB</v>
      </c>
      <c r="T636" s="1" t="str">
        <f>IFERROR(INDEX(_INDICATOR_[],MATCH(ВСЕ_КОДЫ[[#This Row],[CONTEST_CODE]],_INDICATOR_[CONTEST_CODE],0),MATCH($T$1,_INDICATOR_[#Headers],0)),"-")</f>
        <v>WAIT</v>
      </c>
      <c r="U636" s="1" t="str">
        <f>IFERROR(INDEX(_reward_link_[],MATCH(ВСЕ_КОДЫ[[#This Row],[CONTEST_CODE]],_reward_link_[CONTEST_CODE],0),MATCH($U$1,_reward_link_[#Headers],0)),"-")</f>
        <v>TB</v>
      </c>
      <c r="V636" s="1" t="str">
        <f>IFERROR(INDEX(_report[],MATCH(ВСЕ_КОДЫ[[#This Row],[CONTEST_CODE]],_report[CONTEST_CODE],0),MATCH($V$1,_report[#Headers],0)),"-")</f>
        <v>-</v>
      </c>
      <c r="W636" s="1" t="str">
        <f>IFERROR(INDEX(_reward_[],MATCH(ВСЕ_КОДЫ[[#This Row],[REWARD_CODE]],_reward_[REWARD_CODE],0),MATCH($W$1,_reward_[#Headers],0)),"-")</f>
        <v>Серебро#по приросту остатка Пассивов</v>
      </c>
      <c r="X636" s="1" t="str">
        <f>IFERROR(INDEX(_group_[],MATCH(CONCATENATE(ВСЕ_КОДЫ[[#This Row],[CONTEST_CODE]],"_",X$2),#REF!,0),MATCH(X$1,_group_[#Headers],0)),"-")</f>
        <v>-</v>
      </c>
      <c r="Y636" s="1" t="str">
        <f>IFERROR(INDEX(_group_[],MATCH(CONCATENATE(ВСЕ_КОДЫ[[#This Row],[CONTEST_CODE]],"_",Y$2),#REF!,0),MATCH(Y$1,_group_[#Headers],0)),"-")</f>
        <v>-</v>
      </c>
      <c r="Z636" s="1" t="str">
        <f>IFERROR(INDEX(_group_[],MATCH(CONCATENATE(ВСЕ_КОДЫ[[#This Row],[CONTEST_CODE]],"_",Z$2),#REF!,0),MATCH(Z$1,_group_[#Headers],0)),"-")</f>
        <v>-</v>
      </c>
      <c r="AA636" s="1" t="str">
        <f>IFERROR(INDEX(_group_[],MATCH(CONCATENATE(ВСЕ_КОДЫ[[#This Row],[CONTEST_CODE]],"_",AA$2),#REF!,0),MATCH(AA$1,_group_[#Headers],0)),"-")</f>
        <v>-</v>
      </c>
      <c r="AB636" s="1" t="str">
        <f>IFERROR(INDEX(_DATA_[],MATCH(ВСЕ_КОДЫ[[#This Row],[CONTEST_CODE]],_DATA_[CONTEST_CODE],0),MATCH($AB$2,_DATA_[#Headers],0)),"-")</f>
        <v>["""KMKKSB"""]</v>
      </c>
      <c r="AC636" t="str">
        <f>CONCATENATE(ВСЕ_КОДЫ[[#This Row],[CONTEST_CODE]],"_",ВСЕ_КОДЫ[[#This Row],[TOURNAMENT_CODE]])</f>
        <v>01_2025-1_02-1_2_t_01_2025-1_02-1_2_4001</v>
      </c>
      <c r="AD636" t="str">
        <f>ВСЕ_КОДЫ[[#This Row],[FULL_NAME]]</f>
        <v>Пассивы. Зарабатывай на привлечении</v>
      </c>
    </row>
    <row r="637" spans="1:30" hidden="1" x14ac:dyDescent="0.25">
      <c r="A637" s="1" t="s">
        <v>4026</v>
      </c>
      <c r="B637" s="1" t="s">
        <v>4123</v>
      </c>
      <c r="C637" s="1" t="s">
        <v>4036</v>
      </c>
      <c r="D637" s="1" t="s">
        <v>583</v>
      </c>
      <c r="E637" s="1" t="s">
        <v>4054</v>
      </c>
      <c r="F637" s="1" t="s">
        <v>2508</v>
      </c>
      <c r="G637" s="1" t="s">
        <v>27</v>
      </c>
      <c r="H637" s="1" t="s">
        <v>34</v>
      </c>
      <c r="I637" s="1" t="s">
        <v>35</v>
      </c>
      <c r="J637" s="1" t="s">
        <v>2508</v>
      </c>
      <c r="K637" s="1" t="s">
        <v>2509</v>
      </c>
      <c r="L637" s="1" t="s">
        <v>2510</v>
      </c>
      <c r="M637" s="1" t="s">
        <v>34</v>
      </c>
      <c r="N637" s="1" t="s">
        <v>305</v>
      </c>
      <c r="O637" s="1" t="s">
        <v>4054</v>
      </c>
      <c r="Q637">
        <f>IFERROR(COUNTIFS(_report[TOURNAMENT_CODE],ВСЕ_КОДЫ[[#This Row],[TOURNAMENT_CODE]],_report[CONTEST_CODE],ВСЕ_КОДЫ[[#This Row],[CONTEST_CODE]]),"-")</f>
        <v>0</v>
      </c>
      <c r="R637" s="1" t="str">
        <f>IFERROR(INDEX(_SCHEDULE_[],MATCH(ВСЕ_КОДЫ[[#This Row],[CONTEST_CODE]],_SCHEDULE_[CONTEST_CODE],0),MATCH($R$1,_SCHEDULE_[#Headers],0)),"-")</f>
        <v>АКТИВНЫЙ</v>
      </c>
      <c r="S637" s="1" t="str">
        <f>IFERROR(INDEX(_group_[],MATCH(ВСЕ_КОДЫ[[#This Row],[CONTEST_CODE]],_group_[CONTEST_CODE],0),MATCH($S$1,_group_[#Headers],0)),"-")</f>
        <v>BANK</v>
      </c>
      <c r="T637" s="1" t="str">
        <f>IFERROR(INDEX(_INDICATOR_[],MATCH(ВСЕ_КОДЫ[[#This Row],[CONTEST_CODE]],_INDICATOR_[CONTEST_CODE],0),MATCH($T$1,_INDICATOR_[#Headers],0)),"-")</f>
        <v>WAIT</v>
      </c>
      <c r="U637" s="1" t="str">
        <f>IFERROR(INDEX(_reward_link_[],MATCH(ВСЕ_КОДЫ[[#This Row],[CONTEST_CODE]],_reward_link_[CONTEST_CODE],0),MATCH($U$1,_reward_link_[#Headers],0)),"-")</f>
        <v>BANK</v>
      </c>
      <c r="V637" s="1" t="str">
        <f>IFERROR(INDEX(_report[],MATCH(ВСЕ_КОДЫ[[#This Row],[CONTEST_CODE]],_report[CONTEST_CODE],0),MATCH($V$1,_report[#Headers],0)),"-")</f>
        <v>-</v>
      </c>
      <c r="W637" s="1" t="str">
        <f>IFERROR(INDEX(_reward_[],MATCH(ВСЕ_КОДЫ[[#This Row],[REWARD_CODE]],_reward_[REWARD_CODE],0),MATCH($W$1,_reward_[#Headers],0)),"-")</f>
        <v>1 привлеченный клиент ЮЛ</v>
      </c>
      <c r="X637" s="1" t="str">
        <f>IFERROR(INDEX(_group_[],MATCH(CONCATENATE(ВСЕ_КОДЫ[[#This Row],[CONTEST_CODE]],"_",X$2),#REF!,0),MATCH(X$1,_group_[#Headers],0)),"-")</f>
        <v>-</v>
      </c>
      <c r="Y637" s="1" t="str">
        <f>IFERROR(INDEX(_group_[],MATCH(CONCATENATE(ВСЕ_КОДЫ[[#This Row],[CONTEST_CODE]],"_",Y$2),#REF!,0),MATCH(Y$1,_group_[#Headers],0)),"-")</f>
        <v>-</v>
      </c>
      <c r="Z637" s="1" t="str">
        <f>IFERROR(INDEX(_group_[],MATCH(CONCATENATE(ВСЕ_КОДЫ[[#This Row],[CONTEST_CODE]],"_",Z$2),#REF!,0),MATCH(Z$1,_group_[#Headers],0)),"-")</f>
        <v>-</v>
      </c>
      <c r="AA637" s="1" t="str">
        <f>IFERROR(INDEX(_group_[],MATCH(CONCATENATE(ВСЕ_КОДЫ[[#This Row],[CONTEST_CODE]],"_",AA$2),#REF!,0),MATCH(AA$1,_group_[#Headers],0)),"-")</f>
        <v>-</v>
      </c>
      <c r="AB637" s="1" t="str">
        <f>IFERROR(INDEX(_DATA_[],MATCH(ВСЕ_КОДЫ[[#This Row],[CONTEST_CODE]],_DATA_[CONTEST_CODE],0),MATCH($AB$2,_DATA_[#Headers],0)),"-")</f>
        <v>["""KMSB1"""]</v>
      </c>
      <c r="AC637" t="str">
        <f>CONCATENATE(ВСЕ_КОДЫ[[#This Row],[CONTEST_CODE]],"_",ВСЕ_КОДЫ[[#This Row],[TOURNAMENT_CODE]])</f>
        <v>05_2025-0_18-8_1_t_05_2025-0_18-8_1_1001</v>
      </c>
      <c r="AD637" t="str">
        <f>ВСЕ_КОДЫ[[#This Row],[FULL_NAME]]</f>
        <v>1 привлеченный клиент ЮЛ</v>
      </c>
    </row>
    <row r="638" spans="1:30" hidden="1" x14ac:dyDescent="0.25">
      <c r="A638" s="1" t="s">
        <v>4028</v>
      </c>
      <c r="B638" s="1" t="s">
        <v>4124</v>
      </c>
      <c r="C638" s="1" t="s">
        <v>4039</v>
      </c>
      <c r="D638" s="1" t="s">
        <v>583</v>
      </c>
      <c r="E638" s="1" t="s">
        <v>4102</v>
      </c>
      <c r="F638" s="1" t="s">
        <v>2508</v>
      </c>
      <c r="G638" s="1" t="s">
        <v>27</v>
      </c>
      <c r="H638" s="1" t="s">
        <v>34</v>
      </c>
      <c r="I638" s="1" t="s">
        <v>35</v>
      </c>
      <c r="J638" s="1" t="s">
        <v>2508</v>
      </c>
      <c r="K638" s="1" t="s">
        <v>2509</v>
      </c>
      <c r="L638" s="1" t="s">
        <v>2510</v>
      </c>
      <c r="M638" s="1" t="s">
        <v>34</v>
      </c>
      <c r="N638" s="1" t="s">
        <v>305</v>
      </c>
      <c r="O638" s="1" t="s">
        <v>4102</v>
      </c>
      <c r="Q638">
        <f>IFERROR(COUNTIFS(_report[TOURNAMENT_CODE],ВСЕ_КОДЫ[[#This Row],[TOURNAMENT_CODE]],_report[CONTEST_CODE],ВСЕ_КОДЫ[[#This Row],[CONTEST_CODE]]),"-")</f>
        <v>0</v>
      </c>
      <c r="R638" s="1" t="str">
        <f>IFERROR(INDEX(_SCHEDULE_[],MATCH(ВСЕ_КОДЫ[[#This Row],[CONTEST_CODE]],_SCHEDULE_[CONTEST_CODE],0),MATCH($R$1,_SCHEDULE_[#Headers],0)),"-")</f>
        <v>АКТИВНЫЙ</v>
      </c>
      <c r="S638" s="1" t="str">
        <f>IFERROR(INDEX(_group_[],MATCH(ВСЕ_КОДЫ[[#This Row],[CONTEST_CODE]],_group_[CONTEST_CODE],0),MATCH($S$1,_group_[#Headers],0)),"-")</f>
        <v>BANK</v>
      </c>
      <c r="T638" s="1" t="str">
        <f>IFERROR(INDEX(_INDICATOR_[],MATCH(ВСЕ_КОДЫ[[#This Row],[CONTEST_CODE]],_INDICATOR_[CONTEST_CODE],0),MATCH($T$1,_INDICATOR_[#Headers],0)),"-")</f>
        <v>WAIT</v>
      </c>
      <c r="U638" s="1" t="str">
        <f>IFERROR(INDEX(_reward_link_[],MATCH(ВСЕ_КОДЫ[[#This Row],[CONTEST_CODE]],_reward_link_[CONTEST_CODE],0),MATCH($U$1,_reward_link_[#Headers],0)),"-")</f>
        <v>BANK</v>
      </c>
      <c r="V638" s="1" t="str">
        <f>IFERROR(INDEX(_report[],MATCH(ВСЕ_КОДЫ[[#This Row],[CONTEST_CODE]],_report[CONTEST_CODE],0),MATCH($V$1,_report[#Headers],0)),"-")</f>
        <v>-</v>
      </c>
      <c r="W638" s="1" t="str">
        <f>IFERROR(INDEX(_reward_[],MATCH(ВСЕ_КОДЫ[[#This Row],[REWARD_CODE]],_reward_[REWARD_CODE],0),MATCH($W$1,_reward_[#Headers],0)),"-")</f>
        <v>3 привлеченных клиента ЮЛ</v>
      </c>
      <c r="X638" s="1" t="str">
        <f>IFERROR(INDEX(_group_[],MATCH(CONCATENATE(ВСЕ_КОДЫ[[#This Row],[CONTEST_CODE]],"_",X$2),#REF!,0),MATCH(X$1,_group_[#Headers],0)),"-")</f>
        <v>-</v>
      </c>
      <c r="Y638" s="1" t="str">
        <f>IFERROR(INDEX(_group_[],MATCH(CONCATENATE(ВСЕ_КОДЫ[[#This Row],[CONTEST_CODE]],"_",Y$2),#REF!,0),MATCH(Y$1,_group_[#Headers],0)),"-")</f>
        <v>-</v>
      </c>
      <c r="Z638" s="1" t="str">
        <f>IFERROR(INDEX(_group_[],MATCH(CONCATENATE(ВСЕ_КОДЫ[[#This Row],[CONTEST_CODE]],"_",Z$2),#REF!,0),MATCH(Z$1,_group_[#Headers],0)),"-")</f>
        <v>-</v>
      </c>
      <c r="AA638" s="1" t="str">
        <f>IFERROR(INDEX(_group_[],MATCH(CONCATENATE(ВСЕ_КОДЫ[[#This Row],[CONTEST_CODE]],"_",AA$2),#REF!,0),MATCH(AA$1,_group_[#Headers],0)),"-")</f>
        <v>-</v>
      </c>
      <c r="AB638" s="1" t="str">
        <f>IFERROR(INDEX(_DATA_[],MATCH(ВСЕ_КОДЫ[[#This Row],[CONTEST_CODE]],_DATA_[CONTEST_CODE],0),MATCH($AB$2,_DATA_[#Headers],0)),"-")</f>
        <v>["""KMSB1"""]</v>
      </c>
      <c r="AC638" t="str">
        <f>CONCATENATE(ВСЕ_КОДЫ[[#This Row],[CONTEST_CODE]],"_",ВСЕ_КОДЫ[[#This Row],[TOURNAMENT_CODE]])</f>
        <v>05_2025-0_18-8_2_t_05_2025-0_18-8_2_1001</v>
      </c>
      <c r="AD638" t="str">
        <f>ВСЕ_КОДЫ[[#This Row],[FULL_NAME]]</f>
        <v>3 привлеченных клиента ЮЛ</v>
      </c>
    </row>
    <row r="639" spans="1:30" hidden="1" x14ac:dyDescent="0.25">
      <c r="A639" s="1" t="s">
        <v>4030</v>
      </c>
      <c r="B639" s="1" t="s">
        <v>4125</v>
      </c>
      <c r="C639" s="1" t="s">
        <v>4042</v>
      </c>
      <c r="D639" s="1" t="s">
        <v>583</v>
      </c>
      <c r="E639" s="1" t="s">
        <v>4103</v>
      </c>
      <c r="F639" s="1" t="s">
        <v>2508</v>
      </c>
      <c r="G639" s="1" t="s">
        <v>27</v>
      </c>
      <c r="H639" s="1" t="s">
        <v>34</v>
      </c>
      <c r="I639" s="1" t="s">
        <v>35</v>
      </c>
      <c r="J639" s="1" t="s">
        <v>2508</v>
      </c>
      <c r="K639" s="1" t="s">
        <v>2509</v>
      </c>
      <c r="L639" s="1" t="s">
        <v>2510</v>
      </c>
      <c r="M639" s="1" t="s">
        <v>34</v>
      </c>
      <c r="N639" s="1" t="s">
        <v>305</v>
      </c>
      <c r="O639" s="1" t="s">
        <v>4103</v>
      </c>
      <c r="Q639">
        <f>IFERROR(COUNTIFS(_report[TOURNAMENT_CODE],ВСЕ_КОДЫ[[#This Row],[TOURNAMENT_CODE]],_report[CONTEST_CODE],ВСЕ_КОДЫ[[#This Row],[CONTEST_CODE]]),"-")</f>
        <v>0</v>
      </c>
      <c r="R639" s="1" t="str">
        <f>IFERROR(INDEX(_SCHEDULE_[],MATCH(ВСЕ_КОДЫ[[#This Row],[CONTEST_CODE]],_SCHEDULE_[CONTEST_CODE],0),MATCH($R$1,_SCHEDULE_[#Headers],0)),"-")</f>
        <v>АКТИВНЫЙ</v>
      </c>
      <c r="S639" s="1" t="str">
        <f>IFERROR(INDEX(_group_[],MATCH(ВСЕ_КОДЫ[[#This Row],[CONTEST_CODE]],_group_[CONTEST_CODE],0),MATCH($S$1,_group_[#Headers],0)),"-")</f>
        <v>BANK</v>
      </c>
      <c r="T639" s="1" t="str">
        <f>IFERROR(INDEX(_INDICATOR_[],MATCH(ВСЕ_КОДЫ[[#This Row],[CONTEST_CODE]],_INDICATOR_[CONTEST_CODE],0),MATCH($T$1,_INDICATOR_[#Headers],0)),"-")</f>
        <v>WAIT</v>
      </c>
      <c r="U639" s="1" t="str">
        <f>IFERROR(INDEX(_reward_link_[],MATCH(ВСЕ_КОДЫ[[#This Row],[CONTEST_CODE]],_reward_link_[CONTEST_CODE],0),MATCH($U$1,_reward_link_[#Headers],0)),"-")</f>
        <v>BANK</v>
      </c>
      <c r="V639" s="1" t="str">
        <f>IFERROR(INDEX(_report[],MATCH(ВСЕ_КОДЫ[[#This Row],[CONTEST_CODE]],_report[CONTEST_CODE],0),MATCH($V$1,_report[#Headers],0)),"-")</f>
        <v>-</v>
      </c>
      <c r="W639" s="1" t="str">
        <f>IFERROR(INDEX(_reward_[],MATCH(ВСЕ_КОДЫ[[#This Row],[REWARD_CODE]],_reward_[REWARD_CODE],0),MATCH($W$1,_reward_[#Headers],0)),"-")</f>
        <v>5 привлеченных клиентов ЮЛ</v>
      </c>
      <c r="X639" s="1" t="str">
        <f>IFERROR(INDEX(_group_[],MATCH(CONCATENATE(ВСЕ_КОДЫ[[#This Row],[CONTEST_CODE]],"_",X$2),#REF!,0),MATCH(X$1,_group_[#Headers],0)),"-")</f>
        <v>-</v>
      </c>
      <c r="Y639" s="1" t="str">
        <f>IFERROR(INDEX(_group_[],MATCH(CONCATENATE(ВСЕ_КОДЫ[[#This Row],[CONTEST_CODE]],"_",Y$2),#REF!,0),MATCH(Y$1,_group_[#Headers],0)),"-")</f>
        <v>-</v>
      </c>
      <c r="Z639" s="1" t="str">
        <f>IFERROR(INDEX(_group_[],MATCH(CONCATENATE(ВСЕ_КОДЫ[[#This Row],[CONTEST_CODE]],"_",Z$2),#REF!,0),MATCH(Z$1,_group_[#Headers],0)),"-")</f>
        <v>-</v>
      </c>
      <c r="AA639" s="1" t="str">
        <f>IFERROR(INDEX(_group_[],MATCH(CONCATENATE(ВСЕ_КОДЫ[[#This Row],[CONTEST_CODE]],"_",AA$2),#REF!,0),MATCH(AA$1,_group_[#Headers],0)),"-")</f>
        <v>-</v>
      </c>
      <c r="AB639" s="1" t="str">
        <f>IFERROR(INDEX(_DATA_[],MATCH(ВСЕ_КОДЫ[[#This Row],[CONTEST_CODE]],_DATA_[CONTEST_CODE],0),MATCH($AB$2,_DATA_[#Headers],0)),"-")</f>
        <v>["""KMSB1"""]</v>
      </c>
      <c r="AC639" t="str">
        <f>CONCATENATE(ВСЕ_КОДЫ[[#This Row],[CONTEST_CODE]],"_",ВСЕ_КОДЫ[[#This Row],[TOURNAMENT_CODE]])</f>
        <v>05_2025-0_18-8_3_t_05_2025-0_18-8_3_1001</v>
      </c>
      <c r="AD639" t="str">
        <f>ВСЕ_КОДЫ[[#This Row],[FULL_NAME]]</f>
        <v>5 привлеченных клиентов ЮЛ</v>
      </c>
    </row>
    <row r="640" spans="1:30" hidden="1" x14ac:dyDescent="0.25">
      <c r="A640" s="1" t="s">
        <v>4032</v>
      </c>
      <c r="B640" s="1" t="s">
        <v>4126</v>
      </c>
      <c r="C640" s="1" t="s">
        <v>4045</v>
      </c>
      <c r="D640" s="1" t="s">
        <v>583</v>
      </c>
      <c r="E640" s="1" t="s">
        <v>4104</v>
      </c>
      <c r="F640" s="1" t="s">
        <v>2508</v>
      </c>
      <c r="G640" s="1" t="s">
        <v>27</v>
      </c>
      <c r="H640" s="1" t="s">
        <v>34</v>
      </c>
      <c r="I640" s="1" t="s">
        <v>35</v>
      </c>
      <c r="J640" s="1" t="s">
        <v>2508</v>
      </c>
      <c r="K640" s="1" t="s">
        <v>2509</v>
      </c>
      <c r="L640" s="1" t="s">
        <v>2510</v>
      </c>
      <c r="M640" s="1" t="s">
        <v>34</v>
      </c>
      <c r="N640" s="1" t="s">
        <v>305</v>
      </c>
      <c r="O640" s="1" t="s">
        <v>4104</v>
      </c>
      <c r="Q640">
        <f>IFERROR(COUNTIFS(_report[TOURNAMENT_CODE],ВСЕ_КОДЫ[[#This Row],[TOURNAMENT_CODE]],_report[CONTEST_CODE],ВСЕ_КОДЫ[[#This Row],[CONTEST_CODE]]),"-")</f>
        <v>0</v>
      </c>
      <c r="R640" s="1" t="str">
        <f>IFERROR(INDEX(_SCHEDULE_[],MATCH(ВСЕ_КОДЫ[[#This Row],[CONTEST_CODE]],_SCHEDULE_[CONTEST_CODE],0),MATCH($R$1,_SCHEDULE_[#Headers],0)),"-")</f>
        <v>АКТИВНЫЙ</v>
      </c>
      <c r="S640" s="1" t="str">
        <f>IFERROR(INDEX(_group_[],MATCH(ВСЕ_КОДЫ[[#This Row],[CONTEST_CODE]],_group_[CONTEST_CODE],0),MATCH($S$1,_group_[#Headers],0)),"-")</f>
        <v>BANK</v>
      </c>
      <c r="T640" s="1" t="str">
        <f>IFERROR(INDEX(_INDICATOR_[],MATCH(ВСЕ_КОДЫ[[#This Row],[CONTEST_CODE]],_INDICATOR_[CONTEST_CODE],0),MATCH($T$1,_INDICATOR_[#Headers],0)),"-")</f>
        <v>WAIT</v>
      </c>
      <c r="U640" s="1" t="str">
        <f>IFERROR(INDEX(_reward_link_[],MATCH(ВСЕ_КОДЫ[[#This Row],[CONTEST_CODE]],_reward_link_[CONTEST_CODE],0),MATCH($U$1,_reward_link_[#Headers],0)),"-")</f>
        <v>BANK</v>
      </c>
      <c r="V640" s="1" t="str">
        <f>IFERROR(INDEX(_report[],MATCH(ВСЕ_КОДЫ[[#This Row],[CONTEST_CODE]],_report[CONTEST_CODE],0),MATCH($V$1,_report[#Headers],0)),"-")</f>
        <v>-</v>
      </c>
      <c r="W640" s="1" t="str">
        <f>IFERROR(INDEX(_reward_[],MATCH(ВСЕ_КОДЫ[[#This Row],[REWARD_CODE]],_reward_[REWARD_CODE],0),MATCH($W$1,_reward_[#Headers],0)),"-")</f>
        <v>10 привлеченных клиентов ЮЛ</v>
      </c>
      <c r="X640" s="1" t="str">
        <f>IFERROR(INDEX(_group_[],MATCH(CONCATENATE(ВСЕ_КОДЫ[[#This Row],[CONTEST_CODE]],"_",X$2),#REF!,0),MATCH(X$1,_group_[#Headers],0)),"-")</f>
        <v>-</v>
      </c>
      <c r="Y640" s="1" t="str">
        <f>IFERROR(INDEX(_group_[],MATCH(CONCATENATE(ВСЕ_КОДЫ[[#This Row],[CONTEST_CODE]],"_",Y$2),#REF!,0),MATCH(Y$1,_group_[#Headers],0)),"-")</f>
        <v>-</v>
      </c>
      <c r="Z640" s="1" t="str">
        <f>IFERROR(INDEX(_group_[],MATCH(CONCATENATE(ВСЕ_КОДЫ[[#This Row],[CONTEST_CODE]],"_",Z$2),#REF!,0),MATCH(Z$1,_group_[#Headers],0)),"-")</f>
        <v>-</v>
      </c>
      <c r="AA640" s="1" t="str">
        <f>IFERROR(INDEX(_group_[],MATCH(CONCATENATE(ВСЕ_КОДЫ[[#This Row],[CONTEST_CODE]],"_",AA$2),#REF!,0),MATCH(AA$1,_group_[#Headers],0)),"-")</f>
        <v>-</v>
      </c>
      <c r="AB640" s="1" t="str">
        <f>IFERROR(INDEX(_DATA_[],MATCH(ВСЕ_КОДЫ[[#This Row],[CONTEST_CODE]],_DATA_[CONTEST_CODE],0),MATCH($AB$2,_DATA_[#Headers],0)),"-")</f>
        <v>["""KMSB1"""]</v>
      </c>
      <c r="AC640" t="str">
        <f>CONCATENATE(ВСЕ_КОДЫ[[#This Row],[CONTEST_CODE]],"_",ВСЕ_КОДЫ[[#This Row],[TOURNAMENT_CODE]])</f>
        <v>05_2025-0_18-8_4_t_05_2025-0_18-8_4_1001</v>
      </c>
      <c r="AD640" t="str">
        <f>ВСЕ_КОДЫ[[#This Row],[FULL_NAME]]</f>
        <v>10 привлеченных клиентов ЮЛ</v>
      </c>
    </row>
    <row r="641" spans="1:30" hidden="1" x14ac:dyDescent="0.25">
      <c r="A641" s="1" t="s">
        <v>3688</v>
      </c>
      <c r="B641" s="1" t="s">
        <v>4155</v>
      </c>
      <c r="C641" s="1" t="s">
        <v>3689</v>
      </c>
      <c r="D641" s="1" t="s">
        <v>583</v>
      </c>
      <c r="E641" s="1" t="s">
        <v>3760</v>
      </c>
      <c r="F641" s="1" t="s">
        <v>2508</v>
      </c>
      <c r="G641" s="1" t="s">
        <v>27</v>
      </c>
      <c r="H641" s="1" t="s">
        <v>34</v>
      </c>
      <c r="I641" s="1" t="s">
        <v>35</v>
      </c>
      <c r="J641" s="1" t="s">
        <v>2508</v>
      </c>
      <c r="K641" s="1" t="s">
        <v>2509</v>
      </c>
      <c r="L641" s="1" t="s">
        <v>2510</v>
      </c>
      <c r="M641" s="1" t="s">
        <v>34</v>
      </c>
      <c r="N641" s="1" t="s">
        <v>305</v>
      </c>
      <c r="O641" s="1" t="s">
        <v>3746</v>
      </c>
      <c r="Q641">
        <f>IFERROR(COUNTIFS(_report[TOURNAMENT_CODE],ВСЕ_КОДЫ[[#This Row],[TOURNAMENT_CODE]],_report[CONTEST_CODE],ВСЕ_КОДЫ[[#This Row],[CONTEST_CODE]]),"-")</f>
        <v>0</v>
      </c>
      <c r="R641" s="1" t="str">
        <f>IFERROR(INDEX(_SCHEDULE_[],MATCH(ВСЕ_КОДЫ[[#This Row],[CONTEST_CODE]],_SCHEDULE_[CONTEST_CODE],0),MATCH($R$1,_SCHEDULE_[#Headers],0)),"-")</f>
        <v>АКТИВНЫЙ</v>
      </c>
      <c r="S641" s="1" t="str">
        <f>IFERROR(INDEX(_group_[],MATCH(ВСЕ_КОДЫ[[#This Row],[CONTEST_CODE]],_group_[CONTEST_CODE],0),MATCH($S$1,_group_[#Headers],0)),"-")</f>
        <v>BANK</v>
      </c>
      <c r="T641" s="1" t="str">
        <f>IFERROR(INDEX(_INDICATOR_[],MATCH(ВСЕ_КОДЫ[[#This Row],[CONTEST_CODE]],_INDICATOR_[CONTEST_CODE],0),MATCH($T$1,_INDICATOR_[#Headers],0)),"-")</f>
        <v>WAIT</v>
      </c>
      <c r="U641" s="1" t="str">
        <f>IFERROR(INDEX(_reward_link_[],MATCH(ВСЕ_КОДЫ[[#This Row],[CONTEST_CODE]],_reward_link_[CONTEST_CODE],0),MATCH($U$1,_reward_link_[#Headers],0)),"-")</f>
        <v>BANK</v>
      </c>
      <c r="V641" s="1" t="str">
        <f>IFERROR(INDEX(_report[],MATCH(ВСЕ_КОДЫ[[#This Row],[CONTEST_CODE]],_report[CONTEST_CODE],0),MATCH($V$1,_report[#Headers],0)),"-")</f>
        <v>-</v>
      </c>
      <c r="W641" s="1" t="str">
        <f>IFERROR(INDEX(_reward_[],MATCH(ВСЕ_КОДЫ[[#This Row],[REWARD_CODE]],_reward_[REWARD_CODE],0),MATCH($W$1,_reward_[#Headers],0)),"-")</f>
        <v>1 договор по Business Development</v>
      </c>
      <c r="X641" s="1" t="str">
        <f>IFERROR(INDEX(_group_[],MATCH(CONCATENATE(ВСЕ_КОДЫ[[#This Row],[CONTEST_CODE]],"_",X$2),#REF!,0),MATCH(X$1,_group_[#Headers],0)),"-")</f>
        <v>-</v>
      </c>
      <c r="Y641" s="1" t="str">
        <f>IFERROR(INDEX(_group_[],MATCH(CONCATENATE(ВСЕ_КОДЫ[[#This Row],[CONTEST_CODE]],"_",Y$2),#REF!,0),MATCH(Y$1,_group_[#Headers],0)),"-")</f>
        <v>-</v>
      </c>
      <c r="Z641" s="1" t="str">
        <f>IFERROR(INDEX(_group_[],MATCH(CONCATENATE(ВСЕ_КОДЫ[[#This Row],[CONTEST_CODE]],"_",Z$2),#REF!,0),MATCH(Z$1,_group_[#Headers],0)),"-")</f>
        <v>-</v>
      </c>
      <c r="AA641" s="1" t="str">
        <f>IFERROR(INDEX(_group_[],MATCH(CONCATENATE(ВСЕ_КОДЫ[[#This Row],[CONTEST_CODE]],"_",AA$2),#REF!,0),MATCH(AA$1,_group_[#Headers],0)),"-")</f>
        <v>-</v>
      </c>
      <c r="AB641" s="1" t="str">
        <f>IFERROR(INDEX(_DATA_[],MATCH(ВСЕ_КОДЫ[[#This Row],[CONTEST_CODE]],_DATA_[CONTEST_CODE],0),MATCH($AB$2,_DATA_[#Headers],0)),"-")</f>
        <v>["""KMKKSB"""]</v>
      </c>
      <c r="AC641" t="str">
        <f>CONCATENATE(ВСЕ_КОДЫ[[#This Row],[CONTEST_CODE]],"_",ВСЕ_КОДЫ[[#This Row],[TOURNAMENT_CODE]])</f>
        <v>01_2025-0_10-3_1_t_01_2025-0_10-3_1_1001</v>
      </c>
      <c r="AD641" t="str">
        <f>ВСЕ_КОДЫ[[#This Row],[FULL_NAME]]</f>
        <v>Бизнес девелопмент 1 договор</v>
      </c>
    </row>
    <row r="642" spans="1:30" hidden="1" x14ac:dyDescent="0.25">
      <c r="A642" s="1" t="s">
        <v>3692</v>
      </c>
      <c r="B642" s="1" t="s">
        <v>4157</v>
      </c>
      <c r="C642" s="1" t="s">
        <v>3693</v>
      </c>
      <c r="D642" s="1" t="s">
        <v>583</v>
      </c>
      <c r="E642" s="1" t="s">
        <v>3763</v>
      </c>
      <c r="F642" s="1" t="s">
        <v>2508</v>
      </c>
      <c r="G642" s="1" t="s">
        <v>27</v>
      </c>
      <c r="H642" s="1" t="s">
        <v>34</v>
      </c>
      <c r="I642" s="1" t="s">
        <v>35</v>
      </c>
      <c r="J642" s="1" t="s">
        <v>2508</v>
      </c>
      <c r="K642" s="1" t="s">
        <v>2509</v>
      </c>
      <c r="L642" s="1" t="s">
        <v>2510</v>
      </c>
      <c r="M642" s="1" t="s">
        <v>34</v>
      </c>
      <c r="N642" s="1" t="s">
        <v>305</v>
      </c>
      <c r="O642" s="1" t="s">
        <v>3749</v>
      </c>
      <c r="Q642">
        <f>IFERROR(COUNTIFS(_report[TOURNAMENT_CODE],ВСЕ_КОДЫ[[#This Row],[TOURNAMENT_CODE]],_report[CONTEST_CODE],ВСЕ_КОДЫ[[#This Row],[CONTEST_CODE]]),"-")</f>
        <v>0</v>
      </c>
      <c r="R642" s="1" t="str">
        <f>IFERROR(INDEX(_SCHEDULE_[],MATCH(ВСЕ_КОДЫ[[#This Row],[CONTEST_CODE]],_SCHEDULE_[CONTEST_CODE],0),MATCH($R$1,_SCHEDULE_[#Headers],0)),"-")</f>
        <v>АКТИВНЫЙ</v>
      </c>
      <c r="S642" s="1" t="str">
        <f>IFERROR(INDEX(_group_[],MATCH(ВСЕ_КОДЫ[[#This Row],[CONTEST_CODE]],_group_[CONTEST_CODE],0),MATCH($S$1,_group_[#Headers],0)),"-")</f>
        <v>BANK</v>
      </c>
      <c r="T642" s="1" t="str">
        <f>IFERROR(INDEX(_INDICATOR_[],MATCH(ВСЕ_КОДЫ[[#This Row],[CONTEST_CODE]],_INDICATOR_[CONTEST_CODE],0),MATCH($T$1,_INDICATOR_[#Headers],0)),"-")</f>
        <v>WAIT</v>
      </c>
      <c r="U642" s="1" t="str">
        <f>IFERROR(INDEX(_reward_link_[],MATCH(ВСЕ_КОДЫ[[#This Row],[CONTEST_CODE]],_reward_link_[CONTEST_CODE],0),MATCH($U$1,_reward_link_[#Headers],0)),"-")</f>
        <v>BANK</v>
      </c>
      <c r="V642" s="1" t="str">
        <f>IFERROR(INDEX(_report[],MATCH(ВСЕ_КОДЫ[[#This Row],[CONTEST_CODE]],_report[CONTEST_CODE],0),MATCH($V$1,_report[#Headers],0)),"-")</f>
        <v>-</v>
      </c>
      <c r="W642" s="1" t="str">
        <f>IFERROR(INDEX(_reward_[],MATCH(ВСЕ_КОДЫ[[#This Row],[REWARD_CODE]],_reward_[REWARD_CODE],0),MATCH($W$1,_reward_[#Headers],0)),"-")</f>
        <v>5 договоров по Business Development</v>
      </c>
      <c r="X642" s="1" t="str">
        <f>IFERROR(INDEX(_group_[],MATCH(CONCATENATE(ВСЕ_КОДЫ[[#This Row],[CONTEST_CODE]],"_",X$2),#REF!,0),MATCH(X$1,_group_[#Headers],0)),"-")</f>
        <v>-</v>
      </c>
      <c r="Y642" s="1" t="str">
        <f>IFERROR(INDEX(_group_[],MATCH(CONCATENATE(ВСЕ_КОДЫ[[#This Row],[CONTEST_CODE]],"_",Y$2),#REF!,0),MATCH(Y$1,_group_[#Headers],0)),"-")</f>
        <v>-</v>
      </c>
      <c r="Z642" s="1" t="str">
        <f>IFERROR(INDEX(_group_[],MATCH(CONCATENATE(ВСЕ_КОДЫ[[#This Row],[CONTEST_CODE]],"_",Z$2),#REF!,0),MATCH(Z$1,_group_[#Headers],0)),"-")</f>
        <v>-</v>
      </c>
      <c r="AA642" s="1" t="str">
        <f>IFERROR(INDEX(_group_[],MATCH(CONCATENATE(ВСЕ_КОДЫ[[#This Row],[CONTEST_CODE]],"_",AA$2),#REF!,0),MATCH(AA$1,_group_[#Headers],0)),"-")</f>
        <v>-</v>
      </c>
      <c r="AB642" s="1" t="str">
        <f>IFERROR(INDEX(_DATA_[],MATCH(ВСЕ_КОДЫ[[#This Row],[CONTEST_CODE]],_DATA_[CONTEST_CODE],0),MATCH($AB$2,_DATA_[#Headers],0)),"-")</f>
        <v>["""KMKKSB"""]</v>
      </c>
      <c r="AC642" t="str">
        <f>CONCATENATE(ВСЕ_КОДЫ[[#This Row],[CONTEST_CODE]],"_",ВСЕ_КОДЫ[[#This Row],[TOURNAMENT_CODE]])</f>
        <v>01_2025-0_10-3_2_t_01_2025-0_10-3_2_1001</v>
      </c>
      <c r="AD642" t="str">
        <f>ВСЕ_КОДЫ[[#This Row],[FULL_NAME]]</f>
        <v>Бизнес девелопмент 5 договоров</v>
      </c>
    </row>
    <row r="643" spans="1:30" hidden="1" x14ac:dyDescent="0.25">
      <c r="A643" s="1" t="s">
        <v>3696</v>
      </c>
      <c r="B643" s="1" t="s">
        <v>4159</v>
      </c>
      <c r="C643" s="1" t="s">
        <v>3697</v>
      </c>
      <c r="D643" s="1" t="s">
        <v>583</v>
      </c>
      <c r="E643" s="1" t="s">
        <v>3764</v>
      </c>
      <c r="F643" s="1" t="s">
        <v>2508</v>
      </c>
      <c r="G643" s="1" t="s">
        <v>27</v>
      </c>
      <c r="H643" s="1" t="s">
        <v>34</v>
      </c>
      <c r="I643" s="1" t="s">
        <v>35</v>
      </c>
      <c r="J643" s="1" t="s">
        <v>2508</v>
      </c>
      <c r="K643" s="1" t="s">
        <v>2509</v>
      </c>
      <c r="L643" s="1" t="s">
        <v>2510</v>
      </c>
      <c r="M643" s="1" t="s">
        <v>34</v>
      </c>
      <c r="N643" s="1" t="s">
        <v>305</v>
      </c>
      <c r="O643" s="1" t="s">
        <v>3752</v>
      </c>
      <c r="Q643">
        <f>IFERROR(COUNTIFS(_report[TOURNAMENT_CODE],ВСЕ_КОДЫ[[#This Row],[TOURNAMENT_CODE]],_report[CONTEST_CODE],ВСЕ_КОДЫ[[#This Row],[CONTEST_CODE]]),"-")</f>
        <v>0</v>
      </c>
      <c r="R643" s="1" t="str">
        <f>IFERROR(INDEX(_SCHEDULE_[],MATCH(ВСЕ_КОДЫ[[#This Row],[CONTEST_CODE]],_SCHEDULE_[CONTEST_CODE],0),MATCH($R$1,_SCHEDULE_[#Headers],0)),"-")</f>
        <v>АКТИВНЫЙ</v>
      </c>
      <c r="S643" s="1" t="str">
        <f>IFERROR(INDEX(_group_[],MATCH(ВСЕ_КОДЫ[[#This Row],[CONTEST_CODE]],_group_[CONTEST_CODE],0),MATCH($S$1,_group_[#Headers],0)),"-")</f>
        <v>BANK</v>
      </c>
      <c r="T643" s="1" t="str">
        <f>IFERROR(INDEX(_INDICATOR_[],MATCH(ВСЕ_КОДЫ[[#This Row],[CONTEST_CODE]],_INDICATOR_[CONTEST_CODE],0),MATCH($T$1,_INDICATOR_[#Headers],0)),"-")</f>
        <v>WAIT</v>
      </c>
      <c r="U643" s="1" t="str">
        <f>IFERROR(INDEX(_reward_link_[],MATCH(ВСЕ_КОДЫ[[#This Row],[CONTEST_CODE]],_reward_link_[CONTEST_CODE],0),MATCH($U$1,_reward_link_[#Headers],0)),"-")</f>
        <v>BANK</v>
      </c>
      <c r="V643" s="1" t="str">
        <f>IFERROR(INDEX(_report[],MATCH(ВСЕ_КОДЫ[[#This Row],[CONTEST_CODE]],_report[CONTEST_CODE],0),MATCH($V$1,_report[#Headers],0)),"-")</f>
        <v>-</v>
      </c>
      <c r="W643" s="1" t="str">
        <f>IFERROR(INDEX(_reward_[],MATCH(ВСЕ_КОДЫ[[#This Row],[REWARD_CODE]],_reward_[REWARD_CODE],0),MATCH($W$1,_reward_[#Headers],0)),"-")</f>
        <v>10 договоров по Business Development</v>
      </c>
      <c r="X643" s="1" t="str">
        <f>IFERROR(INDEX(_group_[],MATCH(CONCATENATE(ВСЕ_КОДЫ[[#This Row],[CONTEST_CODE]],"_",X$2),#REF!,0),MATCH(X$1,_group_[#Headers],0)),"-")</f>
        <v>-</v>
      </c>
      <c r="Y643" s="1" t="str">
        <f>IFERROR(INDEX(_group_[],MATCH(CONCATENATE(ВСЕ_КОДЫ[[#This Row],[CONTEST_CODE]],"_",Y$2),#REF!,0),MATCH(Y$1,_group_[#Headers],0)),"-")</f>
        <v>-</v>
      </c>
      <c r="Z643" s="1" t="str">
        <f>IFERROR(INDEX(_group_[],MATCH(CONCATENATE(ВСЕ_КОДЫ[[#This Row],[CONTEST_CODE]],"_",Z$2),#REF!,0),MATCH(Z$1,_group_[#Headers],0)),"-")</f>
        <v>-</v>
      </c>
      <c r="AA643" s="1" t="str">
        <f>IFERROR(INDEX(_group_[],MATCH(CONCATENATE(ВСЕ_КОДЫ[[#This Row],[CONTEST_CODE]],"_",AA$2),#REF!,0),MATCH(AA$1,_group_[#Headers],0)),"-")</f>
        <v>-</v>
      </c>
      <c r="AB643" s="1" t="str">
        <f>IFERROR(INDEX(_DATA_[],MATCH(ВСЕ_КОДЫ[[#This Row],[CONTEST_CODE]],_DATA_[CONTEST_CODE],0),MATCH($AB$2,_DATA_[#Headers],0)),"-")</f>
        <v>["""KMKKSB"""]</v>
      </c>
      <c r="AC643" t="str">
        <f>CONCATENATE(ВСЕ_КОДЫ[[#This Row],[CONTEST_CODE]],"_",ВСЕ_КОДЫ[[#This Row],[TOURNAMENT_CODE]])</f>
        <v>01_2025-0_10-3_3_t_01_2025-0_10-3_3_1001</v>
      </c>
      <c r="AD643" t="str">
        <f>ВСЕ_КОДЫ[[#This Row],[FULL_NAME]]</f>
        <v>Бизнес девелопмент 10 договоров</v>
      </c>
    </row>
    <row r="644" spans="1:30" hidden="1" x14ac:dyDescent="0.25">
      <c r="A644" s="1" t="s">
        <v>4081</v>
      </c>
      <c r="B644" s="1" t="s">
        <v>4095</v>
      </c>
      <c r="C644" s="1" t="s">
        <v>4084</v>
      </c>
      <c r="D644" s="1" t="s">
        <v>583</v>
      </c>
      <c r="E644" s="1" t="s">
        <v>2158</v>
      </c>
      <c r="F644" s="1" t="s">
        <v>2508</v>
      </c>
      <c r="G644" s="1" t="s">
        <v>27</v>
      </c>
      <c r="H644" s="1" t="s">
        <v>34</v>
      </c>
      <c r="I644" s="1" t="s">
        <v>50</v>
      </c>
      <c r="J644" s="1" t="s">
        <v>2521</v>
      </c>
      <c r="K644" s="1" t="s">
        <v>2522</v>
      </c>
      <c r="L644" s="1" t="s">
        <v>3232</v>
      </c>
      <c r="M644" s="1" t="s">
        <v>176</v>
      </c>
      <c r="N644" s="1" t="s">
        <v>305</v>
      </c>
      <c r="O644" s="1" t="s">
        <v>543</v>
      </c>
      <c r="Q644">
        <f>IFERROR(COUNTIFS(_report[TOURNAMENT_CODE],ВСЕ_КОДЫ[[#This Row],[TOURNAMENT_CODE]],_report[CONTEST_CODE],ВСЕ_КОДЫ[[#This Row],[CONTEST_CODE]]),"-")</f>
        <v>0</v>
      </c>
      <c r="R644" s="1" t="str">
        <f>IFERROR(INDEX(_SCHEDULE_[],MATCH(ВСЕ_КОДЫ[[#This Row],[CONTEST_CODE]],_SCHEDULE_[CONTEST_CODE],0),MATCH($R$1,_SCHEDULE_[#Headers],0)),"-")</f>
        <v>ЗАВЕРШЕН</v>
      </c>
      <c r="S644" s="1" t="str">
        <f>IFERROR(INDEX(_group_[],MATCH(ВСЕ_КОДЫ[[#This Row],[CONTEST_CODE]],_group_[CONTEST_CODE],0),MATCH($S$1,_group_[#Headers],0)),"-")</f>
        <v>BANK</v>
      </c>
      <c r="T644" s="1" t="str">
        <f>IFERROR(INDEX(_INDICATOR_[],MATCH(ВСЕ_КОДЫ[[#This Row],[CONTEST_CODE]],_INDICATOR_[CONTEST_CODE],0),MATCH($T$1,_INDICATOR_[#Headers],0)),"-")</f>
        <v>PPO_ALL</v>
      </c>
      <c r="U644" s="1" t="str">
        <f>IFERROR(INDEX(_reward_link_[],MATCH(ВСЕ_КОДЫ[[#This Row],[CONTEST_CODE]],_reward_link_[CONTEST_CODE],0),MATCH($U$1,_reward_link_[#Headers],0)),"-")</f>
        <v>GOSB</v>
      </c>
      <c r="V644" s="1" t="str">
        <f>IFERROR(INDEX(_report[],MATCH(ВСЕ_КОДЫ[[#This Row],[CONTEST_CODE]],_report[CONTEST_CODE],0),MATCH($V$1,_report[#Headers],0)),"-")</f>
        <v>-</v>
      </c>
      <c r="W644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44" s="1" t="str">
        <f>IFERROR(INDEX(_group_[],MATCH(CONCATENATE(ВСЕ_КОДЫ[[#This Row],[CONTEST_CODE]],"_",X$2),#REF!,0),MATCH(X$1,_group_[#Headers],0)),"-")</f>
        <v>-</v>
      </c>
      <c r="Y644" s="1" t="str">
        <f>IFERROR(INDEX(_group_[],MATCH(CONCATENATE(ВСЕ_КОДЫ[[#This Row],[CONTEST_CODE]],"_",Y$2),#REF!,0),MATCH(Y$1,_group_[#Headers],0)),"-")</f>
        <v>-</v>
      </c>
      <c r="Z644" s="1" t="str">
        <f>IFERROR(INDEX(_group_[],MATCH(CONCATENATE(ВСЕ_КОДЫ[[#This Row],[CONTEST_CODE]],"_",Z$2),#REF!,0),MATCH(Z$1,_group_[#Headers],0)),"-")</f>
        <v>-</v>
      </c>
      <c r="AA644" s="1" t="str">
        <f>IFERROR(INDEX(_group_[],MATCH(CONCATENATE(ВСЕ_КОДЫ[[#This Row],[CONTEST_CODE]],"_",AA$2),#REF!,0),MATCH(AA$1,_group_[#Headers],0)),"-")</f>
        <v>-</v>
      </c>
      <c r="AB644" s="1" t="str">
        <f>IFERROR(INDEX(_DATA_[],MATCH(ВСЕ_КОДЫ[[#This Row],[CONTEST_CODE]],_DATA_[CONTEST_CODE],0),MATCH($AB$2,_DATA_[#Headers],0)),"-")</f>
        <v>["""KMKKSB"""]</v>
      </c>
      <c r="AC644" t="str">
        <f>CONCATENATE(ВСЕ_КОДЫ[[#This Row],[CONTEST_CODE]],"_",ВСЕ_КОДЫ[[#This Row],[TOURNAMENT_CODE]])</f>
        <v>01_2025-1_02-3_1t_t_01_2025-1_02-3_1t_3021</v>
      </c>
      <c r="AD644" t="str">
        <f>ВСЕ_КОДЫ[[#This Row],[FULL_NAME]]</f>
        <v>Интернализация</v>
      </c>
    </row>
    <row r="645" spans="1:30" hidden="1" x14ac:dyDescent="0.25">
      <c r="A645" s="1" t="s">
        <v>4081</v>
      </c>
      <c r="B645" s="1" t="s">
        <v>4095</v>
      </c>
      <c r="C645" s="1" t="s">
        <v>4084</v>
      </c>
      <c r="D645" s="1" t="s">
        <v>583</v>
      </c>
      <c r="E645" s="1" t="s">
        <v>2158</v>
      </c>
      <c r="F645" s="1" t="s">
        <v>2508</v>
      </c>
      <c r="G645" s="1" t="s">
        <v>27</v>
      </c>
      <c r="H645" s="1" t="s">
        <v>34</v>
      </c>
      <c r="I645" s="1" t="s">
        <v>50</v>
      </c>
      <c r="J645" s="1" t="s">
        <v>2521</v>
      </c>
      <c r="K645" s="1" t="s">
        <v>2522</v>
      </c>
      <c r="L645" s="1" t="s">
        <v>3232</v>
      </c>
      <c r="M645" s="1" t="s">
        <v>176</v>
      </c>
      <c r="N645" s="1" t="s">
        <v>305</v>
      </c>
      <c r="O645" s="1" t="s">
        <v>543</v>
      </c>
      <c r="Q645">
        <f>IFERROR(COUNTIFS(_report[TOURNAMENT_CODE],ВСЕ_КОДЫ[[#This Row],[TOURNAMENT_CODE]],_report[CONTEST_CODE],ВСЕ_КОДЫ[[#This Row],[CONTEST_CODE]]),"-")</f>
        <v>0</v>
      </c>
      <c r="R645" s="1" t="str">
        <f>IFERROR(INDEX(_SCHEDULE_[],MATCH(ВСЕ_КОДЫ[[#This Row],[CONTEST_CODE]],_SCHEDULE_[CONTEST_CODE],0),MATCH($R$1,_SCHEDULE_[#Headers],0)),"-")</f>
        <v>ЗАВЕРШЕН</v>
      </c>
      <c r="S645" s="1" t="str">
        <f>IFERROR(INDEX(_group_[],MATCH(ВСЕ_КОДЫ[[#This Row],[CONTEST_CODE]],_group_[CONTEST_CODE],0),MATCH($S$1,_group_[#Headers],0)),"-")</f>
        <v>BANK</v>
      </c>
      <c r="T645" s="1" t="str">
        <f>IFERROR(INDEX(_INDICATOR_[],MATCH(ВСЕ_КОДЫ[[#This Row],[CONTEST_CODE]],_INDICATOR_[CONTEST_CODE],0),MATCH($T$1,_INDICATOR_[#Headers],0)),"-")</f>
        <v>PPO_ALL</v>
      </c>
      <c r="U645" s="1" t="str">
        <f>IFERROR(INDEX(_reward_link_[],MATCH(ВСЕ_КОДЫ[[#This Row],[CONTEST_CODE]],_reward_link_[CONTEST_CODE],0),MATCH($U$1,_reward_link_[#Headers],0)),"-")</f>
        <v>GOSB</v>
      </c>
      <c r="V645" s="1" t="str">
        <f>IFERROR(INDEX(_report[],MATCH(ВСЕ_КОДЫ[[#This Row],[CONTEST_CODE]],_report[CONTEST_CODE],0),MATCH($V$1,_report[#Headers],0)),"-")</f>
        <v>-</v>
      </c>
      <c r="W645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45" s="1" t="str">
        <f>IFERROR(INDEX(_group_[],MATCH(CONCATENATE(ВСЕ_КОДЫ[[#This Row],[CONTEST_CODE]],"_",X$2),#REF!,0),MATCH(X$1,_group_[#Headers],0)),"-")</f>
        <v>-</v>
      </c>
      <c r="Y645" s="1" t="str">
        <f>IFERROR(INDEX(_group_[],MATCH(CONCATENATE(ВСЕ_КОДЫ[[#This Row],[CONTEST_CODE]],"_",Y$2),#REF!,0),MATCH(Y$1,_group_[#Headers],0)),"-")</f>
        <v>-</v>
      </c>
      <c r="Z645" s="1" t="str">
        <f>IFERROR(INDEX(_group_[],MATCH(CONCATENATE(ВСЕ_КОДЫ[[#This Row],[CONTEST_CODE]],"_",Z$2),#REF!,0),MATCH(Z$1,_group_[#Headers],0)),"-")</f>
        <v>-</v>
      </c>
      <c r="AA645" s="1" t="str">
        <f>IFERROR(INDEX(_group_[],MATCH(CONCATENATE(ВСЕ_КОДЫ[[#This Row],[CONTEST_CODE]],"_",AA$2),#REF!,0),MATCH(AA$1,_group_[#Headers],0)),"-")</f>
        <v>-</v>
      </c>
      <c r="AB645" s="1" t="str">
        <f>IFERROR(INDEX(_DATA_[],MATCH(ВСЕ_КОДЫ[[#This Row],[CONTEST_CODE]],_DATA_[CONTEST_CODE],0),MATCH($AB$2,_DATA_[#Headers],0)),"-")</f>
        <v>["""KMKKSB"""]</v>
      </c>
      <c r="AC645" t="str">
        <f>CONCATENATE(ВСЕ_КОДЫ[[#This Row],[CONTEST_CODE]],"_",ВСЕ_КОДЫ[[#This Row],[TOURNAMENT_CODE]])</f>
        <v>01_2025-1_02-3_1t_t_01_2025-1_02-3_1t_3021</v>
      </c>
      <c r="AD645" t="str">
        <f>ВСЕ_КОДЫ[[#This Row],[FULL_NAME]]</f>
        <v>Интернализация</v>
      </c>
    </row>
    <row r="646" spans="1:30" hidden="1" x14ac:dyDescent="0.25">
      <c r="A646" s="1" t="s">
        <v>4081</v>
      </c>
      <c r="B646" s="1" t="s">
        <v>4095</v>
      </c>
      <c r="C646" s="1" t="s">
        <v>4084</v>
      </c>
      <c r="D646" s="1" t="s">
        <v>583</v>
      </c>
      <c r="E646" s="1" t="s">
        <v>2158</v>
      </c>
      <c r="F646" s="1" t="s">
        <v>2508</v>
      </c>
      <c r="G646" s="1" t="s">
        <v>27</v>
      </c>
      <c r="H646" s="1" t="s">
        <v>34</v>
      </c>
      <c r="I646" s="1" t="s">
        <v>50</v>
      </c>
      <c r="J646" s="1" t="s">
        <v>2521</v>
      </c>
      <c r="K646" s="1" t="s">
        <v>2522</v>
      </c>
      <c r="L646" s="1" t="s">
        <v>3232</v>
      </c>
      <c r="M646" s="1" t="s">
        <v>176</v>
      </c>
      <c r="N646" s="1" t="s">
        <v>305</v>
      </c>
      <c r="O646" s="1" t="s">
        <v>543</v>
      </c>
      <c r="Q646">
        <f>IFERROR(COUNTIFS(_report[TOURNAMENT_CODE],ВСЕ_КОДЫ[[#This Row],[TOURNAMENT_CODE]],_report[CONTEST_CODE],ВСЕ_КОДЫ[[#This Row],[CONTEST_CODE]]),"-")</f>
        <v>0</v>
      </c>
      <c r="R646" s="1" t="str">
        <f>IFERROR(INDEX(_SCHEDULE_[],MATCH(ВСЕ_КОДЫ[[#This Row],[CONTEST_CODE]],_SCHEDULE_[CONTEST_CODE],0),MATCH($R$1,_SCHEDULE_[#Headers],0)),"-")</f>
        <v>ЗАВЕРШЕН</v>
      </c>
      <c r="S646" s="1" t="str">
        <f>IFERROR(INDEX(_group_[],MATCH(ВСЕ_КОДЫ[[#This Row],[CONTEST_CODE]],_group_[CONTEST_CODE],0),MATCH($S$1,_group_[#Headers],0)),"-")</f>
        <v>BANK</v>
      </c>
      <c r="T646" s="1" t="str">
        <f>IFERROR(INDEX(_INDICATOR_[],MATCH(ВСЕ_КОДЫ[[#This Row],[CONTEST_CODE]],_INDICATOR_[CONTEST_CODE],0),MATCH($T$1,_INDICATOR_[#Headers],0)),"-")</f>
        <v>PPO_ALL</v>
      </c>
      <c r="U646" s="1" t="str">
        <f>IFERROR(INDEX(_reward_link_[],MATCH(ВСЕ_КОДЫ[[#This Row],[CONTEST_CODE]],_reward_link_[CONTEST_CODE],0),MATCH($U$1,_reward_link_[#Headers],0)),"-")</f>
        <v>GOSB</v>
      </c>
      <c r="V646" s="1" t="str">
        <f>IFERROR(INDEX(_report[],MATCH(ВСЕ_КОДЫ[[#This Row],[CONTEST_CODE]],_report[CONTEST_CODE],0),MATCH($V$1,_report[#Headers],0)),"-")</f>
        <v>-</v>
      </c>
      <c r="W646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46" s="1" t="str">
        <f>IFERROR(INDEX(_group_[],MATCH(CONCATENATE(ВСЕ_КОДЫ[[#This Row],[CONTEST_CODE]],"_",X$2),#REF!,0),MATCH(X$1,_group_[#Headers],0)),"-")</f>
        <v>-</v>
      </c>
      <c r="Y646" s="1" t="str">
        <f>IFERROR(INDEX(_group_[],MATCH(CONCATENATE(ВСЕ_КОДЫ[[#This Row],[CONTEST_CODE]],"_",Y$2),#REF!,0),MATCH(Y$1,_group_[#Headers],0)),"-")</f>
        <v>-</v>
      </c>
      <c r="Z646" s="1" t="str">
        <f>IFERROR(INDEX(_group_[],MATCH(CONCATENATE(ВСЕ_КОДЫ[[#This Row],[CONTEST_CODE]],"_",Z$2),#REF!,0),MATCH(Z$1,_group_[#Headers],0)),"-")</f>
        <v>-</v>
      </c>
      <c r="AA646" s="1" t="str">
        <f>IFERROR(INDEX(_group_[],MATCH(CONCATENATE(ВСЕ_КОДЫ[[#This Row],[CONTEST_CODE]],"_",AA$2),#REF!,0),MATCH(AA$1,_group_[#Headers],0)),"-")</f>
        <v>-</v>
      </c>
      <c r="AB646" s="1" t="str">
        <f>IFERROR(INDEX(_DATA_[],MATCH(ВСЕ_КОДЫ[[#This Row],[CONTEST_CODE]],_DATA_[CONTEST_CODE],0),MATCH($AB$2,_DATA_[#Headers],0)),"-")</f>
        <v>["""KMKKSB"""]</v>
      </c>
      <c r="AC646" t="str">
        <f>CONCATENATE(ВСЕ_КОДЫ[[#This Row],[CONTEST_CODE]],"_",ВСЕ_КОДЫ[[#This Row],[TOURNAMENT_CODE]])</f>
        <v>01_2025-1_02-3_1t_t_01_2025-1_02-3_1t_3021</v>
      </c>
      <c r="AD646" t="str">
        <f>ВСЕ_КОДЫ[[#This Row],[FULL_NAME]]</f>
        <v>Интернализация</v>
      </c>
    </row>
    <row r="647" spans="1:30" hidden="1" x14ac:dyDescent="0.25">
      <c r="A647" s="1" t="s">
        <v>4081</v>
      </c>
      <c r="B647" s="1" t="s">
        <v>4095</v>
      </c>
      <c r="C647" s="1" t="s">
        <v>4084</v>
      </c>
      <c r="D647" s="1" t="s">
        <v>583</v>
      </c>
      <c r="E647" s="1" t="s">
        <v>2158</v>
      </c>
      <c r="F647" s="1" t="s">
        <v>2508</v>
      </c>
      <c r="G647" s="1" t="s">
        <v>27</v>
      </c>
      <c r="H647" s="1" t="s">
        <v>34</v>
      </c>
      <c r="I647" s="1" t="s">
        <v>50</v>
      </c>
      <c r="J647" s="1" t="s">
        <v>2521</v>
      </c>
      <c r="K647" s="1" t="s">
        <v>2522</v>
      </c>
      <c r="L647" s="1" t="s">
        <v>3232</v>
      </c>
      <c r="M647" s="1" t="s">
        <v>176</v>
      </c>
      <c r="N647" s="1" t="s">
        <v>305</v>
      </c>
      <c r="O647" s="1" t="s">
        <v>543</v>
      </c>
      <c r="Q647">
        <f>IFERROR(COUNTIFS(_report[TOURNAMENT_CODE],ВСЕ_КОДЫ[[#This Row],[TOURNAMENT_CODE]],_report[CONTEST_CODE],ВСЕ_КОДЫ[[#This Row],[CONTEST_CODE]]),"-")</f>
        <v>0</v>
      </c>
      <c r="R647" s="1" t="str">
        <f>IFERROR(INDEX(_SCHEDULE_[],MATCH(ВСЕ_КОДЫ[[#This Row],[CONTEST_CODE]],_SCHEDULE_[CONTEST_CODE],0),MATCH($R$1,_SCHEDULE_[#Headers],0)),"-")</f>
        <v>ЗАВЕРШЕН</v>
      </c>
      <c r="S647" s="1" t="str">
        <f>IFERROR(INDEX(_group_[],MATCH(ВСЕ_КОДЫ[[#This Row],[CONTEST_CODE]],_group_[CONTEST_CODE],0),MATCH($S$1,_group_[#Headers],0)),"-")</f>
        <v>BANK</v>
      </c>
      <c r="T647" s="1" t="str">
        <f>IFERROR(INDEX(_INDICATOR_[],MATCH(ВСЕ_КОДЫ[[#This Row],[CONTEST_CODE]],_INDICATOR_[CONTEST_CODE],0),MATCH($T$1,_INDICATOR_[#Headers],0)),"-")</f>
        <v>PPO_ALL</v>
      </c>
      <c r="U647" s="1" t="str">
        <f>IFERROR(INDEX(_reward_link_[],MATCH(ВСЕ_КОДЫ[[#This Row],[CONTEST_CODE]],_reward_link_[CONTEST_CODE],0),MATCH($U$1,_reward_link_[#Headers],0)),"-")</f>
        <v>GOSB</v>
      </c>
      <c r="V647" s="1" t="str">
        <f>IFERROR(INDEX(_report[],MATCH(ВСЕ_КОДЫ[[#This Row],[CONTEST_CODE]],_report[CONTEST_CODE],0),MATCH($V$1,_report[#Headers],0)),"-")</f>
        <v>-</v>
      </c>
      <c r="W647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47" s="1" t="str">
        <f>IFERROR(INDEX(_group_[],MATCH(CONCATENATE(ВСЕ_КОДЫ[[#This Row],[CONTEST_CODE]],"_",X$2),#REF!,0),MATCH(X$1,_group_[#Headers],0)),"-")</f>
        <v>-</v>
      </c>
      <c r="Y647" s="1" t="str">
        <f>IFERROR(INDEX(_group_[],MATCH(CONCATENATE(ВСЕ_КОДЫ[[#This Row],[CONTEST_CODE]],"_",Y$2),#REF!,0),MATCH(Y$1,_group_[#Headers],0)),"-")</f>
        <v>-</v>
      </c>
      <c r="Z647" s="1" t="str">
        <f>IFERROR(INDEX(_group_[],MATCH(CONCATENATE(ВСЕ_КОДЫ[[#This Row],[CONTEST_CODE]],"_",Z$2),#REF!,0),MATCH(Z$1,_group_[#Headers],0)),"-")</f>
        <v>-</v>
      </c>
      <c r="AA647" s="1" t="str">
        <f>IFERROR(INDEX(_group_[],MATCH(CONCATENATE(ВСЕ_КОДЫ[[#This Row],[CONTEST_CODE]],"_",AA$2),#REF!,0),MATCH(AA$1,_group_[#Headers],0)),"-")</f>
        <v>-</v>
      </c>
      <c r="AB647" s="1" t="str">
        <f>IFERROR(INDEX(_DATA_[],MATCH(ВСЕ_КОДЫ[[#This Row],[CONTEST_CODE]],_DATA_[CONTEST_CODE],0),MATCH($AB$2,_DATA_[#Headers],0)),"-")</f>
        <v>["""KMKKSB"""]</v>
      </c>
      <c r="AC647" t="str">
        <f>CONCATENATE(ВСЕ_КОДЫ[[#This Row],[CONTEST_CODE]],"_",ВСЕ_КОДЫ[[#This Row],[TOURNAMENT_CODE]])</f>
        <v>01_2025-1_02-3_1t_t_01_2025-1_02-3_1t_3021</v>
      </c>
      <c r="AD647" t="str">
        <f>ВСЕ_КОДЫ[[#This Row],[FULL_NAME]]</f>
        <v>Интернализация</v>
      </c>
    </row>
    <row r="648" spans="1:30" hidden="1" x14ac:dyDescent="0.25">
      <c r="A648" s="1" t="s">
        <v>4081</v>
      </c>
      <c r="B648" s="1" t="s">
        <v>4095</v>
      </c>
      <c r="C648" s="1" t="s">
        <v>4079</v>
      </c>
      <c r="D648" s="1" t="s">
        <v>584</v>
      </c>
      <c r="E648" s="1" t="s">
        <v>2158</v>
      </c>
      <c r="F648" s="1" t="s">
        <v>2508</v>
      </c>
      <c r="G648" s="1" t="s">
        <v>27</v>
      </c>
      <c r="H648" s="1" t="s">
        <v>34</v>
      </c>
      <c r="I648" s="1" t="s">
        <v>50</v>
      </c>
      <c r="J648" s="1" t="s">
        <v>2521</v>
      </c>
      <c r="K648" s="1" t="s">
        <v>2522</v>
      </c>
      <c r="L648" s="1" t="s">
        <v>3232</v>
      </c>
      <c r="M648" s="1" t="s">
        <v>176</v>
      </c>
      <c r="N648" s="1" t="s">
        <v>305</v>
      </c>
      <c r="O648" s="1" t="s">
        <v>536</v>
      </c>
      <c r="Q648">
        <f>IFERROR(COUNTIFS(_report[TOURNAMENT_CODE],ВСЕ_КОДЫ[[#This Row],[TOURNAMENT_CODE]],_report[CONTEST_CODE],ВСЕ_КОДЫ[[#This Row],[CONTEST_CODE]]),"-")</f>
        <v>0</v>
      </c>
      <c r="R648" s="1" t="str">
        <f>IFERROR(INDEX(_SCHEDULE_[],MATCH(ВСЕ_КОДЫ[[#This Row],[CONTEST_CODE]],_SCHEDULE_[CONTEST_CODE],0),MATCH($R$1,_SCHEDULE_[#Headers],0)),"-")</f>
        <v>ЗАВЕРШЕН</v>
      </c>
      <c r="S648" s="1" t="str">
        <f>IFERROR(INDEX(_group_[],MATCH(ВСЕ_КОДЫ[[#This Row],[CONTEST_CODE]],_group_[CONTEST_CODE],0),MATCH($S$1,_group_[#Headers],0)),"-")</f>
        <v>BANK</v>
      </c>
      <c r="T648" s="1" t="str">
        <f>IFERROR(INDEX(_INDICATOR_[],MATCH(ВСЕ_КОДЫ[[#This Row],[CONTEST_CODE]],_INDICATOR_[CONTEST_CODE],0),MATCH($T$1,_INDICATOR_[#Headers],0)),"-")</f>
        <v>PPO_ALL</v>
      </c>
      <c r="U648" s="1" t="str">
        <f>IFERROR(INDEX(_reward_link_[],MATCH(ВСЕ_КОДЫ[[#This Row],[CONTEST_CODE]],_reward_link_[CONTEST_CODE],0),MATCH($U$1,_reward_link_[#Headers],0)),"-")</f>
        <v>GOSB</v>
      </c>
      <c r="V648" s="1" t="str">
        <f>IFERROR(INDEX(_report[],MATCH(ВСЕ_КОДЫ[[#This Row],[CONTEST_CODE]],_report[CONTEST_CODE],0),MATCH($V$1,_report[#Headers],0)),"-")</f>
        <v>-</v>
      </c>
      <c r="W648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48" s="1" t="str">
        <f>IFERROR(INDEX(_group_[],MATCH(CONCATENATE(ВСЕ_КОДЫ[[#This Row],[CONTEST_CODE]],"_",X$2),#REF!,0),MATCH(X$1,_group_[#Headers],0)),"-")</f>
        <v>-</v>
      </c>
      <c r="Y648" s="1" t="str">
        <f>IFERROR(INDEX(_group_[],MATCH(CONCATENATE(ВСЕ_КОДЫ[[#This Row],[CONTEST_CODE]],"_",Y$2),#REF!,0),MATCH(Y$1,_group_[#Headers],0)),"-")</f>
        <v>-</v>
      </c>
      <c r="Z648" s="1" t="str">
        <f>IFERROR(INDEX(_group_[],MATCH(CONCATENATE(ВСЕ_КОДЫ[[#This Row],[CONTEST_CODE]],"_",Z$2),#REF!,0),MATCH(Z$1,_group_[#Headers],0)),"-")</f>
        <v>-</v>
      </c>
      <c r="AA648" s="1" t="str">
        <f>IFERROR(INDEX(_group_[],MATCH(CONCATENATE(ВСЕ_КОДЫ[[#This Row],[CONTEST_CODE]],"_",AA$2),#REF!,0),MATCH(AA$1,_group_[#Headers],0)),"-")</f>
        <v>-</v>
      </c>
      <c r="AB648" s="1" t="str">
        <f>IFERROR(INDEX(_DATA_[],MATCH(ВСЕ_КОДЫ[[#This Row],[CONTEST_CODE]],_DATA_[CONTEST_CODE],0),MATCH($AB$2,_DATA_[#Headers],0)),"-")</f>
        <v>["""KMKKSB"""]</v>
      </c>
      <c r="AC648" t="str">
        <f>CONCATENATE(ВСЕ_КОДЫ[[#This Row],[CONTEST_CODE]],"_",ВСЕ_КОДЫ[[#This Row],[TOURNAMENT_CODE]])</f>
        <v>01_2025-1_02-3_1t_t_01_2025-1_02-3_1t_3021</v>
      </c>
      <c r="AD648" t="str">
        <f>ВСЕ_КОДЫ[[#This Row],[FULL_NAME]]</f>
        <v>Интернализация</v>
      </c>
    </row>
    <row r="649" spans="1:30" hidden="1" x14ac:dyDescent="0.25">
      <c r="A649" s="1" t="s">
        <v>4081</v>
      </c>
      <c r="B649" s="1" t="s">
        <v>4095</v>
      </c>
      <c r="C649" s="1" t="s">
        <v>4079</v>
      </c>
      <c r="D649" s="1" t="s">
        <v>584</v>
      </c>
      <c r="E649" s="1" t="s">
        <v>2158</v>
      </c>
      <c r="F649" s="1" t="s">
        <v>2508</v>
      </c>
      <c r="G649" s="1" t="s">
        <v>27</v>
      </c>
      <c r="H649" s="1" t="s">
        <v>34</v>
      </c>
      <c r="I649" s="1" t="s">
        <v>50</v>
      </c>
      <c r="J649" s="1" t="s">
        <v>2521</v>
      </c>
      <c r="K649" s="1" t="s">
        <v>2522</v>
      </c>
      <c r="L649" s="1" t="s">
        <v>3232</v>
      </c>
      <c r="M649" s="1" t="s">
        <v>176</v>
      </c>
      <c r="N649" s="1" t="s">
        <v>305</v>
      </c>
      <c r="O649" s="1" t="s">
        <v>536</v>
      </c>
      <c r="Q649">
        <f>IFERROR(COUNTIFS(_report[TOURNAMENT_CODE],ВСЕ_КОДЫ[[#This Row],[TOURNAMENT_CODE]],_report[CONTEST_CODE],ВСЕ_КОДЫ[[#This Row],[CONTEST_CODE]]),"-")</f>
        <v>0</v>
      </c>
      <c r="R649" s="1" t="str">
        <f>IFERROR(INDEX(_SCHEDULE_[],MATCH(ВСЕ_КОДЫ[[#This Row],[CONTEST_CODE]],_SCHEDULE_[CONTEST_CODE],0),MATCH($R$1,_SCHEDULE_[#Headers],0)),"-")</f>
        <v>ЗАВЕРШЕН</v>
      </c>
      <c r="S649" s="1" t="str">
        <f>IFERROR(INDEX(_group_[],MATCH(ВСЕ_КОДЫ[[#This Row],[CONTEST_CODE]],_group_[CONTEST_CODE],0),MATCH($S$1,_group_[#Headers],0)),"-")</f>
        <v>BANK</v>
      </c>
      <c r="T649" s="1" t="str">
        <f>IFERROR(INDEX(_INDICATOR_[],MATCH(ВСЕ_КОДЫ[[#This Row],[CONTEST_CODE]],_INDICATOR_[CONTEST_CODE],0),MATCH($T$1,_INDICATOR_[#Headers],0)),"-")</f>
        <v>PPO_ALL</v>
      </c>
      <c r="U649" s="1" t="str">
        <f>IFERROR(INDEX(_reward_link_[],MATCH(ВСЕ_КОДЫ[[#This Row],[CONTEST_CODE]],_reward_link_[CONTEST_CODE],0),MATCH($U$1,_reward_link_[#Headers],0)),"-")</f>
        <v>GOSB</v>
      </c>
      <c r="V649" s="1" t="str">
        <f>IFERROR(INDEX(_report[],MATCH(ВСЕ_КОДЫ[[#This Row],[CONTEST_CODE]],_report[CONTEST_CODE],0),MATCH($V$1,_report[#Headers],0)),"-")</f>
        <v>-</v>
      </c>
      <c r="W649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49" s="1" t="str">
        <f>IFERROR(INDEX(_group_[],MATCH(CONCATENATE(ВСЕ_КОДЫ[[#This Row],[CONTEST_CODE]],"_",X$2),#REF!,0),MATCH(X$1,_group_[#Headers],0)),"-")</f>
        <v>-</v>
      </c>
      <c r="Y649" s="1" t="str">
        <f>IFERROR(INDEX(_group_[],MATCH(CONCATENATE(ВСЕ_КОДЫ[[#This Row],[CONTEST_CODE]],"_",Y$2),#REF!,0),MATCH(Y$1,_group_[#Headers],0)),"-")</f>
        <v>-</v>
      </c>
      <c r="Z649" s="1" t="str">
        <f>IFERROR(INDEX(_group_[],MATCH(CONCATENATE(ВСЕ_КОДЫ[[#This Row],[CONTEST_CODE]],"_",Z$2),#REF!,0),MATCH(Z$1,_group_[#Headers],0)),"-")</f>
        <v>-</v>
      </c>
      <c r="AA649" s="1" t="str">
        <f>IFERROR(INDEX(_group_[],MATCH(CONCATENATE(ВСЕ_КОДЫ[[#This Row],[CONTEST_CODE]],"_",AA$2),#REF!,0),MATCH(AA$1,_group_[#Headers],0)),"-")</f>
        <v>-</v>
      </c>
      <c r="AB649" s="1" t="str">
        <f>IFERROR(INDEX(_DATA_[],MATCH(ВСЕ_КОДЫ[[#This Row],[CONTEST_CODE]],_DATA_[CONTEST_CODE],0),MATCH($AB$2,_DATA_[#Headers],0)),"-")</f>
        <v>["""KMKKSB"""]</v>
      </c>
      <c r="AC649" t="str">
        <f>CONCATENATE(ВСЕ_КОДЫ[[#This Row],[CONTEST_CODE]],"_",ВСЕ_КОДЫ[[#This Row],[TOURNAMENT_CODE]])</f>
        <v>01_2025-1_02-3_1t_t_01_2025-1_02-3_1t_3021</v>
      </c>
      <c r="AD649" t="str">
        <f>ВСЕ_КОДЫ[[#This Row],[FULL_NAME]]</f>
        <v>Интернализация</v>
      </c>
    </row>
    <row r="650" spans="1:30" hidden="1" x14ac:dyDescent="0.25">
      <c r="A650" s="1" t="s">
        <v>4081</v>
      </c>
      <c r="B650" s="1" t="s">
        <v>4095</v>
      </c>
      <c r="C650" s="1" t="s">
        <v>4079</v>
      </c>
      <c r="D650" s="1" t="s">
        <v>584</v>
      </c>
      <c r="E650" s="1" t="s">
        <v>2158</v>
      </c>
      <c r="F650" s="1" t="s">
        <v>2508</v>
      </c>
      <c r="G650" s="1" t="s">
        <v>27</v>
      </c>
      <c r="H650" s="1" t="s">
        <v>34</v>
      </c>
      <c r="I650" s="1" t="s">
        <v>50</v>
      </c>
      <c r="J650" s="1" t="s">
        <v>2521</v>
      </c>
      <c r="K650" s="1" t="s">
        <v>2522</v>
      </c>
      <c r="L650" s="1" t="s">
        <v>3232</v>
      </c>
      <c r="M650" s="1" t="s">
        <v>176</v>
      </c>
      <c r="N650" s="1" t="s">
        <v>305</v>
      </c>
      <c r="O650" s="1" t="s">
        <v>536</v>
      </c>
      <c r="Q650">
        <f>IFERROR(COUNTIFS(_report[TOURNAMENT_CODE],ВСЕ_КОДЫ[[#This Row],[TOURNAMENT_CODE]],_report[CONTEST_CODE],ВСЕ_КОДЫ[[#This Row],[CONTEST_CODE]]),"-")</f>
        <v>0</v>
      </c>
      <c r="R650" s="1" t="str">
        <f>IFERROR(INDEX(_SCHEDULE_[],MATCH(ВСЕ_КОДЫ[[#This Row],[CONTEST_CODE]],_SCHEDULE_[CONTEST_CODE],0),MATCH($R$1,_SCHEDULE_[#Headers],0)),"-")</f>
        <v>ЗАВЕРШЕН</v>
      </c>
      <c r="S650" s="1" t="str">
        <f>IFERROR(INDEX(_group_[],MATCH(ВСЕ_КОДЫ[[#This Row],[CONTEST_CODE]],_group_[CONTEST_CODE],0),MATCH($S$1,_group_[#Headers],0)),"-")</f>
        <v>BANK</v>
      </c>
      <c r="T650" s="1" t="str">
        <f>IFERROR(INDEX(_INDICATOR_[],MATCH(ВСЕ_КОДЫ[[#This Row],[CONTEST_CODE]],_INDICATOR_[CONTEST_CODE],0),MATCH($T$1,_INDICATOR_[#Headers],0)),"-")</f>
        <v>PPO_ALL</v>
      </c>
      <c r="U650" s="1" t="str">
        <f>IFERROR(INDEX(_reward_link_[],MATCH(ВСЕ_КОДЫ[[#This Row],[CONTEST_CODE]],_reward_link_[CONTEST_CODE],0),MATCH($U$1,_reward_link_[#Headers],0)),"-")</f>
        <v>GOSB</v>
      </c>
      <c r="V650" s="1" t="str">
        <f>IFERROR(INDEX(_report[],MATCH(ВСЕ_КОДЫ[[#This Row],[CONTEST_CODE]],_report[CONTEST_CODE],0),MATCH($V$1,_report[#Headers],0)),"-")</f>
        <v>-</v>
      </c>
      <c r="W650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50" s="1" t="str">
        <f>IFERROR(INDEX(_group_[],MATCH(CONCATENATE(ВСЕ_КОДЫ[[#This Row],[CONTEST_CODE]],"_",X$2),#REF!,0),MATCH(X$1,_group_[#Headers],0)),"-")</f>
        <v>-</v>
      </c>
      <c r="Y650" s="1" t="str">
        <f>IFERROR(INDEX(_group_[],MATCH(CONCATENATE(ВСЕ_КОДЫ[[#This Row],[CONTEST_CODE]],"_",Y$2),#REF!,0),MATCH(Y$1,_group_[#Headers],0)),"-")</f>
        <v>-</v>
      </c>
      <c r="Z650" s="1" t="str">
        <f>IFERROR(INDEX(_group_[],MATCH(CONCATENATE(ВСЕ_КОДЫ[[#This Row],[CONTEST_CODE]],"_",Z$2),#REF!,0),MATCH(Z$1,_group_[#Headers],0)),"-")</f>
        <v>-</v>
      </c>
      <c r="AA650" s="1" t="str">
        <f>IFERROR(INDEX(_group_[],MATCH(CONCATENATE(ВСЕ_КОДЫ[[#This Row],[CONTEST_CODE]],"_",AA$2),#REF!,0),MATCH(AA$1,_group_[#Headers],0)),"-")</f>
        <v>-</v>
      </c>
      <c r="AB650" s="1" t="str">
        <f>IFERROR(INDEX(_DATA_[],MATCH(ВСЕ_КОДЫ[[#This Row],[CONTEST_CODE]],_DATA_[CONTEST_CODE],0),MATCH($AB$2,_DATA_[#Headers],0)),"-")</f>
        <v>["""KMKKSB"""]</v>
      </c>
      <c r="AC650" t="str">
        <f>CONCATENATE(ВСЕ_КОДЫ[[#This Row],[CONTEST_CODE]],"_",ВСЕ_КОДЫ[[#This Row],[TOURNAMENT_CODE]])</f>
        <v>01_2025-1_02-3_1t_t_01_2025-1_02-3_1t_3021</v>
      </c>
      <c r="AD650" t="str">
        <f>ВСЕ_КОДЫ[[#This Row],[FULL_NAME]]</f>
        <v>Интернализация</v>
      </c>
    </row>
    <row r="651" spans="1:30" hidden="1" x14ac:dyDescent="0.25">
      <c r="A651" s="1" t="s">
        <v>4081</v>
      </c>
      <c r="B651" s="1" t="s">
        <v>4095</v>
      </c>
      <c r="C651" s="1" t="s">
        <v>4079</v>
      </c>
      <c r="D651" s="1" t="s">
        <v>584</v>
      </c>
      <c r="E651" s="1" t="s">
        <v>2158</v>
      </c>
      <c r="F651" s="1" t="s">
        <v>2508</v>
      </c>
      <c r="G651" s="1" t="s">
        <v>27</v>
      </c>
      <c r="H651" s="1" t="s">
        <v>34</v>
      </c>
      <c r="I651" s="1" t="s">
        <v>50</v>
      </c>
      <c r="J651" s="1" t="s">
        <v>2521</v>
      </c>
      <c r="K651" s="1" t="s">
        <v>2522</v>
      </c>
      <c r="L651" s="1" t="s">
        <v>3232</v>
      </c>
      <c r="M651" s="1" t="s">
        <v>176</v>
      </c>
      <c r="N651" s="1" t="s">
        <v>305</v>
      </c>
      <c r="O651" s="1" t="s">
        <v>536</v>
      </c>
      <c r="Q651">
        <f>IFERROR(COUNTIFS(_report[TOURNAMENT_CODE],ВСЕ_КОДЫ[[#This Row],[TOURNAMENT_CODE]],_report[CONTEST_CODE],ВСЕ_КОДЫ[[#This Row],[CONTEST_CODE]]),"-")</f>
        <v>0</v>
      </c>
      <c r="R651" s="1" t="str">
        <f>IFERROR(INDEX(_SCHEDULE_[],MATCH(ВСЕ_КОДЫ[[#This Row],[CONTEST_CODE]],_SCHEDULE_[CONTEST_CODE],0),MATCH($R$1,_SCHEDULE_[#Headers],0)),"-")</f>
        <v>ЗАВЕРШЕН</v>
      </c>
      <c r="S651" s="1" t="str">
        <f>IFERROR(INDEX(_group_[],MATCH(ВСЕ_КОДЫ[[#This Row],[CONTEST_CODE]],_group_[CONTEST_CODE],0),MATCH($S$1,_group_[#Headers],0)),"-")</f>
        <v>BANK</v>
      </c>
      <c r="T651" s="1" t="str">
        <f>IFERROR(INDEX(_INDICATOR_[],MATCH(ВСЕ_КОДЫ[[#This Row],[CONTEST_CODE]],_INDICATOR_[CONTEST_CODE],0),MATCH($T$1,_INDICATOR_[#Headers],0)),"-")</f>
        <v>PPO_ALL</v>
      </c>
      <c r="U651" s="1" t="str">
        <f>IFERROR(INDEX(_reward_link_[],MATCH(ВСЕ_КОДЫ[[#This Row],[CONTEST_CODE]],_reward_link_[CONTEST_CODE],0),MATCH($U$1,_reward_link_[#Headers],0)),"-")</f>
        <v>GOSB</v>
      </c>
      <c r="V651" s="1" t="str">
        <f>IFERROR(INDEX(_report[],MATCH(ВСЕ_КОДЫ[[#This Row],[CONTEST_CODE]],_report[CONTEST_CODE],0),MATCH($V$1,_report[#Headers],0)),"-")</f>
        <v>-</v>
      </c>
      <c r="W651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51" s="1" t="str">
        <f>IFERROR(INDEX(_group_[],MATCH(CONCATENATE(ВСЕ_КОДЫ[[#This Row],[CONTEST_CODE]],"_",X$2),#REF!,0),MATCH(X$1,_group_[#Headers],0)),"-")</f>
        <v>-</v>
      </c>
      <c r="Y651" s="1" t="str">
        <f>IFERROR(INDEX(_group_[],MATCH(CONCATENATE(ВСЕ_КОДЫ[[#This Row],[CONTEST_CODE]],"_",Y$2),#REF!,0),MATCH(Y$1,_group_[#Headers],0)),"-")</f>
        <v>-</v>
      </c>
      <c r="Z651" s="1" t="str">
        <f>IFERROR(INDEX(_group_[],MATCH(CONCATENATE(ВСЕ_КОДЫ[[#This Row],[CONTEST_CODE]],"_",Z$2),#REF!,0),MATCH(Z$1,_group_[#Headers],0)),"-")</f>
        <v>-</v>
      </c>
      <c r="AA651" s="1" t="str">
        <f>IFERROR(INDEX(_group_[],MATCH(CONCATENATE(ВСЕ_КОДЫ[[#This Row],[CONTEST_CODE]],"_",AA$2),#REF!,0),MATCH(AA$1,_group_[#Headers],0)),"-")</f>
        <v>-</v>
      </c>
      <c r="AB651" s="1" t="str">
        <f>IFERROR(INDEX(_DATA_[],MATCH(ВСЕ_КОДЫ[[#This Row],[CONTEST_CODE]],_DATA_[CONTEST_CODE],0),MATCH($AB$2,_DATA_[#Headers],0)),"-")</f>
        <v>["""KMKKSB"""]</v>
      </c>
      <c r="AC651" t="str">
        <f>CONCATENATE(ВСЕ_КОДЫ[[#This Row],[CONTEST_CODE]],"_",ВСЕ_КОДЫ[[#This Row],[TOURNAMENT_CODE]])</f>
        <v>01_2025-1_02-3_1t_t_01_2025-1_02-3_1t_3021</v>
      </c>
      <c r="AD651" t="str">
        <f>ВСЕ_КОДЫ[[#This Row],[FULL_NAME]]</f>
        <v>Интернализация</v>
      </c>
    </row>
    <row r="652" spans="1:30" hidden="1" x14ac:dyDescent="0.25">
      <c r="A652" s="1" t="s">
        <v>4081</v>
      </c>
      <c r="B652" s="1" t="s">
        <v>4095</v>
      </c>
      <c r="C652" s="1" t="s">
        <v>4082</v>
      </c>
      <c r="D652" s="1" t="s">
        <v>586</v>
      </c>
      <c r="E652" s="1" t="s">
        <v>2158</v>
      </c>
      <c r="F652" s="1" t="s">
        <v>2508</v>
      </c>
      <c r="G652" s="1" t="s">
        <v>27</v>
      </c>
      <c r="H652" s="1" t="s">
        <v>34</v>
      </c>
      <c r="I652" s="1" t="s">
        <v>50</v>
      </c>
      <c r="J652" s="1" t="s">
        <v>2521</v>
      </c>
      <c r="K652" s="1" t="s">
        <v>2522</v>
      </c>
      <c r="L652" s="1" t="s">
        <v>3232</v>
      </c>
      <c r="M652" s="1" t="s">
        <v>176</v>
      </c>
      <c r="N652" s="1" t="s">
        <v>305</v>
      </c>
      <c r="O652" s="1" t="s">
        <v>541</v>
      </c>
      <c r="Q652">
        <f>IFERROR(COUNTIFS(_report[TOURNAMENT_CODE],ВСЕ_КОДЫ[[#This Row],[TOURNAMENT_CODE]],_report[CONTEST_CODE],ВСЕ_КОДЫ[[#This Row],[CONTEST_CODE]]),"-")</f>
        <v>0</v>
      </c>
      <c r="R652" s="1" t="str">
        <f>IFERROR(INDEX(_SCHEDULE_[],MATCH(ВСЕ_КОДЫ[[#This Row],[CONTEST_CODE]],_SCHEDULE_[CONTEST_CODE],0),MATCH($R$1,_SCHEDULE_[#Headers],0)),"-")</f>
        <v>ЗАВЕРШЕН</v>
      </c>
      <c r="S652" s="1" t="str">
        <f>IFERROR(INDEX(_group_[],MATCH(ВСЕ_КОДЫ[[#This Row],[CONTEST_CODE]],_group_[CONTEST_CODE],0),MATCH($S$1,_group_[#Headers],0)),"-")</f>
        <v>BANK</v>
      </c>
      <c r="T652" s="1" t="str">
        <f>IFERROR(INDEX(_INDICATOR_[],MATCH(ВСЕ_КОДЫ[[#This Row],[CONTEST_CODE]],_INDICATOR_[CONTEST_CODE],0),MATCH($T$1,_INDICATOR_[#Headers],0)),"-")</f>
        <v>PPO_ALL</v>
      </c>
      <c r="U652" s="1" t="str">
        <f>IFERROR(INDEX(_reward_link_[],MATCH(ВСЕ_КОДЫ[[#This Row],[CONTEST_CODE]],_reward_link_[CONTEST_CODE],0),MATCH($U$1,_reward_link_[#Headers],0)),"-")</f>
        <v>GOSB</v>
      </c>
      <c r="V652" s="1" t="str">
        <f>IFERROR(INDEX(_report[],MATCH(ВСЕ_КОДЫ[[#This Row],[CONTEST_CODE]],_report[CONTEST_CODE],0),MATCH($V$1,_report[#Headers],0)),"-")</f>
        <v>-</v>
      </c>
      <c r="W652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52" s="1" t="str">
        <f>IFERROR(INDEX(_group_[],MATCH(CONCATENATE(ВСЕ_КОДЫ[[#This Row],[CONTEST_CODE]],"_",X$2),#REF!,0),MATCH(X$1,_group_[#Headers],0)),"-")</f>
        <v>-</v>
      </c>
      <c r="Y652" s="1" t="str">
        <f>IFERROR(INDEX(_group_[],MATCH(CONCATENATE(ВСЕ_КОДЫ[[#This Row],[CONTEST_CODE]],"_",Y$2),#REF!,0),MATCH(Y$1,_group_[#Headers],0)),"-")</f>
        <v>-</v>
      </c>
      <c r="Z652" s="1" t="str">
        <f>IFERROR(INDEX(_group_[],MATCH(CONCATENATE(ВСЕ_КОДЫ[[#This Row],[CONTEST_CODE]],"_",Z$2),#REF!,0),MATCH(Z$1,_group_[#Headers],0)),"-")</f>
        <v>-</v>
      </c>
      <c r="AA652" s="1" t="str">
        <f>IFERROR(INDEX(_group_[],MATCH(CONCATENATE(ВСЕ_КОДЫ[[#This Row],[CONTEST_CODE]],"_",AA$2),#REF!,0),MATCH(AA$1,_group_[#Headers],0)),"-")</f>
        <v>-</v>
      </c>
      <c r="AB652" s="1" t="str">
        <f>IFERROR(INDEX(_DATA_[],MATCH(ВСЕ_КОДЫ[[#This Row],[CONTEST_CODE]],_DATA_[CONTEST_CODE],0),MATCH($AB$2,_DATA_[#Headers],0)),"-")</f>
        <v>["""KMKKSB"""]</v>
      </c>
      <c r="AC652" t="str">
        <f>CONCATENATE(ВСЕ_КОДЫ[[#This Row],[CONTEST_CODE]],"_",ВСЕ_КОДЫ[[#This Row],[TOURNAMENT_CODE]])</f>
        <v>01_2025-1_02-3_1t_t_01_2025-1_02-3_1t_3021</v>
      </c>
      <c r="AD652" t="str">
        <f>ВСЕ_КОДЫ[[#This Row],[FULL_NAME]]</f>
        <v>Интернализация</v>
      </c>
    </row>
    <row r="653" spans="1:30" hidden="1" x14ac:dyDescent="0.25">
      <c r="A653" s="1" t="s">
        <v>4081</v>
      </c>
      <c r="B653" s="1" t="s">
        <v>4095</v>
      </c>
      <c r="C653" s="1" t="s">
        <v>4082</v>
      </c>
      <c r="D653" s="1" t="s">
        <v>586</v>
      </c>
      <c r="E653" s="1" t="s">
        <v>2158</v>
      </c>
      <c r="F653" s="1" t="s">
        <v>2508</v>
      </c>
      <c r="G653" s="1" t="s">
        <v>27</v>
      </c>
      <c r="H653" s="1" t="s">
        <v>34</v>
      </c>
      <c r="I653" s="1" t="s">
        <v>50</v>
      </c>
      <c r="J653" s="1" t="s">
        <v>2521</v>
      </c>
      <c r="K653" s="1" t="s">
        <v>2522</v>
      </c>
      <c r="L653" s="1" t="s">
        <v>3232</v>
      </c>
      <c r="M653" s="1" t="s">
        <v>176</v>
      </c>
      <c r="N653" s="1" t="s">
        <v>305</v>
      </c>
      <c r="O653" s="1" t="s">
        <v>541</v>
      </c>
      <c r="Q653">
        <f>IFERROR(COUNTIFS(_report[TOURNAMENT_CODE],ВСЕ_КОДЫ[[#This Row],[TOURNAMENT_CODE]],_report[CONTEST_CODE],ВСЕ_КОДЫ[[#This Row],[CONTEST_CODE]]),"-")</f>
        <v>0</v>
      </c>
      <c r="R653" s="1" t="str">
        <f>IFERROR(INDEX(_SCHEDULE_[],MATCH(ВСЕ_КОДЫ[[#This Row],[CONTEST_CODE]],_SCHEDULE_[CONTEST_CODE],0),MATCH($R$1,_SCHEDULE_[#Headers],0)),"-")</f>
        <v>ЗАВЕРШЕН</v>
      </c>
      <c r="S653" s="1" t="str">
        <f>IFERROR(INDEX(_group_[],MATCH(ВСЕ_КОДЫ[[#This Row],[CONTEST_CODE]],_group_[CONTEST_CODE],0),MATCH($S$1,_group_[#Headers],0)),"-")</f>
        <v>BANK</v>
      </c>
      <c r="T653" s="1" t="str">
        <f>IFERROR(INDEX(_INDICATOR_[],MATCH(ВСЕ_КОДЫ[[#This Row],[CONTEST_CODE]],_INDICATOR_[CONTEST_CODE],0),MATCH($T$1,_INDICATOR_[#Headers],0)),"-")</f>
        <v>PPO_ALL</v>
      </c>
      <c r="U653" s="1" t="str">
        <f>IFERROR(INDEX(_reward_link_[],MATCH(ВСЕ_КОДЫ[[#This Row],[CONTEST_CODE]],_reward_link_[CONTEST_CODE],0),MATCH($U$1,_reward_link_[#Headers],0)),"-")</f>
        <v>GOSB</v>
      </c>
      <c r="V653" s="1" t="str">
        <f>IFERROR(INDEX(_report[],MATCH(ВСЕ_КОДЫ[[#This Row],[CONTEST_CODE]],_report[CONTEST_CODE],0),MATCH($V$1,_report[#Headers],0)),"-")</f>
        <v>-</v>
      </c>
      <c r="W653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53" s="1" t="str">
        <f>IFERROR(INDEX(_group_[],MATCH(CONCATENATE(ВСЕ_КОДЫ[[#This Row],[CONTEST_CODE]],"_",X$2),#REF!,0),MATCH(X$1,_group_[#Headers],0)),"-")</f>
        <v>-</v>
      </c>
      <c r="Y653" s="1" t="str">
        <f>IFERROR(INDEX(_group_[],MATCH(CONCATENATE(ВСЕ_КОДЫ[[#This Row],[CONTEST_CODE]],"_",Y$2),#REF!,0),MATCH(Y$1,_group_[#Headers],0)),"-")</f>
        <v>-</v>
      </c>
      <c r="Z653" s="1" t="str">
        <f>IFERROR(INDEX(_group_[],MATCH(CONCATENATE(ВСЕ_КОДЫ[[#This Row],[CONTEST_CODE]],"_",Z$2),#REF!,0),MATCH(Z$1,_group_[#Headers],0)),"-")</f>
        <v>-</v>
      </c>
      <c r="AA653" s="1" t="str">
        <f>IFERROR(INDEX(_group_[],MATCH(CONCATENATE(ВСЕ_КОДЫ[[#This Row],[CONTEST_CODE]],"_",AA$2),#REF!,0),MATCH(AA$1,_group_[#Headers],0)),"-")</f>
        <v>-</v>
      </c>
      <c r="AB653" s="1" t="str">
        <f>IFERROR(INDEX(_DATA_[],MATCH(ВСЕ_КОДЫ[[#This Row],[CONTEST_CODE]],_DATA_[CONTEST_CODE],0),MATCH($AB$2,_DATA_[#Headers],0)),"-")</f>
        <v>["""KMKKSB"""]</v>
      </c>
      <c r="AC653" t="str">
        <f>CONCATENATE(ВСЕ_КОДЫ[[#This Row],[CONTEST_CODE]],"_",ВСЕ_КОДЫ[[#This Row],[TOURNAMENT_CODE]])</f>
        <v>01_2025-1_02-3_1t_t_01_2025-1_02-3_1t_3021</v>
      </c>
      <c r="AD653" t="str">
        <f>ВСЕ_КОДЫ[[#This Row],[FULL_NAME]]</f>
        <v>Интернализация</v>
      </c>
    </row>
    <row r="654" spans="1:30" hidden="1" x14ac:dyDescent="0.25">
      <c r="A654" s="1" t="s">
        <v>4081</v>
      </c>
      <c r="B654" s="1" t="s">
        <v>4095</v>
      </c>
      <c r="C654" s="1" t="s">
        <v>4082</v>
      </c>
      <c r="D654" s="1" t="s">
        <v>586</v>
      </c>
      <c r="E654" s="1" t="s">
        <v>2158</v>
      </c>
      <c r="F654" s="1" t="s">
        <v>2508</v>
      </c>
      <c r="G654" s="1" t="s">
        <v>27</v>
      </c>
      <c r="H654" s="1" t="s">
        <v>34</v>
      </c>
      <c r="I654" s="1" t="s">
        <v>50</v>
      </c>
      <c r="J654" s="1" t="s">
        <v>2521</v>
      </c>
      <c r="K654" s="1" t="s">
        <v>2522</v>
      </c>
      <c r="L654" s="1" t="s">
        <v>3232</v>
      </c>
      <c r="M654" s="1" t="s">
        <v>176</v>
      </c>
      <c r="N654" s="1" t="s">
        <v>305</v>
      </c>
      <c r="O654" s="1" t="s">
        <v>541</v>
      </c>
      <c r="Q654">
        <f>IFERROR(COUNTIFS(_report[TOURNAMENT_CODE],ВСЕ_КОДЫ[[#This Row],[TOURNAMENT_CODE]],_report[CONTEST_CODE],ВСЕ_КОДЫ[[#This Row],[CONTEST_CODE]]),"-")</f>
        <v>0</v>
      </c>
      <c r="R654" s="1" t="str">
        <f>IFERROR(INDEX(_SCHEDULE_[],MATCH(ВСЕ_КОДЫ[[#This Row],[CONTEST_CODE]],_SCHEDULE_[CONTEST_CODE],0),MATCH($R$1,_SCHEDULE_[#Headers],0)),"-")</f>
        <v>ЗАВЕРШЕН</v>
      </c>
      <c r="S654" s="1" t="str">
        <f>IFERROR(INDEX(_group_[],MATCH(ВСЕ_КОДЫ[[#This Row],[CONTEST_CODE]],_group_[CONTEST_CODE],0),MATCH($S$1,_group_[#Headers],0)),"-")</f>
        <v>BANK</v>
      </c>
      <c r="T654" s="1" t="str">
        <f>IFERROR(INDEX(_INDICATOR_[],MATCH(ВСЕ_КОДЫ[[#This Row],[CONTEST_CODE]],_INDICATOR_[CONTEST_CODE],0),MATCH($T$1,_INDICATOR_[#Headers],0)),"-")</f>
        <v>PPO_ALL</v>
      </c>
      <c r="U654" s="1" t="str">
        <f>IFERROR(INDEX(_reward_link_[],MATCH(ВСЕ_КОДЫ[[#This Row],[CONTEST_CODE]],_reward_link_[CONTEST_CODE],0),MATCH($U$1,_reward_link_[#Headers],0)),"-")</f>
        <v>GOSB</v>
      </c>
      <c r="V654" s="1" t="str">
        <f>IFERROR(INDEX(_report[],MATCH(ВСЕ_КОДЫ[[#This Row],[CONTEST_CODE]],_report[CONTEST_CODE],0),MATCH($V$1,_report[#Headers],0)),"-")</f>
        <v>-</v>
      </c>
      <c r="W654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54" s="1" t="str">
        <f>IFERROR(INDEX(_group_[],MATCH(CONCATENATE(ВСЕ_КОДЫ[[#This Row],[CONTEST_CODE]],"_",X$2),#REF!,0),MATCH(X$1,_group_[#Headers],0)),"-")</f>
        <v>-</v>
      </c>
      <c r="Y654" s="1" t="str">
        <f>IFERROR(INDEX(_group_[],MATCH(CONCATENATE(ВСЕ_КОДЫ[[#This Row],[CONTEST_CODE]],"_",Y$2),#REF!,0),MATCH(Y$1,_group_[#Headers],0)),"-")</f>
        <v>-</v>
      </c>
      <c r="Z654" s="1" t="str">
        <f>IFERROR(INDEX(_group_[],MATCH(CONCATENATE(ВСЕ_КОДЫ[[#This Row],[CONTEST_CODE]],"_",Z$2),#REF!,0),MATCH(Z$1,_group_[#Headers],0)),"-")</f>
        <v>-</v>
      </c>
      <c r="AA654" s="1" t="str">
        <f>IFERROR(INDEX(_group_[],MATCH(CONCATENATE(ВСЕ_КОДЫ[[#This Row],[CONTEST_CODE]],"_",AA$2),#REF!,0),MATCH(AA$1,_group_[#Headers],0)),"-")</f>
        <v>-</v>
      </c>
      <c r="AB654" s="1" t="str">
        <f>IFERROR(INDEX(_DATA_[],MATCH(ВСЕ_КОДЫ[[#This Row],[CONTEST_CODE]],_DATA_[CONTEST_CODE],0),MATCH($AB$2,_DATA_[#Headers],0)),"-")</f>
        <v>["""KMKKSB"""]</v>
      </c>
      <c r="AC654" t="str">
        <f>CONCATENATE(ВСЕ_КОДЫ[[#This Row],[CONTEST_CODE]],"_",ВСЕ_КОДЫ[[#This Row],[TOURNAMENT_CODE]])</f>
        <v>01_2025-1_02-3_1t_t_01_2025-1_02-3_1t_3021</v>
      </c>
      <c r="AD654" t="str">
        <f>ВСЕ_КОДЫ[[#This Row],[FULL_NAME]]</f>
        <v>Интернализация</v>
      </c>
    </row>
    <row r="655" spans="1:30" hidden="1" x14ac:dyDescent="0.25">
      <c r="A655" s="1" t="s">
        <v>4081</v>
      </c>
      <c r="B655" s="1" t="s">
        <v>4095</v>
      </c>
      <c r="C655" s="1" t="s">
        <v>4082</v>
      </c>
      <c r="D655" s="1" t="s">
        <v>586</v>
      </c>
      <c r="E655" s="1" t="s">
        <v>2158</v>
      </c>
      <c r="F655" s="1" t="s">
        <v>2508</v>
      </c>
      <c r="G655" s="1" t="s">
        <v>27</v>
      </c>
      <c r="H655" s="1" t="s">
        <v>34</v>
      </c>
      <c r="I655" s="1" t="s">
        <v>50</v>
      </c>
      <c r="J655" s="1" t="s">
        <v>2521</v>
      </c>
      <c r="K655" s="1" t="s">
        <v>2522</v>
      </c>
      <c r="L655" s="1" t="s">
        <v>3232</v>
      </c>
      <c r="M655" s="1" t="s">
        <v>176</v>
      </c>
      <c r="N655" s="1" t="s">
        <v>305</v>
      </c>
      <c r="O655" s="1" t="s">
        <v>541</v>
      </c>
      <c r="Q655">
        <f>IFERROR(COUNTIFS(_report[TOURNAMENT_CODE],ВСЕ_КОДЫ[[#This Row],[TOURNAMENT_CODE]],_report[CONTEST_CODE],ВСЕ_КОДЫ[[#This Row],[CONTEST_CODE]]),"-")</f>
        <v>0</v>
      </c>
      <c r="R655" s="1" t="str">
        <f>IFERROR(INDEX(_SCHEDULE_[],MATCH(ВСЕ_КОДЫ[[#This Row],[CONTEST_CODE]],_SCHEDULE_[CONTEST_CODE],0),MATCH($R$1,_SCHEDULE_[#Headers],0)),"-")</f>
        <v>ЗАВЕРШЕН</v>
      </c>
      <c r="S655" s="1" t="str">
        <f>IFERROR(INDEX(_group_[],MATCH(ВСЕ_КОДЫ[[#This Row],[CONTEST_CODE]],_group_[CONTEST_CODE],0),MATCH($S$1,_group_[#Headers],0)),"-")</f>
        <v>BANK</v>
      </c>
      <c r="T655" s="1" t="str">
        <f>IFERROR(INDEX(_INDICATOR_[],MATCH(ВСЕ_КОДЫ[[#This Row],[CONTEST_CODE]],_INDICATOR_[CONTEST_CODE],0),MATCH($T$1,_INDICATOR_[#Headers],0)),"-")</f>
        <v>PPO_ALL</v>
      </c>
      <c r="U655" s="1" t="str">
        <f>IFERROR(INDEX(_reward_link_[],MATCH(ВСЕ_КОДЫ[[#This Row],[CONTEST_CODE]],_reward_link_[CONTEST_CODE],0),MATCH($U$1,_reward_link_[#Headers],0)),"-")</f>
        <v>GOSB</v>
      </c>
      <c r="V655" s="1" t="str">
        <f>IFERROR(INDEX(_report[],MATCH(ВСЕ_КОДЫ[[#This Row],[CONTEST_CODE]],_report[CONTEST_CODE],0),MATCH($V$1,_report[#Headers],0)),"-")</f>
        <v>-</v>
      </c>
      <c r="W655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55" s="1" t="str">
        <f>IFERROR(INDEX(_group_[],MATCH(CONCATENATE(ВСЕ_КОДЫ[[#This Row],[CONTEST_CODE]],"_",X$2),#REF!,0),MATCH(X$1,_group_[#Headers],0)),"-")</f>
        <v>-</v>
      </c>
      <c r="Y655" s="1" t="str">
        <f>IFERROR(INDEX(_group_[],MATCH(CONCATENATE(ВСЕ_КОДЫ[[#This Row],[CONTEST_CODE]],"_",Y$2),#REF!,0),MATCH(Y$1,_group_[#Headers],0)),"-")</f>
        <v>-</v>
      </c>
      <c r="Z655" s="1" t="str">
        <f>IFERROR(INDEX(_group_[],MATCH(CONCATENATE(ВСЕ_КОДЫ[[#This Row],[CONTEST_CODE]],"_",Z$2),#REF!,0),MATCH(Z$1,_group_[#Headers],0)),"-")</f>
        <v>-</v>
      </c>
      <c r="AA655" s="1" t="str">
        <f>IFERROR(INDEX(_group_[],MATCH(CONCATENATE(ВСЕ_КОДЫ[[#This Row],[CONTEST_CODE]],"_",AA$2),#REF!,0),MATCH(AA$1,_group_[#Headers],0)),"-")</f>
        <v>-</v>
      </c>
      <c r="AB655" s="1" t="str">
        <f>IFERROR(INDEX(_DATA_[],MATCH(ВСЕ_КОДЫ[[#This Row],[CONTEST_CODE]],_DATA_[CONTEST_CODE],0),MATCH($AB$2,_DATA_[#Headers],0)),"-")</f>
        <v>["""KMKKSB"""]</v>
      </c>
      <c r="AC655" t="str">
        <f>CONCATENATE(ВСЕ_КОДЫ[[#This Row],[CONTEST_CODE]],"_",ВСЕ_КОДЫ[[#This Row],[TOURNAMENT_CODE]])</f>
        <v>01_2025-1_02-3_1t_t_01_2025-1_02-3_1t_3021</v>
      </c>
      <c r="AD655" t="str">
        <f>ВСЕ_КОДЫ[[#This Row],[FULL_NAME]]</f>
        <v>Интернализация</v>
      </c>
    </row>
    <row r="656" spans="1:30" hidden="1" x14ac:dyDescent="0.25">
      <c r="A656" s="1" t="s">
        <v>4081</v>
      </c>
      <c r="B656" s="1" t="s">
        <v>4097</v>
      </c>
      <c r="C656" s="1" t="s">
        <v>4084</v>
      </c>
      <c r="D656" s="1" t="s">
        <v>583</v>
      </c>
      <c r="E656" s="1" t="s">
        <v>2158</v>
      </c>
      <c r="F656" s="1" t="s">
        <v>2508</v>
      </c>
      <c r="G656" s="1" t="s">
        <v>27</v>
      </c>
      <c r="H656" s="1" t="s">
        <v>34</v>
      </c>
      <c r="I656" s="1" t="s">
        <v>50</v>
      </c>
      <c r="J656" s="1" t="s">
        <v>3219</v>
      </c>
      <c r="K656" s="1" t="s">
        <v>2534</v>
      </c>
      <c r="L656" s="1" t="s">
        <v>4112</v>
      </c>
      <c r="M656" s="1" t="s">
        <v>176</v>
      </c>
      <c r="N656" s="1" t="s">
        <v>305</v>
      </c>
      <c r="O656" s="1" t="s">
        <v>543</v>
      </c>
      <c r="Q656">
        <f>IFERROR(COUNTIFS(_report[TOURNAMENT_CODE],ВСЕ_КОДЫ[[#This Row],[TOURNAMENT_CODE]],_report[CONTEST_CODE],ВСЕ_КОДЫ[[#This Row],[CONTEST_CODE]]),"-")</f>
        <v>0</v>
      </c>
      <c r="R656" s="1" t="str">
        <f>IFERROR(INDEX(_SCHEDULE_[],MATCH(ВСЕ_КОДЫ[[#This Row],[CONTEST_CODE]],_SCHEDULE_[CONTEST_CODE],0),MATCH($R$1,_SCHEDULE_[#Headers],0)),"-")</f>
        <v>ЗАВЕРШЕН</v>
      </c>
      <c r="S656" s="1" t="str">
        <f>IFERROR(INDEX(_group_[],MATCH(ВСЕ_КОДЫ[[#This Row],[CONTEST_CODE]],_group_[CONTEST_CODE],0),MATCH($S$1,_group_[#Headers],0)),"-")</f>
        <v>BANK</v>
      </c>
      <c r="T656" s="1" t="str">
        <f>IFERROR(INDEX(_INDICATOR_[],MATCH(ВСЕ_КОДЫ[[#This Row],[CONTEST_CODE]],_INDICATOR_[CONTEST_CODE],0),MATCH($T$1,_INDICATOR_[#Headers],0)),"-")</f>
        <v>PPO_ALL</v>
      </c>
      <c r="U656" s="1" t="str">
        <f>IFERROR(INDEX(_reward_link_[],MATCH(ВСЕ_КОДЫ[[#This Row],[CONTEST_CODE]],_reward_link_[CONTEST_CODE],0),MATCH($U$1,_reward_link_[#Headers],0)),"-")</f>
        <v>GOSB</v>
      </c>
      <c r="V656" s="1" t="str">
        <f>IFERROR(INDEX(_report[],MATCH(ВСЕ_КОДЫ[[#This Row],[CONTEST_CODE]],_report[CONTEST_CODE],0),MATCH($V$1,_report[#Headers],0)),"-")</f>
        <v>-</v>
      </c>
      <c r="W656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56" s="1" t="str">
        <f>IFERROR(INDEX(_group_[],MATCH(CONCATENATE(ВСЕ_КОДЫ[[#This Row],[CONTEST_CODE]],"_",X$2),#REF!,0),MATCH(X$1,_group_[#Headers],0)),"-")</f>
        <v>-</v>
      </c>
      <c r="Y656" s="1" t="str">
        <f>IFERROR(INDEX(_group_[],MATCH(CONCATENATE(ВСЕ_КОДЫ[[#This Row],[CONTEST_CODE]],"_",Y$2),#REF!,0),MATCH(Y$1,_group_[#Headers],0)),"-")</f>
        <v>-</v>
      </c>
      <c r="Z656" s="1" t="str">
        <f>IFERROR(INDEX(_group_[],MATCH(CONCATENATE(ВСЕ_КОДЫ[[#This Row],[CONTEST_CODE]],"_",Z$2),#REF!,0),MATCH(Z$1,_group_[#Headers],0)),"-")</f>
        <v>-</v>
      </c>
      <c r="AA656" s="1" t="str">
        <f>IFERROR(INDEX(_group_[],MATCH(CONCATENATE(ВСЕ_КОДЫ[[#This Row],[CONTEST_CODE]],"_",AA$2),#REF!,0),MATCH(AA$1,_group_[#Headers],0)),"-")</f>
        <v>-</v>
      </c>
      <c r="AB656" s="1" t="str">
        <f>IFERROR(INDEX(_DATA_[],MATCH(ВСЕ_КОДЫ[[#This Row],[CONTEST_CODE]],_DATA_[CONTEST_CODE],0),MATCH($AB$2,_DATA_[#Headers],0)),"-")</f>
        <v>["""KMKKSB"""]</v>
      </c>
      <c r="AC656" t="str">
        <f>CONCATENATE(ВСЕ_КОДЫ[[#This Row],[CONTEST_CODE]],"_",ВСЕ_КОДЫ[[#This Row],[TOURNAMENT_CODE]])</f>
        <v>01_2025-1_02-3_1t_t_01_2025-1_02-3_1t_3031</v>
      </c>
      <c r="AD656" t="str">
        <f>ВСЕ_КОДЫ[[#This Row],[FULL_NAME]]</f>
        <v>Интернализация</v>
      </c>
    </row>
    <row r="657" spans="1:30" hidden="1" x14ac:dyDescent="0.25">
      <c r="A657" s="1" t="s">
        <v>4081</v>
      </c>
      <c r="B657" s="1" t="s">
        <v>4097</v>
      </c>
      <c r="C657" s="1" t="s">
        <v>4084</v>
      </c>
      <c r="D657" s="1" t="s">
        <v>583</v>
      </c>
      <c r="E657" s="1" t="s">
        <v>2158</v>
      </c>
      <c r="F657" s="1" t="s">
        <v>2508</v>
      </c>
      <c r="G657" s="1" t="s">
        <v>27</v>
      </c>
      <c r="H657" s="1" t="s">
        <v>34</v>
      </c>
      <c r="I657" s="1" t="s">
        <v>50</v>
      </c>
      <c r="J657" s="1" t="s">
        <v>3219</v>
      </c>
      <c r="K657" s="1" t="s">
        <v>2534</v>
      </c>
      <c r="L657" s="1" t="s">
        <v>4112</v>
      </c>
      <c r="M657" s="1" t="s">
        <v>176</v>
      </c>
      <c r="N657" s="1" t="s">
        <v>305</v>
      </c>
      <c r="O657" s="1" t="s">
        <v>543</v>
      </c>
      <c r="Q657">
        <f>IFERROR(COUNTIFS(_report[TOURNAMENT_CODE],ВСЕ_КОДЫ[[#This Row],[TOURNAMENT_CODE]],_report[CONTEST_CODE],ВСЕ_КОДЫ[[#This Row],[CONTEST_CODE]]),"-")</f>
        <v>0</v>
      </c>
      <c r="R657" s="1" t="str">
        <f>IFERROR(INDEX(_SCHEDULE_[],MATCH(ВСЕ_КОДЫ[[#This Row],[CONTEST_CODE]],_SCHEDULE_[CONTEST_CODE],0),MATCH($R$1,_SCHEDULE_[#Headers],0)),"-")</f>
        <v>ЗАВЕРШЕН</v>
      </c>
      <c r="S657" s="1" t="str">
        <f>IFERROR(INDEX(_group_[],MATCH(ВСЕ_КОДЫ[[#This Row],[CONTEST_CODE]],_group_[CONTEST_CODE],0),MATCH($S$1,_group_[#Headers],0)),"-")</f>
        <v>BANK</v>
      </c>
      <c r="T657" s="1" t="str">
        <f>IFERROR(INDEX(_INDICATOR_[],MATCH(ВСЕ_КОДЫ[[#This Row],[CONTEST_CODE]],_INDICATOR_[CONTEST_CODE],0),MATCH($T$1,_INDICATOR_[#Headers],0)),"-")</f>
        <v>PPO_ALL</v>
      </c>
      <c r="U657" s="1" t="str">
        <f>IFERROR(INDEX(_reward_link_[],MATCH(ВСЕ_КОДЫ[[#This Row],[CONTEST_CODE]],_reward_link_[CONTEST_CODE],0),MATCH($U$1,_reward_link_[#Headers],0)),"-")</f>
        <v>GOSB</v>
      </c>
      <c r="V657" s="1" t="str">
        <f>IFERROR(INDEX(_report[],MATCH(ВСЕ_КОДЫ[[#This Row],[CONTEST_CODE]],_report[CONTEST_CODE],0),MATCH($V$1,_report[#Headers],0)),"-")</f>
        <v>-</v>
      </c>
      <c r="W657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57" s="1" t="str">
        <f>IFERROR(INDEX(_group_[],MATCH(CONCATENATE(ВСЕ_КОДЫ[[#This Row],[CONTEST_CODE]],"_",X$2),#REF!,0),MATCH(X$1,_group_[#Headers],0)),"-")</f>
        <v>-</v>
      </c>
      <c r="Y657" s="1" t="str">
        <f>IFERROR(INDEX(_group_[],MATCH(CONCATENATE(ВСЕ_КОДЫ[[#This Row],[CONTEST_CODE]],"_",Y$2),#REF!,0),MATCH(Y$1,_group_[#Headers],0)),"-")</f>
        <v>-</v>
      </c>
      <c r="Z657" s="1" t="str">
        <f>IFERROR(INDEX(_group_[],MATCH(CONCATENATE(ВСЕ_КОДЫ[[#This Row],[CONTEST_CODE]],"_",Z$2),#REF!,0),MATCH(Z$1,_group_[#Headers],0)),"-")</f>
        <v>-</v>
      </c>
      <c r="AA657" s="1" t="str">
        <f>IFERROR(INDEX(_group_[],MATCH(CONCATENATE(ВСЕ_КОДЫ[[#This Row],[CONTEST_CODE]],"_",AA$2),#REF!,0),MATCH(AA$1,_group_[#Headers],0)),"-")</f>
        <v>-</v>
      </c>
      <c r="AB657" s="1" t="str">
        <f>IFERROR(INDEX(_DATA_[],MATCH(ВСЕ_КОДЫ[[#This Row],[CONTEST_CODE]],_DATA_[CONTEST_CODE],0),MATCH($AB$2,_DATA_[#Headers],0)),"-")</f>
        <v>["""KMKKSB"""]</v>
      </c>
      <c r="AC657" t="str">
        <f>CONCATENATE(ВСЕ_КОДЫ[[#This Row],[CONTEST_CODE]],"_",ВСЕ_КОДЫ[[#This Row],[TOURNAMENT_CODE]])</f>
        <v>01_2025-1_02-3_1t_t_01_2025-1_02-3_1t_3031</v>
      </c>
      <c r="AD657" t="str">
        <f>ВСЕ_КОДЫ[[#This Row],[FULL_NAME]]</f>
        <v>Интернализация</v>
      </c>
    </row>
    <row r="658" spans="1:30" hidden="1" x14ac:dyDescent="0.25">
      <c r="A658" s="1" t="s">
        <v>4081</v>
      </c>
      <c r="B658" s="1" t="s">
        <v>4097</v>
      </c>
      <c r="C658" s="1" t="s">
        <v>4084</v>
      </c>
      <c r="D658" s="1" t="s">
        <v>583</v>
      </c>
      <c r="E658" s="1" t="s">
        <v>2158</v>
      </c>
      <c r="F658" s="1" t="s">
        <v>2508</v>
      </c>
      <c r="G658" s="1" t="s">
        <v>27</v>
      </c>
      <c r="H658" s="1" t="s">
        <v>34</v>
      </c>
      <c r="I658" s="1" t="s">
        <v>50</v>
      </c>
      <c r="J658" s="1" t="s">
        <v>3219</v>
      </c>
      <c r="K658" s="1" t="s">
        <v>2534</v>
      </c>
      <c r="L658" s="1" t="s">
        <v>4112</v>
      </c>
      <c r="M658" s="1" t="s">
        <v>176</v>
      </c>
      <c r="N658" s="1" t="s">
        <v>305</v>
      </c>
      <c r="O658" s="1" t="s">
        <v>543</v>
      </c>
      <c r="Q658">
        <f>IFERROR(COUNTIFS(_report[TOURNAMENT_CODE],ВСЕ_КОДЫ[[#This Row],[TOURNAMENT_CODE]],_report[CONTEST_CODE],ВСЕ_КОДЫ[[#This Row],[CONTEST_CODE]]),"-")</f>
        <v>0</v>
      </c>
      <c r="R658" s="1" t="str">
        <f>IFERROR(INDEX(_SCHEDULE_[],MATCH(ВСЕ_КОДЫ[[#This Row],[CONTEST_CODE]],_SCHEDULE_[CONTEST_CODE],0),MATCH($R$1,_SCHEDULE_[#Headers],0)),"-")</f>
        <v>ЗАВЕРШЕН</v>
      </c>
      <c r="S658" s="1" t="str">
        <f>IFERROR(INDEX(_group_[],MATCH(ВСЕ_КОДЫ[[#This Row],[CONTEST_CODE]],_group_[CONTEST_CODE],0),MATCH($S$1,_group_[#Headers],0)),"-")</f>
        <v>BANK</v>
      </c>
      <c r="T658" s="1" t="str">
        <f>IFERROR(INDEX(_INDICATOR_[],MATCH(ВСЕ_КОДЫ[[#This Row],[CONTEST_CODE]],_INDICATOR_[CONTEST_CODE],0),MATCH($T$1,_INDICATOR_[#Headers],0)),"-")</f>
        <v>PPO_ALL</v>
      </c>
      <c r="U658" s="1" t="str">
        <f>IFERROR(INDEX(_reward_link_[],MATCH(ВСЕ_КОДЫ[[#This Row],[CONTEST_CODE]],_reward_link_[CONTEST_CODE],0),MATCH($U$1,_reward_link_[#Headers],0)),"-")</f>
        <v>GOSB</v>
      </c>
      <c r="V658" s="1" t="str">
        <f>IFERROR(INDEX(_report[],MATCH(ВСЕ_КОДЫ[[#This Row],[CONTEST_CODE]],_report[CONTEST_CODE],0),MATCH($V$1,_report[#Headers],0)),"-")</f>
        <v>-</v>
      </c>
      <c r="W658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58" s="1" t="str">
        <f>IFERROR(INDEX(_group_[],MATCH(CONCATENATE(ВСЕ_КОДЫ[[#This Row],[CONTEST_CODE]],"_",X$2),#REF!,0),MATCH(X$1,_group_[#Headers],0)),"-")</f>
        <v>-</v>
      </c>
      <c r="Y658" s="1" t="str">
        <f>IFERROR(INDEX(_group_[],MATCH(CONCATENATE(ВСЕ_КОДЫ[[#This Row],[CONTEST_CODE]],"_",Y$2),#REF!,0),MATCH(Y$1,_group_[#Headers],0)),"-")</f>
        <v>-</v>
      </c>
      <c r="Z658" s="1" t="str">
        <f>IFERROR(INDEX(_group_[],MATCH(CONCATENATE(ВСЕ_КОДЫ[[#This Row],[CONTEST_CODE]],"_",Z$2),#REF!,0),MATCH(Z$1,_group_[#Headers],0)),"-")</f>
        <v>-</v>
      </c>
      <c r="AA658" s="1" t="str">
        <f>IFERROR(INDEX(_group_[],MATCH(CONCATENATE(ВСЕ_КОДЫ[[#This Row],[CONTEST_CODE]],"_",AA$2),#REF!,0),MATCH(AA$1,_group_[#Headers],0)),"-")</f>
        <v>-</v>
      </c>
      <c r="AB658" s="1" t="str">
        <f>IFERROR(INDEX(_DATA_[],MATCH(ВСЕ_КОДЫ[[#This Row],[CONTEST_CODE]],_DATA_[CONTEST_CODE],0),MATCH($AB$2,_DATA_[#Headers],0)),"-")</f>
        <v>["""KMKKSB"""]</v>
      </c>
      <c r="AC658" t="str">
        <f>CONCATENATE(ВСЕ_КОДЫ[[#This Row],[CONTEST_CODE]],"_",ВСЕ_КОДЫ[[#This Row],[TOURNAMENT_CODE]])</f>
        <v>01_2025-1_02-3_1t_t_01_2025-1_02-3_1t_3031</v>
      </c>
      <c r="AD658" t="str">
        <f>ВСЕ_КОДЫ[[#This Row],[FULL_NAME]]</f>
        <v>Интернализация</v>
      </c>
    </row>
    <row r="659" spans="1:30" hidden="1" x14ac:dyDescent="0.25">
      <c r="A659" s="1" t="s">
        <v>4081</v>
      </c>
      <c r="B659" s="1" t="s">
        <v>4097</v>
      </c>
      <c r="C659" s="1" t="s">
        <v>4084</v>
      </c>
      <c r="D659" s="1" t="s">
        <v>583</v>
      </c>
      <c r="E659" s="1" t="s">
        <v>2158</v>
      </c>
      <c r="F659" s="1" t="s">
        <v>2508</v>
      </c>
      <c r="G659" s="1" t="s">
        <v>27</v>
      </c>
      <c r="H659" s="1" t="s">
        <v>34</v>
      </c>
      <c r="I659" s="1" t="s">
        <v>50</v>
      </c>
      <c r="J659" s="1" t="s">
        <v>3219</v>
      </c>
      <c r="K659" s="1" t="s">
        <v>2534</v>
      </c>
      <c r="L659" s="1" t="s">
        <v>4112</v>
      </c>
      <c r="M659" s="1" t="s">
        <v>176</v>
      </c>
      <c r="N659" s="1" t="s">
        <v>305</v>
      </c>
      <c r="O659" s="1" t="s">
        <v>543</v>
      </c>
      <c r="Q659">
        <f>IFERROR(COUNTIFS(_report[TOURNAMENT_CODE],ВСЕ_КОДЫ[[#This Row],[TOURNAMENT_CODE]],_report[CONTEST_CODE],ВСЕ_КОДЫ[[#This Row],[CONTEST_CODE]]),"-")</f>
        <v>0</v>
      </c>
      <c r="R659" s="1" t="str">
        <f>IFERROR(INDEX(_SCHEDULE_[],MATCH(ВСЕ_КОДЫ[[#This Row],[CONTEST_CODE]],_SCHEDULE_[CONTEST_CODE],0),MATCH($R$1,_SCHEDULE_[#Headers],0)),"-")</f>
        <v>ЗАВЕРШЕН</v>
      </c>
      <c r="S659" s="1" t="str">
        <f>IFERROR(INDEX(_group_[],MATCH(ВСЕ_КОДЫ[[#This Row],[CONTEST_CODE]],_group_[CONTEST_CODE],0),MATCH($S$1,_group_[#Headers],0)),"-")</f>
        <v>BANK</v>
      </c>
      <c r="T659" s="1" t="str">
        <f>IFERROR(INDEX(_INDICATOR_[],MATCH(ВСЕ_КОДЫ[[#This Row],[CONTEST_CODE]],_INDICATOR_[CONTEST_CODE],0),MATCH($T$1,_INDICATOR_[#Headers],0)),"-")</f>
        <v>PPO_ALL</v>
      </c>
      <c r="U659" s="1" t="str">
        <f>IFERROR(INDEX(_reward_link_[],MATCH(ВСЕ_КОДЫ[[#This Row],[CONTEST_CODE]],_reward_link_[CONTEST_CODE],0),MATCH($U$1,_reward_link_[#Headers],0)),"-")</f>
        <v>GOSB</v>
      </c>
      <c r="V659" s="1" t="str">
        <f>IFERROR(INDEX(_report[],MATCH(ВСЕ_КОДЫ[[#This Row],[CONTEST_CODE]],_report[CONTEST_CODE],0),MATCH($V$1,_report[#Headers],0)),"-")</f>
        <v>-</v>
      </c>
      <c r="W659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59" s="1" t="str">
        <f>IFERROR(INDEX(_group_[],MATCH(CONCATENATE(ВСЕ_КОДЫ[[#This Row],[CONTEST_CODE]],"_",X$2),#REF!,0),MATCH(X$1,_group_[#Headers],0)),"-")</f>
        <v>-</v>
      </c>
      <c r="Y659" s="1" t="str">
        <f>IFERROR(INDEX(_group_[],MATCH(CONCATENATE(ВСЕ_КОДЫ[[#This Row],[CONTEST_CODE]],"_",Y$2),#REF!,0),MATCH(Y$1,_group_[#Headers],0)),"-")</f>
        <v>-</v>
      </c>
      <c r="Z659" s="1" t="str">
        <f>IFERROR(INDEX(_group_[],MATCH(CONCATENATE(ВСЕ_КОДЫ[[#This Row],[CONTEST_CODE]],"_",Z$2),#REF!,0),MATCH(Z$1,_group_[#Headers],0)),"-")</f>
        <v>-</v>
      </c>
      <c r="AA659" s="1" t="str">
        <f>IFERROR(INDEX(_group_[],MATCH(CONCATENATE(ВСЕ_КОДЫ[[#This Row],[CONTEST_CODE]],"_",AA$2),#REF!,0),MATCH(AA$1,_group_[#Headers],0)),"-")</f>
        <v>-</v>
      </c>
      <c r="AB659" s="1" t="str">
        <f>IFERROR(INDEX(_DATA_[],MATCH(ВСЕ_КОДЫ[[#This Row],[CONTEST_CODE]],_DATA_[CONTEST_CODE],0),MATCH($AB$2,_DATA_[#Headers],0)),"-")</f>
        <v>["""KMKKSB"""]</v>
      </c>
      <c r="AC659" t="str">
        <f>CONCATENATE(ВСЕ_КОДЫ[[#This Row],[CONTEST_CODE]],"_",ВСЕ_КОДЫ[[#This Row],[TOURNAMENT_CODE]])</f>
        <v>01_2025-1_02-3_1t_t_01_2025-1_02-3_1t_3031</v>
      </c>
      <c r="AD659" t="str">
        <f>ВСЕ_КОДЫ[[#This Row],[FULL_NAME]]</f>
        <v>Интернализация</v>
      </c>
    </row>
    <row r="660" spans="1:30" hidden="1" x14ac:dyDescent="0.25">
      <c r="A660" s="1" t="s">
        <v>4081</v>
      </c>
      <c r="B660" s="1" t="s">
        <v>4097</v>
      </c>
      <c r="C660" s="1" t="s">
        <v>4079</v>
      </c>
      <c r="D660" s="1" t="s">
        <v>584</v>
      </c>
      <c r="E660" s="1" t="s">
        <v>2158</v>
      </c>
      <c r="F660" s="1" t="s">
        <v>2508</v>
      </c>
      <c r="G660" s="1" t="s">
        <v>27</v>
      </c>
      <c r="H660" s="1" t="s">
        <v>34</v>
      </c>
      <c r="I660" s="1" t="s">
        <v>50</v>
      </c>
      <c r="J660" s="1" t="s">
        <v>3219</v>
      </c>
      <c r="K660" s="1" t="s">
        <v>2534</v>
      </c>
      <c r="L660" s="1" t="s">
        <v>4112</v>
      </c>
      <c r="M660" s="1" t="s">
        <v>176</v>
      </c>
      <c r="N660" s="1" t="s">
        <v>305</v>
      </c>
      <c r="O660" s="1" t="s">
        <v>536</v>
      </c>
      <c r="Q660">
        <f>IFERROR(COUNTIFS(_report[TOURNAMENT_CODE],ВСЕ_КОДЫ[[#This Row],[TOURNAMENT_CODE]],_report[CONTEST_CODE],ВСЕ_КОДЫ[[#This Row],[CONTEST_CODE]]),"-")</f>
        <v>0</v>
      </c>
      <c r="R660" s="1" t="str">
        <f>IFERROR(INDEX(_SCHEDULE_[],MATCH(ВСЕ_КОДЫ[[#This Row],[CONTEST_CODE]],_SCHEDULE_[CONTEST_CODE],0),MATCH($R$1,_SCHEDULE_[#Headers],0)),"-")</f>
        <v>ЗАВЕРШЕН</v>
      </c>
      <c r="S660" s="1" t="str">
        <f>IFERROR(INDEX(_group_[],MATCH(ВСЕ_КОДЫ[[#This Row],[CONTEST_CODE]],_group_[CONTEST_CODE],0),MATCH($S$1,_group_[#Headers],0)),"-")</f>
        <v>BANK</v>
      </c>
      <c r="T660" s="1" t="str">
        <f>IFERROR(INDEX(_INDICATOR_[],MATCH(ВСЕ_КОДЫ[[#This Row],[CONTEST_CODE]],_INDICATOR_[CONTEST_CODE],0),MATCH($T$1,_INDICATOR_[#Headers],0)),"-")</f>
        <v>PPO_ALL</v>
      </c>
      <c r="U660" s="1" t="str">
        <f>IFERROR(INDEX(_reward_link_[],MATCH(ВСЕ_КОДЫ[[#This Row],[CONTEST_CODE]],_reward_link_[CONTEST_CODE],0),MATCH($U$1,_reward_link_[#Headers],0)),"-")</f>
        <v>GOSB</v>
      </c>
      <c r="V660" s="1" t="str">
        <f>IFERROR(INDEX(_report[],MATCH(ВСЕ_КОДЫ[[#This Row],[CONTEST_CODE]],_report[CONTEST_CODE],0),MATCH($V$1,_report[#Headers],0)),"-")</f>
        <v>-</v>
      </c>
      <c r="W660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60" s="1" t="str">
        <f>IFERROR(INDEX(_group_[],MATCH(CONCATENATE(ВСЕ_КОДЫ[[#This Row],[CONTEST_CODE]],"_",X$2),#REF!,0),MATCH(X$1,_group_[#Headers],0)),"-")</f>
        <v>-</v>
      </c>
      <c r="Y660" s="1" t="str">
        <f>IFERROR(INDEX(_group_[],MATCH(CONCATENATE(ВСЕ_КОДЫ[[#This Row],[CONTEST_CODE]],"_",Y$2),#REF!,0),MATCH(Y$1,_group_[#Headers],0)),"-")</f>
        <v>-</v>
      </c>
      <c r="Z660" s="1" t="str">
        <f>IFERROR(INDEX(_group_[],MATCH(CONCATENATE(ВСЕ_КОДЫ[[#This Row],[CONTEST_CODE]],"_",Z$2),#REF!,0),MATCH(Z$1,_group_[#Headers],0)),"-")</f>
        <v>-</v>
      </c>
      <c r="AA660" s="1" t="str">
        <f>IFERROR(INDEX(_group_[],MATCH(CONCATENATE(ВСЕ_КОДЫ[[#This Row],[CONTEST_CODE]],"_",AA$2),#REF!,0),MATCH(AA$1,_group_[#Headers],0)),"-")</f>
        <v>-</v>
      </c>
      <c r="AB660" s="1" t="str">
        <f>IFERROR(INDEX(_DATA_[],MATCH(ВСЕ_КОДЫ[[#This Row],[CONTEST_CODE]],_DATA_[CONTEST_CODE],0),MATCH($AB$2,_DATA_[#Headers],0)),"-")</f>
        <v>["""KMKKSB"""]</v>
      </c>
      <c r="AC660" t="str">
        <f>CONCATENATE(ВСЕ_КОДЫ[[#This Row],[CONTEST_CODE]],"_",ВСЕ_КОДЫ[[#This Row],[TOURNAMENT_CODE]])</f>
        <v>01_2025-1_02-3_1t_t_01_2025-1_02-3_1t_3031</v>
      </c>
      <c r="AD660" t="str">
        <f>ВСЕ_КОДЫ[[#This Row],[FULL_NAME]]</f>
        <v>Интернализация</v>
      </c>
    </row>
    <row r="661" spans="1:30" hidden="1" x14ac:dyDescent="0.25">
      <c r="A661" s="1" t="s">
        <v>4081</v>
      </c>
      <c r="B661" s="1" t="s">
        <v>4097</v>
      </c>
      <c r="C661" s="1" t="s">
        <v>4079</v>
      </c>
      <c r="D661" s="1" t="s">
        <v>584</v>
      </c>
      <c r="E661" s="1" t="s">
        <v>2158</v>
      </c>
      <c r="F661" s="1" t="s">
        <v>2508</v>
      </c>
      <c r="G661" s="1" t="s">
        <v>27</v>
      </c>
      <c r="H661" s="1" t="s">
        <v>34</v>
      </c>
      <c r="I661" s="1" t="s">
        <v>50</v>
      </c>
      <c r="J661" s="1" t="s">
        <v>3219</v>
      </c>
      <c r="K661" s="1" t="s">
        <v>2534</v>
      </c>
      <c r="L661" s="1" t="s">
        <v>4112</v>
      </c>
      <c r="M661" s="1" t="s">
        <v>176</v>
      </c>
      <c r="N661" s="1" t="s">
        <v>305</v>
      </c>
      <c r="O661" s="1" t="s">
        <v>536</v>
      </c>
      <c r="Q661">
        <f>IFERROR(COUNTIFS(_report[TOURNAMENT_CODE],ВСЕ_КОДЫ[[#This Row],[TOURNAMENT_CODE]],_report[CONTEST_CODE],ВСЕ_КОДЫ[[#This Row],[CONTEST_CODE]]),"-")</f>
        <v>0</v>
      </c>
      <c r="R661" s="1" t="str">
        <f>IFERROR(INDEX(_SCHEDULE_[],MATCH(ВСЕ_КОДЫ[[#This Row],[CONTEST_CODE]],_SCHEDULE_[CONTEST_CODE],0),MATCH($R$1,_SCHEDULE_[#Headers],0)),"-")</f>
        <v>ЗАВЕРШЕН</v>
      </c>
      <c r="S661" s="1" t="str">
        <f>IFERROR(INDEX(_group_[],MATCH(ВСЕ_КОДЫ[[#This Row],[CONTEST_CODE]],_group_[CONTEST_CODE],0),MATCH($S$1,_group_[#Headers],0)),"-")</f>
        <v>BANK</v>
      </c>
      <c r="T661" s="1" t="str">
        <f>IFERROR(INDEX(_INDICATOR_[],MATCH(ВСЕ_КОДЫ[[#This Row],[CONTEST_CODE]],_INDICATOR_[CONTEST_CODE],0),MATCH($T$1,_INDICATOR_[#Headers],0)),"-")</f>
        <v>PPO_ALL</v>
      </c>
      <c r="U661" s="1" t="str">
        <f>IFERROR(INDEX(_reward_link_[],MATCH(ВСЕ_КОДЫ[[#This Row],[CONTEST_CODE]],_reward_link_[CONTEST_CODE],0),MATCH($U$1,_reward_link_[#Headers],0)),"-")</f>
        <v>GOSB</v>
      </c>
      <c r="V661" s="1" t="str">
        <f>IFERROR(INDEX(_report[],MATCH(ВСЕ_КОДЫ[[#This Row],[CONTEST_CODE]],_report[CONTEST_CODE],0),MATCH($V$1,_report[#Headers],0)),"-")</f>
        <v>-</v>
      </c>
      <c r="W661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61" s="1" t="str">
        <f>IFERROR(INDEX(_group_[],MATCH(CONCATENATE(ВСЕ_КОДЫ[[#This Row],[CONTEST_CODE]],"_",X$2),#REF!,0),MATCH(X$1,_group_[#Headers],0)),"-")</f>
        <v>-</v>
      </c>
      <c r="Y661" s="1" t="str">
        <f>IFERROR(INDEX(_group_[],MATCH(CONCATENATE(ВСЕ_КОДЫ[[#This Row],[CONTEST_CODE]],"_",Y$2),#REF!,0),MATCH(Y$1,_group_[#Headers],0)),"-")</f>
        <v>-</v>
      </c>
      <c r="Z661" s="1" t="str">
        <f>IFERROR(INDEX(_group_[],MATCH(CONCATENATE(ВСЕ_КОДЫ[[#This Row],[CONTEST_CODE]],"_",Z$2),#REF!,0),MATCH(Z$1,_group_[#Headers],0)),"-")</f>
        <v>-</v>
      </c>
      <c r="AA661" s="1" t="str">
        <f>IFERROR(INDEX(_group_[],MATCH(CONCATENATE(ВСЕ_КОДЫ[[#This Row],[CONTEST_CODE]],"_",AA$2),#REF!,0),MATCH(AA$1,_group_[#Headers],0)),"-")</f>
        <v>-</v>
      </c>
      <c r="AB661" s="1" t="str">
        <f>IFERROR(INDEX(_DATA_[],MATCH(ВСЕ_КОДЫ[[#This Row],[CONTEST_CODE]],_DATA_[CONTEST_CODE],0),MATCH($AB$2,_DATA_[#Headers],0)),"-")</f>
        <v>["""KMKKSB"""]</v>
      </c>
      <c r="AC661" t="str">
        <f>CONCATENATE(ВСЕ_КОДЫ[[#This Row],[CONTEST_CODE]],"_",ВСЕ_КОДЫ[[#This Row],[TOURNAMENT_CODE]])</f>
        <v>01_2025-1_02-3_1t_t_01_2025-1_02-3_1t_3031</v>
      </c>
      <c r="AD661" t="str">
        <f>ВСЕ_КОДЫ[[#This Row],[FULL_NAME]]</f>
        <v>Интернализация</v>
      </c>
    </row>
    <row r="662" spans="1:30" hidden="1" x14ac:dyDescent="0.25">
      <c r="A662" s="1" t="s">
        <v>4081</v>
      </c>
      <c r="B662" s="1" t="s">
        <v>4097</v>
      </c>
      <c r="C662" s="1" t="s">
        <v>4079</v>
      </c>
      <c r="D662" s="1" t="s">
        <v>584</v>
      </c>
      <c r="E662" s="1" t="s">
        <v>2158</v>
      </c>
      <c r="F662" s="1" t="s">
        <v>2508</v>
      </c>
      <c r="G662" s="1" t="s">
        <v>27</v>
      </c>
      <c r="H662" s="1" t="s">
        <v>34</v>
      </c>
      <c r="I662" s="1" t="s">
        <v>50</v>
      </c>
      <c r="J662" s="1" t="s">
        <v>3219</v>
      </c>
      <c r="K662" s="1" t="s">
        <v>2534</v>
      </c>
      <c r="L662" s="1" t="s">
        <v>4112</v>
      </c>
      <c r="M662" s="1" t="s">
        <v>176</v>
      </c>
      <c r="N662" s="1" t="s">
        <v>305</v>
      </c>
      <c r="O662" s="1" t="s">
        <v>536</v>
      </c>
      <c r="Q662">
        <f>IFERROR(COUNTIFS(_report[TOURNAMENT_CODE],ВСЕ_КОДЫ[[#This Row],[TOURNAMENT_CODE]],_report[CONTEST_CODE],ВСЕ_КОДЫ[[#This Row],[CONTEST_CODE]]),"-")</f>
        <v>0</v>
      </c>
      <c r="R662" s="1" t="str">
        <f>IFERROR(INDEX(_SCHEDULE_[],MATCH(ВСЕ_КОДЫ[[#This Row],[CONTEST_CODE]],_SCHEDULE_[CONTEST_CODE],0),MATCH($R$1,_SCHEDULE_[#Headers],0)),"-")</f>
        <v>ЗАВЕРШЕН</v>
      </c>
      <c r="S662" s="1" t="str">
        <f>IFERROR(INDEX(_group_[],MATCH(ВСЕ_КОДЫ[[#This Row],[CONTEST_CODE]],_group_[CONTEST_CODE],0),MATCH($S$1,_group_[#Headers],0)),"-")</f>
        <v>BANK</v>
      </c>
      <c r="T662" s="1" t="str">
        <f>IFERROR(INDEX(_INDICATOR_[],MATCH(ВСЕ_КОДЫ[[#This Row],[CONTEST_CODE]],_INDICATOR_[CONTEST_CODE],0),MATCH($T$1,_INDICATOR_[#Headers],0)),"-")</f>
        <v>PPO_ALL</v>
      </c>
      <c r="U662" s="1" t="str">
        <f>IFERROR(INDEX(_reward_link_[],MATCH(ВСЕ_КОДЫ[[#This Row],[CONTEST_CODE]],_reward_link_[CONTEST_CODE],0),MATCH($U$1,_reward_link_[#Headers],0)),"-")</f>
        <v>GOSB</v>
      </c>
      <c r="V662" s="1" t="str">
        <f>IFERROR(INDEX(_report[],MATCH(ВСЕ_КОДЫ[[#This Row],[CONTEST_CODE]],_report[CONTEST_CODE],0),MATCH($V$1,_report[#Headers],0)),"-")</f>
        <v>-</v>
      </c>
      <c r="W662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62" s="1" t="str">
        <f>IFERROR(INDEX(_group_[],MATCH(CONCATENATE(ВСЕ_КОДЫ[[#This Row],[CONTEST_CODE]],"_",X$2),#REF!,0),MATCH(X$1,_group_[#Headers],0)),"-")</f>
        <v>-</v>
      </c>
      <c r="Y662" s="1" t="str">
        <f>IFERROR(INDEX(_group_[],MATCH(CONCATENATE(ВСЕ_КОДЫ[[#This Row],[CONTEST_CODE]],"_",Y$2),#REF!,0),MATCH(Y$1,_group_[#Headers],0)),"-")</f>
        <v>-</v>
      </c>
      <c r="Z662" s="1" t="str">
        <f>IFERROR(INDEX(_group_[],MATCH(CONCATENATE(ВСЕ_КОДЫ[[#This Row],[CONTEST_CODE]],"_",Z$2),#REF!,0),MATCH(Z$1,_group_[#Headers],0)),"-")</f>
        <v>-</v>
      </c>
      <c r="AA662" s="1" t="str">
        <f>IFERROR(INDEX(_group_[],MATCH(CONCATENATE(ВСЕ_КОДЫ[[#This Row],[CONTEST_CODE]],"_",AA$2),#REF!,0),MATCH(AA$1,_group_[#Headers],0)),"-")</f>
        <v>-</v>
      </c>
      <c r="AB662" s="1" t="str">
        <f>IFERROR(INDEX(_DATA_[],MATCH(ВСЕ_КОДЫ[[#This Row],[CONTEST_CODE]],_DATA_[CONTEST_CODE],0),MATCH($AB$2,_DATA_[#Headers],0)),"-")</f>
        <v>["""KMKKSB"""]</v>
      </c>
      <c r="AC662" t="str">
        <f>CONCATENATE(ВСЕ_КОДЫ[[#This Row],[CONTEST_CODE]],"_",ВСЕ_КОДЫ[[#This Row],[TOURNAMENT_CODE]])</f>
        <v>01_2025-1_02-3_1t_t_01_2025-1_02-3_1t_3031</v>
      </c>
      <c r="AD662" t="str">
        <f>ВСЕ_КОДЫ[[#This Row],[FULL_NAME]]</f>
        <v>Интернализация</v>
      </c>
    </row>
    <row r="663" spans="1:30" hidden="1" x14ac:dyDescent="0.25">
      <c r="A663" s="1" t="s">
        <v>4081</v>
      </c>
      <c r="B663" s="1" t="s">
        <v>4097</v>
      </c>
      <c r="C663" s="1" t="s">
        <v>4079</v>
      </c>
      <c r="D663" s="1" t="s">
        <v>584</v>
      </c>
      <c r="E663" s="1" t="s">
        <v>2158</v>
      </c>
      <c r="F663" s="1" t="s">
        <v>2508</v>
      </c>
      <c r="G663" s="1" t="s">
        <v>27</v>
      </c>
      <c r="H663" s="1" t="s">
        <v>34</v>
      </c>
      <c r="I663" s="1" t="s">
        <v>50</v>
      </c>
      <c r="J663" s="1" t="s">
        <v>3219</v>
      </c>
      <c r="K663" s="1" t="s">
        <v>2534</v>
      </c>
      <c r="L663" s="1" t="s">
        <v>4112</v>
      </c>
      <c r="M663" s="1" t="s">
        <v>176</v>
      </c>
      <c r="N663" s="1" t="s">
        <v>305</v>
      </c>
      <c r="O663" s="1" t="s">
        <v>536</v>
      </c>
      <c r="Q663">
        <f>IFERROR(COUNTIFS(_report[TOURNAMENT_CODE],ВСЕ_КОДЫ[[#This Row],[TOURNAMENT_CODE]],_report[CONTEST_CODE],ВСЕ_КОДЫ[[#This Row],[CONTEST_CODE]]),"-")</f>
        <v>0</v>
      </c>
      <c r="R663" s="1" t="str">
        <f>IFERROR(INDEX(_SCHEDULE_[],MATCH(ВСЕ_КОДЫ[[#This Row],[CONTEST_CODE]],_SCHEDULE_[CONTEST_CODE],0),MATCH($R$1,_SCHEDULE_[#Headers],0)),"-")</f>
        <v>ЗАВЕРШЕН</v>
      </c>
      <c r="S663" s="1" t="str">
        <f>IFERROR(INDEX(_group_[],MATCH(ВСЕ_КОДЫ[[#This Row],[CONTEST_CODE]],_group_[CONTEST_CODE],0),MATCH($S$1,_group_[#Headers],0)),"-")</f>
        <v>BANK</v>
      </c>
      <c r="T663" s="1" t="str">
        <f>IFERROR(INDEX(_INDICATOR_[],MATCH(ВСЕ_КОДЫ[[#This Row],[CONTEST_CODE]],_INDICATOR_[CONTEST_CODE],0),MATCH($T$1,_INDICATOR_[#Headers],0)),"-")</f>
        <v>PPO_ALL</v>
      </c>
      <c r="U663" s="1" t="str">
        <f>IFERROR(INDEX(_reward_link_[],MATCH(ВСЕ_КОДЫ[[#This Row],[CONTEST_CODE]],_reward_link_[CONTEST_CODE],0),MATCH($U$1,_reward_link_[#Headers],0)),"-")</f>
        <v>GOSB</v>
      </c>
      <c r="V663" s="1" t="str">
        <f>IFERROR(INDEX(_report[],MATCH(ВСЕ_КОДЫ[[#This Row],[CONTEST_CODE]],_report[CONTEST_CODE],0),MATCH($V$1,_report[#Headers],0)),"-")</f>
        <v>-</v>
      </c>
      <c r="W663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63" s="1" t="str">
        <f>IFERROR(INDEX(_group_[],MATCH(CONCATENATE(ВСЕ_КОДЫ[[#This Row],[CONTEST_CODE]],"_",X$2),#REF!,0),MATCH(X$1,_group_[#Headers],0)),"-")</f>
        <v>-</v>
      </c>
      <c r="Y663" s="1" t="str">
        <f>IFERROR(INDEX(_group_[],MATCH(CONCATENATE(ВСЕ_КОДЫ[[#This Row],[CONTEST_CODE]],"_",Y$2),#REF!,0),MATCH(Y$1,_group_[#Headers],0)),"-")</f>
        <v>-</v>
      </c>
      <c r="Z663" s="1" t="str">
        <f>IFERROR(INDEX(_group_[],MATCH(CONCATENATE(ВСЕ_КОДЫ[[#This Row],[CONTEST_CODE]],"_",Z$2),#REF!,0),MATCH(Z$1,_group_[#Headers],0)),"-")</f>
        <v>-</v>
      </c>
      <c r="AA663" s="1" t="str">
        <f>IFERROR(INDEX(_group_[],MATCH(CONCATENATE(ВСЕ_КОДЫ[[#This Row],[CONTEST_CODE]],"_",AA$2),#REF!,0),MATCH(AA$1,_group_[#Headers],0)),"-")</f>
        <v>-</v>
      </c>
      <c r="AB663" s="1" t="str">
        <f>IFERROR(INDEX(_DATA_[],MATCH(ВСЕ_КОДЫ[[#This Row],[CONTEST_CODE]],_DATA_[CONTEST_CODE],0),MATCH($AB$2,_DATA_[#Headers],0)),"-")</f>
        <v>["""KMKKSB"""]</v>
      </c>
      <c r="AC663" t="str">
        <f>CONCATENATE(ВСЕ_КОДЫ[[#This Row],[CONTEST_CODE]],"_",ВСЕ_КОДЫ[[#This Row],[TOURNAMENT_CODE]])</f>
        <v>01_2025-1_02-3_1t_t_01_2025-1_02-3_1t_3031</v>
      </c>
      <c r="AD663" t="str">
        <f>ВСЕ_КОДЫ[[#This Row],[FULL_NAME]]</f>
        <v>Интернализация</v>
      </c>
    </row>
    <row r="664" spans="1:30" hidden="1" x14ac:dyDescent="0.25">
      <c r="A664" s="1" t="s">
        <v>4081</v>
      </c>
      <c r="B664" s="1" t="s">
        <v>4097</v>
      </c>
      <c r="C664" s="1" t="s">
        <v>4082</v>
      </c>
      <c r="D664" s="1" t="s">
        <v>586</v>
      </c>
      <c r="E664" s="1" t="s">
        <v>2158</v>
      </c>
      <c r="F664" s="1" t="s">
        <v>2508</v>
      </c>
      <c r="G664" s="1" t="s">
        <v>27</v>
      </c>
      <c r="H664" s="1" t="s">
        <v>34</v>
      </c>
      <c r="I664" s="1" t="s">
        <v>50</v>
      </c>
      <c r="J664" s="1" t="s">
        <v>3219</v>
      </c>
      <c r="K664" s="1" t="s">
        <v>2534</v>
      </c>
      <c r="L664" s="1" t="s">
        <v>4112</v>
      </c>
      <c r="M664" s="1" t="s">
        <v>176</v>
      </c>
      <c r="N664" s="1" t="s">
        <v>305</v>
      </c>
      <c r="O664" s="1" t="s">
        <v>541</v>
      </c>
      <c r="Q664">
        <f>IFERROR(COUNTIFS(_report[TOURNAMENT_CODE],ВСЕ_КОДЫ[[#This Row],[TOURNAMENT_CODE]],_report[CONTEST_CODE],ВСЕ_КОДЫ[[#This Row],[CONTEST_CODE]]),"-")</f>
        <v>0</v>
      </c>
      <c r="R664" s="1" t="str">
        <f>IFERROR(INDEX(_SCHEDULE_[],MATCH(ВСЕ_КОДЫ[[#This Row],[CONTEST_CODE]],_SCHEDULE_[CONTEST_CODE],0),MATCH($R$1,_SCHEDULE_[#Headers],0)),"-")</f>
        <v>ЗАВЕРШЕН</v>
      </c>
      <c r="S664" s="1" t="str">
        <f>IFERROR(INDEX(_group_[],MATCH(ВСЕ_КОДЫ[[#This Row],[CONTEST_CODE]],_group_[CONTEST_CODE],0),MATCH($S$1,_group_[#Headers],0)),"-")</f>
        <v>BANK</v>
      </c>
      <c r="T664" s="1" t="str">
        <f>IFERROR(INDEX(_INDICATOR_[],MATCH(ВСЕ_КОДЫ[[#This Row],[CONTEST_CODE]],_INDICATOR_[CONTEST_CODE],0),MATCH($T$1,_INDICATOR_[#Headers],0)),"-")</f>
        <v>PPO_ALL</v>
      </c>
      <c r="U664" s="1" t="str">
        <f>IFERROR(INDEX(_reward_link_[],MATCH(ВСЕ_КОДЫ[[#This Row],[CONTEST_CODE]],_reward_link_[CONTEST_CODE],0),MATCH($U$1,_reward_link_[#Headers],0)),"-")</f>
        <v>GOSB</v>
      </c>
      <c r="V664" s="1" t="str">
        <f>IFERROR(INDEX(_report[],MATCH(ВСЕ_КОДЫ[[#This Row],[CONTEST_CODE]],_report[CONTEST_CODE],0),MATCH($V$1,_report[#Headers],0)),"-")</f>
        <v>-</v>
      </c>
      <c r="W664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64" s="1" t="str">
        <f>IFERROR(INDEX(_group_[],MATCH(CONCATENATE(ВСЕ_КОДЫ[[#This Row],[CONTEST_CODE]],"_",X$2),#REF!,0),MATCH(X$1,_group_[#Headers],0)),"-")</f>
        <v>-</v>
      </c>
      <c r="Y664" s="1" t="str">
        <f>IFERROR(INDEX(_group_[],MATCH(CONCATENATE(ВСЕ_КОДЫ[[#This Row],[CONTEST_CODE]],"_",Y$2),#REF!,0),MATCH(Y$1,_group_[#Headers],0)),"-")</f>
        <v>-</v>
      </c>
      <c r="Z664" s="1" t="str">
        <f>IFERROR(INDEX(_group_[],MATCH(CONCATENATE(ВСЕ_КОДЫ[[#This Row],[CONTEST_CODE]],"_",Z$2),#REF!,0),MATCH(Z$1,_group_[#Headers],0)),"-")</f>
        <v>-</v>
      </c>
      <c r="AA664" s="1" t="str">
        <f>IFERROR(INDEX(_group_[],MATCH(CONCATENATE(ВСЕ_КОДЫ[[#This Row],[CONTEST_CODE]],"_",AA$2),#REF!,0),MATCH(AA$1,_group_[#Headers],0)),"-")</f>
        <v>-</v>
      </c>
      <c r="AB664" s="1" t="str">
        <f>IFERROR(INDEX(_DATA_[],MATCH(ВСЕ_КОДЫ[[#This Row],[CONTEST_CODE]],_DATA_[CONTEST_CODE],0),MATCH($AB$2,_DATA_[#Headers],0)),"-")</f>
        <v>["""KMKKSB"""]</v>
      </c>
      <c r="AC664" t="str">
        <f>CONCATENATE(ВСЕ_КОДЫ[[#This Row],[CONTEST_CODE]],"_",ВСЕ_КОДЫ[[#This Row],[TOURNAMENT_CODE]])</f>
        <v>01_2025-1_02-3_1t_t_01_2025-1_02-3_1t_3031</v>
      </c>
      <c r="AD664" t="str">
        <f>ВСЕ_КОДЫ[[#This Row],[FULL_NAME]]</f>
        <v>Интернализация</v>
      </c>
    </row>
    <row r="665" spans="1:30" hidden="1" x14ac:dyDescent="0.25">
      <c r="A665" s="1" t="s">
        <v>4081</v>
      </c>
      <c r="B665" s="1" t="s">
        <v>4097</v>
      </c>
      <c r="C665" s="1" t="s">
        <v>4082</v>
      </c>
      <c r="D665" s="1" t="s">
        <v>586</v>
      </c>
      <c r="E665" s="1" t="s">
        <v>2158</v>
      </c>
      <c r="F665" s="1" t="s">
        <v>2508</v>
      </c>
      <c r="G665" s="1" t="s">
        <v>27</v>
      </c>
      <c r="H665" s="1" t="s">
        <v>34</v>
      </c>
      <c r="I665" s="1" t="s">
        <v>50</v>
      </c>
      <c r="J665" s="1" t="s">
        <v>3219</v>
      </c>
      <c r="K665" s="1" t="s">
        <v>2534</v>
      </c>
      <c r="L665" s="1" t="s">
        <v>4112</v>
      </c>
      <c r="M665" s="1" t="s">
        <v>176</v>
      </c>
      <c r="N665" s="1" t="s">
        <v>305</v>
      </c>
      <c r="O665" s="1" t="s">
        <v>541</v>
      </c>
      <c r="Q665">
        <f>IFERROR(COUNTIFS(_report[TOURNAMENT_CODE],ВСЕ_КОДЫ[[#This Row],[TOURNAMENT_CODE]],_report[CONTEST_CODE],ВСЕ_КОДЫ[[#This Row],[CONTEST_CODE]]),"-")</f>
        <v>0</v>
      </c>
      <c r="R665" s="1" t="str">
        <f>IFERROR(INDEX(_SCHEDULE_[],MATCH(ВСЕ_КОДЫ[[#This Row],[CONTEST_CODE]],_SCHEDULE_[CONTEST_CODE],0),MATCH($R$1,_SCHEDULE_[#Headers],0)),"-")</f>
        <v>ЗАВЕРШЕН</v>
      </c>
      <c r="S665" s="1" t="str">
        <f>IFERROR(INDEX(_group_[],MATCH(ВСЕ_КОДЫ[[#This Row],[CONTEST_CODE]],_group_[CONTEST_CODE],0),MATCH($S$1,_group_[#Headers],0)),"-")</f>
        <v>BANK</v>
      </c>
      <c r="T665" s="1" t="str">
        <f>IFERROR(INDEX(_INDICATOR_[],MATCH(ВСЕ_КОДЫ[[#This Row],[CONTEST_CODE]],_INDICATOR_[CONTEST_CODE],0),MATCH($T$1,_INDICATOR_[#Headers],0)),"-")</f>
        <v>PPO_ALL</v>
      </c>
      <c r="U665" s="1" t="str">
        <f>IFERROR(INDEX(_reward_link_[],MATCH(ВСЕ_КОДЫ[[#This Row],[CONTEST_CODE]],_reward_link_[CONTEST_CODE],0),MATCH($U$1,_reward_link_[#Headers],0)),"-")</f>
        <v>GOSB</v>
      </c>
      <c r="V665" s="1" t="str">
        <f>IFERROR(INDEX(_report[],MATCH(ВСЕ_КОДЫ[[#This Row],[CONTEST_CODE]],_report[CONTEST_CODE],0),MATCH($V$1,_report[#Headers],0)),"-")</f>
        <v>-</v>
      </c>
      <c r="W665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65" s="1" t="str">
        <f>IFERROR(INDEX(_group_[],MATCH(CONCATENATE(ВСЕ_КОДЫ[[#This Row],[CONTEST_CODE]],"_",X$2),#REF!,0),MATCH(X$1,_group_[#Headers],0)),"-")</f>
        <v>-</v>
      </c>
      <c r="Y665" s="1" t="str">
        <f>IFERROR(INDEX(_group_[],MATCH(CONCATENATE(ВСЕ_КОДЫ[[#This Row],[CONTEST_CODE]],"_",Y$2),#REF!,0),MATCH(Y$1,_group_[#Headers],0)),"-")</f>
        <v>-</v>
      </c>
      <c r="Z665" s="1" t="str">
        <f>IFERROR(INDEX(_group_[],MATCH(CONCATENATE(ВСЕ_КОДЫ[[#This Row],[CONTEST_CODE]],"_",Z$2),#REF!,0),MATCH(Z$1,_group_[#Headers],0)),"-")</f>
        <v>-</v>
      </c>
      <c r="AA665" s="1" t="str">
        <f>IFERROR(INDEX(_group_[],MATCH(CONCATENATE(ВСЕ_КОДЫ[[#This Row],[CONTEST_CODE]],"_",AA$2),#REF!,0),MATCH(AA$1,_group_[#Headers],0)),"-")</f>
        <v>-</v>
      </c>
      <c r="AB665" s="1" t="str">
        <f>IFERROR(INDEX(_DATA_[],MATCH(ВСЕ_КОДЫ[[#This Row],[CONTEST_CODE]],_DATA_[CONTEST_CODE],0),MATCH($AB$2,_DATA_[#Headers],0)),"-")</f>
        <v>["""KMKKSB"""]</v>
      </c>
      <c r="AC665" t="str">
        <f>CONCATENATE(ВСЕ_КОДЫ[[#This Row],[CONTEST_CODE]],"_",ВСЕ_КОДЫ[[#This Row],[TOURNAMENT_CODE]])</f>
        <v>01_2025-1_02-3_1t_t_01_2025-1_02-3_1t_3031</v>
      </c>
      <c r="AD665" t="str">
        <f>ВСЕ_КОДЫ[[#This Row],[FULL_NAME]]</f>
        <v>Интернализация</v>
      </c>
    </row>
    <row r="666" spans="1:30" hidden="1" x14ac:dyDescent="0.25">
      <c r="A666" s="1" t="s">
        <v>4081</v>
      </c>
      <c r="B666" s="1" t="s">
        <v>4097</v>
      </c>
      <c r="C666" s="1" t="s">
        <v>4082</v>
      </c>
      <c r="D666" s="1" t="s">
        <v>586</v>
      </c>
      <c r="E666" s="1" t="s">
        <v>2158</v>
      </c>
      <c r="F666" s="1" t="s">
        <v>2508</v>
      </c>
      <c r="G666" s="1" t="s">
        <v>27</v>
      </c>
      <c r="H666" s="1" t="s">
        <v>34</v>
      </c>
      <c r="I666" s="1" t="s">
        <v>50</v>
      </c>
      <c r="J666" s="1" t="s">
        <v>3219</v>
      </c>
      <c r="K666" s="1" t="s">
        <v>2534</v>
      </c>
      <c r="L666" s="1" t="s">
        <v>4112</v>
      </c>
      <c r="M666" s="1" t="s">
        <v>176</v>
      </c>
      <c r="N666" s="1" t="s">
        <v>305</v>
      </c>
      <c r="O666" s="1" t="s">
        <v>541</v>
      </c>
      <c r="Q666">
        <f>IFERROR(COUNTIFS(_report[TOURNAMENT_CODE],ВСЕ_КОДЫ[[#This Row],[TOURNAMENT_CODE]],_report[CONTEST_CODE],ВСЕ_КОДЫ[[#This Row],[CONTEST_CODE]]),"-")</f>
        <v>0</v>
      </c>
      <c r="R666" s="1" t="str">
        <f>IFERROR(INDEX(_SCHEDULE_[],MATCH(ВСЕ_КОДЫ[[#This Row],[CONTEST_CODE]],_SCHEDULE_[CONTEST_CODE],0),MATCH($R$1,_SCHEDULE_[#Headers],0)),"-")</f>
        <v>ЗАВЕРШЕН</v>
      </c>
      <c r="S666" s="1" t="str">
        <f>IFERROR(INDEX(_group_[],MATCH(ВСЕ_КОДЫ[[#This Row],[CONTEST_CODE]],_group_[CONTEST_CODE],0),MATCH($S$1,_group_[#Headers],0)),"-")</f>
        <v>BANK</v>
      </c>
      <c r="T666" s="1" t="str">
        <f>IFERROR(INDEX(_INDICATOR_[],MATCH(ВСЕ_КОДЫ[[#This Row],[CONTEST_CODE]],_INDICATOR_[CONTEST_CODE],0),MATCH($T$1,_INDICATOR_[#Headers],0)),"-")</f>
        <v>PPO_ALL</v>
      </c>
      <c r="U666" s="1" t="str">
        <f>IFERROR(INDEX(_reward_link_[],MATCH(ВСЕ_КОДЫ[[#This Row],[CONTEST_CODE]],_reward_link_[CONTEST_CODE],0),MATCH($U$1,_reward_link_[#Headers],0)),"-")</f>
        <v>GOSB</v>
      </c>
      <c r="V666" s="1" t="str">
        <f>IFERROR(INDEX(_report[],MATCH(ВСЕ_КОДЫ[[#This Row],[CONTEST_CODE]],_report[CONTEST_CODE],0),MATCH($V$1,_report[#Headers],0)),"-")</f>
        <v>-</v>
      </c>
      <c r="W666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66" s="1" t="str">
        <f>IFERROR(INDEX(_group_[],MATCH(CONCATENATE(ВСЕ_КОДЫ[[#This Row],[CONTEST_CODE]],"_",X$2),#REF!,0),MATCH(X$1,_group_[#Headers],0)),"-")</f>
        <v>-</v>
      </c>
      <c r="Y666" s="1" t="str">
        <f>IFERROR(INDEX(_group_[],MATCH(CONCATENATE(ВСЕ_КОДЫ[[#This Row],[CONTEST_CODE]],"_",Y$2),#REF!,0),MATCH(Y$1,_group_[#Headers],0)),"-")</f>
        <v>-</v>
      </c>
      <c r="Z666" s="1" t="str">
        <f>IFERROR(INDEX(_group_[],MATCH(CONCATENATE(ВСЕ_КОДЫ[[#This Row],[CONTEST_CODE]],"_",Z$2),#REF!,0),MATCH(Z$1,_group_[#Headers],0)),"-")</f>
        <v>-</v>
      </c>
      <c r="AA666" s="1" t="str">
        <f>IFERROR(INDEX(_group_[],MATCH(CONCATENATE(ВСЕ_КОДЫ[[#This Row],[CONTEST_CODE]],"_",AA$2),#REF!,0),MATCH(AA$1,_group_[#Headers],0)),"-")</f>
        <v>-</v>
      </c>
      <c r="AB666" s="1" t="str">
        <f>IFERROR(INDEX(_DATA_[],MATCH(ВСЕ_КОДЫ[[#This Row],[CONTEST_CODE]],_DATA_[CONTEST_CODE],0),MATCH($AB$2,_DATA_[#Headers],0)),"-")</f>
        <v>["""KMKKSB"""]</v>
      </c>
      <c r="AC666" t="str">
        <f>CONCATENATE(ВСЕ_КОДЫ[[#This Row],[CONTEST_CODE]],"_",ВСЕ_КОДЫ[[#This Row],[TOURNAMENT_CODE]])</f>
        <v>01_2025-1_02-3_1t_t_01_2025-1_02-3_1t_3031</v>
      </c>
      <c r="AD666" t="str">
        <f>ВСЕ_КОДЫ[[#This Row],[FULL_NAME]]</f>
        <v>Интернализация</v>
      </c>
    </row>
    <row r="667" spans="1:30" hidden="1" x14ac:dyDescent="0.25">
      <c r="A667" s="1" t="s">
        <v>4081</v>
      </c>
      <c r="B667" s="1" t="s">
        <v>4097</v>
      </c>
      <c r="C667" s="1" t="s">
        <v>4082</v>
      </c>
      <c r="D667" s="1" t="s">
        <v>586</v>
      </c>
      <c r="E667" s="1" t="s">
        <v>2158</v>
      </c>
      <c r="F667" s="1" t="s">
        <v>2508</v>
      </c>
      <c r="G667" s="1" t="s">
        <v>27</v>
      </c>
      <c r="H667" s="1" t="s">
        <v>34</v>
      </c>
      <c r="I667" s="1" t="s">
        <v>50</v>
      </c>
      <c r="J667" s="1" t="s">
        <v>3219</v>
      </c>
      <c r="K667" s="1" t="s">
        <v>2534</v>
      </c>
      <c r="L667" s="1" t="s">
        <v>4112</v>
      </c>
      <c r="M667" s="1" t="s">
        <v>176</v>
      </c>
      <c r="N667" s="1" t="s">
        <v>305</v>
      </c>
      <c r="O667" s="1" t="s">
        <v>541</v>
      </c>
      <c r="Q667">
        <f>IFERROR(COUNTIFS(_report[TOURNAMENT_CODE],ВСЕ_КОДЫ[[#This Row],[TOURNAMENT_CODE]],_report[CONTEST_CODE],ВСЕ_КОДЫ[[#This Row],[CONTEST_CODE]]),"-")</f>
        <v>0</v>
      </c>
      <c r="R667" s="1" t="str">
        <f>IFERROR(INDEX(_SCHEDULE_[],MATCH(ВСЕ_КОДЫ[[#This Row],[CONTEST_CODE]],_SCHEDULE_[CONTEST_CODE],0),MATCH($R$1,_SCHEDULE_[#Headers],0)),"-")</f>
        <v>ЗАВЕРШЕН</v>
      </c>
      <c r="S667" s="1" t="str">
        <f>IFERROR(INDEX(_group_[],MATCH(ВСЕ_КОДЫ[[#This Row],[CONTEST_CODE]],_group_[CONTEST_CODE],0),MATCH($S$1,_group_[#Headers],0)),"-")</f>
        <v>BANK</v>
      </c>
      <c r="T667" s="1" t="str">
        <f>IFERROR(INDEX(_INDICATOR_[],MATCH(ВСЕ_КОДЫ[[#This Row],[CONTEST_CODE]],_INDICATOR_[CONTEST_CODE],0),MATCH($T$1,_INDICATOR_[#Headers],0)),"-")</f>
        <v>PPO_ALL</v>
      </c>
      <c r="U667" s="1" t="str">
        <f>IFERROR(INDEX(_reward_link_[],MATCH(ВСЕ_КОДЫ[[#This Row],[CONTEST_CODE]],_reward_link_[CONTEST_CODE],0),MATCH($U$1,_reward_link_[#Headers],0)),"-")</f>
        <v>GOSB</v>
      </c>
      <c r="V667" s="1" t="str">
        <f>IFERROR(INDEX(_report[],MATCH(ВСЕ_КОДЫ[[#This Row],[CONTEST_CODE]],_report[CONTEST_CODE],0),MATCH($V$1,_report[#Headers],0)),"-")</f>
        <v>-</v>
      </c>
      <c r="W667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67" s="1" t="str">
        <f>IFERROR(INDEX(_group_[],MATCH(CONCATENATE(ВСЕ_КОДЫ[[#This Row],[CONTEST_CODE]],"_",X$2),#REF!,0),MATCH(X$1,_group_[#Headers],0)),"-")</f>
        <v>-</v>
      </c>
      <c r="Y667" s="1" t="str">
        <f>IFERROR(INDEX(_group_[],MATCH(CONCATENATE(ВСЕ_КОДЫ[[#This Row],[CONTEST_CODE]],"_",Y$2),#REF!,0),MATCH(Y$1,_group_[#Headers],0)),"-")</f>
        <v>-</v>
      </c>
      <c r="Z667" s="1" t="str">
        <f>IFERROR(INDEX(_group_[],MATCH(CONCATENATE(ВСЕ_КОДЫ[[#This Row],[CONTEST_CODE]],"_",Z$2),#REF!,0),MATCH(Z$1,_group_[#Headers],0)),"-")</f>
        <v>-</v>
      </c>
      <c r="AA667" s="1" t="str">
        <f>IFERROR(INDEX(_group_[],MATCH(CONCATENATE(ВСЕ_КОДЫ[[#This Row],[CONTEST_CODE]],"_",AA$2),#REF!,0),MATCH(AA$1,_group_[#Headers],0)),"-")</f>
        <v>-</v>
      </c>
      <c r="AB667" s="1" t="str">
        <f>IFERROR(INDEX(_DATA_[],MATCH(ВСЕ_КОДЫ[[#This Row],[CONTEST_CODE]],_DATA_[CONTEST_CODE],0),MATCH($AB$2,_DATA_[#Headers],0)),"-")</f>
        <v>["""KMKKSB"""]</v>
      </c>
      <c r="AC667" t="str">
        <f>CONCATENATE(ВСЕ_КОДЫ[[#This Row],[CONTEST_CODE]],"_",ВСЕ_КОДЫ[[#This Row],[TOURNAMENT_CODE]])</f>
        <v>01_2025-1_02-3_1t_t_01_2025-1_02-3_1t_3031</v>
      </c>
      <c r="AD667" t="str">
        <f>ВСЕ_КОДЫ[[#This Row],[FULL_NAME]]</f>
        <v>Интернализация</v>
      </c>
    </row>
    <row r="668" spans="1:30" hidden="1" x14ac:dyDescent="0.25">
      <c r="A668" s="1" t="s">
        <v>4081</v>
      </c>
      <c r="B668" s="1" t="s">
        <v>4099</v>
      </c>
      <c r="C668" s="1" t="s">
        <v>4084</v>
      </c>
      <c r="D668" s="1" t="s">
        <v>583</v>
      </c>
      <c r="E668" s="1" t="s">
        <v>2158</v>
      </c>
      <c r="F668" s="1" t="s">
        <v>2508</v>
      </c>
      <c r="G668" s="1" t="s">
        <v>27</v>
      </c>
      <c r="H668" s="1" t="s">
        <v>34</v>
      </c>
      <c r="I668" s="1" t="s">
        <v>50</v>
      </c>
      <c r="J668" s="1" t="s">
        <v>4019</v>
      </c>
      <c r="K668" s="1" t="s">
        <v>3647</v>
      </c>
      <c r="L668" s="1" t="s">
        <v>4853</v>
      </c>
      <c r="M668" s="1" t="s">
        <v>2876</v>
      </c>
      <c r="N668" s="1" t="s">
        <v>305</v>
      </c>
      <c r="O668" s="1" t="s">
        <v>543</v>
      </c>
      <c r="Q668">
        <f>IFERROR(COUNTIFS(_report[TOURNAMENT_CODE],ВСЕ_КОДЫ[[#This Row],[TOURNAMENT_CODE]],_report[CONTEST_CODE],ВСЕ_КОДЫ[[#This Row],[CONTEST_CODE]]),"-")</f>
        <v>0</v>
      </c>
      <c r="R668" s="1" t="str">
        <f>IFERROR(INDEX(_SCHEDULE_[],MATCH(ВСЕ_КОДЫ[[#This Row],[CONTEST_CODE]],_SCHEDULE_[CONTEST_CODE],0),MATCH($R$1,_SCHEDULE_[#Headers],0)),"-")</f>
        <v>ЗАВЕРШЕН</v>
      </c>
      <c r="S668" s="1" t="str">
        <f>IFERROR(INDEX(_group_[],MATCH(ВСЕ_КОДЫ[[#This Row],[CONTEST_CODE]],_group_[CONTEST_CODE],0),MATCH($S$1,_group_[#Headers],0)),"-")</f>
        <v>BANK</v>
      </c>
      <c r="T668" s="1" t="str">
        <f>IFERROR(INDEX(_INDICATOR_[],MATCH(ВСЕ_КОДЫ[[#This Row],[CONTEST_CODE]],_INDICATOR_[CONTEST_CODE],0),MATCH($T$1,_INDICATOR_[#Headers],0)),"-")</f>
        <v>PPO_ALL</v>
      </c>
      <c r="U668" s="1" t="str">
        <f>IFERROR(INDEX(_reward_link_[],MATCH(ВСЕ_КОДЫ[[#This Row],[CONTEST_CODE]],_reward_link_[CONTEST_CODE],0),MATCH($U$1,_reward_link_[#Headers],0)),"-")</f>
        <v>GOSB</v>
      </c>
      <c r="V668" s="1" t="str">
        <f>IFERROR(INDEX(_report[],MATCH(ВСЕ_КОДЫ[[#This Row],[CONTEST_CODE]],_report[CONTEST_CODE],0),MATCH($V$1,_report[#Headers],0)),"-")</f>
        <v>-</v>
      </c>
      <c r="W668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68" s="1" t="str">
        <f>IFERROR(INDEX(_group_[],MATCH(CONCATENATE(ВСЕ_КОДЫ[[#This Row],[CONTEST_CODE]],"_",X$2),#REF!,0),MATCH(X$1,_group_[#Headers],0)),"-")</f>
        <v>-</v>
      </c>
      <c r="Y668" s="1" t="str">
        <f>IFERROR(INDEX(_group_[],MATCH(CONCATENATE(ВСЕ_КОДЫ[[#This Row],[CONTEST_CODE]],"_",Y$2),#REF!,0),MATCH(Y$1,_group_[#Headers],0)),"-")</f>
        <v>-</v>
      </c>
      <c r="Z668" s="1" t="str">
        <f>IFERROR(INDEX(_group_[],MATCH(CONCATENATE(ВСЕ_КОДЫ[[#This Row],[CONTEST_CODE]],"_",Z$2),#REF!,0),MATCH(Z$1,_group_[#Headers],0)),"-")</f>
        <v>-</v>
      </c>
      <c r="AA668" s="1" t="str">
        <f>IFERROR(INDEX(_group_[],MATCH(CONCATENATE(ВСЕ_КОДЫ[[#This Row],[CONTEST_CODE]],"_",AA$2),#REF!,0),MATCH(AA$1,_group_[#Headers],0)),"-")</f>
        <v>-</v>
      </c>
      <c r="AB668" s="1" t="str">
        <f>IFERROR(INDEX(_DATA_[],MATCH(ВСЕ_КОДЫ[[#This Row],[CONTEST_CODE]],_DATA_[CONTEST_CODE],0),MATCH($AB$2,_DATA_[#Headers],0)),"-")</f>
        <v>["""KMKKSB"""]</v>
      </c>
      <c r="AC668" t="str">
        <f>CONCATENATE(ВСЕ_КОДЫ[[#This Row],[CONTEST_CODE]],"_",ВСЕ_КОДЫ[[#This Row],[TOURNAMENT_CODE]])</f>
        <v>01_2025-1_02-3_1t_t_01_2025-1_02-3_1t_3041</v>
      </c>
      <c r="AD668" t="str">
        <f>ВСЕ_КОДЫ[[#This Row],[FULL_NAME]]</f>
        <v>Интернализация</v>
      </c>
    </row>
    <row r="669" spans="1:30" hidden="1" x14ac:dyDescent="0.25">
      <c r="A669" s="1" t="s">
        <v>4081</v>
      </c>
      <c r="B669" s="1" t="s">
        <v>4099</v>
      </c>
      <c r="C669" s="1" t="s">
        <v>4084</v>
      </c>
      <c r="D669" s="1" t="s">
        <v>583</v>
      </c>
      <c r="E669" s="1" t="s">
        <v>2158</v>
      </c>
      <c r="F669" s="1" t="s">
        <v>2508</v>
      </c>
      <c r="G669" s="1" t="s">
        <v>27</v>
      </c>
      <c r="H669" s="1" t="s">
        <v>34</v>
      </c>
      <c r="I669" s="1" t="s">
        <v>50</v>
      </c>
      <c r="J669" s="1" t="s">
        <v>4019</v>
      </c>
      <c r="K669" s="1" t="s">
        <v>3647</v>
      </c>
      <c r="L669" s="1" t="s">
        <v>4853</v>
      </c>
      <c r="M669" s="1" t="s">
        <v>2876</v>
      </c>
      <c r="N669" s="1" t="s">
        <v>305</v>
      </c>
      <c r="O669" s="1" t="s">
        <v>543</v>
      </c>
      <c r="Q669">
        <f>IFERROR(COUNTIFS(_report[TOURNAMENT_CODE],ВСЕ_КОДЫ[[#This Row],[TOURNAMENT_CODE]],_report[CONTEST_CODE],ВСЕ_КОДЫ[[#This Row],[CONTEST_CODE]]),"-")</f>
        <v>0</v>
      </c>
      <c r="R669" s="1" t="str">
        <f>IFERROR(INDEX(_SCHEDULE_[],MATCH(ВСЕ_КОДЫ[[#This Row],[CONTEST_CODE]],_SCHEDULE_[CONTEST_CODE],0),MATCH($R$1,_SCHEDULE_[#Headers],0)),"-")</f>
        <v>ЗАВЕРШЕН</v>
      </c>
      <c r="S669" s="1" t="str">
        <f>IFERROR(INDEX(_group_[],MATCH(ВСЕ_КОДЫ[[#This Row],[CONTEST_CODE]],_group_[CONTEST_CODE],0),MATCH($S$1,_group_[#Headers],0)),"-")</f>
        <v>BANK</v>
      </c>
      <c r="T669" s="1" t="str">
        <f>IFERROR(INDEX(_INDICATOR_[],MATCH(ВСЕ_КОДЫ[[#This Row],[CONTEST_CODE]],_INDICATOR_[CONTEST_CODE],0),MATCH($T$1,_INDICATOR_[#Headers],0)),"-")</f>
        <v>PPO_ALL</v>
      </c>
      <c r="U669" s="1" t="str">
        <f>IFERROR(INDEX(_reward_link_[],MATCH(ВСЕ_КОДЫ[[#This Row],[CONTEST_CODE]],_reward_link_[CONTEST_CODE],0),MATCH($U$1,_reward_link_[#Headers],0)),"-")</f>
        <v>GOSB</v>
      </c>
      <c r="V669" s="1" t="str">
        <f>IFERROR(INDEX(_report[],MATCH(ВСЕ_КОДЫ[[#This Row],[CONTEST_CODE]],_report[CONTEST_CODE],0),MATCH($V$1,_report[#Headers],0)),"-")</f>
        <v>-</v>
      </c>
      <c r="W669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69" s="1" t="str">
        <f>IFERROR(INDEX(_group_[],MATCH(CONCATENATE(ВСЕ_КОДЫ[[#This Row],[CONTEST_CODE]],"_",X$2),#REF!,0),MATCH(X$1,_group_[#Headers],0)),"-")</f>
        <v>-</v>
      </c>
      <c r="Y669" s="1" t="str">
        <f>IFERROR(INDEX(_group_[],MATCH(CONCATENATE(ВСЕ_КОДЫ[[#This Row],[CONTEST_CODE]],"_",Y$2),#REF!,0),MATCH(Y$1,_group_[#Headers],0)),"-")</f>
        <v>-</v>
      </c>
      <c r="Z669" s="1" t="str">
        <f>IFERROR(INDEX(_group_[],MATCH(CONCATENATE(ВСЕ_КОДЫ[[#This Row],[CONTEST_CODE]],"_",Z$2),#REF!,0),MATCH(Z$1,_group_[#Headers],0)),"-")</f>
        <v>-</v>
      </c>
      <c r="AA669" s="1" t="str">
        <f>IFERROR(INDEX(_group_[],MATCH(CONCATENATE(ВСЕ_КОДЫ[[#This Row],[CONTEST_CODE]],"_",AA$2),#REF!,0),MATCH(AA$1,_group_[#Headers],0)),"-")</f>
        <v>-</v>
      </c>
      <c r="AB669" s="1" t="str">
        <f>IFERROR(INDEX(_DATA_[],MATCH(ВСЕ_КОДЫ[[#This Row],[CONTEST_CODE]],_DATA_[CONTEST_CODE],0),MATCH($AB$2,_DATA_[#Headers],0)),"-")</f>
        <v>["""KMKKSB"""]</v>
      </c>
      <c r="AC669" t="str">
        <f>CONCATENATE(ВСЕ_КОДЫ[[#This Row],[CONTEST_CODE]],"_",ВСЕ_КОДЫ[[#This Row],[TOURNAMENT_CODE]])</f>
        <v>01_2025-1_02-3_1t_t_01_2025-1_02-3_1t_3041</v>
      </c>
      <c r="AD669" t="str">
        <f>ВСЕ_КОДЫ[[#This Row],[FULL_NAME]]</f>
        <v>Интернализация</v>
      </c>
    </row>
    <row r="670" spans="1:30" hidden="1" x14ac:dyDescent="0.25">
      <c r="A670" s="1" t="s">
        <v>4081</v>
      </c>
      <c r="B670" s="1" t="s">
        <v>4099</v>
      </c>
      <c r="C670" s="1" t="s">
        <v>4084</v>
      </c>
      <c r="D670" s="1" t="s">
        <v>583</v>
      </c>
      <c r="E670" s="1" t="s">
        <v>2158</v>
      </c>
      <c r="F670" s="1" t="s">
        <v>2508</v>
      </c>
      <c r="G670" s="1" t="s">
        <v>27</v>
      </c>
      <c r="H670" s="1" t="s">
        <v>34</v>
      </c>
      <c r="I670" s="1" t="s">
        <v>50</v>
      </c>
      <c r="J670" s="1" t="s">
        <v>4019</v>
      </c>
      <c r="K670" s="1" t="s">
        <v>3647</v>
      </c>
      <c r="L670" s="1" t="s">
        <v>4853</v>
      </c>
      <c r="M670" s="1" t="s">
        <v>2876</v>
      </c>
      <c r="N670" s="1" t="s">
        <v>305</v>
      </c>
      <c r="O670" s="1" t="s">
        <v>543</v>
      </c>
      <c r="Q670">
        <f>IFERROR(COUNTIFS(_report[TOURNAMENT_CODE],ВСЕ_КОДЫ[[#This Row],[TOURNAMENT_CODE]],_report[CONTEST_CODE],ВСЕ_КОДЫ[[#This Row],[CONTEST_CODE]]),"-")</f>
        <v>0</v>
      </c>
      <c r="R670" s="1" t="str">
        <f>IFERROR(INDEX(_SCHEDULE_[],MATCH(ВСЕ_КОДЫ[[#This Row],[CONTEST_CODE]],_SCHEDULE_[CONTEST_CODE],0),MATCH($R$1,_SCHEDULE_[#Headers],0)),"-")</f>
        <v>ЗАВЕРШЕН</v>
      </c>
      <c r="S670" s="1" t="str">
        <f>IFERROR(INDEX(_group_[],MATCH(ВСЕ_КОДЫ[[#This Row],[CONTEST_CODE]],_group_[CONTEST_CODE],0),MATCH($S$1,_group_[#Headers],0)),"-")</f>
        <v>BANK</v>
      </c>
      <c r="T670" s="1" t="str">
        <f>IFERROR(INDEX(_INDICATOR_[],MATCH(ВСЕ_КОДЫ[[#This Row],[CONTEST_CODE]],_INDICATOR_[CONTEST_CODE],0),MATCH($T$1,_INDICATOR_[#Headers],0)),"-")</f>
        <v>PPO_ALL</v>
      </c>
      <c r="U670" s="1" t="str">
        <f>IFERROR(INDEX(_reward_link_[],MATCH(ВСЕ_КОДЫ[[#This Row],[CONTEST_CODE]],_reward_link_[CONTEST_CODE],0),MATCH($U$1,_reward_link_[#Headers],0)),"-")</f>
        <v>GOSB</v>
      </c>
      <c r="V670" s="1" t="str">
        <f>IFERROR(INDEX(_report[],MATCH(ВСЕ_КОДЫ[[#This Row],[CONTEST_CODE]],_report[CONTEST_CODE],0),MATCH($V$1,_report[#Headers],0)),"-")</f>
        <v>-</v>
      </c>
      <c r="W670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70" s="1" t="str">
        <f>IFERROR(INDEX(_group_[],MATCH(CONCATENATE(ВСЕ_КОДЫ[[#This Row],[CONTEST_CODE]],"_",X$2),#REF!,0),MATCH(X$1,_group_[#Headers],0)),"-")</f>
        <v>-</v>
      </c>
      <c r="Y670" s="1" t="str">
        <f>IFERROR(INDEX(_group_[],MATCH(CONCATENATE(ВСЕ_КОДЫ[[#This Row],[CONTEST_CODE]],"_",Y$2),#REF!,0),MATCH(Y$1,_group_[#Headers],0)),"-")</f>
        <v>-</v>
      </c>
      <c r="Z670" s="1" t="str">
        <f>IFERROR(INDEX(_group_[],MATCH(CONCATENATE(ВСЕ_КОДЫ[[#This Row],[CONTEST_CODE]],"_",Z$2),#REF!,0),MATCH(Z$1,_group_[#Headers],0)),"-")</f>
        <v>-</v>
      </c>
      <c r="AA670" s="1" t="str">
        <f>IFERROR(INDEX(_group_[],MATCH(CONCATENATE(ВСЕ_КОДЫ[[#This Row],[CONTEST_CODE]],"_",AA$2),#REF!,0),MATCH(AA$1,_group_[#Headers],0)),"-")</f>
        <v>-</v>
      </c>
      <c r="AB670" s="1" t="str">
        <f>IFERROR(INDEX(_DATA_[],MATCH(ВСЕ_КОДЫ[[#This Row],[CONTEST_CODE]],_DATA_[CONTEST_CODE],0),MATCH($AB$2,_DATA_[#Headers],0)),"-")</f>
        <v>["""KMKKSB"""]</v>
      </c>
      <c r="AC670" t="str">
        <f>CONCATENATE(ВСЕ_КОДЫ[[#This Row],[CONTEST_CODE]],"_",ВСЕ_КОДЫ[[#This Row],[TOURNAMENT_CODE]])</f>
        <v>01_2025-1_02-3_1t_t_01_2025-1_02-3_1t_3041</v>
      </c>
      <c r="AD670" t="str">
        <f>ВСЕ_КОДЫ[[#This Row],[FULL_NAME]]</f>
        <v>Интернализация</v>
      </c>
    </row>
    <row r="671" spans="1:30" hidden="1" x14ac:dyDescent="0.25">
      <c r="A671" s="1" t="s">
        <v>4081</v>
      </c>
      <c r="B671" s="1" t="s">
        <v>4099</v>
      </c>
      <c r="C671" s="1" t="s">
        <v>4084</v>
      </c>
      <c r="D671" s="1" t="s">
        <v>583</v>
      </c>
      <c r="E671" s="1" t="s">
        <v>2158</v>
      </c>
      <c r="F671" s="1" t="s">
        <v>2508</v>
      </c>
      <c r="G671" s="1" t="s">
        <v>27</v>
      </c>
      <c r="H671" s="1" t="s">
        <v>34</v>
      </c>
      <c r="I671" s="1" t="s">
        <v>50</v>
      </c>
      <c r="J671" s="1" t="s">
        <v>4019</v>
      </c>
      <c r="K671" s="1" t="s">
        <v>3647</v>
      </c>
      <c r="L671" s="1" t="s">
        <v>4853</v>
      </c>
      <c r="M671" s="1" t="s">
        <v>2876</v>
      </c>
      <c r="N671" s="1" t="s">
        <v>305</v>
      </c>
      <c r="O671" s="1" t="s">
        <v>543</v>
      </c>
      <c r="Q671">
        <f>IFERROR(COUNTIFS(_report[TOURNAMENT_CODE],ВСЕ_КОДЫ[[#This Row],[TOURNAMENT_CODE]],_report[CONTEST_CODE],ВСЕ_КОДЫ[[#This Row],[CONTEST_CODE]]),"-")</f>
        <v>0</v>
      </c>
      <c r="R671" s="1" t="str">
        <f>IFERROR(INDEX(_SCHEDULE_[],MATCH(ВСЕ_КОДЫ[[#This Row],[CONTEST_CODE]],_SCHEDULE_[CONTEST_CODE],0),MATCH($R$1,_SCHEDULE_[#Headers],0)),"-")</f>
        <v>ЗАВЕРШЕН</v>
      </c>
      <c r="S671" s="1" t="str">
        <f>IFERROR(INDEX(_group_[],MATCH(ВСЕ_КОДЫ[[#This Row],[CONTEST_CODE]],_group_[CONTEST_CODE],0),MATCH($S$1,_group_[#Headers],0)),"-")</f>
        <v>BANK</v>
      </c>
      <c r="T671" s="1" t="str">
        <f>IFERROR(INDEX(_INDICATOR_[],MATCH(ВСЕ_КОДЫ[[#This Row],[CONTEST_CODE]],_INDICATOR_[CONTEST_CODE],0),MATCH($T$1,_INDICATOR_[#Headers],0)),"-")</f>
        <v>PPO_ALL</v>
      </c>
      <c r="U671" s="1" t="str">
        <f>IFERROR(INDEX(_reward_link_[],MATCH(ВСЕ_КОДЫ[[#This Row],[CONTEST_CODE]],_reward_link_[CONTEST_CODE],0),MATCH($U$1,_reward_link_[#Headers],0)),"-")</f>
        <v>GOSB</v>
      </c>
      <c r="V671" s="1" t="str">
        <f>IFERROR(INDEX(_report[],MATCH(ВСЕ_КОДЫ[[#This Row],[CONTEST_CODE]],_report[CONTEST_CODE],0),MATCH($V$1,_report[#Headers],0)),"-")</f>
        <v>-</v>
      </c>
      <c r="W671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71" s="1" t="str">
        <f>IFERROR(INDEX(_group_[],MATCH(CONCATENATE(ВСЕ_КОДЫ[[#This Row],[CONTEST_CODE]],"_",X$2),#REF!,0),MATCH(X$1,_group_[#Headers],0)),"-")</f>
        <v>-</v>
      </c>
      <c r="Y671" s="1" t="str">
        <f>IFERROR(INDEX(_group_[],MATCH(CONCATENATE(ВСЕ_КОДЫ[[#This Row],[CONTEST_CODE]],"_",Y$2),#REF!,0),MATCH(Y$1,_group_[#Headers],0)),"-")</f>
        <v>-</v>
      </c>
      <c r="Z671" s="1" t="str">
        <f>IFERROR(INDEX(_group_[],MATCH(CONCATENATE(ВСЕ_КОДЫ[[#This Row],[CONTEST_CODE]],"_",Z$2),#REF!,0),MATCH(Z$1,_group_[#Headers],0)),"-")</f>
        <v>-</v>
      </c>
      <c r="AA671" s="1" t="str">
        <f>IFERROR(INDEX(_group_[],MATCH(CONCATENATE(ВСЕ_КОДЫ[[#This Row],[CONTEST_CODE]],"_",AA$2),#REF!,0),MATCH(AA$1,_group_[#Headers],0)),"-")</f>
        <v>-</v>
      </c>
      <c r="AB671" s="1" t="str">
        <f>IFERROR(INDEX(_DATA_[],MATCH(ВСЕ_КОДЫ[[#This Row],[CONTEST_CODE]],_DATA_[CONTEST_CODE],0),MATCH($AB$2,_DATA_[#Headers],0)),"-")</f>
        <v>["""KMKKSB"""]</v>
      </c>
      <c r="AC671" t="str">
        <f>CONCATENATE(ВСЕ_КОДЫ[[#This Row],[CONTEST_CODE]],"_",ВСЕ_КОДЫ[[#This Row],[TOURNAMENT_CODE]])</f>
        <v>01_2025-1_02-3_1t_t_01_2025-1_02-3_1t_3041</v>
      </c>
      <c r="AD671" t="str">
        <f>ВСЕ_КОДЫ[[#This Row],[FULL_NAME]]</f>
        <v>Интернализация</v>
      </c>
    </row>
    <row r="672" spans="1:30" hidden="1" x14ac:dyDescent="0.25">
      <c r="A672" s="1" t="s">
        <v>4081</v>
      </c>
      <c r="B672" s="1" t="s">
        <v>4099</v>
      </c>
      <c r="C672" s="1" t="s">
        <v>4079</v>
      </c>
      <c r="D672" s="1" t="s">
        <v>584</v>
      </c>
      <c r="E672" s="1" t="s">
        <v>2158</v>
      </c>
      <c r="F672" s="1" t="s">
        <v>2508</v>
      </c>
      <c r="G672" s="1" t="s">
        <v>27</v>
      </c>
      <c r="H672" s="1" t="s">
        <v>34</v>
      </c>
      <c r="I672" s="1" t="s">
        <v>50</v>
      </c>
      <c r="J672" s="1" t="s">
        <v>4019</v>
      </c>
      <c r="K672" s="1" t="s">
        <v>3647</v>
      </c>
      <c r="L672" s="1" t="s">
        <v>4853</v>
      </c>
      <c r="M672" s="1" t="s">
        <v>2876</v>
      </c>
      <c r="N672" s="1" t="s">
        <v>305</v>
      </c>
      <c r="O672" s="1" t="s">
        <v>536</v>
      </c>
      <c r="Q672">
        <f>IFERROR(COUNTIFS(_report[TOURNAMENT_CODE],ВСЕ_КОДЫ[[#This Row],[TOURNAMENT_CODE]],_report[CONTEST_CODE],ВСЕ_КОДЫ[[#This Row],[CONTEST_CODE]]),"-")</f>
        <v>0</v>
      </c>
      <c r="R672" s="1" t="str">
        <f>IFERROR(INDEX(_SCHEDULE_[],MATCH(ВСЕ_КОДЫ[[#This Row],[CONTEST_CODE]],_SCHEDULE_[CONTEST_CODE],0),MATCH($R$1,_SCHEDULE_[#Headers],0)),"-")</f>
        <v>ЗАВЕРШЕН</v>
      </c>
      <c r="S672" s="1" t="str">
        <f>IFERROR(INDEX(_group_[],MATCH(ВСЕ_КОДЫ[[#This Row],[CONTEST_CODE]],_group_[CONTEST_CODE],0),MATCH($S$1,_group_[#Headers],0)),"-")</f>
        <v>BANK</v>
      </c>
      <c r="T672" s="1" t="str">
        <f>IFERROR(INDEX(_INDICATOR_[],MATCH(ВСЕ_КОДЫ[[#This Row],[CONTEST_CODE]],_INDICATOR_[CONTEST_CODE],0),MATCH($T$1,_INDICATOR_[#Headers],0)),"-")</f>
        <v>PPO_ALL</v>
      </c>
      <c r="U672" s="1" t="str">
        <f>IFERROR(INDEX(_reward_link_[],MATCH(ВСЕ_КОДЫ[[#This Row],[CONTEST_CODE]],_reward_link_[CONTEST_CODE],0),MATCH($U$1,_reward_link_[#Headers],0)),"-")</f>
        <v>GOSB</v>
      </c>
      <c r="V672" s="1" t="str">
        <f>IFERROR(INDEX(_report[],MATCH(ВСЕ_КОДЫ[[#This Row],[CONTEST_CODE]],_report[CONTEST_CODE],0),MATCH($V$1,_report[#Headers],0)),"-")</f>
        <v>-</v>
      </c>
      <c r="W672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72" s="1" t="str">
        <f>IFERROR(INDEX(_group_[],MATCH(CONCATENATE(ВСЕ_КОДЫ[[#This Row],[CONTEST_CODE]],"_",X$2),#REF!,0),MATCH(X$1,_group_[#Headers],0)),"-")</f>
        <v>-</v>
      </c>
      <c r="Y672" s="1" t="str">
        <f>IFERROR(INDEX(_group_[],MATCH(CONCATENATE(ВСЕ_КОДЫ[[#This Row],[CONTEST_CODE]],"_",Y$2),#REF!,0),MATCH(Y$1,_group_[#Headers],0)),"-")</f>
        <v>-</v>
      </c>
      <c r="Z672" s="1" t="str">
        <f>IFERROR(INDEX(_group_[],MATCH(CONCATENATE(ВСЕ_КОДЫ[[#This Row],[CONTEST_CODE]],"_",Z$2),#REF!,0),MATCH(Z$1,_group_[#Headers],0)),"-")</f>
        <v>-</v>
      </c>
      <c r="AA672" s="1" t="str">
        <f>IFERROR(INDEX(_group_[],MATCH(CONCATENATE(ВСЕ_КОДЫ[[#This Row],[CONTEST_CODE]],"_",AA$2),#REF!,0),MATCH(AA$1,_group_[#Headers],0)),"-")</f>
        <v>-</v>
      </c>
      <c r="AB672" s="1" t="str">
        <f>IFERROR(INDEX(_DATA_[],MATCH(ВСЕ_КОДЫ[[#This Row],[CONTEST_CODE]],_DATA_[CONTEST_CODE],0),MATCH($AB$2,_DATA_[#Headers],0)),"-")</f>
        <v>["""KMKKSB"""]</v>
      </c>
      <c r="AC672" t="str">
        <f>CONCATENATE(ВСЕ_КОДЫ[[#This Row],[CONTEST_CODE]],"_",ВСЕ_КОДЫ[[#This Row],[TOURNAMENT_CODE]])</f>
        <v>01_2025-1_02-3_1t_t_01_2025-1_02-3_1t_3041</v>
      </c>
      <c r="AD672" t="str">
        <f>ВСЕ_КОДЫ[[#This Row],[FULL_NAME]]</f>
        <v>Интернализация</v>
      </c>
    </row>
    <row r="673" spans="1:30" hidden="1" x14ac:dyDescent="0.25">
      <c r="A673" s="1" t="s">
        <v>4081</v>
      </c>
      <c r="B673" s="1" t="s">
        <v>4099</v>
      </c>
      <c r="C673" s="1" t="s">
        <v>4079</v>
      </c>
      <c r="D673" s="1" t="s">
        <v>584</v>
      </c>
      <c r="E673" s="1" t="s">
        <v>2158</v>
      </c>
      <c r="F673" s="1" t="s">
        <v>2508</v>
      </c>
      <c r="G673" s="1" t="s">
        <v>27</v>
      </c>
      <c r="H673" s="1" t="s">
        <v>34</v>
      </c>
      <c r="I673" s="1" t="s">
        <v>50</v>
      </c>
      <c r="J673" s="1" t="s">
        <v>4019</v>
      </c>
      <c r="K673" s="1" t="s">
        <v>3647</v>
      </c>
      <c r="L673" s="1" t="s">
        <v>4853</v>
      </c>
      <c r="M673" s="1" t="s">
        <v>2876</v>
      </c>
      <c r="N673" s="1" t="s">
        <v>305</v>
      </c>
      <c r="O673" s="1" t="s">
        <v>536</v>
      </c>
      <c r="Q673">
        <f>IFERROR(COUNTIFS(_report[TOURNAMENT_CODE],ВСЕ_КОДЫ[[#This Row],[TOURNAMENT_CODE]],_report[CONTEST_CODE],ВСЕ_КОДЫ[[#This Row],[CONTEST_CODE]]),"-")</f>
        <v>0</v>
      </c>
      <c r="R673" s="1" t="str">
        <f>IFERROR(INDEX(_SCHEDULE_[],MATCH(ВСЕ_КОДЫ[[#This Row],[CONTEST_CODE]],_SCHEDULE_[CONTEST_CODE],0),MATCH($R$1,_SCHEDULE_[#Headers],0)),"-")</f>
        <v>ЗАВЕРШЕН</v>
      </c>
      <c r="S673" s="1" t="str">
        <f>IFERROR(INDEX(_group_[],MATCH(ВСЕ_КОДЫ[[#This Row],[CONTEST_CODE]],_group_[CONTEST_CODE],0),MATCH($S$1,_group_[#Headers],0)),"-")</f>
        <v>BANK</v>
      </c>
      <c r="T673" s="1" t="str">
        <f>IFERROR(INDEX(_INDICATOR_[],MATCH(ВСЕ_КОДЫ[[#This Row],[CONTEST_CODE]],_INDICATOR_[CONTEST_CODE],0),MATCH($T$1,_INDICATOR_[#Headers],0)),"-")</f>
        <v>PPO_ALL</v>
      </c>
      <c r="U673" s="1" t="str">
        <f>IFERROR(INDEX(_reward_link_[],MATCH(ВСЕ_КОДЫ[[#This Row],[CONTEST_CODE]],_reward_link_[CONTEST_CODE],0),MATCH($U$1,_reward_link_[#Headers],0)),"-")</f>
        <v>GOSB</v>
      </c>
      <c r="V673" s="1" t="str">
        <f>IFERROR(INDEX(_report[],MATCH(ВСЕ_КОДЫ[[#This Row],[CONTEST_CODE]],_report[CONTEST_CODE],0),MATCH($V$1,_report[#Headers],0)),"-")</f>
        <v>-</v>
      </c>
      <c r="W673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73" s="1" t="str">
        <f>IFERROR(INDEX(_group_[],MATCH(CONCATENATE(ВСЕ_КОДЫ[[#This Row],[CONTEST_CODE]],"_",X$2),#REF!,0),MATCH(X$1,_group_[#Headers],0)),"-")</f>
        <v>-</v>
      </c>
      <c r="Y673" s="1" t="str">
        <f>IFERROR(INDEX(_group_[],MATCH(CONCATENATE(ВСЕ_КОДЫ[[#This Row],[CONTEST_CODE]],"_",Y$2),#REF!,0),MATCH(Y$1,_group_[#Headers],0)),"-")</f>
        <v>-</v>
      </c>
      <c r="Z673" s="1" t="str">
        <f>IFERROR(INDEX(_group_[],MATCH(CONCATENATE(ВСЕ_КОДЫ[[#This Row],[CONTEST_CODE]],"_",Z$2),#REF!,0),MATCH(Z$1,_group_[#Headers],0)),"-")</f>
        <v>-</v>
      </c>
      <c r="AA673" s="1" t="str">
        <f>IFERROR(INDEX(_group_[],MATCH(CONCATENATE(ВСЕ_КОДЫ[[#This Row],[CONTEST_CODE]],"_",AA$2),#REF!,0),MATCH(AA$1,_group_[#Headers],0)),"-")</f>
        <v>-</v>
      </c>
      <c r="AB673" s="1" t="str">
        <f>IFERROR(INDEX(_DATA_[],MATCH(ВСЕ_КОДЫ[[#This Row],[CONTEST_CODE]],_DATA_[CONTEST_CODE],0),MATCH($AB$2,_DATA_[#Headers],0)),"-")</f>
        <v>["""KMKKSB"""]</v>
      </c>
      <c r="AC673" t="str">
        <f>CONCATENATE(ВСЕ_КОДЫ[[#This Row],[CONTEST_CODE]],"_",ВСЕ_КОДЫ[[#This Row],[TOURNAMENT_CODE]])</f>
        <v>01_2025-1_02-3_1t_t_01_2025-1_02-3_1t_3041</v>
      </c>
      <c r="AD673" t="str">
        <f>ВСЕ_КОДЫ[[#This Row],[FULL_NAME]]</f>
        <v>Интернализация</v>
      </c>
    </row>
    <row r="674" spans="1:30" hidden="1" x14ac:dyDescent="0.25">
      <c r="A674" s="1" t="s">
        <v>4081</v>
      </c>
      <c r="B674" s="1" t="s">
        <v>4099</v>
      </c>
      <c r="C674" s="1" t="s">
        <v>4079</v>
      </c>
      <c r="D674" s="1" t="s">
        <v>584</v>
      </c>
      <c r="E674" s="1" t="s">
        <v>2158</v>
      </c>
      <c r="F674" s="1" t="s">
        <v>2508</v>
      </c>
      <c r="G674" s="1" t="s">
        <v>27</v>
      </c>
      <c r="H674" s="1" t="s">
        <v>34</v>
      </c>
      <c r="I674" s="1" t="s">
        <v>50</v>
      </c>
      <c r="J674" s="1" t="s">
        <v>4019</v>
      </c>
      <c r="K674" s="1" t="s">
        <v>3647</v>
      </c>
      <c r="L674" s="1" t="s">
        <v>4853</v>
      </c>
      <c r="M674" s="1" t="s">
        <v>2876</v>
      </c>
      <c r="N674" s="1" t="s">
        <v>305</v>
      </c>
      <c r="O674" s="1" t="s">
        <v>536</v>
      </c>
      <c r="Q674">
        <f>IFERROR(COUNTIFS(_report[TOURNAMENT_CODE],ВСЕ_КОДЫ[[#This Row],[TOURNAMENT_CODE]],_report[CONTEST_CODE],ВСЕ_КОДЫ[[#This Row],[CONTEST_CODE]]),"-")</f>
        <v>0</v>
      </c>
      <c r="R674" s="1" t="str">
        <f>IFERROR(INDEX(_SCHEDULE_[],MATCH(ВСЕ_КОДЫ[[#This Row],[CONTEST_CODE]],_SCHEDULE_[CONTEST_CODE],0),MATCH($R$1,_SCHEDULE_[#Headers],0)),"-")</f>
        <v>ЗАВЕРШЕН</v>
      </c>
      <c r="S674" s="1" t="str">
        <f>IFERROR(INDEX(_group_[],MATCH(ВСЕ_КОДЫ[[#This Row],[CONTEST_CODE]],_group_[CONTEST_CODE],0),MATCH($S$1,_group_[#Headers],0)),"-")</f>
        <v>BANK</v>
      </c>
      <c r="T674" s="1" t="str">
        <f>IFERROR(INDEX(_INDICATOR_[],MATCH(ВСЕ_КОДЫ[[#This Row],[CONTEST_CODE]],_INDICATOR_[CONTEST_CODE],0),MATCH($T$1,_INDICATOR_[#Headers],0)),"-")</f>
        <v>PPO_ALL</v>
      </c>
      <c r="U674" s="1" t="str">
        <f>IFERROR(INDEX(_reward_link_[],MATCH(ВСЕ_КОДЫ[[#This Row],[CONTEST_CODE]],_reward_link_[CONTEST_CODE],0),MATCH($U$1,_reward_link_[#Headers],0)),"-")</f>
        <v>GOSB</v>
      </c>
      <c r="V674" s="1" t="str">
        <f>IFERROR(INDEX(_report[],MATCH(ВСЕ_КОДЫ[[#This Row],[CONTEST_CODE]],_report[CONTEST_CODE],0),MATCH($V$1,_report[#Headers],0)),"-")</f>
        <v>-</v>
      </c>
      <c r="W674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74" s="1" t="str">
        <f>IFERROR(INDEX(_group_[],MATCH(CONCATENATE(ВСЕ_КОДЫ[[#This Row],[CONTEST_CODE]],"_",X$2),#REF!,0),MATCH(X$1,_group_[#Headers],0)),"-")</f>
        <v>-</v>
      </c>
      <c r="Y674" s="1" t="str">
        <f>IFERROR(INDEX(_group_[],MATCH(CONCATENATE(ВСЕ_КОДЫ[[#This Row],[CONTEST_CODE]],"_",Y$2),#REF!,0),MATCH(Y$1,_group_[#Headers],0)),"-")</f>
        <v>-</v>
      </c>
      <c r="Z674" s="1" t="str">
        <f>IFERROR(INDEX(_group_[],MATCH(CONCATENATE(ВСЕ_КОДЫ[[#This Row],[CONTEST_CODE]],"_",Z$2),#REF!,0),MATCH(Z$1,_group_[#Headers],0)),"-")</f>
        <v>-</v>
      </c>
      <c r="AA674" s="1" t="str">
        <f>IFERROR(INDEX(_group_[],MATCH(CONCATENATE(ВСЕ_КОДЫ[[#This Row],[CONTEST_CODE]],"_",AA$2),#REF!,0),MATCH(AA$1,_group_[#Headers],0)),"-")</f>
        <v>-</v>
      </c>
      <c r="AB674" s="1" t="str">
        <f>IFERROR(INDEX(_DATA_[],MATCH(ВСЕ_КОДЫ[[#This Row],[CONTEST_CODE]],_DATA_[CONTEST_CODE],0),MATCH($AB$2,_DATA_[#Headers],0)),"-")</f>
        <v>["""KMKKSB"""]</v>
      </c>
      <c r="AC674" t="str">
        <f>CONCATENATE(ВСЕ_КОДЫ[[#This Row],[CONTEST_CODE]],"_",ВСЕ_КОДЫ[[#This Row],[TOURNAMENT_CODE]])</f>
        <v>01_2025-1_02-3_1t_t_01_2025-1_02-3_1t_3041</v>
      </c>
      <c r="AD674" t="str">
        <f>ВСЕ_КОДЫ[[#This Row],[FULL_NAME]]</f>
        <v>Интернализация</v>
      </c>
    </row>
    <row r="675" spans="1:30" hidden="1" x14ac:dyDescent="0.25">
      <c r="A675" s="1" t="s">
        <v>4081</v>
      </c>
      <c r="B675" s="1" t="s">
        <v>4099</v>
      </c>
      <c r="C675" s="1" t="s">
        <v>4079</v>
      </c>
      <c r="D675" s="1" t="s">
        <v>584</v>
      </c>
      <c r="E675" s="1" t="s">
        <v>2158</v>
      </c>
      <c r="F675" s="1" t="s">
        <v>2508</v>
      </c>
      <c r="G675" s="1" t="s">
        <v>27</v>
      </c>
      <c r="H675" s="1" t="s">
        <v>34</v>
      </c>
      <c r="I675" s="1" t="s">
        <v>50</v>
      </c>
      <c r="J675" s="1" t="s">
        <v>4019</v>
      </c>
      <c r="K675" s="1" t="s">
        <v>3647</v>
      </c>
      <c r="L675" s="1" t="s">
        <v>4853</v>
      </c>
      <c r="M675" s="1" t="s">
        <v>2876</v>
      </c>
      <c r="N675" s="1" t="s">
        <v>305</v>
      </c>
      <c r="O675" s="1" t="s">
        <v>536</v>
      </c>
      <c r="Q675">
        <f>IFERROR(COUNTIFS(_report[TOURNAMENT_CODE],ВСЕ_КОДЫ[[#This Row],[TOURNAMENT_CODE]],_report[CONTEST_CODE],ВСЕ_КОДЫ[[#This Row],[CONTEST_CODE]]),"-")</f>
        <v>0</v>
      </c>
      <c r="R675" s="1" t="str">
        <f>IFERROR(INDEX(_SCHEDULE_[],MATCH(ВСЕ_КОДЫ[[#This Row],[CONTEST_CODE]],_SCHEDULE_[CONTEST_CODE],0),MATCH($R$1,_SCHEDULE_[#Headers],0)),"-")</f>
        <v>ЗАВЕРШЕН</v>
      </c>
      <c r="S675" s="1" t="str">
        <f>IFERROR(INDEX(_group_[],MATCH(ВСЕ_КОДЫ[[#This Row],[CONTEST_CODE]],_group_[CONTEST_CODE],0),MATCH($S$1,_group_[#Headers],0)),"-")</f>
        <v>BANK</v>
      </c>
      <c r="T675" s="1" t="str">
        <f>IFERROR(INDEX(_INDICATOR_[],MATCH(ВСЕ_КОДЫ[[#This Row],[CONTEST_CODE]],_INDICATOR_[CONTEST_CODE],0),MATCH($T$1,_INDICATOR_[#Headers],0)),"-")</f>
        <v>PPO_ALL</v>
      </c>
      <c r="U675" s="1" t="str">
        <f>IFERROR(INDEX(_reward_link_[],MATCH(ВСЕ_КОДЫ[[#This Row],[CONTEST_CODE]],_reward_link_[CONTEST_CODE],0),MATCH($U$1,_reward_link_[#Headers],0)),"-")</f>
        <v>GOSB</v>
      </c>
      <c r="V675" s="1" t="str">
        <f>IFERROR(INDEX(_report[],MATCH(ВСЕ_КОДЫ[[#This Row],[CONTEST_CODE]],_report[CONTEST_CODE],0),MATCH($V$1,_report[#Headers],0)),"-")</f>
        <v>-</v>
      </c>
      <c r="W675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75" s="1" t="str">
        <f>IFERROR(INDEX(_group_[],MATCH(CONCATENATE(ВСЕ_КОДЫ[[#This Row],[CONTEST_CODE]],"_",X$2),#REF!,0),MATCH(X$1,_group_[#Headers],0)),"-")</f>
        <v>-</v>
      </c>
      <c r="Y675" s="1" t="str">
        <f>IFERROR(INDEX(_group_[],MATCH(CONCATENATE(ВСЕ_КОДЫ[[#This Row],[CONTEST_CODE]],"_",Y$2),#REF!,0),MATCH(Y$1,_group_[#Headers],0)),"-")</f>
        <v>-</v>
      </c>
      <c r="Z675" s="1" t="str">
        <f>IFERROR(INDEX(_group_[],MATCH(CONCATENATE(ВСЕ_КОДЫ[[#This Row],[CONTEST_CODE]],"_",Z$2),#REF!,0),MATCH(Z$1,_group_[#Headers],0)),"-")</f>
        <v>-</v>
      </c>
      <c r="AA675" s="1" t="str">
        <f>IFERROR(INDEX(_group_[],MATCH(CONCATENATE(ВСЕ_КОДЫ[[#This Row],[CONTEST_CODE]],"_",AA$2),#REF!,0),MATCH(AA$1,_group_[#Headers],0)),"-")</f>
        <v>-</v>
      </c>
      <c r="AB675" s="1" t="str">
        <f>IFERROR(INDEX(_DATA_[],MATCH(ВСЕ_КОДЫ[[#This Row],[CONTEST_CODE]],_DATA_[CONTEST_CODE],0),MATCH($AB$2,_DATA_[#Headers],0)),"-")</f>
        <v>["""KMKKSB"""]</v>
      </c>
      <c r="AC675" t="str">
        <f>CONCATENATE(ВСЕ_КОДЫ[[#This Row],[CONTEST_CODE]],"_",ВСЕ_КОДЫ[[#This Row],[TOURNAMENT_CODE]])</f>
        <v>01_2025-1_02-3_1t_t_01_2025-1_02-3_1t_3041</v>
      </c>
      <c r="AD675" t="str">
        <f>ВСЕ_КОДЫ[[#This Row],[FULL_NAME]]</f>
        <v>Интернализация</v>
      </c>
    </row>
    <row r="676" spans="1:30" hidden="1" x14ac:dyDescent="0.25">
      <c r="A676" s="1" t="s">
        <v>4081</v>
      </c>
      <c r="B676" s="1" t="s">
        <v>4099</v>
      </c>
      <c r="C676" s="1" t="s">
        <v>4082</v>
      </c>
      <c r="D676" s="1" t="s">
        <v>586</v>
      </c>
      <c r="E676" s="1" t="s">
        <v>2158</v>
      </c>
      <c r="F676" s="1" t="s">
        <v>2508</v>
      </c>
      <c r="G676" s="1" t="s">
        <v>27</v>
      </c>
      <c r="H676" s="1" t="s">
        <v>34</v>
      </c>
      <c r="I676" s="1" t="s">
        <v>50</v>
      </c>
      <c r="J676" s="1" t="s">
        <v>4019</v>
      </c>
      <c r="K676" s="1" t="s">
        <v>3647</v>
      </c>
      <c r="L676" s="1" t="s">
        <v>4853</v>
      </c>
      <c r="M676" s="1" t="s">
        <v>2876</v>
      </c>
      <c r="N676" s="1" t="s">
        <v>305</v>
      </c>
      <c r="O676" s="1" t="s">
        <v>541</v>
      </c>
      <c r="Q676">
        <f>IFERROR(COUNTIFS(_report[TOURNAMENT_CODE],ВСЕ_КОДЫ[[#This Row],[TOURNAMENT_CODE]],_report[CONTEST_CODE],ВСЕ_КОДЫ[[#This Row],[CONTEST_CODE]]),"-")</f>
        <v>0</v>
      </c>
      <c r="R676" s="1" t="str">
        <f>IFERROR(INDEX(_SCHEDULE_[],MATCH(ВСЕ_КОДЫ[[#This Row],[CONTEST_CODE]],_SCHEDULE_[CONTEST_CODE],0),MATCH($R$1,_SCHEDULE_[#Headers],0)),"-")</f>
        <v>ЗАВЕРШЕН</v>
      </c>
      <c r="S676" s="1" t="str">
        <f>IFERROR(INDEX(_group_[],MATCH(ВСЕ_КОДЫ[[#This Row],[CONTEST_CODE]],_group_[CONTEST_CODE],0),MATCH($S$1,_group_[#Headers],0)),"-")</f>
        <v>BANK</v>
      </c>
      <c r="T676" s="1" t="str">
        <f>IFERROR(INDEX(_INDICATOR_[],MATCH(ВСЕ_КОДЫ[[#This Row],[CONTEST_CODE]],_INDICATOR_[CONTEST_CODE],0),MATCH($T$1,_INDICATOR_[#Headers],0)),"-")</f>
        <v>PPO_ALL</v>
      </c>
      <c r="U676" s="1" t="str">
        <f>IFERROR(INDEX(_reward_link_[],MATCH(ВСЕ_КОДЫ[[#This Row],[CONTEST_CODE]],_reward_link_[CONTEST_CODE],0),MATCH($U$1,_reward_link_[#Headers],0)),"-")</f>
        <v>GOSB</v>
      </c>
      <c r="V676" s="1" t="str">
        <f>IFERROR(INDEX(_report[],MATCH(ВСЕ_КОДЫ[[#This Row],[CONTEST_CODE]],_report[CONTEST_CODE],0),MATCH($V$1,_report[#Headers],0)),"-")</f>
        <v>-</v>
      </c>
      <c r="W676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76" s="1" t="str">
        <f>IFERROR(INDEX(_group_[],MATCH(CONCATENATE(ВСЕ_КОДЫ[[#This Row],[CONTEST_CODE]],"_",X$2),#REF!,0),MATCH(X$1,_group_[#Headers],0)),"-")</f>
        <v>-</v>
      </c>
      <c r="Y676" s="1" t="str">
        <f>IFERROR(INDEX(_group_[],MATCH(CONCATENATE(ВСЕ_КОДЫ[[#This Row],[CONTEST_CODE]],"_",Y$2),#REF!,0),MATCH(Y$1,_group_[#Headers],0)),"-")</f>
        <v>-</v>
      </c>
      <c r="Z676" s="1" t="str">
        <f>IFERROR(INDEX(_group_[],MATCH(CONCATENATE(ВСЕ_КОДЫ[[#This Row],[CONTEST_CODE]],"_",Z$2),#REF!,0),MATCH(Z$1,_group_[#Headers],0)),"-")</f>
        <v>-</v>
      </c>
      <c r="AA676" s="1" t="str">
        <f>IFERROR(INDEX(_group_[],MATCH(CONCATENATE(ВСЕ_КОДЫ[[#This Row],[CONTEST_CODE]],"_",AA$2),#REF!,0),MATCH(AA$1,_group_[#Headers],0)),"-")</f>
        <v>-</v>
      </c>
      <c r="AB676" s="1" t="str">
        <f>IFERROR(INDEX(_DATA_[],MATCH(ВСЕ_КОДЫ[[#This Row],[CONTEST_CODE]],_DATA_[CONTEST_CODE],0),MATCH($AB$2,_DATA_[#Headers],0)),"-")</f>
        <v>["""KMKKSB"""]</v>
      </c>
      <c r="AC676" t="str">
        <f>CONCATENATE(ВСЕ_КОДЫ[[#This Row],[CONTEST_CODE]],"_",ВСЕ_КОДЫ[[#This Row],[TOURNAMENT_CODE]])</f>
        <v>01_2025-1_02-3_1t_t_01_2025-1_02-3_1t_3041</v>
      </c>
      <c r="AD676" t="str">
        <f>ВСЕ_КОДЫ[[#This Row],[FULL_NAME]]</f>
        <v>Интернализация</v>
      </c>
    </row>
    <row r="677" spans="1:30" hidden="1" x14ac:dyDescent="0.25">
      <c r="A677" s="1" t="s">
        <v>4081</v>
      </c>
      <c r="B677" s="1" t="s">
        <v>4099</v>
      </c>
      <c r="C677" s="1" t="s">
        <v>4082</v>
      </c>
      <c r="D677" s="1" t="s">
        <v>586</v>
      </c>
      <c r="E677" s="1" t="s">
        <v>2158</v>
      </c>
      <c r="F677" s="1" t="s">
        <v>2508</v>
      </c>
      <c r="G677" s="1" t="s">
        <v>27</v>
      </c>
      <c r="H677" s="1" t="s">
        <v>34</v>
      </c>
      <c r="I677" s="1" t="s">
        <v>50</v>
      </c>
      <c r="J677" s="1" t="s">
        <v>4019</v>
      </c>
      <c r="K677" s="1" t="s">
        <v>3647</v>
      </c>
      <c r="L677" s="1" t="s">
        <v>4853</v>
      </c>
      <c r="M677" s="1" t="s">
        <v>2876</v>
      </c>
      <c r="N677" s="1" t="s">
        <v>305</v>
      </c>
      <c r="O677" s="1" t="s">
        <v>541</v>
      </c>
      <c r="Q677">
        <f>IFERROR(COUNTIFS(_report[TOURNAMENT_CODE],ВСЕ_КОДЫ[[#This Row],[TOURNAMENT_CODE]],_report[CONTEST_CODE],ВСЕ_КОДЫ[[#This Row],[CONTEST_CODE]]),"-")</f>
        <v>0</v>
      </c>
      <c r="R677" s="1" t="str">
        <f>IFERROR(INDEX(_SCHEDULE_[],MATCH(ВСЕ_КОДЫ[[#This Row],[CONTEST_CODE]],_SCHEDULE_[CONTEST_CODE],0),MATCH($R$1,_SCHEDULE_[#Headers],0)),"-")</f>
        <v>ЗАВЕРШЕН</v>
      </c>
      <c r="S677" s="1" t="str">
        <f>IFERROR(INDEX(_group_[],MATCH(ВСЕ_КОДЫ[[#This Row],[CONTEST_CODE]],_group_[CONTEST_CODE],0),MATCH($S$1,_group_[#Headers],0)),"-")</f>
        <v>BANK</v>
      </c>
      <c r="T677" s="1" t="str">
        <f>IFERROR(INDEX(_INDICATOR_[],MATCH(ВСЕ_КОДЫ[[#This Row],[CONTEST_CODE]],_INDICATOR_[CONTEST_CODE],0),MATCH($T$1,_INDICATOR_[#Headers],0)),"-")</f>
        <v>PPO_ALL</v>
      </c>
      <c r="U677" s="1" t="str">
        <f>IFERROR(INDEX(_reward_link_[],MATCH(ВСЕ_КОДЫ[[#This Row],[CONTEST_CODE]],_reward_link_[CONTEST_CODE],0),MATCH($U$1,_reward_link_[#Headers],0)),"-")</f>
        <v>GOSB</v>
      </c>
      <c r="V677" s="1" t="str">
        <f>IFERROR(INDEX(_report[],MATCH(ВСЕ_КОДЫ[[#This Row],[CONTEST_CODE]],_report[CONTEST_CODE],0),MATCH($V$1,_report[#Headers],0)),"-")</f>
        <v>-</v>
      </c>
      <c r="W677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77" s="1" t="str">
        <f>IFERROR(INDEX(_group_[],MATCH(CONCATENATE(ВСЕ_КОДЫ[[#This Row],[CONTEST_CODE]],"_",X$2),#REF!,0),MATCH(X$1,_group_[#Headers],0)),"-")</f>
        <v>-</v>
      </c>
      <c r="Y677" s="1" t="str">
        <f>IFERROR(INDEX(_group_[],MATCH(CONCATENATE(ВСЕ_КОДЫ[[#This Row],[CONTEST_CODE]],"_",Y$2),#REF!,0),MATCH(Y$1,_group_[#Headers],0)),"-")</f>
        <v>-</v>
      </c>
      <c r="Z677" s="1" t="str">
        <f>IFERROR(INDEX(_group_[],MATCH(CONCATENATE(ВСЕ_КОДЫ[[#This Row],[CONTEST_CODE]],"_",Z$2),#REF!,0),MATCH(Z$1,_group_[#Headers],0)),"-")</f>
        <v>-</v>
      </c>
      <c r="AA677" s="1" t="str">
        <f>IFERROR(INDEX(_group_[],MATCH(CONCATENATE(ВСЕ_КОДЫ[[#This Row],[CONTEST_CODE]],"_",AA$2),#REF!,0),MATCH(AA$1,_group_[#Headers],0)),"-")</f>
        <v>-</v>
      </c>
      <c r="AB677" s="1" t="str">
        <f>IFERROR(INDEX(_DATA_[],MATCH(ВСЕ_КОДЫ[[#This Row],[CONTEST_CODE]],_DATA_[CONTEST_CODE],0),MATCH($AB$2,_DATA_[#Headers],0)),"-")</f>
        <v>["""KMKKSB"""]</v>
      </c>
      <c r="AC677" t="str">
        <f>CONCATENATE(ВСЕ_КОДЫ[[#This Row],[CONTEST_CODE]],"_",ВСЕ_КОДЫ[[#This Row],[TOURNAMENT_CODE]])</f>
        <v>01_2025-1_02-3_1t_t_01_2025-1_02-3_1t_3041</v>
      </c>
      <c r="AD677" t="str">
        <f>ВСЕ_КОДЫ[[#This Row],[FULL_NAME]]</f>
        <v>Интернализация</v>
      </c>
    </row>
    <row r="678" spans="1:30" hidden="1" x14ac:dyDescent="0.25">
      <c r="A678" s="1" t="s">
        <v>4081</v>
      </c>
      <c r="B678" s="1" t="s">
        <v>4099</v>
      </c>
      <c r="C678" s="1" t="s">
        <v>4082</v>
      </c>
      <c r="D678" s="1" t="s">
        <v>586</v>
      </c>
      <c r="E678" s="1" t="s">
        <v>2158</v>
      </c>
      <c r="F678" s="1" t="s">
        <v>2508</v>
      </c>
      <c r="G678" s="1" t="s">
        <v>27</v>
      </c>
      <c r="H678" s="1" t="s">
        <v>34</v>
      </c>
      <c r="I678" s="1" t="s">
        <v>50</v>
      </c>
      <c r="J678" s="1" t="s">
        <v>4019</v>
      </c>
      <c r="K678" s="1" t="s">
        <v>3647</v>
      </c>
      <c r="L678" s="1" t="s">
        <v>4853</v>
      </c>
      <c r="M678" s="1" t="s">
        <v>2876</v>
      </c>
      <c r="N678" s="1" t="s">
        <v>305</v>
      </c>
      <c r="O678" s="1" t="s">
        <v>541</v>
      </c>
      <c r="Q678">
        <f>IFERROR(COUNTIFS(_report[TOURNAMENT_CODE],ВСЕ_КОДЫ[[#This Row],[TOURNAMENT_CODE]],_report[CONTEST_CODE],ВСЕ_КОДЫ[[#This Row],[CONTEST_CODE]]),"-")</f>
        <v>0</v>
      </c>
      <c r="R678" s="1" t="str">
        <f>IFERROR(INDEX(_SCHEDULE_[],MATCH(ВСЕ_КОДЫ[[#This Row],[CONTEST_CODE]],_SCHEDULE_[CONTEST_CODE],0),MATCH($R$1,_SCHEDULE_[#Headers],0)),"-")</f>
        <v>ЗАВЕРШЕН</v>
      </c>
      <c r="S678" s="1" t="str">
        <f>IFERROR(INDEX(_group_[],MATCH(ВСЕ_КОДЫ[[#This Row],[CONTEST_CODE]],_group_[CONTEST_CODE],0),MATCH($S$1,_group_[#Headers],0)),"-")</f>
        <v>BANK</v>
      </c>
      <c r="T678" s="1" t="str">
        <f>IFERROR(INDEX(_INDICATOR_[],MATCH(ВСЕ_КОДЫ[[#This Row],[CONTEST_CODE]],_INDICATOR_[CONTEST_CODE],0),MATCH($T$1,_INDICATOR_[#Headers],0)),"-")</f>
        <v>PPO_ALL</v>
      </c>
      <c r="U678" s="1" t="str">
        <f>IFERROR(INDEX(_reward_link_[],MATCH(ВСЕ_КОДЫ[[#This Row],[CONTEST_CODE]],_reward_link_[CONTEST_CODE],0),MATCH($U$1,_reward_link_[#Headers],0)),"-")</f>
        <v>GOSB</v>
      </c>
      <c r="V678" s="1" t="str">
        <f>IFERROR(INDEX(_report[],MATCH(ВСЕ_КОДЫ[[#This Row],[CONTEST_CODE]],_report[CONTEST_CODE],0),MATCH($V$1,_report[#Headers],0)),"-")</f>
        <v>-</v>
      </c>
      <c r="W678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78" s="1" t="str">
        <f>IFERROR(INDEX(_group_[],MATCH(CONCATENATE(ВСЕ_КОДЫ[[#This Row],[CONTEST_CODE]],"_",X$2),#REF!,0),MATCH(X$1,_group_[#Headers],0)),"-")</f>
        <v>-</v>
      </c>
      <c r="Y678" s="1" t="str">
        <f>IFERROR(INDEX(_group_[],MATCH(CONCATENATE(ВСЕ_КОДЫ[[#This Row],[CONTEST_CODE]],"_",Y$2),#REF!,0),MATCH(Y$1,_group_[#Headers],0)),"-")</f>
        <v>-</v>
      </c>
      <c r="Z678" s="1" t="str">
        <f>IFERROR(INDEX(_group_[],MATCH(CONCATENATE(ВСЕ_КОДЫ[[#This Row],[CONTEST_CODE]],"_",Z$2),#REF!,0),MATCH(Z$1,_group_[#Headers],0)),"-")</f>
        <v>-</v>
      </c>
      <c r="AA678" s="1" t="str">
        <f>IFERROR(INDEX(_group_[],MATCH(CONCATENATE(ВСЕ_КОДЫ[[#This Row],[CONTEST_CODE]],"_",AA$2),#REF!,0),MATCH(AA$1,_group_[#Headers],0)),"-")</f>
        <v>-</v>
      </c>
      <c r="AB678" s="1" t="str">
        <f>IFERROR(INDEX(_DATA_[],MATCH(ВСЕ_КОДЫ[[#This Row],[CONTEST_CODE]],_DATA_[CONTEST_CODE],0),MATCH($AB$2,_DATA_[#Headers],0)),"-")</f>
        <v>["""KMKKSB"""]</v>
      </c>
      <c r="AC678" t="str">
        <f>CONCATENATE(ВСЕ_КОДЫ[[#This Row],[CONTEST_CODE]],"_",ВСЕ_КОДЫ[[#This Row],[TOURNAMENT_CODE]])</f>
        <v>01_2025-1_02-3_1t_t_01_2025-1_02-3_1t_3041</v>
      </c>
      <c r="AD678" t="str">
        <f>ВСЕ_КОДЫ[[#This Row],[FULL_NAME]]</f>
        <v>Интернализация</v>
      </c>
    </row>
    <row r="679" spans="1:30" hidden="1" x14ac:dyDescent="0.25">
      <c r="A679" s="1" t="s">
        <v>4081</v>
      </c>
      <c r="B679" s="1" t="s">
        <v>4099</v>
      </c>
      <c r="C679" s="1" t="s">
        <v>4082</v>
      </c>
      <c r="D679" s="1" t="s">
        <v>586</v>
      </c>
      <c r="E679" s="1" t="s">
        <v>2158</v>
      </c>
      <c r="F679" s="1" t="s">
        <v>2508</v>
      </c>
      <c r="G679" s="1" t="s">
        <v>27</v>
      </c>
      <c r="H679" s="1" t="s">
        <v>34</v>
      </c>
      <c r="I679" s="1" t="s">
        <v>50</v>
      </c>
      <c r="J679" s="1" t="s">
        <v>4019</v>
      </c>
      <c r="K679" s="1" t="s">
        <v>3647</v>
      </c>
      <c r="L679" s="1" t="s">
        <v>4853</v>
      </c>
      <c r="M679" s="1" t="s">
        <v>2876</v>
      </c>
      <c r="N679" s="1" t="s">
        <v>305</v>
      </c>
      <c r="O679" s="1" t="s">
        <v>541</v>
      </c>
      <c r="Q679">
        <f>IFERROR(COUNTIFS(_report[TOURNAMENT_CODE],ВСЕ_КОДЫ[[#This Row],[TOURNAMENT_CODE]],_report[CONTEST_CODE],ВСЕ_КОДЫ[[#This Row],[CONTEST_CODE]]),"-")</f>
        <v>0</v>
      </c>
      <c r="R679" s="1" t="str">
        <f>IFERROR(INDEX(_SCHEDULE_[],MATCH(ВСЕ_КОДЫ[[#This Row],[CONTEST_CODE]],_SCHEDULE_[CONTEST_CODE],0),MATCH($R$1,_SCHEDULE_[#Headers],0)),"-")</f>
        <v>ЗАВЕРШЕН</v>
      </c>
      <c r="S679" s="1" t="str">
        <f>IFERROR(INDEX(_group_[],MATCH(ВСЕ_КОДЫ[[#This Row],[CONTEST_CODE]],_group_[CONTEST_CODE],0),MATCH($S$1,_group_[#Headers],0)),"-")</f>
        <v>BANK</v>
      </c>
      <c r="T679" s="1" t="str">
        <f>IFERROR(INDEX(_INDICATOR_[],MATCH(ВСЕ_КОДЫ[[#This Row],[CONTEST_CODE]],_INDICATOR_[CONTEST_CODE],0),MATCH($T$1,_INDICATOR_[#Headers],0)),"-")</f>
        <v>PPO_ALL</v>
      </c>
      <c r="U679" s="1" t="str">
        <f>IFERROR(INDEX(_reward_link_[],MATCH(ВСЕ_КОДЫ[[#This Row],[CONTEST_CODE]],_reward_link_[CONTEST_CODE],0),MATCH($U$1,_reward_link_[#Headers],0)),"-")</f>
        <v>GOSB</v>
      </c>
      <c r="V679" s="1" t="str">
        <f>IFERROR(INDEX(_report[],MATCH(ВСЕ_КОДЫ[[#This Row],[CONTEST_CODE]],_report[CONTEST_CODE],0),MATCH($V$1,_report[#Headers],0)),"-")</f>
        <v>-</v>
      </c>
      <c r="W679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79" s="1" t="str">
        <f>IFERROR(INDEX(_group_[],MATCH(CONCATENATE(ВСЕ_КОДЫ[[#This Row],[CONTEST_CODE]],"_",X$2),#REF!,0),MATCH(X$1,_group_[#Headers],0)),"-")</f>
        <v>-</v>
      </c>
      <c r="Y679" s="1" t="str">
        <f>IFERROR(INDEX(_group_[],MATCH(CONCATENATE(ВСЕ_КОДЫ[[#This Row],[CONTEST_CODE]],"_",Y$2),#REF!,0),MATCH(Y$1,_group_[#Headers],0)),"-")</f>
        <v>-</v>
      </c>
      <c r="Z679" s="1" t="str">
        <f>IFERROR(INDEX(_group_[],MATCH(CONCATENATE(ВСЕ_КОДЫ[[#This Row],[CONTEST_CODE]],"_",Z$2),#REF!,0),MATCH(Z$1,_group_[#Headers],0)),"-")</f>
        <v>-</v>
      </c>
      <c r="AA679" s="1" t="str">
        <f>IFERROR(INDEX(_group_[],MATCH(CONCATENATE(ВСЕ_КОДЫ[[#This Row],[CONTEST_CODE]],"_",AA$2),#REF!,0),MATCH(AA$1,_group_[#Headers],0)),"-")</f>
        <v>-</v>
      </c>
      <c r="AB679" s="1" t="str">
        <f>IFERROR(INDEX(_DATA_[],MATCH(ВСЕ_КОДЫ[[#This Row],[CONTEST_CODE]],_DATA_[CONTEST_CODE],0),MATCH($AB$2,_DATA_[#Headers],0)),"-")</f>
        <v>["""KMKKSB"""]</v>
      </c>
      <c r="AC679" t="str">
        <f>CONCATENATE(ВСЕ_КОДЫ[[#This Row],[CONTEST_CODE]],"_",ВСЕ_КОДЫ[[#This Row],[TOURNAMENT_CODE]])</f>
        <v>01_2025-1_02-3_1t_t_01_2025-1_02-3_1t_3041</v>
      </c>
      <c r="AD679" t="str">
        <f>ВСЕ_КОДЫ[[#This Row],[FULL_NAME]]</f>
        <v>Интернализация</v>
      </c>
    </row>
    <row r="680" spans="1:30" hidden="1" x14ac:dyDescent="0.25">
      <c r="A680" s="1" t="s">
        <v>4081</v>
      </c>
      <c r="B680" s="1" t="s">
        <v>4854</v>
      </c>
      <c r="C680" s="1" t="s">
        <v>4084</v>
      </c>
      <c r="D680" s="1" t="s">
        <v>583</v>
      </c>
      <c r="E680" s="1" t="s">
        <v>2158</v>
      </c>
      <c r="F680" s="1" t="s">
        <v>2508</v>
      </c>
      <c r="G680" s="1" t="s">
        <v>27</v>
      </c>
      <c r="H680" s="1" t="s">
        <v>34</v>
      </c>
      <c r="I680" s="1" t="s">
        <v>50</v>
      </c>
      <c r="J680" s="1" t="s">
        <v>2554</v>
      </c>
      <c r="K680" s="1" t="s">
        <v>4756</v>
      </c>
      <c r="L680" s="1" t="s">
        <v>4853</v>
      </c>
      <c r="M680" s="1" t="s">
        <v>34</v>
      </c>
      <c r="N680" s="1" t="s">
        <v>305</v>
      </c>
      <c r="O680" s="1" t="s">
        <v>543</v>
      </c>
      <c r="Q680">
        <f>IFERROR(COUNTIFS(_report[TOURNAMENT_CODE],ВСЕ_КОДЫ[[#This Row],[TOURNAMENT_CODE]],_report[CONTEST_CODE],ВСЕ_КОДЫ[[#This Row],[CONTEST_CODE]]),"-")</f>
        <v>0</v>
      </c>
      <c r="R680" s="1" t="str">
        <f>IFERROR(INDEX(_SCHEDULE_[],MATCH(ВСЕ_КОДЫ[[#This Row],[CONTEST_CODE]],_SCHEDULE_[CONTEST_CODE],0),MATCH($R$1,_SCHEDULE_[#Headers],0)),"-")</f>
        <v>ЗАВЕРШЕН</v>
      </c>
      <c r="S680" s="1" t="str">
        <f>IFERROR(INDEX(_group_[],MATCH(ВСЕ_КОДЫ[[#This Row],[CONTEST_CODE]],_group_[CONTEST_CODE],0),MATCH($S$1,_group_[#Headers],0)),"-")</f>
        <v>BANK</v>
      </c>
      <c r="T680" s="1" t="str">
        <f>IFERROR(INDEX(_INDICATOR_[],MATCH(ВСЕ_КОДЫ[[#This Row],[CONTEST_CODE]],_INDICATOR_[CONTEST_CODE],0),MATCH($T$1,_INDICATOR_[#Headers],0)),"-")</f>
        <v>PPO_ALL</v>
      </c>
      <c r="U680" s="1" t="str">
        <f>IFERROR(INDEX(_reward_link_[],MATCH(ВСЕ_КОДЫ[[#This Row],[CONTEST_CODE]],_reward_link_[CONTEST_CODE],0),MATCH($U$1,_reward_link_[#Headers],0)),"-")</f>
        <v>GOSB</v>
      </c>
      <c r="V680" s="1" t="str">
        <f>IFERROR(INDEX(_report[],MATCH(ВСЕ_КОДЫ[[#This Row],[CONTEST_CODE]],_report[CONTEST_CODE],0),MATCH($V$1,_report[#Headers],0)),"-")</f>
        <v>-</v>
      </c>
      <c r="W680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80" s="1" t="str">
        <f>IFERROR(INDEX(_group_[],MATCH(CONCATENATE(ВСЕ_КОДЫ[[#This Row],[CONTEST_CODE]],"_",X$2),#REF!,0),MATCH(X$1,_group_[#Headers],0)),"-")</f>
        <v>-</v>
      </c>
      <c r="Y680" s="1" t="str">
        <f>IFERROR(INDEX(_group_[],MATCH(CONCATENATE(ВСЕ_КОДЫ[[#This Row],[CONTEST_CODE]],"_",Y$2),#REF!,0),MATCH(Y$1,_group_[#Headers],0)),"-")</f>
        <v>-</v>
      </c>
      <c r="Z680" s="1" t="str">
        <f>IFERROR(INDEX(_group_[],MATCH(CONCATENATE(ВСЕ_КОДЫ[[#This Row],[CONTEST_CODE]],"_",Z$2),#REF!,0),MATCH(Z$1,_group_[#Headers],0)),"-")</f>
        <v>-</v>
      </c>
      <c r="AA680" s="1" t="str">
        <f>IFERROR(INDEX(_group_[],MATCH(CONCATENATE(ВСЕ_КОДЫ[[#This Row],[CONTEST_CODE]],"_",AA$2),#REF!,0),MATCH(AA$1,_group_[#Headers],0)),"-")</f>
        <v>-</v>
      </c>
      <c r="AB680" s="1" t="str">
        <f>IFERROR(INDEX(_DATA_[],MATCH(ВСЕ_КОДЫ[[#This Row],[CONTEST_CODE]],_DATA_[CONTEST_CODE],0),MATCH($AB$2,_DATA_[#Headers],0)),"-")</f>
        <v>["""KMKKSB"""]</v>
      </c>
      <c r="AC680" t="str">
        <f>CONCATENATE(ВСЕ_КОДЫ[[#This Row],[CONTEST_CODE]],"_",ВСЕ_КОДЫ[[#This Row],[TOURNAMENT_CODE]])</f>
        <v>01_2025-1_02-3_1t_t_01_2025-1_02-3_1t_3051</v>
      </c>
      <c r="AD680" t="str">
        <f>ВСЕ_КОДЫ[[#This Row],[FULL_NAME]]</f>
        <v>Интернализация</v>
      </c>
    </row>
    <row r="681" spans="1:30" hidden="1" x14ac:dyDescent="0.25">
      <c r="A681" s="1" t="s">
        <v>4081</v>
      </c>
      <c r="B681" s="1" t="s">
        <v>4854</v>
      </c>
      <c r="C681" s="1" t="s">
        <v>4084</v>
      </c>
      <c r="D681" s="1" t="s">
        <v>583</v>
      </c>
      <c r="E681" s="1" t="s">
        <v>2158</v>
      </c>
      <c r="F681" s="1" t="s">
        <v>2508</v>
      </c>
      <c r="G681" s="1" t="s">
        <v>27</v>
      </c>
      <c r="H681" s="1" t="s">
        <v>34</v>
      </c>
      <c r="I681" s="1" t="s">
        <v>50</v>
      </c>
      <c r="J681" s="1" t="s">
        <v>2554</v>
      </c>
      <c r="K681" s="1" t="s">
        <v>4756</v>
      </c>
      <c r="L681" s="1" t="s">
        <v>4853</v>
      </c>
      <c r="M681" s="1" t="s">
        <v>34</v>
      </c>
      <c r="N681" s="1" t="s">
        <v>305</v>
      </c>
      <c r="O681" s="1" t="s">
        <v>543</v>
      </c>
      <c r="Q681">
        <f>IFERROR(COUNTIFS(_report[TOURNAMENT_CODE],ВСЕ_КОДЫ[[#This Row],[TOURNAMENT_CODE]],_report[CONTEST_CODE],ВСЕ_КОДЫ[[#This Row],[CONTEST_CODE]]),"-")</f>
        <v>0</v>
      </c>
      <c r="R681" s="1" t="str">
        <f>IFERROR(INDEX(_SCHEDULE_[],MATCH(ВСЕ_КОДЫ[[#This Row],[CONTEST_CODE]],_SCHEDULE_[CONTEST_CODE],0),MATCH($R$1,_SCHEDULE_[#Headers],0)),"-")</f>
        <v>ЗАВЕРШЕН</v>
      </c>
      <c r="S681" s="1" t="str">
        <f>IFERROR(INDEX(_group_[],MATCH(ВСЕ_КОДЫ[[#This Row],[CONTEST_CODE]],_group_[CONTEST_CODE],0),MATCH($S$1,_group_[#Headers],0)),"-")</f>
        <v>BANK</v>
      </c>
      <c r="T681" s="1" t="str">
        <f>IFERROR(INDEX(_INDICATOR_[],MATCH(ВСЕ_КОДЫ[[#This Row],[CONTEST_CODE]],_INDICATOR_[CONTEST_CODE],0),MATCH($T$1,_INDICATOR_[#Headers],0)),"-")</f>
        <v>PPO_ALL</v>
      </c>
      <c r="U681" s="1" t="str">
        <f>IFERROR(INDEX(_reward_link_[],MATCH(ВСЕ_КОДЫ[[#This Row],[CONTEST_CODE]],_reward_link_[CONTEST_CODE],0),MATCH($U$1,_reward_link_[#Headers],0)),"-")</f>
        <v>GOSB</v>
      </c>
      <c r="V681" s="1" t="str">
        <f>IFERROR(INDEX(_report[],MATCH(ВСЕ_КОДЫ[[#This Row],[CONTEST_CODE]],_report[CONTEST_CODE],0),MATCH($V$1,_report[#Headers],0)),"-")</f>
        <v>-</v>
      </c>
      <c r="W681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81" s="1" t="str">
        <f>IFERROR(INDEX(_group_[],MATCH(CONCATENATE(ВСЕ_КОДЫ[[#This Row],[CONTEST_CODE]],"_",X$2),#REF!,0),MATCH(X$1,_group_[#Headers],0)),"-")</f>
        <v>-</v>
      </c>
      <c r="Y681" s="1" t="str">
        <f>IFERROR(INDEX(_group_[],MATCH(CONCATENATE(ВСЕ_КОДЫ[[#This Row],[CONTEST_CODE]],"_",Y$2),#REF!,0),MATCH(Y$1,_group_[#Headers],0)),"-")</f>
        <v>-</v>
      </c>
      <c r="Z681" s="1" t="str">
        <f>IFERROR(INDEX(_group_[],MATCH(CONCATENATE(ВСЕ_КОДЫ[[#This Row],[CONTEST_CODE]],"_",Z$2),#REF!,0),MATCH(Z$1,_group_[#Headers],0)),"-")</f>
        <v>-</v>
      </c>
      <c r="AA681" s="1" t="str">
        <f>IFERROR(INDEX(_group_[],MATCH(CONCATENATE(ВСЕ_КОДЫ[[#This Row],[CONTEST_CODE]],"_",AA$2),#REF!,0),MATCH(AA$1,_group_[#Headers],0)),"-")</f>
        <v>-</v>
      </c>
      <c r="AB681" s="1" t="str">
        <f>IFERROR(INDEX(_DATA_[],MATCH(ВСЕ_КОДЫ[[#This Row],[CONTEST_CODE]],_DATA_[CONTEST_CODE],0),MATCH($AB$2,_DATA_[#Headers],0)),"-")</f>
        <v>["""KMKKSB"""]</v>
      </c>
      <c r="AC681" t="str">
        <f>CONCATENATE(ВСЕ_КОДЫ[[#This Row],[CONTEST_CODE]],"_",ВСЕ_КОДЫ[[#This Row],[TOURNAMENT_CODE]])</f>
        <v>01_2025-1_02-3_1t_t_01_2025-1_02-3_1t_3051</v>
      </c>
      <c r="AD681" t="str">
        <f>ВСЕ_КОДЫ[[#This Row],[FULL_NAME]]</f>
        <v>Интернализация</v>
      </c>
    </row>
    <row r="682" spans="1:30" hidden="1" x14ac:dyDescent="0.25">
      <c r="A682" s="1" t="s">
        <v>4081</v>
      </c>
      <c r="B682" s="1" t="s">
        <v>4854</v>
      </c>
      <c r="C682" s="1" t="s">
        <v>4084</v>
      </c>
      <c r="D682" s="1" t="s">
        <v>583</v>
      </c>
      <c r="E682" s="1" t="s">
        <v>2158</v>
      </c>
      <c r="F682" s="1" t="s">
        <v>2508</v>
      </c>
      <c r="G682" s="1" t="s">
        <v>27</v>
      </c>
      <c r="H682" s="1" t="s">
        <v>34</v>
      </c>
      <c r="I682" s="1" t="s">
        <v>50</v>
      </c>
      <c r="J682" s="1" t="s">
        <v>2554</v>
      </c>
      <c r="K682" s="1" t="s">
        <v>4756</v>
      </c>
      <c r="L682" s="1" t="s">
        <v>4853</v>
      </c>
      <c r="M682" s="1" t="s">
        <v>34</v>
      </c>
      <c r="N682" s="1" t="s">
        <v>305</v>
      </c>
      <c r="O682" s="1" t="s">
        <v>543</v>
      </c>
      <c r="Q682">
        <f>IFERROR(COUNTIFS(_report[TOURNAMENT_CODE],ВСЕ_КОДЫ[[#This Row],[TOURNAMENT_CODE]],_report[CONTEST_CODE],ВСЕ_КОДЫ[[#This Row],[CONTEST_CODE]]),"-")</f>
        <v>0</v>
      </c>
      <c r="R682" s="1" t="str">
        <f>IFERROR(INDEX(_SCHEDULE_[],MATCH(ВСЕ_КОДЫ[[#This Row],[CONTEST_CODE]],_SCHEDULE_[CONTEST_CODE],0),MATCH($R$1,_SCHEDULE_[#Headers],0)),"-")</f>
        <v>ЗАВЕРШЕН</v>
      </c>
      <c r="S682" s="1" t="str">
        <f>IFERROR(INDEX(_group_[],MATCH(ВСЕ_КОДЫ[[#This Row],[CONTEST_CODE]],_group_[CONTEST_CODE],0),MATCH($S$1,_group_[#Headers],0)),"-")</f>
        <v>BANK</v>
      </c>
      <c r="T682" s="1" t="str">
        <f>IFERROR(INDEX(_INDICATOR_[],MATCH(ВСЕ_КОДЫ[[#This Row],[CONTEST_CODE]],_INDICATOR_[CONTEST_CODE],0),MATCH($T$1,_INDICATOR_[#Headers],0)),"-")</f>
        <v>PPO_ALL</v>
      </c>
      <c r="U682" s="1" t="str">
        <f>IFERROR(INDEX(_reward_link_[],MATCH(ВСЕ_КОДЫ[[#This Row],[CONTEST_CODE]],_reward_link_[CONTEST_CODE],0),MATCH($U$1,_reward_link_[#Headers],0)),"-")</f>
        <v>GOSB</v>
      </c>
      <c r="V682" s="1" t="str">
        <f>IFERROR(INDEX(_report[],MATCH(ВСЕ_КОДЫ[[#This Row],[CONTEST_CODE]],_report[CONTEST_CODE],0),MATCH($V$1,_report[#Headers],0)),"-")</f>
        <v>-</v>
      </c>
      <c r="W682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82" s="1" t="str">
        <f>IFERROR(INDEX(_group_[],MATCH(CONCATENATE(ВСЕ_КОДЫ[[#This Row],[CONTEST_CODE]],"_",X$2),#REF!,0),MATCH(X$1,_group_[#Headers],0)),"-")</f>
        <v>-</v>
      </c>
      <c r="Y682" s="1" t="str">
        <f>IFERROR(INDEX(_group_[],MATCH(CONCATENATE(ВСЕ_КОДЫ[[#This Row],[CONTEST_CODE]],"_",Y$2),#REF!,0),MATCH(Y$1,_group_[#Headers],0)),"-")</f>
        <v>-</v>
      </c>
      <c r="Z682" s="1" t="str">
        <f>IFERROR(INDEX(_group_[],MATCH(CONCATENATE(ВСЕ_КОДЫ[[#This Row],[CONTEST_CODE]],"_",Z$2),#REF!,0),MATCH(Z$1,_group_[#Headers],0)),"-")</f>
        <v>-</v>
      </c>
      <c r="AA682" s="1" t="str">
        <f>IFERROR(INDEX(_group_[],MATCH(CONCATENATE(ВСЕ_КОДЫ[[#This Row],[CONTEST_CODE]],"_",AA$2),#REF!,0),MATCH(AA$1,_group_[#Headers],0)),"-")</f>
        <v>-</v>
      </c>
      <c r="AB682" s="1" t="str">
        <f>IFERROR(INDEX(_DATA_[],MATCH(ВСЕ_КОДЫ[[#This Row],[CONTEST_CODE]],_DATA_[CONTEST_CODE],0),MATCH($AB$2,_DATA_[#Headers],0)),"-")</f>
        <v>["""KMKKSB"""]</v>
      </c>
      <c r="AC682" t="str">
        <f>CONCATENATE(ВСЕ_КОДЫ[[#This Row],[CONTEST_CODE]],"_",ВСЕ_КОДЫ[[#This Row],[TOURNAMENT_CODE]])</f>
        <v>01_2025-1_02-3_1t_t_01_2025-1_02-3_1t_3051</v>
      </c>
      <c r="AD682" t="str">
        <f>ВСЕ_КОДЫ[[#This Row],[FULL_NAME]]</f>
        <v>Интернализация</v>
      </c>
    </row>
    <row r="683" spans="1:30" hidden="1" x14ac:dyDescent="0.25">
      <c r="A683" s="1" t="s">
        <v>4081</v>
      </c>
      <c r="B683" s="1" t="s">
        <v>4854</v>
      </c>
      <c r="C683" s="1" t="s">
        <v>4084</v>
      </c>
      <c r="D683" s="1" t="s">
        <v>583</v>
      </c>
      <c r="E683" s="1" t="s">
        <v>2158</v>
      </c>
      <c r="F683" s="1" t="s">
        <v>2508</v>
      </c>
      <c r="G683" s="1" t="s">
        <v>27</v>
      </c>
      <c r="H683" s="1" t="s">
        <v>34</v>
      </c>
      <c r="I683" s="1" t="s">
        <v>50</v>
      </c>
      <c r="J683" s="1" t="s">
        <v>2554</v>
      </c>
      <c r="K683" s="1" t="s">
        <v>4756</v>
      </c>
      <c r="L683" s="1" t="s">
        <v>4853</v>
      </c>
      <c r="M683" s="1" t="s">
        <v>34</v>
      </c>
      <c r="N683" s="1" t="s">
        <v>305</v>
      </c>
      <c r="O683" s="1" t="s">
        <v>543</v>
      </c>
      <c r="Q683">
        <f>IFERROR(COUNTIFS(_report[TOURNAMENT_CODE],ВСЕ_КОДЫ[[#This Row],[TOURNAMENT_CODE]],_report[CONTEST_CODE],ВСЕ_КОДЫ[[#This Row],[CONTEST_CODE]]),"-")</f>
        <v>0</v>
      </c>
      <c r="R683" s="1" t="str">
        <f>IFERROR(INDEX(_SCHEDULE_[],MATCH(ВСЕ_КОДЫ[[#This Row],[CONTEST_CODE]],_SCHEDULE_[CONTEST_CODE],0),MATCH($R$1,_SCHEDULE_[#Headers],0)),"-")</f>
        <v>ЗАВЕРШЕН</v>
      </c>
      <c r="S683" s="1" t="str">
        <f>IFERROR(INDEX(_group_[],MATCH(ВСЕ_КОДЫ[[#This Row],[CONTEST_CODE]],_group_[CONTEST_CODE],0),MATCH($S$1,_group_[#Headers],0)),"-")</f>
        <v>BANK</v>
      </c>
      <c r="T683" s="1" t="str">
        <f>IFERROR(INDEX(_INDICATOR_[],MATCH(ВСЕ_КОДЫ[[#This Row],[CONTEST_CODE]],_INDICATOR_[CONTEST_CODE],0),MATCH($T$1,_INDICATOR_[#Headers],0)),"-")</f>
        <v>PPO_ALL</v>
      </c>
      <c r="U683" s="1" t="str">
        <f>IFERROR(INDEX(_reward_link_[],MATCH(ВСЕ_КОДЫ[[#This Row],[CONTEST_CODE]],_reward_link_[CONTEST_CODE],0),MATCH($U$1,_reward_link_[#Headers],0)),"-")</f>
        <v>GOSB</v>
      </c>
      <c r="V683" s="1" t="str">
        <f>IFERROR(INDEX(_report[],MATCH(ВСЕ_КОДЫ[[#This Row],[CONTEST_CODE]],_report[CONTEST_CODE],0),MATCH($V$1,_report[#Headers],0)),"-")</f>
        <v>-</v>
      </c>
      <c r="W683" s="1" t="str">
        <f>IFERROR(INDEX(_reward_[],MATCH(ВСЕ_КОДЫ[[#This Row],[REWARD_CODE]],_reward_[REWARD_CODE],0),MATCH($W$1,_reward_[#Headers],0)),"-")</f>
        <v>Чемпион страны по приросту интернализации</v>
      </c>
      <c r="X683" s="1" t="str">
        <f>IFERROR(INDEX(_group_[],MATCH(CONCATENATE(ВСЕ_КОДЫ[[#This Row],[CONTEST_CODE]],"_",X$2),#REF!,0),MATCH(X$1,_group_[#Headers],0)),"-")</f>
        <v>-</v>
      </c>
      <c r="Y683" s="1" t="str">
        <f>IFERROR(INDEX(_group_[],MATCH(CONCATENATE(ВСЕ_КОДЫ[[#This Row],[CONTEST_CODE]],"_",Y$2),#REF!,0),MATCH(Y$1,_group_[#Headers],0)),"-")</f>
        <v>-</v>
      </c>
      <c r="Z683" s="1" t="str">
        <f>IFERROR(INDEX(_group_[],MATCH(CONCATENATE(ВСЕ_КОДЫ[[#This Row],[CONTEST_CODE]],"_",Z$2),#REF!,0),MATCH(Z$1,_group_[#Headers],0)),"-")</f>
        <v>-</v>
      </c>
      <c r="AA683" s="1" t="str">
        <f>IFERROR(INDEX(_group_[],MATCH(CONCATENATE(ВСЕ_КОДЫ[[#This Row],[CONTEST_CODE]],"_",AA$2),#REF!,0),MATCH(AA$1,_group_[#Headers],0)),"-")</f>
        <v>-</v>
      </c>
      <c r="AB683" s="1" t="str">
        <f>IFERROR(INDEX(_DATA_[],MATCH(ВСЕ_КОДЫ[[#This Row],[CONTEST_CODE]],_DATA_[CONTEST_CODE],0),MATCH($AB$2,_DATA_[#Headers],0)),"-")</f>
        <v>["""KMKKSB"""]</v>
      </c>
      <c r="AC683" t="str">
        <f>CONCATENATE(ВСЕ_КОДЫ[[#This Row],[CONTEST_CODE]],"_",ВСЕ_КОДЫ[[#This Row],[TOURNAMENT_CODE]])</f>
        <v>01_2025-1_02-3_1t_t_01_2025-1_02-3_1t_3051</v>
      </c>
      <c r="AD683" t="str">
        <f>ВСЕ_КОДЫ[[#This Row],[FULL_NAME]]</f>
        <v>Интернализация</v>
      </c>
    </row>
    <row r="684" spans="1:30" hidden="1" x14ac:dyDescent="0.25">
      <c r="A684" s="1" t="s">
        <v>4081</v>
      </c>
      <c r="B684" s="1" t="s">
        <v>4854</v>
      </c>
      <c r="C684" s="1" t="s">
        <v>4079</v>
      </c>
      <c r="D684" s="1" t="s">
        <v>584</v>
      </c>
      <c r="E684" s="1" t="s">
        <v>2158</v>
      </c>
      <c r="F684" s="1" t="s">
        <v>2508</v>
      </c>
      <c r="G684" s="1" t="s">
        <v>27</v>
      </c>
      <c r="H684" s="1" t="s">
        <v>34</v>
      </c>
      <c r="I684" s="1" t="s">
        <v>50</v>
      </c>
      <c r="J684" s="1" t="s">
        <v>2554</v>
      </c>
      <c r="K684" s="1" t="s">
        <v>4756</v>
      </c>
      <c r="L684" s="1" t="s">
        <v>4853</v>
      </c>
      <c r="M684" s="1" t="s">
        <v>34</v>
      </c>
      <c r="N684" s="1" t="s">
        <v>305</v>
      </c>
      <c r="O684" s="1" t="s">
        <v>536</v>
      </c>
      <c r="Q684">
        <f>IFERROR(COUNTIFS(_report[TOURNAMENT_CODE],ВСЕ_КОДЫ[[#This Row],[TOURNAMENT_CODE]],_report[CONTEST_CODE],ВСЕ_КОДЫ[[#This Row],[CONTEST_CODE]]),"-")</f>
        <v>0</v>
      </c>
      <c r="R684" s="1" t="str">
        <f>IFERROR(INDEX(_SCHEDULE_[],MATCH(ВСЕ_КОДЫ[[#This Row],[CONTEST_CODE]],_SCHEDULE_[CONTEST_CODE],0),MATCH($R$1,_SCHEDULE_[#Headers],0)),"-")</f>
        <v>ЗАВЕРШЕН</v>
      </c>
      <c r="S684" s="1" t="str">
        <f>IFERROR(INDEX(_group_[],MATCH(ВСЕ_КОДЫ[[#This Row],[CONTEST_CODE]],_group_[CONTEST_CODE],0),MATCH($S$1,_group_[#Headers],0)),"-")</f>
        <v>BANK</v>
      </c>
      <c r="T684" s="1" t="str">
        <f>IFERROR(INDEX(_INDICATOR_[],MATCH(ВСЕ_КОДЫ[[#This Row],[CONTEST_CODE]],_INDICATOR_[CONTEST_CODE],0),MATCH($T$1,_INDICATOR_[#Headers],0)),"-")</f>
        <v>PPO_ALL</v>
      </c>
      <c r="U684" s="1" t="str">
        <f>IFERROR(INDEX(_reward_link_[],MATCH(ВСЕ_КОДЫ[[#This Row],[CONTEST_CODE]],_reward_link_[CONTEST_CODE],0),MATCH($U$1,_reward_link_[#Headers],0)),"-")</f>
        <v>GOSB</v>
      </c>
      <c r="V684" s="1" t="str">
        <f>IFERROR(INDEX(_report[],MATCH(ВСЕ_КОДЫ[[#This Row],[CONTEST_CODE]],_report[CONTEST_CODE],0),MATCH($V$1,_report[#Headers],0)),"-")</f>
        <v>-</v>
      </c>
      <c r="W684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84" s="1" t="str">
        <f>IFERROR(INDEX(_group_[],MATCH(CONCATENATE(ВСЕ_КОДЫ[[#This Row],[CONTEST_CODE]],"_",X$2),#REF!,0),MATCH(X$1,_group_[#Headers],0)),"-")</f>
        <v>-</v>
      </c>
      <c r="Y684" s="1" t="str">
        <f>IFERROR(INDEX(_group_[],MATCH(CONCATENATE(ВСЕ_КОДЫ[[#This Row],[CONTEST_CODE]],"_",Y$2),#REF!,0),MATCH(Y$1,_group_[#Headers],0)),"-")</f>
        <v>-</v>
      </c>
      <c r="Z684" s="1" t="str">
        <f>IFERROR(INDEX(_group_[],MATCH(CONCATENATE(ВСЕ_КОДЫ[[#This Row],[CONTEST_CODE]],"_",Z$2),#REF!,0),MATCH(Z$1,_group_[#Headers],0)),"-")</f>
        <v>-</v>
      </c>
      <c r="AA684" s="1" t="str">
        <f>IFERROR(INDEX(_group_[],MATCH(CONCATENATE(ВСЕ_КОДЫ[[#This Row],[CONTEST_CODE]],"_",AA$2),#REF!,0),MATCH(AA$1,_group_[#Headers],0)),"-")</f>
        <v>-</v>
      </c>
      <c r="AB684" s="1" t="str">
        <f>IFERROR(INDEX(_DATA_[],MATCH(ВСЕ_КОДЫ[[#This Row],[CONTEST_CODE]],_DATA_[CONTEST_CODE],0),MATCH($AB$2,_DATA_[#Headers],0)),"-")</f>
        <v>["""KMKKSB"""]</v>
      </c>
      <c r="AC684" t="str">
        <f>CONCATENATE(ВСЕ_КОДЫ[[#This Row],[CONTEST_CODE]],"_",ВСЕ_КОДЫ[[#This Row],[TOURNAMENT_CODE]])</f>
        <v>01_2025-1_02-3_1t_t_01_2025-1_02-3_1t_3051</v>
      </c>
      <c r="AD684" t="str">
        <f>ВСЕ_КОДЫ[[#This Row],[FULL_NAME]]</f>
        <v>Интернализация</v>
      </c>
    </row>
    <row r="685" spans="1:30" hidden="1" x14ac:dyDescent="0.25">
      <c r="A685" s="1" t="s">
        <v>4081</v>
      </c>
      <c r="B685" s="1" t="s">
        <v>4854</v>
      </c>
      <c r="C685" s="1" t="s">
        <v>4079</v>
      </c>
      <c r="D685" s="1" t="s">
        <v>584</v>
      </c>
      <c r="E685" s="1" t="s">
        <v>2158</v>
      </c>
      <c r="F685" s="1" t="s">
        <v>2508</v>
      </c>
      <c r="G685" s="1" t="s">
        <v>27</v>
      </c>
      <c r="H685" s="1" t="s">
        <v>34</v>
      </c>
      <c r="I685" s="1" t="s">
        <v>50</v>
      </c>
      <c r="J685" s="1" t="s">
        <v>2554</v>
      </c>
      <c r="K685" s="1" t="s">
        <v>4756</v>
      </c>
      <c r="L685" s="1" t="s">
        <v>4853</v>
      </c>
      <c r="M685" s="1" t="s">
        <v>34</v>
      </c>
      <c r="N685" s="1" t="s">
        <v>305</v>
      </c>
      <c r="O685" s="1" t="s">
        <v>536</v>
      </c>
      <c r="Q685">
        <f>IFERROR(COUNTIFS(_report[TOURNAMENT_CODE],ВСЕ_КОДЫ[[#This Row],[TOURNAMENT_CODE]],_report[CONTEST_CODE],ВСЕ_КОДЫ[[#This Row],[CONTEST_CODE]]),"-")</f>
        <v>0</v>
      </c>
      <c r="R685" s="1" t="str">
        <f>IFERROR(INDEX(_SCHEDULE_[],MATCH(ВСЕ_КОДЫ[[#This Row],[CONTEST_CODE]],_SCHEDULE_[CONTEST_CODE],0),MATCH($R$1,_SCHEDULE_[#Headers],0)),"-")</f>
        <v>ЗАВЕРШЕН</v>
      </c>
      <c r="S685" s="1" t="str">
        <f>IFERROR(INDEX(_group_[],MATCH(ВСЕ_КОДЫ[[#This Row],[CONTEST_CODE]],_group_[CONTEST_CODE],0),MATCH($S$1,_group_[#Headers],0)),"-")</f>
        <v>BANK</v>
      </c>
      <c r="T685" s="1" t="str">
        <f>IFERROR(INDEX(_INDICATOR_[],MATCH(ВСЕ_КОДЫ[[#This Row],[CONTEST_CODE]],_INDICATOR_[CONTEST_CODE],0),MATCH($T$1,_INDICATOR_[#Headers],0)),"-")</f>
        <v>PPO_ALL</v>
      </c>
      <c r="U685" s="1" t="str">
        <f>IFERROR(INDEX(_reward_link_[],MATCH(ВСЕ_КОДЫ[[#This Row],[CONTEST_CODE]],_reward_link_[CONTEST_CODE],0),MATCH($U$1,_reward_link_[#Headers],0)),"-")</f>
        <v>GOSB</v>
      </c>
      <c r="V685" s="1" t="str">
        <f>IFERROR(INDEX(_report[],MATCH(ВСЕ_КОДЫ[[#This Row],[CONTEST_CODE]],_report[CONTEST_CODE],0),MATCH($V$1,_report[#Headers],0)),"-")</f>
        <v>-</v>
      </c>
      <c r="W685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85" s="1" t="str">
        <f>IFERROR(INDEX(_group_[],MATCH(CONCATENATE(ВСЕ_КОДЫ[[#This Row],[CONTEST_CODE]],"_",X$2),#REF!,0),MATCH(X$1,_group_[#Headers],0)),"-")</f>
        <v>-</v>
      </c>
      <c r="Y685" s="1" t="str">
        <f>IFERROR(INDEX(_group_[],MATCH(CONCATENATE(ВСЕ_КОДЫ[[#This Row],[CONTEST_CODE]],"_",Y$2),#REF!,0),MATCH(Y$1,_group_[#Headers],0)),"-")</f>
        <v>-</v>
      </c>
      <c r="Z685" s="1" t="str">
        <f>IFERROR(INDEX(_group_[],MATCH(CONCATENATE(ВСЕ_КОДЫ[[#This Row],[CONTEST_CODE]],"_",Z$2),#REF!,0),MATCH(Z$1,_group_[#Headers],0)),"-")</f>
        <v>-</v>
      </c>
      <c r="AA685" s="1" t="str">
        <f>IFERROR(INDEX(_group_[],MATCH(CONCATENATE(ВСЕ_КОДЫ[[#This Row],[CONTEST_CODE]],"_",AA$2),#REF!,0),MATCH(AA$1,_group_[#Headers],0)),"-")</f>
        <v>-</v>
      </c>
      <c r="AB685" s="1" t="str">
        <f>IFERROR(INDEX(_DATA_[],MATCH(ВСЕ_КОДЫ[[#This Row],[CONTEST_CODE]],_DATA_[CONTEST_CODE],0),MATCH($AB$2,_DATA_[#Headers],0)),"-")</f>
        <v>["""KMKKSB"""]</v>
      </c>
      <c r="AC685" t="str">
        <f>CONCATENATE(ВСЕ_КОДЫ[[#This Row],[CONTEST_CODE]],"_",ВСЕ_КОДЫ[[#This Row],[TOURNAMENT_CODE]])</f>
        <v>01_2025-1_02-3_1t_t_01_2025-1_02-3_1t_3051</v>
      </c>
      <c r="AD685" t="str">
        <f>ВСЕ_КОДЫ[[#This Row],[FULL_NAME]]</f>
        <v>Интернализация</v>
      </c>
    </row>
    <row r="686" spans="1:30" hidden="1" x14ac:dyDescent="0.25">
      <c r="A686" s="1" t="s">
        <v>4081</v>
      </c>
      <c r="B686" s="1" t="s">
        <v>4854</v>
      </c>
      <c r="C686" s="1" t="s">
        <v>4079</v>
      </c>
      <c r="D686" s="1" t="s">
        <v>584</v>
      </c>
      <c r="E686" s="1" t="s">
        <v>2158</v>
      </c>
      <c r="F686" s="1" t="s">
        <v>2508</v>
      </c>
      <c r="G686" s="1" t="s">
        <v>27</v>
      </c>
      <c r="H686" s="1" t="s">
        <v>34</v>
      </c>
      <c r="I686" s="1" t="s">
        <v>50</v>
      </c>
      <c r="J686" s="1" t="s">
        <v>2554</v>
      </c>
      <c r="K686" s="1" t="s">
        <v>4756</v>
      </c>
      <c r="L686" s="1" t="s">
        <v>4853</v>
      </c>
      <c r="M686" s="1" t="s">
        <v>34</v>
      </c>
      <c r="N686" s="1" t="s">
        <v>305</v>
      </c>
      <c r="O686" s="1" t="s">
        <v>536</v>
      </c>
      <c r="Q686">
        <f>IFERROR(COUNTIFS(_report[TOURNAMENT_CODE],ВСЕ_КОДЫ[[#This Row],[TOURNAMENT_CODE]],_report[CONTEST_CODE],ВСЕ_КОДЫ[[#This Row],[CONTEST_CODE]]),"-")</f>
        <v>0</v>
      </c>
      <c r="R686" s="1" t="str">
        <f>IFERROR(INDEX(_SCHEDULE_[],MATCH(ВСЕ_КОДЫ[[#This Row],[CONTEST_CODE]],_SCHEDULE_[CONTEST_CODE],0),MATCH($R$1,_SCHEDULE_[#Headers],0)),"-")</f>
        <v>ЗАВЕРШЕН</v>
      </c>
      <c r="S686" s="1" t="str">
        <f>IFERROR(INDEX(_group_[],MATCH(ВСЕ_КОДЫ[[#This Row],[CONTEST_CODE]],_group_[CONTEST_CODE],0),MATCH($S$1,_group_[#Headers],0)),"-")</f>
        <v>BANK</v>
      </c>
      <c r="T686" s="1" t="str">
        <f>IFERROR(INDEX(_INDICATOR_[],MATCH(ВСЕ_КОДЫ[[#This Row],[CONTEST_CODE]],_INDICATOR_[CONTEST_CODE],0),MATCH($T$1,_INDICATOR_[#Headers],0)),"-")</f>
        <v>PPO_ALL</v>
      </c>
      <c r="U686" s="1" t="str">
        <f>IFERROR(INDEX(_reward_link_[],MATCH(ВСЕ_КОДЫ[[#This Row],[CONTEST_CODE]],_reward_link_[CONTEST_CODE],0),MATCH($U$1,_reward_link_[#Headers],0)),"-")</f>
        <v>GOSB</v>
      </c>
      <c r="V686" s="1" t="str">
        <f>IFERROR(INDEX(_report[],MATCH(ВСЕ_КОДЫ[[#This Row],[CONTEST_CODE]],_report[CONTEST_CODE],0),MATCH($V$1,_report[#Headers],0)),"-")</f>
        <v>-</v>
      </c>
      <c r="W686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86" s="1" t="str">
        <f>IFERROR(INDEX(_group_[],MATCH(CONCATENATE(ВСЕ_КОДЫ[[#This Row],[CONTEST_CODE]],"_",X$2),#REF!,0),MATCH(X$1,_group_[#Headers],0)),"-")</f>
        <v>-</v>
      </c>
      <c r="Y686" s="1" t="str">
        <f>IFERROR(INDEX(_group_[],MATCH(CONCATENATE(ВСЕ_КОДЫ[[#This Row],[CONTEST_CODE]],"_",Y$2),#REF!,0),MATCH(Y$1,_group_[#Headers],0)),"-")</f>
        <v>-</v>
      </c>
      <c r="Z686" s="1" t="str">
        <f>IFERROR(INDEX(_group_[],MATCH(CONCATENATE(ВСЕ_КОДЫ[[#This Row],[CONTEST_CODE]],"_",Z$2),#REF!,0),MATCH(Z$1,_group_[#Headers],0)),"-")</f>
        <v>-</v>
      </c>
      <c r="AA686" s="1" t="str">
        <f>IFERROR(INDEX(_group_[],MATCH(CONCATENATE(ВСЕ_КОДЫ[[#This Row],[CONTEST_CODE]],"_",AA$2),#REF!,0),MATCH(AA$1,_group_[#Headers],0)),"-")</f>
        <v>-</v>
      </c>
      <c r="AB686" s="1" t="str">
        <f>IFERROR(INDEX(_DATA_[],MATCH(ВСЕ_КОДЫ[[#This Row],[CONTEST_CODE]],_DATA_[CONTEST_CODE],0),MATCH($AB$2,_DATA_[#Headers],0)),"-")</f>
        <v>["""KMKKSB"""]</v>
      </c>
      <c r="AC686" t="str">
        <f>CONCATENATE(ВСЕ_КОДЫ[[#This Row],[CONTEST_CODE]],"_",ВСЕ_КОДЫ[[#This Row],[TOURNAMENT_CODE]])</f>
        <v>01_2025-1_02-3_1t_t_01_2025-1_02-3_1t_3051</v>
      </c>
      <c r="AD686" t="str">
        <f>ВСЕ_КОДЫ[[#This Row],[FULL_NAME]]</f>
        <v>Интернализация</v>
      </c>
    </row>
    <row r="687" spans="1:30" hidden="1" x14ac:dyDescent="0.25">
      <c r="A687" s="1" t="s">
        <v>4081</v>
      </c>
      <c r="B687" s="1" t="s">
        <v>4854</v>
      </c>
      <c r="C687" s="1" t="s">
        <v>4079</v>
      </c>
      <c r="D687" s="1" t="s">
        <v>584</v>
      </c>
      <c r="E687" s="1" t="s">
        <v>2158</v>
      </c>
      <c r="F687" s="1" t="s">
        <v>2508</v>
      </c>
      <c r="G687" s="1" t="s">
        <v>27</v>
      </c>
      <c r="H687" s="1" t="s">
        <v>34</v>
      </c>
      <c r="I687" s="1" t="s">
        <v>50</v>
      </c>
      <c r="J687" s="1" t="s">
        <v>2554</v>
      </c>
      <c r="K687" s="1" t="s">
        <v>4756</v>
      </c>
      <c r="L687" s="1" t="s">
        <v>4853</v>
      </c>
      <c r="M687" s="1" t="s">
        <v>34</v>
      </c>
      <c r="N687" s="1" t="s">
        <v>305</v>
      </c>
      <c r="O687" s="1" t="s">
        <v>536</v>
      </c>
      <c r="Q687">
        <f>IFERROR(COUNTIFS(_report[TOURNAMENT_CODE],ВСЕ_КОДЫ[[#This Row],[TOURNAMENT_CODE]],_report[CONTEST_CODE],ВСЕ_КОДЫ[[#This Row],[CONTEST_CODE]]),"-")</f>
        <v>0</v>
      </c>
      <c r="R687" s="1" t="str">
        <f>IFERROR(INDEX(_SCHEDULE_[],MATCH(ВСЕ_КОДЫ[[#This Row],[CONTEST_CODE]],_SCHEDULE_[CONTEST_CODE],0),MATCH($R$1,_SCHEDULE_[#Headers],0)),"-")</f>
        <v>ЗАВЕРШЕН</v>
      </c>
      <c r="S687" s="1" t="str">
        <f>IFERROR(INDEX(_group_[],MATCH(ВСЕ_КОДЫ[[#This Row],[CONTEST_CODE]],_group_[CONTEST_CODE],0),MATCH($S$1,_group_[#Headers],0)),"-")</f>
        <v>BANK</v>
      </c>
      <c r="T687" s="1" t="str">
        <f>IFERROR(INDEX(_INDICATOR_[],MATCH(ВСЕ_КОДЫ[[#This Row],[CONTEST_CODE]],_INDICATOR_[CONTEST_CODE],0),MATCH($T$1,_INDICATOR_[#Headers],0)),"-")</f>
        <v>PPO_ALL</v>
      </c>
      <c r="U687" s="1" t="str">
        <f>IFERROR(INDEX(_reward_link_[],MATCH(ВСЕ_КОДЫ[[#This Row],[CONTEST_CODE]],_reward_link_[CONTEST_CODE],0),MATCH($U$1,_reward_link_[#Headers],0)),"-")</f>
        <v>GOSB</v>
      </c>
      <c r="V687" s="1" t="str">
        <f>IFERROR(INDEX(_report[],MATCH(ВСЕ_КОДЫ[[#This Row],[CONTEST_CODE]],_report[CONTEST_CODE],0),MATCH($V$1,_report[#Headers],0)),"-")</f>
        <v>-</v>
      </c>
      <c r="W687" s="1" t="str">
        <f>IFERROR(INDEX(_reward_[],MATCH(ВСЕ_КОДЫ[[#This Row],[REWARD_CODE]],_reward_[REWARD_CODE],0),MATCH($W$1,_reward_[#Headers],0)),"-")</f>
        <v>Лучший в подразделении по приросту интернализации</v>
      </c>
      <c r="X687" s="1" t="str">
        <f>IFERROR(INDEX(_group_[],MATCH(CONCATENATE(ВСЕ_КОДЫ[[#This Row],[CONTEST_CODE]],"_",X$2),#REF!,0),MATCH(X$1,_group_[#Headers],0)),"-")</f>
        <v>-</v>
      </c>
      <c r="Y687" s="1" t="str">
        <f>IFERROR(INDEX(_group_[],MATCH(CONCATENATE(ВСЕ_КОДЫ[[#This Row],[CONTEST_CODE]],"_",Y$2),#REF!,0),MATCH(Y$1,_group_[#Headers],0)),"-")</f>
        <v>-</v>
      </c>
      <c r="Z687" s="1" t="str">
        <f>IFERROR(INDEX(_group_[],MATCH(CONCATENATE(ВСЕ_КОДЫ[[#This Row],[CONTEST_CODE]],"_",Z$2),#REF!,0),MATCH(Z$1,_group_[#Headers],0)),"-")</f>
        <v>-</v>
      </c>
      <c r="AA687" s="1" t="str">
        <f>IFERROR(INDEX(_group_[],MATCH(CONCATENATE(ВСЕ_КОДЫ[[#This Row],[CONTEST_CODE]],"_",AA$2),#REF!,0),MATCH(AA$1,_group_[#Headers],0)),"-")</f>
        <v>-</v>
      </c>
      <c r="AB687" s="1" t="str">
        <f>IFERROR(INDEX(_DATA_[],MATCH(ВСЕ_КОДЫ[[#This Row],[CONTEST_CODE]],_DATA_[CONTEST_CODE],0),MATCH($AB$2,_DATA_[#Headers],0)),"-")</f>
        <v>["""KMKKSB"""]</v>
      </c>
      <c r="AC687" t="str">
        <f>CONCATENATE(ВСЕ_КОДЫ[[#This Row],[CONTEST_CODE]],"_",ВСЕ_КОДЫ[[#This Row],[TOURNAMENT_CODE]])</f>
        <v>01_2025-1_02-3_1t_t_01_2025-1_02-3_1t_3051</v>
      </c>
      <c r="AD687" t="str">
        <f>ВСЕ_КОДЫ[[#This Row],[FULL_NAME]]</f>
        <v>Интернализация</v>
      </c>
    </row>
    <row r="688" spans="1:30" hidden="1" x14ac:dyDescent="0.25">
      <c r="A688" s="1" t="s">
        <v>4081</v>
      </c>
      <c r="B688" s="1" t="s">
        <v>4854</v>
      </c>
      <c r="C688" s="1" t="s">
        <v>4082</v>
      </c>
      <c r="D688" s="1" t="s">
        <v>586</v>
      </c>
      <c r="E688" s="1" t="s">
        <v>2158</v>
      </c>
      <c r="F688" s="1" t="s">
        <v>2508</v>
      </c>
      <c r="G688" s="1" t="s">
        <v>27</v>
      </c>
      <c r="H688" s="1" t="s">
        <v>34</v>
      </c>
      <c r="I688" s="1" t="s">
        <v>50</v>
      </c>
      <c r="J688" s="1" t="s">
        <v>2554</v>
      </c>
      <c r="K688" s="1" t="s">
        <v>4756</v>
      </c>
      <c r="L688" s="1" t="s">
        <v>4853</v>
      </c>
      <c r="M688" s="1" t="s">
        <v>34</v>
      </c>
      <c r="N688" s="1" t="s">
        <v>305</v>
      </c>
      <c r="O688" s="1" t="s">
        <v>541</v>
      </c>
      <c r="Q688">
        <f>IFERROR(COUNTIFS(_report[TOURNAMENT_CODE],ВСЕ_КОДЫ[[#This Row],[TOURNAMENT_CODE]],_report[CONTEST_CODE],ВСЕ_КОДЫ[[#This Row],[CONTEST_CODE]]),"-")</f>
        <v>0</v>
      </c>
      <c r="R688" s="1" t="str">
        <f>IFERROR(INDEX(_SCHEDULE_[],MATCH(ВСЕ_КОДЫ[[#This Row],[CONTEST_CODE]],_SCHEDULE_[CONTEST_CODE],0),MATCH($R$1,_SCHEDULE_[#Headers],0)),"-")</f>
        <v>ЗАВЕРШЕН</v>
      </c>
      <c r="S688" s="1" t="str">
        <f>IFERROR(INDEX(_group_[],MATCH(ВСЕ_КОДЫ[[#This Row],[CONTEST_CODE]],_group_[CONTEST_CODE],0),MATCH($S$1,_group_[#Headers],0)),"-")</f>
        <v>BANK</v>
      </c>
      <c r="T688" s="1" t="str">
        <f>IFERROR(INDEX(_INDICATOR_[],MATCH(ВСЕ_КОДЫ[[#This Row],[CONTEST_CODE]],_INDICATOR_[CONTEST_CODE],0),MATCH($T$1,_INDICATOR_[#Headers],0)),"-")</f>
        <v>PPO_ALL</v>
      </c>
      <c r="U688" s="1" t="str">
        <f>IFERROR(INDEX(_reward_link_[],MATCH(ВСЕ_КОДЫ[[#This Row],[CONTEST_CODE]],_reward_link_[CONTEST_CODE],0),MATCH($U$1,_reward_link_[#Headers],0)),"-")</f>
        <v>GOSB</v>
      </c>
      <c r="V688" s="1" t="str">
        <f>IFERROR(INDEX(_report[],MATCH(ВСЕ_КОДЫ[[#This Row],[CONTEST_CODE]],_report[CONTEST_CODE],0),MATCH($V$1,_report[#Headers],0)),"-")</f>
        <v>-</v>
      </c>
      <c r="W688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88" s="1" t="str">
        <f>IFERROR(INDEX(_group_[],MATCH(CONCATENATE(ВСЕ_КОДЫ[[#This Row],[CONTEST_CODE]],"_",X$2),#REF!,0),MATCH(X$1,_group_[#Headers],0)),"-")</f>
        <v>-</v>
      </c>
      <c r="Y688" s="1" t="str">
        <f>IFERROR(INDEX(_group_[],MATCH(CONCATENATE(ВСЕ_КОДЫ[[#This Row],[CONTEST_CODE]],"_",Y$2),#REF!,0),MATCH(Y$1,_group_[#Headers],0)),"-")</f>
        <v>-</v>
      </c>
      <c r="Z688" s="1" t="str">
        <f>IFERROR(INDEX(_group_[],MATCH(CONCATENATE(ВСЕ_КОДЫ[[#This Row],[CONTEST_CODE]],"_",Z$2),#REF!,0),MATCH(Z$1,_group_[#Headers],0)),"-")</f>
        <v>-</v>
      </c>
      <c r="AA688" s="1" t="str">
        <f>IFERROR(INDEX(_group_[],MATCH(CONCATENATE(ВСЕ_КОДЫ[[#This Row],[CONTEST_CODE]],"_",AA$2),#REF!,0),MATCH(AA$1,_group_[#Headers],0)),"-")</f>
        <v>-</v>
      </c>
      <c r="AB688" s="1" t="str">
        <f>IFERROR(INDEX(_DATA_[],MATCH(ВСЕ_КОДЫ[[#This Row],[CONTEST_CODE]],_DATA_[CONTEST_CODE],0),MATCH($AB$2,_DATA_[#Headers],0)),"-")</f>
        <v>["""KMKKSB"""]</v>
      </c>
      <c r="AC688" t="str">
        <f>CONCATENATE(ВСЕ_КОДЫ[[#This Row],[CONTEST_CODE]],"_",ВСЕ_КОДЫ[[#This Row],[TOURNAMENT_CODE]])</f>
        <v>01_2025-1_02-3_1t_t_01_2025-1_02-3_1t_3051</v>
      </c>
      <c r="AD688" t="str">
        <f>ВСЕ_КОДЫ[[#This Row],[FULL_NAME]]</f>
        <v>Интернализация</v>
      </c>
    </row>
    <row r="689" spans="1:30" hidden="1" x14ac:dyDescent="0.25">
      <c r="A689" s="1" t="s">
        <v>4081</v>
      </c>
      <c r="B689" s="1" t="s">
        <v>4854</v>
      </c>
      <c r="C689" s="1" t="s">
        <v>4082</v>
      </c>
      <c r="D689" s="1" t="s">
        <v>586</v>
      </c>
      <c r="E689" s="1" t="s">
        <v>2158</v>
      </c>
      <c r="F689" s="1" t="s">
        <v>2508</v>
      </c>
      <c r="G689" s="1" t="s">
        <v>27</v>
      </c>
      <c r="H689" s="1" t="s">
        <v>34</v>
      </c>
      <c r="I689" s="1" t="s">
        <v>50</v>
      </c>
      <c r="J689" s="1" t="s">
        <v>2554</v>
      </c>
      <c r="K689" s="1" t="s">
        <v>4756</v>
      </c>
      <c r="L689" s="1" t="s">
        <v>4853</v>
      </c>
      <c r="M689" s="1" t="s">
        <v>34</v>
      </c>
      <c r="N689" s="1" t="s">
        <v>305</v>
      </c>
      <c r="O689" s="1" t="s">
        <v>541</v>
      </c>
      <c r="Q689">
        <f>IFERROR(COUNTIFS(_report[TOURNAMENT_CODE],ВСЕ_КОДЫ[[#This Row],[TOURNAMENT_CODE]],_report[CONTEST_CODE],ВСЕ_КОДЫ[[#This Row],[CONTEST_CODE]]),"-")</f>
        <v>0</v>
      </c>
      <c r="R689" s="1" t="str">
        <f>IFERROR(INDEX(_SCHEDULE_[],MATCH(ВСЕ_КОДЫ[[#This Row],[CONTEST_CODE]],_SCHEDULE_[CONTEST_CODE],0),MATCH($R$1,_SCHEDULE_[#Headers],0)),"-")</f>
        <v>ЗАВЕРШЕН</v>
      </c>
      <c r="S689" s="1" t="str">
        <f>IFERROR(INDEX(_group_[],MATCH(ВСЕ_КОДЫ[[#This Row],[CONTEST_CODE]],_group_[CONTEST_CODE],0),MATCH($S$1,_group_[#Headers],0)),"-")</f>
        <v>BANK</v>
      </c>
      <c r="T689" s="1" t="str">
        <f>IFERROR(INDEX(_INDICATOR_[],MATCH(ВСЕ_КОДЫ[[#This Row],[CONTEST_CODE]],_INDICATOR_[CONTEST_CODE],0),MATCH($T$1,_INDICATOR_[#Headers],0)),"-")</f>
        <v>PPO_ALL</v>
      </c>
      <c r="U689" s="1" t="str">
        <f>IFERROR(INDEX(_reward_link_[],MATCH(ВСЕ_КОДЫ[[#This Row],[CONTEST_CODE]],_reward_link_[CONTEST_CODE],0),MATCH($U$1,_reward_link_[#Headers],0)),"-")</f>
        <v>GOSB</v>
      </c>
      <c r="V689" s="1" t="str">
        <f>IFERROR(INDEX(_report[],MATCH(ВСЕ_КОДЫ[[#This Row],[CONTEST_CODE]],_report[CONTEST_CODE],0),MATCH($V$1,_report[#Headers],0)),"-")</f>
        <v>-</v>
      </c>
      <c r="W689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89" s="1" t="str">
        <f>IFERROR(INDEX(_group_[],MATCH(CONCATENATE(ВСЕ_КОДЫ[[#This Row],[CONTEST_CODE]],"_",X$2),#REF!,0),MATCH(X$1,_group_[#Headers],0)),"-")</f>
        <v>-</v>
      </c>
      <c r="Y689" s="1" t="str">
        <f>IFERROR(INDEX(_group_[],MATCH(CONCATENATE(ВСЕ_КОДЫ[[#This Row],[CONTEST_CODE]],"_",Y$2),#REF!,0),MATCH(Y$1,_group_[#Headers],0)),"-")</f>
        <v>-</v>
      </c>
      <c r="Z689" s="1" t="str">
        <f>IFERROR(INDEX(_group_[],MATCH(CONCATENATE(ВСЕ_КОДЫ[[#This Row],[CONTEST_CODE]],"_",Z$2),#REF!,0),MATCH(Z$1,_group_[#Headers],0)),"-")</f>
        <v>-</v>
      </c>
      <c r="AA689" s="1" t="str">
        <f>IFERROR(INDEX(_group_[],MATCH(CONCATENATE(ВСЕ_КОДЫ[[#This Row],[CONTEST_CODE]],"_",AA$2),#REF!,0),MATCH(AA$1,_group_[#Headers],0)),"-")</f>
        <v>-</v>
      </c>
      <c r="AB689" s="1" t="str">
        <f>IFERROR(INDEX(_DATA_[],MATCH(ВСЕ_КОДЫ[[#This Row],[CONTEST_CODE]],_DATA_[CONTEST_CODE],0),MATCH($AB$2,_DATA_[#Headers],0)),"-")</f>
        <v>["""KMKKSB"""]</v>
      </c>
      <c r="AC689" t="str">
        <f>CONCATENATE(ВСЕ_КОДЫ[[#This Row],[CONTEST_CODE]],"_",ВСЕ_КОДЫ[[#This Row],[TOURNAMENT_CODE]])</f>
        <v>01_2025-1_02-3_1t_t_01_2025-1_02-3_1t_3051</v>
      </c>
      <c r="AD689" t="str">
        <f>ВСЕ_КОДЫ[[#This Row],[FULL_NAME]]</f>
        <v>Интернализация</v>
      </c>
    </row>
    <row r="690" spans="1:30" hidden="1" x14ac:dyDescent="0.25">
      <c r="A690" s="1" t="s">
        <v>4081</v>
      </c>
      <c r="B690" s="1" t="s">
        <v>4854</v>
      </c>
      <c r="C690" s="1" t="s">
        <v>4082</v>
      </c>
      <c r="D690" s="1" t="s">
        <v>586</v>
      </c>
      <c r="E690" s="1" t="s">
        <v>2158</v>
      </c>
      <c r="F690" s="1" t="s">
        <v>2508</v>
      </c>
      <c r="G690" s="1" t="s">
        <v>27</v>
      </c>
      <c r="H690" s="1" t="s">
        <v>34</v>
      </c>
      <c r="I690" s="1" t="s">
        <v>50</v>
      </c>
      <c r="J690" s="1" t="s">
        <v>2554</v>
      </c>
      <c r="K690" s="1" t="s">
        <v>4756</v>
      </c>
      <c r="L690" s="1" t="s">
        <v>4853</v>
      </c>
      <c r="M690" s="1" t="s">
        <v>34</v>
      </c>
      <c r="N690" s="1" t="s">
        <v>305</v>
      </c>
      <c r="O690" s="1" t="s">
        <v>541</v>
      </c>
      <c r="Q690">
        <f>IFERROR(COUNTIFS(_report[TOURNAMENT_CODE],ВСЕ_КОДЫ[[#This Row],[TOURNAMENT_CODE]],_report[CONTEST_CODE],ВСЕ_КОДЫ[[#This Row],[CONTEST_CODE]]),"-")</f>
        <v>0</v>
      </c>
      <c r="R690" s="1" t="str">
        <f>IFERROR(INDEX(_SCHEDULE_[],MATCH(ВСЕ_КОДЫ[[#This Row],[CONTEST_CODE]],_SCHEDULE_[CONTEST_CODE],0),MATCH($R$1,_SCHEDULE_[#Headers],0)),"-")</f>
        <v>ЗАВЕРШЕН</v>
      </c>
      <c r="S690" s="1" t="str">
        <f>IFERROR(INDEX(_group_[],MATCH(ВСЕ_КОДЫ[[#This Row],[CONTEST_CODE]],_group_[CONTEST_CODE],0),MATCH($S$1,_group_[#Headers],0)),"-")</f>
        <v>BANK</v>
      </c>
      <c r="T690" s="1" t="str">
        <f>IFERROR(INDEX(_INDICATOR_[],MATCH(ВСЕ_КОДЫ[[#This Row],[CONTEST_CODE]],_INDICATOR_[CONTEST_CODE],0),MATCH($T$1,_INDICATOR_[#Headers],0)),"-")</f>
        <v>PPO_ALL</v>
      </c>
      <c r="U690" s="1" t="str">
        <f>IFERROR(INDEX(_reward_link_[],MATCH(ВСЕ_КОДЫ[[#This Row],[CONTEST_CODE]],_reward_link_[CONTEST_CODE],0),MATCH($U$1,_reward_link_[#Headers],0)),"-")</f>
        <v>GOSB</v>
      </c>
      <c r="V690" s="1" t="str">
        <f>IFERROR(INDEX(_report[],MATCH(ВСЕ_КОДЫ[[#This Row],[CONTEST_CODE]],_report[CONTEST_CODE],0),MATCH($V$1,_report[#Headers],0)),"-")</f>
        <v>-</v>
      </c>
      <c r="W690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90" s="1" t="str">
        <f>IFERROR(INDEX(_group_[],MATCH(CONCATENATE(ВСЕ_КОДЫ[[#This Row],[CONTEST_CODE]],"_",X$2),#REF!,0),MATCH(X$1,_group_[#Headers],0)),"-")</f>
        <v>-</v>
      </c>
      <c r="Y690" s="1" t="str">
        <f>IFERROR(INDEX(_group_[],MATCH(CONCATENATE(ВСЕ_КОДЫ[[#This Row],[CONTEST_CODE]],"_",Y$2),#REF!,0),MATCH(Y$1,_group_[#Headers],0)),"-")</f>
        <v>-</v>
      </c>
      <c r="Z690" s="1" t="str">
        <f>IFERROR(INDEX(_group_[],MATCH(CONCATENATE(ВСЕ_КОДЫ[[#This Row],[CONTEST_CODE]],"_",Z$2),#REF!,0),MATCH(Z$1,_group_[#Headers],0)),"-")</f>
        <v>-</v>
      </c>
      <c r="AA690" s="1" t="str">
        <f>IFERROR(INDEX(_group_[],MATCH(CONCATENATE(ВСЕ_КОДЫ[[#This Row],[CONTEST_CODE]],"_",AA$2),#REF!,0),MATCH(AA$1,_group_[#Headers],0)),"-")</f>
        <v>-</v>
      </c>
      <c r="AB690" s="1" t="str">
        <f>IFERROR(INDEX(_DATA_[],MATCH(ВСЕ_КОДЫ[[#This Row],[CONTEST_CODE]],_DATA_[CONTEST_CODE],0),MATCH($AB$2,_DATA_[#Headers],0)),"-")</f>
        <v>["""KMKKSB"""]</v>
      </c>
      <c r="AC690" t="str">
        <f>CONCATENATE(ВСЕ_КОДЫ[[#This Row],[CONTEST_CODE]],"_",ВСЕ_КОДЫ[[#This Row],[TOURNAMENT_CODE]])</f>
        <v>01_2025-1_02-3_1t_t_01_2025-1_02-3_1t_3051</v>
      </c>
      <c r="AD690" t="str">
        <f>ВСЕ_КОДЫ[[#This Row],[FULL_NAME]]</f>
        <v>Интернализация</v>
      </c>
    </row>
    <row r="691" spans="1:30" hidden="1" x14ac:dyDescent="0.25">
      <c r="A691" s="1" t="s">
        <v>4081</v>
      </c>
      <c r="B691" s="1" t="s">
        <v>4854</v>
      </c>
      <c r="C691" s="1" t="s">
        <v>4082</v>
      </c>
      <c r="D691" s="1" t="s">
        <v>586</v>
      </c>
      <c r="E691" s="1" t="s">
        <v>2158</v>
      </c>
      <c r="F691" s="1" t="s">
        <v>2508</v>
      </c>
      <c r="G691" s="1" t="s">
        <v>27</v>
      </c>
      <c r="H691" s="1" t="s">
        <v>34</v>
      </c>
      <c r="I691" s="1" t="s">
        <v>50</v>
      </c>
      <c r="J691" s="1" t="s">
        <v>2554</v>
      </c>
      <c r="K691" s="1" t="s">
        <v>4756</v>
      </c>
      <c r="L691" s="1" t="s">
        <v>4853</v>
      </c>
      <c r="M691" s="1" t="s">
        <v>34</v>
      </c>
      <c r="N691" s="1" t="s">
        <v>305</v>
      </c>
      <c r="O691" s="1" t="s">
        <v>541</v>
      </c>
      <c r="Q691">
        <f>IFERROR(COUNTIFS(_report[TOURNAMENT_CODE],ВСЕ_КОДЫ[[#This Row],[TOURNAMENT_CODE]],_report[CONTEST_CODE],ВСЕ_КОДЫ[[#This Row],[CONTEST_CODE]]),"-")</f>
        <v>0</v>
      </c>
      <c r="R691" s="1" t="str">
        <f>IFERROR(INDEX(_SCHEDULE_[],MATCH(ВСЕ_КОДЫ[[#This Row],[CONTEST_CODE]],_SCHEDULE_[CONTEST_CODE],0),MATCH($R$1,_SCHEDULE_[#Headers],0)),"-")</f>
        <v>ЗАВЕРШЕН</v>
      </c>
      <c r="S691" s="1" t="str">
        <f>IFERROR(INDEX(_group_[],MATCH(ВСЕ_КОДЫ[[#This Row],[CONTEST_CODE]],_group_[CONTEST_CODE],0),MATCH($S$1,_group_[#Headers],0)),"-")</f>
        <v>BANK</v>
      </c>
      <c r="T691" s="1" t="str">
        <f>IFERROR(INDEX(_INDICATOR_[],MATCH(ВСЕ_КОДЫ[[#This Row],[CONTEST_CODE]],_INDICATOR_[CONTEST_CODE],0),MATCH($T$1,_INDICATOR_[#Headers],0)),"-")</f>
        <v>PPO_ALL</v>
      </c>
      <c r="U691" s="1" t="str">
        <f>IFERROR(INDEX(_reward_link_[],MATCH(ВСЕ_КОДЫ[[#This Row],[CONTEST_CODE]],_reward_link_[CONTEST_CODE],0),MATCH($U$1,_reward_link_[#Headers],0)),"-")</f>
        <v>GOSB</v>
      </c>
      <c r="V691" s="1" t="str">
        <f>IFERROR(INDEX(_report[],MATCH(ВСЕ_КОДЫ[[#This Row],[CONTEST_CODE]],_report[CONTEST_CODE],0),MATCH($V$1,_report[#Headers],0)),"-")</f>
        <v>-</v>
      </c>
      <c r="W691" s="1" t="str">
        <f>IFERROR(INDEX(_reward_[],MATCH(ВСЕ_КОДЫ[[#This Row],[REWARD_CODE]],_reward_[REWARD_CODE],0),MATCH($W$1,_reward_[#Headers],0)),"-")</f>
        <v>Победитель ТБ по приросту интернализации</v>
      </c>
      <c r="X691" s="1" t="str">
        <f>IFERROR(INDEX(_group_[],MATCH(CONCATENATE(ВСЕ_КОДЫ[[#This Row],[CONTEST_CODE]],"_",X$2),#REF!,0),MATCH(X$1,_group_[#Headers],0)),"-")</f>
        <v>-</v>
      </c>
      <c r="Y691" s="1" t="str">
        <f>IFERROR(INDEX(_group_[],MATCH(CONCATENATE(ВСЕ_КОДЫ[[#This Row],[CONTEST_CODE]],"_",Y$2),#REF!,0),MATCH(Y$1,_group_[#Headers],0)),"-")</f>
        <v>-</v>
      </c>
      <c r="Z691" s="1" t="str">
        <f>IFERROR(INDEX(_group_[],MATCH(CONCATENATE(ВСЕ_КОДЫ[[#This Row],[CONTEST_CODE]],"_",Z$2),#REF!,0),MATCH(Z$1,_group_[#Headers],0)),"-")</f>
        <v>-</v>
      </c>
      <c r="AA691" s="1" t="str">
        <f>IFERROR(INDEX(_group_[],MATCH(CONCATENATE(ВСЕ_КОДЫ[[#This Row],[CONTEST_CODE]],"_",AA$2),#REF!,0),MATCH(AA$1,_group_[#Headers],0)),"-")</f>
        <v>-</v>
      </c>
      <c r="AB691" s="1" t="str">
        <f>IFERROR(INDEX(_DATA_[],MATCH(ВСЕ_КОДЫ[[#This Row],[CONTEST_CODE]],_DATA_[CONTEST_CODE],0),MATCH($AB$2,_DATA_[#Headers],0)),"-")</f>
        <v>["""KMKKSB"""]</v>
      </c>
      <c r="AC691" t="str">
        <f>CONCATENATE(ВСЕ_КОДЫ[[#This Row],[CONTEST_CODE]],"_",ВСЕ_КОДЫ[[#This Row],[TOURNAMENT_CODE]])</f>
        <v>01_2025-1_02-3_1t_t_01_2025-1_02-3_1t_3051</v>
      </c>
      <c r="AD691" t="str">
        <f>ВСЕ_КОДЫ[[#This Row],[FULL_NAME]]</f>
        <v>Интернализация</v>
      </c>
    </row>
    <row r="692" spans="1:30" hidden="1" x14ac:dyDescent="0.25">
      <c r="A692" s="1" t="s">
        <v>4832</v>
      </c>
      <c r="B692" s="1" t="s">
        <v>4857</v>
      </c>
      <c r="C692" s="1" t="s">
        <v>4833</v>
      </c>
      <c r="D692" s="1" t="s">
        <v>583</v>
      </c>
      <c r="E692" s="1" t="s">
        <v>106</v>
      </c>
      <c r="F692" s="1" t="s">
        <v>2508</v>
      </c>
      <c r="G692" s="1" t="s">
        <v>27</v>
      </c>
      <c r="H692" s="1" t="s">
        <v>34</v>
      </c>
      <c r="I692" s="1" t="s">
        <v>50</v>
      </c>
      <c r="J692" s="1" t="s">
        <v>3219</v>
      </c>
      <c r="K692" s="1" t="s">
        <v>2534</v>
      </c>
      <c r="L692" s="1" t="s">
        <v>3232</v>
      </c>
      <c r="M692" s="1" t="s">
        <v>2876</v>
      </c>
      <c r="N692" s="1" t="s">
        <v>305</v>
      </c>
      <c r="O692" s="1" t="s">
        <v>2685</v>
      </c>
      <c r="Q692">
        <f>IFERROR(COUNTIFS(_report[TOURNAMENT_CODE],ВСЕ_КОДЫ[[#This Row],[TOURNAMENT_CODE]],_report[CONTEST_CODE],ВСЕ_КОДЫ[[#This Row],[CONTEST_CODE]]),"-")</f>
        <v>0</v>
      </c>
      <c r="R692" s="1" t="str">
        <f>IFERROR(INDEX(_SCHEDULE_[],MATCH(ВСЕ_КОДЫ[[#This Row],[CONTEST_CODE]],_SCHEDULE_[CONTEST_CODE],0),MATCH($R$1,_SCHEDULE_[#Headers],0)),"-")</f>
        <v>ПОДВЕДЕНИЕ ИТОГОВ</v>
      </c>
      <c r="S692" s="1" t="str">
        <f>IFERROR(INDEX(_group_[],MATCH(ВСЕ_КОДЫ[[#This Row],[CONTEST_CODE]],_group_[CONTEST_CODE],0),MATCH($S$1,_group_[#Headers],0)),"-")</f>
        <v>BANK</v>
      </c>
      <c r="T692" s="1" t="str">
        <f>IFERROR(INDEX(_INDICATOR_[],MATCH(ВСЕ_КОДЫ[[#This Row],[CONTEST_CODE]],_INDICATOR_[CONTEST_CODE],0),MATCH($T$1,_INDICATOR_[#Headers],0)),"-")</f>
        <v>CC360_CLIENT_VOLUM_FOT_M</v>
      </c>
      <c r="U692" s="1" t="str">
        <f>IFERROR(INDEX(_reward_link_[],MATCH(ВСЕ_КОДЫ[[#This Row],[CONTEST_CODE]],_reward_link_[CONTEST_CODE],0),MATCH($U$1,_reward_link_[#Headers],0)),"-")</f>
        <v>BANK</v>
      </c>
      <c r="V692" s="1" t="str">
        <f>IFERROR(INDEX(_report[],MATCH(ВСЕ_КОДЫ[[#This Row],[CONTEST_CODE]],_report[CONTEST_CODE],0),MATCH($V$1,_report[#Headers],0)),"-")</f>
        <v>-</v>
      </c>
      <c r="W692" s="1" t="str">
        <f>IFERROR(INDEX(_reward_[],MATCH(ВСЕ_КОДЫ[[#This Row],[REWARD_CODE]],_reward_[REWARD_CODE],0),MATCH($W$1,_reward_[#Headers],0)),"-")</f>
        <v>Золото#по объему перечислений ФОТ</v>
      </c>
      <c r="X692" s="1" t="str">
        <f>IFERROR(INDEX(_group_[],MATCH(CONCATENATE(ВСЕ_КОДЫ[[#This Row],[CONTEST_CODE]],"_",X$2),#REF!,0),MATCH(X$1,_group_[#Headers],0)),"-")</f>
        <v>-</v>
      </c>
      <c r="Y692" s="1" t="str">
        <f>IFERROR(INDEX(_group_[],MATCH(CONCATENATE(ВСЕ_КОДЫ[[#This Row],[CONTEST_CODE]],"_",Y$2),#REF!,0),MATCH(Y$1,_group_[#Headers],0)),"-")</f>
        <v>-</v>
      </c>
      <c r="Z692" s="1" t="str">
        <f>IFERROR(INDEX(_group_[],MATCH(CONCATENATE(ВСЕ_КОДЫ[[#This Row],[CONTEST_CODE]],"_",Z$2),#REF!,0),MATCH(Z$1,_group_[#Headers],0)),"-")</f>
        <v>-</v>
      </c>
      <c r="AA692" s="1" t="str">
        <f>IFERROR(INDEX(_group_[],MATCH(CONCATENATE(ВСЕ_КОДЫ[[#This Row],[CONTEST_CODE]],"_",AA$2),#REF!,0),MATCH(AA$1,_group_[#Headers],0)),"-")</f>
        <v>-</v>
      </c>
      <c r="AB692" s="1" t="str">
        <f>IFERROR(INDEX(_DATA_[],MATCH(ВСЕ_КОДЫ[[#This Row],[CONTEST_CODE]],_DATA_[CONTEST_CODE],0),MATCH($AB$2,_DATA_[#Headers],0)),"-")</f>
        <v>["""KMKKSB"""]</v>
      </c>
      <c r="AC692" t="str">
        <f>CONCATENATE(ВСЕ_КОДЫ[[#This Row],[CONTEST_CODE]],"_",ВСЕ_КОДЫ[[#This Row],[TOURNAMENT_CODE]])</f>
        <v>01_2025-1_05-1_2t_t_01_2025-1_05-1_2t_3031</v>
      </c>
      <c r="AD692" t="str">
        <f>ВСЕ_КОДЫ[[#This Row],[FULL_NAME]]</f>
        <v>ФОТ. Прирост объема перечислений</v>
      </c>
    </row>
    <row r="693" spans="1:30" hidden="1" x14ac:dyDescent="0.25">
      <c r="A693" s="1" t="s">
        <v>4832</v>
      </c>
      <c r="B693" s="1" t="s">
        <v>4857</v>
      </c>
      <c r="C693" s="1" t="s">
        <v>4840</v>
      </c>
      <c r="D693" s="1" t="s">
        <v>584</v>
      </c>
      <c r="E693" s="1" t="s">
        <v>106</v>
      </c>
      <c r="F693" s="1" t="s">
        <v>2508</v>
      </c>
      <c r="G693" s="1" t="s">
        <v>27</v>
      </c>
      <c r="H693" s="1" t="s">
        <v>34</v>
      </c>
      <c r="I693" s="1" t="s">
        <v>50</v>
      </c>
      <c r="J693" s="1" t="s">
        <v>3219</v>
      </c>
      <c r="K693" s="1" t="s">
        <v>2534</v>
      </c>
      <c r="L693" s="1" t="s">
        <v>3232</v>
      </c>
      <c r="M693" s="1" t="s">
        <v>2876</v>
      </c>
      <c r="N693" s="1" t="s">
        <v>305</v>
      </c>
      <c r="O693" s="1" t="s">
        <v>2687</v>
      </c>
      <c r="Q693">
        <f>IFERROR(COUNTIFS(_report[TOURNAMENT_CODE],ВСЕ_КОДЫ[[#This Row],[TOURNAMENT_CODE]],_report[CONTEST_CODE],ВСЕ_КОДЫ[[#This Row],[CONTEST_CODE]]),"-")</f>
        <v>0</v>
      </c>
      <c r="R693" s="1" t="str">
        <f>IFERROR(INDEX(_SCHEDULE_[],MATCH(ВСЕ_КОДЫ[[#This Row],[CONTEST_CODE]],_SCHEDULE_[CONTEST_CODE],0),MATCH($R$1,_SCHEDULE_[#Headers],0)),"-")</f>
        <v>ПОДВЕДЕНИЕ ИТОГОВ</v>
      </c>
      <c r="S693" s="1" t="str">
        <f>IFERROR(INDEX(_group_[],MATCH(ВСЕ_КОДЫ[[#This Row],[CONTEST_CODE]],_group_[CONTEST_CODE],0),MATCH($S$1,_group_[#Headers],0)),"-")</f>
        <v>BANK</v>
      </c>
      <c r="T693" s="1" t="str">
        <f>IFERROR(INDEX(_INDICATOR_[],MATCH(ВСЕ_КОДЫ[[#This Row],[CONTEST_CODE]],_INDICATOR_[CONTEST_CODE],0),MATCH($T$1,_INDICATOR_[#Headers],0)),"-")</f>
        <v>CC360_CLIENT_VOLUM_FOT_M</v>
      </c>
      <c r="U693" s="1" t="str">
        <f>IFERROR(INDEX(_reward_link_[],MATCH(ВСЕ_КОДЫ[[#This Row],[CONTEST_CODE]],_reward_link_[CONTEST_CODE],0),MATCH($U$1,_reward_link_[#Headers],0)),"-")</f>
        <v>BANK</v>
      </c>
      <c r="V693" s="1" t="str">
        <f>IFERROR(INDEX(_report[],MATCH(ВСЕ_КОДЫ[[#This Row],[CONTEST_CODE]],_report[CONTEST_CODE],0),MATCH($V$1,_report[#Headers],0)),"-")</f>
        <v>-</v>
      </c>
      <c r="W693" s="1" t="str">
        <f>IFERROR(INDEX(_reward_[],MATCH(ВСЕ_КОДЫ[[#This Row],[REWARD_CODE]],_reward_[REWARD_CODE],0),MATCH($W$1,_reward_[#Headers],0)),"-")</f>
        <v>Бронза#по объему перечислений ФОТ</v>
      </c>
      <c r="X693" s="1" t="str">
        <f>IFERROR(INDEX(_group_[],MATCH(CONCATENATE(ВСЕ_КОДЫ[[#This Row],[CONTEST_CODE]],"_",X$2),#REF!,0),MATCH(X$1,_group_[#Headers],0)),"-")</f>
        <v>-</v>
      </c>
      <c r="Y693" s="1" t="str">
        <f>IFERROR(INDEX(_group_[],MATCH(CONCATENATE(ВСЕ_КОДЫ[[#This Row],[CONTEST_CODE]],"_",Y$2),#REF!,0),MATCH(Y$1,_group_[#Headers],0)),"-")</f>
        <v>-</v>
      </c>
      <c r="Z693" s="1" t="str">
        <f>IFERROR(INDEX(_group_[],MATCH(CONCATENATE(ВСЕ_КОДЫ[[#This Row],[CONTEST_CODE]],"_",Z$2),#REF!,0),MATCH(Z$1,_group_[#Headers],0)),"-")</f>
        <v>-</v>
      </c>
      <c r="AA693" s="1" t="str">
        <f>IFERROR(INDEX(_group_[],MATCH(CONCATENATE(ВСЕ_КОДЫ[[#This Row],[CONTEST_CODE]],"_",AA$2),#REF!,0),MATCH(AA$1,_group_[#Headers],0)),"-")</f>
        <v>-</v>
      </c>
      <c r="AB693" s="1" t="str">
        <f>IFERROR(INDEX(_DATA_[],MATCH(ВСЕ_КОДЫ[[#This Row],[CONTEST_CODE]],_DATA_[CONTEST_CODE],0),MATCH($AB$2,_DATA_[#Headers],0)),"-")</f>
        <v>["""KMKKSB"""]</v>
      </c>
      <c r="AC693" t="str">
        <f>CONCATENATE(ВСЕ_КОДЫ[[#This Row],[CONTEST_CODE]],"_",ВСЕ_КОДЫ[[#This Row],[TOURNAMENT_CODE]])</f>
        <v>01_2025-1_05-1_2t_t_01_2025-1_05-1_2t_3031</v>
      </c>
      <c r="AD693" t="str">
        <f>ВСЕ_КОДЫ[[#This Row],[FULL_NAME]]</f>
        <v>ФОТ. Прирост объема перечислений</v>
      </c>
    </row>
    <row r="694" spans="1:30" hidden="1" x14ac:dyDescent="0.25">
      <c r="A694" s="1" t="s">
        <v>4832</v>
      </c>
      <c r="B694" s="1" t="s">
        <v>4857</v>
      </c>
      <c r="C694" s="1" t="s">
        <v>4837</v>
      </c>
      <c r="D694" s="1" t="s">
        <v>586</v>
      </c>
      <c r="E694" s="1" t="s">
        <v>106</v>
      </c>
      <c r="F694" s="1" t="s">
        <v>2508</v>
      </c>
      <c r="G694" s="1" t="s">
        <v>27</v>
      </c>
      <c r="H694" s="1" t="s">
        <v>34</v>
      </c>
      <c r="I694" s="1" t="s">
        <v>50</v>
      </c>
      <c r="J694" s="1" t="s">
        <v>3219</v>
      </c>
      <c r="K694" s="1" t="s">
        <v>2534</v>
      </c>
      <c r="L694" s="1" t="s">
        <v>3232</v>
      </c>
      <c r="M694" s="1" t="s">
        <v>2876</v>
      </c>
      <c r="N694" s="1" t="s">
        <v>305</v>
      </c>
      <c r="O694" s="1" t="s">
        <v>2686</v>
      </c>
      <c r="Q694">
        <f>IFERROR(COUNTIFS(_report[TOURNAMENT_CODE],ВСЕ_КОДЫ[[#This Row],[TOURNAMENT_CODE]],_report[CONTEST_CODE],ВСЕ_КОДЫ[[#This Row],[CONTEST_CODE]]),"-")</f>
        <v>0</v>
      </c>
      <c r="R694" s="1" t="str">
        <f>IFERROR(INDEX(_SCHEDULE_[],MATCH(ВСЕ_КОДЫ[[#This Row],[CONTEST_CODE]],_SCHEDULE_[CONTEST_CODE],0),MATCH($R$1,_SCHEDULE_[#Headers],0)),"-")</f>
        <v>ПОДВЕДЕНИЕ ИТОГОВ</v>
      </c>
      <c r="S694" s="1" t="str">
        <f>IFERROR(INDEX(_group_[],MATCH(ВСЕ_КОДЫ[[#This Row],[CONTEST_CODE]],_group_[CONTEST_CODE],0),MATCH($S$1,_group_[#Headers],0)),"-")</f>
        <v>BANK</v>
      </c>
      <c r="T694" s="1" t="str">
        <f>IFERROR(INDEX(_INDICATOR_[],MATCH(ВСЕ_КОДЫ[[#This Row],[CONTEST_CODE]],_INDICATOR_[CONTEST_CODE],0),MATCH($T$1,_INDICATOR_[#Headers],0)),"-")</f>
        <v>CC360_CLIENT_VOLUM_FOT_M</v>
      </c>
      <c r="U694" s="1" t="str">
        <f>IFERROR(INDEX(_reward_link_[],MATCH(ВСЕ_КОДЫ[[#This Row],[CONTEST_CODE]],_reward_link_[CONTEST_CODE],0),MATCH($U$1,_reward_link_[#Headers],0)),"-")</f>
        <v>BANK</v>
      </c>
      <c r="V694" s="1" t="str">
        <f>IFERROR(INDEX(_report[],MATCH(ВСЕ_КОДЫ[[#This Row],[CONTEST_CODE]],_report[CONTEST_CODE],0),MATCH($V$1,_report[#Headers],0)),"-")</f>
        <v>-</v>
      </c>
      <c r="W694" s="1" t="str">
        <f>IFERROR(INDEX(_reward_[],MATCH(ВСЕ_КОДЫ[[#This Row],[REWARD_CODE]],_reward_[REWARD_CODE],0),MATCH($W$1,_reward_[#Headers],0)),"-")</f>
        <v>Серебро#по объему перечислений ФОТ</v>
      </c>
      <c r="X694" s="1" t="str">
        <f>IFERROR(INDEX(_group_[],MATCH(CONCATENATE(ВСЕ_КОДЫ[[#This Row],[CONTEST_CODE]],"_",X$2),#REF!,0),MATCH(X$1,_group_[#Headers],0)),"-")</f>
        <v>-</v>
      </c>
      <c r="Y694" s="1" t="str">
        <f>IFERROR(INDEX(_group_[],MATCH(CONCATENATE(ВСЕ_КОДЫ[[#This Row],[CONTEST_CODE]],"_",Y$2),#REF!,0),MATCH(Y$1,_group_[#Headers],0)),"-")</f>
        <v>-</v>
      </c>
      <c r="Z694" s="1" t="str">
        <f>IFERROR(INDEX(_group_[],MATCH(CONCATENATE(ВСЕ_КОДЫ[[#This Row],[CONTEST_CODE]],"_",Z$2),#REF!,0),MATCH(Z$1,_group_[#Headers],0)),"-")</f>
        <v>-</v>
      </c>
      <c r="AA694" s="1" t="str">
        <f>IFERROR(INDEX(_group_[],MATCH(CONCATENATE(ВСЕ_КОДЫ[[#This Row],[CONTEST_CODE]],"_",AA$2),#REF!,0),MATCH(AA$1,_group_[#Headers],0)),"-")</f>
        <v>-</v>
      </c>
      <c r="AB694" s="1" t="str">
        <f>IFERROR(INDEX(_DATA_[],MATCH(ВСЕ_КОДЫ[[#This Row],[CONTEST_CODE]],_DATA_[CONTEST_CODE],0),MATCH($AB$2,_DATA_[#Headers],0)),"-")</f>
        <v>["""KMKKSB"""]</v>
      </c>
      <c r="AC694" t="str">
        <f>CONCATENATE(ВСЕ_КОДЫ[[#This Row],[CONTEST_CODE]],"_",ВСЕ_КОДЫ[[#This Row],[TOURNAMENT_CODE]])</f>
        <v>01_2025-1_05-1_2t_t_01_2025-1_05-1_2t_3031</v>
      </c>
      <c r="AD694" t="str">
        <f>ВСЕ_КОДЫ[[#This Row],[FULL_NAME]]</f>
        <v>ФОТ. Прирост объема перечислений</v>
      </c>
    </row>
    <row r="695" spans="1:30" hidden="1" x14ac:dyDescent="0.25">
      <c r="A695" s="1" t="s">
        <v>4832</v>
      </c>
      <c r="B695" s="1" t="s">
        <v>4859</v>
      </c>
      <c r="C695" s="1" t="s">
        <v>4833</v>
      </c>
      <c r="D695" s="1" t="s">
        <v>583</v>
      </c>
      <c r="E695" s="1" t="s">
        <v>106</v>
      </c>
      <c r="F695" s="1" t="s">
        <v>2508</v>
      </c>
      <c r="G695" s="1" t="s">
        <v>27</v>
      </c>
      <c r="H695" s="1" t="s">
        <v>34</v>
      </c>
      <c r="I695" s="1" t="s">
        <v>50</v>
      </c>
      <c r="J695" s="1" t="s">
        <v>4019</v>
      </c>
      <c r="K695" s="1" t="s">
        <v>3647</v>
      </c>
      <c r="L695" s="1" t="s">
        <v>4112</v>
      </c>
      <c r="M695" s="1" t="s">
        <v>2876</v>
      </c>
      <c r="N695" s="1" t="s">
        <v>305</v>
      </c>
      <c r="O695" s="1" t="s">
        <v>2685</v>
      </c>
      <c r="Q695">
        <f>IFERROR(COUNTIFS(_report[TOURNAMENT_CODE],ВСЕ_КОДЫ[[#This Row],[TOURNAMENT_CODE]],_report[CONTEST_CODE],ВСЕ_КОДЫ[[#This Row],[CONTEST_CODE]]),"-")</f>
        <v>0</v>
      </c>
      <c r="R695" s="1" t="str">
        <f>IFERROR(INDEX(_SCHEDULE_[],MATCH(ВСЕ_КОДЫ[[#This Row],[CONTEST_CODE]],_SCHEDULE_[CONTEST_CODE],0),MATCH($R$1,_SCHEDULE_[#Headers],0)),"-")</f>
        <v>ПОДВЕДЕНИЕ ИТОГОВ</v>
      </c>
      <c r="S695" s="1" t="str">
        <f>IFERROR(INDEX(_group_[],MATCH(ВСЕ_КОДЫ[[#This Row],[CONTEST_CODE]],_group_[CONTEST_CODE],0),MATCH($S$1,_group_[#Headers],0)),"-")</f>
        <v>BANK</v>
      </c>
      <c r="T695" s="1" t="str">
        <f>IFERROR(INDEX(_INDICATOR_[],MATCH(ВСЕ_КОДЫ[[#This Row],[CONTEST_CODE]],_INDICATOR_[CONTEST_CODE],0),MATCH($T$1,_INDICATOR_[#Headers],0)),"-")</f>
        <v>CC360_CLIENT_VOLUM_FOT_M</v>
      </c>
      <c r="U695" s="1" t="str">
        <f>IFERROR(INDEX(_reward_link_[],MATCH(ВСЕ_КОДЫ[[#This Row],[CONTEST_CODE]],_reward_link_[CONTEST_CODE],0),MATCH($U$1,_reward_link_[#Headers],0)),"-")</f>
        <v>BANK</v>
      </c>
      <c r="V695" s="1" t="str">
        <f>IFERROR(INDEX(_report[],MATCH(ВСЕ_КОДЫ[[#This Row],[CONTEST_CODE]],_report[CONTEST_CODE],0),MATCH($V$1,_report[#Headers],0)),"-")</f>
        <v>-</v>
      </c>
      <c r="W695" s="1" t="str">
        <f>IFERROR(INDEX(_reward_[],MATCH(ВСЕ_КОДЫ[[#This Row],[REWARD_CODE]],_reward_[REWARD_CODE],0),MATCH($W$1,_reward_[#Headers],0)),"-")</f>
        <v>Золото#по объему перечислений ФОТ</v>
      </c>
      <c r="X695" s="1" t="str">
        <f>IFERROR(INDEX(_group_[],MATCH(CONCATENATE(ВСЕ_КОДЫ[[#This Row],[CONTEST_CODE]],"_",X$2),#REF!,0),MATCH(X$1,_group_[#Headers],0)),"-")</f>
        <v>-</v>
      </c>
      <c r="Y695" s="1" t="str">
        <f>IFERROR(INDEX(_group_[],MATCH(CONCATENATE(ВСЕ_КОДЫ[[#This Row],[CONTEST_CODE]],"_",Y$2),#REF!,0),MATCH(Y$1,_group_[#Headers],0)),"-")</f>
        <v>-</v>
      </c>
      <c r="Z695" s="1" t="str">
        <f>IFERROR(INDEX(_group_[],MATCH(CONCATENATE(ВСЕ_КОДЫ[[#This Row],[CONTEST_CODE]],"_",Z$2),#REF!,0),MATCH(Z$1,_group_[#Headers],0)),"-")</f>
        <v>-</v>
      </c>
      <c r="AA695" s="1" t="str">
        <f>IFERROR(INDEX(_group_[],MATCH(CONCATENATE(ВСЕ_КОДЫ[[#This Row],[CONTEST_CODE]],"_",AA$2),#REF!,0),MATCH(AA$1,_group_[#Headers],0)),"-")</f>
        <v>-</v>
      </c>
      <c r="AB695" s="1" t="str">
        <f>IFERROR(INDEX(_DATA_[],MATCH(ВСЕ_КОДЫ[[#This Row],[CONTEST_CODE]],_DATA_[CONTEST_CODE],0),MATCH($AB$2,_DATA_[#Headers],0)),"-")</f>
        <v>["""KMKKSB"""]</v>
      </c>
      <c r="AC695" t="str">
        <f>CONCATENATE(ВСЕ_КОДЫ[[#This Row],[CONTEST_CODE]],"_",ВСЕ_КОДЫ[[#This Row],[TOURNAMENT_CODE]])</f>
        <v>01_2025-1_05-1_2t_t_01_2025-1_05-1_2t_3041</v>
      </c>
      <c r="AD695" t="str">
        <f>ВСЕ_КОДЫ[[#This Row],[FULL_NAME]]</f>
        <v>ФОТ. Прирост объема перечислений</v>
      </c>
    </row>
    <row r="696" spans="1:30" hidden="1" x14ac:dyDescent="0.25">
      <c r="A696" s="1" t="s">
        <v>4832</v>
      </c>
      <c r="B696" s="1" t="s">
        <v>4859</v>
      </c>
      <c r="C696" s="1" t="s">
        <v>4840</v>
      </c>
      <c r="D696" s="1" t="s">
        <v>584</v>
      </c>
      <c r="E696" s="1" t="s">
        <v>106</v>
      </c>
      <c r="F696" s="1" t="s">
        <v>2508</v>
      </c>
      <c r="G696" s="1" t="s">
        <v>27</v>
      </c>
      <c r="H696" s="1" t="s">
        <v>34</v>
      </c>
      <c r="I696" s="1" t="s">
        <v>50</v>
      </c>
      <c r="J696" s="1" t="s">
        <v>4019</v>
      </c>
      <c r="K696" s="1" t="s">
        <v>3647</v>
      </c>
      <c r="L696" s="1" t="s">
        <v>4112</v>
      </c>
      <c r="M696" s="1" t="s">
        <v>2876</v>
      </c>
      <c r="N696" s="1" t="s">
        <v>305</v>
      </c>
      <c r="O696" s="1" t="s">
        <v>2687</v>
      </c>
      <c r="Q696">
        <f>IFERROR(COUNTIFS(_report[TOURNAMENT_CODE],ВСЕ_КОДЫ[[#This Row],[TOURNAMENT_CODE]],_report[CONTEST_CODE],ВСЕ_КОДЫ[[#This Row],[CONTEST_CODE]]),"-")</f>
        <v>0</v>
      </c>
      <c r="R696" s="1" t="str">
        <f>IFERROR(INDEX(_SCHEDULE_[],MATCH(ВСЕ_КОДЫ[[#This Row],[CONTEST_CODE]],_SCHEDULE_[CONTEST_CODE],0),MATCH($R$1,_SCHEDULE_[#Headers],0)),"-")</f>
        <v>ПОДВЕДЕНИЕ ИТОГОВ</v>
      </c>
      <c r="S696" s="1" t="str">
        <f>IFERROR(INDEX(_group_[],MATCH(ВСЕ_КОДЫ[[#This Row],[CONTEST_CODE]],_group_[CONTEST_CODE],0),MATCH($S$1,_group_[#Headers],0)),"-")</f>
        <v>BANK</v>
      </c>
      <c r="T696" s="1" t="str">
        <f>IFERROR(INDEX(_INDICATOR_[],MATCH(ВСЕ_КОДЫ[[#This Row],[CONTEST_CODE]],_INDICATOR_[CONTEST_CODE],0),MATCH($T$1,_INDICATOR_[#Headers],0)),"-")</f>
        <v>CC360_CLIENT_VOLUM_FOT_M</v>
      </c>
      <c r="U696" s="1" t="str">
        <f>IFERROR(INDEX(_reward_link_[],MATCH(ВСЕ_КОДЫ[[#This Row],[CONTEST_CODE]],_reward_link_[CONTEST_CODE],0),MATCH($U$1,_reward_link_[#Headers],0)),"-")</f>
        <v>BANK</v>
      </c>
      <c r="V696" s="1" t="str">
        <f>IFERROR(INDEX(_report[],MATCH(ВСЕ_КОДЫ[[#This Row],[CONTEST_CODE]],_report[CONTEST_CODE],0),MATCH($V$1,_report[#Headers],0)),"-")</f>
        <v>-</v>
      </c>
      <c r="W696" s="1" t="str">
        <f>IFERROR(INDEX(_reward_[],MATCH(ВСЕ_КОДЫ[[#This Row],[REWARD_CODE]],_reward_[REWARD_CODE],0),MATCH($W$1,_reward_[#Headers],0)),"-")</f>
        <v>Бронза#по объему перечислений ФОТ</v>
      </c>
      <c r="X696" s="1" t="str">
        <f>IFERROR(INDEX(_group_[],MATCH(CONCATENATE(ВСЕ_КОДЫ[[#This Row],[CONTEST_CODE]],"_",X$2),#REF!,0),MATCH(X$1,_group_[#Headers],0)),"-")</f>
        <v>-</v>
      </c>
      <c r="Y696" s="1" t="str">
        <f>IFERROR(INDEX(_group_[],MATCH(CONCATENATE(ВСЕ_КОДЫ[[#This Row],[CONTEST_CODE]],"_",Y$2),#REF!,0),MATCH(Y$1,_group_[#Headers],0)),"-")</f>
        <v>-</v>
      </c>
      <c r="Z696" s="1" t="str">
        <f>IFERROR(INDEX(_group_[],MATCH(CONCATENATE(ВСЕ_КОДЫ[[#This Row],[CONTEST_CODE]],"_",Z$2),#REF!,0),MATCH(Z$1,_group_[#Headers],0)),"-")</f>
        <v>-</v>
      </c>
      <c r="AA696" s="1" t="str">
        <f>IFERROR(INDEX(_group_[],MATCH(CONCATENATE(ВСЕ_КОДЫ[[#This Row],[CONTEST_CODE]],"_",AA$2),#REF!,0),MATCH(AA$1,_group_[#Headers],0)),"-")</f>
        <v>-</v>
      </c>
      <c r="AB696" s="1" t="str">
        <f>IFERROR(INDEX(_DATA_[],MATCH(ВСЕ_КОДЫ[[#This Row],[CONTEST_CODE]],_DATA_[CONTEST_CODE],0),MATCH($AB$2,_DATA_[#Headers],0)),"-")</f>
        <v>["""KMKKSB"""]</v>
      </c>
      <c r="AC696" t="str">
        <f>CONCATENATE(ВСЕ_КОДЫ[[#This Row],[CONTEST_CODE]],"_",ВСЕ_КОДЫ[[#This Row],[TOURNAMENT_CODE]])</f>
        <v>01_2025-1_05-1_2t_t_01_2025-1_05-1_2t_3041</v>
      </c>
      <c r="AD696" t="str">
        <f>ВСЕ_КОДЫ[[#This Row],[FULL_NAME]]</f>
        <v>ФОТ. Прирост объема перечислений</v>
      </c>
    </row>
    <row r="697" spans="1:30" hidden="1" x14ac:dyDescent="0.25">
      <c r="A697" s="1" t="s">
        <v>4832</v>
      </c>
      <c r="B697" s="1" t="s">
        <v>4859</v>
      </c>
      <c r="C697" s="1" t="s">
        <v>4837</v>
      </c>
      <c r="D697" s="1" t="s">
        <v>586</v>
      </c>
      <c r="E697" s="1" t="s">
        <v>106</v>
      </c>
      <c r="F697" s="1" t="s">
        <v>2508</v>
      </c>
      <c r="G697" s="1" t="s">
        <v>27</v>
      </c>
      <c r="H697" s="1" t="s">
        <v>34</v>
      </c>
      <c r="I697" s="1" t="s">
        <v>50</v>
      </c>
      <c r="J697" s="1" t="s">
        <v>4019</v>
      </c>
      <c r="K697" s="1" t="s">
        <v>3647</v>
      </c>
      <c r="L697" s="1" t="s">
        <v>4112</v>
      </c>
      <c r="M697" s="1" t="s">
        <v>2876</v>
      </c>
      <c r="N697" s="1" t="s">
        <v>305</v>
      </c>
      <c r="O697" s="1" t="s">
        <v>2686</v>
      </c>
      <c r="Q697">
        <f>IFERROR(COUNTIFS(_report[TOURNAMENT_CODE],ВСЕ_КОДЫ[[#This Row],[TOURNAMENT_CODE]],_report[CONTEST_CODE],ВСЕ_КОДЫ[[#This Row],[CONTEST_CODE]]),"-")</f>
        <v>0</v>
      </c>
      <c r="R697" s="1" t="str">
        <f>IFERROR(INDEX(_SCHEDULE_[],MATCH(ВСЕ_КОДЫ[[#This Row],[CONTEST_CODE]],_SCHEDULE_[CONTEST_CODE],0),MATCH($R$1,_SCHEDULE_[#Headers],0)),"-")</f>
        <v>ПОДВЕДЕНИЕ ИТОГОВ</v>
      </c>
      <c r="S697" s="1" t="str">
        <f>IFERROR(INDEX(_group_[],MATCH(ВСЕ_КОДЫ[[#This Row],[CONTEST_CODE]],_group_[CONTEST_CODE],0),MATCH($S$1,_group_[#Headers],0)),"-")</f>
        <v>BANK</v>
      </c>
      <c r="T697" s="1" t="str">
        <f>IFERROR(INDEX(_INDICATOR_[],MATCH(ВСЕ_КОДЫ[[#This Row],[CONTEST_CODE]],_INDICATOR_[CONTEST_CODE],0),MATCH($T$1,_INDICATOR_[#Headers],0)),"-")</f>
        <v>CC360_CLIENT_VOLUM_FOT_M</v>
      </c>
      <c r="U697" s="1" t="str">
        <f>IFERROR(INDEX(_reward_link_[],MATCH(ВСЕ_КОДЫ[[#This Row],[CONTEST_CODE]],_reward_link_[CONTEST_CODE],0),MATCH($U$1,_reward_link_[#Headers],0)),"-")</f>
        <v>BANK</v>
      </c>
      <c r="V697" s="1" t="str">
        <f>IFERROR(INDEX(_report[],MATCH(ВСЕ_КОДЫ[[#This Row],[CONTEST_CODE]],_report[CONTEST_CODE],0),MATCH($V$1,_report[#Headers],0)),"-")</f>
        <v>-</v>
      </c>
      <c r="W697" s="1" t="str">
        <f>IFERROR(INDEX(_reward_[],MATCH(ВСЕ_КОДЫ[[#This Row],[REWARD_CODE]],_reward_[REWARD_CODE],0),MATCH($W$1,_reward_[#Headers],0)),"-")</f>
        <v>Серебро#по объему перечислений ФОТ</v>
      </c>
      <c r="X697" s="1" t="str">
        <f>IFERROR(INDEX(_group_[],MATCH(CONCATENATE(ВСЕ_КОДЫ[[#This Row],[CONTEST_CODE]],"_",X$2),#REF!,0),MATCH(X$1,_group_[#Headers],0)),"-")</f>
        <v>-</v>
      </c>
      <c r="Y697" s="1" t="str">
        <f>IFERROR(INDEX(_group_[],MATCH(CONCATENATE(ВСЕ_КОДЫ[[#This Row],[CONTEST_CODE]],"_",Y$2),#REF!,0),MATCH(Y$1,_group_[#Headers],0)),"-")</f>
        <v>-</v>
      </c>
      <c r="Z697" s="1" t="str">
        <f>IFERROR(INDEX(_group_[],MATCH(CONCATENATE(ВСЕ_КОДЫ[[#This Row],[CONTEST_CODE]],"_",Z$2),#REF!,0),MATCH(Z$1,_group_[#Headers],0)),"-")</f>
        <v>-</v>
      </c>
      <c r="AA697" s="1" t="str">
        <f>IFERROR(INDEX(_group_[],MATCH(CONCATENATE(ВСЕ_КОДЫ[[#This Row],[CONTEST_CODE]],"_",AA$2),#REF!,0),MATCH(AA$1,_group_[#Headers],0)),"-")</f>
        <v>-</v>
      </c>
      <c r="AB697" s="1" t="str">
        <f>IFERROR(INDEX(_DATA_[],MATCH(ВСЕ_КОДЫ[[#This Row],[CONTEST_CODE]],_DATA_[CONTEST_CODE],0),MATCH($AB$2,_DATA_[#Headers],0)),"-")</f>
        <v>["""KMKKSB"""]</v>
      </c>
      <c r="AC697" t="str">
        <f>CONCATENATE(ВСЕ_КОДЫ[[#This Row],[CONTEST_CODE]],"_",ВСЕ_КОДЫ[[#This Row],[TOURNAMENT_CODE]])</f>
        <v>01_2025-1_05-1_2t_t_01_2025-1_05-1_2t_3041</v>
      </c>
      <c r="AD697" t="str">
        <f>ВСЕ_КОДЫ[[#This Row],[FULL_NAME]]</f>
        <v>ФОТ. Прирост объема перечислений</v>
      </c>
    </row>
    <row r="698" spans="1:30" hidden="1" x14ac:dyDescent="0.25">
      <c r="A698" s="1" t="s">
        <v>4832</v>
      </c>
      <c r="B698" s="1" t="s">
        <v>4861</v>
      </c>
      <c r="C698" s="1" t="s">
        <v>4833</v>
      </c>
      <c r="D698" s="1" t="s">
        <v>583</v>
      </c>
      <c r="E698" s="1" t="s">
        <v>106</v>
      </c>
      <c r="F698" s="1" t="s">
        <v>2508</v>
      </c>
      <c r="G698" s="1" t="s">
        <v>27</v>
      </c>
      <c r="H698" s="1" t="s">
        <v>34</v>
      </c>
      <c r="I698" s="1" t="s">
        <v>50</v>
      </c>
      <c r="J698" s="1" t="s">
        <v>2554</v>
      </c>
      <c r="K698" s="1" t="s">
        <v>4756</v>
      </c>
      <c r="L698" s="1" t="s">
        <v>4853</v>
      </c>
      <c r="M698" s="1" t="s">
        <v>34</v>
      </c>
      <c r="N698" s="1" t="s">
        <v>305</v>
      </c>
      <c r="O698" s="1" t="s">
        <v>2685</v>
      </c>
      <c r="Q698">
        <f>IFERROR(COUNTIFS(_report[TOURNAMENT_CODE],ВСЕ_КОДЫ[[#This Row],[TOURNAMENT_CODE]],_report[CONTEST_CODE],ВСЕ_КОДЫ[[#This Row],[CONTEST_CODE]]),"-")</f>
        <v>0</v>
      </c>
      <c r="R698" s="1" t="str">
        <f>IFERROR(INDEX(_SCHEDULE_[],MATCH(ВСЕ_КОДЫ[[#This Row],[CONTEST_CODE]],_SCHEDULE_[CONTEST_CODE],0),MATCH($R$1,_SCHEDULE_[#Headers],0)),"-")</f>
        <v>ПОДВЕДЕНИЕ ИТОГОВ</v>
      </c>
      <c r="S698" s="1" t="str">
        <f>IFERROR(INDEX(_group_[],MATCH(ВСЕ_КОДЫ[[#This Row],[CONTEST_CODE]],_group_[CONTEST_CODE],0),MATCH($S$1,_group_[#Headers],0)),"-")</f>
        <v>BANK</v>
      </c>
      <c r="T698" s="1" t="str">
        <f>IFERROR(INDEX(_INDICATOR_[],MATCH(ВСЕ_КОДЫ[[#This Row],[CONTEST_CODE]],_INDICATOR_[CONTEST_CODE],0),MATCH($T$1,_INDICATOR_[#Headers],0)),"-")</f>
        <v>CC360_CLIENT_VOLUM_FOT_M</v>
      </c>
      <c r="U698" s="1" t="str">
        <f>IFERROR(INDEX(_reward_link_[],MATCH(ВСЕ_КОДЫ[[#This Row],[CONTEST_CODE]],_reward_link_[CONTEST_CODE],0),MATCH($U$1,_reward_link_[#Headers],0)),"-")</f>
        <v>BANK</v>
      </c>
      <c r="V698" s="1" t="str">
        <f>IFERROR(INDEX(_report[],MATCH(ВСЕ_КОДЫ[[#This Row],[CONTEST_CODE]],_report[CONTEST_CODE],0),MATCH($V$1,_report[#Headers],0)),"-")</f>
        <v>-</v>
      </c>
      <c r="W698" s="1" t="str">
        <f>IFERROR(INDEX(_reward_[],MATCH(ВСЕ_КОДЫ[[#This Row],[REWARD_CODE]],_reward_[REWARD_CODE],0),MATCH($W$1,_reward_[#Headers],0)),"-")</f>
        <v>Золото#по объему перечислений ФОТ</v>
      </c>
      <c r="X698" s="1" t="str">
        <f>IFERROR(INDEX(_group_[],MATCH(CONCATENATE(ВСЕ_КОДЫ[[#This Row],[CONTEST_CODE]],"_",X$2),#REF!,0),MATCH(X$1,_group_[#Headers],0)),"-")</f>
        <v>-</v>
      </c>
      <c r="Y698" s="1" t="str">
        <f>IFERROR(INDEX(_group_[],MATCH(CONCATENATE(ВСЕ_КОДЫ[[#This Row],[CONTEST_CODE]],"_",Y$2),#REF!,0),MATCH(Y$1,_group_[#Headers],0)),"-")</f>
        <v>-</v>
      </c>
      <c r="Z698" s="1" t="str">
        <f>IFERROR(INDEX(_group_[],MATCH(CONCATENATE(ВСЕ_КОДЫ[[#This Row],[CONTEST_CODE]],"_",Z$2),#REF!,0),MATCH(Z$1,_group_[#Headers],0)),"-")</f>
        <v>-</v>
      </c>
      <c r="AA698" s="1" t="str">
        <f>IFERROR(INDEX(_group_[],MATCH(CONCATENATE(ВСЕ_КОДЫ[[#This Row],[CONTEST_CODE]],"_",AA$2),#REF!,0),MATCH(AA$1,_group_[#Headers],0)),"-")</f>
        <v>-</v>
      </c>
      <c r="AB698" s="1" t="str">
        <f>IFERROR(INDEX(_DATA_[],MATCH(ВСЕ_КОДЫ[[#This Row],[CONTEST_CODE]],_DATA_[CONTEST_CODE],0),MATCH($AB$2,_DATA_[#Headers],0)),"-")</f>
        <v>["""KMKKSB"""]</v>
      </c>
      <c r="AC698" t="str">
        <f>CONCATENATE(ВСЕ_КОДЫ[[#This Row],[CONTEST_CODE]],"_",ВСЕ_КОДЫ[[#This Row],[TOURNAMENT_CODE]])</f>
        <v>01_2025-1_05-1_2t_t_01_2025-1_05-1_2t_3051</v>
      </c>
      <c r="AD698" t="str">
        <f>ВСЕ_КОДЫ[[#This Row],[FULL_NAME]]</f>
        <v>ФОТ. Прирост объема перечислений</v>
      </c>
    </row>
    <row r="699" spans="1:30" hidden="1" x14ac:dyDescent="0.25">
      <c r="A699" s="1" t="s">
        <v>4832</v>
      </c>
      <c r="B699" s="1" t="s">
        <v>4861</v>
      </c>
      <c r="C699" s="1" t="s">
        <v>4840</v>
      </c>
      <c r="D699" s="1" t="s">
        <v>584</v>
      </c>
      <c r="E699" s="1" t="s">
        <v>106</v>
      </c>
      <c r="F699" s="1" t="s">
        <v>2508</v>
      </c>
      <c r="G699" s="1" t="s">
        <v>27</v>
      </c>
      <c r="H699" s="1" t="s">
        <v>34</v>
      </c>
      <c r="I699" s="1" t="s">
        <v>50</v>
      </c>
      <c r="J699" s="1" t="s">
        <v>2554</v>
      </c>
      <c r="K699" s="1" t="s">
        <v>4756</v>
      </c>
      <c r="L699" s="1" t="s">
        <v>4853</v>
      </c>
      <c r="M699" s="1" t="s">
        <v>34</v>
      </c>
      <c r="N699" s="1" t="s">
        <v>305</v>
      </c>
      <c r="O699" s="1" t="s">
        <v>2687</v>
      </c>
      <c r="Q699">
        <f>IFERROR(COUNTIFS(_report[TOURNAMENT_CODE],ВСЕ_КОДЫ[[#This Row],[TOURNAMENT_CODE]],_report[CONTEST_CODE],ВСЕ_КОДЫ[[#This Row],[CONTEST_CODE]]),"-")</f>
        <v>0</v>
      </c>
      <c r="R699" s="1" t="str">
        <f>IFERROR(INDEX(_SCHEDULE_[],MATCH(ВСЕ_КОДЫ[[#This Row],[CONTEST_CODE]],_SCHEDULE_[CONTEST_CODE],0),MATCH($R$1,_SCHEDULE_[#Headers],0)),"-")</f>
        <v>ПОДВЕДЕНИЕ ИТОГОВ</v>
      </c>
      <c r="S699" s="1" t="str">
        <f>IFERROR(INDEX(_group_[],MATCH(ВСЕ_КОДЫ[[#This Row],[CONTEST_CODE]],_group_[CONTEST_CODE],0),MATCH($S$1,_group_[#Headers],0)),"-")</f>
        <v>BANK</v>
      </c>
      <c r="T699" s="1" t="str">
        <f>IFERROR(INDEX(_INDICATOR_[],MATCH(ВСЕ_КОДЫ[[#This Row],[CONTEST_CODE]],_INDICATOR_[CONTEST_CODE],0),MATCH($T$1,_INDICATOR_[#Headers],0)),"-")</f>
        <v>CC360_CLIENT_VOLUM_FOT_M</v>
      </c>
      <c r="U699" s="1" t="str">
        <f>IFERROR(INDEX(_reward_link_[],MATCH(ВСЕ_КОДЫ[[#This Row],[CONTEST_CODE]],_reward_link_[CONTEST_CODE],0),MATCH($U$1,_reward_link_[#Headers],0)),"-")</f>
        <v>BANK</v>
      </c>
      <c r="V699" s="1" t="str">
        <f>IFERROR(INDEX(_report[],MATCH(ВСЕ_КОДЫ[[#This Row],[CONTEST_CODE]],_report[CONTEST_CODE],0),MATCH($V$1,_report[#Headers],0)),"-")</f>
        <v>-</v>
      </c>
      <c r="W699" s="1" t="str">
        <f>IFERROR(INDEX(_reward_[],MATCH(ВСЕ_КОДЫ[[#This Row],[REWARD_CODE]],_reward_[REWARD_CODE],0),MATCH($W$1,_reward_[#Headers],0)),"-")</f>
        <v>Бронза#по объему перечислений ФОТ</v>
      </c>
      <c r="X699" s="1" t="str">
        <f>IFERROR(INDEX(_group_[],MATCH(CONCATENATE(ВСЕ_КОДЫ[[#This Row],[CONTEST_CODE]],"_",X$2),#REF!,0),MATCH(X$1,_group_[#Headers],0)),"-")</f>
        <v>-</v>
      </c>
      <c r="Y699" s="1" t="str">
        <f>IFERROR(INDEX(_group_[],MATCH(CONCATENATE(ВСЕ_КОДЫ[[#This Row],[CONTEST_CODE]],"_",Y$2),#REF!,0),MATCH(Y$1,_group_[#Headers],0)),"-")</f>
        <v>-</v>
      </c>
      <c r="Z699" s="1" t="str">
        <f>IFERROR(INDEX(_group_[],MATCH(CONCATENATE(ВСЕ_КОДЫ[[#This Row],[CONTEST_CODE]],"_",Z$2),#REF!,0),MATCH(Z$1,_group_[#Headers],0)),"-")</f>
        <v>-</v>
      </c>
      <c r="AA699" s="1" t="str">
        <f>IFERROR(INDEX(_group_[],MATCH(CONCATENATE(ВСЕ_КОДЫ[[#This Row],[CONTEST_CODE]],"_",AA$2),#REF!,0),MATCH(AA$1,_group_[#Headers],0)),"-")</f>
        <v>-</v>
      </c>
      <c r="AB699" s="1" t="str">
        <f>IFERROR(INDEX(_DATA_[],MATCH(ВСЕ_КОДЫ[[#This Row],[CONTEST_CODE]],_DATA_[CONTEST_CODE],0),MATCH($AB$2,_DATA_[#Headers],0)),"-")</f>
        <v>["""KMKKSB"""]</v>
      </c>
      <c r="AC699" t="str">
        <f>CONCATENATE(ВСЕ_КОДЫ[[#This Row],[CONTEST_CODE]],"_",ВСЕ_КОДЫ[[#This Row],[TOURNAMENT_CODE]])</f>
        <v>01_2025-1_05-1_2t_t_01_2025-1_05-1_2t_3051</v>
      </c>
      <c r="AD699" t="str">
        <f>ВСЕ_КОДЫ[[#This Row],[FULL_NAME]]</f>
        <v>ФОТ. Прирост объема перечислений</v>
      </c>
    </row>
    <row r="700" spans="1:30" hidden="1" x14ac:dyDescent="0.25">
      <c r="A700" s="1" t="s">
        <v>4832</v>
      </c>
      <c r="B700" s="1" t="s">
        <v>4861</v>
      </c>
      <c r="C700" s="1" t="s">
        <v>4837</v>
      </c>
      <c r="D700" s="1" t="s">
        <v>586</v>
      </c>
      <c r="E700" s="1" t="s">
        <v>106</v>
      </c>
      <c r="F700" s="1" t="s">
        <v>2508</v>
      </c>
      <c r="G700" s="1" t="s">
        <v>27</v>
      </c>
      <c r="H700" s="1" t="s">
        <v>34</v>
      </c>
      <c r="I700" s="1" t="s">
        <v>50</v>
      </c>
      <c r="J700" s="1" t="s">
        <v>2554</v>
      </c>
      <c r="K700" s="1" t="s">
        <v>4756</v>
      </c>
      <c r="L700" s="1" t="s">
        <v>4853</v>
      </c>
      <c r="M700" s="1" t="s">
        <v>34</v>
      </c>
      <c r="N700" s="1" t="s">
        <v>305</v>
      </c>
      <c r="O700" s="1" t="s">
        <v>2686</v>
      </c>
      <c r="Q700">
        <f>IFERROR(COUNTIFS(_report[TOURNAMENT_CODE],ВСЕ_КОДЫ[[#This Row],[TOURNAMENT_CODE]],_report[CONTEST_CODE],ВСЕ_КОДЫ[[#This Row],[CONTEST_CODE]]),"-")</f>
        <v>0</v>
      </c>
      <c r="R700" s="1" t="str">
        <f>IFERROR(INDEX(_SCHEDULE_[],MATCH(ВСЕ_КОДЫ[[#This Row],[CONTEST_CODE]],_SCHEDULE_[CONTEST_CODE],0),MATCH($R$1,_SCHEDULE_[#Headers],0)),"-")</f>
        <v>ПОДВЕДЕНИЕ ИТОГОВ</v>
      </c>
      <c r="S700" s="1" t="str">
        <f>IFERROR(INDEX(_group_[],MATCH(ВСЕ_КОДЫ[[#This Row],[CONTEST_CODE]],_group_[CONTEST_CODE],0),MATCH($S$1,_group_[#Headers],0)),"-")</f>
        <v>BANK</v>
      </c>
      <c r="T700" s="1" t="str">
        <f>IFERROR(INDEX(_INDICATOR_[],MATCH(ВСЕ_КОДЫ[[#This Row],[CONTEST_CODE]],_INDICATOR_[CONTEST_CODE],0),MATCH($T$1,_INDICATOR_[#Headers],0)),"-")</f>
        <v>CC360_CLIENT_VOLUM_FOT_M</v>
      </c>
      <c r="U700" s="1" t="str">
        <f>IFERROR(INDEX(_reward_link_[],MATCH(ВСЕ_КОДЫ[[#This Row],[CONTEST_CODE]],_reward_link_[CONTEST_CODE],0),MATCH($U$1,_reward_link_[#Headers],0)),"-")</f>
        <v>BANK</v>
      </c>
      <c r="V700" s="1" t="str">
        <f>IFERROR(INDEX(_report[],MATCH(ВСЕ_КОДЫ[[#This Row],[CONTEST_CODE]],_report[CONTEST_CODE],0),MATCH($V$1,_report[#Headers],0)),"-")</f>
        <v>-</v>
      </c>
      <c r="W700" s="1" t="str">
        <f>IFERROR(INDEX(_reward_[],MATCH(ВСЕ_КОДЫ[[#This Row],[REWARD_CODE]],_reward_[REWARD_CODE],0),MATCH($W$1,_reward_[#Headers],0)),"-")</f>
        <v>Серебро#по объему перечислений ФОТ</v>
      </c>
      <c r="X700" s="1" t="str">
        <f>IFERROR(INDEX(_group_[],MATCH(CONCATENATE(ВСЕ_КОДЫ[[#This Row],[CONTEST_CODE]],"_",X$2),#REF!,0),MATCH(X$1,_group_[#Headers],0)),"-")</f>
        <v>-</v>
      </c>
      <c r="Y700" s="1" t="str">
        <f>IFERROR(INDEX(_group_[],MATCH(CONCATENATE(ВСЕ_КОДЫ[[#This Row],[CONTEST_CODE]],"_",Y$2),#REF!,0),MATCH(Y$1,_group_[#Headers],0)),"-")</f>
        <v>-</v>
      </c>
      <c r="Z700" s="1" t="str">
        <f>IFERROR(INDEX(_group_[],MATCH(CONCATENATE(ВСЕ_КОДЫ[[#This Row],[CONTEST_CODE]],"_",Z$2),#REF!,0),MATCH(Z$1,_group_[#Headers],0)),"-")</f>
        <v>-</v>
      </c>
      <c r="AA700" s="1" t="str">
        <f>IFERROR(INDEX(_group_[],MATCH(CONCATENATE(ВСЕ_КОДЫ[[#This Row],[CONTEST_CODE]],"_",AA$2),#REF!,0),MATCH(AA$1,_group_[#Headers],0)),"-")</f>
        <v>-</v>
      </c>
      <c r="AB700" s="1" t="str">
        <f>IFERROR(INDEX(_DATA_[],MATCH(ВСЕ_КОДЫ[[#This Row],[CONTEST_CODE]],_DATA_[CONTEST_CODE],0),MATCH($AB$2,_DATA_[#Headers],0)),"-")</f>
        <v>["""KMKKSB"""]</v>
      </c>
      <c r="AC700" t="str">
        <f>CONCATENATE(ВСЕ_КОДЫ[[#This Row],[CONTEST_CODE]],"_",ВСЕ_КОДЫ[[#This Row],[TOURNAMENT_CODE]])</f>
        <v>01_2025-1_05-1_2t_t_01_2025-1_05-1_2t_3051</v>
      </c>
      <c r="AD700" t="str">
        <f>ВСЕ_КОДЫ[[#This Row],[FULL_NAME]]</f>
        <v>ФОТ. Прирост объема перечислений</v>
      </c>
    </row>
    <row r="701" spans="1:30" hidden="1" x14ac:dyDescent="0.25">
      <c r="A701" s="1" t="s">
        <v>4626</v>
      </c>
      <c r="B701" s="1" t="s">
        <v>4644</v>
      </c>
      <c r="C701" s="1" t="s">
        <v>4631</v>
      </c>
      <c r="D701" s="1" t="s">
        <v>583</v>
      </c>
      <c r="E701" s="1" t="s">
        <v>4645</v>
      </c>
      <c r="F701" s="1" t="s">
        <v>2508</v>
      </c>
      <c r="G701" s="1" t="s">
        <v>27</v>
      </c>
      <c r="H701" s="1" t="s">
        <v>34</v>
      </c>
      <c r="I701" s="1" t="s">
        <v>50</v>
      </c>
      <c r="J701" s="1" t="s">
        <v>2508</v>
      </c>
      <c r="K701" s="1" t="s">
        <v>2509</v>
      </c>
      <c r="L701" s="1" t="s">
        <v>4646</v>
      </c>
      <c r="M701" s="1" t="s">
        <v>34</v>
      </c>
      <c r="N701" s="1" t="s">
        <v>305</v>
      </c>
      <c r="O701" s="1" t="s">
        <v>4639</v>
      </c>
      <c r="Q701">
        <f>IFERROR(COUNTIFS(_report[TOURNAMENT_CODE],ВСЕ_КОДЫ[[#This Row],[TOURNAMENT_CODE]],_report[CONTEST_CODE],ВСЕ_КОДЫ[[#This Row],[CONTEST_CODE]]),"-")</f>
        <v>0</v>
      </c>
      <c r="R701" s="1" t="str">
        <f>IFERROR(INDEX(_SCHEDULE_[],MATCH(ВСЕ_КОДЫ[[#This Row],[CONTEST_CODE]],_SCHEDULE_[CONTEST_CODE],0),MATCH($R$1,_SCHEDULE_[#Headers],0)),"-")</f>
        <v>АКТИВНЫЙ</v>
      </c>
      <c r="S701" s="1" t="str">
        <f>IFERROR(INDEX(_group_[],MATCH(ВСЕ_КОДЫ[[#This Row],[CONTEST_CODE]],_group_[CONTEST_CODE],0),MATCH($S$1,_group_[#Headers],0)),"-")</f>
        <v>BANK</v>
      </c>
      <c r="T701" s="1" t="str">
        <f>IFERROR(INDEX(_INDICATOR_[],MATCH(ВСЕ_КОДЫ[[#This Row],[CONTEST_CODE]],_INDICATOR_[CONTEST_CODE],0),MATCH($T$1,_INDICATOR_[#Headers],0)),"-")</f>
        <v>WAIT</v>
      </c>
      <c r="U701" s="1" t="str">
        <f>IFERROR(INDEX(_reward_link_[],MATCH(ВСЕ_КОДЫ[[#This Row],[CONTEST_CODE]],_reward_link_[CONTEST_CODE],0),MATCH($U$1,_reward_link_[#Headers],0)),"-")</f>
        <v>BANK</v>
      </c>
      <c r="V701" s="1" t="str">
        <f>IFERROR(INDEX(_report[],MATCH(ВСЕ_КОДЫ[[#This Row],[CONTEST_CODE]],_report[CONTEST_CODE],0),MATCH($V$1,_report[#Headers],0)),"-")</f>
        <v>-</v>
      </c>
      <c r="W701" s="1" t="str">
        <f>IFERROR(INDEX(_reward_[],MATCH(ВСЕ_КОДЫ[[#This Row],[REWARD_CODE]],_reward_[REWARD_CODE],0),MATCH($W$1,_reward_[#Headers],0)),"-")</f>
        <v>Золото#по пакетам услуг</v>
      </c>
      <c r="X701" s="1" t="str">
        <f>IFERROR(INDEX(_group_[],MATCH(CONCATENATE(ВСЕ_КОДЫ[[#This Row],[CONTEST_CODE]],"_",X$2),#REF!,0),MATCH(X$1,_group_[#Headers],0)),"-")</f>
        <v>-</v>
      </c>
      <c r="Y701" s="1" t="str">
        <f>IFERROR(INDEX(_group_[],MATCH(CONCATENATE(ВСЕ_КОДЫ[[#This Row],[CONTEST_CODE]],"_",Y$2),#REF!,0),MATCH(Y$1,_group_[#Headers],0)),"-")</f>
        <v>-</v>
      </c>
      <c r="Z701" s="1" t="str">
        <f>IFERROR(INDEX(_group_[],MATCH(CONCATENATE(ВСЕ_КОДЫ[[#This Row],[CONTEST_CODE]],"_",Z$2),#REF!,0),MATCH(Z$1,_group_[#Headers],0)),"-")</f>
        <v>-</v>
      </c>
      <c r="AA701" s="1" t="str">
        <f>IFERROR(INDEX(_group_[],MATCH(CONCATENATE(ВСЕ_КОДЫ[[#This Row],[CONTEST_CODE]],"_",AA$2),#REF!,0),MATCH(AA$1,_group_[#Headers],0)),"-")</f>
        <v>-</v>
      </c>
      <c r="AB701" s="1" t="str">
        <f>IFERROR(INDEX(_DATA_[],MATCH(ВСЕ_КОДЫ[[#This Row],[CONTEST_CODE]],_DATA_[CONTEST_CODE],0),MATCH($AB$2,_DATA_[#Headers],0)),"-")</f>
        <v>["""KMKKSB"""]</v>
      </c>
      <c r="AC701" t="str">
        <f>CONCATENATE(ВСЕ_КОДЫ[[#This Row],[CONTEST_CODE]],"_",ВСЕ_КОДЫ[[#This Row],[TOURNAMENT_CODE]])</f>
        <v>01_2025-0_18-7_5_t_01_2025-0_18-7_5_4001</v>
      </c>
      <c r="AD701" t="str">
        <f>ВСЕ_КОДЫ[[#This Row],[FULL_NAME]]</f>
        <v>Пакеты услуг. Привлекаем ЛПР на обслуживание в СберПервый</v>
      </c>
    </row>
    <row r="702" spans="1:30" hidden="1" x14ac:dyDescent="0.25">
      <c r="A702" s="1" t="s">
        <v>4626</v>
      </c>
      <c r="B702" s="1" t="s">
        <v>4644</v>
      </c>
      <c r="C702" s="1" t="s">
        <v>4633</v>
      </c>
      <c r="D702" s="1" t="s">
        <v>586</v>
      </c>
      <c r="E702" s="1" t="s">
        <v>4645</v>
      </c>
      <c r="F702" s="1" t="s">
        <v>2508</v>
      </c>
      <c r="G702" s="1" t="s">
        <v>27</v>
      </c>
      <c r="H702" s="1" t="s">
        <v>34</v>
      </c>
      <c r="I702" s="1" t="s">
        <v>50</v>
      </c>
      <c r="J702" s="1" t="s">
        <v>2508</v>
      </c>
      <c r="K702" s="1" t="s">
        <v>2509</v>
      </c>
      <c r="L702" s="1" t="s">
        <v>4646</v>
      </c>
      <c r="M702" s="1" t="s">
        <v>34</v>
      </c>
      <c r="N702" s="1" t="s">
        <v>305</v>
      </c>
      <c r="O702" s="1" t="s">
        <v>4641</v>
      </c>
      <c r="Q702">
        <f>IFERROR(COUNTIFS(_report[TOURNAMENT_CODE],ВСЕ_КОДЫ[[#This Row],[TOURNAMENT_CODE]],_report[CONTEST_CODE],ВСЕ_КОДЫ[[#This Row],[CONTEST_CODE]]),"-")</f>
        <v>0</v>
      </c>
      <c r="R702" s="1" t="str">
        <f>IFERROR(INDEX(_SCHEDULE_[],MATCH(ВСЕ_КОДЫ[[#This Row],[CONTEST_CODE]],_SCHEDULE_[CONTEST_CODE],0),MATCH($R$1,_SCHEDULE_[#Headers],0)),"-")</f>
        <v>АКТИВНЫЙ</v>
      </c>
      <c r="S702" s="1" t="str">
        <f>IFERROR(INDEX(_group_[],MATCH(ВСЕ_КОДЫ[[#This Row],[CONTEST_CODE]],_group_[CONTEST_CODE],0),MATCH($S$1,_group_[#Headers],0)),"-")</f>
        <v>BANK</v>
      </c>
      <c r="T702" s="1" t="str">
        <f>IFERROR(INDEX(_INDICATOR_[],MATCH(ВСЕ_КОДЫ[[#This Row],[CONTEST_CODE]],_INDICATOR_[CONTEST_CODE],0),MATCH($T$1,_INDICATOR_[#Headers],0)),"-")</f>
        <v>WAIT</v>
      </c>
      <c r="U702" s="1" t="str">
        <f>IFERROR(INDEX(_reward_link_[],MATCH(ВСЕ_КОДЫ[[#This Row],[CONTEST_CODE]],_reward_link_[CONTEST_CODE],0),MATCH($U$1,_reward_link_[#Headers],0)),"-")</f>
        <v>BANK</v>
      </c>
      <c r="V702" s="1" t="str">
        <f>IFERROR(INDEX(_report[],MATCH(ВСЕ_КОДЫ[[#This Row],[CONTEST_CODE]],_report[CONTEST_CODE],0),MATCH($V$1,_report[#Headers],0)),"-")</f>
        <v>-</v>
      </c>
      <c r="W702" s="1" t="str">
        <f>IFERROR(INDEX(_reward_[],MATCH(ВСЕ_КОДЫ[[#This Row],[REWARD_CODE]],_reward_[REWARD_CODE],0),MATCH($W$1,_reward_[#Headers],0)),"-")</f>
        <v>Серебро#по пакетам услуг</v>
      </c>
      <c r="X702" s="1" t="str">
        <f>IFERROR(INDEX(_group_[],MATCH(CONCATENATE(ВСЕ_КОДЫ[[#This Row],[CONTEST_CODE]],"_",X$2),#REF!,0),MATCH(X$1,_group_[#Headers],0)),"-")</f>
        <v>-</v>
      </c>
      <c r="Y702" s="1" t="str">
        <f>IFERROR(INDEX(_group_[],MATCH(CONCATENATE(ВСЕ_КОДЫ[[#This Row],[CONTEST_CODE]],"_",Y$2),#REF!,0),MATCH(Y$1,_group_[#Headers],0)),"-")</f>
        <v>-</v>
      </c>
      <c r="Z702" s="1" t="str">
        <f>IFERROR(INDEX(_group_[],MATCH(CONCATENATE(ВСЕ_КОДЫ[[#This Row],[CONTEST_CODE]],"_",Z$2),#REF!,0),MATCH(Z$1,_group_[#Headers],0)),"-")</f>
        <v>-</v>
      </c>
      <c r="AA702" s="1" t="str">
        <f>IFERROR(INDEX(_group_[],MATCH(CONCATENATE(ВСЕ_КОДЫ[[#This Row],[CONTEST_CODE]],"_",AA$2),#REF!,0),MATCH(AA$1,_group_[#Headers],0)),"-")</f>
        <v>-</v>
      </c>
      <c r="AB702" s="1" t="str">
        <f>IFERROR(INDEX(_DATA_[],MATCH(ВСЕ_КОДЫ[[#This Row],[CONTEST_CODE]],_DATA_[CONTEST_CODE],0),MATCH($AB$2,_DATA_[#Headers],0)),"-")</f>
        <v>["""KMKKSB"""]</v>
      </c>
      <c r="AC702" t="str">
        <f>CONCATENATE(ВСЕ_КОДЫ[[#This Row],[CONTEST_CODE]],"_",ВСЕ_КОДЫ[[#This Row],[TOURNAMENT_CODE]])</f>
        <v>01_2025-0_18-7_5_t_01_2025-0_18-7_5_4001</v>
      </c>
      <c r="AD702" t="str">
        <f>ВСЕ_КОДЫ[[#This Row],[FULL_NAME]]</f>
        <v>Пакеты услуг. Привлекаем ЛПР на обслуживание в СберПервый</v>
      </c>
    </row>
    <row r="703" spans="1:30" hidden="1" x14ac:dyDescent="0.25">
      <c r="A703" s="1" t="s">
        <v>2202</v>
      </c>
      <c r="B703" s="1" t="s">
        <v>1064</v>
      </c>
      <c r="C703" s="1" t="s">
        <v>2290</v>
      </c>
      <c r="D703" s="1" t="s">
        <v>583</v>
      </c>
      <c r="E703" s="1" t="s">
        <v>2605</v>
      </c>
      <c r="F703" s="1" t="s">
        <v>2508</v>
      </c>
      <c r="G703" s="1" t="s">
        <v>27</v>
      </c>
      <c r="H703" s="1" t="s">
        <v>34</v>
      </c>
      <c r="I703" s="1" t="s">
        <v>50</v>
      </c>
      <c r="J703" s="1"/>
      <c r="K703" s="1"/>
      <c r="L703" s="1"/>
      <c r="M703" s="1"/>
      <c r="N703" s="1" t="s">
        <v>305</v>
      </c>
      <c r="O703" s="1" t="s">
        <v>2664</v>
      </c>
      <c r="Q703">
        <f>IFERROR(COUNTIFS(_report[TOURNAMENT_CODE],ВСЕ_КОДЫ[[#This Row],[TOURNAMENT_CODE]],_report[CONTEST_CODE],ВСЕ_КОДЫ[[#This Row],[CONTEST_CODE]]),"-")</f>
        <v>0</v>
      </c>
      <c r="R703" s="1" t="str">
        <f>IFERROR(INDEX(_SCHEDULE_[],MATCH(ВСЕ_КОДЫ[[#This Row],[CONTEST_CODE]],_SCHEDULE_[CONTEST_CODE],0),MATCH($R$1,_SCHEDULE_[#Headers],0)),"-")</f>
        <v>-</v>
      </c>
      <c r="S703" s="1" t="str">
        <f>IFERROR(INDEX(_group_[],MATCH(ВСЕ_КОДЫ[[#This Row],[CONTEST_CODE]],_group_[CONTEST_CODE],0),MATCH($S$1,_group_[#Headers],0)),"-")</f>
        <v>BANK</v>
      </c>
      <c r="T703" s="1" t="str">
        <f>IFERROR(INDEX(_INDICATOR_[],MATCH(ВСЕ_КОДЫ[[#This Row],[CONTEST_CODE]],_INDICATOR_[CONTEST_CODE],0),MATCH($T$1,_INDICATOR_[#Headers],0)),"-")</f>
        <v>-</v>
      </c>
      <c r="U703" s="1" t="str">
        <f>IFERROR(INDEX(_reward_link_[],MATCH(ВСЕ_КОДЫ[[#This Row],[CONTEST_CODE]],_reward_link_[CONTEST_CODE],0),MATCH($U$1,_reward_link_[#Headers],0)),"-")</f>
        <v>BANK</v>
      </c>
      <c r="V703" s="1" t="str">
        <f>IFERROR(INDEX(_report[],MATCH(ВСЕ_КОДЫ[[#This Row],[CONTEST_CODE]],_report[CONTEST_CODE],0),MATCH($V$1,_report[#Headers],0)),"-")</f>
        <v>-</v>
      </c>
      <c r="W703" s="1" t="str">
        <f>IFERROR(INDEX(_reward_[],MATCH(ВСЕ_КОДЫ[[#This Row],[REWARD_CODE]],_reward_[REWARD_CODE],0),MATCH($W$1,_reward_[#Headers],0)),"-")</f>
        <v>Золото</v>
      </c>
      <c r="X703" s="1" t="str">
        <f>IFERROR(INDEX(_group_[],MATCH(CONCATENATE(ВСЕ_КОДЫ[[#This Row],[CONTEST_CODE]],"_",X$2),#REF!,0),MATCH(X$1,_group_[#Headers],0)),"-")</f>
        <v>-</v>
      </c>
      <c r="Y703" s="1" t="str">
        <f>IFERROR(INDEX(_group_[],MATCH(CONCATENATE(ВСЕ_КОДЫ[[#This Row],[CONTEST_CODE]],"_",Y$2),#REF!,0),MATCH(Y$1,_group_[#Headers],0)),"-")</f>
        <v>-</v>
      </c>
      <c r="Z703" s="1" t="str">
        <f>IFERROR(INDEX(_group_[],MATCH(CONCATENATE(ВСЕ_КОДЫ[[#This Row],[CONTEST_CODE]],"_",Z$2),#REF!,0),MATCH(Z$1,_group_[#Headers],0)),"-")</f>
        <v>-</v>
      </c>
      <c r="AA703" s="1" t="str">
        <f>IFERROR(INDEX(_group_[],MATCH(CONCATENATE(ВСЕ_КОДЫ[[#This Row],[CONTEST_CODE]],"_",AA$2),#REF!,0),MATCH(AA$1,_group_[#Headers],0)),"-")</f>
        <v>-</v>
      </c>
      <c r="AB703" s="1" t="str">
        <f>IFERROR(INDEX(_DATA_[],MATCH(ВСЕ_КОДЫ[[#This Row],[CONTEST_CODE]],_DATA_[CONTEST_CODE],0),MATCH($AB$2,_DATA_[#Headers],0)),"-")</f>
        <v>["""KMKKSB"""]</v>
      </c>
      <c r="AC703" t="str">
        <f>CONCATENATE(ВСЕ_КОДЫ[[#This Row],[CONTEST_CODE]],"_",ВСЕ_КОДЫ[[#This Row],[TOURNAMENT_CODE]])</f>
        <v>01_2025-1_00-1_-</v>
      </c>
      <c r="AD703" t="str">
        <f>ВСЕ_КОДЫ[[#This Row],[FULL_NAME]]</f>
        <v>1 полугодие 2025 КМ ККСБ</v>
      </c>
    </row>
    <row r="704" spans="1:30" hidden="1" x14ac:dyDescent="0.25">
      <c r="A704" s="1" t="s">
        <v>2202</v>
      </c>
      <c r="B704" s="1" t="s">
        <v>1064</v>
      </c>
      <c r="C704" s="1" t="s">
        <v>2292</v>
      </c>
      <c r="D704" s="1" t="s">
        <v>583</v>
      </c>
      <c r="E704" s="1" t="s">
        <v>2605</v>
      </c>
      <c r="F704" s="1" t="s">
        <v>2508</v>
      </c>
      <c r="G704" s="1" t="s">
        <v>27</v>
      </c>
      <c r="H704" s="1" t="s">
        <v>34</v>
      </c>
      <c r="I704" s="1" t="s">
        <v>50</v>
      </c>
      <c r="J704" s="1"/>
      <c r="K704" s="1"/>
      <c r="L704" s="1"/>
      <c r="M704" s="1"/>
      <c r="N704" s="1" t="s">
        <v>305</v>
      </c>
      <c r="O704" s="1" t="s">
        <v>2666</v>
      </c>
      <c r="Q704">
        <f>IFERROR(COUNTIFS(_report[TOURNAMENT_CODE],ВСЕ_КОДЫ[[#This Row],[TOURNAMENT_CODE]],_report[CONTEST_CODE],ВСЕ_КОДЫ[[#This Row],[CONTEST_CODE]]),"-")</f>
        <v>0</v>
      </c>
      <c r="R704" s="1" t="str">
        <f>IFERROR(INDEX(_SCHEDULE_[],MATCH(ВСЕ_КОДЫ[[#This Row],[CONTEST_CODE]],_SCHEDULE_[CONTEST_CODE],0),MATCH($R$1,_SCHEDULE_[#Headers],0)),"-")</f>
        <v>-</v>
      </c>
      <c r="S704" s="1" t="str">
        <f>IFERROR(INDEX(_group_[],MATCH(ВСЕ_КОДЫ[[#This Row],[CONTEST_CODE]],_group_[CONTEST_CODE],0),MATCH($S$1,_group_[#Headers],0)),"-")</f>
        <v>BANK</v>
      </c>
      <c r="T704" s="1" t="str">
        <f>IFERROR(INDEX(_INDICATOR_[],MATCH(ВСЕ_КОДЫ[[#This Row],[CONTEST_CODE]],_INDICATOR_[CONTEST_CODE],0),MATCH($T$1,_INDICATOR_[#Headers],0)),"-")</f>
        <v>-</v>
      </c>
      <c r="U704" s="1" t="str">
        <f>IFERROR(INDEX(_reward_link_[],MATCH(ВСЕ_КОДЫ[[#This Row],[CONTEST_CODE]],_reward_link_[CONTEST_CODE],0),MATCH($U$1,_reward_link_[#Headers],0)),"-")</f>
        <v>BANK</v>
      </c>
      <c r="V704" s="1" t="str">
        <f>IFERROR(INDEX(_report[],MATCH(ВСЕ_КОДЫ[[#This Row],[CONTEST_CODE]],_report[CONTEST_CODE],0),MATCH($V$1,_report[#Headers],0)),"-")</f>
        <v>-</v>
      </c>
      <c r="W704" s="1" t="str">
        <f>IFERROR(INDEX(_reward_[],MATCH(ВСЕ_КОДЫ[[#This Row],[REWARD_CODE]],_reward_[REWARD_CODE],0),MATCH($W$1,_reward_[#Headers],0)),"-")</f>
        <v>Серебро</v>
      </c>
      <c r="X704" s="1" t="str">
        <f>IFERROR(INDEX(_group_[],MATCH(CONCATENATE(ВСЕ_КОДЫ[[#This Row],[CONTEST_CODE]],"_",X$2),#REF!,0),MATCH(X$1,_group_[#Headers],0)),"-")</f>
        <v>-</v>
      </c>
      <c r="Y704" s="1" t="str">
        <f>IFERROR(INDEX(_group_[],MATCH(CONCATENATE(ВСЕ_КОДЫ[[#This Row],[CONTEST_CODE]],"_",Y$2),#REF!,0),MATCH(Y$1,_group_[#Headers],0)),"-")</f>
        <v>-</v>
      </c>
      <c r="Z704" s="1" t="str">
        <f>IFERROR(INDEX(_group_[],MATCH(CONCATENATE(ВСЕ_КОДЫ[[#This Row],[CONTEST_CODE]],"_",Z$2),#REF!,0),MATCH(Z$1,_group_[#Headers],0)),"-")</f>
        <v>-</v>
      </c>
      <c r="AA704" s="1" t="str">
        <f>IFERROR(INDEX(_group_[],MATCH(CONCATENATE(ВСЕ_КОДЫ[[#This Row],[CONTEST_CODE]],"_",AA$2),#REF!,0),MATCH(AA$1,_group_[#Headers],0)),"-")</f>
        <v>-</v>
      </c>
      <c r="AB704" s="1" t="str">
        <f>IFERROR(INDEX(_DATA_[],MATCH(ВСЕ_КОДЫ[[#This Row],[CONTEST_CODE]],_DATA_[CONTEST_CODE],0),MATCH($AB$2,_DATA_[#Headers],0)),"-")</f>
        <v>["""KMKKSB"""]</v>
      </c>
      <c r="AC704" t="str">
        <f>CONCATENATE(ВСЕ_КОДЫ[[#This Row],[CONTEST_CODE]],"_",ВСЕ_КОДЫ[[#This Row],[TOURNAMENT_CODE]])</f>
        <v>01_2025-1_00-1_-</v>
      </c>
      <c r="AD704" t="str">
        <f>ВСЕ_КОДЫ[[#This Row],[FULL_NAME]]</f>
        <v>1 полугодие 2025 КМ ККСБ</v>
      </c>
    </row>
    <row r="705" spans="1:30" hidden="1" x14ac:dyDescent="0.25">
      <c r="A705" s="1" t="s">
        <v>2202</v>
      </c>
      <c r="B705" s="1" t="s">
        <v>1064</v>
      </c>
      <c r="C705" s="1" t="s">
        <v>2294</v>
      </c>
      <c r="D705" s="1" t="s">
        <v>583</v>
      </c>
      <c r="E705" s="1" t="s">
        <v>2605</v>
      </c>
      <c r="F705" s="1" t="s">
        <v>2508</v>
      </c>
      <c r="G705" s="1" t="s">
        <v>27</v>
      </c>
      <c r="H705" s="1" t="s">
        <v>34</v>
      </c>
      <c r="I705" s="1" t="s">
        <v>50</v>
      </c>
      <c r="J705" s="1"/>
      <c r="K705" s="1"/>
      <c r="L705" s="1"/>
      <c r="M705" s="1"/>
      <c r="N705" s="1" t="s">
        <v>305</v>
      </c>
      <c r="O705" s="1" t="s">
        <v>2668</v>
      </c>
      <c r="Q705">
        <f>IFERROR(COUNTIFS(_report[TOURNAMENT_CODE],ВСЕ_КОДЫ[[#This Row],[TOURNAMENT_CODE]],_report[CONTEST_CODE],ВСЕ_КОДЫ[[#This Row],[CONTEST_CODE]]),"-")</f>
        <v>0</v>
      </c>
      <c r="R705" s="1" t="str">
        <f>IFERROR(INDEX(_SCHEDULE_[],MATCH(ВСЕ_КОДЫ[[#This Row],[CONTEST_CODE]],_SCHEDULE_[CONTEST_CODE],0),MATCH($R$1,_SCHEDULE_[#Headers],0)),"-")</f>
        <v>-</v>
      </c>
      <c r="S705" s="1" t="str">
        <f>IFERROR(INDEX(_group_[],MATCH(ВСЕ_КОДЫ[[#This Row],[CONTEST_CODE]],_group_[CONTEST_CODE],0),MATCH($S$1,_group_[#Headers],0)),"-")</f>
        <v>BANK</v>
      </c>
      <c r="T705" s="1" t="str">
        <f>IFERROR(INDEX(_INDICATOR_[],MATCH(ВСЕ_КОДЫ[[#This Row],[CONTEST_CODE]],_INDICATOR_[CONTEST_CODE],0),MATCH($T$1,_INDICATOR_[#Headers],0)),"-")</f>
        <v>-</v>
      </c>
      <c r="U705" s="1" t="str">
        <f>IFERROR(INDEX(_reward_link_[],MATCH(ВСЕ_КОДЫ[[#This Row],[CONTEST_CODE]],_reward_link_[CONTEST_CODE],0),MATCH($U$1,_reward_link_[#Headers],0)),"-")</f>
        <v>BANK</v>
      </c>
      <c r="V705" s="1" t="str">
        <f>IFERROR(INDEX(_report[],MATCH(ВСЕ_КОДЫ[[#This Row],[CONTEST_CODE]],_report[CONTEST_CODE],0),MATCH($V$1,_report[#Headers],0)),"-")</f>
        <v>-</v>
      </c>
      <c r="W705" s="1" t="str">
        <f>IFERROR(INDEX(_reward_[],MATCH(ВСЕ_КОДЫ[[#This Row],[REWARD_CODE]],_reward_[REWARD_CODE],0),MATCH($W$1,_reward_[#Headers],0)),"-")</f>
        <v>Бронза</v>
      </c>
      <c r="X705" s="1" t="str">
        <f>IFERROR(INDEX(_group_[],MATCH(CONCATENATE(ВСЕ_КОДЫ[[#This Row],[CONTEST_CODE]],"_",X$2),#REF!,0),MATCH(X$1,_group_[#Headers],0)),"-")</f>
        <v>-</v>
      </c>
      <c r="Y705" s="1" t="str">
        <f>IFERROR(INDEX(_group_[],MATCH(CONCATENATE(ВСЕ_КОДЫ[[#This Row],[CONTEST_CODE]],"_",Y$2),#REF!,0),MATCH(Y$1,_group_[#Headers],0)),"-")</f>
        <v>-</v>
      </c>
      <c r="Z705" s="1" t="str">
        <f>IFERROR(INDEX(_group_[],MATCH(CONCATENATE(ВСЕ_КОДЫ[[#This Row],[CONTEST_CODE]],"_",Z$2),#REF!,0),MATCH(Z$1,_group_[#Headers],0)),"-")</f>
        <v>-</v>
      </c>
      <c r="AA705" s="1" t="str">
        <f>IFERROR(INDEX(_group_[],MATCH(CONCATENATE(ВСЕ_КОДЫ[[#This Row],[CONTEST_CODE]],"_",AA$2),#REF!,0),MATCH(AA$1,_group_[#Headers],0)),"-")</f>
        <v>-</v>
      </c>
      <c r="AB705" s="1" t="str">
        <f>IFERROR(INDEX(_DATA_[],MATCH(ВСЕ_КОДЫ[[#This Row],[CONTEST_CODE]],_DATA_[CONTEST_CODE],0),MATCH($AB$2,_DATA_[#Headers],0)),"-")</f>
        <v>["""KMKKSB"""]</v>
      </c>
      <c r="AC705" t="str">
        <f>CONCATENATE(ВСЕ_КОДЫ[[#This Row],[CONTEST_CODE]],"_",ВСЕ_КОДЫ[[#This Row],[TOURNAMENT_CODE]])</f>
        <v>01_2025-1_00-1_-</v>
      </c>
      <c r="AD705" t="str">
        <f>ВСЕ_КОДЫ[[#This Row],[FULL_NAME]]</f>
        <v>1 полугодие 2025 КМ ККСБ</v>
      </c>
    </row>
    <row r="706" spans="1:30" hidden="1" x14ac:dyDescent="0.25">
      <c r="A706" s="1" t="s">
        <v>72</v>
      </c>
      <c r="B706" s="1" t="s">
        <v>1064</v>
      </c>
      <c r="C706" s="1" t="s">
        <v>380</v>
      </c>
      <c r="D706" s="1" t="s">
        <v>583</v>
      </c>
      <c r="E706" s="1" t="s">
        <v>73</v>
      </c>
      <c r="F706" s="1" t="s">
        <v>26</v>
      </c>
      <c r="G706" s="1" t="s">
        <v>27</v>
      </c>
      <c r="H706" s="1" t="s">
        <v>28</v>
      </c>
      <c r="I706" s="1" t="s">
        <v>29</v>
      </c>
      <c r="J706" s="1"/>
      <c r="K706" s="1"/>
      <c r="L706" s="1"/>
      <c r="M706" s="1"/>
      <c r="N706" s="1" t="s">
        <v>305</v>
      </c>
      <c r="O706" s="1" t="s">
        <v>381</v>
      </c>
      <c r="Q706">
        <f>IFERROR(COUNTIFS(_report[TOURNAMENT_CODE],ВСЕ_КОДЫ[[#This Row],[TOURNAMENT_CODE]],_report[CONTEST_CODE],ВСЕ_КОДЫ[[#This Row],[CONTEST_CODE]]),"-")</f>
        <v>0</v>
      </c>
      <c r="R706" s="1" t="str">
        <f>IFERROR(INDEX(_SCHEDULE_[],MATCH(ВСЕ_КОДЫ[[#This Row],[CONTEST_CODE]],_SCHEDULE_[CONTEST_CODE],0),MATCH($R$1,_SCHEDULE_[#Headers],0)),"-")</f>
        <v>-</v>
      </c>
      <c r="S706" s="1" t="str">
        <f>IFERROR(INDEX(_group_[],MATCH(ВСЕ_КОДЫ[[#This Row],[CONTEST_CODE]],_group_[CONTEST_CODE],0),MATCH($S$1,_group_[#Headers],0)),"-")</f>
        <v>BANK</v>
      </c>
      <c r="T706" s="1" t="str">
        <f>IFERROR(INDEX(_INDICATOR_[],MATCH(ВСЕ_КОДЫ[[#This Row],[CONTEST_CODE]],_INDICATOR_[CONTEST_CODE],0),MATCH($T$1,_INDICATOR_[#Headers],0)),"-")</f>
        <v>WAIT</v>
      </c>
      <c r="U706" s="1" t="str">
        <f>IFERROR(INDEX(_reward_link_[],MATCH(ВСЕ_КОДЫ[[#This Row],[CONTEST_CODE]],_reward_link_[CONTEST_CODE],0),MATCH($U$1,_reward_link_[#Headers],0)),"-")</f>
        <v>BANK</v>
      </c>
      <c r="V706" s="1" t="str">
        <f>IFERROR(INDEX(_report[],MATCH(ВСЕ_КОДЫ[[#This Row],[CONTEST_CODE]],_report[CONTEST_CODE],0),MATCH($V$1,_report[#Headers],0)),"-")</f>
        <v>-</v>
      </c>
      <c r="W706" s="1" t="str">
        <f>IFERROR(INDEX(_reward_[],MATCH(ВСЕ_КОДЫ[[#This Row],[REWARD_CODE]],_reward_[REWARD_CODE],0),MATCH($W$1,_reward_[#Headers],0)),"-")</f>
        <v>Архитектор будущего</v>
      </c>
      <c r="X706" s="1" t="str">
        <f>IFERROR(INDEX(_group_[],MATCH(CONCATENATE(ВСЕ_КОДЫ[[#This Row],[CONTEST_CODE]],"_",X$2),#REF!,0),MATCH(X$1,_group_[#Headers],0)),"-")</f>
        <v>-</v>
      </c>
      <c r="Y706" s="1" t="str">
        <f>IFERROR(INDEX(_group_[],MATCH(CONCATENATE(ВСЕ_КОДЫ[[#This Row],[CONTEST_CODE]],"_",Y$2),#REF!,0),MATCH(Y$1,_group_[#Headers],0)),"-")</f>
        <v>-</v>
      </c>
      <c r="Z706" s="1" t="str">
        <f>IFERROR(INDEX(_group_[],MATCH(CONCATENATE(ВСЕ_КОДЫ[[#This Row],[CONTEST_CODE]],"_",Z$2),#REF!,0),MATCH(Z$1,_group_[#Headers],0)),"-")</f>
        <v>-</v>
      </c>
      <c r="AA706" s="1" t="str">
        <f>IFERROR(INDEX(_group_[],MATCH(CONCATENATE(ВСЕ_КОДЫ[[#This Row],[CONTEST_CODE]],"_",AA$2),#REF!,0),MATCH(AA$1,_group_[#Headers],0)),"-")</f>
        <v>-</v>
      </c>
      <c r="AB706" s="1" t="str">
        <f>IFERROR(INDEX(_DATA_[],MATCH(ВСЕ_КОДЫ[[#This Row],[CONTEST_CODE]],_DATA_[CONTEST_CODE],0),MATCH($AB$2,_DATA_[#Headers],0)),"-")</f>
        <v>["""KMKKSB"""]</v>
      </c>
      <c r="AC706" t="str">
        <f>CONCATENATE(ВСЕ_КОДЫ[[#This Row],[CONTEST_CODE]],"_",ВСЕ_КОДЫ[[#This Row],[TOURNAMENT_CODE]])</f>
        <v>CONTEST_19_-</v>
      </c>
      <c r="AD706" t="str">
        <f>ВСЕ_КОДЫ[[#This Row],[FULL_NAME]]</f>
        <v>Участник мастерской РКПК 2023</v>
      </c>
    </row>
    <row r="707" spans="1:30" hidden="1" x14ac:dyDescent="0.25">
      <c r="A707" s="1" t="s">
        <v>2204</v>
      </c>
      <c r="B707" s="1" t="s">
        <v>1064</v>
      </c>
      <c r="C707" s="1" t="s">
        <v>2374</v>
      </c>
      <c r="D707" s="1" t="s">
        <v>583</v>
      </c>
      <c r="E707" s="1" t="s">
        <v>2620</v>
      </c>
      <c r="F707" s="1" t="s">
        <v>2508</v>
      </c>
      <c r="G707" s="1" t="s">
        <v>27</v>
      </c>
      <c r="H707" s="1" t="s">
        <v>34</v>
      </c>
      <c r="I707" s="1" t="s">
        <v>50</v>
      </c>
      <c r="J707" s="1"/>
      <c r="K707" s="1"/>
      <c r="L707" s="1"/>
      <c r="M707" s="1"/>
      <c r="N707" s="1" t="s">
        <v>305</v>
      </c>
      <c r="O707" s="1" t="s">
        <v>2664</v>
      </c>
      <c r="Q707">
        <f>IFERROR(COUNTIFS(_report[TOURNAMENT_CODE],ВСЕ_КОДЫ[[#This Row],[TOURNAMENT_CODE]],_report[CONTEST_CODE],ВСЕ_КОДЫ[[#This Row],[CONTEST_CODE]]),"-")</f>
        <v>0</v>
      </c>
      <c r="R707" s="1" t="str">
        <f>IFERROR(INDEX(_SCHEDULE_[],MATCH(ВСЕ_КОДЫ[[#This Row],[CONTEST_CODE]],_SCHEDULE_[CONTEST_CODE],0),MATCH($R$1,_SCHEDULE_[#Headers],0)),"-")</f>
        <v>-</v>
      </c>
      <c r="S707" s="1" t="str">
        <f>IFERROR(INDEX(_group_[],MATCH(ВСЕ_КОДЫ[[#This Row],[CONTEST_CODE]],_group_[CONTEST_CODE],0),MATCH($S$1,_group_[#Headers],0)),"-")</f>
        <v>BANK</v>
      </c>
      <c r="T707" s="1" t="str">
        <f>IFERROR(INDEX(_INDICATOR_[],MATCH(ВСЕ_КОДЫ[[#This Row],[CONTEST_CODE]],_INDICATOR_[CONTEST_CODE],0),MATCH($T$1,_INDICATOR_[#Headers],0)),"-")</f>
        <v>-</v>
      </c>
      <c r="U707" s="1" t="str">
        <f>IFERROR(INDEX(_reward_link_[],MATCH(ВСЕ_КОДЫ[[#This Row],[CONTEST_CODE]],_reward_link_[CONTEST_CODE],0),MATCH($U$1,_reward_link_[#Headers],0)),"-")</f>
        <v>BANK</v>
      </c>
      <c r="V707" s="1" t="str">
        <f>IFERROR(INDEX(_report[],MATCH(ВСЕ_КОДЫ[[#This Row],[CONTEST_CODE]],_report[CONTEST_CODE],0),MATCH($V$1,_report[#Headers],0)),"-")</f>
        <v>-</v>
      </c>
      <c r="W707" s="1" t="str">
        <f>IFERROR(INDEX(_reward_[],MATCH(ВСЕ_КОДЫ[[#This Row],[REWARD_CODE]],_reward_[REWARD_CODE],0),MATCH($W$1,_reward_[#Headers],0)),"-")</f>
        <v>Золото</v>
      </c>
      <c r="X707" s="1" t="str">
        <f>IFERROR(INDEX(_group_[],MATCH(CONCATENATE(ВСЕ_КОДЫ[[#This Row],[CONTEST_CODE]],"_",X$2),#REF!,0),MATCH(X$1,_group_[#Headers],0)),"-")</f>
        <v>-</v>
      </c>
      <c r="Y707" s="1" t="str">
        <f>IFERROR(INDEX(_group_[],MATCH(CONCATENATE(ВСЕ_КОДЫ[[#This Row],[CONTEST_CODE]],"_",Y$2),#REF!,0),MATCH(Y$1,_group_[#Headers],0)),"-")</f>
        <v>-</v>
      </c>
      <c r="Z707" s="1" t="str">
        <f>IFERROR(INDEX(_group_[],MATCH(CONCATENATE(ВСЕ_КОДЫ[[#This Row],[CONTEST_CODE]],"_",Z$2),#REF!,0),MATCH(Z$1,_group_[#Headers],0)),"-")</f>
        <v>-</v>
      </c>
      <c r="AA707" s="1" t="str">
        <f>IFERROR(INDEX(_group_[],MATCH(CONCATENATE(ВСЕ_КОДЫ[[#This Row],[CONTEST_CODE]],"_",AA$2),#REF!,0),MATCH(AA$1,_group_[#Headers],0)),"-")</f>
        <v>-</v>
      </c>
      <c r="AB707" s="1" t="str">
        <f>IFERROR(INDEX(_DATA_[],MATCH(ВСЕ_КОДЫ[[#This Row],[CONTEST_CODE]],_DATA_[CONTEST_CODE],0),MATCH($AB$2,_DATA_[#Headers],0)),"-")</f>
        <v>["""MNS"""]</v>
      </c>
      <c r="AC707" t="str">
        <f>CONCATENATE(ВСЕ_КОДЫ[[#This Row],[CONTEST_CODE]],"_",ВСЕ_КОДЫ[[#This Row],[TOURNAMENT_CODE]])</f>
        <v>02_2025-1_00-1_-</v>
      </c>
      <c r="AD707" t="str">
        <f>ВСЕ_КОДЫ[[#This Row],[FULL_NAME]]</f>
        <v>1 полугодие 2025 МНС</v>
      </c>
    </row>
    <row r="708" spans="1:30" hidden="1" x14ac:dyDescent="0.25">
      <c r="A708" s="1" t="s">
        <v>2204</v>
      </c>
      <c r="B708" s="1" t="s">
        <v>1064</v>
      </c>
      <c r="C708" s="1" t="s">
        <v>2376</v>
      </c>
      <c r="D708" s="1" t="s">
        <v>583</v>
      </c>
      <c r="E708" s="1" t="s">
        <v>2620</v>
      </c>
      <c r="F708" s="1" t="s">
        <v>2508</v>
      </c>
      <c r="G708" s="1" t="s">
        <v>27</v>
      </c>
      <c r="H708" s="1" t="s">
        <v>34</v>
      </c>
      <c r="I708" s="1" t="s">
        <v>50</v>
      </c>
      <c r="J708" s="1"/>
      <c r="K708" s="1"/>
      <c r="L708" s="1"/>
      <c r="M708" s="1"/>
      <c r="N708" s="1" t="s">
        <v>305</v>
      </c>
      <c r="O708" s="1" t="s">
        <v>2666</v>
      </c>
      <c r="Q708">
        <f>IFERROR(COUNTIFS(_report[TOURNAMENT_CODE],ВСЕ_КОДЫ[[#This Row],[TOURNAMENT_CODE]],_report[CONTEST_CODE],ВСЕ_КОДЫ[[#This Row],[CONTEST_CODE]]),"-")</f>
        <v>0</v>
      </c>
      <c r="R708" s="1" t="str">
        <f>IFERROR(INDEX(_SCHEDULE_[],MATCH(ВСЕ_КОДЫ[[#This Row],[CONTEST_CODE]],_SCHEDULE_[CONTEST_CODE],0),MATCH($R$1,_SCHEDULE_[#Headers],0)),"-")</f>
        <v>-</v>
      </c>
      <c r="S708" s="1" t="str">
        <f>IFERROR(INDEX(_group_[],MATCH(ВСЕ_КОДЫ[[#This Row],[CONTEST_CODE]],_group_[CONTEST_CODE],0),MATCH($S$1,_group_[#Headers],0)),"-")</f>
        <v>BANK</v>
      </c>
      <c r="T708" s="1" t="str">
        <f>IFERROR(INDEX(_INDICATOR_[],MATCH(ВСЕ_КОДЫ[[#This Row],[CONTEST_CODE]],_INDICATOR_[CONTEST_CODE],0),MATCH($T$1,_INDICATOR_[#Headers],0)),"-")</f>
        <v>-</v>
      </c>
      <c r="U708" s="1" t="str">
        <f>IFERROR(INDEX(_reward_link_[],MATCH(ВСЕ_КОДЫ[[#This Row],[CONTEST_CODE]],_reward_link_[CONTEST_CODE],0),MATCH($U$1,_reward_link_[#Headers],0)),"-")</f>
        <v>BANK</v>
      </c>
      <c r="V708" s="1" t="str">
        <f>IFERROR(INDEX(_report[],MATCH(ВСЕ_КОДЫ[[#This Row],[CONTEST_CODE]],_report[CONTEST_CODE],0),MATCH($V$1,_report[#Headers],0)),"-")</f>
        <v>-</v>
      </c>
      <c r="W708" s="1" t="str">
        <f>IFERROR(INDEX(_reward_[],MATCH(ВСЕ_КОДЫ[[#This Row],[REWARD_CODE]],_reward_[REWARD_CODE],0),MATCH($W$1,_reward_[#Headers],0)),"-")</f>
        <v>Серебро</v>
      </c>
      <c r="X708" s="1" t="str">
        <f>IFERROR(INDEX(_group_[],MATCH(CONCATENATE(ВСЕ_КОДЫ[[#This Row],[CONTEST_CODE]],"_",X$2),#REF!,0),MATCH(X$1,_group_[#Headers],0)),"-")</f>
        <v>-</v>
      </c>
      <c r="Y708" s="1" t="str">
        <f>IFERROR(INDEX(_group_[],MATCH(CONCATENATE(ВСЕ_КОДЫ[[#This Row],[CONTEST_CODE]],"_",Y$2),#REF!,0),MATCH(Y$1,_group_[#Headers],0)),"-")</f>
        <v>-</v>
      </c>
      <c r="Z708" s="1" t="str">
        <f>IFERROR(INDEX(_group_[],MATCH(CONCATENATE(ВСЕ_КОДЫ[[#This Row],[CONTEST_CODE]],"_",Z$2),#REF!,0),MATCH(Z$1,_group_[#Headers],0)),"-")</f>
        <v>-</v>
      </c>
      <c r="AA708" s="1" t="str">
        <f>IFERROR(INDEX(_group_[],MATCH(CONCATENATE(ВСЕ_КОДЫ[[#This Row],[CONTEST_CODE]],"_",AA$2),#REF!,0),MATCH(AA$1,_group_[#Headers],0)),"-")</f>
        <v>-</v>
      </c>
      <c r="AB708" s="1" t="str">
        <f>IFERROR(INDEX(_DATA_[],MATCH(ВСЕ_КОДЫ[[#This Row],[CONTEST_CODE]],_DATA_[CONTEST_CODE],0),MATCH($AB$2,_DATA_[#Headers],0)),"-")</f>
        <v>["""MNS"""]</v>
      </c>
      <c r="AC708" t="str">
        <f>CONCATENATE(ВСЕ_КОДЫ[[#This Row],[CONTEST_CODE]],"_",ВСЕ_КОДЫ[[#This Row],[TOURNAMENT_CODE]])</f>
        <v>02_2025-1_00-1_-</v>
      </c>
      <c r="AD708" t="str">
        <f>ВСЕ_КОДЫ[[#This Row],[FULL_NAME]]</f>
        <v>1 полугодие 2025 МНС</v>
      </c>
    </row>
    <row r="709" spans="1:30" hidden="1" x14ac:dyDescent="0.25">
      <c r="A709" s="1" t="s">
        <v>2204</v>
      </c>
      <c r="B709" s="1" t="s">
        <v>1064</v>
      </c>
      <c r="C709" s="1" t="s">
        <v>2378</v>
      </c>
      <c r="D709" s="1" t="s">
        <v>583</v>
      </c>
      <c r="E709" s="1" t="s">
        <v>2620</v>
      </c>
      <c r="F709" s="1" t="s">
        <v>2508</v>
      </c>
      <c r="G709" s="1" t="s">
        <v>27</v>
      </c>
      <c r="H709" s="1" t="s">
        <v>34</v>
      </c>
      <c r="I709" s="1" t="s">
        <v>50</v>
      </c>
      <c r="J709" s="1"/>
      <c r="K709" s="1"/>
      <c r="L709" s="1"/>
      <c r="M709" s="1"/>
      <c r="N709" s="1" t="s">
        <v>305</v>
      </c>
      <c r="O709" s="1" t="s">
        <v>2668</v>
      </c>
      <c r="Q709">
        <f>IFERROR(COUNTIFS(_report[TOURNAMENT_CODE],ВСЕ_КОДЫ[[#This Row],[TOURNAMENT_CODE]],_report[CONTEST_CODE],ВСЕ_КОДЫ[[#This Row],[CONTEST_CODE]]),"-")</f>
        <v>0</v>
      </c>
      <c r="R709" s="1" t="str">
        <f>IFERROR(INDEX(_SCHEDULE_[],MATCH(ВСЕ_КОДЫ[[#This Row],[CONTEST_CODE]],_SCHEDULE_[CONTEST_CODE],0),MATCH($R$1,_SCHEDULE_[#Headers],0)),"-")</f>
        <v>-</v>
      </c>
      <c r="S709" s="1" t="str">
        <f>IFERROR(INDEX(_group_[],MATCH(ВСЕ_КОДЫ[[#This Row],[CONTEST_CODE]],_group_[CONTEST_CODE],0),MATCH($S$1,_group_[#Headers],0)),"-")</f>
        <v>BANK</v>
      </c>
      <c r="T709" s="1" t="str">
        <f>IFERROR(INDEX(_INDICATOR_[],MATCH(ВСЕ_КОДЫ[[#This Row],[CONTEST_CODE]],_INDICATOR_[CONTEST_CODE],0),MATCH($T$1,_INDICATOR_[#Headers],0)),"-")</f>
        <v>-</v>
      </c>
      <c r="U709" s="1" t="str">
        <f>IFERROR(INDEX(_reward_link_[],MATCH(ВСЕ_КОДЫ[[#This Row],[CONTEST_CODE]],_reward_link_[CONTEST_CODE],0),MATCH($U$1,_reward_link_[#Headers],0)),"-")</f>
        <v>BANK</v>
      </c>
      <c r="V709" s="1" t="str">
        <f>IFERROR(INDEX(_report[],MATCH(ВСЕ_КОДЫ[[#This Row],[CONTEST_CODE]],_report[CONTEST_CODE],0),MATCH($V$1,_report[#Headers],0)),"-")</f>
        <v>-</v>
      </c>
      <c r="W709" s="1" t="str">
        <f>IFERROR(INDEX(_reward_[],MATCH(ВСЕ_КОДЫ[[#This Row],[REWARD_CODE]],_reward_[REWARD_CODE],0),MATCH($W$1,_reward_[#Headers],0)),"-")</f>
        <v>Бронза</v>
      </c>
      <c r="X709" s="1" t="str">
        <f>IFERROR(INDEX(_group_[],MATCH(CONCATENATE(ВСЕ_КОДЫ[[#This Row],[CONTEST_CODE]],"_",X$2),#REF!,0),MATCH(X$1,_group_[#Headers],0)),"-")</f>
        <v>-</v>
      </c>
      <c r="Y709" s="1" t="str">
        <f>IFERROR(INDEX(_group_[],MATCH(CONCATENATE(ВСЕ_КОДЫ[[#This Row],[CONTEST_CODE]],"_",Y$2),#REF!,0),MATCH(Y$1,_group_[#Headers],0)),"-")</f>
        <v>-</v>
      </c>
      <c r="Z709" s="1" t="str">
        <f>IFERROR(INDEX(_group_[],MATCH(CONCATENATE(ВСЕ_КОДЫ[[#This Row],[CONTEST_CODE]],"_",Z$2),#REF!,0),MATCH(Z$1,_group_[#Headers],0)),"-")</f>
        <v>-</v>
      </c>
      <c r="AA709" s="1" t="str">
        <f>IFERROR(INDEX(_group_[],MATCH(CONCATENATE(ВСЕ_КОДЫ[[#This Row],[CONTEST_CODE]],"_",AA$2),#REF!,0),MATCH(AA$1,_group_[#Headers],0)),"-")</f>
        <v>-</v>
      </c>
      <c r="AB709" s="1" t="str">
        <f>IFERROR(INDEX(_DATA_[],MATCH(ВСЕ_КОДЫ[[#This Row],[CONTEST_CODE]],_DATA_[CONTEST_CODE],0),MATCH($AB$2,_DATA_[#Headers],0)),"-")</f>
        <v>["""MNS"""]</v>
      </c>
      <c r="AC709" t="str">
        <f>CONCATENATE(ВСЕ_КОДЫ[[#This Row],[CONTEST_CODE]],"_",ВСЕ_КОДЫ[[#This Row],[TOURNAMENT_CODE]])</f>
        <v>02_2025-1_00-1_-</v>
      </c>
      <c r="AD709" t="str">
        <f>ВСЕ_КОДЫ[[#This Row],[FULL_NAME]]</f>
        <v>1 полугодие 2025 МНС</v>
      </c>
    </row>
    <row r="710" spans="1:30" hidden="1" x14ac:dyDescent="0.25">
      <c r="A710" s="1" t="s">
        <v>2236</v>
      </c>
      <c r="B710" s="1" t="s">
        <v>1064</v>
      </c>
      <c r="C710" s="1" t="s">
        <v>2380</v>
      </c>
      <c r="D710" s="1" t="s">
        <v>583</v>
      </c>
      <c r="E710" s="1" t="s">
        <v>2621</v>
      </c>
      <c r="F710" s="1" t="s">
        <v>2508</v>
      </c>
      <c r="G710" s="1" t="s">
        <v>27</v>
      </c>
      <c r="H710" s="1" t="s">
        <v>34</v>
      </c>
      <c r="I710" s="1" t="s">
        <v>50</v>
      </c>
      <c r="J710" s="1"/>
      <c r="K710" s="1"/>
      <c r="L710" s="1"/>
      <c r="M710" s="1"/>
      <c r="N710" s="1" t="s">
        <v>305</v>
      </c>
      <c r="O710" s="1" t="s">
        <v>2664</v>
      </c>
      <c r="Q710">
        <f>IFERROR(COUNTIFS(_report[TOURNAMENT_CODE],ВСЕ_КОДЫ[[#This Row],[TOURNAMENT_CODE]],_report[CONTEST_CODE],ВСЕ_КОДЫ[[#This Row],[CONTEST_CODE]]),"-")</f>
        <v>0</v>
      </c>
      <c r="R710" s="1" t="str">
        <f>IFERROR(INDEX(_SCHEDULE_[],MATCH(ВСЕ_КОДЫ[[#This Row],[CONTEST_CODE]],_SCHEDULE_[CONTEST_CODE],0),MATCH($R$1,_SCHEDULE_[#Headers],0)),"-")</f>
        <v>-</v>
      </c>
      <c r="S710" s="1" t="str">
        <f>IFERROR(INDEX(_group_[],MATCH(ВСЕ_КОДЫ[[#This Row],[CONTEST_CODE]],_group_[CONTEST_CODE],0),MATCH($S$1,_group_[#Headers],0)),"-")</f>
        <v>BANK</v>
      </c>
      <c r="T710" s="1" t="str">
        <f>IFERROR(INDEX(_INDICATOR_[],MATCH(ВСЕ_КОДЫ[[#This Row],[CONTEST_CODE]],_INDICATOR_[CONTEST_CODE],0),MATCH($T$1,_INDICATOR_[#Headers],0)),"-")</f>
        <v>-</v>
      </c>
      <c r="U710" s="1" t="str">
        <f>IFERROR(INDEX(_reward_link_[],MATCH(ВСЕ_КОДЫ[[#This Row],[CONTEST_CODE]],_reward_link_[CONTEST_CODE],0),MATCH($U$1,_reward_link_[#Headers],0)),"-")</f>
        <v>BANK</v>
      </c>
      <c r="V710" s="1" t="str">
        <f>IFERROR(INDEX(_report[],MATCH(ВСЕ_КОДЫ[[#This Row],[CONTEST_CODE]],_report[CONTEST_CODE],0),MATCH($V$1,_report[#Headers],0)),"-")</f>
        <v>-</v>
      </c>
      <c r="W710" s="1" t="str">
        <f>IFERROR(INDEX(_reward_[],MATCH(ВСЕ_КОДЫ[[#This Row],[REWARD_CODE]],_reward_[REWARD_CODE],0),MATCH($W$1,_reward_[#Headers],0)),"-")</f>
        <v>Золото</v>
      </c>
      <c r="X710" s="1" t="str">
        <f>IFERROR(INDEX(_group_[],MATCH(CONCATENATE(ВСЕ_КОДЫ[[#This Row],[CONTEST_CODE]],"_",X$2),#REF!,0),MATCH(X$1,_group_[#Headers],0)),"-")</f>
        <v>-</v>
      </c>
      <c r="Y710" s="1" t="str">
        <f>IFERROR(INDEX(_group_[],MATCH(CONCATENATE(ВСЕ_КОДЫ[[#This Row],[CONTEST_CODE]],"_",Y$2),#REF!,0),MATCH(Y$1,_group_[#Headers],0)),"-")</f>
        <v>-</v>
      </c>
      <c r="Z710" s="1" t="str">
        <f>IFERROR(INDEX(_group_[],MATCH(CONCATENATE(ВСЕ_КОДЫ[[#This Row],[CONTEST_CODE]],"_",Z$2),#REF!,0),MATCH(Z$1,_group_[#Headers],0)),"-")</f>
        <v>-</v>
      </c>
      <c r="AA710" s="1" t="str">
        <f>IFERROR(INDEX(_group_[],MATCH(CONCATENATE(ВСЕ_КОДЫ[[#This Row],[CONTEST_CODE]],"_",AA$2),#REF!,0),MATCH(AA$1,_group_[#Headers],0)),"-")</f>
        <v>-</v>
      </c>
      <c r="AB710" s="1" t="str">
        <f>IFERROR(INDEX(_DATA_[],MATCH(ВСЕ_КОДЫ[[#This Row],[CONTEST_CODE]],_DATA_[CONTEST_CODE],0),MATCH($AB$2,_DATA_[#Headers],0)),"-")</f>
        <v>["""SERVICEMEN"""]</v>
      </c>
      <c r="AC710" t="str">
        <f>CONCATENATE(ВСЕ_КОДЫ[[#This Row],[CONTEST_CODE]],"_",ВСЕ_КОДЫ[[#This Row],[TOURNAMENT_CODE]])</f>
        <v>03_2025-0_00-1_-</v>
      </c>
      <c r="AD710" t="str">
        <f>ВСЕ_КОДЫ[[#This Row],[FULL_NAME]]</f>
        <v>Сезон 2025 Сервисмен</v>
      </c>
    </row>
    <row r="711" spans="1:30" hidden="1" x14ac:dyDescent="0.25">
      <c r="A711" s="1" t="s">
        <v>2236</v>
      </c>
      <c r="B711" s="1" t="s">
        <v>1064</v>
      </c>
      <c r="C711" s="1" t="s">
        <v>2382</v>
      </c>
      <c r="D711" s="1" t="s">
        <v>583</v>
      </c>
      <c r="E711" s="1" t="s">
        <v>2621</v>
      </c>
      <c r="F711" s="1" t="s">
        <v>2508</v>
      </c>
      <c r="G711" s="1" t="s">
        <v>27</v>
      </c>
      <c r="H711" s="1" t="s">
        <v>34</v>
      </c>
      <c r="I711" s="1" t="s">
        <v>50</v>
      </c>
      <c r="J711" s="1"/>
      <c r="K711" s="1"/>
      <c r="L711" s="1"/>
      <c r="M711" s="1"/>
      <c r="N711" s="1" t="s">
        <v>305</v>
      </c>
      <c r="O711" s="1" t="s">
        <v>2666</v>
      </c>
      <c r="Q711">
        <f>IFERROR(COUNTIFS(_report[TOURNAMENT_CODE],ВСЕ_КОДЫ[[#This Row],[TOURNAMENT_CODE]],_report[CONTEST_CODE],ВСЕ_КОДЫ[[#This Row],[CONTEST_CODE]]),"-")</f>
        <v>0</v>
      </c>
      <c r="R711" s="1" t="str">
        <f>IFERROR(INDEX(_SCHEDULE_[],MATCH(ВСЕ_КОДЫ[[#This Row],[CONTEST_CODE]],_SCHEDULE_[CONTEST_CODE],0),MATCH($R$1,_SCHEDULE_[#Headers],0)),"-")</f>
        <v>-</v>
      </c>
      <c r="S711" s="1" t="str">
        <f>IFERROR(INDEX(_group_[],MATCH(ВСЕ_КОДЫ[[#This Row],[CONTEST_CODE]],_group_[CONTEST_CODE],0),MATCH($S$1,_group_[#Headers],0)),"-")</f>
        <v>BANK</v>
      </c>
      <c r="T711" s="1" t="str">
        <f>IFERROR(INDEX(_INDICATOR_[],MATCH(ВСЕ_КОДЫ[[#This Row],[CONTEST_CODE]],_INDICATOR_[CONTEST_CODE],0),MATCH($T$1,_INDICATOR_[#Headers],0)),"-")</f>
        <v>-</v>
      </c>
      <c r="U711" s="1" t="str">
        <f>IFERROR(INDEX(_reward_link_[],MATCH(ВСЕ_КОДЫ[[#This Row],[CONTEST_CODE]],_reward_link_[CONTEST_CODE],0),MATCH($U$1,_reward_link_[#Headers],0)),"-")</f>
        <v>BANK</v>
      </c>
      <c r="V711" s="1" t="str">
        <f>IFERROR(INDEX(_report[],MATCH(ВСЕ_КОДЫ[[#This Row],[CONTEST_CODE]],_report[CONTEST_CODE],0),MATCH($V$1,_report[#Headers],0)),"-")</f>
        <v>-</v>
      </c>
      <c r="W711" s="1" t="str">
        <f>IFERROR(INDEX(_reward_[],MATCH(ВСЕ_КОДЫ[[#This Row],[REWARD_CODE]],_reward_[REWARD_CODE],0),MATCH($W$1,_reward_[#Headers],0)),"-")</f>
        <v>Серебро</v>
      </c>
      <c r="X711" s="1" t="str">
        <f>IFERROR(INDEX(_group_[],MATCH(CONCATENATE(ВСЕ_КОДЫ[[#This Row],[CONTEST_CODE]],"_",X$2),#REF!,0),MATCH(X$1,_group_[#Headers],0)),"-")</f>
        <v>-</v>
      </c>
      <c r="Y711" s="1" t="str">
        <f>IFERROR(INDEX(_group_[],MATCH(CONCATENATE(ВСЕ_КОДЫ[[#This Row],[CONTEST_CODE]],"_",Y$2),#REF!,0),MATCH(Y$1,_group_[#Headers],0)),"-")</f>
        <v>-</v>
      </c>
      <c r="Z711" s="1" t="str">
        <f>IFERROR(INDEX(_group_[],MATCH(CONCATENATE(ВСЕ_КОДЫ[[#This Row],[CONTEST_CODE]],"_",Z$2),#REF!,0),MATCH(Z$1,_group_[#Headers],0)),"-")</f>
        <v>-</v>
      </c>
      <c r="AA711" s="1" t="str">
        <f>IFERROR(INDEX(_group_[],MATCH(CONCATENATE(ВСЕ_КОДЫ[[#This Row],[CONTEST_CODE]],"_",AA$2),#REF!,0),MATCH(AA$1,_group_[#Headers],0)),"-")</f>
        <v>-</v>
      </c>
      <c r="AB711" s="1" t="str">
        <f>IFERROR(INDEX(_DATA_[],MATCH(ВСЕ_КОДЫ[[#This Row],[CONTEST_CODE]],_DATA_[CONTEST_CODE],0),MATCH($AB$2,_DATA_[#Headers],0)),"-")</f>
        <v>["""SERVICEMEN"""]</v>
      </c>
      <c r="AC711" t="str">
        <f>CONCATENATE(ВСЕ_КОДЫ[[#This Row],[CONTEST_CODE]],"_",ВСЕ_КОДЫ[[#This Row],[TOURNAMENT_CODE]])</f>
        <v>03_2025-0_00-1_-</v>
      </c>
      <c r="AD711" t="str">
        <f>ВСЕ_КОДЫ[[#This Row],[FULL_NAME]]</f>
        <v>Сезон 2025 Сервисмен</v>
      </c>
    </row>
    <row r="712" spans="1:30" hidden="1" x14ac:dyDescent="0.25">
      <c r="A712" s="1" t="s">
        <v>2236</v>
      </c>
      <c r="B712" s="1" t="s">
        <v>1064</v>
      </c>
      <c r="C712" s="1" t="s">
        <v>2384</v>
      </c>
      <c r="D712" s="1" t="s">
        <v>583</v>
      </c>
      <c r="E712" s="1" t="s">
        <v>2621</v>
      </c>
      <c r="F712" s="1" t="s">
        <v>2508</v>
      </c>
      <c r="G712" s="1" t="s">
        <v>27</v>
      </c>
      <c r="H712" s="1" t="s">
        <v>34</v>
      </c>
      <c r="I712" s="1" t="s">
        <v>50</v>
      </c>
      <c r="J712" s="1"/>
      <c r="K712" s="1"/>
      <c r="L712" s="1"/>
      <c r="M712" s="1"/>
      <c r="N712" s="1" t="s">
        <v>305</v>
      </c>
      <c r="O712" s="1" t="s">
        <v>2668</v>
      </c>
      <c r="Q712">
        <f>IFERROR(COUNTIFS(_report[TOURNAMENT_CODE],ВСЕ_КОДЫ[[#This Row],[TOURNAMENT_CODE]],_report[CONTEST_CODE],ВСЕ_КОДЫ[[#This Row],[CONTEST_CODE]]),"-")</f>
        <v>0</v>
      </c>
      <c r="R712" s="1" t="str">
        <f>IFERROR(INDEX(_SCHEDULE_[],MATCH(ВСЕ_КОДЫ[[#This Row],[CONTEST_CODE]],_SCHEDULE_[CONTEST_CODE],0),MATCH($R$1,_SCHEDULE_[#Headers],0)),"-")</f>
        <v>-</v>
      </c>
      <c r="S712" s="1" t="str">
        <f>IFERROR(INDEX(_group_[],MATCH(ВСЕ_КОДЫ[[#This Row],[CONTEST_CODE]],_group_[CONTEST_CODE],0),MATCH($S$1,_group_[#Headers],0)),"-")</f>
        <v>BANK</v>
      </c>
      <c r="T712" s="1" t="str">
        <f>IFERROR(INDEX(_INDICATOR_[],MATCH(ВСЕ_КОДЫ[[#This Row],[CONTEST_CODE]],_INDICATOR_[CONTEST_CODE],0),MATCH($T$1,_INDICATOR_[#Headers],0)),"-")</f>
        <v>-</v>
      </c>
      <c r="U712" s="1" t="str">
        <f>IFERROR(INDEX(_reward_link_[],MATCH(ВСЕ_КОДЫ[[#This Row],[CONTEST_CODE]],_reward_link_[CONTEST_CODE],0),MATCH($U$1,_reward_link_[#Headers],0)),"-")</f>
        <v>BANK</v>
      </c>
      <c r="V712" s="1" t="str">
        <f>IFERROR(INDEX(_report[],MATCH(ВСЕ_КОДЫ[[#This Row],[CONTEST_CODE]],_report[CONTEST_CODE],0),MATCH($V$1,_report[#Headers],0)),"-")</f>
        <v>-</v>
      </c>
      <c r="W712" s="1" t="str">
        <f>IFERROR(INDEX(_reward_[],MATCH(ВСЕ_КОДЫ[[#This Row],[REWARD_CODE]],_reward_[REWARD_CODE],0),MATCH($W$1,_reward_[#Headers],0)),"-")</f>
        <v>Бронза</v>
      </c>
      <c r="X712" s="1" t="str">
        <f>IFERROR(INDEX(_group_[],MATCH(CONCATENATE(ВСЕ_КОДЫ[[#This Row],[CONTEST_CODE]],"_",X$2),#REF!,0),MATCH(X$1,_group_[#Headers],0)),"-")</f>
        <v>-</v>
      </c>
      <c r="Y712" s="1" t="str">
        <f>IFERROR(INDEX(_group_[],MATCH(CONCATENATE(ВСЕ_КОДЫ[[#This Row],[CONTEST_CODE]],"_",Y$2),#REF!,0),MATCH(Y$1,_group_[#Headers],0)),"-")</f>
        <v>-</v>
      </c>
      <c r="Z712" s="1" t="str">
        <f>IFERROR(INDEX(_group_[],MATCH(CONCATENATE(ВСЕ_КОДЫ[[#This Row],[CONTEST_CODE]],"_",Z$2),#REF!,0),MATCH(Z$1,_group_[#Headers],0)),"-")</f>
        <v>-</v>
      </c>
      <c r="AA712" s="1" t="str">
        <f>IFERROR(INDEX(_group_[],MATCH(CONCATENATE(ВСЕ_КОДЫ[[#This Row],[CONTEST_CODE]],"_",AA$2),#REF!,0),MATCH(AA$1,_group_[#Headers],0)),"-")</f>
        <v>-</v>
      </c>
      <c r="AB712" s="1" t="str">
        <f>IFERROR(INDEX(_DATA_[],MATCH(ВСЕ_КОДЫ[[#This Row],[CONTEST_CODE]],_DATA_[CONTEST_CODE],0),MATCH($AB$2,_DATA_[#Headers],0)),"-")</f>
        <v>["""SERVICEMEN"""]</v>
      </c>
      <c r="AC712" t="str">
        <f>CONCATENATE(ВСЕ_КОДЫ[[#This Row],[CONTEST_CODE]],"_",ВСЕ_КОДЫ[[#This Row],[TOURNAMENT_CODE]])</f>
        <v>03_2025-0_00-1_-</v>
      </c>
      <c r="AD712" t="str">
        <f>ВСЕ_КОДЫ[[#This Row],[FULL_NAME]]</f>
        <v>Сезон 2025 Сервисмен</v>
      </c>
    </row>
    <row r="713" spans="1:30" hidden="1" x14ac:dyDescent="0.25">
      <c r="A713" s="1" t="s">
        <v>2238</v>
      </c>
      <c r="B713" s="1" t="s">
        <v>1064</v>
      </c>
      <c r="C713" s="1" t="s">
        <v>2386</v>
      </c>
      <c r="D713" s="1" t="s">
        <v>583</v>
      </c>
      <c r="E713" s="1" t="s">
        <v>2623</v>
      </c>
      <c r="F713" s="1" t="s">
        <v>2508</v>
      </c>
      <c r="G713" s="1" t="s">
        <v>27</v>
      </c>
      <c r="H713" s="1" t="s">
        <v>34</v>
      </c>
      <c r="I713" s="1" t="s">
        <v>50</v>
      </c>
      <c r="J713" s="1"/>
      <c r="K713" s="1"/>
      <c r="L713" s="1"/>
      <c r="M713" s="1"/>
      <c r="N713" s="1" t="s">
        <v>305</v>
      </c>
      <c r="O713" s="1" t="s">
        <v>2664</v>
      </c>
      <c r="Q713">
        <f>IFERROR(COUNTIFS(_report[TOURNAMENT_CODE],ВСЕ_КОДЫ[[#This Row],[TOURNAMENT_CODE]],_report[CONTEST_CODE],ВСЕ_КОДЫ[[#This Row],[CONTEST_CODE]]),"-")</f>
        <v>0</v>
      </c>
      <c r="R713" s="1" t="str">
        <f>IFERROR(INDEX(_SCHEDULE_[],MATCH(ВСЕ_КОДЫ[[#This Row],[CONTEST_CODE]],_SCHEDULE_[CONTEST_CODE],0),MATCH($R$1,_SCHEDULE_[#Headers],0)),"-")</f>
        <v>-</v>
      </c>
      <c r="S713" s="1" t="str">
        <f>IFERROR(INDEX(_group_[],MATCH(ВСЕ_КОДЫ[[#This Row],[CONTEST_CODE]],_group_[CONTEST_CODE],0),MATCH($S$1,_group_[#Headers],0)),"-")</f>
        <v>BANK</v>
      </c>
      <c r="T713" s="1" t="str">
        <f>IFERROR(INDEX(_INDICATOR_[],MATCH(ВСЕ_КОДЫ[[#This Row],[CONTEST_CODE]],_INDICATOR_[CONTEST_CODE],0),MATCH($T$1,_INDICATOR_[#Headers],0)),"-")</f>
        <v>-</v>
      </c>
      <c r="U713" s="1" t="str">
        <f>IFERROR(INDEX(_reward_link_[],MATCH(ВСЕ_КОДЫ[[#This Row],[CONTEST_CODE]],_reward_link_[CONTEST_CODE],0),MATCH($U$1,_reward_link_[#Headers],0)),"-")</f>
        <v>BANK</v>
      </c>
      <c r="V713" s="1" t="str">
        <f>IFERROR(INDEX(_report[],MATCH(ВСЕ_КОДЫ[[#This Row],[CONTEST_CODE]],_report[CONTEST_CODE],0),MATCH($V$1,_report[#Headers],0)),"-")</f>
        <v>-</v>
      </c>
      <c r="W713" s="1" t="str">
        <f>IFERROR(INDEX(_reward_[],MATCH(ВСЕ_КОДЫ[[#This Row],[REWARD_CODE]],_reward_[REWARD_CODE],0),MATCH($W$1,_reward_[#Headers],0)),"-")</f>
        <v>Золото</v>
      </c>
      <c r="X713" s="1" t="str">
        <f>IFERROR(INDEX(_group_[],MATCH(CONCATENATE(ВСЕ_КОДЫ[[#This Row],[CONTEST_CODE]],"_",X$2),#REF!,0),MATCH(X$1,_group_[#Headers],0)),"-")</f>
        <v>-</v>
      </c>
      <c r="Y713" s="1" t="str">
        <f>IFERROR(INDEX(_group_[],MATCH(CONCATENATE(ВСЕ_КОДЫ[[#This Row],[CONTEST_CODE]],"_",Y$2),#REF!,0),MATCH(Y$1,_group_[#Headers],0)),"-")</f>
        <v>-</v>
      </c>
      <c r="Z713" s="1" t="str">
        <f>IFERROR(INDEX(_group_[],MATCH(CONCATENATE(ВСЕ_КОДЫ[[#This Row],[CONTEST_CODE]],"_",Z$2),#REF!,0),MATCH(Z$1,_group_[#Headers],0)),"-")</f>
        <v>-</v>
      </c>
      <c r="AA713" s="1" t="str">
        <f>IFERROR(INDEX(_group_[],MATCH(CONCATENATE(ВСЕ_КОДЫ[[#This Row],[CONTEST_CODE]],"_",AA$2),#REF!,0),MATCH(AA$1,_group_[#Headers],0)),"-")</f>
        <v>-</v>
      </c>
      <c r="AB713" s="1" t="str">
        <f>IFERROR(INDEX(_DATA_[],MATCH(ВСЕ_КОДЫ[[#This Row],[CONTEST_CODE]],_DATA_[CONTEST_CODE],0),MATCH($AB$2,_DATA_[#Headers],0)),"-")</f>
        <v>["""KMFACTORING"""]</v>
      </c>
      <c r="AC713" t="str">
        <f>CONCATENATE(ВСЕ_КОДЫ[[#This Row],[CONTEST_CODE]],"_",ВСЕ_КОДЫ[[#This Row],[TOURNAMENT_CODE]])</f>
        <v>04_2025-0_00-1_-</v>
      </c>
      <c r="AD713" t="str">
        <f>ВСЕ_КОДЫ[[#This Row],[FULL_NAME]]</f>
        <v>Сезон 2025 Факторинг</v>
      </c>
    </row>
    <row r="714" spans="1:30" hidden="1" x14ac:dyDescent="0.25">
      <c r="A714" s="1" t="s">
        <v>2238</v>
      </c>
      <c r="B714" s="1" t="s">
        <v>1064</v>
      </c>
      <c r="C714" s="1" t="s">
        <v>2388</v>
      </c>
      <c r="D714" s="1" t="s">
        <v>583</v>
      </c>
      <c r="E714" s="1" t="s">
        <v>2623</v>
      </c>
      <c r="F714" s="1" t="s">
        <v>2508</v>
      </c>
      <c r="G714" s="1" t="s">
        <v>27</v>
      </c>
      <c r="H714" s="1" t="s">
        <v>34</v>
      </c>
      <c r="I714" s="1" t="s">
        <v>50</v>
      </c>
      <c r="J714" s="1"/>
      <c r="K714" s="1"/>
      <c r="L714" s="1"/>
      <c r="M714" s="1"/>
      <c r="N714" s="1" t="s">
        <v>305</v>
      </c>
      <c r="O714" s="1" t="s">
        <v>2666</v>
      </c>
      <c r="Q714">
        <f>IFERROR(COUNTIFS(_report[TOURNAMENT_CODE],ВСЕ_КОДЫ[[#This Row],[TOURNAMENT_CODE]],_report[CONTEST_CODE],ВСЕ_КОДЫ[[#This Row],[CONTEST_CODE]]),"-")</f>
        <v>0</v>
      </c>
      <c r="R714" s="1" t="str">
        <f>IFERROR(INDEX(_SCHEDULE_[],MATCH(ВСЕ_КОДЫ[[#This Row],[CONTEST_CODE]],_SCHEDULE_[CONTEST_CODE],0),MATCH($R$1,_SCHEDULE_[#Headers],0)),"-")</f>
        <v>-</v>
      </c>
      <c r="S714" s="1" t="str">
        <f>IFERROR(INDEX(_group_[],MATCH(ВСЕ_КОДЫ[[#This Row],[CONTEST_CODE]],_group_[CONTEST_CODE],0),MATCH($S$1,_group_[#Headers],0)),"-")</f>
        <v>BANK</v>
      </c>
      <c r="T714" s="1" t="str">
        <f>IFERROR(INDEX(_INDICATOR_[],MATCH(ВСЕ_КОДЫ[[#This Row],[CONTEST_CODE]],_INDICATOR_[CONTEST_CODE],0),MATCH($T$1,_INDICATOR_[#Headers],0)),"-")</f>
        <v>-</v>
      </c>
      <c r="U714" s="1" t="str">
        <f>IFERROR(INDEX(_reward_link_[],MATCH(ВСЕ_КОДЫ[[#This Row],[CONTEST_CODE]],_reward_link_[CONTEST_CODE],0),MATCH($U$1,_reward_link_[#Headers],0)),"-")</f>
        <v>BANK</v>
      </c>
      <c r="V714" s="1" t="str">
        <f>IFERROR(INDEX(_report[],MATCH(ВСЕ_КОДЫ[[#This Row],[CONTEST_CODE]],_report[CONTEST_CODE],0),MATCH($V$1,_report[#Headers],0)),"-")</f>
        <v>-</v>
      </c>
      <c r="W714" s="1" t="str">
        <f>IFERROR(INDEX(_reward_[],MATCH(ВСЕ_КОДЫ[[#This Row],[REWARD_CODE]],_reward_[REWARD_CODE],0),MATCH($W$1,_reward_[#Headers],0)),"-")</f>
        <v>Серебро</v>
      </c>
      <c r="X714" s="1" t="str">
        <f>IFERROR(INDEX(_group_[],MATCH(CONCATENATE(ВСЕ_КОДЫ[[#This Row],[CONTEST_CODE]],"_",X$2),#REF!,0),MATCH(X$1,_group_[#Headers],0)),"-")</f>
        <v>-</v>
      </c>
      <c r="Y714" s="1" t="str">
        <f>IFERROR(INDEX(_group_[],MATCH(CONCATENATE(ВСЕ_КОДЫ[[#This Row],[CONTEST_CODE]],"_",Y$2),#REF!,0),MATCH(Y$1,_group_[#Headers],0)),"-")</f>
        <v>-</v>
      </c>
      <c r="Z714" s="1" t="str">
        <f>IFERROR(INDEX(_group_[],MATCH(CONCATENATE(ВСЕ_КОДЫ[[#This Row],[CONTEST_CODE]],"_",Z$2),#REF!,0),MATCH(Z$1,_group_[#Headers],0)),"-")</f>
        <v>-</v>
      </c>
      <c r="AA714" s="1" t="str">
        <f>IFERROR(INDEX(_group_[],MATCH(CONCATENATE(ВСЕ_КОДЫ[[#This Row],[CONTEST_CODE]],"_",AA$2),#REF!,0),MATCH(AA$1,_group_[#Headers],0)),"-")</f>
        <v>-</v>
      </c>
      <c r="AB714" s="1" t="str">
        <f>IFERROR(INDEX(_DATA_[],MATCH(ВСЕ_КОДЫ[[#This Row],[CONTEST_CODE]],_DATA_[CONTEST_CODE],0),MATCH($AB$2,_DATA_[#Headers],0)),"-")</f>
        <v>["""KMFACTORING"""]</v>
      </c>
      <c r="AC714" t="str">
        <f>CONCATENATE(ВСЕ_КОДЫ[[#This Row],[CONTEST_CODE]],"_",ВСЕ_КОДЫ[[#This Row],[TOURNAMENT_CODE]])</f>
        <v>04_2025-0_00-1_-</v>
      </c>
      <c r="AD714" t="str">
        <f>ВСЕ_КОДЫ[[#This Row],[FULL_NAME]]</f>
        <v>Сезон 2025 Факторинг</v>
      </c>
    </row>
    <row r="715" spans="1:30" hidden="1" x14ac:dyDescent="0.25">
      <c r="A715" s="1" t="s">
        <v>2238</v>
      </c>
      <c r="B715" s="1" t="s">
        <v>1064</v>
      </c>
      <c r="C715" s="1" t="s">
        <v>2390</v>
      </c>
      <c r="D715" s="1" t="s">
        <v>583</v>
      </c>
      <c r="E715" s="1" t="s">
        <v>2623</v>
      </c>
      <c r="F715" s="1" t="s">
        <v>2508</v>
      </c>
      <c r="G715" s="1" t="s">
        <v>27</v>
      </c>
      <c r="H715" s="1" t="s">
        <v>34</v>
      </c>
      <c r="I715" s="1" t="s">
        <v>50</v>
      </c>
      <c r="J715" s="1"/>
      <c r="K715" s="1"/>
      <c r="L715" s="1"/>
      <c r="M715" s="1"/>
      <c r="N715" s="1" t="s">
        <v>305</v>
      </c>
      <c r="O715" s="1" t="s">
        <v>2668</v>
      </c>
      <c r="Q715">
        <f>IFERROR(COUNTIFS(_report[TOURNAMENT_CODE],ВСЕ_КОДЫ[[#This Row],[TOURNAMENT_CODE]],_report[CONTEST_CODE],ВСЕ_КОДЫ[[#This Row],[CONTEST_CODE]]),"-")</f>
        <v>0</v>
      </c>
      <c r="R715" s="1" t="str">
        <f>IFERROR(INDEX(_SCHEDULE_[],MATCH(ВСЕ_КОДЫ[[#This Row],[CONTEST_CODE]],_SCHEDULE_[CONTEST_CODE],0),MATCH($R$1,_SCHEDULE_[#Headers],0)),"-")</f>
        <v>-</v>
      </c>
      <c r="S715" s="1" t="str">
        <f>IFERROR(INDEX(_group_[],MATCH(ВСЕ_КОДЫ[[#This Row],[CONTEST_CODE]],_group_[CONTEST_CODE],0),MATCH($S$1,_group_[#Headers],0)),"-")</f>
        <v>BANK</v>
      </c>
      <c r="T715" s="1" t="str">
        <f>IFERROR(INDEX(_INDICATOR_[],MATCH(ВСЕ_КОДЫ[[#This Row],[CONTEST_CODE]],_INDICATOR_[CONTEST_CODE],0),MATCH($T$1,_INDICATOR_[#Headers],0)),"-")</f>
        <v>-</v>
      </c>
      <c r="U715" s="1" t="str">
        <f>IFERROR(INDEX(_reward_link_[],MATCH(ВСЕ_КОДЫ[[#This Row],[CONTEST_CODE]],_reward_link_[CONTEST_CODE],0),MATCH($U$1,_reward_link_[#Headers],0)),"-")</f>
        <v>BANK</v>
      </c>
      <c r="V715" s="1" t="str">
        <f>IFERROR(INDEX(_report[],MATCH(ВСЕ_КОДЫ[[#This Row],[CONTEST_CODE]],_report[CONTEST_CODE],0),MATCH($V$1,_report[#Headers],0)),"-")</f>
        <v>-</v>
      </c>
      <c r="W715" s="1" t="str">
        <f>IFERROR(INDEX(_reward_[],MATCH(ВСЕ_КОДЫ[[#This Row],[REWARD_CODE]],_reward_[REWARD_CODE],0),MATCH($W$1,_reward_[#Headers],0)),"-")</f>
        <v>Бронза</v>
      </c>
      <c r="X715" s="1" t="str">
        <f>IFERROR(INDEX(_group_[],MATCH(CONCATENATE(ВСЕ_КОДЫ[[#This Row],[CONTEST_CODE]],"_",X$2),#REF!,0),MATCH(X$1,_group_[#Headers],0)),"-")</f>
        <v>-</v>
      </c>
      <c r="Y715" s="1" t="str">
        <f>IFERROR(INDEX(_group_[],MATCH(CONCATENATE(ВСЕ_КОДЫ[[#This Row],[CONTEST_CODE]],"_",Y$2),#REF!,0),MATCH(Y$1,_group_[#Headers],0)),"-")</f>
        <v>-</v>
      </c>
      <c r="Z715" s="1" t="str">
        <f>IFERROR(INDEX(_group_[],MATCH(CONCATENATE(ВСЕ_КОДЫ[[#This Row],[CONTEST_CODE]],"_",Z$2),#REF!,0),MATCH(Z$1,_group_[#Headers],0)),"-")</f>
        <v>-</v>
      </c>
      <c r="AA715" s="1" t="str">
        <f>IFERROR(INDEX(_group_[],MATCH(CONCATENATE(ВСЕ_КОДЫ[[#This Row],[CONTEST_CODE]],"_",AA$2),#REF!,0),MATCH(AA$1,_group_[#Headers],0)),"-")</f>
        <v>-</v>
      </c>
      <c r="AB715" s="1" t="str">
        <f>IFERROR(INDEX(_DATA_[],MATCH(ВСЕ_КОДЫ[[#This Row],[CONTEST_CODE]],_DATA_[CONTEST_CODE],0),MATCH($AB$2,_DATA_[#Headers],0)),"-")</f>
        <v>["""KMFACTORING"""]</v>
      </c>
      <c r="AC715" t="str">
        <f>CONCATENATE(ВСЕ_КОДЫ[[#This Row],[CONTEST_CODE]],"_",ВСЕ_КОДЫ[[#This Row],[TOURNAMENT_CODE]])</f>
        <v>04_2025-0_00-1_-</v>
      </c>
      <c r="AD715" t="str">
        <f>ВСЕ_КОДЫ[[#This Row],[FULL_NAME]]</f>
        <v>Сезон 2025 Факторинг</v>
      </c>
    </row>
    <row r="716" spans="1:30" hidden="1" x14ac:dyDescent="0.25">
      <c r="A716" s="1" t="s">
        <v>2240</v>
      </c>
      <c r="B716" s="1" t="s">
        <v>1064</v>
      </c>
      <c r="C716" s="1" t="s">
        <v>2392</v>
      </c>
      <c r="D716" s="1" t="s">
        <v>583</v>
      </c>
      <c r="E716" s="1" t="s">
        <v>2624</v>
      </c>
      <c r="F716" s="1" t="s">
        <v>2508</v>
      </c>
      <c r="G716" s="1" t="s">
        <v>27</v>
      </c>
      <c r="H716" s="1" t="s">
        <v>34</v>
      </c>
      <c r="I716" s="1" t="s">
        <v>50</v>
      </c>
      <c r="J716" s="1"/>
      <c r="K716" s="1"/>
      <c r="L716" s="1"/>
      <c r="M716" s="1"/>
      <c r="N716" s="1" t="s">
        <v>305</v>
      </c>
      <c r="O716" s="1" t="s">
        <v>2664</v>
      </c>
      <c r="Q716">
        <f>IFERROR(COUNTIFS(_report[TOURNAMENT_CODE],ВСЕ_КОДЫ[[#This Row],[TOURNAMENT_CODE]],_report[CONTEST_CODE],ВСЕ_КОДЫ[[#This Row],[CONTEST_CODE]]),"-")</f>
        <v>0</v>
      </c>
      <c r="R716" s="1" t="str">
        <f>IFERROR(INDEX(_SCHEDULE_[],MATCH(ВСЕ_КОДЫ[[#This Row],[CONTEST_CODE]],_SCHEDULE_[CONTEST_CODE],0),MATCH($R$1,_SCHEDULE_[#Headers],0)),"-")</f>
        <v>-</v>
      </c>
      <c r="S716" s="1" t="str">
        <f>IFERROR(INDEX(_group_[],MATCH(ВСЕ_КОДЫ[[#This Row],[CONTEST_CODE]],_group_[CONTEST_CODE],0),MATCH($S$1,_group_[#Headers],0)),"-")</f>
        <v>BANK</v>
      </c>
      <c r="T716" s="1" t="str">
        <f>IFERROR(INDEX(_INDICATOR_[],MATCH(ВСЕ_КОДЫ[[#This Row],[CONTEST_CODE]],_INDICATOR_[CONTEST_CODE],0),MATCH($T$1,_INDICATOR_[#Headers],0)),"-")</f>
        <v>-</v>
      </c>
      <c r="U716" s="1" t="str">
        <f>IFERROR(INDEX(_reward_link_[],MATCH(ВСЕ_КОДЫ[[#This Row],[CONTEST_CODE]],_reward_link_[CONTEST_CODE],0),MATCH($U$1,_reward_link_[#Headers],0)),"-")</f>
        <v>BANK</v>
      </c>
      <c r="V716" s="1" t="str">
        <f>IFERROR(INDEX(_report[],MATCH(ВСЕ_КОДЫ[[#This Row],[CONTEST_CODE]],_report[CONTEST_CODE],0),MATCH($V$1,_report[#Headers],0)),"-")</f>
        <v>-</v>
      </c>
      <c r="W716" s="1" t="str">
        <f>IFERROR(INDEX(_reward_[],MATCH(ВСЕ_КОДЫ[[#This Row],[REWARD_CODE]],_reward_[REWARD_CODE],0),MATCH($W$1,_reward_[#Headers],0)),"-")</f>
        <v>Золото</v>
      </c>
      <c r="X716" s="1" t="str">
        <f>IFERROR(INDEX(_group_[],MATCH(CONCATENATE(ВСЕ_КОДЫ[[#This Row],[CONTEST_CODE]],"_",X$2),#REF!,0),MATCH(X$1,_group_[#Headers],0)),"-")</f>
        <v>-</v>
      </c>
      <c r="Y716" s="1" t="str">
        <f>IFERROR(INDEX(_group_[],MATCH(CONCATENATE(ВСЕ_КОДЫ[[#This Row],[CONTEST_CODE]],"_",Y$2),#REF!,0),MATCH(Y$1,_group_[#Headers],0)),"-")</f>
        <v>-</v>
      </c>
      <c r="Z716" s="1" t="str">
        <f>IFERROR(INDEX(_group_[],MATCH(CONCATENATE(ВСЕ_КОДЫ[[#This Row],[CONTEST_CODE]],"_",Z$2),#REF!,0),MATCH(Z$1,_group_[#Headers],0)),"-")</f>
        <v>-</v>
      </c>
      <c r="AA716" s="1" t="str">
        <f>IFERROR(INDEX(_group_[],MATCH(CONCATENATE(ВСЕ_КОДЫ[[#This Row],[CONTEST_CODE]],"_",AA$2),#REF!,0),MATCH(AA$1,_group_[#Headers],0)),"-")</f>
        <v>-</v>
      </c>
      <c r="AB716" s="1" t="str">
        <f>IFERROR(INDEX(_DATA_[],MATCH(ВСЕ_КОДЫ[[#This Row],[CONTEST_CODE]],_DATA_[CONTEST_CODE],0),MATCH($AB$2,_DATA_[#Headers],0)),"-")</f>
        <v>["""KMSB1"""]</v>
      </c>
      <c r="AC716" t="str">
        <f>CONCATENATE(ВСЕ_КОДЫ[[#This Row],[CONTEST_CODE]],"_",ВСЕ_КОДЫ[[#This Row],[TOURNAMENT_CODE]])</f>
        <v>05_2025-0_00-1_-</v>
      </c>
      <c r="AD716" t="str">
        <f>ВСЕ_КОДЫ[[#This Row],[FULL_NAME]]</f>
        <v>Сезон 2025 Менеджер СБ1</v>
      </c>
    </row>
    <row r="717" spans="1:30" hidden="1" x14ac:dyDescent="0.25">
      <c r="A717" s="1" t="s">
        <v>2240</v>
      </c>
      <c r="B717" s="1" t="s">
        <v>1064</v>
      </c>
      <c r="C717" s="1" t="s">
        <v>2394</v>
      </c>
      <c r="D717" s="1" t="s">
        <v>583</v>
      </c>
      <c r="E717" s="1" t="s">
        <v>2624</v>
      </c>
      <c r="F717" s="1" t="s">
        <v>2508</v>
      </c>
      <c r="G717" s="1" t="s">
        <v>27</v>
      </c>
      <c r="H717" s="1" t="s">
        <v>34</v>
      </c>
      <c r="I717" s="1" t="s">
        <v>50</v>
      </c>
      <c r="J717" s="1"/>
      <c r="K717" s="1"/>
      <c r="L717" s="1"/>
      <c r="M717" s="1"/>
      <c r="N717" s="1" t="s">
        <v>305</v>
      </c>
      <c r="O717" s="1" t="s">
        <v>2666</v>
      </c>
      <c r="Q717">
        <f>IFERROR(COUNTIFS(_report[TOURNAMENT_CODE],ВСЕ_КОДЫ[[#This Row],[TOURNAMENT_CODE]],_report[CONTEST_CODE],ВСЕ_КОДЫ[[#This Row],[CONTEST_CODE]]),"-")</f>
        <v>0</v>
      </c>
      <c r="R717" s="1" t="str">
        <f>IFERROR(INDEX(_SCHEDULE_[],MATCH(ВСЕ_КОДЫ[[#This Row],[CONTEST_CODE]],_SCHEDULE_[CONTEST_CODE],0),MATCH($R$1,_SCHEDULE_[#Headers],0)),"-")</f>
        <v>-</v>
      </c>
      <c r="S717" s="1" t="str">
        <f>IFERROR(INDEX(_group_[],MATCH(ВСЕ_КОДЫ[[#This Row],[CONTEST_CODE]],_group_[CONTEST_CODE],0),MATCH($S$1,_group_[#Headers],0)),"-")</f>
        <v>BANK</v>
      </c>
      <c r="T717" s="1" t="str">
        <f>IFERROR(INDEX(_INDICATOR_[],MATCH(ВСЕ_КОДЫ[[#This Row],[CONTEST_CODE]],_INDICATOR_[CONTEST_CODE],0),MATCH($T$1,_INDICATOR_[#Headers],0)),"-")</f>
        <v>-</v>
      </c>
      <c r="U717" s="1" t="str">
        <f>IFERROR(INDEX(_reward_link_[],MATCH(ВСЕ_КОДЫ[[#This Row],[CONTEST_CODE]],_reward_link_[CONTEST_CODE],0),MATCH($U$1,_reward_link_[#Headers],0)),"-")</f>
        <v>BANK</v>
      </c>
      <c r="V717" s="1" t="str">
        <f>IFERROR(INDEX(_report[],MATCH(ВСЕ_КОДЫ[[#This Row],[CONTEST_CODE]],_report[CONTEST_CODE],0),MATCH($V$1,_report[#Headers],0)),"-")</f>
        <v>-</v>
      </c>
      <c r="W717" s="1" t="str">
        <f>IFERROR(INDEX(_reward_[],MATCH(ВСЕ_КОДЫ[[#This Row],[REWARD_CODE]],_reward_[REWARD_CODE],0),MATCH($W$1,_reward_[#Headers],0)),"-")</f>
        <v>Серебро</v>
      </c>
      <c r="X717" s="1" t="str">
        <f>IFERROR(INDEX(_group_[],MATCH(CONCATENATE(ВСЕ_КОДЫ[[#This Row],[CONTEST_CODE]],"_",X$2),#REF!,0),MATCH(X$1,_group_[#Headers],0)),"-")</f>
        <v>-</v>
      </c>
      <c r="Y717" s="1" t="str">
        <f>IFERROR(INDEX(_group_[],MATCH(CONCATENATE(ВСЕ_КОДЫ[[#This Row],[CONTEST_CODE]],"_",Y$2),#REF!,0),MATCH(Y$1,_group_[#Headers],0)),"-")</f>
        <v>-</v>
      </c>
      <c r="Z717" s="1" t="str">
        <f>IFERROR(INDEX(_group_[],MATCH(CONCATENATE(ВСЕ_КОДЫ[[#This Row],[CONTEST_CODE]],"_",Z$2),#REF!,0),MATCH(Z$1,_group_[#Headers],0)),"-")</f>
        <v>-</v>
      </c>
      <c r="AA717" s="1" t="str">
        <f>IFERROR(INDEX(_group_[],MATCH(CONCATENATE(ВСЕ_КОДЫ[[#This Row],[CONTEST_CODE]],"_",AA$2),#REF!,0),MATCH(AA$1,_group_[#Headers],0)),"-")</f>
        <v>-</v>
      </c>
      <c r="AB717" s="1" t="str">
        <f>IFERROR(INDEX(_DATA_[],MATCH(ВСЕ_КОДЫ[[#This Row],[CONTEST_CODE]],_DATA_[CONTEST_CODE],0),MATCH($AB$2,_DATA_[#Headers],0)),"-")</f>
        <v>["""KMSB1"""]</v>
      </c>
      <c r="AC717" t="str">
        <f>CONCATENATE(ВСЕ_КОДЫ[[#This Row],[CONTEST_CODE]],"_",ВСЕ_КОДЫ[[#This Row],[TOURNAMENT_CODE]])</f>
        <v>05_2025-0_00-1_-</v>
      </c>
      <c r="AD717" t="str">
        <f>ВСЕ_КОДЫ[[#This Row],[FULL_NAME]]</f>
        <v>Сезон 2025 Менеджер СБ1</v>
      </c>
    </row>
    <row r="718" spans="1:30" hidden="1" x14ac:dyDescent="0.25">
      <c r="A718" s="1" t="s">
        <v>2240</v>
      </c>
      <c r="B718" s="1" t="s">
        <v>1064</v>
      </c>
      <c r="C718" s="1" t="s">
        <v>2396</v>
      </c>
      <c r="D718" s="1" t="s">
        <v>583</v>
      </c>
      <c r="E718" s="1" t="s">
        <v>2624</v>
      </c>
      <c r="F718" s="1" t="s">
        <v>2508</v>
      </c>
      <c r="G718" s="1" t="s">
        <v>27</v>
      </c>
      <c r="H718" s="1" t="s">
        <v>34</v>
      </c>
      <c r="I718" s="1" t="s">
        <v>50</v>
      </c>
      <c r="J718" s="1"/>
      <c r="K718" s="1"/>
      <c r="L718" s="1"/>
      <c r="M718" s="1"/>
      <c r="N718" s="1" t="s">
        <v>305</v>
      </c>
      <c r="O718" s="1" t="s">
        <v>2668</v>
      </c>
      <c r="Q718">
        <f>IFERROR(COUNTIFS(_report[TOURNAMENT_CODE],ВСЕ_КОДЫ[[#This Row],[TOURNAMENT_CODE]],_report[CONTEST_CODE],ВСЕ_КОДЫ[[#This Row],[CONTEST_CODE]]),"-")</f>
        <v>0</v>
      </c>
      <c r="R718" s="1" t="str">
        <f>IFERROR(INDEX(_SCHEDULE_[],MATCH(ВСЕ_КОДЫ[[#This Row],[CONTEST_CODE]],_SCHEDULE_[CONTEST_CODE],0),MATCH($R$1,_SCHEDULE_[#Headers],0)),"-")</f>
        <v>-</v>
      </c>
      <c r="S718" s="1" t="str">
        <f>IFERROR(INDEX(_group_[],MATCH(ВСЕ_КОДЫ[[#This Row],[CONTEST_CODE]],_group_[CONTEST_CODE],0),MATCH($S$1,_group_[#Headers],0)),"-")</f>
        <v>BANK</v>
      </c>
      <c r="T718" s="1" t="str">
        <f>IFERROR(INDEX(_INDICATOR_[],MATCH(ВСЕ_КОДЫ[[#This Row],[CONTEST_CODE]],_INDICATOR_[CONTEST_CODE],0),MATCH($T$1,_INDICATOR_[#Headers],0)),"-")</f>
        <v>-</v>
      </c>
      <c r="U718" s="1" t="str">
        <f>IFERROR(INDEX(_reward_link_[],MATCH(ВСЕ_КОДЫ[[#This Row],[CONTEST_CODE]],_reward_link_[CONTEST_CODE],0),MATCH($U$1,_reward_link_[#Headers],0)),"-")</f>
        <v>BANK</v>
      </c>
      <c r="V718" s="1" t="str">
        <f>IFERROR(INDEX(_report[],MATCH(ВСЕ_КОДЫ[[#This Row],[CONTEST_CODE]],_report[CONTEST_CODE],0),MATCH($V$1,_report[#Headers],0)),"-")</f>
        <v>-</v>
      </c>
      <c r="W718" s="1" t="str">
        <f>IFERROR(INDEX(_reward_[],MATCH(ВСЕ_КОДЫ[[#This Row],[REWARD_CODE]],_reward_[REWARD_CODE],0),MATCH($W$1,_reward_[#Headers],0)),"-")</f>
        <v>Бронза</v>
      </c>
      <c r="X718" s="1" t="str">
        <f>IFERROR(INDEX(_group_[],MATCH(CONCATENATE(ВСЕ_КОДЫ[[#This Row],[CONTEST_CODE]],"_",X$2),#REF!,0),MATCH(X$1,_group_[#Headers],0)),"-")</f>
        <v>-</v>
      </c>
      <c r="Y718" s="1" t="str">
        <f>IFERROR(INDEX(_group_[],MATCH(CONCATENATE(ВСЕ_КОДЫ[[#This Row],[CONTEST_CODE]],"_",Y$2),#REF!,0),MATCH(Y$1,_group_[#Headers],0)),"-")</f>
        <v>-</v>
      </c>
      <c r="Z718" s="1" t="str">
        <f>IFERROR(INDEX(_group_[],MATCH(CONCATENATE(ВСЕ_КОДЫ[[#This Row],[CONTEST_CODE]],"_",Z$2),#REF!,0),MATCH(Z$1,_group_[#Headers],0)),"-")</f>
        <v>-</v>
      </c>
      <c r="AA718" s="1" t="str">
        <f>IFERROR(INDEX(_group_[],MATCH(CONCATENATE(ВСЕ_КОДЫ[[#This Row],[CONTEST_CODE]],"_",AA$2),#REF!,0),MATCH(AA$1,_group_[#Headers],0)),"-")</f>
        <v>-</v>
      </c>
      <c r="AB718" s="1" t="str">
        <f>IFERROR(INDEX(_DATA_[],MATCH(ВСЕ_КОДЫ[[#This Row],[CONTEST_CODE]],_DATA_[CONTEST_CODE],0),MATCH($AB$2,_DATA_[#Headers],0)),"-")</f>
        <v>["""KMSB1"""]</v>
      </c>
      <c r="AC718" t="str">
        <f>CONCATENATE(ВСЕ_КОДЫ[[#This Row],[CONTEST_CODE]],"_",ВСЕ_КОДЫ[[#This Row],[TOURNAMENT_CODE]])</f>
        <v>05_2025-0_00-1_-</v>
      </c>
      <c r="AD718" t="str">
        <f>ВСЕ_КОДЫ[[#This Row],[FULL_NAME]]</f>
        <v>Сезон 2025 Менеджер СБ1</v>
      </c>
    </row>
    <row r="719" spans="1:30" hidden="1" x14ac:dyDescent="0.25">
      <c r="A719" s="1" t="s">
        <v>2242</v>
      </c>
      <c r="B719" s="1" t="s">
        <v>1064</v>
      </c>
      <c r="C719" s="1" t="s">
        <v>2398</v>
      </c>
      <c r="D719" s="1" t="s">
        <v>583</v>
      </c>
      <c r="E719" s="1" t="s">
        <v>2625</v>
      </c>
      <c r="F719" s="1" t="s">
        <v>2508</v>
      </c>
      <c r="G719" s="1" t="s">
        <v>27</v>
      </c>
      <c r="H719" s="1" t="s">
        <v>34</v>
      </c>
      <c r="I719" s="1" t="s">
        <v>50</v>
      </c>
      <c r="J719" s="1"/>
      <c r="K719" s="1"/>
      <c r="L719" s="1"/>
      <c r="M719" s="1"/>
      <c r="N719" s="1" t="s">
        <v>305</v>
      </c>
      <c r="O719" s="1" t="s">
        <v>2664</v>
      </c>
      <c r="Q719">
        <f>IFERROR(COUNTIFS(_report[TOURNAMENT_CODE],ВСЕ_КОДЫ[[#This Row],[TOURNAMENT_CODE]],_report[CONTEST_CODE],ВСЕ_КОДЫ[[#This Row],[CONTEST_CODE]]),"-")</f>
        <v>0</v>
      </c>
      <c r="R719" s="1" t="str">
        <f>IFERROR(INDEX(_SCHEDULE_[],MATCH(ВСЕ_КОДЫ[[#This Row],[CONTEST_CODE]],_SCHEDULE_[CONTEST_CODE],0),MATCH($R$1,_SCHEDULE_[#Headers],0)),"-")</f>
        <v>-</v>
      </c>
      <c r="S719" s="1" t="str">
        <f>IFERROR(INDEX(_group_[],MATCH(ВСЕ_КОДЫ[[#This Row],[CONTEST_CODE]],_group_[CONTEST_CODE],0),MATCH($S$1,_group_[#Headers],0)),"-")</f>
        <v>BANK</v>
      </c>
      <c r="T719" s="1" t="str">
        <f>IFERROR(INDEX(_INDICATOR_[],MATCH(ВСЕ_КОДЫ[[#This Row],[CONTEST_CODE]],_INDICATOR_[CONTEST_CODE],0),MATCH($T$1,_INDICATOR_[#Headers],0)),"-")</f>
        <v>-</v>
      </c>
      <c r="U719" s="1" t="str">
        <f>IFERROR(INDEX(_reward_link_[],MATCH(ВСЕ_КОДЫ[[#This Row],[CONTEST_CODE]],_reward_link_[CONTEST_CODE],0),MATCH($U$1,_reward_link_[#Headers],0)),"-")</f>
        <v>BANK</v>
      </c>
      <c r="V719" s="1" t="str">
        <f>IFERROR(INDEX(_report[],MATCH(ВСЕ_КОДЫ[[#This Row],[CONTEST_CODE]],_report[CONTEST_CODE],0),MATCH($V$1,_report[#Headers],0)),"-")</f>
        <v>-</v>
      </c>
      <c r="W719" s="1" t="str">
        <f>IFERROR(INDEX(_reward_[],MATCH(ВСЕ_КОДЫ[[#This Row],[REWARD_CODE]],_reward_[REWARD_CODE],0),MATCH($W$1,_reward_[#Headers],0)),"-")</f>
        <v>Золото</v>
      </c>
      <c r="X719" s="1" t="str">
        <f>IFERROR(INDEX(_group_[],MATCH(CONCATENATE(ВСЕ_КОДЫ[[#This Row],[CONTEST_CODE]],"_",X$2),#REF!,0),MATCH(X$1,_group_[#Headers],0)),"-")</f>
        <v>-</v>
      </c>
      <c r="Y719" s="1" t="str">
        <f>IFERROR(INDEX(_group_[],MATCH(CONCATENATE(ВСЕ_КОДЫ[[#This Row],[CONTEST_CODE]],"_",Y$2),#REF!,0),MATCH(Y$1,_group_[#Headers],0)),"-")</f>
        <v>-</v>
      </c>
      <c r="Z719" s="1" t="str">
        <f>IFERROR(INDEX(_group_[],MATCH(CONCATENATE(ВСЕ_КОДЫ[[#This Row],[CONTEST_CODE]],"_",Z$2),#REF!,0),MATCH(Z$1,_group_[#Headers],0)),"-")</f>
        <v>-</v>
      </c>
      <c r="AA719" s="1" t="str">
        <f>IFERROR(INDEX(_group_[],MATCH(CONCATENATE(ВСЕ_КОДЫ[[#This Row],[CONTEST_CODE]],"_",AA$2),#REF!,0),MATCH(AA$1,_group_[#Headers],0)),"-")</f>
        <v>-</v>
      </c>
      <c r="AB719" s="1" t="str">
        <f>IFERROR(INDEX(_DATA_[],MATCH(ВСЕ_КОДЫ[[#This Row],[CONTEST_CODE]],_DATA_[CONTEST_CODE],0),MATCH($AB$2,_DATA_[#Headers],0)),"-")</f>
        <v>["""IMUB"""]</v>
      </c>
      <c r="AC719" t="str">
        <f>CONCATENATE(ВСЕ_КОДЫ[[#This Row],[CONTEST_CODE]],"_",ВСЕ_КОДЫ[[#This Row],[TOURNAMENT_CODE]])</f>
        <v>06_2025-0_00-1_-</v>
      </c>
      <c r="AD719" t="str">
        <f>ВСЕ_КОДЫ[[#This Row],[FULL_NAME]]</f>
        <v>Сезон 2025 Инвестменеджер УБ</v>
      </c>
    </row>
    <row r="720" spans="1:30" hidden="1" x14ac:dyDescent="0.25">
      <c r="A720" s="1" t="s">
        <v>2242</v>
      </c>
      <c r="B720" s="1" t="s">
        <v>1064</v>
      </c>
      <c r="C720" s="1" t="s">
        <v>2400</v>
      </c>
      <c r="D720" s="1" t="s">
        <v>583</v>
      </c>
      <c r="E720" s="1" t="s">
        <v>2625</v>
      </c>
      <c r="F720" s="1" t="s">
        <v>2508</v>
      </c>
      <c r="G720" s="1" t="s">
        <v>27</v>
      </c>
      <c r="H720" s="1" t="s">
        <v>34</v>
      </c>
      <c r="I720" s="1" t="s">
        <v>50</v>
      </c>
      <c r="J720" s="1"/>
      <c r="K720" s="1"/>
      <c r="L720" s="1"/>
      <c r="M720" s="1"/>
      <c r="N720" s="1" t="s">
        <v>305</v>
      </c>
      <c r="O720" s="1" t="s">
        <v>2666</v>
      </c>
      <c r="Q720">
        <f>IFERROR(COUNTIFS(_report[TOURNAMENT_CODE],ВСЕ_КОДЫ[[#This Row],[TOURNAMENT_CODE]],_report[CONTEST_CODE],ВСЕ_КОДЫ[[#This Row],[CONTEST_CODE]]),"-")</f>
        <v>0</v>
      </c>
      <c r="R720" s="1" t="str">
        <f>IFERROR(INDEX(_SCHEDULE_[],MATCH(ВСЕ_КОДЫ[[#This Row],[CONTEST_CODE]],_SCHEDULE_[CONTEST_CODE],0),MATCH($R$1,_SCHEDULE_[#Headers],0)),"-")</f>
        <v>-</v>
      </c>
      <c r="S720" s="1" t="str">
        <f>IFERROR(INDEX(_group_[],MATCH(ВСЕ_КОДЫ[[#This Row],[CONTEST_CODE]],_group_[CONTEST_CODE],0),MATCH($S$1,_group_[#Headers],0)),"-")</f>
        <v>BANK</v>
      </c>
      <c r="T720" s="1" t="str">
        <f>IFERROR(INDEX(_INDICATOR_[],MATCH(ВСЕ_КОДЫ[[#This Row],[CONTEST_CODE]],_INDICATOR_[CONTEST_CODE],0),MATCH($T$1,_INDICATOR_[#Headers],0)),"-")</f>
        <v>-</v>
      </c>
      <c r="U720" s="1" t="str">
        <f>IFERROR(INDEX(_reward_link_[],MATCH(ВСЕ_КОДЫ[[#This Row],[CONTEST_CODE]],_reward_link_[CONTEST_CODE],0),MATCH($U$1,_reward_link_[#Headers],0)),"-")</f>
        <v>BANK</v>
      </c>
      <c r="V720" s="1" t="str">
        <f>IFERROR(INDEX(_report[],MATCH(ВСЕ_КОДЫ[[#This Row],[CONTEST_CODE]],_report[CONTEST_CODE],0),MATCH($V$1,_report[#Headers],0)),"-")</f>
        <v>-</v>
      </c>
      <c r="W720" s="1" t="str">
        <f>IFERROR(INDEX(_reward_[],MATCH(ВСЕ_КОДЫ[[#This Row],[REWARD_CODE]],_reward_[REWARD_CODE],0),MATCH($W$1,_reward_[#Headers],0)),"-")</f>
        <v>Серебро</v>
      </c>
      <c r="X720" s="1" t="str">
        <f>IFERROR(INDEX(_group_[],MATCH(CONCATENATE(ВСЕ_КОДЫ[[#This Row],[CONTEST_CODE]],"_",X$2),#REF!,0),MATCH(X$1,_group_[#Headers],0)),"-")</f>
        <v>-</v>
      </c>
      <c r="Y720" s="1" t="str">
        <f>IFERROR(INDEX(_group_[],MATCH(CONCATENATE(ВСЕ_КОДЫ[[#This Row],[CONTEST_CODE]],"_",Y$2),#REF!,0),MATCH(Y$1,_group_[#Headers],0)),"-")</f>
        <v>-</v>
      </c>
      <c r="Z720" s="1" t="str">
        <f>IFERROR(INDEX(_group_[],MATCH(CONCATENATE(ВСЕ_КОДЫ[[#This Row],[CONTEST_CODE]],"_",Z$2),#REF!,0),MATCH(Z$1,_group_[#Headers],0)),"-")</f>
        <v>-</v>
      </c>
      <c r="AA720" s="1" t="str">
        <f>IFERROR(INDEX(_group_[],MATCH(CONCATENATE(ВСЕ_КОДЫ[[#This Row],[CONTEST_CODE]],"_",AA$2),#REF!,0),MATCH(AA$1,_group_[#Headers],0)),"-")</f>
        <v>-</v>
      </c>
      <c r="AB720" s="1" t="str">
        <f>IFERROR(INDEX(_DATA_[],MATCH(ВСЕ_КОДЫ[[#This Row],[CONTEST_CODE]],_DATA_[CONTEST_CODE],0),MATCH($AB$2,_DATA_[#Headers],0)),"-")</f>
        <v>["""IMUB"""]</v>
      </c>
      <c r="AC720" t="str">
        <f>CONCATENATE(ВСЕ_КОДЫ[[#This Row],[CONTEST_CODE]],"_",ВСЕ_КОДЫ[[#This Row],[TOURNAMENT_CODE]])</f>
        <v>06_2025-0_00-1_-</v>
      </c>
      <c r="AD720" t="str">
        <f>ВСЕ_КОДЫ[[#This Row],[FULL_NAME]]</f>
        <v>Сезон 2025 Инвестменеджер УБ</v>
      </c>
    </row>
    <row r="721" spans="1:30" hidden="1" x14ac:dyDescent="0.25">
      <c r="A721" s="1" t="s">
        <v>2242</v>
      </c>
      <c r="B721" s="1" t="s">
        <v>1064</v>
      </c>
      <c r="C721" s="1" t="s">
        <v>2402</v>
      </c>
      <c r="D721" s="1" t="s">
        <v>583</v>
      </c>
      <c r="E721" s="1" t="s">
        <v>2625</v>
      </c>
      <c r="F721" s="1" t="s">
        <v>2508</v>
      </c>
      <c r="G721" s="1" t="s">
        <v>27</v>
      </c>
      <c r="H721" s="1" t="s">
        <v>34</v>
      </c>
      <c r="I721" s="1" t="s">
        <v>50</v>
      </c>
      <c r="J721" s="1"/>
      <c r="K721" s="1"/>
      <c r="L721" s="1"/>
      <c r="M721" s="1"/>
      <c r="N721" s="1" t="s">
        <v>305</v>
      </c>
      <c r="O721" s="1" t="s">
        <v>2668</v>
      </c>
      <c r="Q721">
        <f>IFERROR(COUNTIFS(_report[TOURNAMENT_CODE],ВСЕ_КОДЫ[[#This Row],[TOURNAMENT_CODE]],_report[CONTEST_CODE],ВСЕ_КОДЫ[[#This Row],[CONTEST_CODE]]),"-")</f>
        <v>0</v>
      </c>
      <c r="R721" s="1" t="str">
        <f>IFERROR(INDEX(_SCHEDULE_[],MATCH(ВСЕ_КОДЫ[[#This Row],[CONTEST_CODE]],_SCHEDULE_[CONTEST_CODE],0),MATCH($R$1,_SCHEDULE_[#Headers],0)),"-")</f>
        <v>-</v>
      </c>
      <c r="S721" s="1" t="str">
        <f>IFERROR(INDEX(_group_[],MATCH(ВСЕ_КОДЫ[[#This Row],[CONTEST_CODE]],_group_[CONTEST_CODE],0),MATCH($S$1,_group_[#Headers],0)),"-")</f>
        <v>BANK</v>
      </c>
      <c r="T721" s="1" t="str">
        <f>IFERROR(INDEX(_INDICATOR_[],MATCH(ВСЕ_КОДЫ[[#This Row],[CONTEST_CODE]],_INDICATOR_[CONTEST_CODE],0),MATCH($T$1,_INDICATOR_[#Headers],0)),"-")</f>
        <v>-</v>
      </c>
      <c r="U721" s="1" t="str">
        <f>IFERROR(INDEX(_reward_link_[],MATCH(ВСЕ_КОДЫ[[#This Row],[CONTEST_CODE]],_reward_link_[CONTEST_CODE],0),MATCH($U$1,_reward_link_[#Headers],0)),"-")</f>
        <v>BANK</v>
      </c>
      <c r="V721" s="1" t="str">
        <f>IFERROR(INDEX(_report[],MATCH(ВСЕ_КОДЫ[[#This Row],[CONTEST_CODE]],_report[CONTEST_CODE],0),MATCH($V$1,_report[#Headers],0)),"-")</f>
        <v>-</v>
      </c>
      <c r="W721" s="1" t="str">
        <f>IFERROR(INDEX(_reward_[],MATCH(ВСЕ_КОДЫ[[#This Row],[REWARD_CODE]],_reward_[REWARD_CODE],0),MATCH($W$1,_reward_[#Headers],0)),"-")</f>
        <v>Бронза</v>
      </c>
      <c r="X721" s="1" t="str">
        <f>IFERROR(INDEX(_group_[],MATCH(CONCATENATE(ВСЕ_КОДЫ[[#This Row],[CONTEST_CODE]],"_",X$2),#REF!,0),MATCH(X$1,_group_[#Headers],0)),"-")</f>
        <v>-</v>
      </c>
      <c r="Y721" s="1" t="str">
        <f>IFERROR(INDEX(_group_[],MATCH(CONCATENATE(ВСЕ_КОДЫ[[#This Row],[CONTEST_CODE]],"_",Y$2),#REF!,0),MATCH(Y$1,_group_[#Headers],0)),"-")</f>
        <v>-</v>
      </c>
      <c r="Z721" s="1" t="str">
        <f>IFERROR(INDEX(_group_[],MATCH(CONCATENATE(ВСЕ_КОДЫ[[#This Row],[CONTEST_CODE]],"_",Z$2),#REF!,0),MATCH(Z$1,_group_[#Headers],0)),"-")</f>
        <v>-</v>
      </c>
      <c r="AA721" s="1" t="str">
        <f>IFERROR(INDEX(_group_[],MATCH(CONCATENATE(ВСЕ_КОДЫ[[#This Row],[CONTEST_CODE]],"_",AA$2),#REF!,0),MATCH(AA$1,_group_[#Headers],0)),"-")</f>
        <v>-</v>
      </c>
      <c r="AB721" s="1" t="str">
        <f>IFERROR(INDEX(_DATA_[],MATCH(ВСЕ_КОДЫ[[#This Row],[CONTEST_CODE]],_DATA_[CONTEST_CODE],0),MATCH($AB$2,_DATA_[#Headers],0)),"-")</f>
        <v>["""IMUB"""]</v>
      </c>
      <c r="AC721" t="str">
        <f>CONCATENATE(ВСЕ_КОДЫ[[#This Row],[CONTEST_CODE]],"_",ВСЕ_КОДЫ[[#This Row],[TOURNAMENT_CODE]])</f>
        <v>06_2025-0_00-1_-</v>
      </c>
      <c r="AD721" t="str">
        <f>ВСЕ_КОДЫ[[#This Row],[FULL_NAME]]</f>
        <v>Сезон 2025 Инвестменеджер УБ</v>
      </c>
    </row>
    <row r="722" spans="1:30" hidden="1" x14ac:dyDescent="0.25">
      <c r="A722" s="1" t="s">
        <v>2244</v>
      </c>
      <c r="B722" s="1" t="s">
        <v>1064</v>
      </c>
      <c r="C722" s="1" t="s">
        <v>2404</v>
      </c>
      <c r="D722" s="1" t="s">
        <v>583</v>
      </c>
      <c r="E722" s="1" t="s">
        <v>2626</v>
      </c>
      <c r="F722" s="1" t="s">
        <v>2508</v>
      </c>
      <c r="G722" s="1" t="s">
        <v>27</v>
      </c>
      <c r="H722" s="1" t="s">
        <v>34</v>
      </c>
      <c r="I722" s="1" t="s">
        <v>50</v>
      </c>
      <c r="J722" s="1"/>
      <c r="K722" s="1"/>
      <c r="L722" s="1"/>
      <c r="M722" s="1"/>
      <c r="N722" s="1" t="s">
        <v>305</v>
      </c>
      <c r="O722" s="1" t="s">
        <v>2664</v>
      </c>
      <c r="Q722">
        <f>IFERROR(COUNTIFS(_report[TOURNAMENT_CODE],ВСЕ_КОДЫ[[#This Row],[TOURNAMENT_CODE]],_report[CONTEST_CODE],ВСЕ_КОДЫ[[#This Row],[CONTEST_CODE]]),"-")</f>
        <v>0</v>
      </c>
      <c r="R722" s="1" t="str">
        <f>IFERROR(INDEX(_SCHEDULE_[],MATCH(ВСЕ_КОДЫ[[#This Row],[CONTEST_CODE]],_SCHEDULE_[CONTEST_CODE],0),MATCH($R$1,_SCHEDULE_[#Headers],0)),"-")</f>
        <v>-</v>
      </c>
      <c r="S722" s="1" t="str">
        <f>IFERROR(INDEX(_group_[],MATCH(ВСЕ_КОДЫ[[#This Row],[CONTEST_CODE]],_group_[CONTEST_CODE],0),MATCH($S$1,_group_[#Headers],0)),"-")</f>
        <v>BANK</v>
      </c>
      <c r="T722" s="1" t="str">
        <f>IFERROR(INDEX(_INDICATOR_[],MATCH(ВСЕ_КОДЫ[[#This Row],[CONTEST_CODE]],_INDICATOR_[CONTEST_CODE],0),MATCH($T$1,_INDICATOR_[#Headers],0)),"-")</f>
        <v>-</v>
      </c>
      <c r="U722" s="1" t="str">
        <f>IFERROR(INDEX(_reward_link_[],MATCH(ВСЕ_КОДЫ[[#This Row],[CONTEST_CODE]],_reward_link_[CONTEST_CODE],0),MATCH($U$1,_reward_link_[#Headers],0)),"-")</f>
        <v>BANK</v>
      </c>
      <c r="V722" s="1" t="str">
        <f>IFERROR(INDEX(_report[],MATCH(ВСЕ_КОДЫ[[#This Row],[CONTEST_CODE]],_report[CONTEST_CODE],0),MATCH($V$1,_report[#Headers],0)),"-")</f>
        <v>-</v>
      </c>
      <c r="W722" s="1" t="str">
        <f>IFERROR(INDEX(_reward_[],MATCH(ВСЕ_КОДЫ[[#This Row],[REWARD_CODE]],_reward_[REWARD_CODE],0),MATCH($W$1,_reward_[#Headers],0)),"-")</f>
        <v>Золото</v>
      </c>
      <c r="X722" s="1" t="str">
        <f>IFERROR(INDEX(_group_[],MATCH(CONCATENATE(ВСЕ_КОДЫ[[#This Row],[CONTEST_CODE]],"_",X$2),#REF!,0),MATCH(X$1,_group_[#Headers],0)),"-")</f>
        <v>-</v>
      </c>
      <c r="Y722" s="1" t="str">
        <f>IFERROR(INDEX(_group_[],MATCH(CONCATENATE(ВСЕ_КОДЫ[[#This Row],[CONTEST_CODE]],"_",Y$2),#REF!,0),MATCH(Y$1,_group_[#Headers],0)),"-")</f>
        <v>-</v>
      </c>
      <c r="Z722" s="1" t="str">
        <f>IFERROR(INDEX(_group_[],MATCH(CONCATENATE(ВСЕ_КОДЫ[[#This Row],[CONTEST_CODE]],"_",Z$2),#REF!,0),MATCH(Z$1,_group_[#Headers],0)),"-")</f>
        <v>-</v>
      </c>
      <c r="AA722" s="1" t="str">
        <f>IFERROR(INDEX(_group_[],MATCH(CONCATENATE(ВСЕ_КОДЫ[[#This Row],[CONTEST_CODE]],"_",AA$2),#REF!,0),MATCH(AA$1,_group_[#Headers],0)),"-")</f>
        <v>-</v>
      </c>
      <c r="AB722" s="1" t="str">
        <f>IFERROR(INDEX(_DATA_[],MATCH(ВСЕ_КОДЫ[[#This Row],[CONTEST_CODE]],_DATA_[CONTEST_CODE],0),MATCH($AB$2,_DATA_[#Headers],0)),"-")</f>
        <v>["""RNUB"""]</v>
      </c>
      <c r="AC722" t="str">
        <f>CONCATENATE(ВСЕ_КОДЫ[[#This Row],[CONTEST_CODE]],"_",ВСЕ_КОДЫ[[#This Row],[TOURNAMENT_CODE]])</f>
        <v>07_2025-0_00-1_-</v>
      </c>
      <c r="AD722" t="str">
        <f>ВСЕ_КОДЫ[[#This Row],[FULL_NAME]]</f>
        <v>Сезон 2025 Руководитель направления УБ</v>
      </c>
    </row>
    <row r="723" spans="1:30" hidden="1" x14ac:dyDescent="0.25">
      <c r="A723" s="1" t="s">
        <v>2244</v>
      </c>
      <c r="B723" s="1" t="s">
        <v>1064</v>
      </c>
      <c r="C723" s="1" t="s">
        <v>2406</v>
      </c>
      <c r="D723" s="1" t="s">
        <v>583</v>
      </c>
      <c r="E723" s="1" t="s">
        <v>2626</v>
      </c>
      <c r="F723" s="1" t="s">
        <v>2508</v>
      </c>
      <c r="G723" s="1" t="s">
        <v>27</v>
      </c>
      <c r="H723" s="1" t="s">
        <v>34</v>
      </c>
      <c r="I723" s="1" t="s">
        <v>50</v>
      </c>
      <c r="J723" s="1"/>
      <c r="K723" s="1"/>
      <c r="L723" s="1"/>
      <c r="M723" s="1"/>
      <c r="N723" s="1" t="s">
        <v>305</v>
      </c>
      <c r="O723" s="1" t="s">
        <v>2666</v>
      </c>
      <c r="Q723">
        <f>IFERROR(COUNTIFS(_report[TOURNAMENT_CODE],ВСЕ_КОДЫ[[#This Row],[TOURNAMENT_CODE]],_report[CONTEST_CODE],ВСЕ_КОДЫ[[#This Row],[CONTEST_CODE]]),"-")</f>
        <v>0</v>
      </c>
      <c r="R723" s="1" t="str">
        <f>IFERROR(INDEX(_SCHEDULE_[],MATCH(ВСЕ_КОДЫ[[#This Row],[CONTEST_CODE]],_SCHEDULE_[CONTEST_CODE],0),MATCH($R$1,_SCHEDULE_[#Headers],0)),"-")</f>
        <v>-</v>
      </c>
      <c r="S723" s="1" t="str">
        <f>IFERROR(INDEX(_group_[],MATCH(ВСЕ_КОДЫ[[#This Row],[CONTEST_CODE]],_group_[CONTEST_CODE],0),MATCH($S$1,_group_[#Headers],0)),"-")</f>
        <v>BANK</v>
      </c>
      <c r="T723" s="1" t="str">
        <f>IFERROR(INDEX(_INDICATOR_[],MATCH(ВСЕ_КОДЫ[[#This Row],[CONTEST_CODE]],_INDICATOR_[CONTEST_CODE],0),MATCH($T$1,_INDICATOR_[#Headers],0)),"-")</f>
        <v>-</v>
      </c>
      <c r="U723" s="1" t="str">
        <f>IFERROR(INDEX(_reward_link_[],MATCH(ВСЕ_КОДЫ[[#This Row],[CONTEST_CODE]],_reward_link_[CONTEST_CODE],0),MATCH($U$1,_reward_link_[#Headers],0)),"-")</f>
        <v>BANK</v>
      </c>
      <c r="V723" s="1" t="str">
        <f>IFERROR(INDEX(_report[],MATCH(ВСЕ_КОДЫ[[#This Row],[CONTEST_CODE]],_report[CONTEST_CODE],0),MATCH($V$1,_report[#Headers],0)),"-")</f>
        <v>-</v>
      </c>
      <c r="W723" s="1" t="str">
        <f>IFERROR(INDEX(_reward_[],MATCH(ВСЕ_КОДЫ[[#This Row],[REWARD_CODE]],_reward_[REWARD_CODE],0),MATCH($W$1,_reward_[#Headers],0)),"-")</f>
        <v>Серебро</v>
      </c>
      <c r="X723" s="1" t="str">
        <f>IFERROR(INDEX(_group_[],MATCH(CONCATENATE(ВСЕ_КОДЫ[[#This Row],[CONTEST_CODE]],"_",X$2),#REF!,0),MATCH(X$1,_group_[#Headers],0)),"-")</f>
        <v>-</v>
      </c>
      <c r="Y723" s="1" t="str">
        <f>IFERROR(INDEX(_group_[],MATCH(CONCATENATE(ВСЕ_КОДЫ[[#This Row],[CONTEST_CODE]],"_",Y$2),#REF!,0),MATCH(Y$1,_group_[#Headers],0)),"-")</f>
        <v>-</v>
      </c>
      <c r="Z723" s="1" t="str">
        <f>IFERROR(INDEX(_group_[],MATCH(CONCATENATE(ВСЕ_КОДЫ[[#This Row],[CONTEST_CODE]],"_",Z$2),#REF!,0),MATCH(Z$1,_group_[#Headers],0)),"-")</f>
        <v>-</v>
      </c>
      <c r="AA723" s="1" t="str">
        <f>IFERROR(INDEX(_group_[],MATCH(CONCATENATE(ВСЕ_КОДЫ[[#This Row],[CONTEST_CODE]],"_",AA$2),#REF!,0),MATCH(AA$1,_group_[#Headers],0)),"-")</f>
        <v>-</v>
      </c>
      <c r="AB723" s="1" t="str">
        <f>IFERROR(INDEX(_DATA_[],MATCH(ВСЕ_КОДЫ[[#This Row],[CONTEST_CODE]],_DATA_[CONTEST_CODE],0),MATCH($AB$2,_DATA_[#Headers],0)),"-")</f>
        <v>["""RNUB"""]</v>
      </c>
      <c r="AC723" t="str">
        <f>CONCATENATE(ВСЕ_КОДЫ[[#This Row],[CONTEST_CODE]],"_",ВСЕ_КОДЫ[[#This Row],[TOURNAMENT_CODE]])</f>
        <v>07_2025-0_00-1_-</v>
      </c>
      <c r="AD723" t="str">
        <f>ВСЕ_КОДЫ[[#This Row],[FULL_NAME]]</f>
        <v>Сезон 2025 Руководитель направления УБ</v>
      </c>
    </row>
    <row r="724" spans="1:30" hidden="1" x14ac:dyDescent="0.25">
      <c r="A724" s="1" t="s">
        <v>2244</v>
      </c>
      <c r="B724" s="1" t="s">
        <v>1064</v>
      </c>
      <c r="C724" s="1" t="s">
        <v>2408</v>
      </c>
      <c r="D724" s="1" t="s">
        <v>583</v>
      </c>
      <c r="E724" s="1" t="s">
        <v>2626</v>
      </c>
      <c r="F724" s="1" t="s">
        <v>2508</v>
      </c>
      <c r="G724" s="1" t="s">
        <v>27</v>
      </c>
      <c r="H724" s="1" t="s">
        <v>34</v>
      </c>
      <c r="I724" s="1" t="s">
        <v>50</v>
      </c>
      <c r="J724" s="1"/>
      <c r="K724" s="1"/>
      <c r="L724" s="1"/>
      <c r="M724" s="1"/>
      <c r="N724" s="1" t="s">
        <v>305</v>
      </c>
      <c r="O724" s="1" t="s">
        <v>2668</v>
      </c>
      <c r="Q724">
        <f>IFERROR(COUNTIFS(_report[TOURNAMENT_CODE],ВСЕ_КОДЫ[[#This Row],[TOURNAMENT_CODE]],_report[CONTEST_CODE],ВСЕ_КОДЫ[[#This Row],[CONTEST_CODE]]),"-")</f>
        <v>0</v>
      </c>
      <c r="R724" s="1" t="str">
        <f>IFERROR(INDEX(_SCHEDULE_[],MATCH(ВСЕ_КОДЫ[[#This Row],[CONTEST_CODE]],_SCHEDULE_[CONTEST_CODE],0),MATCH($R$1,_SCHEDULE_[#Headers],0)),"-")</f>
        <v>-</v>
      </c>
      <c r="S724" s="1" t="str">
        <f>IFERROR(INDEX(_group_[],MATCH(ВСЕ_КОДЫ[[#This Row],[CONTEST_CODE]],_group_[CONTEST_CODE],0),MATCH($S$1,_group_[#Headers],0)),"-")</f>
        <v>BANK</v>
      </c>
      <c r="T724" s="1" t="str">
        <f>IFERROR(INDEX(_INDICATOR_[],MATCH(ВСЕ_КОДЫ[[#This Row],[CONTEST_CODE]],_INDICATOR_[CONTEST_CODE],0),MATCH($T$1,_INDICATOR_[#Headers],0)),"-")</f>
        <v>-</v>
      </c>
      <c r="U724" s="1" t="str">
        <f>IFERROR(INDEX(_reward_link_[],MATCH(ВСЕ_КОДЫ[[#This Row],[CONTEST_CODE]],_reward_link_[CONTEST_CODE],0),MATCH($U$1,_reward_link_[#Headers],0)),"-")</f>
        <v>BANK</v>
      </c>
      <c r="V724" s="1" t="str">
        <f>IFERROR(INDEX(_report[],MATCH(ВСЕ_КОДЫ[[#This Row],[CONTEST_CODE]],_report[CONTEST_CODE],0),MATCH($V$1,_report[#Headers],0)),"-")</f>
        <v>-</v>
      </c>
      <c r="W724" s="1" t="str">
        <f>IFERROR(INDEX(_reward_[],MATCH(ВСЕ_КОДЫ[[#This Row],[REWARD_CODE]],_reward_[REWARD_CODE],0),MATCH($W$1,_reward_[#Headers],0)),"-")</f>
        <v>Бронза</v>
      </c>
      <c r="X724" s="1" t="str">
        <f>IFERROR(INDEX(_group_[],MATCH(CONCATENATE(ВСЕ_КОДЫ[[#This Row],[CONTEST_CODE]],"_",X$2),#REF!,0),MATCH(X$1,_group_[#Headers],0)),"-")</f>
        <v>-</v>
      </c>
      <c r="Y724" s="1" t="str">
        <f>IFERROR(INDEX(_group_[],MATCH(CONCATENATE(ВСЕ_КОДЫ[[#This Row],[CONTEST_CODE]],"_",Y$2),#REF!,0),MATCH(Y$1,_group_[#Headers],0)),"-")</f>
        <v>-</v>
      </c>
      <c r="Z724" s="1" t="str">
        <f>IFERROR(INDEX(_group_[],MATCH(CONCATENATE(ВСЕ_КОДЫ[[#This Row],[CONTEST_CODE]],"_",Z$2),#REF!,0),MATCH(Z$1,_group_[#Headers],0)),"-")</f>
        <v>-</v>
      </c>
      <c r="AA724" s="1" t="str">
        <f>IFERROR(INDEX(_group_[],MATCH(CONCATENATE(ВСЕ_КОДЫ[[#This Row],[CONTEST_CODE]],"_",AA$2),#REF!,0),MATCH(AA$1,_group_[#Headers],0)),"-")</f>
        <v>-</v>
      </c>
      <c r="AB724" s="1" t="str">
        <f>IFERROR(INDEX(_DATA_[],MATCH(ВСЕ_КОДЫ[[#This Row],[CONTEST_CODE]],_DATA_[CONTEST_CODE],0),MATCH($AB$2,_DATA_[#Headers],0)),"-")</f>
        <v>["""RNUB"""]</v>
      </c>
      <c r="AC724" t="str">
        <f>CONCATENATE(ВСЕ_КОДЫ[[#This Row],[CONTEST_CODE]],"_",ВСЕ_КОДЫ[[#This Row],[TOURNAMENT_CODE]])</f>
        <v>07_2025-0_00-1_-</v>
      </c>
      <c r="AD724" t="str">
        <f>ВСЕ_КОДЫ[[#This Row],[FULL_NAME]]</f>
        <v>Сезон 2025 Руководитель направления УБ</v>
      </c>
    </row>
    <row r="725" spans="1:30" hidden="1" x14ac:dyDescent="0.25">
      <c r="A725" s="1" t="s">
        <v>2246</v>
      </c>
      <c r="B725" s="1" t="s">
        <v>1064</v>
      </c>
      <c r="C725" s="1" t="s">
        <v>2410</v>
      </c>
      <c r="D725" s="1" t="s">
        <v>583</v>
      </c>
      <c r="E725" s="1" t="s">
        <v>2627</v>
      </c>
      <c r="F725" s="1" t="s">
        <v>2508</v>
      </c>
      <c r="G725" s="1" t="s">
        <v>27</v>
      </c>
      <c r="H725" s="1" t="s">
        <v>34</v>
      </c>
      <c r="I725" s="1" t="s">
        <v>50</v>
      </c>
      <c r="J725" s="1"/>
      <c r="K725" s="1"/>
      <c r="L725" s="1"/>
      <c r="M725" s="1"/>
      <c r="N725" s="1" t="s">
        <v>305</v>
      </c>
      <c r="O725" s="1" t="s">
        <v>2664</v>
      </c>
      <c r="Q725">
        <f>IFERROR(COUNTIFS(_report[TOURNAMENT_CODE],ВСЕ_КОДЫ[[#This Row],[TOURNAMENT_CODE]],_report[CONTEST_CODE],ВСЕ_КОДЫ[[#This Row],[CONTEST_CODE]]),"-")</f>
        <v>0</v>
      </c>
      <c r="R725" s="1" t="str">
        <f>IFERROR(INDEX(_SCHEDULE_[],MATCH(ВСЕ_КОДЫ[[#This Row],[CONTEST_CODE]],_SCHEDULE_[CONTEST_CODE],0),MATCH($R$1,_SCHEDULE_[#Headers],0)),"-")</f>
        <v>-</v>
      </c>
      <c r="S725" s="1" t="str">
        <f>IFERROR(INDEX(_group_[],MATCH(ВСЕ_КОДЫ[[#This Row],[CONTEST_CODE]],_group_[CONTEST_CODE],0),MATCH($S$1,_group_[#Headers],0)),"-")</f>
        <v>BANK</v>
      </c>
      <c r="T725" s="1" t="str">
        <f>IFERROR(INDEX(_INDICATOR_[],MATCH(ВСЕ_КОДЫ[[#This Row],[CONTEST_CODE]],_INDICATOR_[CONTEST_CODE],0),MATCH($T$1,_INDICATOR_[#Headers],0)),"-")</f>
        <v>-</v>
      </c>
      <c r="U725" s="1" t="str">
        <f>IFERROR(INDEX(_reward_link_[],MATCH(ВСЕ_КОДЫ[[#This Row],[CONTEST_CODE]],_reward_link_[CONTEST_CODE],0),MATCH($U$1,_reward_link_[#Headers],0)),"-")</f>
        <v>BANK</v>
      </c>
      <c r="V725" s="1" t="str">
        <f>IFERROR(INDEX(_report[],MATCH(ВСЕ_КОДЫ[[#This Row],[CONTEST_CODE]],_report[CONTEST_CODE],0),MATCH($V$1,_report[#Headers],0)),"-")</f>
        <v>-</v>
      </c>
      <c r="W725" s="1" t="str">
        <f>IFERROR(INDEX(_reward_[],MATCH(ВСЕ_КОДЫ[[#This Row],[REWARD_CODE]],_reward_[REWARD_CODE],0),MATCH($W$1,_reward_[#Headers],0)),"-")</f>
        <v>Золото</v>
      </c>
      <c r="X725" s="1" t="str">
        <f>IFERROR(INDEX(_group_[],MATCH(CONCATENATE(ВСЕ_КОДЫ[[#This Row],[CONTEST_CODE]],"_",X$2),#REF!,0),MATCH(X$1,_group_[#Headers],0)),"-")</f>
        <v>-</v>
      </c>
      <c r="Y725" s="1" t="str">
        <f>IFERROR(INDEX(_group_[],MATCH(CONCATENATE(ВСЕ_КОДЫ[[#This Row],[CONTEST_CODE]],"_",Y$2),#REF!,0),MATCH(Y$1,_group_[#Headers],0)),"-")</f>
        <v>-</v>
      </c>
      <c r="Z725" s="1" t="str">
        <f>IFERROR(INDEX(_group_[],MATCH(CONCATENATE(ВСЕ_КОДЫ[[#This Row],[CONTEST_CODE]],"_",Z$2),#REF!,0),MATCH(Z$1,_group_[#Headers],0)),"-")</f>
        <v>-</v>
      </c>
      <c r="AA725" s="1" t="str">
        <f>IFERROR(INDEX(_group_[],MATCH(CONCATENATE(ВСЕ_КОДЫ[[#This Row],[CONTEST_CODE]],"_",AA$2),#REF!,0),MATCH(AA$1,_group_[#Headers],0)),"-")</f>
        <v>-</v>
      </c>
      <c r="AB725" s="1" t="str">
        <f>IFERROR(INDEX(_DATA_[],MATCH(ВСЕ_КОДЫ[[#This Row],[CONTEST_CODE]],_DATA_[CONTEST_CODE],0),MATCH($AB$2,_DATA_[#Headers],0)),"-")</f>
        <v>["""RSB1"""]</v>
      </c>
      <c r="AC725" t="str">
        <f>CONCATENATE(ВСЕ_КОДЫ[[#This Row],[CONTEST_CODE]],"_",ВСЕ_КОДЫ[[#This Row],[TOURNAMENT_CODE]])</f>
        <v>08_2025-0_00-1_-</v>
      </c>
      <c r="AD725" t="str">
        <f>ВСЕ_КОДЫ[[#This Row],[FULL_NAME]]</f>
        <v>Сезон 2025 Руководитель СБ1</v>
      </c>
    </row>
    <row r="726" spans="1:30" hidden="1" x14ac:dyDescent="0.25">
      <c r="A726" s="1" t="s">
        <v>2246</v>
      </c>
      <c r="B726" s="1" t="s">
        <v>1064</v>
      </c>
      <c r="C726" s="1" t="s">
        <v>2412</v>
      </c>
      <c r="D726" s="1" t="s">
        <v>583</v>
      </c>
      <c r="E726" s="1" t="s">
        <v>2627</v>
      </c>
      <c r="F726" s="1" t="s">
        <v>2508</v>
      </c>
      <c r="G726" s="1" t="s">
        <v>27</v>
      </c>
      <c r="H726" s="1" t="s">
        <v>34</v>
      </c>
      <c r="I726" s="1" t="s">
        <v>50</v>
      </c>
      <c r="J726" s="1"/>
      <c r="K726" s="1"/>
      <c r="L726" s="1"/>
      <c r="M726" s="1"/>
      <c r="N726" s="1" t="s">
        <v>305</v>
      </c>
      <c r="O726" s="1" t="s">
        <v>2666</v>
      </c>
      <c r="Q726">
        <f>IFERROR(COUNTIFS(_report[TOURNAMENT_CODE],ВСЕ_КОДЫ[[#This Row],[TOURNAMENT_CODE]],_report[CONTEST_CODE],ВСЕ_КОДЫ[[#This Row],[CONTEST_CODE]]),"-")</f>
        <v>0</v>
      </c>
      <c r="R726" s="1" t="str">
        <f>IFERROR(INDEX(_SCHEDULE_[],MATCH(ВСЕ_КОДЫ[[#This Row],[CONTEST_CODE]],_SCHEDULE_[CONTEST_CODE],0),MATCH($R$1,_SCHEDULE_[#Headers],0)),"-")</f>
        <v>-</v>
      </c>
      <c r="S726" s="1" t="str">
        <f>IFERROR(INDEX(_group_[],MATCH(ВСЕ_КОДЫ[[#This Row],[CONTEST_CODE]],_group_[CONTEST_CODE],0),MATCH($S$1,_group_[#Headers],0)),"-")</f>
        <v>BANK</v>
      </c>
      <c r="T726" s="1" t="str">
        <f>IFERROR(INDEX(_INDICATOR_[],MATCH(ВСЕ_КОДЫ[[#This Row],[CONTEST_CODE]],_INDICATOR_[CONTEST_CODE],0),MATCH($T$1,_INDICATOR_[#Headers],0)),"-")</f>
        <v>-</v>
      </c>
      <c r="U726" s="1" t="str">
        <f>IFERROR(INDEX(_reward_link_[],MATCH(ВСЕ_КОДЫ[[#This Row],[CONTEST_CODE]],_reward_link_[CONTEST_CODE],0),MATCH($U$1,_reward_link_[#Headers],0)),"-")</f>
        <v>BANK</v>
      </c>
      <c r="V726" s="1" t="str">
        <f>IFERROR(INDEX(_report[],MATCH(ВСЕ_КОДЫ[[#This Row],[CONTEST_CODE]],_report[CONTEST_CODE],0),MATCH($V$1,_report[#Headers],0)),"-")</f>
        <v>-</v>
      </c>
      <c r="W726" s="1" t="str">
        <f>IFERROR(INDEX(_reward_[],MATCH(ВСЕ_КОДЫ[[#This Row],[REWARD_CODE]],_reward_[REWARD_CODE],0),MATCH($W$1,_reward_[#Headers],0)),"-")</f>
        <v>Серебро</v>
      </c>
      <c r="X726" s="1" t="str">
        <f>IFERROR(INDEX(_group_[],MATCH(CONCATENATE(ВСЕ_КОДЫ[[#This Row],[CONTEST_CODE]],"_",X$2),#REF!,0),MATCH(X$1,_group_[#Headers],0)),"-")</f>
        <v>-</v>
      </c>
      <c r="Y726" s="1" t="str">
        <f>IFERROR(INDEX(_group_[],MATCH(CONCATENATE(ВСЕ_КОДЫ[[#This Row],[CONTEST_CODE]],"_",Y$2),#REF!,0),MATCH(Y$1,_group_[#Headers],0)),"-")</f>
        <v>-</v>
      </c>
      <c r="Z726" s="1" t="str">
        <f>IFERROR(INDEX(_group_[],MATCH(CONCATENATE(ВСЕ_КОДЫ[[#This Row],[CONTEST_CODE]],"_",Z$2),#REF!,0),MATCH(Z$1,_group_[#Headers],0)),"-")</f>
        <v>-</v>
      </c>
      <c r="AA726" s="1" t="str">
        <f>IFERROR(INDEX(_group_[],MATCH(CONCATENATE(ВСЕ_КОДЫ[[#This Row],[CONTEST_CODE]],"_",AA$2),#REF!,0),MATCH(AA$1,_group_[#Headers],0)),"-")</f>
        <v>-</v>
      </c>
      <c r="AB726" s="1" t="str">
        <f>IFERROR(INDEX(_DATA_[],MATCH(ВСЕ_КОДЫ[[#This Row],[CONTEST_CODE]],_DATA_[CONTEST_CODE],0),MATCH($AB$2,_DATA_[#Headers],0)),"-")</f>
        <v>["""RSB1"""]</v>
      </c>
      <c r="AC726" t="str">
        <f>CONCATENATE(ВСЕ_КОДЫ[[#This Row],[CONTEST_CODE]],"_",ВСЕ_КОДЫ[[#This Row],[TOURNAMENT_CODE]])</f>
        <v>08_2025-0_00-1_-</v>
      </c>
      <c r="AD726" t="str">
        <f>ВСЕ_КОДЫ[[#This Row],[FULL_NAME]]</f>
        <v>Сезон 2025 Руководитель СБ1</v>
      </c>
    </row>
    <row r="727" spans="1:30" hidden="1" x14ac:dyDescent="0.25">
      <c r="A727" s="1" t="s">
        <v>2246</v>
      </c>
      <c r="B727" s="1" t="s">
        <v>1064</v>
      </c>
      <c r="C727" s="1" t="s">
        <v>2414</v>
      </c>
      <c r="D727" s="1" t="s">
        <v>583</v>
      </c>
      <c r="E727" s="1" t="s">
        <v>2627</v>
      </c>
      <c r="F727" s="1" t="s">
        <v>2508</v>
      </c>
      <c r="G727" s="1" t="s">
        <v>27</v>
      </c>
      <c r="H727" s="1" t="s">
        <v>34</v>
      </c>
      <c r="I727" s="1" t="s">
        <v>50</v>
      </c>
      <c r="J727" s="1"/>
      <c r="K727" s="1"/>
      <c r="L727" s="1"/>
      <c r="M727" s="1"/>
      <c r="N727" s="1" t="s">
        <v>305</v>
      </c>
      <c r="O727" s="1" t="s">
        <v>2668</v>
      </c>
      <c r="Q727">
        <f>IFERROR(COUNTIFS(_report[TOURNAMENT_CODE],ВСЕ_КОДЫ[[#This Row],[TOURNAMENT_CODE]],_report[CONTEST_CODE],ВСЕ_КОДЫ[[#This Row],[CONTEST_CODE]]),"-")</f>
        <v>0</v>
      </c>
      <c r="R727" s="1" t="str">
        <f>IFERROR(INDEX(_SCHEDULE_[],MATCH(ВСЕ_КОДЫ[[#This Row],[CONTEST_CODE]],_SCHEDULE_[CONTEST_CODE],0),MATCH($R$1,_SCHEDULE_[#Headers],0)),"-")</f>
        <v>-</v>
      </c>
      <c r="S727" s="1" t="str">
        <f>IFERROR(INDEX(_group_[],MATCH(ВСЕ_КОДЫ[[#This Row],[CONTEST_CODE]],_group_[CONTEST_CODE],0),MATCH($S$1,_group_[#Headers],0)),"-")</f>
        <v>BANK</v>
      </c>
      <c r="T727" s="1" t="str">
        <f>IFERROR(INDEX(_INDICATOR_[],MATCH(ВСЕ_КОДЫ[[#This Row],[CONTEST_CODE]],_INDICATOR_[CONTEST_CODE],0),MATCH($T$1,_INDICATOR_[#Headers],0)),"-")</f>
        <v>-</v>
      </c>
      <c r="U727" s="1" t="str">
        <f>IFERROR(INDEX(_reward_link_[],MATCH(ВСЕ_КОДЫ[[#This Row],[CONTEST_CODE]],_reward_link_[CONTEST_CODE],0),MATCH($U$1,_reward_link_[#Headers],0)),"-")</f>
        <v>BANK</v>
      </c>
      <c r="V727" s="1" t="str">
        <f>IFERROR(INDEX(_report[],MATCH(ВСЕ_КОДЫ[[#This Row],[CONTEST_CODE]],_report[CONTEST_CODE],0),MATCH($V$1,_report[#Headers],0)),"-")</f>
        <v>-</v>
      </c>
      <c r="W727" s="1" t="str">
        <f>IFERROR(INDEX(_reward_[],MATCH(ВСЕ_КОДЫ[[#This Row],[REWARD_CODE]],_reward_[REWARD_CODE],0),MATCH($W$1,_reward_[#Headers],0)),"-")</f>
        <v>Бронза</v>
      </c>
      <c r="X727" s="1" t="str">
        <f>IFERROR(INDEX(_group_[],MATCH(CONCATENATE(ВСЕ_КОДЫ[[#This Row],[CONTEST_CODE]],"_",X$2),#REF!,0),MATCH(X$1,_group_[#Headers],0)),"-")</f>
        <v>-</v>
      </c>
      <c r="Y727" s="1" t="str">
        <f>IFERROR(INDEX(_group_[],MATCH(CONCATENATE(ВСЕ_КОДЫ[[#This Row],[CONTEST_CODE]],"_",Y$2),#REF!,0),MATCH(Y$1,_group_[#Headers],0)),"-")</f>
        <v>-</v>
      </c>
      <c r="Z727" s="1" t="str">
        <f>IFERROR(INDEX(_group_[],MATCH(CONCATENATE(ВСЕ_КОДЫ[[#This Row],[CONTEST_CODE]],"_",Z$2),#REF!,0),MATCH(Z$1,_group_[#Headers],0)),"-")</f>
        <v>-</v>
      </c>
      <c r="AA727" s="1" t="str">
        <f>IFERROR(INDEX(_group_[],MATCH(CONCATENATE(ВСЕ_КОДЫ[[#This Row],[CONTEST_CODE]],"_",AA$2),#REF!,0),MATCH(AA$1,_group_[#Headers],0)),"-")</f>
        <v>-</v>
      </c>
      <c r="AB727" s="1" t="str">
        <f>IFERROR(INDEX(_DATA_[],MATCH(ВСЕ_КОДЫ[[#This Row],[CONTEST_CODE]],_DATA_[CONTEST_CODE],0),MATCH($AB$2,_DATA_[#Headers],0)),"-")</f>
        <v>["""RSB1"""]</v>
      </c>
      <c r="AC727" t="str">
        <f>CONCATENATE(ВСЕ_КОДЫ[[#This Row],[CONTEST_CODE]],"_",ВСЕ_КОДЫ[[#This Row],[TOURNAMENT_CODE]])</f>
        <v>08_2025-0_00-1_-</v>
      </c>
      <c r="AD727" t="str">
        <f>ВСЕ_КОДЫ[[#This Row],[FULL_NAME]]</f>
        <v>Сезон 2025 Руководитель СБ1</v>
      </c>
    </row>
    <row r="728" spans="1:30" hidden="1" x14ac:dyDescent="0.25">
      <c r="A728" s="1" t="s">
        <v>24</v>
      </c>
      <c r="B728" s="1" t="s">
        <v>1064</v>
      </c>
      <c r="C728" s="1" t="s">
        <v>304</v>
      </c>
      <c r="D728" s="1" t="s">
        <v>583</v>
      </c>
      <c r="E728" s="1" t="s">
        <v>25</v>
      </c>
      <c r="F728" s="1" t="s">
        <v>26</v>
      </c>
      <c r="G728" s="1" t="s">
        <v>27</v>
      </c>
      <c r="H728" s="1" t="s">
        <v>28</v>
      </c>
      <c r="I728" s="1" t="s">
        <v>29</v>
      </c>
      <c r="J728" s="1"/>
      <c r="K728" s="1"/>
      <c r="L728" s="1"/>
      <c r="M728" s="1"/>
      <c r="N728" s="1" t="s">
        <v>305</v>
      </c>
      <c r="O728" s="1" t="s">
        <v>306</v>
      </c>
      <c r="Q728">
        <f>IFERROR(COUNTIFS(_report[TOURNAMENT_CODE],ВСЕ_КОДЫ[[#This Row],[TOURNAMENT_CODE]],_report[CONTEST_CODE],ВСЕ_КОДЫ[[#This Row],[CONTEST_CODE]]),"-")</f>
        <v>0</v>
      </c>
      <c r="R728" s="1" t="str">
        <f>IFERROR(INDEX(_SCHEDULE_[],MATCH(ВСЕ_КОДЫ[[#This Row],[CONTEST_CODE]],_SCHEDULE_[CONTEST_CODE],0),MATCH($R$1,_SCHEDULE_[#Headers],0)),"-")</f>
        <v>-</v>
      </c>
      <c r="S728" s="1" t="str">
        <f>IFERROR(INDEX(_group_[],MATCH(ВСЕ_КОДЫ[[#This Row],[CONTEST_CODE]],_group_[CONTEST_CODE],0),MATCH($S$1,_group_[#Headers],0)),"-")</f>
        <v>BANK</v>
      </c>
      <c r="T728" s="1" t="str">
        <f>IFERROR(INDEX(_INDICATOR_[],MATCH(ВСЕ_КОДЫ[[#This Row],[CONTEST_CODE]],_INDICATOR_[CONTEST_CODE],0),MATCH($T$1,_INDICATOR_[#Headers],0)),"-")</f>
        <v>-</v>
      </c>
      <c r="U728" s="1" t="str">
        <f>IFERROR(INDEX(_reward_link_[],MATCH(ВСЕ_КОДЫ[[#This Row],[CONTEST_CODE]],_reward_link_[CONTEST_CODE],0),MATCH($U$1,_reward_link_[#Headers],0)),"-")</f>
        <v>BANK</v>
      </c>
      <c r="V728" s="1" t="str">
        <f>IFERROR(INDEX(_report[],MATCH(ВСЕ_КОДЫ[[#This Row],[CONTEST_CODE]],_report[CONTEST_CODE],0),MATCH($V$1,_report[#Headers],0)),"-")</f>
        <v>-</v>
      </c>
      <c r="W728" s="1" t="str">
        <f>IFERROR(INDEX(_reward_[],MATCH(ВСЕ_КОДЫ[[#This Row],[REWARD_CODE]],_reward_[REWARD_CODE],0),MATCH($W$1,_reward_[#Headers],0)),"-")</f>
        <v>Инноваторы</v>
      </c>
      <c r="X728" s="1" t="str">
        <f>IFERROR(INDEX(_group_[],MATCH(CONCATENATE(ВСЕ_КОДЫ[[#This Row],[CONTEST_CODE]],"_",X$2),#REF!,0),MATCH(X$1,_group_[#Headers],0)),"-")</f>
        <v>-</v>
      </c>
      <c r="Y728" s="1" t="str">
        <f>IFERROR(INDEX(_group_[],MATCH(CONCATENATE(ВСЕ_КОДЫ[[#This Row],[CONTEST_CODE]],"_",Y$2),#REF!,0),MATCH(Y$1,_group_[#Headers],0)),"-")</f>
        <v>-</v>
      </c>
      <c r="Z728" s="1" t="str">
        <f>IFERROR(INDEX(_group_[],MATCH(CONCATENATE(ВСЕ_КОДЫ[[#This Row],[CONTEST_CODE]],"_",Z$2),#REF!,0),MATCH(Z$1,_group_[#Headers],0)),"-")</f>
        <v>-</v>
      </c>
      <c r="AA728" s="1" t="str">
        <f>IFERROR(INDEX(_group_[],MATCH(CONCATENATE(ВСЕ_КОДЫ[[#This Row],[CONTEST_CODE]],"_",AA$2),#REF!,0),MATCH(AA$1,_group_[#Headers],0)),"-")</f>
        <v>-</v>
      </c>
      <c r="AB728" s="1" t="str">
        <f>IFERROR(INDEX(_DATA_[],MATCH(ВСЕ_КОДЫ[[#This Row],[CONTEST_CODE]],_DATA_[CONTEST_CODE],0),MATCH($AB$2,_DATA_[#Headers],0)),"-")</f>
        <v>["""KMKKSB"""]</v>
      </c>
      <c r="AC728" t="str">
        <f>CONCATENATE(ВСЕ_КОДЫ[[#This Row],[CONTEST_CODE]],"_",ВСЕ_КОДЫ[[#This Row],[TOURNAMENT_CODE]])</f>
        <v>CONTEST_00_-</v>
      </c>
      <c r="AD728" t="str">
        <f>ВСЕ_КОДЫ[[#This Row],[FULL_NAME]]</f>
        <v>Приветственный</v>
      </c>
    </row>
    <row r="729" spans="1:30" hidden="1" x14ac:dyDescent="0.25">
      <c r="A729" s="1" t="s">
        <v>24</v>
      </c>
      <c r="B729" s="1" t="s">
        <v>1064</v>
      </c>
      <c r="C729" s="1" t="s">
        <v>309</v>
      </c>
      <c r="D729" s="1" t="s">
        <v>583</v>
      </c>
      <c r="E729" s="1" t="s">
        <v>25</v>
      </c>
      <c r="F729" s="1" t="s">
        <v>26</v>
      </c>
      <c r="G729" s="1" t="s">
        <v>27</v>
      </c>
      <c r="H729" s="1" t="s">
        <v>28</v>
      </c>
      <c r="I729" s="1" t="s">
        <v>29</v>
      </c>
      <c r="J729" s="1"/>
      <c r="K729" s="1"/>
      <c r="L729" s="1"/>
      <c r="M729" s="1"/>
      <c r="N729" s="1" t="s">
        <v>305</v>
      </c>
      <c r="O729" s="1" t="s">
        <v>310</v>
      </c>
      <c r="Q729">
        <f>IFERROR(COUNTIFS(_report[TOURNAMENT_CODE],ВСЕ_КОДЫ[[#This Row],[TOURNAMENT_CODE]],_report[CONTEST_CODE],ВСЕ_КОДЫ[[#This Row],[CONTEST_CODE]]),"-")</f>
        <v>0</v>
      </c>
      <c r="R729" s="1" t="str">
        <f>IFERROR(INDEX(_SCHEDULE_[],MATCH(ВСЕ_КОДЫ[[#This Row],[CONTEST_CODE]],_SCHEDULE_[CONTEST_CODE],0),MATCH($R$1,_SCHEDULE_[#Headers],0)),"-")</f>
        <v>-</v>
      </c>
      <c r="S729" s="1" t="str">
        <f>IFERROR(INDEX(_group_[],MATCH(ВСЕ_КОДЫ[[#This Row],[CONTEST_CODE]],_group_[CONTEST_CODE],0),MATCH($S$1,_group_[#Headers],0)),"-")</f>
        <v>BANK</v>
      </c>
      <c r="T729" s="1" t="str">
        <f>IFERROR(INDEX(_INDICATOR_[],MATCH(ВСЕ_КОДЫ[[#This Row],[CONTEST_CODE]],_INDICATOR_[CONTEST_CODE],0),MATCH($T$1,_INDICATOR_[#Headers],0)),"-")</f>
        <v>-</v>
      </c>
      <c r="U729" s="1" t="str">
        <f>IFERROR(INDEX(_reward_link_[],MATCH(ВСЕ_КОДЫ[[#This Row],[CONTEST_CODE]],_reward_link_[CONTEST_CODE],0),MATCH($U$1,_reward_link_[#Headers],0)),"-")</f>
        <v>BANK</v>
      </c>
      <c r="V729" s="1" t="str">
        <f>IFERROR(INDEX(_report[],MATCH(ВСЕ_КОДЫ[[#This Row],[CONTEST_CODE]],_report[CONTEST_CODE],0),MATCH($V$1,_report[#Headers],0)),"-")</f>
        <v>-</v>
      </c>
      <c r="W729" s="1" t="str">
        <f>IFERROR(INDEX(_reward_[],MATCH(ВСЕ_КОДЫ[[#This Row],[REWARD_CODE]],_reward_[REWARD_CODE],0),MATCH($W$1,_reward_[#Headers],0)),"-")</f>
        <v>Ранние последователи</v>
      </c>
      <c r="X729" s="1" t="str">
        <f>IFERROR(INDEX(_group_[],MATCH(CONCATENATE(ВСЕ_КОДЫ[[#This Row],[CONTEST_CODE]],"_",X$2),#REF!,0),MATCH(X$1,_group_[#Headers],0)),"-")</f>
        <v>-</v>
      </c>
      <c r="Y729" s="1" t="str">
        <f>IFERROR(INDEX(_group_[],MATCH(CONCATENATE(ВСЕ_КОДЫ[[#This Row],[CONTEST_CODE]],"_",Y$2),#REF!,0),MATCH(Y$1,_group_[#Headers],0)),"-")</f>
        <v>-</v>
      </c>
      <c r="Z729" s="1" t="str">
        <f>IFERROR(INDEX(_group_[],MATCH(CONCATENATE(ВСЕ_КОДЫ[[#This Row],[CONTEST_CODE]],"_",Z$2),#REF!,0),MATCH(Z$1,_group_[#Headers],0)),"-")</f>
        <v>-</v>
      </c>
      <c r="AA729" s="1" t="str">
        <f>IFERROR(INDEX(_group_[],MATCH(CONCATENATE(ВСЕ_КОДЫ[[#This Row],[CONTEST_CODE]],"_",AA$2),#REF!,0),MATCH(AA$1,_group_[#Headers],0)),"-")</f>
        <v>-</v>
      </c>
      <c r="AB729" s="1" t="str">
        <f>IFERROR(INDEX(_DATA_[],MATCH(ВСЕ_КОДЫ[[#This Row],[CONTEST_CODE]],_DATA_[CONTEST_CODE],0),MATCH($AB$2,_DATA_[#Headers],0)),"-")</f>
        <v>["""KMKKSB"""]</v>
      </c>
      <c r="AC729" t="str">
        <f>CONCATENATE(ВСЕ_КОДЫ[[#This Row],[CONTEST_CODE]],"_",ВСЕ_КОДЫ[[#This Row],[TOURNAMENT_CODE]])</f>
        <v>CONTEST_00_-</v>
      </c>
      <c r="AD729" t="str">
        <f>ВСЕ_КОДЫ[[#This Row],[FULL_NAME]]</f>
        <v>Приветственный</v>
      </c>
    </row>
    <row r="730" spans="1:30" hidden="1" x14ac:dyDescent="0.25">
      <c r="A730" s="1" t="s">
        <v>1229</v>
      </c>
      <c r="B730" s="1" t="s">
        <v>1064</v>
      </c>
      <c r="C730" s="1" t="s">
        <v>664</v>
      </c>
      <c r="D730" s="1" t="s">
        <v>583</v>
      </c>
      <c r="E730" s="1" t="s">
        <v>1230</v>
      </c>
      <c r="F730" s="1" t="s">
        <v>26</v>
      </c>
      <c r="G730" s="1" t="s">
        <v>27</v>
      </c>
      <c r="H730" s="1" t="s">
        <v>28</v>
      </c>
      <c r="I730" s="1" t="s">
        <v>50</v>
      </c>
      <c r="J730" s="1"/>
      <c r="K730" s="1"/>
      <c r="L730" s="1"/>
      <c r="M730" s="1"/>
      <c r="N730" s="1" t="s">
        <v>305</v>
      </c>
      <c r="O730" s="1" t="s">
        <v>1251</v>
      </c>
      <c r="Q730">
        <f>IFERROR(COUNTIFS(_report[TOURNAMENT_CODE],ВСЕ_КОДЫ[[#This Row],[TOURNAMENT_CODE]],_report[CONTEST_CODE],ВСЕ_КОДЫ[[#This Row],[CONTEST_CODE]]),"-")</f>
        <v>0</v>
      </c>
      <c r="R730" s="1" t="str">
        <f>IFERROR(INDEX(_SCHEDULE_[],MATCH(ВСЕ_КОДЫ[[#This Row],[CONTEST_CODE]],_SCHEDULE_[CONTEST_CODE],0),MATCH($R$1,_SCHEDULE_[#Headers],0)),"-")</f>
        <v>-</v>
      </c>
      <c r="S730" s="1" t="str">
        <f>IFERROR(INDEX(_group_[],MATCH(ВСЕ_КОДЫ[[#This Row],[CONTEST_CODE]],_group_[CONTEST_CODE],0),MATCH($S$1,_group_[#Headers],0)),"-")</f>
        <v>BANK</v>
      </c>
      <c r="T730" s="1" t="str">
        <f>IFERROR(INDEX(_INDICATOR_[],MATCH(ВСЕ_КОДЫ[[#This Row],[CONTEST_CODE]],_INDICATOR_[CONTEST_CODE],0),MATCH($T$1,_INDICATOR_[#Headers],0)),"-")</f>
        <v>WAIT</v>
      </c>
      <c r="U730" s="1" t="str">
        <f>IFERROR(INDEX(_reward_link_[],MATCH(ВСЕ_КОДЫ[[#This Row],[CONTEST_CODE]],_reward_link_[CONTEST_CODE],0),MATCH($U$1,_reward_link_[#Headers],0)),"-")</f>
        <v>BANK</v>
      </c>
      <c r="V730" s="1" t="str">
        <f>IFERROR(INDEX(_report[],MATCH(ВСЕ_КОДЫ[[#This Row],[CONTEST_CODE]],_report[CONTEST_CODE],0),MATCH($V$1,_report[#Headers],0)),"-")</f>
        <v>-</v>
      </c>
      <c r="W730" s="1" t="str">
        <f>IFERROR(INDEX(_reward_[],MATCH(ВСЕ_КОДЫ[[#This Row],[REWARD_CODE]],_reward_[REWARD_CODE],0),MATCH($W$1,_reward_[#Headers],0)),"-")</f>
        <v>Чемпион страны по Мастер Интернализации</v>
      </c>
      <c r="X730" s="1" t="str">
        <f>IFERROR(INDEX(_group_[],MATCH(CONCATENATE(ВСЕ_КОДЫ[[#This Row],[CONTEST_CODE]],"_",X$2),#REF!,0),MATCH(X$1,_group_[#Headers],0)),"-")</f>
        <v>-</v>
      </c>
      <c r="Y730" s="1" t="str">
        <f>IFERROR(INDEX(_group_[],MATCH(CONCATENATE(ВСЕ_КОДЫ[[#This Row],[CONTEST_CODE]],"_",Y$2),#REF!,0),MATCH(Y$1,_group_[#Headers],0)),"-")</f>
        <v>-</v>
      </c>
      <c r="Z730" s="1" t="str">
        <f>IFERROR(INDEX(_group_[],MATCH(CONCATENATE(ВСЕ_КОДЫ[[#This Row],[CONTEST_CODE]],"_",Z$2),#REF!,0),MATCH(Z$1,_group_[#Headers],0)),"-")</f>
        <v>-</v>
      </c>
      <c r="AA730" s="1" t="str">
        <f>IFERROR(INDEX(_group_[],MATCH(CONCATENATE(ВСЕ_КОДЫ[[#This Row],[CONTEST_CODE]],"_",AA$2),#REF!,0),MATCH(AA$1,_group_[#Headers],0)),"-")</f>
        <v>-</v>
      </c>
      <c r="AB730" s="1" t="str">
        <f>IFERROR(INDEX(_DATA_[],MATCH(ВСЕ_КОДЫ[[#This Row],[CONTEST_CODE]],_DATA_[CONTEST_CODE],0),MATCH($AB$2,_DATA_[#Headers],0)),"-")</f>
        <v>["""KMKKSB"""]</v>
      </c>
      <c r="AC730" t="str">
        <f>CONCATENATE(ВСЕ_КОДЫ[[#This Row],[CONTEST_CODE]],"_",ВСЕ_КОДЫ[[#This Row],[TOURNAMENT_CODE]])</f>
        <v>CONTEST_40_-</v>
      </c>
      <c r="AD730" t="str">
        <f>ВСЕ_КОДЫ[[#This Row],[FULL_NAME]]</f>
        <v>Турнир по Мастер Интернализации</v>
      </c>
    </row>
    <row r="731" spans="1:30" hidden="1" x14ac:dyDescent="0.25">
      <c r="A731" s="1" t="s">
        <v>114</v>
      </c>
      <c r="B731" s="1" t="s">
        <v>1064</v>
      </c>
      <c r="C731" s="1" t="s">
        <v>529</v>
      </c>
      <c r="D731" s="1" t="s">
        <v>583</v>
      </c>
      <c r="E731" s="1" t="s">
        <v>115</v>
      </c>
      <c r="F731" s="1" t="s">
        <v>26</v>
      </c>
      <c r="G731" s="1" t="s">
        <v>27</v>
      </c>
      <c r="H731" s="1" t="s">
        <v>34</v>
      </c>
      <c r="I731" s="1" t="s">
        <v>29</v>
      </c>
      <c r="J731" s="1"/>
      <c r="K731" s="1"/>
      <c r="L731" s="1"/>
      <c r="M731" s="1"/>
      <c r="N731" s="1" t="s">
        <v>530</v>
      </c>
      <c r="O731" s="1" t="s">
        <v>531</v>
      </c>
      <c r="Q731">
        <f>IFERROR(COUNTIFS(_report[TOURNAMENT_CODE],ВСЕ_КОДЫ[[#This Row],[TOURNAMENT_CODE]],_report[CONTEST_CODE],ВСЕ_КОДЫ[[#This Row],[CONTEST_CODE]]),"-")</f>
        <v>0</v>
      </c>
      <c r="R731" s="1" t="str">
        <f>IFERROR(INDEX(_SCHEDULE_[],MATCH(ВСЕ_КОДЫ[[#This Row],[CONTEST_CODE]],_SCHEDULE_[CONTEST_CODE],0),MATCH($R$1,_SCHEDULE_[#Headers],0)),"-")</f>
        <v>-</v>
      </c>
      <c r="S731" s="1" t="str">
        <f>IFERROR(INDEX(_group_[],MATCH(ВСЕ_КОДЫ[[#This Row],[CONTEST_CODE]],_group_[CONTEST_CODE],0),MATCH($S$1,_group_[#Headers],0)),"-")</f>
        <v>BANK</v>
      </c>
      <c r="T731" s="1" t="str">
        <f>IFERROR(INDEX(_INDICATOR_[],MATCH(ВСЕ_КОДЫ[[#This Row],[CONTEST_CODE]],_INDICATOR_[CONTEST_CODE],0),MATCH($T$1,_INDICATOR_[#Headers],0)),"-")</f>
        <v>-</v>
      </c>
      <c r="U731" s="1" t="str">
        <f>IFERROR(INDEX(_reward_link_[],MATCH(ВСЕ_КОДЫ[[#This Row],[CONTEST_CODE]],_reward_link_[CONTEST_CODE],0),MATCH($U$1,_reward_link_[#Headers],0)),"-")</f>
        <v>BANK</v>
      </c>
      <c r="V731" s="1" t="str">
        <f>IFERROR(INDEX(_report[],MATCH(ВСЕ_КОДЫ[[#This Row],[CONTEST_CODE]],_report[CONTEST_CODE],0),MATCH($V$1,_report[#Headers],0)),"-")</f>
        <v>-</v>
      </c>
      <c r="W731" s="1" t="str">
        <f>IFERROR(INDEX(_reward_[],MATCH(ВСЕ_КОДЫ[[#This Row],[REWARD_CODE]],_reward_[REWARD_CODE],0),MATCH($W$1,_reward_[#Headers],0)),"-")</f>
        <v>Криcталл</v>
      </c>
      <c r="X731" s="1" t="str">
        <f>IFERROR(INDEX(_group_[],MATCH(CONCATENATE(ВСЕ_КОДЫ[[#This Row],[CONTEST_CODE]],"_",X$2),#REF!,0),MATCH(X$1,_group_[#Headers],0)),"-")</f>
        <v>-</v>
      </c>
      <c r="Y731" s="1" t="str">
        <f>IFERROR(INDEX(_group_[],MATCH(CONCATENATE(ВСЕ_КОДЫ[[#This Row],[CONTEST_CODE]],"_",Y$2),#REF!,0),MATCH(Y$1,_group_[#Headers],0)),"-")</f>
        <v>-</v>
      </c>
      <c r="Z731" s="1" t="str">
        <f>IFERROR(INDEX(_group_[],MATCH(CONCATENATE(ВСЕ_КОДЫ[[#This Row],[CONTEST_CODE]],"_",Z$2),#REF!,0),MATCH(Z$1,_group_[#Headers],0)),"-")</f>
        <v>-</v>
      </c>
      <c r="AA731" s="1" t="str">
        <f>IFERROR(INDEX(_group_[],MATCH(CONCATENATE(ВСЕ_КОДЫ[[#This Row],[CONTEST_CODE]],"_",AA$2),#REF!,0),MATCH(AA$1,_group_[#Headers],0)),"-")</f>
        <v>-</v>
      </c>
      <c r="AB731" s="1" t="str">
        <f>IFERROR(INDEX(_DATA_[],MATCH(ВСЕ_КОДЫ[[#This Row],[CONTEST_CODE]],_DATA_[CONTEST_CODE],0),MATCH($AB$2,_DATA_[#Headers],0)),"-")</f>
        <v>[]</v>
      </c>
      <c r="AC731" t="str">
        <f>CONCATENATE(ВСЕ_КОДЫ[[#This Row],[CONTEST_CODE]],"_",ВСЕ_КОДЫ[[#This Row],[TOURNAMENT_CODE]])</f>
        <v>CONTEST_100_-</v>
      </c>
      <c r="AD731" t="str">
        <f>ВСЕ_КОДЫ[[#This Row],[FULL_NAME]]</f>
        <v>Кристаллы</v>
      </c>
    </row>
    <row r="732" spans="1:30" hidden="1" x14ac:dyDescent="0.25">
      <c r="A732" s="1" t="s">
        <v>114</v>
      </c>
      <c r="B732" s="1" t="s">
        <v>1064</v>
      </c>
      <c r="C732" s="1" t="s">
        <v>534</v>
      </c>
      <c r="D732" s="1" t="s">
        <v>583</v>
      </c>
      <c r="E732" s="1" t="s">
        <v>115</v>
      </c>
      <c r="F732" s="1" t="s">
        <v>26</v>
      </c>
      <c r="G732" s="1" t="s">
        <v>27</v>
      </c>
      <c r="H732" s="1" t="s">
        <v>34</v>
      </c>
      <c r="I732" s="1" t="s">
        <v>29</v>
      </c>
      <c r="J732" s="1"/>
      <c r="K732" s="1"/>
      <c r="L732" s="1"/>
      <c r="M732" s="1"/>
      <c r="N732" s="1" t="s">
        <v>530</v>
      </c>
      <c r="O732" s="1" t="s">
        <v>531</v>
      </c>
      <c r="Q732">
        <f>IFERROR(COUNTIFS(_report[TOURNAMENT_CODE],ВСЕ_КОДЫ[[#This Row],[TOURNAMENT_CODE]],_report[CONTEST_CODE],ВСЕ_КОДЫ[[#This Row],[CONTEST_CODE]]),"-")</f>
        <v>0</v>
      </c>
      <c r="R732" s="1" t="str">
        <f>IFERROR(INDEX(_SCHEDULE_[],MATCH(ВСЕ_КОДЫ[[#This Row],[CONTEST_CODE]],_SCHEDULE_[CONTEST_CODE],0),MATCH($R$1,_SCHEDULE_[#Headers],0)),"-")</f>
        <v>-</v>
      </c>
      <c r="S732" s="1" t="str">
        <f>IFERROR(INDEX(_group_[],MATCH(ВСЕ_КОДЫ[[#This Row],[CONTEST_CODE]],_group_[CONTEST_CODE],0),MATCH($S$1,_group_[#Headers],0)),"-")</f>
        <v>BANK</v>
      </c>
      <c r="T732" s="1" t="str">
        <f>IFERROR(INDEX(_INDICATOR_[],MATCH(ВСЕ_КОДЫ[[#This Row],[CONTEST_CODE]],_INDICATOR_[CONTEST_CODE],0),MATCH($T$1,_INDICATOR_[#Headers],0)),"-")</f>
        <v>-</v>
      </c>
      <c r="U732" s="1" t="str">
        <f>IFERROR(INDEX(_reward_link_[],MATCH(ВСЕ_КОДЫ[[#This Row],[CONTEST_CODE]],_reward_link_[CONTEST_CODE],0),MATCH($U$1,_reward_link_[#Headers],0)),"-")</f>
        <v>BANK</v>
      </c>
      <c r="V732" s="1" t="str">
        <f>IFERROR(INDEX(_report[],MATCH(ВСЕ_КОДЫ[[#This Row],[CONTEST_CODE]],_report[CONTEST_CODE],0),MATCH($V$1,_report[#Headers],0)),"-")</f>
        <v>-</v>
      </c>
      <c r="W732" s="1" t="str">
        <f>IFERROR(INDEX(_reward_[],MATCH(ВСЕ_КОДЫ[[#This Row],[REWARD_CODE]],_reward_[REWARD_CODE],0),MATCH($W$1,_reward_[#Headers],0)),"-")</f>
        <v>Криcталл</v>
      </c>
      <c r="X732" s="1" t="str">
        <f>IFERROR(INDEX(_group_[],MATCH(CONCATENATE(ВСЕ_КОДЫ[[#This Row],[CONTEST_CODE]],"_",X$2),#REF!,0),MATCH(X$1,_group_[#Headers],0)),"-")</f>
        <v>-</v>
      </c>
      <c r="Y732" s="1" t="str">
        <f>IFERROR(INDEX(_group_[],MATCH(CONCATENATE(ВСЕ_КОДЫ[[#This Row],[CONTEST_CODE]],"_",Y$2),#REF!,0),MATCH(Y$1,_group_[#Headers],0)),"-")</f>
        <v>-</v>
      </c>
      <c r="Z732" s="1" t="str">
        <f>IFERROR(INDEX(_group_[],MATCH(CONCATENATE(ВСЕ_КОДЫ[[#This Row],[CONTEST_CODE]],"_",Z$2),#REF!,0),MATCH(Z$1,_group_[#Headers],0)),"-")</f>
        <v>-</v>
      </c>
      <c r="AA732" s="1" t="str">
        <f>IFERROR(INDEX(_group_[],MATCH(CONCATENATE(ВСЕ_КОДЫ[[#This Row],[CONTEST_CODE]],"_",AA$2),#REF!,0),MATCH(AA$1,_group_[#Headers],0)),"-")</f>
        <v>-</v>
      </c>
      <c r="AB732" s="1" t="str">
        <f>IFERROR(INDEX(_DATA_[],MATCH(ВСЕ_КОДЫ[[#This Row],[CONTEST_CODE]],_DATA_[CONTEST_CODE],0),MATCH($AB$2,_DATA_[#Headers],0)),"-")</f>
        <v>[]</v>
      </c>
      <c r="AC732" t="str">
        <f>CONCATENATE(ВСЕ_КОДЫ[[#This Row],[CONTEST_CODE]],"_",ВСЕ_КОДЫ[[#This Row],[TOURNAMENT_CODE]])</f>
        <v>CONTEST_100_-</v>
      </c>
      <c r="AD732" t="str">
        <f>ВСЕ_КОДЫ[[#This Row],[FULL_NAME]]</f>
        <v>Кристаллы</v>
      </c>
    </row>
    <row r="733" spans="1:30" hidden="1" x14ac:dyDescent="0.25">
      <c r="A733" s="1" t="s">
        <v>1702</v>
      </c>
      <c r="B733" s="1" t="s">
        <v>1064</v>
      </c>
      <c r="C733" s="1" t="s">
        <v>1732</v>
      </c>
      <c r="D733" s="1" t="s">
        <v>583</v>
      </c>
      <c r="E733" s="1" t="s">
        <v>1703</v>
      </c>
      <c r="F733" s="1" t="s">
        <v>26</v>
      </c>
      <c r="G733" s="1" t="s">
        <v>27</v>
      </c>
      <c r="H733" s="1" t="s">
        <v>34</v>
      </c>
      <c r="I733" s="1" t="s">
        <v>29</v>
      </c>
      <c r="J733" s="1"/>
      <c r="K733" s="1"/>
      <c r="L733" s="1"/>
      <c r="M733" s="1"/>
      <c r="N733" s="1" t="s">
        <v>1759</v>
      </c>
      <c r="O733" s="1" t="s">
        <v>1760</v>
      </c>
      <c r="Q733">
        <f>IFERROR(COUNTIFS(_report[TOURNAMENT_CODE],ВСЕ_КОДЫ[[#This Row],[TOURNAMENT_CODE]],_report[CONTEST_CODE],ВСЕ_КОДЫ[[#This Row],[CONTEST_CODE]]),"-")</f>
        <v>0</v>
      </c>
      <c r="R733" s="1" t="str">
        <f>IFERROR(INDEX(_SCHEDULE_[],MATCH(ВСЕ_КОДЫ[[#This Row],[CONTEST_CODE]],_SCHEDULE_[CONTEST_CODE],0),MATCH($R$1,_SCHEDULE_[#Headers],0)),"-")</f>
        <v>-</v>
      </c>
      <c r="S733" s="1" t="str">
        <f>IFERROR(INDEX(_group_[],MATCH(ВСЕ_КОДЫ[[#This Row],[CONTEST_CODE]],_group_[CONTEST_CODE],0),MATCH($S$1,_group_[#Headers],0)),"-")</f>
        <v>BANK</v>
      </c>
      <c r="T733" s="1" t="str">
        <f>IFERROR(INDEX(_INDICATOR_[],MATCH(ВСЕ_КОДЫ[[#This Row],[CONTEST_CODE]],_INDICATOR_[CONTEST_CODE],0),MATCH($T$1,_INDICATOR_[#Headers],0)),"-")</f>
        <v>-</v>
      </c>
      <c r="U733" s="1" t="str">
        <f>IFERROR(INDEX(_reward_link_[],MATCH(ВСЕ_КОДЫ[[#This Row],[CONTEST_CODE]],_reward_link_[CONTEST_CODE],0),MATCH($U$1,_reward_link_[#Headers],0)),"-")</f>
        <v>BANK</v>
      </c>
      <c r="V733" s="1" t="str">
        <f>IFERROR(INDEX(_report[],MATCH(ВСЕ_КОДЫ[[#This Row],[CONTEST_CODE]],_report[CONTEST_CODE],0),MATCH($V$1,_report[#Headers],0)),"-")</f>
        <v>-</v>
      </c>
      <c r="W733" s="1" t="str">
        <f>IFERROR(INDEX(_reward_[],MATCH(ВСЕ_КОДЫ[[#This Row],[REWARD_CODE]],_reward_[REWARD_CODE],0),MATCH($W$1,_reward_[#Headers],0)),"-")</f>
        <v>Очное обучение в Корпоративном университете Сбера</v>
      </c>
      <c r="X733" s="1" t="str">
        <f>IFERROR(INDEX(_group_[],MATCH(CONCATENATE(ВСЕ_КОДЫ[[#This Row],[CONTEST_CODE]],"_",X$2),#REF!,0),MATCH(X$1,_group_[#Headers],0)),"-")</f>
        <v>-</v>
      </c>
      <c r="Y733" s="1" t="str">
        <f>IFERROR(INDEX(_group_[],MATCH(CONCATENATE(ВСЕ_КОДЫ[[#This Row],[CONTEST_CODE]],"_",Y$2),#REF!,0),MATCH(Y$1,_group_[#Headers],0)),"-")</f>
        <v>-</v>
      </c>
      <c r="Z733" s="1" t="str">
        <f>IFERROR(INDEX(_group_[],MATCH(CONCATENATE(ВСЕ_КОДЫ[[#This Row],[CONTEST_CODE]],"_",Z$2),#REF!,0),MATCH(Z$1,_group_[#Headers],0)),"-")</f>
        <v>-</v>
      </c>
      <c r="AA733" s="1" t="str">
        <f>IFERROR(INDEX(_group_[],MATCH(CONCATENATE(ВСЕ_КОДЫ[[#This Row],[CONTEST_CODE]],"_",AA$2),#REF!,0),MATCH(AA$1,_group_[#Headers],0)),"-")</f>
        <v>-</v>
      </c>
      <c r="AB733" s="1" t="str">
        <f>IFERROR(INDEX(_DATA_[],MATCH(ВСЕ_КОДЫ[[#This Row],[CONTEST_CODE]],_DATA_[CONTEST_CODE],0),MATCH($AB$2,_DATA_[#Headers],0)),"-")</f>
        <v>["""KMKKSB"""]</v>
      </c>
      <c r="AC733" t="str">
        <f>CONCATENATE(ВСЕ_КОДЫ[[#This Row],[CONTEST_CODE]],"_",ВСЕ_КОДЫ[[#This Row],[TOURNAMENT_CODE]])</f>
        <v>CONTEST_999_-</v>
      </c>
      <c r="AD733" t="str">
        <f>ВСЕ_КОДЫ[[#This Row],[FULL_NAME]]</f>
        <v>товары</v>
      </c>
    </row>
    <row r="734" spans="1:30" hidden="1" x14ac:dyDescent="0.25">
      <c r="A734" s="1" t="s">
        <v>1702</v>
      </c>
      <c r="B734" s="1" t="s">
        <v>1064</v>
      </c>
      <c r="C734" s="1" t="s">
        <v>1735</v>
      </c>
      <c r="D734" s="1" t="s">
        <v>583</v>
      </c>
      <c r="E734" s="1" t="s">
        <v>1703</v>
      </c>
      <c r="F734" s="1" t="s">
        <v>26</v>
      </c>
      <c r="G734" s="1" t="s">
        <v>27</v>
      </c>
      <c r="H734" s="1" t="s">
        <v>34</v>
      </c>
      <c r="I734" s="1" t="s">
        <v>29</v>
      </c>
      <c r="J734" s="1"/>
      <c r="K734" s="1"/>
      <c r="L734" s="1"/>
      <c r="M734" s="1"/>
      <c r="N734" s="1" t="s">
        <v>1759</v>
      </c>
      <c r="O734" s="1" t="s">
        <v>1762</v>
      </c>
      <c r="Q734">
        <f>IFERROR(COUNTIFS(_report[TOURNAMENT_CODE],ВСЕ_КОДЫ[[#This Row],[TOURNAMENT_CODE]],_report[CONTEST_CODE],ВСЕ_КОДЫ[[#This Row],[CONTEST_CODE]]),"-")</f>
        <v>0</v>
      </c>
      <c r="R734" s="1" t="str">
        <f>IFERROR(INDEX(_SCHEDULE_[],MATCH(ВСЕ_КОДЫ[[#This Row],[CONTEST_CODE]],_SCHEDULE_[CONTEST_CODE],0),MATCH($R$1,_SCHEDULE_[#Headers],0)),"-")</f>
        <v>-</v>
      </c>
      <c r="S734" s="1" t="str">
        <f>IFERROR(INDEX(_group_[],MATCH(ВСЕ_КОДЫ[[#This Row],[CONTEST_CODE]],_group_[CONTEST_CODE],0),MATCH($S$1,_group_[#Headers],0)),"-")</f>
        <v>BANK</v>
      </c>
      <c r="T734" s="1" t="str">
        <f>IFERROR(INDEX(_INDICATOR_[],MATCH(ВСЕ_КОДЫ[[#This Row],[CONTEST_CODE]],_INDICATOR_[CONTEST_CODE],0),MATCH($T$1,_INDICATOR_[#Headers],0)),"-")</f>
        <v>-</v>
      </c>
      <c r="U734" s="1" t="str">
        <f>IFERROR(INDEX(_reward_link_[],MATCH(ВСЕ_КОДЫ[[#This Row],[CONTEST_CODE]],_reward_link_[CONTEST_CODE],0),MATCH($U$1,_reward_link_[#Headers],0)),"-")</f>
        <v>BANK</v>
      </c>
      <c r="V734" s="1" t="str">
        <f>IFERROR(INDEX(_report[],MATCH(ВСЕ_КОДЫ[[#This Row],[CONTEST_CODE]],_report[CONTEST_CODE],0),MATCH($V$1,_report[#Headers],0)),"-")</f>
        <v>-</v>
      </c>
      <c r="W734" s="1" t="str">
        <f>IFERROR(INDEX(_reward_[],MATCH(ВСЕ_КОДЫ[[#This Row],[REWARD_CODE]],_reward_[REWARD_CODE],0),MATCH($W$1,_reward_[#Headers],0)),"-")</f>
        <v>Участие в программе стажировки вместе с победителями Лиги Чемпионов и Суперкубка</v>
      </c>
      <c r="X734" s="1" t="str">
        <f>IFERROR(INDEX(_group_[],MATCH(CONCATENATE(ВСЕ_КОДЫ[[#This Row],[CONTEST_CODE]],"_",X$2),#REF!,0),MATCH(X$1,_group_[#Headers],0)),"-")</f>
        <v>-</v>
      </c>
      <c r="Y734" s="1" t="str">
        <f>IFERROR(INDEX(_group_[],MATCH(CONCATENATE(ВСЕ_КОДЫ[[#This Row],[CONTEST_CODE]],"_",Y$2),#REF!,0),MATCH(Y$1,_group_[#Headers],0)),"-")</f>
        <v>-</v>
      </c>
      <c r="Z734" s="1" t="str">
        <f>IFERROR(INDEX(_group_[],MATCH(CONCATENATE(ВСЕ_КОДЫ[[#This Row],[CONTEST_CODE]],"_",Z$2),#REF!,0),MATCH(Z$1,_group_[#Headers],0)),"-")</f>
        <v>-</v>
      </c>
      <c r="AA734" s="1" t="str">
        <f>IFERROR(INDEX(_group_[],MATCH(CONCATENATE(ВСЕ_КОДЫ[[#This Row],[CONTEST_CODE]],"_",AA$2),#REF!,0),MATCH(AA$1,_group_[#Headers],0)),"-")</f>
        <v>-</v>
      </c>
      <c r="AB734" s="1" t="str">
        <f>IFERROR(INDEX(_DATA_[],MATCH(ВСЕ_КОДЫ[[#This Row],[CONTEST_CODE]],_DATA_[CONTEST_CODE],0),MATCH($AB$2,_DATA_[#Headers],0)),"-")</f>
        <v>["""KMKKSB"""]</v>
      </c>
      <c r="AC734" t="str">
        <f>CONCATENATE(ВСЕ_КОДЫ[[#This Row],[CONTEST_CODE]],"_",ВСЕ_КОДЫ[[#This Row],[TOURNAMENT_CODE]])</f>
        <v>CONTEST_999_-</v>
      </c>
      <c r="AD734" t="str">
        <f>ВСЕ_КОДЫ[[#This Row],[FULL_NAME]]</f>
        <v>товары</v>
      </c>
    </row>
    <row r="735" spans="1:30" hidden="1" x14ac:dyDescent="0.25">
      <c r="A735" s="1" t="s">
        <v>1702</v>
      </c>
      <c r="B735" s="1" t="s">
        <v>1064</v>
      </c>
      <c r="C735" s="1" t="s">
        <v>1737</v>
      </c>
      <c r="D735" s="1" t="s">
        <v>583</v>
      </c>
      <c r="E735" s="1" t="s">
        <v>1703</v>
      </c>
      <c r="F735" s="1" t="s">
        <v>26</v>
      </c>
      <c r="G735" s="1" t="s">
        <v>27</v>
      </c>
      <c r="H735" s="1" t="s">
        <v>34</v>
      </c>
      <c r="I735" s="1" t="s">
        <v>29</v>
      </c>
      <c r="J735" s="1"/>
      <c r="K735" s="1"/>
      <c r="L735" s="1"/>
      <c r="M735" s="1"/>
      <c r="N735" s="1" t="s">
        <v>1759</v>
      </c>
      <c r="O735" s="1" t="s">
        <v>1764</v>
      </c>
      <c r="Q735">
        <f>IFERROR(COUNTIFS(_report[TOURNAMENT_CODE],ВСЕ_КОДЫ[[#This Row],[TOURNAMENT_CODE]],_report[CONTEST_CODE],ВСЕ_КОДЫ[[#This Row],[CONTEST_CODE]]),"-")</f>
        <v>0</v>
      </c>
      <c r="R735" s="1" t="str">
        <f>IFERROR(INDEX(_SCHEDULE_[],MATCH(ВСЕ_КОДЫ[[#This Row],[CONTEST_CODE]],_SCHEDULE_[CONTEST_CODE],0),MATCH($R$1,_SCHEDULE_[#Headers],0)),"-")</f>
        <v>-</v>
      </c>
      <c r="S735" s="1" t="str">
        <f>IFERROR(INDEX(_group_[],MATCH(ВСЕ_КОДЫ[[#This Row],[CONTEST_CODE]],_group_[CONTEST_CODE],0),MATCH($S$1,_group_[#Headers],0)),"-")</f>
        <v>BANK</v>
      </c>
      <c r="T735" s="1" t="str">
        <f>IFERROR(INDEX(_INDICATOR_[],MATCH(ВСЕ_КОДЫ[[#This Row],[CONTEST_CODE]],_INDICATOR_[CONTEST_CODE],0),MATCH($T$1,_INDICATOR_[#Headers],0)),"-")</f>
        <v>-</v>
      </c>
      <c r="U735" s="1" t="str">
        <f>IFERROR(INDEX(_reward_link_[],MATCH(ВСЕ_КОДЫ[[#This Row],[CONTEST_CODE]],_reward_link_[CONTEST_CODE],0),MATCH($U$1,_reward_link_[#Headers],0)),"-")</f>
        <v>BANK</v>
      </c>
      <c r="V735" s="1" t="str">
        <f>IFERROR(INDEX(_report[],MATCH(ВСЕ_КОДЫ[[#This Row],[CONTEST_CODE]],_report[CONTEST_CODE],0),MATCH($V$1,_report[#Headers],0)),"-")</f>
        <v>-</v>
      </c>
      <c r="W735" s="1" t="str">
        <f>IFERROR(INDEX(_reward_[],MATCH(ВСЕ_КОДЫ[[#This Row],[REWARD_CODE]],_reward_[REWARD_CODE],0),MATCH($W$1,_reward_[#Headers],0)),"-")</f>
        <v>Обед с лидерами ЦА</v>
      </c>
      <c r="X735" s="1" t="str">
        <f>IFERROR(INDEX(_group_[],MATCH(CONCATENATE(ВСЕ_КОДЫ[[#This Row],[CONTEST_CODE]],"_",X$2),#REF!,0),MATCH(X$1,_group_[#Headers],0)),"-")</f>
        <v>-</v>
      </c>
      <c r="Y735" s="1" t="str">
        <f>IFERROR(INDEX(_group_[],MATCH(CONCATENATE(ВСЕ_КОДЫ[[#This Row],[CONTEST_CODE]],"_",Y$2),#REF!,0),MATCH(Y$1,_group_[#Headers],0)),"-")</f>
        <v>-</v>
      </c>
      <c r="Z735" s="1" t="str">
        <f>IFERROR(INDEX(_group_[],MATCH(CONCATENATE(ВСЕ_КОДЫ[[#This Row],[CONTEST_CODE]],"_",Z$2),#REF!,0),MATCH(Z$1,_group_[#Headers],0)),"-")</f>
        <v>-</v>
      </c>
      <c r="AA735" s="1" t="str">
        <f>IFERROR(INDEX(_group_[],MATCH(CONCATENATE(ВСЕ_КОДЫ[[#This Row],[CONTEST_CODE]],"_",AA$2),#REF!,0),MATCH(AA$1,_group_[#Headers],0)),"-")</f>
        <v>-</v>
      </c>
      <c r="AB735" s="1" t="str">
        <f>IFERROR(INDEX(_DATA_[],MATCH(ВСЕ_КОДЫ[[#This Row],[CONTEST_CODE]],_DATA_[CONTEST_CODE],0),MATCH($AB$2,_DATA_[#Headers],0)),"-")</f>
        <v>["""KMKKSB"""]</v>
      </c>
      <c r="AC735" t="str">
        <f>CONCATENATE(ВСЕ_КОДЫ[[#This Row],[CONTEST_CODE]],"_",ВСЕ_КОДЫ[[#This Row],[TOURNAMENT_CODE]])</f>
        <v>CONTEST_999_-</v>
      </c>
      <c r="AD735" t="str">
        <f>ВСЕ_КОДЫ[[#This Row],[FULL_NAME]]</f>
        <v>товары</v>
      </c>
    </row>
    <row r="736" spans="1:30" hidden="1" x14ac:dyDescent="0.25">
      <c r="A736" s="1" t="s">
        <v>1702</v>
      </c>
      <c r="B736" s="1" t="s">
        <v>1064</v>
      </c>
      <c r="C736" s="1" t="s">
        <v>1739</v>
      </c>
      <c r="D736" s="1" t="s">
        <v>583</v>
      </c>
      <c r="E736" s="1" t="s">
        <v>1703</v>
      </c>
      <c r="F736" s="1" t="s">
        <v>26</v>
      </c>
      <c r="G736" s="1" t="s">
        <v>27</v>
      </c>
      <c r="H736" s="1" t="s">
        <v>34</v>
      </c>
      <c r="I736" s="1" t="s">
        <v>29</v>
      </c>
      <c r="J736" s="1"/>
      <c r="K736" s="1"/>
      <c r="L736" s="1"/>
      <c r="M736" s="1"/>
      <c r="N736" s="1" t="s">
        <v>1759</v>
      </c>
      <c r="O736" s="1" t="s">
        <v>1766</v>
      </c>
      <c r="Q736">
        <f>IFERROR(COUNTIFS(_report[TOURNAMENT_CODE],ВСЕ_КОДЫ[[#This Row],[TOURNAMENT_CODE]],_report[CONTEST_CODE],ВСЕ_КОДЫ[[#This Row],[CONTEST_CODE]]),"-")</f>
        <v>0</v>
      </c>
      <c r="R736" s="1" t="str">
        <f>IFERROR(INDEX(_SCHEDULE_[],MATCH(ВСЕ_КОДЫ[[#This Row],[CONTEST_CODE]],_SCHEDULE_[CONTEST_CODE],0),MATCH($R$1,_SCHEDULE_[#Headers],0)),"-")</f>
        <v>-</v>
      </c>
      <c r="S736" s="1" t="str">
        <f>IFERROR(INDEX(_group_[],MATCH(ВСЕ_КОДЫ[[#This Row],[CONTEST_CODE]],_group_[CONTEST_CODE],0),MATCH($S$1,_group_[#Headers],0)),"-")</f>
        <v>BANK</v>
      </c>
      <c r="T736" s="1" t="str">
        <f>IFERROR(INDEX(_INDICATOR_[],MATCH(ВСЕ_КОДЫ[[#This Row],[CONTEST_CODE]],_INDICATOR_[CONTEST_CODE],0),MATCH($T$1,_INDICATOR_[#Headers],0)),"-")</f>
        <v>-</v>
      </c>
      <c r="U736" s="1" t="str">
        <f>IFERROR(INDEX(_reward_link_[],MATCH(ВСЕ_КОДЫ[[#This Row],[CONTEST_CODE]],_reward_link_[CONTEST_CODE],0),MATCH($U$1,_reward_link_[#Headers],0)),"-")</f>
        <v>BANK</v>
      </c>
      <c r="V736" s="1" t="str">
        <f>IFERROR(INDEX(_report[],MATCH(ВСЕ_КОДЫ[[#This Row],[CONTEST_CODE]],_report[CONTEST_CODE],0),MATCH($V$1,_report[#Headers],0)),"-")</f>
        <v>-</v>
      </c>
      <c r="W736" s="1" t="str">
        <f>IFERROR(INDEX(_reward_[],MATCH(ВСЕ_КОДЫ[[#This Row],[REWARD_CODE]],_reward_[REWARD_CODE],0),MATCH($W$1,_reward_[#Headers],0)),"-")</f>
        <v>Сертификат в SberShop номиналом 30 000 рублей</v>
      </c>
      <c r="X736" s="1" t="str">
        <f>IFERROR(INDEX(_group_[],MATCH(CONCATENATE(ВСЕ_КОДЫ[[#This Row],[CONTEST_CODE]],"_",X$2),#REF!,0),MATCH(X$1,_group_[#Headers],0)),"-")</f>
        <v>-</v>
      </c>
      <c r="Y736" s="1" t="str">
        <f>IFERROR(INDEX(_group_[],MATCH(CONCATENATE(ВСЕ_КОДЫ[[#This Row],[CONTEST_CODE]],"_",Y$2),#REF!,0),MATCH(Y$1,_group_[#Headers],0)),"-")</f>
        <v>-</v>
      </c>
      <c r="Z736" s="1" t="str">
        <f>IFERROR(INDEX(_group_[],MATCH(CONCATENATE(ВСЕ_КОДЫ[[#This Row],[CONTEST_CODE]],"_",Z$2),#REF!,0),MATCH(Z$1,_group_[#Headers],0)),"-")</f>
        <v>-</v>
      </c>
      <c r="AA736" s="1" t="str">
        <f>IFERROR(INDEX(_group_[],MATCH(CONCATENATE(ВСЕ_КОДЫ[[#This Row],[CONTEST_CODE]],"_",AA$2),#REF!,0),MATCH(AA$1,_group_[#Headers],0)),"-")</f>
        <v>-</v>
      </c>
      <c r="AB736" s="1" t="str">
        <f>IFERROR(INDEX(_DATA_[],MATCH(ВСЕ_КОДЫ[[#This Row],[CONTEST_CODE]],_DATA_[CONTEST_CODE],0),MATCH($AB$2,_DATA_[#Headers],0)),"-")</f>
        <v>["""KMKKSB"""]</v>
      </c>
      <c r="AC736" t="str">
        <f>CONCATENATE(ВСЕ_КОДЫ[[#This Row],[CONTEST_CODE]],"_",ВСЕ_КОДЫ[[#This Row],[TOURNAMENT_CODE]])</f>
        <v>CONTEST_999_-</v>
      </c>
      <c r="AD736" t="str">
        <f>ВСЕ_КОДЫ[[#This Row],[FULL_NAME]]</f>
        <v>товары</v>
      </c>
    </row>
    <row r="737" spans="1:30" hidden="1" x14ac:dyDescent="0.25">
      <c r="A737" s="1" t="s">
        <v>1702</v>
      </c>
      <c r="B737" s="1" t="s">
        <v>1064</v>
      </c>
      <c r="C737" s="1" t="s">
        <v>1741</v>
      </c>
      <c r="D737" s="1" t="s">
        <v>583</v>
      </c>
      <c r="E737" s="1" t="s">
        <v>1703</v>
      </c>
      <c r="F737" s="1" t="s">
        <v>26</v>
      </c>
      <c r="G737" s="1" t="s">
        <v>27</v>
      </c>
      <c r="H737" s="1" t="s">
        <v>34</v>
      </c>
      <c r="I737" s="1" t="s">
        <v>29</v>
      </c>
      <c r="J737" s="1"/>
      <c r="K737" s="1"/>
      <c r="L737" s="1"/>
      <c r="M737" s="1"/>
      <c r="N737" s="1" t="s">
        <v>1759</v>
      </c>
      <c r="O737" s="1" t="s">
        <v>1768</v>
      </c>
      <c r="Q737">
        <f>IFERROR(COUNTIFS(_report[TOURNAMENT_CODE],ВСЕ_КОДЫ[[#This Row],[TOURNAMENT_CODE]],_report[CONTEST_CODE],ВСЕ_КОДЫ[[#This Row],[CONTEST_CODE]]),"-")</f>
        <v>0</v>
      </c>
      <c r="R737" s="1" t="str">
        <f>IFERROR(INDEX(_SCHEDULE_[],MATCH(ВСЕ_КОДЫ[[#This Row],[CONTEST_CODE]],_SCHEDULE_[CONTEST_CODE],0),MATCH($R$1,_SCHEDULE_[#Headers],0)),"-")</f>
        <v>-</v>
      </c>
      <c r="S737" s="1" t="str">
        <f>IFERROR(INDEX(_group_[],MATCH(ВСЕ_КОДЫ[[#This Row],[CONTEST_CODE]],_group_[CONTEST_CODE],0),MATCH($S$1,_group_[#Headers],0)),"-")</f>
        <v>BANK</v>
      </c>
      <c r="T737" s="1" t="str">
        <f>IFERROR(INDEX(_INDICATOR_[],MATCH(ВСЕ_КОДЫ[[#This Row],[CONTEST_CODE]],_INDICATOR_[CONTEST_CODE],0),MATCH($T$1,_INDICATOR_[#Headers],0)),"-")</f>
        <v>-</v>
      </c>
      <c r="U737" s="1" t="str">
        <f>IFERROR(INDEX(_reward_link_[],MATCH(ВСЕ_КОДЫ[[#This Row],[CONTEST_CODE]],_reward_link_[CONTEST_CODE],0),MATCH($U$1,_reward_link_[#Headers],0)),"-")</f>
        <v>BANK</v>
      </c>
      <c r="V737" s="1" t="str">
        <f>IFERROR(INDEX(_report[],MATCH(ВСЕ_КОДЫ[[#This Row],[CONTEST_CODE]],_report[CONTEST_CODE],0),MATCH($V$1,_report[#Headers],0)),"-")</f>
        <v>-</v>
      </c>
      <c r="W737" s="1" t="str">
        <f>IFERROR(INDEX(_reward_[],MATCH(ВСЕ_КОДЫ[[#This Row],[REWARD_CODE]],_reward_[REWARD_CODE],0),MATCH($W$1,_reward_[#Headers],0)),"-")</f>
        <v>Сертификат в SberShop номиналом 10 000 рублей</v>
      </c>
      <c r="X737" s="1" t="str">
        <f>IFERROR(INDEX(_group_[],MATCH(CONCATENATE(ВСЕ_КОДЫ[[#This Row],[CONTEST_CODE]],"_",X$2),#REF!,0),MATCH(X$1,_group_[#Headers],0)),"-")</f>
        <v>-</v>
      </c>
      <c r="Y737" s="1" t="str">
        <f>IFERROR(INDEX(_group_[],MATCH(CONCATENATE(ВСЕ_КОДЫ[[#This Row],[CONTEST_CODE]],"_",Y$2),#REF!,0),MATCH(Y$1,_group_[#Headers],0)),"-")</f>
        <v>-</v>
      </c>
      <c r="Z737" s="1" t="str">
        <f>IFERROR(INDEX(_group_[],MATCH(CONCATENATE(ВСЕ_КОДЫ[[#This Row],[CONTEST_CODE]],"_",Z$2),#REF!,0),MATCH(Z$1,_group_[#Headers],0)),"-")</f>
        <v>-</v>
      </c>
      <c r="AA737" s="1" t="str">
        <f>IFERROR(INDEX(_group_[],MATCH(CONCATENATE(ВСЕ_КОДЫ[[#This Row],[CONTEST_CODE]],"_",AA$2),#REF!,0),MATCH(AA$1,_group_[#Headers],0)),"-")</f>
        <v>-</v>
      </c>
      <c r="AB737" s="1" t="str">
        <f>IFERROR(INDEX(_DATA_[],MATCH(ВСЕ_КОДЫ[[#This Row],[CONTEST_CODE]],_DATA_[CONTEST_CODE],0),MATCH($AB$2,_DATA_[#Headers],0)),"-")</f>
        <v>["""KMKKSB"""]</v>
      </c>
      <c r="AC737" t="str">
        <f>CONCATENATE(ВСЕ_КОДЫ[[#This Row],[CONTEST_CODE]],"_",ВСЕ_КОДЫ[[#This Row],[TOURNAMENT_CODE]])</f>
        <v>CONTEST_999_-</v>
      </c>
      <c r="AD737" t="str">
        <f>ВСЕ_КОДЫ[[#This Row],[FULL_NAME]]</f>
        <v>товары</v>
      </c>
    </row>
    <row r="738" spans="1:30" hidden="1" x14ac:dyDescent="0.25">
      <c r="A738" s="1" t="s">
        <v>1702</v>
      </c>
      <c r="B738" s="1" t="s">
        <v>1064</v>
      </c>
      <c r="C738" s="1" t="s">
        <v>1743</v>
      </c>
      <c r="D738" s="1" t="s">
        <v>583</v>
      </c>
      <c r="E738" s="1" t="s">
        <v>1703</v>
      </c>
      <c r="F738" s="1" t="s">
        <v>26</v>
      </c>
      <c r="G738" s="1" t="s">
        <v>27</v>
      </c>
      <c r="H738" s="1" t="s">
        <v>34</v>
      </c>
      <c r="I738" s="1" t="s">
        <v>29</v>
      </c>
      <c r="J738" s="1"/>
      <c r="K738" s="1"/>
      <c r="L738" s="1"/>
      <c r="M738" s="1"/>
      <c r="N738" s="1" t="s">
        <v>1759</v>
      </c>
      <c r="O738" s="1" t="s">
        <v>1770</v>
      </c>
      <c r="Q738">
        <f>IFERROR(COUNTIFS(_report[TOURNAMENT_CODE],ВСЕ_КОДЫ[[#This Row],[TOURNAMENT_CODE]],_report[CONTEST_CODE],ВСЕ_КОДЫ[[#This Row],[CONTEST_CODE]]),"-")</f>
        <v>0</v>
      </c>
      <c r="R738" s="1" t="str">
        <f>IFERROR(INDEX(_SCHEDULE_[],MATCH(ВСЕ_КОДЫ[[#This Row],[CONTEST_CODE]],_SCHEDULE_[CONTEST_CODE],0),MATCH($R$1,_SCHEDULE_[#Headers],0)),"-")</f>
        <v>-</v>
      </c>
      <c r="S738" s="1" t="str">
        <f>IFERROR(INDEX(_group_[],MATCH(ВСЕ_КОДЫ[[#This Row],[CONTEST_CODE]],_group_[CONTEST_CODE],0),MATCH($S$1,_group_[#Headers],0)),"-")</f>
        <v>BANK</v>
      </c>
      <c r="T738" s="1" t="str">
        <f>IFERROR(INDEX(_INDICATOR_[],MATCH(ВСЕ_КОДЫ[[#This Row],[CONTEST_CODE]],_INDICATOR_[CONTEST_CODE],0),MATCH($T$1,_INDICATOR_[#Headers],0)),"-")</f>
        <v>-</v>
      </c>
      <c r="U738" s="1" t="str">
        <f>IFERROR(INDEX(_reward_link_[],MATCH(ВСЕ_КОДЫ[[#This Row],[CONTEST_CODE]],_reward_link_[CONTEST_CODE],0),MATCH($U$1,_reward_link_[#Headers],0)),"-")</f>
        <v>BANK</v>
      </c>
      <c r="V738" s="1" t="str">
        <f>IFERROR(INDEX(_report[],MATCH(ВСЕ_КОДЫ[[#This Row],[CONTEST_CODE]],_report[CONTEST_CODE],0),MATCH($V$1,_report[#Headers],0)),"-")</f>
        <v>-</v>
      </c>
      <c r="W738" s="1" t="str">
        <f>IFERROR(INDEX(_reward_[],MATCH(ВСЕ_КОДЫ[[#This Row],[REWARD_CODE]],_reward_[REWARD_CODE],0),MATCH($W$1,_reward_[#Headers],0)),"-")</f>
        <v>Сертификат в SberShop номиналом 3 000 рублей</v>
      </c>
      <c r="X738" s="1" t="str">
        <f>IFERROR(INDEX(_group_[],MATCH(CONCATENATE(ВСЕ_КОДЫ[[#This Row],[CONTEST_CODE]],"_",X$2),#REF!,0),MATCH(X$1,_group_[#Headers],0)),"-")</f>
        <v>-</v>
      </c>
      <c r="Y738" s="1" t="str">
        <f>IFERROR(INDEX(_group_[],MATCH(CONCATENATE(ВСЕ_КОДЫ[[#This Row],[CONTEST_CODE]],"_",Y$2),#REF!,0),MATCH(Y$1,_group_[#Headers],0)),"-")</f>
        <v>-</v>
      </c>
      <c r="Z738" s="1" t="str">
        <f>IFERROR(INDEX(_group_[],MATCH(CONCATENATE(ВСЕ_КОДЫ[[#This Row],[CONTEST_CODE]],"_",Z$2),#REF!,0),MATCH(Z$1,_group_[#Headers],0)),"-")</f>
        <v>-</v>
      </c>
      <c r="AA738" s="1" t="str">
        <f>IFERROR(INDEX(_group_[],MATCH(CONCATENATE(ВСЕ_КОДЫ[[#This Row],[CONTEST_CODE]],"_",AA$2),#REF!,0),MATCH(AA$1,_group_[#Headers],0)),"-")</f>
        <v>-</v>
      </c>
      <c r="AB738" s="1" t="str">
        <f>IFERROR(INDEX(_DATA_[],MATCH(ВСЕ_КОДЫ[[#This Row],[CONTEST_CODE]],_DATA_[CONTEST_CODE],0),MATCH($AB$2,_DATA_[#Headers],0)),"-")</f>
        <v>["""KMKKSB"""]</v>
      </c>
      <c r="AC738" t="str">
        <f>CONCATENATE(ВСЕ_КОДЫ[[#This Row],[CONTEST_CODE]],"_",ВСЕ_КОДЫ[[#This Row],[TOURNAMENT_CODE]])</f>
        <v>CONTEST_999_-</v>
      </c>
      <c r="AD738" t="str">
        <f>ВСЕ_КОДЫ[[#This Row],[FULL_NAME]]</f>
        <v>товары</v>
      </c>
    </row>
    <row r="739" spans="1:30" hidden="1" x14ac:dyDescent="0.25">
      <c r="A739" s="1" t="s">
        <v>1702</v>
      </c>
      <c r="B739" s="1" t="s">
        <v>1064</v>
      </c>
      <c r="C739" s="1" t="s">
        <v>1745</v>
      </c>
      <c r="D739" s="1" t="s">
        <v>583</v>
      </c>
      <c r="E739" s="1" t="s">
        <v>1703</v>
      </c>
      <c r="F739" s="1" t="s">
        <v>26</v>
      </c>
      <c r="G739" s="1" t="s">
        <v>27</v>
      </c>
      <c r="H739" s="1" t="s">
        <v>34</v>
      </c>
      <c r="I739" s="1" t="s">
        <v>29</v>
      </c>
      <c r="J739" s="1"/>
      <c r="K739" s="1"/>
      <c r="L739" s="1"/>
      <c r="M739" s="1"/>
      <c r="N739" s="1" t="s">
        <v>1759</v>
      </c>
      <c r="O739" s="1" t="s">
        <v>1772</v>
      </c>
      <c r="Q739">
        <f>IFERROR(COUNTIFS(_report[TOURNAMENT_CODE],ВСЕ_КОДЫ[[#This Row],[TOURNAMENT_CODE]],_report[CONTEST_CODE],ВСЕ_КОДЫ[[#This Row],[CONTEST_CODE]]),"-")</f>
        <v>0</v>
      </c>
      <c r="R739" s="1" t="str">
        <f>IFERROR(INDEX(_SCHEDULE_[],MATCH(ВСЕ_КОДЫ[[#This Row],[CONTEST_CODE]],_SCHEDULE_[CONTEST_CODE],0),MATCH($R$1,_SCHEDULE_[#Headers],0)),"-")</f>
        <v>-</v>
      </c>
      <c r="S739" s="1" t="str">
        <f>IFERROR(INDEX(_group_[],MATCH(ВСЕ_КОДЫ[[#This Row],[CONTEST_CODE]],_group_[CONTEST_CODE],0),MATCH($S$1,_group_[#Headers],0)),"-")</f>
        <v>BANK</v>
      </c>
      <c r="T739" s="1" t="str">
        <f>IFERROR(INDEX(_INDICATOR_[],MATCH(ВСЕ_КОДЫ[[#This Row],[CONTEST_CODE]],_INDICATOR_[CONTEST_CODE],0),MATCH($T$1,_INDICATOR_[#Headers],0)),"-")</f>
        <v>-</v>
      </c>
      <c r="U739" s="1" t="str">
        <f>IFERROR(INDEX(_reward_link_[],MATCH(ВСЕ_КОДЫ[[#This Row],[CONTEST_CODE]],_reward_link_[CONTEST_CODE],0),MATCH($U$1,_reward_link_[#Headers],0)),"-")</f>
        <v>BANK</v>
      </c>
      <c r="V739" s="1" t="str">
        <f>IFERROR(INDEX(_report[],MATCH(ВСЕ_КОДЫ[[#This Row],[CONTEST_CODE]],_report[CONTEST_CODE],0),MATCH($V$1,_report[#Headers],0)),"-")</f>
        <v>-</v>
      </c>
      <c r="W739" s="1" t="str">
        <f>IFERROR(INDEX(_reward_[],MATCH(ВСЕ_КОДЫ[[#This Row],[REWARD_CODE]],_reward_[REWARD_CODE],0),MATCH($W$1,_reward_[#Headers],0)),"-")</f>
        <v>Книга из библиотеки Старшего вице-президента Владимира Ситнова</v>
      </c>
      <c r="X739" s="1" t="str">
        <f>IFERROR(INDEX(_group_[],MATCH(CONCATENATE(ВСЕ_КОДЫ[[#This Row],[CONTEST_CODE]],"_",X$2),#REF!,0),MATCH(X$1,_group_[#Headers],0)),"-")</f>
        <v>-</v>
      </c>
      <c r="Y739" s="1" t="str">
        <f>IFERROR(INDEX(_group_[],MATCH(CONCATENATE(ВСЕ_КОДЫ[[#This Row],[CONTEST_CODE]],"_",Y$2),#REF!,0),MATCH(Y$1,_group_[#Headers],0)),"-")</f>
        <v>-</v>
      </c>
      <c r="Z739" s="1" t="str">
        <f>IFERROR(INDEX(_group_[],MATCH(CONCATENATE(ВСЕ_КОДЫ[[#This Row],[CONTEST_CODE]],"_",Z$2),#REF!,0),MATCH(Z$1,_group_[#Headers],0)),"-")</f>
        <v>-</v>
      </c>
      <c r="AA739" s="1" t="str">
        <f>IFERROR(INDEX(_group_[],MATCH(CONCATENATE(ВСЕ_КОДЫ[[#This Row],[CONTEST_CODE]],"_",AA$2),#REF!,0),MATCH(AA$1,_group_[#Headers],0)),"-")</f>
        <v>-</v>
      </c>
      <c r="AB739" s="1" t="str">
        <f>IFERROR(INDEX(_DATA_[],MATCH(ВСЕ_КОДЫ[[#This Row],[CONTEST_CODE]],_DATA_[CONTEST_CODE],0),MATCH($AB$2,_DATA_[#Headers],0)),"-")</f>
        <v>["""KMKKSB"""]</v>
      </c>
      <c r="AC739" t="str">
        <f>CONCATENATE(ВСЕ_КОДЫ[[#This Row],[CONTEST_CODE]],"_",ВСЕ_КОДЫ[[#This Row],[TOURNAMENT_CODE]])</f>
        <v>CONTEST_999_-</v>
      </c>
      <c r="AD739" t="str">
        <f>ВСЕ_КОДЫ[[#This Row],[FULL_NAME]]</f>
        <v>товары</v>
      </c>
    </row>
    <row r="740" spans="1:30" hidden="1" x14ac:dyDescent="0.25">
      <c r="A740" s="1" t="s">
        <v>1702</v>
      </c>
      <c r="B740" s="1" t="s">
        <v>1064</v>
      </c>
      <c r="C740" s="1" t="s">
        <v>1747</v>
      </c>
      <c r="D740" s="1" t="s">
        <v>583</v>
      </c>
      <c r="E740" s="1" t="s">
        <v>1703</v>
      </c>
      <c r="F740" s="1" t="s">
        <v>26</v>
      </c>
      <c r="G740" s="1" t="s">
        <v>27</v>
      </c>
      <c r="H740" s="1" t="s">
        <v>34</v>
      </c>
      <c r="I740" s="1" t="s">
        <v>29</v>
      </c>
      <c r="J740" s="1"/>
      <c r="K740" s="1"/>
      <c r="L740" s="1"/>
      <c r="M740" s="1"/>
      <c r="N740" s="1" t="s">
        <v>1759</v>
      </c>
      <c r="O740" s="1" t="s">
        <v>1774</v>
      </c>
      <c r="Q740">
        <f>IFERROR(COUNTIFS(_report[TOURNAMENT_CODE],ВСЕ_КОДЫ[[#This Row],[TOURNAMENT_CODE]],_report[CONTEST_CODE],ВСЕ_КОДЫ[[#This Row],[CONTEST_CODE]]),"-")</f>
        <v>0</v>
      </c>
      <c r="R740" s="1" t="str">
        <f>IFERROR(INDEX(_SCHEDULE_[],MATCH(ВСЕ_КОДЫ[[#This Row],[CONTEST_CODE]],_SCHEDULE_[CONTEST_CODE],0),MATCH($R$1,_SCHEDULE_[#Headers],0)),"-")</f>
        <v>-</v>
      </c>
      <c r="S740" s="1" t="str">
        <f>IFERROR(INDEX(_group_[],MATCH(ВСЕ_КОДЫ[[#This Row],[CONTEST_CODE]],_group_[CONTEST_CODE],0),MATCH($S$1,_group_[#Headers],0)),"-")</f>
        <v>BANK</v>
      </c>
      <c r="T740" s="1" t="str">
        <f>IFERROR(INDEX(_INDICATOR_[],MATCH(ВСЕ_КОДЫ[[#This Row],[CONTEST_CODE]],_INDICATOR_[CONTEST_CODE],0),MATCH($T$1,_INDICATOR_[#Headers],0)),"-")</f>
        <v>-</v>
      </c>
      <c r="U740" s="1" t="str">
        <f>IFERROR(INDEX(_reward_link_[],MATCH(ВСЕ_КОДЫ[[#This Row],[CONTEST_CODE]],_reward_link_[CONTEST_CODE],0),MATCH($U$1,_reward_link_[#Headers],0)),"-")</f>
        <v>BANK</v>
      </c>
      <c r="V740" s="1" t="str">
        <f>IFERROR(INDEX(_report[],MATCH(ВСЕ_КОДЫ[[#This Row],[CONTEST_CODE]],_report[CONTEST_CODE],0),MATCH($V$1,_report[#Headers],0)),"-")</f>
        <v>-</v>
      </c>
      <c r="W740" s="1" t="str">
        <f>IFERROR(INDEX(_reward_[],MATCH(ВСЕ_КОДЫ[[#This Row],[REWARD_CODE]],_reward_[REWARD_CODE],0),MATCH($W$1,_reward_[#Headers],0)),"-")</f>
        <v>Индивидуальная наставническая онлайн-сессия с Сергеем Меламедом</v>
      </c>
      <c r="X740" s="1" t="str">
        <f>IFERROR(INDEX(_group_[],MATCH(CONCATENATE(ВСЕ_КОДЫ[[#This Row],[CONTEST_CODE]],"_",X$2),#REF!,0),MATCH(X$1,_group_[#Headers],0)),"-")</f>
        <v>-</v>
      </c>
      <c r="Y740" s="1" t="str">
        <f>IFERROR(INDEX(_group_[],MATCH(CONCATENATE(ВСЕ_КОДЫ[[#This Row],[CONTEST_CODE]],"_",Y$2),#REF!,0),MATCH(Y$1,_group_[#Headers],0)),"-")</f>
        <v>-</v>
      </c>
      <c r="Z740" s="1" t="str">
        <f>IFERROR(INDEX(_group_[],MATCH(CONCATENATE(ВСЕ_КОДЫ[[#This Row],[CONTEST_CODE]],"_",Z$2),#REF!,0),MATCH(Z$1,_group_[#Headers],0)),"-")</f>
        <v>-</v>
      </c>
      <c r="AA740" s="1" t="str">
        <f>IFERROR(INDEX(_group_[],MATCH(CONCATENATE(ВСЕ_КОДЫ[[#This Row],[CONTEST_CODE]],"_",AA$2),#REF!,0),MATCH(AA$1,_group_[#Headers],0)),"-")</f>
        <v>-</v>
      </c>
      <c r="AB740" s="1" t="str">
        <f>IFERROR(INDEX(_DATA_[],MATCH(ВСЕ_КОДЫ[[#This Row],[CONTEST_CODE]],_DATA_[CONTEST_CODE],0),MATCH($AB$2,_DATA_[#Headers],0)),"-")</f>
        <v>["""KMKKSB"""]</v>
      </c>
      <c r="AC740" t="str">
        <f>CONCATENATE(ВСЕ_КОДЫ[[#This Row],[CONTEST_CODE]],"_",ВСЕ_КОДЫ[[#This Row],[TOURNAMENT_CODE]])</f>
        <v>CONTEST_999_-</v>
      </c>
      <c r="AD740" t="str">
        <f>ВСЕ_КОДЫ[[#This Row],[FULL_NAME]]</f>
        <v>товары</v>
      </c>
    </row>
    <row r="741" spans="1:30" hidden="1" x14ac:dyDescent="0.25">
      <c r="A741" s="1" t="s">
        <v>1702</v>
      </c>
      <c r="B741" s="1" t="s">
        <v>1064</v>
      </c>
      <c r="C741" s="1" t="s">
        <v>1749</v>
      </c>
      <c r="D741" s="1" t="s">
        <v>583</v>
      </c>
      <c r="E741" s="1" t="s">
        <v>1703</v>
      </c>
      <c r="F741" s="1" t="s">
        <v>26</v>
      </c>
      <c r="G741" s="1" t="s">
        <v>27</v>
      </c>
      <c r="H741" s="1" t="s">
        <v>34</v>
      </c>
      <c r="I741" s="1" t="s">
        <v>29</v>
      </c>
      <c r="J741" s="1"/>
      <c r="K741" s="1"/>
      <c r="L741" s="1"/>
      <c r="M741" s="1"/>
      <c r="N741" s="1" t="s">
        <v>1759</v>
      </c>
      <c r="O741" s="1" t="s">
        <v>1776</v>
      </c>
      <c r="Q741">
        <f>IFERROR(COUNTIFS(_report[TOURNAMENT_CODE],ВСЕ_КОДЫ[[#This Row],[TOURNAMENT_CODE]],_report[CONTEST_CODE],ВСЕ_КОДЫ[[#This Row],[CONTEST_CODE]]),"-")</f>
        <v>0</v>
      </c>
      <c r="R741" s="1" t="str">
        <f>IFERROR(INDEX(_SCHEDULE_[],MATCH(ВСЕ_КОДЫ[[#This Row],[CONTEST_CODE]],_SCHEDULE_[CONTEST_CODE],0),MATCH($R$1,_SCHEDULE_[#Headers],0)),"-")</f>
        <v>-</v>
      </c>
      <c r="S741" s="1" t="str">
        <f>IFERROR(INDEX(_group_[],MATCH(ВСЕ_КОДЫ[[#This Row],[CONTEST_CODE]],_group_[CONTEST_CODE],0),MATCH($S$1,_group_[#Headers],0)),"-")</f>
        <v>BANK</v>
      </c>
      <c r="T741" s="1" t="str">
        <f>IFERROR(INDEX(_INDICATOR_[],MATCH(ВСЕ_КОДЫ[[#This Row],[CONTEST_CODE]],_INDICATOR_[CONTEST_CODE],0),MATCH($T$1,_INDICATOR_[#Headers],0)),"-")</f>
        <v>-</v>
      </c>
      <c r="U741" s="1" t="str">
        <f>IFERROR(INDEX(_reward_link_[],MATCH(ВСЕ_КОДЫ[[#This Row],[CONTEST_CODE]],_reward_link_[CONTEST_CODE],0),MATCH($U$1,_reward_link_[#Headers],0)),"-")</f>
        <v>BANK</v>
      </c>
      <c r="V741" s="1" t="str">
        <f>IFERROR(INDEX(_report[],MATCH(ВСЕ_КОДЫ[[#This Row],[CONTEST_CODE]],_report[CONTEST_CODE],0),MATCH($V$1,_report[#Headers],0)),"-")</f>
        <v>-</v>
      </c>
      <c r="W741" s="1" t="str">
        <f>IFERROR(INDEX(_reward_[],MATCH(ВСЕ_КОДЫ[[#This Row],[REWARD_CODE]],_reward_[REWARD_CODE],0),MATCH($W$1,_reward_[#Headers],0)),"-")</f>
        <v>Очное участие во Встрече лидеров в Москве</v>
      </c>
      <c r="X741" s="1" t="str">
        <f>IFERROR(INDEX(_group_[],MATCH(CONCATENATE(ВСЕ_КОДЫ[[#This Row],[CONTEST_CODE]],"_",X$2),#REF!,0),MATCH(X$1,_group_[#Headers],0)),"-")</f>
        <v>-</v>
      </c>
      <c r="Y741" s="1" t="str">
        <f>IFERROR(INDEX(_group_[],MATCH(CONCATENATE(ВСЕ_КОДЫ[[#This Row],[CONTEST_CODE]],"_",Y$2),#REF!,0),MATCH(Y$1,_group_[#Headers],0)),"-")</f>
        <v>-</v>
      </c>
      <c r="Z741" s="1" t="str">
        <f>IFERROR(INDEX(_group_[],MATCH(CONCATENATE(ВСЕ_КОДЫ[[#This Row],[CONTEST_CODE]],"_",Z$2),#REF!,0),MATCH(Z$1,_group_[#Headers],0)),"-")</f>
        <v>-</v>
      </c>
      <c r="AA741" s="1" t="str">
        <f>IFERROR(INDEX(_group_[],MATCH(CONCATENATE(ВСЕ_КОДЫ[[#This Row],[CONTEST_CODE]],"_",AA$2),#REF!,0),MATCH(AA$1,_group_[#Headers],0)),"-")</f>
        <v>-</v>
      </c>
      <c r="AB741" s="1" t="str">
        <f>IFERROR(INDEX(_DATA_[],MATCH(ВСЕ_КОДЫ[[#This Row],[CONTEST_CODE]],_DATA_[CONTEST_CODE],0),MATCH($AB$2,_DATA_[#Headers],0)),"-")</f>
        <v>["""KMKKSB"""]</v>
      </c>
      <c r="AC741" t="str">
        <f>CONCATENATE(ВСЕ_КОДЫ[[#This Row],[CONTEST_CODE]],"_",ВСЕ_КОДЫ[[#This Row],[TOURNAMENT_CODE]])</f>
        <v>CONTEST_999_-</v>
      </c>
      <c r="AD741" t="str">
        <f>ВСЕ_КОДЫ[[#This Row],[FULL_NAME]]</f>
        <v>товары</v>
      </c>
    </row>
    <row r="742" spans="1:30" hidden="1" x14ac:dyDescent="0.25">
      <c r="A742" s="1" t="s">
        <v>1702</v>
      </c>
      <c r="B742" s="1" t="s">
        <v>1064</v>
      </c>
      <c r="C742" s="1" t="s">
        <v>1751</v>
      </c>
      <c r="D742" s="1" t="s">
        <v>583</v>
      </c>
      <c r="E742" s="1" t="s">
        <v>1703</v>
      </c>
      <c r="F742" s="1" t="s">
        <v>26</v>
      </c>
      <c r="G742" s="1" t="s">
        <v>27</v>
      </c>
      <c r="H742" s="1" t="s">
        <v>34</v>
      </c>
      <c r="I742" s="1" t="s">
        <v>29</v>
      </c>
      <c r="J742" s="1"/>
      <c r="K742" s="1"/>
      <c r="L742" s="1"/>
      <c r="M742" s="1"/>
      <c r="N742" s="1" t="s">
        <v>1759</v>
      </c>
      <c r="O742" s="1" t="s">
        <v>1777</v>
      </c>
      <c r="Q742">
        <f>IFERROR(COUNTIFS(_report[TOURNAMENT_CODE],ВСЕ_КОДЫ[[#This Row],[TOURNAMENT_CODE]],_report[CONTEST_CODE],ВСЕ_КОДЫ[[#This Row],[CONTEST_CODE]]),"-")</f>
        <v>0</v>
      </c>
      <c r="R742" s="1" t="str">
        <f>IFERROR(INDEX(_SCHEDULE_[],MATCH(ВСЕ_КОДЫ[[#This Row],[CONTEST_CODE]],_SCHEDULE_[CONTEST_CODE],0),MATCH($R$1,_SCHEDULE_[#Headers],0)),"-")</f>
        <v>-</v>
      </c>
      <c r="S742" s="1" t="str">
        <f>IFERROR(INDEX(_group_[],MATCH(ВСЕ_КОДЫ[[#This Row],[CONTEST_CODE]],_group_[CONTEST_CODE],0),MATCH($S$1,_group_[#Headers],0)),"-")</f>
        <v>BANK</v>
      </c>
      <c r="T742" s="1" t="str">
        <f>IFERROR(INDEX(_INDICATOR_[],MATCH(ВСЕ_КОДЫ[[#This Row],[CONTEST_CODE]],_INDICATOR_[CONTEST_CODE],0),MATCH($T$1,_INDICATOR_[#Headers],0)),"-")</f>
        <v>-</v>
      </c>
      <c r="U742" s="1" t="str">
        <f>IFERROR(INDEX(_reward_link_[],MATCH(ВСЕ_КОДЫ[[#This Row],[CONTEST_CODE]],_reward_link_[CONTEST_CODE],0),MATCH($U$1,_reward_link_[#Headers],0)),"-")</f>
        <v>BANK</v>
      </c>
      <c r="V742" s="1" t="str">
        <f>IFERROR(INDEX(_report[],MATCH(ВСЕ_КОДЫ[[#This Row],[CONTEST_CODE]],_report[CONTEST_CODE],0),MATCH($V$1,_report[#Headers],0)),"-")</f>
        <v>-</v>
      </c>
      <c r="W742" s="1" t="str">
        <f>IFERROR(INDEX(_reward_[],MATCH(ВСЕ_КОДЫ[[#This Row],[REWARD_CODE]],_reward_[REWARD_CODE],0),MATCH($W$1,_reward_[#Headers],0)),"-")</f>
        <v>Колонка SberBoom Mini</v>
      </c>
      <c r="X742" s="1" t="str">
        <f>IFERROR(INDEX(_group_[],MATCH(CONCATENATE(ВСЕ_КОДЫ[[#This Row],[CONTEST_CODE]],"_",X$2),#REF!,0),MATCH(X$1,_group_[#Headers],0)),"-")</f>
        <v>-</v>
      </c>
      <c r="Y742" s="1" t="str">
        <f>IFERROR(INDEX(_group_[],MATCH(CONCATENATE(ВСЕ_КОДЫ[[#This Row],[CONTEST_CODE]],"_",Y$2),#REF!,0),MATCH(Y$1,_group_[#Headers],0)),"-")</f>
        <v>-</v>
      </c>
      <c r="Z742" s="1" t="str">
        <f>IFERROR(INDEX(_group_[],MATCH(CONCATENATE(ВСЕ_КОДЫ[[#This Row],[CONTEST_CODE]],"_",Z$2),#REF!,0),MATCH(Z$1,_group_[#Headers],0)),"-")</f>
        <v>-</v>
      </c>
      <c r="AA742" s="1" t="str">
        <f>IFERROR(INDEX(_group_[],MATCH(CONCATENATE(ВСЕ_КОДЫ[[#This Row],[CONTEST_CODE]],"_",AA$2),#REF!,0),MATCH(AA$1,_group_[#Headers],0)),"-")</f>
        <v>-</v>
      </c>
      <c r="AB742" s="1" t="str">
        <f>IFERROR(INDEX(_DATA_[],MATCH(ВСЕ_КОДЫ[[#This Row],[CONTEST_CODE]],_DATA_[CONTEST_CODE],0),MATCH($AB$2,_DATA_[#Headers],0)),"-")</f>
        <v>["""KMKKSB"""]</v>
      </c>
      <c r="AC742" t="str">
        <f>CONCATENATE(ВСЕ_КОДЫ[[#This Row],[CONTEST_CODE]],"_",ВСЕ_КОДЫ[[#This Row],[TOURNAMENT_CODE]])</f>
        <v>CONTEST_999_-</v>
      </c>
      <c r="AD742" t="str">
        <f>ВСЕ_КОДЫ[[#This Row],[FULL_NAME]]</f>
        <v>товары</v>
      </c>
    </row>
    <row r="743" spans="1:30" hidden="1" x14ac:dyDescent="0.25">
      <c r="A743" s="1" t="s">
        <v>1702</v>
      </c>
      <c r="B743" s="1" t="s">
        <v>1064</v>
      </c>
      <c r="C743" s="1" t="s">
        <v>1753</v>
      </c>
      <c r="D743" s="1" t="s">
        <v>583</v>
      </c>
      <c r="E743" s="1" t="s">
        <v>1703</v>
      </c>
      <c r="F743" s="1" t="s">
        <v>26</v>
      </c>
      <c r="G743" s="1" t="s">
        <v>27</v>
      </c>
      <c r="H743" s="1" t="s">
        <v>34</v>
      </c>
      <c r="I743" s="1" t="s">
        <v>29</v>
      </c>
      <c r="J743" s="1"/>
      <c r="K743" s="1"/>
      <c r="L743" s="1"/>
      <c r="M743" s="1"/>
      <c r="N743" s="1" t="s">
        <v>1759</v>
      </c>
      <c r="O743" s="1" t="s">
        <v>1779</v>
      </c>
      <c r="Q743">
        <f>IFERROR(COUNTIFS(_report[TOURNAMENT_CODE],ВСЕ_КОДЫ[[#This Row],[TOURNAMENT_CODE]],_report[CONTEST_CODE],ВСЕ_КОДЫ[[#This Row],[CONTEST_CODE]]),"-")</f>
        <v>0</v>
      </c>
      <c r="R743" s="1" t="str">
        <f>IFERROR(INDEX(_SCHEDULE_[],MATCH(ВСЕ_КОДЫ[[#This Row],[CONTEST_CODE]],_SCHEDULE_[CONTEST_CODE],0),MATCH($R$1,_SCHEDULE_[#Headers],0)),"-")</f>
        <v>-</v>
      </c>
      <c r="S743" s="1" t="str">
        <f>IFERROR(INDEX(_group_[],MATCH(ВСЕ_КОДЫ[[#This Row],[CONTEST_CODE]],_group_[CONTEST_CODE],0),MATCH($S$1,_group_[#Headers],0)),"-")</f>
        <v>BANK</v>
      </c>
      <c r="T743" s="1" t="str">
        <f>IFERROR(INDEX(_INDICATOR_[],MATCH(ВСЕ_КОДЫ[[#This Row],[CONTEST_CODE]],_INDICATOR_[CONTEST_CODE],0),MATCH($T$1,_INDICATOR_[#Headers],0)),"-")</f>
        <v>-</v>
      </c>
      <c r="U743" s="1" t="str">
        <f>IFERROR(INDEX(_reward_link_[],MATCH(ВСЕ_КОДЫ[[#This Row],[CONTEST_CODE]],_reward_link_[CONTEST_CODE],0),MATCH($U$1,_reward_link_[#Headers],0)),"-")</f>
        <v>BANK</v>
      </c>
      <c r="V743" s="1" t="str">
        <f>IFERROR(INDEX(_report[],MATCH(ВСЕ_КОДЫ[[#This Row],[CONTEST_CODE]],_report[CONTEST_CODE],0),MATCH($V$1,_report[#Headers],0)),"-")</f>
        <v>-</v>
      </c>
      <c r="W743" s="1" t="str">
        <f>IFERROR(INDEX(_reward_[],MATCH(ВСЕ_КОДЫ[[#This Row],[REWARD_CODE]],_reward_[REWARD_CODE],0),MATCH($W$1,_reward_[#Headers],0)),"-")</f>
        <v>Прокачка твоей КПК командой ДРКБ ЦА</v>
      </c>
      <c r="X743" s="1" t="str">
        <f>IFERROR(INDEX(_group_[],MATCH(CONCATENATE(ВСЕ_КОДЫ[[#This Row],[CONTEST_CODE]],"_",X$2),#REF!,0),MATCH(X$1,_group_[#Headers],0)),"-")</f>
        <v>-</v>
      </c>
      <c r="Y743" s="1" t="str">
        <f>IFERROR(INDEX(_group_[],MATCH(CONCATENATE(ВСЕ_КОДЫ[[#This Row],[CONTEST_CODE]],"_",Y$2),#REF!,0),MATCH(Y$1,_group_[#Headers],0)),"-")</f>
        <v>-</v>
      </c>
      <c r="Z743" s="1" t="str">
        <f>IFERROR(INDEX(_group_[],MATCH(CONCATENATE(ВСЕ_КОДЫ[[#This Row],[CONTEST_CODE]],"_",Z$2),#REF!,0),MATCH(Z$1,_group_[#Headers],0)),"-")</f>
        <v>-</v>
      </c>
      <c r="AA743" s="1" t="str">
        <f>IFERROR(INDEX(_group_[],MATCH(CONCATENATE(ВСЕ_КОДЫ[[#This Row],[CONTEST_CODE]],"_",AA$2),#REF!,0),MATCH(AA$1,_group_[#Headers],0)),"-")</f>
        <v>-</v>
      </c>
      <c r="AB743" s="1" t="str">
        <f>IFERROR(INDEX(_DATA_[],MATCH(ВСЕ_КОДЫ[[#This Row],[CONTEST_CODE]],_DATA_[CONTEST_CODE],0),MATCH($AB$2,_DATA_[#Headers],0)),"-")</f>
        <v>["""KMKKSB"""]</v>
      </c>
      <c r="AC743" t="str">
        <f>CONCATENATE(ВСЕ_КОДЫ[[#This Row],[CONTEST_CODE]],"_",ВСЕ_КОДЫ[[#This Row],[TOURNAMENT_CODE]])</f>
        <v>CONTEST_999_-</v>
      </c>
      <c r="AD743" t="str">
        <f>ВСЕ_КОДЫ[[#This Row],[FULL_NAME]]</f>
        <v>товары</v>
      </c>
    </row>
    <row r="744" spans="1:30" hidden="1" x14ac:dyDescent="0.25">
      <c r="A744" s="1" t="s">
        <v>1702</v>
      </c>
      <c r="B744" s="1" t="s">
        <v>1064</v>
      </c>
      <c r="C744" s="1" t="s">
        <v>1755</v>
      </c>
      <c r="D744" s="1" t="s">
        <v>583</v>
      </c>
      <c r="E744" s="1" t="s">
        <v>1703</v>
      </c>
      <c r="F744" s="1" t="s">
        <v>26</v>
      </c>
      <c r="G744" s="1" t="s">
        <v>27</v>
      </c>
      <c r="H744" s="1" t="s">
        <v>34</v>
      </c>
      <c r="I744" s="1" t="s">
        <v>29</v>
      </c>
      <c r="J744" s="1"/>
      <c r="K744" s="1"/>
      <c r="L744" s="1"/>
      <c r="M744" s="1"/>
      <c r="N744" s="1" t="s">
        <v>1759</v>
      </c>
      <c r="O744" s="1" t="s">
        <v>1781</v>
      </c>
      <c r="Q744">
        <f>IFERROR(COUNTIFS(_report[TOURNAMENT_CODE],ВСЕ_КОДЫ[[#This Row],[TOURNAMENT_CODE]],_report[CONTEST_CODE],ВСЕ_КОДЫ[[#This Row],[CONTEST_CODE]]),"-")</f>
        <v>0</v>
      </c>
      <c r="R744" s="1" t="str">
        <f>IFERROR(INDEX(_SCHEDULE_[],MATCH(ВСЕ_КОДЫ[[#This Row],[CONTEST_CODE]],_SCHEDULE_[CONTEST_CODE],0),MATCH($R$1,_SCHEDULE_[#Headers],0)),"-")</f>
        <v>-</v>
      </c>
      <c r="S744" s="1" t="str">
        <f>IFERROR(INDEX(_group_[],MATCH(ВСЕ_КОДЫ[[#This Row],[CONTEST_CODE]],_group_[CONTEST_CODE],0),MATCH($S$1,_group_[#Headers],0)),"-")</f>
        <v>BANK</v>
      </c>
      <c r="T744" s="1" t="str">
        <f>IFERROR(INDEX(_INDICATOR_[],MATCH(ВСЕ_КОДЫ[[#This Row],[CONTEST_CODE]],_INDICATOR_[CONTEST_CODE],0),MATCH($T$1,_INDICATOR_[#Headers],0)),"-")</f>
        <v>-</v>
      </c>
      <c r="U744" s="1" t="str">
        <f>IFERROR(INDEX(_reward_link_[],MATCH(ВСЕ_КОДЫ[[#This Row],[CONTEST_CODE]],_reward_link_[CONTEST_CODE],0),MATCH($U$1,_reward_link_[#Headers],0)),"-")</f>
        <v>BANK</v>
      </c>
      <c r="V744" s="1" t="str">
        <f>IFERROR(INDEX(_report[],MATCH(ВСЕ_КОДЫ[[#This Row],[CONTEST_CODE]],_report[CONTEST_CODE],0),MATCH($V$1,_report[#Headers],0)),"-")</f>
        <v>-</v>
      </c>
      <c r="W744" s="1" t="str">
        <f>IFERROR(INDEX(_reward_[],MATCH(ВСЕ_КОДЫ[[#This Row],[REWARD_CODE]],_reward_[REWARD_CODE],0),MATCH($W$1,_reward_[#Headers],0)),"-")</f>
        <v>Участие в проектной деятельности ЦА</v>
      </c>
      <c r="X744" s="1" t="str">
        <f>IFERROR(INDEX(_group_[],MATCH(CONCATENATE(ВСЕ_КОДЫ[[#This Row],[CONTEST_CODE]],"_",X$2),#REF!,0),MATCH(X$1,_group_[#Headers],0)),"-")</f>
        <v>-</v>
      </c>
      <c r="Y744" s="1" t="str">
        <f>IFERROR(INDEX(_group_[],MATCH(CONCATENATE(ВСЕ_КОДЫ[[#This Row],[CONTEST_CODE]],"_",Y$2),#REF!,0),MATCH(Y$1,_group_[#Headers],0)),"-")</f>
        <v>-</v>
      </c>
      <c r="Z744" s="1" t="str">
        <f>IFERROR(INDEX(_group_[],MATCH(CONCATENATE(ВСЕ_КОДЫ[[#This Row],[CONTEST_CODE]],"_",Z$2),#REF!,0),MATCH(Z$1,_group_[#Headers],0)),"-")</f>
        <v>-</v>
      </c>
      <c r="AA744" s="1" t="str">
        <f>IFERROR(INDEX(_group_[],MATCH(CONCATENATE(ВСЕ_КОДЫ[[#This Row],[CONTEST_CODE]],"_",AA$2),#REF!,0),MATCH(AA$1,_group_[#Headers],0)),"-")</f>
        <v>-</v>
      </c>
      <c r="AB744" s="1" t="str">
        <f>IFERROR(INDEX(_DATA_[],MATCH(ВСЕ_КОДЫ[[#This Row],[CONTEST_CODE]],_DATA_[CONTEST_CODE],0),MATCH($AB$2,_DATA_[#Headers],0)),"-")</f>
        <v>["""KMKKSB"""]</v>
      </c>
      <c r="AC744" t="str">
        <f>CONCATENATE(ВСЕ_КОДЫ[[#This Row],[CONTEST_CODE]],"_",ВСЕ_КОДЫ[[#This Row],[TOURNAMENT_CODE]])</f>
        <v>CONTEST_999_-</v>
      </c>
      <c r="AD744" t="str">
        <f>ВСЕ_КОДЫ[[#This Row],[FULL_NAME]]</f>
        <v>товары</v>
      </c>
    </row>
    <row r="745" spans="1:30" hidden="1" x14ac:dyDescent="0.25">
      <c r="A745" s="1" t="s">
        <v>1702</v>
      </c>
      <c r="B745" s="1" t="s">
        <v>1064</v>
      </c>
      <c r="C745" s="1" t="s">
        <v>1757</v>
      </c>
      <c r="D745" s="1" t="s">
        <v>583</v>
      </c>
      <c r="E745" s="1" t="s">
        <v>1703</v>
      </c>
      <c r="F745" s="1" t="s">
        <v>26</v>
      </c>
      <c r="G745" s="1" t="s">
        <v>27</v>
      </c>
      <c r="H745" s="1" t="s">
        <v>34</v>
      </c>
      <c r="I745" s="1" t="s">
        <v>29</v>
      </c>
      <c r="J745" s="1"/>
      <c r="K745" s="1"/>
      <c r="L745" s="1"/>
      <c r="M745" s="1"/>
      <c r="N745" s="1" t="s">
        <v>1759</v>
      </c>
      <c r="O745" s="1" t="s">
        <v>1790</v>
      </c>
      <c r="Q745">
        <f>IFERROR(COUNTIFS(_report[TOURNAMENT_CODE],ВСЕ_КОДЫ[[#This Row],[TOURNAMENT_CODE]],_report[CONTEST_CODE],ВСЕ_КОДЫ[[#This Row],[CONTEST_CODE]]),"-")</f>
        <v>0</v>
      </c>
      <c r="R745" s="1" t="str">
        <f>IFERROR(INDEX(_SCHEDULE_[],MATCH(ВСЕ_КОДЫ[[#This Row],[CONTEST_CODE]],_SCHEDULE_[CONTEST_CODE],0),MATCH($R$1,_SCHEDULE_[#Headers],0)),"-")</f>
        <v>-</v>
      </c>
      <c r="S745" s="1" t="str">
        <f>IFERROR(INDEX(_group_[],MATCH(ВСЕ_КОДЫ[[#This Row],[CONTEST_CODE]],_group_[CONTEST_CODE],0),MATCH($S$1,_group_[#Headers],0)),"-")</f>
        <v>BANK</v>
      </c>
      <c r="T745" s="1" t="str">
        <f>IFERROR(INDEX(_INDICATOR_[],MATCH(ВСЕ_КОДЫ[[#This Row],[CONTEST_CODE]],_INDICATOR_[CONTEST_CODE],0),MATCH($T$1,_INDICATOR_[#Headers],0)),"-")</f>
        <v>-</v>
      </c>
      <c r="U745" s="1" t="str">
        <f>IFERROR(INDEX(_reward_link_[],MATCH(ВСЕ_КОДЫ[[#This Row],[CONTEST_CODE]],_reward_link_[CONTEST_CODE],0),MATCH($U$1,_reward_link_[#Headers],0)),"-")</f>
        <v>BANK</v>
      </c>
      <c r="V745" s="1" t="str">
        <f>IFERROR(INDEX(_report[],MATCH(ВСЕ_КОДЫ[[#This Row],[CONTEST_CODE]],_report[CONTEST_CODE],0),MATCH($V$1,_report[#Headers],0)),"-")</f>
        <v>-</v>
      </c>
      <c r="W745" s="1" t="str">
        <f>IFERROR(INDEX(_reward_[],MATCH(ВСЕ_КОДЫ[[#This Row],[REWARD_CODE]],_reward_[REWARD_CODE],0),MATCH($W$1,_reward_[#Headers],0)),"-")</f>
        <v>Благодарственное письмо родным</v>
      </c>
      <c r="X745" s="1" t="str">
        <f>IFERROR(INDEX(_group_[],MATCH(CONCATENATE(ВСЕ_КОДЫ[[#This Row],[CONTEST_CODE]],"_",X$2),#REF!,0),MATCH(X$1,_group_[#Headers],0)),"-")</f>
        <v>-</v>
      </c>
      <c r="Y745" s="1" t="str">
        <f>IFERROR(INDEX(_group_[],MATCH(CONCATENATE(ВСЕ_КОДЫ[[#This Row],[CONTEST_CODE]],"_",Y$2),#REF!,0),MATCH(Y$1,_group_[#Headers],0)),"-")</f>
        <v>-</v>
      </c>
      <c r="Z745" s="1" t="str">
        <f>IFERROR(INDEX(_group_[],MATCH(CONCATENATE(ВСЕ_КОДЫ[[#This Row],[CONTEST_CODE]],"_",Z$2),#REF!,0),MATCH(Z$1,_group_[#Headers],0)),"-")</f>
        <v>-</v>
      </c>
      <c r="AA745" s="1" t="str">
        <f>IFERROR(INDEX(_group_[],MATCH(CONCATENATE(ВСЕ_КОДЫ[[#This Row],[CONTEST_CODE]],"_",AA$2),#REF!,0),MATCH(AA$1,_group_[#Headers],0)),"-")</f>
        <v>-</v>
      </c>
      <c r="AB745" s="1" t="str">
        <f>IFERROR(INDEX(_DATA_[],MATCH(ВСЕ_КОДЫ[[#This Row],[CONTEST_CODE]],_DATA_[CONTEST_CODE],0),MATCH($AB$2,_DATA_[#Headers],0)),"-")</f>
        <v>["""KMKKSB"""]</v>
      </c>
      <c r="AC745" t="str">
        <f>CONCATENATE(ВСЕ_КОДЫ[[#This Row],[CONTEST_CODE]],"_",ВСЕ_КОДЫ[[#This Row],[TOURNAMENT_CODE]])</f>
        <v>CONTEST_999_-</v>
      </c>
      <c r="AD745" t="str">
        <f>ВСЕ_КОДЫ[[#This Row],[FULL_NAME]]</f>
        <v>товары</v>
      </c>
    </row>
    <row r="746" spans="1:30" hidden="1" x14ac:dyDescent="0.25">
      <c r="A746" s="1" t="s">
        <v>1702</v>
      </c>
      <c r="B746" s="1" t="s">
        <v>1064</v>
      </c>
      <c r="C746" s="1" t="s">
        <v>1783</v>
      </c>
      <c r="D746" s="1" t="s">
        <v>583</v>
      </c>
      <c r="E746" s="1" t="s">
        <v>1703</v>
      </c>
      <c r="F746" s="1" t="s">
        <v>26</v>
      </c>
      <c r="G746" s="1" t="s">
        <v>27</v>
      </c>
      <c r="H746" s="1" t="s">
        <v>34</v>
      </c>
      <c r="I746" s="1" t="s">
        <v>29</v>
      </c>
      <c r="J746" s="1"/>
      <c r="K746" s="1"/>
      <c r="L746" s="1"/>
      <c r="M746" s="1"/>
      <c r="N746" s="1" t="s">
        <v>1759</v>
      </c>
      <c r="O746" s="1" t="s">
        <v>1784</v>
      </c>
      <c r="Q746">
        <f>IFERROR(COUNTIFS(_report[TOURNAMENT_CODE],ВСЕ_КОДЫ[[#This Row],[TOURNAMENT_CODE]],_report[CONTEST_CODE],ВСЕ_КОДЫ[[#This Row],[CONTEST_CODE]]),"-")</f>
        <v>0</v>
      </c>
      <c r="R746" s="1" t="str">
        <f>IFERROR(INDEX(_SCHEDULE_[],MATCH(ВСЕ_КОДЫ[[#This Row],[CONTEST_CODE]],_SCHEDULE_[CONTEST_CODE],0),MATCH($R$1,_SCHEDULE_[#Headers],0)),"-")</f>
        <v>-</v>
      </c>
      <c r="S746" s="1" t="str">
        <f>IFERROR(INDEX(_group_[],MATCH(ВСЕ_КОДЫ[[#This Row],[CONTEST_CODE]],_group_[CONTEST_CODE],0),MATCH($S$1,_group_[#Headers],0)),"-")</f>
        <v>BANK</v>
      </c>
      <c r="T746" s="1" t="str">
        <f>IFERROR(INDEX(_INDICATOR_[],MATCH(ВСЕ_КОДЫ[[#This Row],[CONTEST_CODE]],_INDICATOR_[CONTEST_CODE],0),MATCH($T$1,_INDICATOR_[#Headers],0)),"-")</f>
        <v>-</v>
      </c>
      <c r="U746" s="1" t="str">
        <f>IFERROR(INDEX(_reward_link_[],MATCH(ВСЕ_КОДЫ[[#This Row],[CONTEST_CODE]],_reward_link_[CONTEST_CODE],0),MATCH($U$1,_reward_link_[#Headers],0)),"-")</f>
        <v>BANK</v>
      </c>
      <c r="V746" s="1" t="str">
        <f>IFERROR(INDEX(_report[],MATCH(ВСЕ_КОДЫ[[#This Row],[CONTEST_CODE]],_report[CONTEST_CODE],0),MATCH($V$1,_report[#Headers],0)),"-")</f>
        <v>-</v>
      </c>
      <c r="W746" s="1" t="str">
        <f>IFERROR(INDEX(_reward_[],MATCH(ВСЕ_КОДЫ[[#This Row],[REWARD_CODE]],_reward_[REWARD_CODE],0),MATCH($W$1,_reward_[#Headers],0)),"-")</f>
        <v>Стажировка в Департаменте глобальных рынков</v>
      </c>
      <c r="X746" s="1" t="str">
        <f>IFERROR(INDEX(_group_[],MATCH(CONCATENATE(ВСЕ_КОДЫ[[#This Row],[CONTEST_CODE]],"_",X$2),#REF!,0),MATCH(X$1,_group_[#Headers],0)),"-")</f>
        <v>-</v>
      </c>
      <c r="Y746" s="1" t="str">
        <f>IFERROR(INDEX(_group_[],MATCH(CONCATENATE(ВСЕ_КОДЫ[[#This Row],[CONTEST_CODE]],"_",Y$2),#REF!,0),MATCH(Y$1,_group_[#Headers],0)),"-")</f>
        <v>-</v>
      </c>
      <c r="Z746" s="1" t="str">
        <f>IFERROR(INDEX(_group_[],MATCH(CONCATENATE(ВСЕ_КОДЫ[[#This Row],[CONTEST_CODE]],"_",Z$2),#REF!,0),MATCH(Z$1,_group_[#Headers],0)),"-")</f>
        <v>-</v>
      </c>
      <c r="AA746" s="1" t="str">
        <f>IFERROR(INDEX(_group_[],MATCH(CONCATENATE(ВСЕ_КОДЫ[[#This Row],[CONTEST_CODE]],"_",AA$2),#REF!,0),MATCH(AA$1,_group_[#Headers],0)),"-")</f>
        <v>-</v>
      </c>
      <c r="AB746" s="1" t="str">
        <f>IFERROR(INDEX(_DATA_[],MATCH(ВСЕ_КОДЫ[[#This Row],[CONTEST_CODE]],_DATA_[CONTEST_CODE],0),MATCH($AB$2,_DATA_[#Headers],0)),"-")</f>
        <v>["""KMKKSB"""]</v>
      </c>
      <c r="AC746" t="str">
        <f>CONCATENATE(ВСЕ_КОДЫ[[#This Row],[CONTEST_CODE]],"_",ВСЕ_КОДЫ[[#This Row],[TOURNAMENT_CODE]])</f>
        <v>CONTEST_999_-</v>
      </c>
      <c r="AD746" t="str">
        <f>ВСЕ_КОДЫ[[#This Row],[FULL_NAME]]</f>
        <v>товары</v>
      </c>
    </row>
    <row r="747" spans="1:30" hidden="1" x14ac:dyDescent="0.25">
      <c r="A747" s="1" t="s">
        <v>1702</v>
      </c>
      <c r="B747" s="1" t="s">
        <v>1064</v>
      </c>
      <c r="C747" s="1" t="s">
        <v>1968</v>
      </c>
      <c r="D747" s="1" t="s">
        <v>583</v>
      </c>
      <c r="E747" s="1" t="s">
        <v>1703</v>
      </c>
      <c r="F747" s="1" t="s">
        <v>26</v>
      </c>
      <c r="G747" s="1" t="s">
        <v>27</v>
      </c>
      <c r="H747" s="1" t="s">
        <v>34</v>
      </c>
      <c r="I747" s="1" t="s">
        <v>29</v>
      </c>
      <c r="J747" s="1"/>
      <c r="K747" s="1"/>
      <c r="L747" s="1"/>
      <c r="M747" s="1"/>
      <c r="N747" s="1" t="s">
        <v>1759</v>
      </c>
      <c r="O747" s="1" t="s">
        <v>1760</v>
      </c>
      <c r="Q747">
        <f>IFERROR(COUNTIFS(_report[TOURNAMENT_CODE],ВСЕ_КОДЫ[[#This Row],[TOURNAMENT_CODE]],_report[CONTEST_CODE],ВСЕ_КОДЫ[[#This Row],[CONTEST_CODE]]),"-")</f>
        <v>0</v>
      </c>
      <c r="R747" s="1" t="str">
        <f>IFERROR(INDEX(_SCHEDULE_[],MATCH(ВСЕ_КОДЫ[[#This Row],[CONTEST_CODE]],_SCHEDULE_[CONTEST_CODE],0),MATCH($R$1,_SCHEDULE_[#Headers],0)),"-")</f>
        <v>-</v>
      </c>
      <c r="S747" s="1" t="str">
        <f>IFERROR(INDEX(_group_[],MATCH(ВСЕ_КОДЫ[[#This Row],[CONTEST_CODE]],_group_[CONTEST_CODE],0),MATCH($S$1,_group_[#Headers],0)),"-")</f>
        <v>BANK</v>
      </c>
      <c r="T747" s="1" t="str">
        <f>IFERROR(INDEX(_INDICATOR_[],MATCH(ВСЕ_КОДЫ[[#This Row],[CONTEST_CODE]],_INDICATOR_[CONTEST_CODE],0),MATCH($T$1,_INDICATOR_[#Headers],0)),"-")</f>
        <v>-</v>
      </c>
      <c r="U747" s="1" t="str">
        <f>IFERROR(INDEX(_reward_link_[],MATCH(ВСЕ_КОДЫ[[#This Row],[CONTEST_CODE]],_reward_link_[CONTEST_CODE],0),MATCH($U$1,_reward_link_[#Headers],0)),"-")</f>
        <v>BANK</v>
      </c>
      <c r="V747" s="1" t="str">
        <f>IFERROR(INDEX(_report[],MATCH(ВСЕ_КОДЫ[[#This Row],[CONTEST_CODE]],_report[CONTEST_CODE],0),MATCH($V$1,_report[#Headers],0)),"-")</f>
        <v>-</v>
      </c>
      <c r="W747" s="1" t="str">
        <f>IFERROR(INDEX(_reward_[],MATCH(ВСЕ_КОДЫ[[#This Row],[REWARD_CODE]],_reward_[REWARD_CODE],0),MATCH($W$1,_reward_[#Headers],0)),"-")</f>
        <v>Очное обучение в Корпоративном университете Сбера</v>
      </c>
      <c r="X747" s="1" t="str">
        <f>IFERROR(INDEX(_group_[],MATCH(CONCATENATE(ВСЕ_КОДЫ[[#This Row],[CONTEST_CODE]],"_",X$2),#REF!,0),MATCH(X$1,_group_[#Headers],0)),"-")</f>
        <v>-</v>
      </c>
      <c r="Y747" s="1" t="str">
        <f>IFERROR(INDEX(_group_[],MATCH(CONCATENATE(ВСЕ_КОДЫ[[#This Row],[CONTEST_CODE]],"_",Y$2),#REF!,0),MATCH(Y$1,_group_[#Headers],0)),"-")</f>
        <v>-</v>
      </c>
      <c r="Z747" s="1" t="str">
        <f>IFERROR(INDEX(_group_[],MATCH(CONCATENATE(ВСЕ_КОДЫ[[#This Row],[CONTEST_CODE]],"_",Z$2),#REF!,0),MATCH(Z$1,_group_[#Headers],0)),"-")</f>
        <v>-</v>
      </c>
      <c r="AA747" s="1" t="str">
        <f>IFERROR(INDEX(_group_[],MATCH(CONCATENATE(ВСЕ_КОДЫ[[#This Row],[CONTEST_CODE]],"_",AA$2),#REF!,0),MATCH(AA$1,_group_[#Headers],0)),"-")</f>
        <v>-</v>
      </c>
      <c r="AB747" s="1" t="str">
        <f>IFERROR(INDEX(_DATA_[],MATCH(ВСЕ_КОДЫ[[#This Row],[CONTEST_CODE]],_DATA_[CONTEST_CODE],0),MATCH($AB$2,_DATA_[#Headers],0)),"-")</f>
        <v>["""KMKKSB"""]</v>
      </c>
      <c r="AC747" t="str">
        <f>CONCATENATE(ВСЕ_КОДЫ[[#This Row],[CONTEST_CODE]],"_",ВСЕ_КОДЫ[[#This Row],[TOURNAMENT_CODE]])</f>
        <v>CONTEST_999_-</v>
      </c>
      <c r="AD747" t="str">
        <f>ВСЕ_КОДЫ[[#This Row],[FULL_NAME]]</f>
        <v>товары</v>
      </c>
    </row>
    <row r="748" spans="1:30" hidden="1" x14ac:dyDescent="0.25">
      <c r="A748" s="1" t="s">
        <v>1702</v>
      </c>
      <c r="B748" s="1" t="s">
        <v>1064</v>
      </c>
      <c r="C748" s="1" t="s">
        <v>1970</v>
      </c>
      <c r="D748" s="1" t="s">
        <v>583</v>
      </c>
      <c r="E748" s="1" t="s">
        <v>1703</v>
      </c>
      <c r="F748" s="1" t="s">
        <v>26</v>
      </c>
      <c r="G748" s="1" t="s">
        <v>27</v>
      </c>
      <c r="H748" s="1" t="s">
        <v>34</v>
      </c>
      <c r="I748" s="1" t="s">
        <v>29</v>
      </c>
      <c r="J748" s="1"/>
      <c r="K748" s="1"/>
      <c r="L748" s="1"/>
      <c r="M748" s="1"/>
      <c r="N748" s="1" t="s">
        <v>1759</v>
      </c>
      <c r="O748" s="1" t="s">
        <v>1762</v>
      </c>
      <c r="Q748">
        <f>IFERROR(COUNTIFS(_report[TOURNAMENT_CODE],ВСЕ_КОДЫ[[#This Row],[TOURNAMENT_CODE]],_report[CONTEST_CODE],ВСЕ_КОДЫ[[#This Row],[CONTEST_CODE]]),"-")</f>
        <v>0</v>
      </c>
      <c r="R748" s="1" t="str">
        <f>IFERROR(INDEX(_SCHEDULE_[],MATCH(ВСЕ_КОДЫ[[#This Row],[CONTEST_CODE]],_SCHEDULE_[CONTEST_CODE],0),MATCH($R$1,_SCHEDULE_[#Headers],0)),"-")</f>
        <v>-</v>
      </c>
      <c r="S748" s="1" t="str">
        <f>IFERROR(INDEX(_group_[],MATCH(ВСЕ_КОДЫ[[#This Row],[CONTEST_CODE]],_group_[CONTEST_CODE],0),MATCH($S$1,_group_[#Headers],0)),"-")</f>
        <v>BANK</v>
      </c>
      <c r="T748" s="1" t="str">
        <f>IFERROR(INDEX(_INDICATOR_[],MATCH(ВСЕ_КОДЫ[[#This Row],[CONTEST_CODE]],_INDICATOR_[CONTEST_CODE],0),MATCH($T$1,_INDICATOR_[#Headers],0)),"-")</f>
        <v>-</v>
      </c>
      <c r="U748" s="1" t="str">
        <f>IFERROR(INDEX(_reward_link_[],MATCH(ВСЕ_КОДЫ[[#This Row],[CONTEST_CODE]],_reward_link_[CONTEST_CODE],0),MATCH($U$1,_reward_link_[#Headers],0)),"-")</f>
        <v>BANK</v>
      </c>
      <c r="V748" s="1" t="str">
        <f>IFERROR(INDEX(_report[],MATCH(ВСЕ_КОДЫ[[#This Row],[CONTEST_CODE]],_report[CONTEST_CODE],0),MATCH($V$1,_report[#Headers],0)),"-")</f>
        <v>-</v>
      </c>
      <c r="W748" s="1" t="str">
        <f>IFERROR(INDEX(_reward_[],MATCH(ВСЕ_КОДЫ[[#This Row],[REWARD_CODE]],_reward_[REWARD_CODE],0),MATCH($W$1,_reward_[#Headers],0)),"-")</f>
        <v>Участие в программе стажировки вместе с победителями Лиги Чемпионов и Суперкубка</v>
      </c>
      <c r="X748" s="1" t="str">
        <f>IFERROR(INDEX(_group_[],MATCH(CONCATENATE(ВСЕ_КОДЫ[[#This Row],[CONTEST_CODE]],"_",X$2),#REF!,0),MATCH(X$1,_group_[#Headers],0)),"-")</f>
        <v>-</v>
      </c>
      <c r="Y748" s="1" t="str">
        <f>IFERROR(INDEX(_group_[],MATCH(CONCATENATE(ВСЕ_КОДЫ[[#This Row],[CONTEST_CODE]],"_",Y$2),#REF!,0),MATCH(Y$1,_group_[#Headers],0)),"-")</f>
        <v>-</v>
      </c>
      <c r="Z748" s="1" t="str">
        <f>IFERROR(INDEX(_group_[],MATCH(CONCATENATE(ВСЕ_КОДЫ[[#This Row],[CONTEST_CODE]],"_",Z$2),#REF!,0),MATCH(Z$1,_group_[#Headers],0)),"-")</f>
        <v>-</v>
      </c>
      <c r="AA748" s="1" t="str">
        <f>IFERROR(INDEX(_group_[],MATCH(CONCATENATE(ВСЕ_КОДЫ[[#This Row],[CONTEST_CODE]],"_",AA$2),#REF!,0),MATCH(AA$1,_group_[#Headers],0)),"-")</f>
        <v>-</v>
      </c>
      <c r="AB748" s="1" t="str">
        <f>IFERROR(INDEX(_DATA_[],MATCH(ВСЕ_КОДЫ[[#This Row],[CONTEST_CODE]],_DATA_[CONTEST_CODE],0),MATCH($AB$2,_DATA_[#Headers],0)),"-")</f>
        <v>["""KMKKSB"""]</v>
      </c>
      <c r="AC748" t="str">
        <f>CONCATENATE(ВСЕ_КОДЫ[[#This Row],[CONTEST_CODE]],"_",ВСЕ_КОДЫ[[#This Row],[TOURNAMENT_CODE]])</f>
        <v>CONTEST_999_-</v>
      </c>
      <c r="AD748" t="str">
        <f>ВСЕ_КОДЫ[[#This Row],[FULL_NAME]]</f>
        <v>товары</v>
      </c>
    </row>
    <row r="749" spans="1:30" hidden="1" x14ac:dyDescent="0.25">
      <c r="A749" s="1" t="s">
        <v>1702</v>
      </c>
      <c r="B749" s="1" t="s">
        <v>1064</v>
      </c>
      <c r="C749" s="1" t="s">
        <v>1972</v>
      </c>
      <c r="D749" s="1" t="s">
        <v>583</v>
      </c>
      <c r="E749" s="1" t="s">
        <v>1703</v>
      </c>
      <c r="F749" s="1" t="s">
        <v>26</v>
      </c>
      <c r="G749" s="1" t="s">
        <v>27</v>
      </c>
      <c r="H749" s="1" t="s">
        <v>34</v>
      </c>
      <c r="I749" s="1" t="s">
        <v>29</v>
      </c>
      <c r="J749" s="1"/>
      <c r="K749" s="1"/>
      <c r="L749" s="1"/>
      <c r="M749" s="1"/>
      <c r="N749" s="1" t="s">
        <v>1759</v>
      </c>
      <c r="O749" s="1" t="s">
        <v>1973</v>
      </c>
      <c r="Q749">
        <f>IFERROR(COUNTIFS(_report[TOURNAMENT_CODE],ВСЕ_КОДЫ[[#This Row],[TOURNAMENT_CODE]],_report[CONTEST_CODE],ВСЕ_КОДЫ[[#This Row],[CONTEST_CODE]]),"-")</f>
        <v>0</v>
      </c>
      <c r="R749" s="1" t="str">
        <f>IFERROR(INDEX(_SCHEDULE_[],MATCH(ВСЕ_КОДЫ[[#This Row],[CONTEST_CODE]],_SCHEDULE_[CONTEST_CODE],0),MATCH($R$1,_SCHEDULE_[#Headers],0)),"-")</f>
        <v>-</v>
      </c>
      <c r="S749" s="1" t="str">
        <f>IFERROR(INDEX(_group_[],MATCH(ВСЕ_КОДЫ[[#This Row],[CONTEST_CODE]],_group_[CONTEST_CODE],0),MATCH($S$1,_group_[#Headers],0)),"-")</f>
        <v>BANK</v>
      </c>
      <c r="T749" s="1" t="str">
        <f>IFERROR(INDEX(_INDICATOR_[],MATCH(ВСЕ_КОДЫ[[#This Row],[CONTEST_CODE]],_INDICATOR_[CONTEST_CODE],0),MATCH($T$1,_INDICATOR_[#Headers],0)),"-")</f>
        <v>-</v>
      </c>
      <c r="U749" s="1" t="str">
        <f>IFERROR(INDEX(_reward_link_[],MATCH(ВСЕ_КОДЫ[[#This Row],[CONTEST_CODE]],_reward_link_[CONTEST_CODE],0),MATCH($U$1,_reward_link_[#Headers],0)),"-")</f>
        <v>BANK</v>
      </c>
      <c r="V749" s="1" t="str">
        <f>IFERROR(INDEX(_report[],MATCH(ВСЕ_КОДЫ[[#This Row],[CONTEST_CODE]],_report[CONTEST_CODE],0),MATCH($V$1,_report[#Headers],0)),"-")</f>
        <v>-</v>
      </c>
      <c r="W749" s="1" t="str">
        <f>IFERROR(INDEX(_reward_[],MATCH(ВСЕ_КОДЫ[[#This Row],[REWARD_CODE]],_reward_[REWARD_CODE],0),MATCH($W$1,_reward_[#Headers],0)),"-")</f>
        <v>Обед с ТОП менеджерами КЭС Сберздоровье</v>
      </c>
      <c r="X749" s="1" t="str">
        <f>IFERROR(INDEX(_group_[],MATCH(CONCATENATE(ВСЕ_КОДЫ[[#This Row],[CONTEST_CODE]],"_",X$2),#REF!,0),MATCH(X$1,_group_[#Headers],0)),"-")</f>
        <v>-</v>
      </c>
      <c r="Y749" s="1" t="str">
        <f>IFERROR(INDEX(_group_[],MATCH(CONCATENATE(ВСЕ_КОДЫ[[#This Row],[CONTEST_CODE]],"_",Y$2),#REF!,0),MATCH(Y$1,_group_[#Headers],0)),"-")</f>
        <v>-</v>
      </c>
      <c r="Z749" s="1" t="str">
        <f>IFERROR(INDEX(_group_[],MATCH(CONCATENATE(ВСЕ_КОДЫ[[#This Row],[CONTEST_CODE]],"_",Z$2),#REF!,0),MATCH(Z$1,_group_[#Headers],0)),"-")</f>
        <v>-</v>
      </c>
      <c r="AA749" s="1" t="str">
        <f>IFERROR(INDEX(_group_[],MATCH(CONCATENATE(ВСЕ_КОДЫ[[#This Row],[CONTEST_CODE]],"_",AA$2),#REF!,0),MATCH(AA$1,_group_[#Headers],0)),"-")</f>
        <v>-</v>
      </c>
      <c r="AB749" s="1" t="str">
        <f>IFERROR(INDEX(_DATA_[],MATCH(ВСЕ_КОДЫ[[#This Row],[CONTEST_CODE]],_DATA_[CONTEST_CODE],0),MATCH($AB$2,_DATA_[#Headers],0)),"-")</f>
        <v>["""KMKKSB"""]</v>
      </c>
      <c r="AC749" t="str">
        <f>CONCATENATE(ВСЕ_КОДЫ[[#This Row],[CONTEST_CODE]],"_",ВСЕ_КОДЫ[[#This Row],[TOURNAMENT_CODE]])</f>
        <v>CONTEST_999_-</v>
      </c>
      <c r="AD749" t="str">
        <f>ВСЕ_КОДЫ[[#This Row],[FULL_NAME]]</f>
        <v>товары</v>
      </c>
    </row>
    <row r="750" spans="1:30" hidden="1" x14ac:dyDescent="0.25">
      <c r="A750" s="1" t="s">
        <v>1702</v>
      </c>
      <c r="B750" s="1" t="s">
        <v>1064</v>
      </c>
      <c r="C750" s="1" t="s">
        <v>1975</v>
      </c>
      <c r="D750" s="1" t="s">
        <v>583</v>
      </c>
      <c r="E750" s="1" t="s">
        <v>1703</v>
      </c>
      <c r="F750" s="1" t="s">
        <v>26</v>
      </c>
      <c r="G750" s="1" t="s">
        <v>27</v>
      </c>
      <c r="H750" s="1" t="s">
        <v>34</v>
      </c>
      <c r="I750" s="1" t="s">
        <v>29</v>
      </c>
      <c r="J750" s="1"/>
      <c r="K750" s="1"/>
      <c r="L750" s="1"/>
      <c r="M750" s="1"/>
      <c r="N750" s="1" t="s">
        <v>1759</v>
      </c>
      <c r="O750" s="1" t="s">
        <v>1766</v>
      </c>
      <c r="Q750">
        <f>IFERROR(COUNTIFS(_report[TOURNAMENT_CODE],ВСЕ_КОДЫ[[#This Row],[TOURNAMENT_CODE]],_report[CONTEST_CODE],ВСЕ_КОДЫ[[#This Row],[CONTEST_CODE]]),"-")</f>
        <v>0</v>
      </c>
      <c r="R750" s="1" t="str">
        <f>IFERROR(INDEX(_SCHEDULE_[],MATCH(ВСЕ_КОДЫ[[#This Row],[CONTEST_CODE]],_SCHEDULE_[CONTEST_CODE],0),MATCH($R$1,_SCHEDULE_[#Headers],0)),"-")</f>
        <v>-</v>
      </c>
      <c r="S750" s="1" t="str">
        <f>IFERROR(INDEX(_group_[],MATCH(ВСЕ_КОДЫ[[#This Row],[CONTEST_CODE]],_group_[CONTEST_CODE],0),MATCH($S$1,_group_[#Headers],0)),"-")</f>
        <v>BANK</v>
      </c>
      <c r="T750" s="1" t="str">
        <f>IFERROR(INDEX(_INDICATOR_[],MATCH(ВСЕ_КОДЫ[[#This Row],[CONTEST_CODE]],_INDICATOR_[CONTEST_CODE],0),MATCH($T$1,_INDICATOR_[#Headers],0)),"-")</f>
        <v>-</v>
      </c>
      <c r="U750" s="1" t="str">
        <f>IFERROR(INDEX(_reward_link_[],MATCH(ВСЕ_КОДЫ[[#This Row],[CONTEST_CODE]],_reward_link_[CONTEST_CODE],0),MATCH($U$1,_reward_link_[#Headers],0)),"-")</f>
        <v>BANK</v>
      </c>
      <c r="V750" s="1" t="str">
        <f>IFERROR(INDEX(_report[],MATCH(ВСЕ_КОДЫ[[#This Row],[CONTEST_CODE]],_report[CONTEST_CODE],0),MATCH($V$1,_report[#Headers],0)),"-")</f>
        <v>-</v>
      </c>
      <c r="W750" s="1" t="str">
        <f>IFERROR(INDEX(_reward_[],MATCH(ВСЕ_КОДЫ[[#This Row],[REWARD_CODE]],_reward_[REWARD_CODE],0),MATCH($W$1,_reward_[#Headers],0)),"-")</f>
        <v>Сертификат в SberShop номиналом 30 000 рублей</v>
      </c>
      <c r="X750" s="1" t="str">
        <f>IFERROR(INDEX(_group_[],MATCH(CONCATENATE(ВСЕ_КОДЫ[[#This Row],[CONTEST_CODE]],"_",X$2),#REF!,0),MATCH(X$1,_group_[#Headers],0)),"-")</f>
        <v>-</v>
      </c>
      <c r="Y750" s="1" t="str">
        <f>IFERROR(INDEX(_group_[],MATCH(CONCATENATE(ВСЕ_КОДЫ[[#This Row],[CONTEST_CODE]],"_",Y$2),#REF!,0),MATCH(Y$1,_group_[#Headers],0)),"-")</f>
        <v>-</v>
      </c>
      <c r="Z750" s="1" t="str">
        <f>IFERROR(INDEX(_group_[],MATCH(CONCATENATE(ВСЕ_КОДЫ[[#This Row],[CONTEST_CODE]],"_",Z$2),#REF!,0),MATCH(Z$1,_group_[#Headers],0)),"-")</f>
        <v>-</v>
      </c>
      <c r="AA750" s="1" t="str">
        <f>IFERROR(INDEX(_group_[],MATCH(CONCATENATE(ВСЕ_КОДЫ[[#This Row],[CONTEST_CODE]],"_",AA$2),#REF!,0),MATCH(AA$1,_group_[#Headers],0)),"-")</f>
        <v>-</v>
      </c>
      <c r="AB750" s="1" t="str">
        <f>IFERROR(INDEX(_DATA_[],MATCH(ВСЕ_КОДЫ[[#This Row],[CONTEST_CODE]],_DATA_[CONTEST_CODE],0),MATCH($AB$2,_DATA_[#Headers],0)),"-")</f>
        <v>["""KMKKSB"""]</v>
      </c>
      <c r="AC750" t="str">
        <f>CONCATENATE(ВСЕ_КОДЫ[[#This Row],[CONTEST_CODE]],"_",ВСЕ_КОДЫ[[#This Row],[TOURNAMENT_CODE]])</f>
        <v>CONTEST_999_-</v>
      </c>
      <c r="AD750" t="str">
        <f>ВСЕ_КОДЫ[[#This Row],[FULL_NAME]]</f>
        <v>товары</v>
      </c>
    </row>
    <row r="751" spans="1:30" hidden="1" x14ac:dyDescent="0.25">
      <c r="A751" s="1" t="s">
        <v>1702</v>
      </c>
      <c r="B751" s="1" t="s">
        <v>1064</v>
      </c>
      <c r="C751" s="1" t="s">
        <v>1976</v>
      </c>
      <c r="D751" s="1" t="s">
        <v>583</v>
      </c>
      <c r="E751" s="1" t="s">
        <v>1703</v>
      </c>
      <c r="F751" s="1" t="s">
        <v>26</v>
      </c>
      <c r="G751" s="1" t="s">
        <v>27</v>
      </c>
      <c r="H751" s="1" t="s">
        <v>34</v>
      </c>
      <c r="I751" s="1" t="s">
        <v>29</v>
      </c>
      <c r="J751" s="1"/>
      <c r="K751" s="1"/>
      <c r="L751" s="1"/>
      <c r="M751" s="1"/>
      <c r="N751" s="1" t="s">
        <v>1759</v>
      </c>
      <c r="O751" s="1" t="s">
        <v>1768</v>
      </c>
      <c r="Q751">
        <f>IFERROR(COUNTIFS(_report[TOURNAMENT_CODE],ВСЕ_КОДЫ[[#This Row],[TOURNAMENT_CODE]],_report[CONTEST_CODE],ВСЕ_КОДЫ[[#This Row],[CONTEST_CODE]]),"-")</f>
        <v>0</v>
      </c>
      <c r="R751" s="1" t="str">
        <f>IFERROR(INDEX(_SCHEDULE_[],MATCH(ВСЕ_КОДЫ[[#This Row],[CONTEST_CODE]],_SCHEDULE_[CONTEST_CODE],0),MATCH($R$1,_SCHEDULE_[#Headers],0)),"-")</f>
        <v>-</v>
      </c>
      <c r="S751" s="1" t="str">
        <f>IFERROR(INDEX(_group_[],MATCH(ВСЕ_КОДЫ[[#This Row],[CONTEST_CODE]],_group_[CONTEST_CODE],0),MATCH($S$1,_group_[#Headers],0)),"-")</f>
        <v>BANK</v>
      </c>
      <c r="T751" s="1" t="str">
        <f>IFERROR(INDEX(_INDICATOR_[],MATCH(ВСЕ_КОДЫ[[#This Row],[CONTEST_CODE]],_INDICATOR_[CONTEST_CODE],0),MATCH($T$1,_INDICATOR_[#Headers],0)),"-")</f>
        <v>-</v>
      </c>
      <c r="U751" s="1" t="str">
        <f>IFERROR(INDEX(_reward_link_[],MATCH(ВСЕ_КОДЫ[[#This Row],[CONTEST_CODE]],_reward_link_[CONTEST_CODE],0),MATCH($U$1,_reward_link_[#Headers],0)),"-")</f>
        <v>BANK</v>
      </c>
      <c r="V751" s="1" t="str">
        <f>IFERROR(INDEX(_report[],MATCH(ВСЕ_КОДЫ[[#This Row],[CONTEST_CODE]],_report[CONTEST_CODE],0),MATCH($V$1,_report[#Headers],0)),"-")</f>
        <v>-</v>
      </c>
      <c r="W751" s="1" t="str">
        <f>IFERROR(INDEX(_reward_[],MATCH(ВСЕ_КОДЫ[[#This Row],[REWARD_CODE]],_reward_[REWARD_CODE],0),MATCH($W$1,_reward_[#Headers],0)),"-")</f>
        <v>Сертификат в SberShop номиналом 10 000 рублей</v>
      </c>
      <c r="X751" s="1" t="str">
        <f>IFERROR(INDEX(_group_[],MATCH(CONCATENATE(ВСЕ_КОДЫ[[#This Row],[CONTEST_CODE]],"_",X$2),#REF!,0),MATCH(X$1,_group_[#Headers],0)),"-")</f>
        <v>-</v>
      </c>
      <c r="Y751" s="1" t="str">
        <f>IFERROR(INDEX(_group_[],MATCH(CONCATENATE(ВСЕ_КОДЫ[[#This Row],[CONTEST_CODE]],"_",Y$2),#REF!,0),MATCH(Y$1,_group_[#Headers],0)),"-")</f>
        <v>-</v>
      </c>
      <c r="Z751" s="1" t="str">
        <f>IFERROR(INDEX(_group_[],MATCH(CONCATENATE(ВСЕ_КОДЫ[[#This Row],[CONTEST_CODE]],"_",Z$2),#REF!,0),MATCH(Z$1,_group_[#Headers],0)),"-")</f>
        <v>-</v>
      </c>
      <c r="AA751" s="1" t="str">
        <f>IFERROR(INDEX(_group_[],MATCH(CONCATENATE(ВСЕ_КОДЫ[[#This Row],[CONTEST_CODE]],"_",AA$2),#REF!,0),MATCH(AA$1,_group_[#Headers],0)),"-")</f>
        <v>-</v>
      </c>
      <c r="AB751" s="1" t="str">
        <f>IFERROR(INDEX(_DATA_[],MATCH(ВСЕ_КОДЫ[[#This Row],[CONTEST_CODE]],_DATA_[CONTEST_CODE],0),MATCH($AB$2,_DATA_[#Headers],0)),"-")</f>
        <v>["""KMKKSB"""]</v>
      </c>
      <c r="AC751" t="str">
        <f>CONCATENATE(ВСЕ_КОДЫ[[#This Row],[CONTEST_CODE]],"_",ВСЕ_КОДЫ[[#This Row],[TOURNAMENT_CODE]])</f>
        <v>CONTEST_999_-</v>
      </c>
      <c r="AD751" t="str">
        <f>ВСЕ_КОДЫ[[#This Row],[FULL_NAME]]</f>
        <v>товары</v>
      </c>
    </row>
    <row r="752" spans="1:30" hidden="1" x14ac:dyDescent="0.25">
      <c r="A752" s="1" t="s">
        <v>1702</v>
      </c>
      <c r="B752" s="1" t="s">
        <v>1064</v>
      </c>
      <c r="C752" s="1" t="s">
        <v>1977</v>
      </c>
      <c r="D752" s="1" t="s">
        <v>583</v>
      </c>
      <c r="E752" s="1" t="s">
        <v>1703</v>
      </c>
      <c r="F752" s="1" t="s">
        <v>26</v>
      </c>
      <c r="G752" s="1" t="s">
        <v>27</v>
      </c>
      <c r="H752" s="1" t="s">
        <v>34</v>
      </c>
      <c r="I752" s="1" t="s">
        <v>29</v>
      </c>
      <c r="J752" s="1"/>
      <c r="K752" s="1"/>
      <c r="L752" s="1"/>
      <c r="M752" s="1"/>
      <c r="N752" s="1" t="s">
        <v>1759</v>
      </c>
      <c r="O752" s="1" t="s">
        <v>1770</v>
      </c>
      <c r="Q752">
        <f>IFERROR(COUNTIFS(_report[TOURNAMENT_CODE],ВСЕ_КОДЫ[[#This Row],[TOURNAMENT_CODE]],_report[CONTEST_CODE],ВСЕ_КОДЫ[[#This Row],[CONTEST_CODE]]),"-")</f>
        <v>0</v>
      </c>
      <c r="R752" s="1" t="str">
        <f>IFERROR(INDEX(_SCHEDULE_[],MATCH(ВСЕ_КОДЫ[[#This Row],[CONTEST_CODE]],_SCHEDULE_[CONTEST_CODE],0),MATCH($R$1,_SCHEDULE_[#Headers],0)),"-")</f>
        <v>-</v>
      </c>
      <c r="S752" s="1" t="str">
        <f>IFERROR(INDEX(_group_[],MATCH(ВСЕ_КОДЫ[[#This Row],[CONTEST_CODE]],_group_[CONTEST_CODE],0),MATCH($S$1,_group_[#Headers],0)),"-")</f>
        <v>BANK</v>
      </c>
      <c r="T752" s="1" t="str">
        <f>IFERROR(INDEX(_INDICATOR_[],MATCH(ВСЕ_КОДЫ[[#This Row],[CONTEST_CODE]],_INDICATOR_[CONTEST_CODE],0),MATCH($T$1,_INDICATOR_[#Headers],0)),"-")</f>
        <v>-</v>
      </c>
      <c r="U752" s="1" t="str">
        <f>IFERROR(INDEX(_reward_link_[],MATCH(ВСЕ_КОДЫ[[#This Row],[CONTEST_CODE]],_reward_link_[CONTEST_CODE],0),MATCH($U$1,_reward_link_[#Headers],0)),"-")</f>
        <v>BANK</v>
      </c>
      <c r="V752" s="1" t="str">
        <f>IFERROR(INDEX(_report[],MATCH(ВСЕ_КОДЫ[[#This Row],[CONTEST_CODE]],_report[CONTEST_CODE],0),MATCH($V$1,_report[#Headers],0)),"-")</f>
        <v>-</v>
      </c>
      <c r="W752" s="1" t="str">
        <f>IFERROR(INDEX(_reward_[],MATCH(ВСЕ_КОДЫ[[#This Row],[REWARD_CODE]],_reward_[REWARD_CODE],0),MATCH($W$1,_reward_[#Headers],0)),"-")</f>
        <v>Сертификат в SberShop номиналом 3 000 рублей</v>
      </c>
      <c r="X752" s="1" t="str">
        <f>IFERROR(INDEX(_group_[],MATCH(CONCATENATE(ВСЕ_КОДЫ[[#This Row],[CONTEST_CODE]],"_",X$2),#REF!,0),MATCH(X$1,_group_[#Headers],0)),"-")</f>
        <v>-</v>
      </c>
      <c r="Y752" s="1" t="str">
        <f>IFERROR(INDEX(_group_[],MATCH(CONCATENATE(ВСЕ_КОДЫ[[#This Row],[CONTEST_CODE]],"_",Y$2),#REF!,0),MATCH(Y$1,_group_[#Headers],0)),"-")</f>
        <v>-</v>
      </c>
      <c r="Z752" s="1" t="str">
        <f>IFERROR(INDEX(_group_[],MATCH(CONCATENATE(ВСЕ_КОДЫ[[#This Row],[CONTEST_CODE]],"_",Z$2),#REF!,0),MATCH(Z$1,_group_[#Headers],0)),"-")</f>
        <v>-</v>
      </c>
      <c r="AA752" s="1" t="str">
        <f>IFERROR(INDEX(_group_[],MATCH(CONCATENATE(ВСЕ_КОДЫ[[#This Row],[CONTEST_CODE]],"_",AA$2),#REF!,0),MATCH(AA$1,_group_[#Headers],0)),"-")</f>
        <v>-</v>
      </c>
      <c r="AB752" s="1" t="str">
        <f>IFERROR(INDEX(_DATA_[],MATCH(ВСЕ_КОДЫ[[#This Row],[CONTEST_CODE]],_DATA_[CONTEST_CODE],0),MATCH($AB$2,_DATA_[#Headers],0)),"-")</f>
        <v>["""KMKKSB"""]</v>
      </c>
      <c r="AC752" t="str">
        <f>CONCATENATE(ВСЕ_КОДЫ[[#This Row],[CONTEST_CODE]],"_",ВСЕ_КОДЫ[[#This Row],[TOURNAMENT_CODE]])</f>
        <v>CONTEST_999_-</v>
      </c>
      <c r="AD752" t="str">
        <f>ВСЕ_КОДЫ[[#This Row],[FULL_NAME]]</f>
        <v>товары</v>
      </c>
    </row>
    <row r="753" spans="1:30" hidden="1" x14ac:dyDescent="0.25">
      <c r="A753" s="1" t="s">
        <v>1702</v>
      </c>
      <c r="B753" s="1" t="s">
        <v>1064</v>
      </c>
      <c r="C753" s="1" t="s">
        <v>1978</v>
      </c>
      <c r="D753" s="1" t="s">
        <v>583</v>
      </c>
      <c r="E753" s="1" t="s">
        <v>1703</v>
      </c>
      <c r="F753" s="1" t="s">
        <v>26</v>
      </c>
      <c r="G753" s="1" t="s">
        <v>27</v>
      </c>
      <c r="H753" s="1" t="s">
        <v>34</v>
      </c>
      <c r="I753" s="1" t="s">
        <v>29</v>
      </c>
      <c r="J753" s="1"/>
      <c r="K753" s="1"/>
      <c r="L753" s="1"/>
      <c r="M753" s="1"/>
      <c r="N753" s="1" t="s">
        <v>1759</v>
      </c>
      <c r="O753" s="1" t="s">
        <v>1774</v>
      </c>
      <c r="Q753">
        <f>IFERROR(COUNTIFS(_report[TOURNAMENT_CODE],ВСЕ_КОДЫ[[#This Row],[TOURNAMENT_CODE]],_report[CONTEST_CODE],ВСЕ_КОДЫ[[#This Row],[CONTEST_CODE]]),"-")</f>
        <v>0</v>
      </c>
      <c r="R753" s="1" t="str">
        <f>IFERROR(INDEX(_SCHEDULE_[],MATCH(ВСЕ_КОДЫ[[#This Row],[CONTEST_CODE]],_SCHEDULE_[CONTEST_CODE],0),MATCH($R$1,_SCHEDULE_[#Headers],0)),"-")</f>
        <v>-</v>
      </c>
      <c r="S753" s="1" t="str">
        <f>IFERROR(INDEX(_group_[],MATCH(ВСЕ_КОДЫ[[#This Row],[CONTEST_CODE]],_group_[CONTEST_CODE],0),MATCH($S$1,_group_[#Headers],0)),"-")</f>
        <v>BANK</v>
      </c>
      <c r="T753" s="1" t="str">
        <f>IFERROR(INDEX(_INDICATOR_[],MATCH(ВСЕ_КОДЫ[[#This Row],[CONTEST_CODE]],_INDICATOR_[CONTEST_CODE],0),MATCH($T$1,_INDICATOR_[#Headers],0)),"-")</f>
        <v>-</v>
      </c>
      <c r="U753" s="1" t="str">
        <f>IFERROR(INDEX(_reward_link_[],MATCH(ВСЕ_КОДЫ[[#This Row],[CONTEST_CODE]],_reward_link_[CONTEST_CODE],0),MATCH($U$1,_reward_link_[#Headers],0)),"-")</f>
        <v>BANK</v>
      </c>
      <c r="V753" s="1" t="str">
        <f>IFERROR(INDEX(_report[],MATCH(ВСЕ_КОДЫ[[#This Row],[CONTEST_CODE]],_report[CONTEST_CODE],0),MATCH($V$1,_report[#Headers],0)),"-")</f>
        <v>-</v>
      </c>
      <c r="W753" s="1" t="str">
        <f>IFERROR(INDEX(_reward_[],MATCH(ВСЕ_КОДЫ[[#This Row],[REWARD_CODE]],_reward_[REWARD_CODE],0),MATCH($W$1,_reward_[#Headers],0)),"-")</f>
        <v>Индивидуальная наставническая онлайн-сессия с Сергеем Меламедом</v>
      </c>
      <c r="X753" s="1" t="str">
        <f>IFERROR(INDEX(_group_[],MATCH(CONCATENATE(ВСЕ_КОДЫ[[#This Row],[CONTEST_CODE]],"_",X$2),#REF!,0),MATCH(X$1,_group_[#Headers],0)),"-")</f>
        <v>-</v>
      </c>
      <c r="Y753" s="1" t="str">
        <f>IFERROR(INDEX(_group_[],MATCH(CONCATENATE(ВСЕ_КОДЫ[[#This Row],[CONTEST_CODE]],"_",Y$2),#REF!,0),MATCH(Y$1,_group_[#Headers],0)),"-")</f>
        <v>-</v>
      </c>
      <c r="Z753" s="1" t="str">
        <f>IFERROR(INDEX(_group_[],MATCH(CONCATENATE(ВСЕ_КОДЫ[[#This Row],[CONTEST_CODE]],"_",Z$2),#REF!,0),MATCH(Z$1,_group_[#Headers],0)),"-")</f>
        <v>-</v>
      </c>
      <c r="AA753" s="1" t="str">
        <f>IFERROR(INDEX(_group_[],MATCH(CONCATENATE(ВСЕ_КОДЫ[[#This Row],[CONTEST_CODE]],"_",AA$2),#REF!,0),MATCH(AA$1,_group_[#Headers],0)),"-")</f>
        <v>-</v>
      </c>
      <c r="AB753" s="1" t="str">
        <f>IFERROR(INDEX(_DATA_[],MATCH(ВСЕ_КОДЫ[[#This Row],[CONTEST_CODE]],_DATA_[CONTEST_CODE],0),MATCH($AB$2,_DATA_[#Headers],0)),"-")</f>
        <v>["""KMKKSB"""]</v>
      </c>
      <c r="AC753" t="str">
        <f>CONCATENATE(ВСЕ_КОДЫ[[#This Row],[CONTEST_CODE]],"_",ВСЕ_КОДЫ[[#This Row],[TOURNAMENT_CODE]])</f>
        <v>CONTEST_999_-</v>
      </c>
      <c r="AD753" t="str">
        <f>ВСЕ_КОДЫ[[#This Row],[FULL_NAME]]</f>
        <v>товары</v>
      </c>
    </row>
    <row r="754" spans="1:30" hidden="1" x14ac:dyDescent="0.25">
      <c r="A754" s="1" t="s">
        <v>1702</v>
      </c>
      <c r="B754" s="1" t="s">
        <v>1064</v>
      </c>
      <c r="C754" s="1" t="s">
        <v>1979</v>
      </c>
      <c r="D754" s="1" t="s">
        <v>583</v>
      </c>
      <c r="E754" s="1" t="s">
        <v>1703</v>
      </c>
      <c r="F754" s="1" t="s">
        <v>26</v>
      </c>
      <c r="G754" s="1" t="s">
        <v>27</v>
      </c>
      <c r="H754" s="1" t="s">
        <v>34</v>
      </c>
      <c r="I754" s="1" t="s">
        <v>29</v>
      </c>
      <c r="J754" s="1"/>
      <c r="K754" s="1"/>
      <c r="L754" s="1"/>
      <c r="M754" s="1"/>
      <c r="N754" s="1" t="s">
        <v>1759</v>
      </c>
      <c r="O754" s="1" t="s">
        <v>1790</v>
      </c>
      <c r="Q754">
        <f>IFERROR(COUNTIFS(_report[TOURNAMENT_CODE],ВСЕ_КОДЫ[[#This Row],[TOURNAMENT_CODE]],_report[CONTEST_CODE],ВСЕ_КОДЫ[[#This Row],[CONTEST_CODE]]),"-")</f>
        <v>0</v>
      </c>
      <c r="R754" s="1" t="str">
        <f>IFERROR(INDEX(_SCHEDULE_[],MATCH(ВСЕ_КОДЫ[[#This Row],[CONTEST_CODE]],_SCHEDULE_[CONTEST_CODE],0),MATCH($R$1,_SCHEDULE_[#Headers],0)),"-")</f>
        <v>-</v>
      </c>
      <c r="S754" s="1" t="str">
        <f>IFERROR(INDEX(_group_[],MATCH(ВСЕ_КОДЫ[[#This Row],[CONTEST_CODE]],_group_[CONTEST_CODE],0),MATCH($S$1,_group_[#Headers],0)),"-")</f>
        <v>BANK</v>
      </c>
      <c r="T754" s="1" t="str">
        <f>IFERROR(INDEX(_INDICATOR_[],MATCH(ВСЕ_КОДЫ[[#This Row],[CONTEST_CODE]],_INDICATOR_[CONTEST_CODE],0),MATCH($T$1,_INDICATOR_[#Headers],0)),"-")</f>
        <v>-</v>
      </c>
      <c r="U754" s="1" t="str">
        <f>IFERROR(INDEX(_reward_link_[],MATCH(ВСЕ_КОДЫ[[#This Row],[CONTEST_CODE]],_reward_link_[CONTEST_CODE],0),MATCH($U$1,_reward_link_[#Headers],0)),"-")</f>
        <v>BANK</v>
      </c>
      <c r="V754" s="1" t="str">
        <f>IFERROR(INDEX(_report[],MATCH(ВСЕ_КОДЫ[[#This Row],[CONTEST_CODE]],_report[CONTEST_CODE],0),MATCH($V$1,_report[#Headers],0)),"-")</f>
        <v>-</v>
      </c>
      <c r="W754" s="1" t="str">
        <f>IFERROR(INDEX(_reward_[],MATCH(ВСЕ_КОДЫ[[#This Row],[REWARD_CODE]],_reward_[REWARD_CODE],0),MATCH($W$1,_reward_[#Headers],0)),"-")</f>
        <v>Благодарственное письмо родным</v>
      </c>
      <c r="X754" s="1" t="str">
        <f>IFERROR(INDEX(_group_[],MATCH(CONCATENATE(ВСЕ_КОДЫ[[#This Row],[CONTEST_CODE]],"_",X$2),#REF!,0),MATCH(X$1,_group_[#Headers],0)),"-")</f>
        <v>-</v>
      </c>
      <c r="Y754" s="1" t="str">
        <f>IFERROR(INDEX(_group_[],MATCH(CONCATENATE(ВСЕ_КОДЫ[[#This Row],[CONTEST_CODE]],"_",Y$2),#REF!,0),MATCH(Y$1,_group_[#Headers],0)),"-")</f>
        <v>-</v>
      </c>
      <c r="Z754" s="1" t="str">
        <f>IFERROR(INDEX(_group_[],MATCH(CONCATENATE(ВСЕ_КОДЫ[[#This Row],[CONTEST_CODE]],"_",Z$2),#REF!,0),MATCH(Z$1,_group_[#Headers],0)),"-")</f>
        <v>-</v>
      </c>
      <c r="AA754" s="1" t="str">
        <f>IFERROR(INDEX(_group_[],MATCH(CONCATENATE(ВСЕ_КОДЫ[[#This Row],[CONTEST_CODE]],"_",AA$2),#REF!,0),MATCH(AA$1,_group_[#Headers],0)),"-")</f>
        <v>-</v>
      </c>
      <c r="AB754" s="1" t="str">
        <f>IFERROR(INDEX(_DATA_[],MATCH(ВСЕ_КОДЫ[[#This Row],[CONTEST_CODE]],_DATA_[CONTEST_CODE],0),MATCH($AB$2,_DATA_[#Headers],0)),"-")</f>
        <v>["""KMKKSB"""]</v>
      </c>
      <c r="AC754" t="str">
        <f>CONCATENATE(ВСЕ_КОДЫ[[#This Row],[CONTEST_CODE]],"_",ВСЕ_КОДЫ[[#This Row],[TOURNAMENT_CODE]])</f>
        <v>CONTEST_999_-</v>
      </c>
      <c r="AD754" t="str">
        <f>ВСЕ_КОДЫ[[#This Row],[FULL_NAME]]</f>
        <v>товары</v>
      </c>
    </row>
    <row r="755" spans="1:30" hidden="1" x14ac:dyDescent="0.25">
      <c r="A755" s="1" t="s">
        <v>1702</v>
      </c>
      <c r="B755" s="1" t="s">
        <v>1064</v>
      </c>
      <c r="C755" s="1" t="s">
        <v>1980</v>
      </c>
      <c r="D755" s="1" t="s">
        <v>583</v>
      </c>
      <c r="E755" s="1" t="s">
        <v>1703</v>
      </c>
      <c r="F755" s="1" t="s">
        <v>26</v>
      </c>
      <c r="G755" s="1" t="s">
        <v>27</v>
      </c>
      <c r="H755" s="1" t="s">
        <v>34</v>
      </c>
      <c r="I755" s="1" t="s">
        <v>29</v>
      </c>
      <c r="J755" s="1"/>
      <c r="K755" s="1"/>
      <c r="L755" s="1"/>
      <c r="M755" s="1"/>
      <c r="N755" s="1" t="s">
        <v>1759</v>
      </c>
      <c r="O755" s="1" t="s">
        <v>1981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t="str">
        <f>CONCATENATE(ВСЕ_КОДЫ[[#This Row],[CONTEST_CODE]],"_",ВСЕ_КОДЫ[[#This Row],[TOURNAMENT_CODE]])</f>
        <v>CONTEST_999_-</v>
      </c>
      <c r="AD755" t="str">
        <f>ВСЕ_КОДЫ[[#This Row],[FULL_NAME]]</f>
        <v>товары</v>
      </c>
    </row>
    <row r="756" spans="1:30" hidden="1" x14ac:dyDescent="0.25">
      <c r="A756" s="1" t="s">
        <v>1702</v>
      </c>
      <c r="B756" s="1" t="s">
        <v>1064</v>
      </c>
      <c r="C756" s="1" t="s">
        <v>3613</v>
      </c>
      <c r="D756" s="1" t="s">
        <v>583</v>
      </c>
      <c r="E756" s="1" t="s">
        <v>1703</v>
      </c>
      <c r="F756" s="1" t="s">
        <v>26</v>
      </c>
      <c r="G756" s="1" t="s">
        <v>27</v>
      </c>
      <c r="H756" s="1" t="s">
        <v>34</v>
      </c>
      <c r="I756" s="1" t="s">
        <v>29</v>
      </c>
      <c r="J756" s="1"/>
      <c r="K756" s="1"/>
      <c r="L756" s="1"/>
      <c r="M756" s="1"/>
      <c r="N756" s="1" t="s">
        <v>1759</v>
      </c>
      <c r="O756" s="1" t="s">
        <v>1760</v>
      </c>
      <c r="AC756" t="str">
        <f>CONCATENATE(ВСЕ_КОДЫ[[#This Row],[CONTEST_CODE]],"_",ВСЕ_КОДЫ[[#This Row],[TOURNAMENT_CODE]])</f>
        <v>CONTEST_999_-</v>
      </c>
      <c r="AD756" t="str">
        <f>ВСЕ_КОДЫ[[#This Row],[FULL_NAME]]</f>
        <v>товары</v>
      </c>
    </row>
    <row r="757" spans="1:30" hidden="1" x14ac:dyDescent="0.25">
      <c r="A757" s="1" t="s">
        <v>1702</v>
      </c>
      <c r="B757" s="1" t="s">
        <v>1064</v>
      </c>
      <c r="C757" s="1" t="s">
        <v>3615</v>
      </c>
      <c r="D757" s="1" t="s">
        <v>583</v>
      </c>
      <c r="E757" s="1" t="s">
        <v>1703</v>
      </c>
      <c r="F757" s="1" t="s">
        <v>26</v>
      </c>
      <c r="G757" s="1" t="s">
        <v>27</v>
      </c>
      <c r="H757" s="1" t="s">
        <v>34</v>
      </c>
      <c r="I757" s="1" t="s">
        <v>29</v>
      </c>
      <c r="J757" s="1"/>
      <c r="K757" s="1"/>
      <c r="L757" s="1"/>
      <c r="M757" s="1"/>
      <c r="N757" s="1" t="s">
        <v>1759</v>
      </c>
      <c r="O757" s="1" t="s">
        <v>3633</v>
      </c>
      <c r="AC757" t="str">
        <f>CONCATENATE(ВСЕ_КОДЫ[[#This Row],[CONTEST_CODE]],"_",ВСЕ_КОДЫ[[#This Row],[TOURNAMENT_CODE]])</f>
        <v>CONTEST_999_-</v>
      </c>
      <c r="AD757" t="str">
        <f>ВСЕ_КОДЫ[[#This Row],[FULL_NAME]]</f>
        <v>товары</v>
      </c>
    </row>
    <row r="758" spans="1:30" hidden="1" x14ac:dyDescent="0.25">
      <c r="A758" s="1" t="s">
        <v>1702</v>
      </c>
      <c r="B758" s="1" t="s">
        <v>1064</v>
      </c>
      <c r="C758" s="1" t="s">
        <v>3617</v>
      </c>
      <c r="D758" s="1" t="s">
        <v>583</v>
      </c>
      <c r="E758" s="1" t="s">
        <v>1703</v>
      </c>
      <c r="F758" s="1" t="s">
        <v>26</v>
      </c>
      <c r="G758" s="1" t="s">
        <v>27</v>
      </c>
      <c r="H758" s="1" t="s">
        <v>34</v>
      </c>
      <c r="I758" s="1" t="s">
        <v>29</v>
      </c>
      <c r="J758" s="1"/>
      <c r="K758" s="1"/>
      <c r="L758" s="1"/>
      <c r="M758" s="1"/>
      <c r="N758" s="1" t="s">
        <v>1759</v>
      </c>
      <c r="O758" s="1" t="s">
        <v>1764</v>
      </c>
      <c r="AC758" t="str">
        <f>CONCATENATE(ВСЕ_КОДЫ[[#This Row],[CONTEST_CODE]],"_",ВСЕ_КОДЫ[[#This Row],[TOURNAMENT_CODE]])</f>
        <v>CONTEST_999_-</v>
      </c>
      <c r="AD758" t="str">
        <f>ВСЕ_КОДЫ[[#This Row],[FULL_NAME]]</f>
        <v>товары</v>
      </c>
    </row>
    <row r="759" spans="1:30" hidden="1" x14ac:dyDescent="0.25">
      <c r="A759" s="1" t="s">
        <v>1702</v>
      </c>
      <c r="B759" s="1" t="s">
        <v>1064</v>
      </c>
      <c r="C759" s="1" t="s">
        <v>3619</v>
      </c>
      <c r="D759" s="1" t="s">
        <v>583</v>
      </c>
      <c r="E759" s="1" t="s">
        <v>1703</v>
      </c>
      <c r="F759" s="1" t="s">
        <v>26</v>
      </c>
      <c r="G759" s="1" t="s">
        <v>27</v>
      </c>
      <c r="H759" s="1" t="s">
        <v>34</v>
      </c>
      <c r="I759" s="1" t="s">
        <v>29</v>
      </c>
      <c r="J759" s="1"/>
      <c r="K759" s="1"/>
      <c r="L759" s="1"/>
      <c r="M759" s="1"/>
      <c r="N759" s="1" t="s">
        <v>1759</v>
      </c>
      <c r="O759" s="1" t="s">
        <v>1770</v>
      </c>
      <c r="AC759" t="str">
        <f>CONCATENATE(ВСЕ_КОДЫ[[#This Row],[CONTEST_CODE]],"_",ВСЕ_КОДЫ[[#This Row],[TOURNAMENT_CODE]])</f>
        <v>CONTEST_999_-</v>
      </c>
      <c r="AD759" t="str">
        <f>ВСЕ_КОДЫ[[#This Row],[FULL_NAME]]</f>
        <v>товары</v>
      </c>
    </row>
    <row r="760" spans="1:30" hidden="1" x14ac:dyDescent="0.25">
      <c r="A760" s="1" t="s">
        <v>1702</v>
      </c>
      <c r="B760" s="1" t="s">
        <v>1064</v>
      </c>
      <c r="C760" s="1" t="s">
        <v>3621</v>
      </c>
      <c r="D760" s="1" t="s">
        <v>583</v>
      </c>
      <c r="E760" s="1" t="s">
        <v>1703</v>
      </c>
      <c r="F760" s="1" t="s">
        <v>26</v>
      </c>
      <c r="G760" s="1" t="s">
        <v>27</v>
      </c>
      <c r="H760" s="1" t="s">
        <v>34</v>
      </c>
      <c r="I760" s="1" t="s">
        <v>29</v>
      </c>
      <c r="J760" s="1"/>
      <c r="K760" s="1"/>
      <c r="L760" s="1"/>
      <c r="M760" s="1"/>
      <c r="N760" s="1" t="s">
        <v>1759</v>
      </c>
      <c r="O760" s="1" t="s">
        <v>1772</v>
      </c>
      <c r="AC760" t="str">
        <f>CONCATENATE(ВСЕ_КОДЫ[[#This Row],[CONTEST_CODE]],"_",ВСЕ_КОДЫ[[#This Row],[TOURNAMENT_CODE]])</f>
        <v>CONTEST_999_-</v>
      </c>
      <c r="AD760" t="str">
        <f>ВСЕ_КОДЫ[[#This Row],[FULL_NAME]]</f>
        <v>товары</v>
      </c>
    </row>
    <row r="761" spans="1:30" hidden="1" x14ac:dyDescent="0.25">
      <c r="A761" s="1" t="s">
        <v>1702</v>
      </c>
      <c r="B761" s="1" t="s">
        <v>1064</v>
      </c>
      <c r="C761" s="1" t="s">
        <v>3623</v>
      </c>
      <c r="D761" s="1" t="s">
        <v>583</v>
      </c>
      <c r="E761" s="1" t="s">
        <v>1703</v>
      </c>
      <c r="F761" s="1" t="s">
        <v>26</v>
      </c>
      <c r="G761" s="1" t="s">
        <v>27</v>
      </c>
      <c r="H761" s="1" t="s">
        <v>34</v>
      </c>
      <c r="I761" s="1" t="s">
        <v>29</v>
      </c>
      <c r="J761" s="1"/>
      <c r="K761" s="1"/>
      <c r="L761" s="1"/>
      <c r="M761" s="1"/>
      <c r="N761" s="1" t="s">
        <v>1759</v>
      </c>
      <c r="O761" s="1" t="s">
        <v>1774</v>
      </c>
      <c r="AC761" t="str">
        <f>CONCATENATE(ВСЕ_КОДЫ[[#This Row],[CONTEST_CODE]],"_",ВСЕ_КОДЫ[[#This Row],[TOURNAMENT_CODE]])</f>
        <v>CONTEST_999_-</v>
      </c>
      <c r="AD761" t="str">
        <f>ВСЕ_КОДЫ[[#This Row],[FULL_NAME]]</f>
        <v>товары</v>
      </c>
    </row>
    <row r="762" spans="1:30" hidden="1" x14ac:dyDescent="0.25">
      <c r="A762" s="1" t="s">
        <v>1702</v>
      </c>
      <c r="B762" s="1" t="s">
        <v>1064</v>
      </c>
      <c r="C762" s="1" t="s">
        <v>3625</v>
      </c>
      <c r="D762" s="1" t="s">
        <v>583</v>
      </c>
      <c r="E762" s="1" t="s">
        <v>1703</v>
      </c>
      <c r="F762" s="1" t="s">
        <v>26</v>
      </c>
      <c r="G762" s="1" t="s">
        <v>27</v>
      </c>
      <c r="H762" s="1" t="s">
        <v>34</v>
      </c>
      <c r="I762" s="1" t="s">
        <v>29</v>
      </c>
      <c r="J762" s="1"/>
      <c r="K762" s="1"/>
      <c r="L762" s="1"/>
      <c r="M762" s="1"/>
      <c r="N762" s="1" t="s">
        <v>1759</v>
      </c>
      <c r="O762" s="1" t="s">
        <v>1776</v>
      </c>
      <c r="AC762" t="str">
        <f>CONCATENATE(ВСЕ_КОДЫ[[#This Row],[CONTEST_CODE]],"_",ВСЕ_КОДЫ[[#This Row],[TOURNAMENT_CODE]])</f>
        <v>CONTEST_999_-</v>
      </c>
      <c r="AD762" t="str">
        <f>ВСЕ_КОДЫ[[#This Row],[FULL_NAME]]</f>
        <v>товары</v>
      </c>
    </row>
    <row r="763" spans="1:30" hidden="1" x14ac:dyDescent="0.25">
      <c r="A763" s="1" t="s">
        <v>1702</v>
      </c>
      <c r="B763" s="1" t="s">
        <v>1064</v>
      </c>
      <c r="C763" s="1" t="s">
        <v>3627</v>
      </c>
      <c r="D763" s="1" t="s">
        <v>583</v>
      </c>
      <c r="E763" s="1" t="s">
        <v>1703</v>
      </c>
      <c r="F763" s="1" t="s">
        <v>26</v>
      </c>
      <c r="G763" s="1" t="s">
        <v>27</v>
      </c>
      <c r="H763" s="1" t="s">
        <v>34</v>
      </c>
      <c r="I763" s="1" t="s">
        <v>29</v>
      </c>
      <c r="J763" s="1"/>
      <c r="K763" s="1"/>
      <c r="L763" s="1"/>
      <c r="M763" s="1"/>
      <c r="N763" s="1" t="s">
        <v>1759</v>
      </c>
      <c r="O763" s="1" t="s">
        <v>3634</v>
      </c>
      <c r="AC763" t="str">
        <f>CONCATENATE(ВСЕ_КОДЫ[[#This Row],[CONTEST_CODE]],"_",ВСЕ_КОДЫ[[#This Row],[TOURNAMENT_CODE]])</f>
        <v>CONTEST_999_-</v>
      </c>
      <c r="AD763" t="str">
        <f>ВСЕ_КОДЫ[[#This Row],[FULL_NAME]]</f>
        <v>товары</v>
      </c>
    </row>
    <row r="764" spans="1:30" hidden="1" x14ac:dyDescent="0.25">
      <c r="A764" s="1" t="s">
        <v>1702</v>
      </c>
      <c r="B764" s="1" t="s">
        <v>1064</v>
      </c>
      <c r="C764" s="1" t="s">
        <v>3629</v>
      </c>
      <c r="D764" s="1" t="s">
        <v>583</v>
      </c>
      <c r="E764" s="1" t="s">
        <v>1703</v>
      </c>
      <c r="F764" s="1" t="s">
        <v>26</v>
      </c>
      <c r="G764" s="1" t="s">
        <v>27</v>
      </c>
      <c r="H764" s="1" t="s">
        <v>34</v>
      </c>
      <c r="I764" s="1" t="s">
        <v>29</v>
      </c>
      <c r="J764" s="1"/>
      <c r="K764" s="1"/>
      <c r="L764" s="1"/>
      <c r="M764" s="1"/>
      <c r="N764" s="1" t="s">
        <v>1759</v>
      </c>
      <c r="O764" s="1" t="s">
        <v>1779</v>
      </c>
      <c r="AC764" t="str">
        <f>CONCATENATE(ВСЕ_КОДЫ[[#This Row],[CONTEST_CODE]],"_",ВСЕ_КОДЫ[[#This Row],[TOURNAMENT_CODE]])</f>
        <v>CONTEST_999_-</v>
      </c>
      <c r="AD764" t="str">
        <f>ВСЕ_КОДЫ[[#This Row],[FULL_NAME]]</f>
        <v>товары</v>
      </c>
    </row>
    <row r="765" spans="1:30" hidden="1" x14ac:dyDescent="0.25">
      <c r="A765" s="1" t="s">
        <v>1702</v>
      </c>
      <c r="B765" s="1" t="s">
        <v>1064</v>
      </c>
      <c r="C765" s="1" t="s">
        <v>3631</v>
      </c>
      <c r="D765" s="1" t="s">
        <v>583</v>
      </c>
      <c r="E765" s="1" t="s">
        <v>1703</v>
      </c>
      <c r="F765" s="1" t="s">
        <v>26</v>
      </c>
      <c r="G765" s="1" t="s">
        <v>27</v>
      </c>
      <c r="H765" s="1" t="s">
        <v>34</v>
      </c>
      <c r="I765" s="1" t="s">
        <v>29</v>
      </c>
      <c r="J765" s="1"/>
      <c r="K765" s="1"/>
      <c r="L765" s="1"/>
      <c r="M765" s="1"/>
      <c r="N765" s="1" t="s">
        <v>1759</v>
      </c>
      <c r="O765" s="1" t="s">
        <v>1790</v>
      </c>
      <c r="AC765" t="str">
        <f>CONCATENATE(ВСЕ_КОДЫ[[#This Row],[CONTEST_CODE]],"_",ВСЕ_КОДЫ[[#This Row],[TOURNAMENT_CODE]])</f>
        <v>CONTEST_999_-</v>
      </c>
      <c r="AD765" t="str">
        <f>ВСЕ_КОДЫ[[#This Row],[FULL_NAME]]</f>
        <v>товары</v>
      </c>
    </row>
    <row r="766" spans="1:30" hidden="1" x14ac:dyDescent="0.25">
      <c r="A766" s="1" t="s">
        <v>1677</v>
      </c>
      <c r="B766" s="1" t="s">
        <v>1064</v>
      </c>
      <c r="C766" s="1" t="s">
        <v>1689</v>
      </c>
      <c r="D766" s="1" t="s">
        <v>583</v>
      </c>
      <c r="E766" s="1" t="s">
        <v>1436</v>
      </c>
      <c r="F766" s="1" t="s">
        <v>26</v>
      </c>
      <c r="G766" s="1" t="s">
        <v>27</v>
      </c>
      <c r="H766" s="1" t="s">
        <v>28</v>
      </c>
      <c r="I766" s="1" t="s">
        <v>29</v>
      </c>
      <c r="J766" s="1"/>
      <c r="K766" s="1"/>
      <c r="L766" s="1"/>
      <c r="M766" s="1"/>
      <c r="N766" s="1" t="s">
        <v>305</v>
      </c>
      <c r="O766" s="1" t="s">
        <v>1436</v>
      </c>
      <c r="AC766" t="str">
        <f>CONCATENATE(ВСЕ_КОДЫ[[#This Row],[CONTEST_CODE]],"_",ВСЕ_КОДЫ[[#This Row],[TOURNAMENT_CODE]])</f>
        <v>CONTEST_m_09_-</v>
      </c>
      <c r="AD766" t="str">
        <f>ВСЕ_КОДЫ[[#This Row],[FULL_NAME]]</f>
        <v>Призер конкурса лучший по профессии</v>
      </c>
    </row>
    <row r="767" spans="1:30" hidden="1" x14ac:dyDescent="0.25">
      <c r="A767" s="1" t="s">
        <v>1679</v>
      </c>
      <c r="B767" s="1" t="s">
        <v>1064</v>
      </c>
      <c r="C767" s="1" t="s">
        <v>1691</v>
      </c>
      <c r="D767" s="1" t="s">
        <v>583</v>
      </c>
      <c r="E767" s="1" t="s">
        <v>1437</v>
      </c>
      <c r="F767" s="1" t="s">
        <v>26</v>
      </c>
      <c r="G767" s="1" t="s">
        <v>27</v>
      </c>
      <c r="H767" s="1" t="s">
        <v>28</v>
      </c>
      <c r="I767" s="1" t="s">
        <v>29</v>
      </c>
      <c r="J767" s="1"/>
      <c r="K767" s="1"/>
      <c r="L767" s="1"/>
      <c r="M767" s="1"/>
      <c r="N767" s="1" t="s">
        <v>305</v>
      </c>
      <c r="O767" s="1" t="s">
        <v>1437</v>
      </c>
      <c r="AC767" t="str">
        <f>CONCATENATE(ВСЕ_КОДЫ[[#This Row],[CONTEST_CODE]],"_",ВСЕ_КОДЫ[[#This Row],[TOURNAMENT_CODE]])</f>
        <v>CONTEST_m_10_-</v>
      </c>
      <c r="AD767" t="str">
        <f>ВСЕ_КОДЫ[[#This Row],[FULL_NAME]]</f>
        <v>Победитель конкурса лучший по профессии</v>
      </c>
    </row>
    <row r="768" spans="1:30" hidden="1" x14ac:dyDescent="0.25">
      <c r="A768" s="1" t="s">
        <v>1064</v>
      </c>
      <c r="B768" s="1" t="s">
        <v>1064</v>
      </c>
      <c r="C768" s="1" t="s">
        <v>2426</v>
      </c>
      <c r="D768" s="1" t="s">
        <v>1064</v>
      </c>
      <c r="E768" s="1"/>
      <c r="F768" s="1"/>
      <c r="G768" s="1"/>
      <c r="H768" s="1"/>
      <c r="I768" s="1"/>
      <c r="J768" s="1"/>
      <c r="K768" s="1"/>
      <c r="L768" s="1"/>
      <c r="M768" s="1"/>
      <c r="N768" s="1" t="s">
        <v>305</v>
      </c>
      <c r="O768" s="1" t="s">
        <v>2762</v>
      </c>
      <c r="AC768" t="str">
        <f>CONCATENATE(ВСЕ_КОДЫ[[#This Row],[CONTEST_CODE]],"_",ВСЕ_КОДЫ[[#This Row],[TOURNAMENT_CODE]])</f>
        <v>-_-</v>
      </c>
      <c r="AD768">
        <f>ВСЕ_КОДЫ[[#This Row],[FULL_NAME]]</f>
        <v>0</v>
      </c>
    </row>
    <row r="769" spans="1:15" hidden="1" x14ac:dyDescent="0.25">
      <c r="A769" s="1" t="s">
        <v>1064</v>
      </c>
      <c r="B769" s="1" t="s">
        <v>1064</v>
      </c>
      <c r="C769" s="1" t="s">
        <v>2430</v>
      </c>
      <c r="D769" s="1" t="s">
        <v>1064</v>
      </c>
      <c r="E769" s="1"/>
      <c r="F769" s="1"/>
      <c r="G769" s="1"/>
      <c r="H769" s="1"/>
      <c r="I769" s="1"/>
      <c r="J769" s="1"/>
      <c r="K769" s="1"/>
      <c r="L769" s="1"/>
      <c r="M769" s="1"/>
      <c r="N769" s="1" t="s">
        <v>305</v>
      </c>
      <c r="O769" s="1" t="s">
        <v>2765</v>
      </c>
    </row>
    <row r="770" spans="1:15" hidden="1" x14ac:dyDescent="0.25">
      <c r="A770" s="1" t="s">
        <v>1064</v>
      </c>
      <c r="B770" s="1" t="s">
        <v>1064</v>
      </c>
      <c r="C770" s="1" t="s">
        <v>2439</v>
      </c>
      <c r="D770" s="1" t="s">
        <v>1064</v>
      </c>
      <c r="E770" s="1"/>
      <c r="F770" s="1"/>
      <c r="G770" s="1"/>
      <c r="H770" s="1"/>
      <c r="I770" s="1"/>
      <c r="J770" s="1"/>
      <c r="K770" s="1"/>
      <c r="L770" s="1"/>
      <c r="M770" s="1"/>
      <c r="N770" s="1" t="s">
        <v>305</v>
      </c>
      <c r="O770" s="1" t="s">
        <v>2771</v>
      </c>
    </row>
    <row r="771" spans="1:15" hidden="1" x14ac:dyDescent="0.25">
      <c r="A771" s="1" t="s">
        <v>1064</v>
      </c>
      <c r="B771" s="1" t="s">
        <v>1064</v>
      </c>
      <c r="C771" s="1" t="s">
        <v>2773</v>
      </c>
      <c r="D771" s="1" t="s">
        <v>1064</v>
      </c>
      <c r="E771" s="1"/>
      <c r="F771" s="1"/>
      <c r="G771" s="1"/>
      <c r="H771" s="1"/>
      <c r="I771" s="1"/>
      <c r="J771" s="1"/>
      <c r="K771" s="1"/>
      <c r="L771" s="1"/>
      <c r="M771" s="1"/>
      <c r="N771" s="1" t="s">
        <v>305</v>
      </c>
      <c r="O771" s="1" t="s">
        <v>2774</v>
      </c>
    </row>
    <row r="772" spans="1:15" hidden="1" x14ac:dyDescent="0.25">
      <c r="A772" s="1" t="s">
        <v>1064</v>
      </c>
      <c r="B772" s="1" t="s">
        <v>1064</v>
      </c>
      <c r="C772" s="1" t="s">
        <v>2775</v>
      </c>
      <c r="D772" s="1" t="s">
        <v>1064</v>
      </c>
      <c r="E772" s="1"/>
      <c r="F772" s="1"/>
      <c r="G772" s="1"/>
      <c r="H772" s="1"/>
      <c r="I772" s="1"/>
      <c r="J772" s="1"/>
      <c r="K772" s="1"/>
      <c r="L772" s="1"/>
      <c r="M772" s="1"/>
      <c r="N772" s="1" t="s">
        <v>305</v>
      </c>
      <c r="O772" s="1" t="s">
        <v>2776</v>
      </c>
    </row>
    <row r="773" spans="1:15" hidden="1" x14ac:dyDescent="0.25">
      <c r="A773" s="1" t="s">
        <v>1064</v>
      </c>
      <c r="B773" s="1" t="s">
        <v>1064</v>
      </c>
      <c r="C773" s="1" t="s">
        <v>2779</v>
      </c>
      <c r="D773" s="1" t="s">
        <v>1064</v>
      </c>
      <c r="E773" s="1"/>
      <c r="F773" s="1"/>
      <c r="G773" s="1"/>
      <c r="H773" s="1"/>
      <c r="I773" s="1"/>
      <c r="J773" s="1"/>
      <c r="K773" s="1"/>
      <c r="L773" s="1"/>
      <c r="M773" s="1"/>
      <c r="N773" s="1" t="s">
        <v>305</v>
      </c>
      <c r="O773" s="1" t="s">
        <v>2780</v>
      </c>
    </row>
    <row r="774" spans="1:15" hidden="1" x14ac:dyDescent="0.25">
      <c r="A774" s="1" t="s">
        <v>1064</v>
      </c>
      <c r="B774" s="1" t="s">
        <v>1064</v>
      </c>
      <c r="C774" s="1" t="s">
        <v>2781</v>
      </c>
      <c r="D774" s="1" t="s">
        <v>1064</v>
      </c>
      <c r="E774" s="1"/>
      <c r="F774" s="1"/>
      <c r="G774" s="1"/>
      <c r="H774" s="1"/>
      <c r="I774" s="1"/>
      <c r="J774" s="1"/>
      <c r="K774" s="1"/>
      <c r="L774" s="1"/>
      <c r="M774" s="1"/>
      <c r="N774" s="1" t="s">
        <v>305</v>
      </c>
      <c r="O774" s="1" t="s">
        <v>2782</v>
      </c>
    </row>
    <row r="775" spans="1:15" hidden="1" x14ac:dyDescent="0.25">
      <c r="A775" s="1" t="s">
        <v>1064</v>
      </c>
      <c r="B775" s="1" t="s">
        <v>1064</v>
      </c>
      <c r="C775" s="1" t="s">
        <v>2450</v>
      </c>
      <c r="D775" s="1" t="s">
        <v>1064</v>
      </c>
      <c r="E775" s="1"/>
      <c r="F775" s="1"/>
      <c r="G775" s="1"/>
      <c r="H775" s="1"/>
      <c r="I775" s="1"/>
      <c r="J775" s="1"/>
      <c r="K775" s="1"/>
      <c r="L775" s="1"/>
      <c r="M775" s="1"/>
      <c r="N775" s="1" t="s">
        <v>305</v>
      </c>
      <c r="O775" s="1" t="s">
        <v>2765</v>
      </c>
    </row>
    <row r="776" spans="1:15" hidden="1" x14ac:dyDescent="0.25">
      <c r="A776" s="1" t="s">
        <v>1064</v>
      </c>
      <c r="B776" s="1" t="s">
        <v>1064</v>
      </c>
      <c r="C776" s="1" t="s">
        <v>2471</v>
      </c>
      <c r="D776" s="1" t="s">
        <v>1064</v>
      </c>
      <c r="E776" s="1"/>
      <c r="F776" s="1"/>
      <c r="G776" s="1"/>
      <c r="H776" s="1"/>
      <c r="I776" s="1"/>
      <c r="J776" s="1"/>
      <c r="K776" s="1"/>
      <c r="L776" s="1"/>
      <c r="M776" s="1"/>
      <c r="N776" s="1" t="s">
        <v>305</v>
      </c>
      <c r="O776" s="1" t="s">
        <v>2764</v>
      </c>
    </row>
    <row r="777" spans="1:15" hidden="1" x14ac:dyDescent="0.25">
      <c r="A777" s="1" t="s">
        <v>1064</v>
      </c>
      <c r="B777" s="1" t="s">
        <v>1064</v>
      </c>
      <c r="C777" s="1" t="s">
        <v>2472</v>
      </c>
      <c r="D777" s="1" t="s">
        <v>1064</v>
      </c>
      <c r="E777" s="1"/>
      <c r="F777" s="1"/>
      <c r="G777" s="1"/>
      <c r="H777" s="1"/>
      <c r="I777" s="1"/>
      <c r="J777" s="1"/>
      <c r="K777" s="1"/>
      <c r="L777" s="1"/>
      <c r="M777" s="1"/>
      <c r="N777" s="1" t="s">
        <v>305</v>
      </c>
      <c r="O777" s="1" t="s">
        <v>2765</v>
      </c>
    </row>
    <row r="778" spans="1:15" hidden="1" x14ac:dyDescent="0.25">
      <c r="A778" s="1" t="s">
        <v>1064</v>
      </c>
      <c r="B778" s="1" t="s">
        <v>1064</v>
      </c>
      <c r="C778" s="1" t="s">
        <v>341</v>
      </c>
      <c r="D778" s="1" t="s">
        <v>1064</v>
      </c>
      <c r="E778" s="1"/>
      <c r="F778" s="1"/>
      <c r="G778" s="1"/>
      <c r="H778" s="1"/>
      <c r="I778" s="1"/>
      <c r="J778" s="1"/>
      <c r="K778" s="1"/>
      <c r="L778" s="1"/>
      <c r="M778" s="1"/>
      <c r="N778" s="1" t="s">
        <v>305</v>
      </c>
      <c r="O778" s="1" t="s">
        <v>334</v>
      </c>
    </row>
    <row r="779" spans="1:15" hidden="1" x14ac:dyDescent="0.25">
      <c r="A779" s="1" t="s">
        <v>1064</v>
      </c>
      <c r="B779" s="1" t="s">
        <v>1064</v>
      </c>
      <c r="C779" s="1" t="s">
        <v>344</v>
      </c>
      <c r="D779" s="1" t="s">
        <v>1064</v>
      </c>
      <c r="E779" s="1"/>
      <c r="F779" s="1"/>
      <c r="G779" s="1"/>
      <c r="H779" s="1"/>
      <c r="I779" s="1"/>
      <c r="J779" s="1"/>
      <c r="K779" s="1"/>
      <c r="L779" s="1"/>
      <c r="M779" s="1"/>
      <c r="N779" s="1" t="s">
        <v>305</v>
      </c>
      <c r="O779" s="1" t="s">
        <v>345</v>
      </c>
    </row>
    <row r="780" spans="1:15" hidden="1" x14ac:dyDescent="0.25">
      <c r="A780" s="1" t="s">
        <v>1064</v>
      </c>
      <c r="B780" s="1" t="s">
        <v>1064</v>
      </c>
      <c r="C780" s="1" t="s">
        <v>347</v>
      </c>
      <c r="D780" s="1" t="s">
        <v>1064</v>
      </c>
      <c r="E780" s="1"/>
      <c r="F780" s="1"/>
      <c r="G780" s="1"/>
      <c r="H780" s="1"/>
      <c r="I780" s="1"/>
      <c r="J780" s="1"/>
      <c r="K780" s="1"/>
      <c r="L780" s="1"/>
      <c r="M780" s="1"/>
      <c r="N780" s="1" t="s">
        <v>305</v>
      </c>
      <c r="O780" s="1" t="s">
        <v>348</v>
      </c>
    </row>
    <row r="781" spans="1:15" hidden="1" x14ac:dyDescent="0.25">
      <c r="A781" s="1" t="s">
        <v>1064</v>
      </c>
      <c r="B781" s="1" t="s">
        <v>1064</v>
      </c>
      <c r="C781" s="1" t="s">
        <v>356</v>
      </c>
      <c r="D781" s="1" t="s">
        <v>1064</v>
      </c>
      <c r="E781" s="1"/>
      <c r="F781" s="1"/>
      <c r="G781" s="1"/>
      <c r="H781" s="1"/>
      <c r="I781" s="1"/>
      <c r="J781" s="1"/>
      <c r="K781" s="1"/>
      <c r="L781" s="1"/>
      <c r="M781" s="1"/>
      <c r="N781" s="1" t="s">
        <v>305</v>
      </c>
      <c r="O781" s="1" t="s">
        <v>351</v>
      </c>
    </row>
    <row r="782" spans="1:15" hidden="1" x14ac:dyDescent="0.25">
      <c r="A782" s="1" t="s">
        <v>1064</v>
      </c>
      <c r="B782" s="1" t="s">
        <v>1064</v>
      </c>
      <c r="C782" s="1" t="s">
        <v>357</v>
      </c>
      <c r="D782" s="1" t="s">
        <v>1064</v>
      </c>
      <c r="E782" s="1"/>
      <c r="F782" s="1"/>
      <c r="G782" s="1"/>
      <c r="H782" s="1"/>
      <c r="I782" s="1"/>
      <c r="J782" s="1"/>
      <c r="K782" s="1"/>
      <c r="L782" s="1"/>
      <c r="M782" s="1"/>
      <c r="N782" s="1" t="s">
        <v>305</v>
      </c>
      <c r="O782" s="1" t="s">
        <v>354</v>
      </c>
    </row>
    <row r="783" spans="1:15" hidden="1" x14ac:dyDescent="0.25">
      <c r="A783" s="1" t="s">
        <v>1064</v>
      </c>
      <c r="B783" s="1" t="s">
        <v>1064</v>
      </c>
      <c r="C783" s="1" t="s">
        <v>1440</v>
      </c>
      <c r="D783" s="1" t="s">
        <v>1064</v>
      </c>
      <c r="E783" s="1"/>
      <c r="F783" s="1"/>
      <c r="G783" s="1"/>
      <c r="H783" s="1"/>
      <c r="I783" s="1"/>
      <c r="J783" s="1"/>
      <c r="K783" s="1"/>
      <c r="L783" s="1"/>
      <c r="M783" s="1"/>
      <c r="N783" s="1" t="s">
        <v>305</v>
      </c>
      <c r="O783" s="1" t="s">
        <v>1441</v>
      </c>
    </row>
    <row r="784" spans="1:15" hidden="1" x14ac:dyDescent="0.25">
      <c r="A784" s="1" t="s">
        <v>1064</v>
      </c>
      <c r="B784" s="1" t="s">
        <v>1064</v>
      </c>
      <c r="C784" s="1" t="s">
        <v>1443</v>
      </c>
      <c r="D784" s="1" t="s">
        <v>1064</v>
      </c>
      <c r="E784" s="1"/>
      <c r="F784" s="1"/>
      <c r="G784" s="1"/>
      <c r="H784" s="1"/>
      <c r="I784" s="1"/>
      <c r="J784" s="1"/>
      <c r="K784" s="1"/>
      <c r="L784" s="1"/>
      <c r="M784" s="1"/>
      <c r="N784" s="1" t="s">
        <v>305</v>
      </c>
      <c r="O784" s="1" t="s">
        <v>1444</v>
      </c>
    </row>
    <row r="785" spans="1:15" hidden="1" x14ac:dyDescent="0.25">
      <c r="A785" s="1" t="s">
        <v>1064</v>
      </c>
      <c r="B785" s="1" t="s">
        <v>1064</v>
      </c>
      <c r="C785" s="1" t="s">
        <v>1446</v>
      </c>
      <c r="D785" s="1" t="s">
        <v>1064</v>
      </c>
      <c r="E785" s="1"/>
      <c r="F785" s="1"/>
      <c r="G785" s="1"/>
      <c r="H785" s="1"/>
      <c r="I785" s="1"/>
      <c r="J785" s="1"/>
      <c r="K785" s="1"/>
      <c r="L785" s="1"/>
      <c r="M785" s="1"/>
      <c r="N785" s="1" t="s">
        <v>305</v>
      </c>
      <c r="O785" s="1" t="s">
        <v>1447</v>
      </c>
    </row>
    <row r="786" spans="1:15" hidden="1" x14ac:dyDescent="0.25">
      <c r="A786" s="1" t="s">
        <v>1064</v>
      </c>
      <c r="B786" s="1" t="s">
        <v>1064</v>
      </c>
      <c r="C786" s="1" t="s">
        <v>383</v>
      </c>
      <c r="D786" s="1" t="s">
        <v>1064</v>
      </c>
      <c r="E786" s="1"/>
      <c r="F786" s="1"/>
      <c r="G786" s="1"/>
      <c r="H786" s="1"/>
      <c r="I786" s="1"/>
      <c r="J786" s="1"/>
      <c r="K786" s="1"/>
      <c r="L786" s="1"/>
      <c r="M786" s="1"/>
      <c r="N786" s="1" t="s">
        <v>305</v>
      </c>
      <c r="O786" s="1" t="s">
        <v>384</v>
      </c>
    </row>
    <row r="787" spans="1:15" hidden="1" x14ac:dyDescent="0.25">
      <c r="A787" s="1" t="s">
        <v>1064</v>
      </c>
      <c r="B787" s="1" t="s">
        <v>1064</v>
      </c>
      <c r="C787" s="1" t="s">
        <v>386</v>
      </c>
      <c r="D787" s="1" t="s">
        <v>1064</v>
      </c>
      <c r="E787" s="1"/>
      <c r="F787" s="1"/>
      <c r="G787" s="1"/>
      <c r="H787" s="1"/>
      <c r="I787" s="1"/>
      <c r="J787" s="1"/>
      <c r="K787" s="1"/>
      <c r="L787" s="1"/>
      <c r="M787" s="1"/>
      <c r="N787" s="1" t="s">
        <v>305</v>
      </c>
      <c r="O787" s="1" t="s">
        <v>387</v>
      </c>
    </row>
    <row r="788" spans="1:15" hidden="1" x14ac:dyDescent="0.25">
      <c r="A788" s="1" t="s">
        <v>1064</v>
      </c>
      <c r="B788" s="1" t="s">
        <v>1064</v>
      </c>
      <c r="C788" s="1" t="s">
        <v>395</v>
      </c>
      <c r="D788" s="1" t="s">
        <v>1064</v>
      </c>
      <c r="E788" s="1"/>
      <c r="F788" s="1"/>
      <c r="G788" s="1"/>
      <c r="H788" s="1"/>
      <c r="I788" s="1"/>
      <c r="J788" s="1"/>
      <c r="K788" s="1"/>
      <c r="L788" s="1"/>
      <c r="M788" s="1"/>
      <c r="N788" s="1" t="s">
        <v>305</v>
      </c>
      <c r="O788" s="1" t="s">
        <v>396</v>
      </c>
    </row>
    <row r="789" spans="1:15" hidden="1" x14ac:dyDescent="0.25">
      <c r="A789" s="1" t="s">
        <v>1064</v>
      </c>
      <c r="B789" s="1" t="s">
        <v>1064</v>
      </c>
      <c r="C789" s="1" t="s">
        <v>398</v>
      </c>
      <c r="D789" s="1" t="s">
        <v>1064</v>
      </c>
      <c r="E789" s="1"/>
      <c r="F789" s="1"/>
      <c r="G789" s="1"/>
      <c r="H789" s="1"/>
      <c r="I789" s="1"/>
      <c r="J789" s="1"/>
      <c r="K789" s="1"/>
      <c r="L789" s="1"/>
      <c r="M789" s="1"/>
      <c r="N789" s="1" t="s">
        <v>305</v>
      </c>
      <c r="O789" s="1" t="s">
        <v>399</v>
      </c>
    </row>
    <row r="790" spans="1:15" hidden="1" x14ac:dyDescent="0.25">
      <c r="A790" s="1" t="s">
        <v>1064</v>
      </c>
      <c r="B790" s="1" t="s">
        <v>1064</v>
      </c>
      <c r="C790" s="1" t="s">
        <v>401</v>
      </c>
      <c r="D790" s="1" t="s">
        <v>1064</v>
      </c>
      <c r="E790" s="1"/>
      <c r="F790" s="1"/>
      <c r="G790" s="1"/>
      <c r="H790" s="1"/>
      <c r="I790" s="1"/>
      <c r="J790" s="1"/>
      <c r="K790" s="1"/>
      <c r="L790" s="1"/>
      <c r="M790" s="1"/>
      <c r="N790" s="1" t="s">
        <v>305</v>
      </c>
      <c r="O790" s="1" t="s">
        <v>402</v>
      </c>
    </row>
    <row r="791" spans="1:15" hidden="1" x14ac:dyDescent="0.25">
      <c r="A791" s="1" t="s">
        <v>1064</v>
      </c>
      <c r="B791" s="1" t="s">
        <v>1064</v>
      </c>
      <c r="C791" s="1" t="s">
        <v>407</v>
      </c>
      <c r="D791" s="1" t="s">
        <v>1064</v>
      </c>
      <c r="E791" s="1"/>
      <c r="F791" s="1"/>
      <c r="G791" s="1"/>
      <c r="H791" s="1"/>
      <c r="I791" s="1"/>
      <c r="J791" s="1"/>
      <c r="K791" s="1"/>
      <c r="L791" s="1"/>
      <c r="M791" s="1"/>
      <c r="N791" s="1" t="s">
        <v>305</v>
      </c>
      <c r="O791" s="1" t="s">
        <v>408</v>
      </c>
    </row>
    <row r="792" spans="1:15" hidden="1" x14ac:dyDescent="0.25">
      <c r="A792" s="1" t="s">
        <v>1064</v>
      </c>
      <c r="B792" s="1" t="s">
        <v>1064</v>
      </c>
      <c r="C792" s="1" t="s">
        <v>410</v>
      </c>
      <c r="D792" s="1" t="s">
        <v>1064</v>
      </c>
      <c r="E792" s="1"/>
      <c r="F792" s="1"/>
      <c r="G792" s="1"/>
      <c r="H792" s="1"/>
      <c r="I792" s="1"/>
      <c r="J792" s="1"/>
      <c r="K792" s="1"/>
      <c r="L792" s="1"/>
      <c r="M792" s="1"/>
      <c r="N792" s="1" t="s">
        <v>305</v>
      </c>
      <c r="O792" s="1" t="s">
        <v>411</v>
      </c>
    </row>
    <row r="793" spans="1:15" hidden="1" x14ac:dyDescent="0.25">
      <c r="A793" s="1" t="s">
        <v>1064</v>
      </c>
      <c r="B793" s="1" t="s">
        <v>1064</v>
      </c>
      <c r="C793" s="1" t="s">
        <v>413</v>
      </c>
      <c r="D793" s="1" t="s">
        <v>1064</v>
      </c>
      <c r="E793" s="1"/>
      <c r="F793" s="1"/>
      <c r="G793" s="1"/>
      <c r="H793" s="1"/>
      <c r="I793" s="1"/>
      <c r="J793" s="1"/>
      <c r="K793" s="1"/>
      <c r="L793" s="1"/>
      <c r="M793" s="1"/>
      <c r="N793" s="1" t="s">
        <v>305</v>
      </c>
      <c r="O793" s="1" t="s">
        <v>414</v>
      </c>
    </row>
    <row r="794" spans="1:15" hidden="1" x14ac:dyDescent="0.25">
      <c r="A794" s="1" t="s">
        <v>1064</v>
      </c>
      <c r="B794" s="1" t="s">
        <v>1064</v>
      </c>
      <c r="C794" s="1" t="s">
        <v>422</v>
      </c>
      <c r="D794" s="1" t="s">
        <v>1064</v>
      </c>
      <c r="E794" s="1"/>
      <c r="F794" s="1"/>
      <c r="G794" s="1"/>
      <c r="H794" s="1"/>
      <c r="I794" s="1"/>
      <c r="J794" s="1"/>
      <c r="K794" s="1"/>
      <c r="L794" s="1"/>
      <c r="M794" s="1"/>
      <c r="N794" s="1" t="s">
        <v>305</v>
      </c>
      <c r="O794" s="1" t="s">
        <v>423</v>
      </c>
    </row>
    <row r="795" spans="1:15" hidden="1" x14ac:dyDescent="0.25">
      <c r="A795" s="1" t="s">
        <v>1064</v>
      </c>
      <c r="B795" s="1" t="s">
        <v>1064</v>
      </c>
      <c r="C795" s="1" t="s">
        <v>431</v>
      </c>
      <c r="D795" s="1" t="s">
        <v>1064</v>
      </c>
      <c r="E795" s="1"/>
      <c r="F795" s="1"/>
      <c r="G795" s="1"/>
      <c r="H795" s="1"/>
      <c r="I795" s="1"/>
      <c r="J795" s="1"/>
      <c r="K795" s="1"/>
      <c r="L795" s="1"/>
      <c r="M795" s="1"/>
      <c r="N795" s="1" t="s">
        <v>305</v>
      </c>
      <c r="O795" s="1" t="s">
        <v>432</v>
      </c>
    </row>
    <row r="796" spans="1:15" hidden="1" x14ac:dyDescent="0.25">
      <c r="A796" s="1" t="s">
        <v>1064</v>
      </c>
      <c r="B796" s="1" t="s">
        <v>1064</v>
      </c>
      <c r="C796" s="1" t="s">
        <v>434</v>
      </c>
      <c r="D796" s="1" t="s">
        <v>1064</v>
      </c>
      <c r="E796" s="1"/>
      <c r="F796" s="1"/>
      <c r="G796" s="1"/>
      <c r="H796" s="1"/>
      <c r="I796" s="1"/>
      <c r="J796" s="1"/>
      <c r="K796" s="1"/>
      <c r="L796" s="1"/>
      <c r="M796" s="1"/>
      <c r="N796" s="1" t="s">
        <v>305</v>
      </c>
      <c r="O796" s="1" t="s">
        <v>435</v>
      </c>
    </row>
    <row r="797" spans="1:15" hidden="1" x14ac:dyDescent="0.25">
      <c r="A797" s="1" t="s">
        <v>1064</v>
      </c>
      <c r="B797" s="1" t="s">
        <v>1064</v>
      </c>
      <c r="C797" s="1" t="s">
        <v>442</v>
      </c>
      <c r="D797" s="1" t="s">
        <v>1064</v>
      </c>
      <c r="E797" s="1"/>
      <c r="F797" s="1"/>
      <c r="G797" s="1"/>
      <c r="H797" s="1"/>
      <c r="I797" s="1"/>
      <c r="J797" s="1"/>
      <c r="K797" s="1"/>
      <c r="L797" s="1"/>
      <c r="M797" s="1"/>
      <c r="N797" s="1" t="s">
        <v>305</v>
      </c>
      <c r="O797" s="1" t="s">
        <v>443</v>
      </c>
    </row>
    <row r="798" spans="1:15" hidden="1" x14ac:dyDescent="0.25">
      <c r="A798" s="1" t="s">
        <v>1064</v>
      </c>
      <c r="B798" s="1" t="s">
        <v>1064</v>
      </c>
      <c r="C798" s="1" t="s">
        <v>445</v>
      </c>
      <c r="D798" s="1" t="s">
        <v>1064</v>
      </c>
      <c r="E798" s="1"/>
      <c r="F798" s="1"/>
      <c r="G798" s="1"/>
      <c r="H798" s="1"/>
      <c r="I798" s="1"/>
      <c r="J798" s="1"/>
      <c r="K798" s="1"/>
      <c r="L798" s="1"/>
      <c r="M798" s="1"/>
      <c r="N798" s="1" t="s">
        <v>305</v>
      </c>
      <c r="O798" s="1" t="s">
        <v>446</v>
      </c>
    </row>
    <row r="799" spans="1:15" hidden="1" x14ac:dyDescent="0.25">
      <c r="A799" s="1" t="s">
        <v>1064</v>
      </c>
      <c r="B799" s="1" t="s">
        <v>1064</v>
      </c>
      <c r="C799" s="1" t="s">
        <v>457</v>
      </c>
      <c r="D799" s="1" t="s">
        <v>1064</v>
      </c>
      <c r="E799" s="1"/>
      <c r="F799" s="1"/>
      <c r="G799" s="1"/>
      <c r="H799" s="1"/>
      <c r="I799" s="1"/>
      <c r="J799" s="1"/>
      <c r="K799" s="1"/>
      <c r="L799" s="1"/>
      <c r="M799" s="1"/>
      <c r="N799" s="1" t="s">
        <v>305</v>
      </c>
      <c r="O799" s="1" t="s">
        <v>458</v>
      </c>
    </row>
    <row r="800" spans="1:15" hidden="1" x14ac:dyDescent="0.25">
      <c r="A800" s="1" t="s">
        <v>1064</v>
      </c>
      <c r="B800" s="1" t="s">
        <v>1064</v>
      </c>
      <c r="C800" s="1" t="s">
        <v>460</v>
      </c>
      <c r="D800" s="1" t="s">
        <v>1064</v>
      </c>
      <c r="E800" s="1"/>
      <c r="F800" s="1"/>
      <c r="G800" s="1"/>
      <c r="H800" s="1"/>
      <c r="I800" s="1"/>
      <c r="J800" s="1"/>
      <c r="K800" s="1"/>
      <c r="L800" s="1"/>
      <c r="M800" s="1"/>
      <c r="N800" s="1" t="s">
        <v>305</v>
      </c>
      <c r="O800" s="1" t="s">
        <v>461</v>
      </c>
    </row>
    <row r="801" spans="1:15" hidden="1" x14ac:dyDescent="0.25">
      <c r="A801" s="1" t="s">
        <v>1064</v>
      </c>
      <c r="B801" s="1" t="s">
        <v>1064</v>
      </c>
      <c r="C801" s="1" t="s">
        <v>472</v>
      </c>
      <c r="D801" s="1" t="s">
        <v>1064</v>
      </c>
      <c r="E801" s="1"/>
      <c r="F801" s="1"/>
      <c r="G801" s="1"/>
      <c r="H801" s="1"/>
      <c r="I801" s="1"/>
      <c r="J801" s="1"/>
      <c r="K801" s="1"/>
      <c r="L801" s="1"/>
      <c r="M801" s="1"/>
      <c r="N801" s="1" t="s">
        <v>305</v>
      </c>
      <c r="O801" s="1" t="s">
        <v>473</v>
      </c>
    </row>
    <row r="802" spans="1:15" hidden="1" x14ac:dyDescent="0.25">
      <c r="A802" s="1" t="s">
        <v>1064</v>
      </c>
      <c r="B802" s="1" t="s">
        <v>1064</v>
      </c>
      <c r="C802" s="1" t="s">
        <v>475</v>
      </c>
      <c r="D802" s="1" t="s">
        <v>1064</v>
      </c>
      <c r="E802" s="1"/>
      <c r="F802" s="1"/>
      <c r="G802" s="1"/>
      <c r="H802" s="1"/>
      <c r="I802" s="1"/>
      <c r="J802" s="1"/>
      <c r="K802" s="1"/>
      <c r="L802" s="1"/>
      <c r="M802" s="1"/>
      <c r="N802" s="1" t="s">
        <v>305</v>
      </c>
      <c r="O802" s="1" t="s">
        <v>476</v>
      </c>
    </row>
    <row r="803" spans="1:15" hidden="1" x14ac:dyDescent="0.25">
      <c r="A803" s="1" t="s">
        <v>1064</v>
      </c>
      <c r="B803" s="1" t="s">
        <v>1064</v>
      </c>
      <c r="C803" s="1" t="s">
        <v>484</v>
      </c>
      <c r="D803" s="1" t="s">
        <v>1064</v>
      </c>
      <c r="E803" s="1"/>
      <c r="F803" s="1"/>
      <c r="G803" s="1"/>
      <c r="H803" s="1"/>
      <c r="I803" s="1"/>
      <c r="J803" s="1"/>
      <c r="K803" s="1"/>
      <c r="L803" s="1"/>
      <c r="M803" s="1"/>
      <c r="N803" s="1" t="s">
        <v>305</v>
      </c>
      <c r="O803" s="1" t="s">
        <v>485</v>
      </c>
    </row>
    <row r="804" spans="1:15" hidden="1" x14ac:dyDescent="0.25">
      <c r="A804" s="1" t="s">
        <v>1064</v>
      </c>
      <c r="B804" s="1" t="s">
        <v>1064</v>
      </c>
      <c r="C804" s="1" t="s">
        <v>493</v>
      </c>
      <c r="D804" s="1" t="s">
        <v>1064</v>
      </c>
      <c r="E804" s="1"/>
      <c r="F804" s="1"/>
      <c r="G804" s="1"/>
      <c r="H804" s="1"/>
      <c r="I804" s="1"/>
      <c r="J804" s="1"/>
      <c r="K804" s="1"/>
      <c r="L804" s="1"/>
      <c r="M804" s="1"/>
      <c r="N804" s="1" t="s">
        <v>305</v>
      </c>
      <c r="O804" s="1" t="s">
        <v>494</v>
      </c>
    </row>
    <row r="805" spans="1:15" hidden="1" x14ac:dyDescent="0.25">
      <c r="A805" s="1" t="s">
        <v>1064</v>
      </c>
      <c r="B805" s="1" t="s">
        <v>1064</v>
      </c>
      <c r="C805" s="1" t="s">
        <v>496</v>
      </c>
      <c r="D805" s="1" t="s">
        <v>1064</v>
      </c>
      <c r="E805" s="1"/>
      <c r="F805" s="1"/>
      <c r="G805" s="1"/>
      <c r="H805" s="1"/>
      <c r="I805" s="1"/>
      <c r="J805" s="1"/>
      <c r="K805" s="1"/>
      <c r="L805" s="1"/>
      <c r="M805" s="1"/>
      <c r="N805" s="1" t="s">
        <v>305</v>
      </c>
      <c r="O805" s="1" t="s">
        <v>497</v>
      </c>
    </row>
    <row r="806" spans="1:15" hidden="1" x14ac:dyDescent="0.25">
      <c r="A806" s="1" t="s">
        <v>1064</v>
      </c>
      <c r="B806" s="1" t="s">
        <v>1064</v>
      </c>
      <c r="C806" s="1" t="s">
        <v>502</v>
      </c>
      <c r="D806" s="1" t="s">
        <v>1064</v>
      </c>
      <c r="E806" s="1"/>
      <c r="F806" s="1"/>
      <c r="G806" s="1"/>
      <c r="H806" s="1"/>
      <c r="I806" s="1"/>
      <c r="J806" s="1"/>
      <c r="K806" s="1"/>
      <c r="L806" s="1"/>
      <c r="M806" s="1"/>
      <c r="N806" s="1" t="s">
        <v>305</v>
      </c>
      <c r="O806" s="1" t="s">
        <v>503</v>
      </c>
    </row>
    <row r="807" spans="1:15" hidden="1" x14ac:dyDescent="0.25">
      <c r="A807" s="1" t="s">
        <v>1064</v>
      </c>
      <c r="B807" s="1" t="s">
        <v>1064</v>
      </c>
      <c r="C807" s="1" t="s">
        <v>505</v>
      </c>
      <c r="D807" s="1" t="s">
        <v>1064</v>
      </c>
      <c r="E807" s="1"/>
      <c r="F807" s="1"/>
      <c r="G807" s="1"/>
      <c r="H807" s="1"/>
      <c r="I807" s="1"/>
      <c r="J807" s="1"/>
      <c r="K807" s="1"/>
      <c r="L807" s="1"/>
      <c r="M807" s="1"/>
      <c r="N807" s="1" t="s">
        <v>305</v>
      </c>
      <c r="O807" s="1" t="s">
        <v>506</v>
      </c>
    </row>
    <row r="808" spans="1:15" hidden="1" x14ac:dyDescent="0.25">
      <c r="A808" s="1" t="s">
        <v>1064</v>
      </c>
      <c r="B808" s="1" t="s">
        <v>1064</v>
      </c>
      <c r="C808" s="1" t="s">
        <v>508</v>
      </c>
      <c r="D808" s="1" t="s">
        <v>1064</v>
      </c>
      <c r="E808" s="1"/>
      <c r="F808" s="1"/>
      <c r="G808" s="1"/>
      <c r="H808" s="1"/>
      <c r="I808" s="1"/>
      <c r="J808" s="1"/>
      <c r="K808" s="1"/>
      <c r="L808" s="1"/>
      <c r="M808" s="1"/>
      <c r="N808" s="1" t="s">
        <v>305</v>
      </c>
      <c r="O808" s="1" t="s">
        <v>509</v>
      </c>
    </row>
    <row r="809" spans="1:15" hidden="1" x14ac:dyDescent="0.25">
      <c r="A809" s="1" t="s">
        <v>1064</v>
      </c>
      <c r="B809" s="1" t="s">
        <v>1064</v>
      </c>
      <c r="C809" s="1" t="s">
        <v>514</v>
      </c>
      <c r="D809" s="1" t="s">
        <v>1064</v>
      </c>
      <c r="E809" s="1"/>
      <c r="F809" s="1"/>
      <c r="G809" s="1"/>
      <c r="H809" s="1"/>
      <c r="I809" s="1"/>
      <c r="J809" s="1"/>
      <c r="K809" s="1"/>
      <c r="L809" s="1"/>
      <c r="M809" s="1"/>
      <c r="N809" s="1" t="s">
        <v>305</v>
      </c>
      <c r="O809" s="1" t="s">
        <v>515</v>
      </c>
    </row>
    <row r="810" spans="1:15" hidden="1" x14ac:dyDescent="0.25">
      <c r="A810" s="1" t="s">
        <v>1064</v>
      </c>
      <c r="B810" s="1" t="s">
        <v>1064</v>
      </c>
      <c r="C810" s="1" t="s">
        <v>517</v>
      </c>
      <c r="D810" s="1" t="s">
        <v>1064</v>
      </c>
      <c r="E810" s="1"/>
      <c r="F810" s="1"/>
      <c r="G810" s="1"/>
      <c r="H810" s="1"/>
      <c r="I810" s="1"/>
      <c r="J810" s="1"/>
      <c r="K810" s="1"/>
      <c r="L810" s="1"/>
      <c r="M810" s="1"/>
      <c r="N810" s="1" t="s">
        <v>305</v>
      </c>
      <c r="O810" s="1" t="s">
        <v>518</v>
      </c>
    </row>
    <row r="811" spans="1:15" hidden="1" x14ac:dyDescent="0.25">
      <c r="A811" s="1" t="s">
        <v>1064</v>
      </c>
      <c r="B811" s="1" t="s">
        <v>1064</v>
      </c>
      <c r="C811" s="1" t="s">
        <v>520</v>
      </c>
      <c r="D811" s="1" t="s">
        <v>1064</v>
      </c>
      <c r="E811" s="1"/>
      <c r="F811" s="1"/>
      <c r="G811" s="1"/>
      <c r="H811" s="1"/>
      <c r="I811" s="1"/>
      <c r="J811" s="1"/>
      <c r="K811" s="1"/>
      <c r="L811" s="1"/>
      <c r="M811" s="1"/>
      <c r="N811" s="1" t="s">
        <v>305</v>
      </c>
      <c r="O811" s="1" t="s">
        <v>521</v>
      </c>
    </row>
    <row r="812" spans="1:15" hidden="1" x14ac:dyDescent="0.25">
      <c r="A812" s="1" t="s">
        <v>1064</v>
      </c>
      <c r="B812" s="1" t="s">
        <v>1064</v>
      </c>
      <c r="C812" s="1" t="s">
        <v>538</v>
      </c>
      <c r="D812" s="1" t="s">
        <v>1064</v>
      </c>
      <c r="E812" s="1"/>
      <c r="F812" s="1"/>
      <c r="G812" s="1"/>
      <c r="H812" s="1"/>
      <c r="I812" s="1"/>
      <c r="J812" s="1"/>
      <c r="K812" s="1"/>
      <c r="L812" s="1"/>
      <c r="M812" s="1"/>
      <c r="N812" s="1" t="s">
        <v>305</v>
      </c>
      <c r="O812" s="1" t="s">
        <v>539</v>
      </c>
    </row>
    <row r="813" spans="1:15" hidden="1" x14ac:dyDescent="0.25">
      <c r="A813" s="1" t="s">
        <v>1064</v>
      </c>
      <c r="B813" s="1" t="s">
        <v>1064</v>
      </c>
      <c r="C813" s="1" t="s">
        <v>1248</v>
      </c>
      <c r="D813" s="1" t="s">
        <v>1064</v>
      </c>
      <c r="E813" s="1"/>
      <c r="F813" s="1"/>
      <c r="G813" s="1"/>
      <c r="H813" s="1"/>
      <c r="I813" s="1"/>
      <c r="J813" s="1"/>
      <c r="K813" s="1"/>
      <c r="L813" s="1"/>
      <c r="M813" s="1"/>
      <c r="N813" s="1" t="s">
        <v>305</v>
      </c>
      <c r="O813" s="1" t="s">
        <v>1249</v>
      </c>
    </row>
    <row r="814" spans="1:15" hidden="1" x14ac:dyDescent="0.25">
      <c r="A814" s="1" t="s">
        <v>1064</v>
      </c>
      <c r="B814" s="1" t="s">
        <v>1064</v>
      </c>
      <c r="C814" s="1" t="s">
        <v>663</v>
      </c>
      <c r="D814" s="1" t="s">
        <v>1064</v>
      </c>
      <c r="E814" s="1"/>
      <c r="F814" s="1"/>
      <c r="G814" s="1"/>
      <c r="H814" s="1"/>
      <c r="I814" s="1"/>
      <c r="J814" s="1"/>
      <c r="K814" s="1"/>
      <c r="L814" s="1"/>
      <c r="M814" s="1"/>
      <c r="N814" s="1" t="s">
        <v>305</v>
      </c>
      <c r="O814" s="1" t="s">
        <v>1250</v>
      </c>
    </row>
    <row r="815" spans="1:15" hidden="1" x14ac:dyDescent="0.25">
      <c r="A815" s="1" t="s">
        <v>1064</v>
      </c>
      <c r="B815" s="1" t="s">
        <v>1064</v>
      </c>
      <c r="C815" s="1" t="s">
        <v>1242</v>
      </c>
      <c r="D815" s="1" t="s">
        <v>1064</v>
      </c>
      <c r="E815" s="1"/>
      <c r="F815" s="1"/>
      <c r="G815" s="1"/>
      <c r="H815" s="1"/>
      <c r="I815" s="1"/>
      <c r="J815" s="1"/>
      <c r="K815" s="1"/>
      <c r="L815" s="1"/>
      <c r="M815" s="1"/>
      <c r="N815" s="1" t="s">
        <v>305</v>
      </c>
      <c r="O815" s="1" t="s">
        <v>1270</v>
      </c>
    </row>
    <row r="816" spans="1:15" hidden="1" x14ac:dyDescent="0.25">
      <c r="A816" s="1" t="s">
        <v>1064</v>
      </c>
      <c r="B816" s="1" t="s">
        <v>1064</v>
      </c>
      <c r="C816" s="1" t="s">
        <v>1185</v>
      </c>
      <c r="D816" s="1" t="s">
        <v>1064</v>
      </c>
      <c r="E816" s="1"/>
      <c r="F816" s="1"/>
      <c r="G816" s="1"/>
      <c r="H816" s="1"/>
      <c r="I816" s="1"/>
      <c r="J816" s="1"/>
      <c r="K816" s="1"/>
      <c r="L816" s="1"/>
      <c r="M816" s="1"/>
      <c r="N816" s="1" t="s">
        <v>305</v>
      </c>
      <c r="O816" s="1" t="s">
        <v>1196</v>
      </c>
    </row>
    <row r="817" spans="1:30" hidden="1" x14ac:dyDescent="0.25">
      <c r="A817" s="1" t="s">
        <v>1064</v>
      </c>
      <c r="B817" s="1" t="s">
        <v>1064</v>
      </c>
      <c r="C817" s="1" t="s">
        <v>1243</v>
      </c>
      <c r="D817" s="1" t="s">
        <v>1064</v>
      </c>
      <c r="E817" s="1"/>
      <c r="F817" s="1"/>
      <c r="G817" s="1"/>
      <c r="H817" s="1"/>
      <c r="I817" s="1"/>
      <c r="J817" s="1"/>
      <c r="K817" s="1"/>
      <c r="L817" s="1"/>
      <c r="M817" s="1"/>
      <c r="N817" s="1" t="s">
        <v>305</v>
      </c>
      <c r="O817" s="1" t="s">
        <v>1252</v>
      </c>
    </row>
    <row r="818" spans="1:30" hidden="1" x14ac:dyDescent="0.25">
      <c r="A818" s="1" t="s">
        <v>1064</v>
      </c>
      <c r="B818" s="1" t="s">
        <v>1064</v>
      </c>
      <c r="C818" s="1" t="s">
        <v>3354</v>
      </c>
      <c r="D818" s="1" t="s">
        <v>1064</v>
      </c>
      <c r="E818" s="1"/>
      <c r="F818" s="1"/>
      <c r="G818" s="1"/>
      <c r="H818" s="1"/>
      <c r="I818" s="1"/>
      <c r="J818" s="1"/>
      <c r="K818" s="1"/>
      <c r="L818" s="1"/>
      <c r="M818" s="1"/>
      <c r="N818" s="1" t="s">
        <v>305</v>
      </c>
      <c r="O818" s="1" t="s">
        <v>3355</v>
      </c>
    </row>
    <row r="819" spans="1:30" hidden="1" x14ac:dyDescent="0.25">
      <c r="A819" s="1" t="s">
        <v>1064</v>
      </c>
      <c r="B819" s="1" t="s">
        <v>1064</v>
      </c>
      <c r="C819" s="1" t="s">
        <v>3356</v>
      </c>
      <c r="D819" s="1" t="s">
        <v>1064</v>
      </c>
      <c r="E819" s="1"/>
      <c r="F819" s="1"/>
      <c r="G819" s="1"/>
      <c r="H819" s="1"/>
      <c r="I819" s="1"/>
      <c r="J819" s="1"/>
      <c r="K819" s="1"/>
      <c r="L819" s="1"/>
      <c r="M819" s="1"/>
      <c r="N819" s="1" t="s">
        <v>305</v>
      </c>
      <c r="O819" s="1" t="s">
        <v>3357</v>
      </c>
    </row>
    <row r="820" spans="1:30" hidden="1" x14ac:dyDescent="0.25">
      <c r="A820" s="1" t="s">
        <v>1064</v>
      </c>
      <c r="B820" s="1" t="s">
        <v>1064</v>
      </c>
      <c r="C820" s="1" t="s">
        <v>3359</v>
      </c>
      <c r="D820" s="1" t="s">
        <v>1064</v>
      </c>
      <c r="E820" s="1"/>
      <c r="F820" s="1"/>
      <c r="G820" s="1"/>
      <c r="H820" s="1"/>
      <c r="I820" s="1"/>
      <c r="J820" s="1"/>
      <c r="K820" s="1"/>
      <c r="L820" s="1"/>
      <c r="M820" s="1"/>
      <c r="N820" s="1" t="s">
        <v>305</v>
      </c>
      <c r="O820" s="1" t="s">
        <v>3360</v>
      </c>
    </row>
    <row r="821" spans="1:30" hidden="1" x14ac:dyDescent="0.25">
      <c r="A821" s="1" t="s">
        <v>1064</v>
      </c>
      <c r="B821" s="1" t="s">
        <v>1064</v>
      </c>
      <c r="C821" s="1" t="s">
        <v>3361</v>
      </c>
      <c r="D821" s="1" t="s">
        <v>1064</v>
      </c>
      <c r="E821" s="1"/>
      <c r="F821" s="1"/>
      <c r="G821" s="1"/>
      <c r="H821" s="1"/>
      <c r="I821" s="1"/>
      <c r="J821" s="1"/>
      <c r="K821" s="1"/>
      <c r="L821" s="1"/>
      <c r="M821" s="1"/>
      <c r="N821" s="1" t="s">
        <v>305</v>
      </c>
      <c r="O821" s="1" t="s">
        <v>3362</v>
      </c>
    </row>
    <row r="822" spans="1:30" hidden="1" x14ac:dyDescent="0.25">
      <c r="A822" s="1" t="s">
        <v>1064</v>
      </c>
      <c r="B822" s="1" t="s">
        <v>1064</v>
      </c>
      <c r="C822" s="1" t="s">
        <v>3364</v>
      </c>
      <c r="D822" s="1" t="s">
        <v>1064</v>
      </c>
      <c r="E822" s="1"/>
      <c r="F822" s="1"/>
      <c r="G822" s="1"/>
      <c r="H822" s="1"/>
      <c r="I822" s="1"/>
      <c r="J822" s="1"/>
      <c r="K822" s="1"/>
      <c r="L822" s="1"/>
      <c r="M822" s="1"/>
      <c r="N822" s="1" t="s">
        <v>305</v>
      </c>
      <c r="O822" s="1" t="s">
        <v>3365</v>
      </c>
    </row>
    <row r="823" spans="1:30" hidden="1" x14ac:dyDescent="0.25">
      <c r="A823" s="1" t="s">
        <v>1064</v>
      </c>
      <c r="B823" s="1" t="s">
        <v>1064</v>
      </c>
      <c r="C823" s="1" t="s">
        <v>3366</v>
      </c>
      <c r="D823" s="1" t="s">
        <v>1064</v>
      </c>
      <c r="E823" s="1"/>
      <c r="F823" s="1"/>
      <c r="G823" s="1"/>
      <c r="H823" s="1"/>
      <c r="I823" s="1"/>
      <c r="J823" s="1"/>
      <c r="K823" s="1"/>
      <c r="L823" s="1"/>
      <c r="M823" s="1"/>
      <c r="N823" s="1" t="s">
        <v>305</v>
      </c>
      <c r="O823" s="1" t="s">
        <v>3367</v>
      </c>
    </row>
    <row r="824" spans="1:30" hidden="1" x14ac:dyDescent="0.25">
      <c r="A824" s="1" t="s">
        <v>1064</v>
      </c>
      <c r="B824" s="1" t="s">
        <v>1064</v>
      </c>
      <c r="C824" s="1" t="s">
        <v>3383</v>
      </c>
      <c r="D824" s="1" t="s">
        <v>1064</v>
      </c>
      <c r="E824" s="1"/>
      <c r="F824" s="1"/>
      <c r="G824" s="1"/>
      <c r="H824" s="1"/>
      <c r="I824" s="1"/>
      <c r="J824" s="1"/>
      <c r="K824" s="1"/>
      <c r="L824" s="1"/>
      <c r="M824" s="1"/>
      <c r="N824" s="1" t="s">
        <v>305</v>
      </c>
      <c r="O824" s="1" t="s">
        <v>3355</v>
      </c>
    </row>
    <row r="825" spans="1:30" hidden="1" x14ac:dyDescent="0.25">
      <c r="A825" s="1" t="s">
        <v>1064</v>
      </c>
      <c r="B825" s="1" t="s">
        <v>1064</v>
      </c>
      <c r="C825" s="1" t="s">
        <v>3384</v>
      </c>
      <c r="D825" s="1" t="s">
        <v>1064</v>
      </c>
      <c r="E825" s="1"/>
      <c r="F825" s="1"/>
      <c r="G825" s="1"/>
      <c r="H825" s="1"/>
      <c r="I825" s="1"/>
      <c r="J825" s="1"/>
      <c r="K825" s="1"/>
      <c r="L825" s="1"/>
      <c r="M825" s="1"/>
      <c r="N825" s="1" t="s">
        <v>305</v>
      </c>
      <c r="O825" s="1" t="s">
        <v>3357</v>
      </c>
    </row>
    <row r="826" spans="1:30" hidden="1" x14ac:dyDescent="0.25">
      <c r="A826" s="1" t="s">
        <v>1064</v>
      </c>
      <c r="B826" s="1" t="s">
        <v>1064</v>
      </c>
      <c r="C826" s="1" t="s">
        <v>3385</v>
      </c>
      <c r="D826" s="1" t="s">
        <v>1064</v>
      </c>
      <c r="E826" s="1"/>
      <c r="F826" s="1"/>
      <c r="G826" s="1"/>
      <c r="H826" s="1"/>
      <c r="I826" s="1"/>
      <c r="J826" s="1"/>
      <c r="K826" s="1"/>
      <c r="L826" s="1"/>
      <c r="M826" s="1"/>
      <c r="N826" s="1" t="s">
        <v>305</v>
      </c>
      <c r="O826" s="1" t="s">
        <v>3360</v>
      </c>
    </row>
    <row r="827" spans="1:30" hidden="1" x14ac:dyDescent="0.25">
      <c r="A827" s="1" t="s">
        <v>1064</v>
      </c>
      <c r="B827" s="1" t="s">
        <v>1064</v>
      </c>
      <c r="C827" s="1" t="s">
        <v>3386</v>
      </c>
      <c r="D827" s="1" t="s">
        <v>1064</v>
      </c>
      <c r="E827" s="1"/>
      <c r="F827" s="1"/>
      <c r="G827" s="1"/>
      <c r="H827" s="1"/>
      <c r="I827" s="1"/>
      <c r="J827" s="1"/>
      <c r="K827" s="1"/>
      <c r="L827" s="1"/>
      <c r="M827" s="1"/>
      <c r="N827" s="1" t="s">
        <v>305</v>
      </c>
      <c r="O827" s="1" t="s">
        <v>3362</v>
      </c>
    </row>
    <row r="828" spans="1:30" hidden="1" x14ac:dyDescent="0.25">
      <c r="A828" s="1" t="s">
        <v>1064</v>
      </c>
      <c r="B828" s="1" t="s">
        <v>1064</v>
      </c>
      <c r="C828" s="1" t="s">
        <v>3387</v>
      </c>
      <c r="D828" s="1" t="s">
        <v>1064</v>
      </c>
      <c r="E828" s="1"/>
      <c r="F828" s="1"/>
      <c r="G828" s="1"/>
      <c r="H828" s="1"/>
      <c r="I828" s="1"/>
      <c r="J828" s="1"/>
      <c r="K828" s="1"/>
      <c r="L828" s="1"/>
      <c r="M828" s="1"/>
      <c r="N828" s="1" t="s">
        <v>305</v>
      </c>
      <c r="O828" s="1" t="s">
        <v>3365</v>
      </c>
    </row>
    <row r="829" spans="1:30" hidden="1" x14ac:dyDescent="0.25">
      <c r="A829" s="1" t="s">
        <v>1064</v>
      </c>
      <c r="B829" s="1" t="s">
        <v>1064</v>
      </c>
      <c r="C829" s="1" t="s">
        <v>3388</v>
      </c>
      <c r="D829" s="1" t="s">
        <v>1064</v>
      </c>
      <c r="E829" s="1"/>
      <c r="F829" s="1"/>
      <c r="G829" s="1"/>
      <c r="H829" s="1"/>
      <c r="I829" s="1"/>
      <c r="J829" s="1"/>
      <c r="K829" s="1"/>
      <c r="L829" s="1"/>
      <c r="M829" s="1"/>
      <c r="N829" s="1" t="s">
        <v>305</v>
      </c>
      <c r="O829" s="1" t="s">
        <v>3367</v>
      </c>
    </row>
    <row r="830" spans="1:30" hidden="1" x14ac:dyDescent="0.25">
      <c r="A830" s="1" t="s">
        <v>1064</v>
      </c>
      <c r="B830" s="1" t="s">
        <v>1064</v>
      </c>
      <c r="C830" s="1" t="s">
        <v>3405</v>
      </c>
      <c r="D830" s="1" t="s">
        <v>1064</v>
      </c>
      <c r="E830" s="1"/>
      <c r="F830" s="1"/>
      <c r="G830" s="1"/>
      <c r="H830" s="1"/>
      <c r="I830" s="1"/>
      <c r="J830" s="1"/>
      <c r="K830" s="1"/>
      <c r="L830" s="1"/>
      <c r="M830" s="1"/>
      <c r="N830" s="1" t="s">
        <v>305</v>
      </c>
      <c r="O830" s="1" t="s">
        <v>2671</v>
      </c>
    </row>
    <row r="831" spans="1:30" hidden="1" x14ac:dyDescent="0.25">
      <c r="A831" s="1" t="s">
        <v>1064</v>
      </c>
      <c r="B831" s="1" t="s">
        <v>1064</v>
      </c>
      <c r="C831" s="1" t="s">
        <v>3414</v>
      </c>
      <c r="D831" s="1" t="s">
        <v>1064</v>
      </c>
      <c r="E831" s="1"/>
      <c r="F831" s="1"/>
      <c r="G831" s="1"/>
      <c r="H831" s="1"/>
      <c r="I831" s="1"/>
      <c r="J831" s="1"/>
      <c r="K831" s="1"/>
      <c r="L831" s="1"/>
      <c r="M831" s="1"/>
      <c r="N831" s="1" t="s">
        <v>305</v>
      </c>
      <c r="O831" s="1" t="s">
        <v>2676</v>
      </c>
      <c r="Q831">
        <f>IFERROR(COUNTIFS(_report[TOURNAMENT_CODE],ВСЕ_КОДЫ[[#This Row],[TOURNAMENT_CODE]],_report[CONTEST_CODE],ВСЕ_КОДЫ[[#This Row],[CONTEST_CODE]]),"-")</f>
        <v>0</v>
      </c>
      <c r="R831" t="str">
        <f>IFERROR(INDEX(_SCHEDULE_[],MATCH(ВСЕ_КОДЫ[[#This Row],[CONTEST_CODE]],_SCHEDULE_[CONTEST_CODE],0),MATCH($R$1,_SCHEDULE_[#Headers],0)),"-")</f>
        <v>-</v>
      </c>
      <c r="S831" t="str">
        <f>IFERROR(INDEX(_group_[],MATCH(ВСЕ_КОДЫ[[#This Row],[CONTEST_CODE]],_group_[CONTEST_CODE],0),MATCH($S$1,_group_[#Headers],0)),"-")</f>
        <v>-</v>
      </c>
      <c r="T831" t="str">
        <f>IFERROR(INDEX(_INDICATOR_[],MATCH(ВСЕ_КОДЫ[[#This Row],[CONTEST_CODE]],_INDICATOR_[CONTEST_CODE],0),MATCH($T$1,_INDICATOR_[#Headers],0)),"-")</f>
        <v>-</v>
      </c>
      <c r="U831" t="str">
        <f>IFERROR(INDEX(_reward_link_[],MATCH(ВСЕ_КОДЫ[[#This Row],[CONTEST_CODE]],_reward_link_[CONTEST_CODE],0),MATCH($U$1,_reward_link_[#Headers],0)),"-")</f>
        <v>-</v>
      </c>
      <c r="V831" t="str">
        <f>IFERROR(INDEX(_report[],MATCH(ВСЕ_КОДЫ[[#This Row],[CONTEST_CODE]],_report[CONTEST_CODE],0),MATCH($V$1,_report[#Headers],0)),"-")</f>
        <v>-</v>
      </c>
      <c r="W831" t="str">
        <f>IFERROR(INDEX(_reward_[],MATCH(ВСЕ_КОДЫ[[#This Row],[REWARD_CODE]],_reward_[REWARD_CODE],0),MATCH($W$1,_reward_[#Headers],0)),"-")</f>
        <v>Бронза#по приросту остатка Пассивов</v>
      </c>
      <c r="X831" t="str">
        <f>IFERROR(INDEX(_group_[],MATCH(CONCATENATE(ВСЕ_КОДЫ[[#This Row],[CONTEST_CODE]],"_",X$2),#REF!,0),MATCH(X$1,_group_[#Headers],0)),"-")</f>
        <v>-</v>
      </c>
      <c r="Y831" t="str">
        <f>IFERROR(INDEX(_group_[],MATCH(CONCATENATE(ВСЕ_КОДЫ[[#This Row],[CONTEST_CODE]],"_",Y$2),#REF!,0),MATCH(Y$1,_group_[#Headers],0)),"-")</f>
        <v>-</v>
      </c>
      <c r="Z831" t="str">
        <f>IFERROR(INDEX(_group_[],MATCH(CONCATENATE(ВСЕ_КОДЫ[[#This Row],[CONTEST_CODE]],"_",Z$2),#REF!,0),MATCH(Z$1,_group_[#Headers],0)),"-")</f>
        <v>-</v>
      </c>
      <c r="AA831" t="str">
        <f>IFERROR(INDEX(_group_[],MATCH(CONCATENATE(ВСЕ_КОДЫ[[#This Row],[CONTEST_CODE]],"_",AA$2),#REF!,0),MATCH(AA$1,_group_[#Headers],0)),"-")</f>
        <v>-</v>
      </c>
      <c r="AB831" t="str">
        <f>IFERROR(INDEX(_DATA_[],MATCH(ВСЕ_КОДЫ[[#This Row],[CONTEST_CODE]],_DATA_[CONTEST_CODE],0),MATCH($AB$2,_DATA_[#Headers],0)),"-")</f>
        <v>-</v>
      </c>
      <c r="AC831" t="str">
        <f>CONCATENATE(ВСЕ_КОДЫ[[#This Row],[CONTEST_CODE]],"_",ВСЕ_КОДЫ[[#This Row],[TOURNAMENT_CODE]])</f>
        <v>-_-</v>
      </c>
      <c r="AD831">
        <f>ВСЕ_КОДЫ[[#This Row],[FULL_NAME]]</f>
        <v>0</v>
      </c>
    </row>
  </sheetData>
  <dataValidations count="7">
    <dataValidation type="list" allowBlank="1" showInputMessage="1" showErrorMessage="1" sqref="T1:T2">
      <formula1>_sp_indicator</formula1>
    </dataValidation>
    <dataValidation type="list" allowBlank="1" showInputMessage="1" showErrorMessage="1" sqref="V1:V2">
      <formula1>_sp_report</formula1>
    </dataValidation>
    <dataValidation type="list" allowBlank="1" showInputMessage="1" showErrorMessage="1" sqref="R1:R2">
      <formula1>_sp_shedule</formula1>
    </dataValidation>
    <dataValidation type="list" allowBlank="1" showInputMessage="1" showErrorMessage="1" sqref="S1:S2 X1:AA1">
      <formula1>_sp_group</formula1>
    </dataValidation>
    <dataValidation type="list" allowBlank="1" showInputMessage="1" showErrorMessage="1" sqref="U1:U2">
      <formula1>_sp_rewlink</formula1>
    </dataValidation>
    <dataValidation type="list" allowBlank="1" showInputMessage="1" showErrorMessage="1" sqref="W1:W2">
      <formula1>_sp_reward</formula1>
    </dataValidation>
    <dataValidation type="list" allowBlank="1" showInputMessage="1" showErrorMessage="1" sqref="AB2">
      <formula1>_sp_date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BC8A3-EF40-4391-8ECD-9DA37B6A3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8</vt:i4>
      </vt:variant>
    </vt:vector>
  </HeadingPairs>
  <TitlesOfParts>
    <vt:vector size="22" baseType="lpstr">
      <vt:lpstr>Путь</vt:lpstr>
      <vt:lpstr>report</vt:lpstr>
      <vt:lpstr>reward</vt:lpstr>
      <vt:lpstr>group</vt:lpstr>
      <vt:lpstr>reward_link</vt:lpstr>
      <vt:lpstr>employee</vt:lpstr>
      <vt:lpstr>org_unit</vt:lpstr>
      <vt:lpstr>ORG_UNIT_20</vt:lpstr>
      <vt:lpstr>SHEDULE</vt:lpstr>
      <vt:lpstr>DATA</vt:lpstr>
      <vt:lpstr>INDICATOR</vt:lpstr>
      <vt:lpstr>USER_ROLE</vt:lpstr>
      <vt:lpstr>USER_ROLE (тест)</vt:lpstr>
      <vt:lpstr>КОНКУРСНОЕ ПРОСТРАНСТВО</vt:lpstr>
      <vt:lpstr>_sp_date</vt:lpstr>
      <vt:lpstr>_sp_emploee</vt:lpstr>
      <vt:lpstr>_sp_group</vt:lpstr>
      <vt:lpstr>_sp_indicator</vt:lpstr>
      <vt:lpstr>_sp_report</vt:lpstr>
      <vt:lpstr>_sp_reward</vt:lpstr>
      <vt:lpstr>_sp_rewlink</vt:lpstr>
      <vt:lpstr>_sp_shedule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2025-06-03T15:23:25Z</dcterms:modified>
</cp:coreProperties>
</file>